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anl\Dropbox (Personal)\1 Personal\Financial\1 AI Optimization\CLAUDE TRADING STRATEGY\"/>
    </mc:Choice>
  </mc:AlternateContent>
  <xr:revisionPtr revIDLastSave="0" documentId="8_{8869D739-2D13-4AF1-9A6D-ACDCCB01AF3C}" xr6:coauthVersionLast="47" xr6:coauthVersionMax="47" xr10:uidLastSave="{00000000-0000-0000-0000-000000000000}"/>
  <bookViews>
    <workbookView xWindow="1116" yWindow="1116" windowWidth="20136" windowHeight="11328" tabRatio="500" xr2:uid="{00000000-000D-0000-FFFF-FFFF00000000}"/>
  </bookViews>
  <sheets>
    <sheet name="Instructions" sheetId="1" r:id="rId1"/>
    <sheet name="Price History" sheetId="2" r:id="rId2"/>
    <sheet name="Returns (Calc)" sheetId="3" r:id="rId3"/>
    <sheet name="Correlation Matrix" sheetId="4" r:id="rId4"/>
    <sheet name="Portfolio Drawdown Log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2" i="5" l="1"/>
  <c r="D42" i="5" s="1"/>
  <c r="E42" i="5" s="1"/>
  <c r="D41" i="5"/>
  <c r="E41" i="5" s="1"/>
  <c r="G41" i="5" s="1"/>
  <c r="C41" i="5"/>
  <c r="C40" i="5"/>
  <c r="D40" i="5" s="1"/>
  <c r="E40" i="5" s="1"/>
  <c r="C39" i="5"/>
  <c r="D39" i="5" s="1"/>
  <c r="E39" i="5" s="1"/>
  <c r="C38" i="5"/>
  <c r="D38" i="5" s="1"/>
  <c r="E38" i="5" s="1"/>
  <c r="C37" i="5"/>
  <c r="D37" i="5" s="1"/>
  <c r="E37" i="5" s="1"/>
  <c r="G36" i="5"/>
  <c r="E36" i="5"/>
  <c r="F36" i="5" s="1"/>
  <c r="D36" i="5"/>
  <c r="C36" i="5"/>
  <c r="D35" i="5"/>
  <c r="E35" i="5" s="1"/>
  <c r="C35" i="5"/>
  <c r="C34" i="5"/>
  <c r="D34" i="5" s="1"/>
  <c r="E34" i="5" s="1"/>
  <c r="G33" i="5"/>
  <c r="F33" i="5"/>
  <c r="E33" i="5"/>
  <c r="D33" i="5"/>
  <c r="C33" i="5"/>
  <c r="C32" i="5"/>
  <c r="D32" i="5" s="1"/>
  <c r="E32" i="5" s="1"/>
  <c r="C31" i="5"/>
  <c r="D31" i="5" s="1"/>
  <c r="E31" i="5" s="1"/>
  <c r="E30" i="5"/>
  <c r="D30" i="5"/>
  <c r="C30" i="5"/>
  <c r="C29" i="5"/>
  <c r="D29" i="5" s="1"/>
  <c r="E29" i="5" s="1"/>
  <c r="G28" i="5"/>
  <c r="F28" i="5"/>
  <c r="E28" i="5"/>
  <c r="D28" i="5"/>
  <c r="C28" i="5"/>
  <c r="D27" i="5"/>
  <c r="E27" i="5" s="1"/>
  <c r="C27" i="5"/>
  <c r="C26" i="5"/>
  <c r="D26" i="5" s="1"/>
  <c r="E26" i="5" s="1"/>
  <c r="G25" i="5"/>
  <c r="F25" i="5"/>
  <c r="E25" i="5"/>
  <c r="D25" i="5"/>
  <c r="C25" i="5"/>
  <c r="C24" i="5"/>
  <c r="D24" i="5" s="1"/>
  <c r="E24" i="5" s="1"/>
  <c r="C23" i="5"/>
  <c r="D23" i="5" s="1"/>
  <c r="E23" i="5" s="1"/>
  <c r="F22" i="5"/>
  <c r="E22" i="5"/>
  <c r="G22" i="5" s="1"/>
  <c r="D22" i="5"/>
  <c r="C22" i="5"/>
  <c r="C21" i="5"/>
  <c r="D21" i="5" s="1"/>
  <c r="E21" i="5" s="1"/>
  <c r="G20" i="5"/>
  <c r="F20" i="5"/>
  <c r="E20" i="5"/>
  <c r="D20" i="5"/>
  <c r="C20" i="5"/>
  <c r="D19" i="5"/>
  <c r="E19" i="5" s="1"/>
  <c r="C19" i="5"/>
  <c r="C18" i="5"/>
  <c r="D18" i="5" s="1"/>
  <c r="E18" i="5" s="1"/>
  <c r="G17" i="5"/>
  <c r="F17" i="5"/>
  <c r="E17" i="5"/>
  <c r="D17" i="5"/>
  <c r="C17" i="5"/>
  <c r="C16" i="5"/>
  <c r="D16" i="5" s="1"/>
  <c r="E16" i="5" s="1"/>
  <c r="G15" i="5"/>
  <c r="F15" i="5"/>
  <c r="E15" i="5"/>
  <c r="D15" i="5"/>
  <c r="C15" i="5"/>
  <c r="E14" i="5"/>
  <c r="G14" i="5" s="1"/>
  <c r="D14" i="5"/>
  <c r="C14" i="5"/>
  <c r="C13" i="5"/>
  <c r="D13" i="5" s="1"/>
  <c r="E13" i="5" s="1"/>
  <c r="G12" i="5"/>
  <c r="F12" i="5"/>
  <c r="E12" i="5"/>
  <c r="D12" i="5"/>
  <c r="C12" i="5"/>
  <c r="E11" i="5"/>
  <c r="D11" i="5"/>
  <c r="C11" i="5"/>
  <c r="C10" i="5"/>
  <c r="D10" i="5" s="1"/>
  <c r="E10" i="5" s="1"/>
  <c r="G9" i="5"/>
  <c r="F9" i="5"/>
  <c r="E9" i="5"/>
  <c r="D9" i="5"/>
  <c r="C9" i="5"/>
  <c r="D8" i="5"/>
  <c r="E8" i="5" s="1"/>
  <c r="C8" i="5"/>
  <c r="G7" i="5"/>
  <c r="F7" i="5"/>
  <c r="E7" i="5"/>
  <c r="D7" i="5"/>
  <c r="C7" i="5"/>
  <c r="F6" i="5"/>
  <c r="E6" i="5"/>
  <c r="G6" i="5" s="1"/>
  <c r="D6" i="5"/>
  <c r="C6" i="5"/>
  <c r="C5" i="5"/>
  <c r="D5" i="5" s="1"/>
  <c r="E5" i="5" s="1"/>
  <c r="G4" i="5"/>
  <c r="F4" i="5"/>
  <c r="E4" i="5"/>
  <c r="D4" i="5"/>
  <c r="C4" i="5"/>
  <c r="D3" i="5"/>
  <c r="E3" i="5" s="1"/>
  <c r="C3" i="5"/>
  <c r="A14" i="4"/>
  <c r="A12" i="4"/>
  <c r="A6" i="4"/>
  <c r="A4" i="4"/>
  <c r="M2" i="4"/>
  <c r="L2" i="4"/>
  <c r="K2" i="4"/>
  <c r="F2" i="4"/>
  <c r="E2" i="4"/>
  <c r="D2" i="4"/>
  <c r="C2" i="4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M21" i="3"/>
  <c r="L21" i="3"/>
  <c r="K21" i="3"/>
  <c r="J21" i="3"/>
  <c r="I21" i="3"/>
  <c r="H21" i="3"/>
  <c r="G21" i="3"/>
  <c r="F21" i="3"/>
  <c r="E21" i="3"/>
  <c r="D21" i="3"/>
  <c r="C21" i="3"/>
  <c r="B21" i="3"/>
  <c r="A21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M9" i="3"/>
  <c r="L9" i="3"/>
  <c r="K9" i="3"/>
  <c r="J9" i="3"/>
  <c r="I9" i="3"/>
  <c r="H9" i="3"/>
  <c r="G9" i="3"/>
  <c r="F9" i="3"/>
  <c r="E9" i="3"/>
  <c r="D9" i="3"/>
  <c r="C9" i="3"/>
  <c r="B9" i="3"/>
  <c r="A9" i="3"/>
  <c r="M8" i="3"/>
  <c r="L8" i="3"/>
  <c r="K8" i="3"/>
  <c r="J8" i="3"/>
  <c r="I8" i="3"/>
  <c r="H8" i="3"/>
  <c r="G8" i="3"/>
  <c r="F8" i="3"/>
  <c r="E8" i="3"/>
  <c r="D8" i="3"/>
  <c r="C8" i="3"/>
  <c r="B8" i="3"/>
  <c r="A8" i="3"/>
  <c r="M7" i="3"/>
  <c r="L7" i="3"/>
  <c r="K7" i="3"/>
  <c r="J7" i="3"/>
  <c r="I7" i="3"/>
  <c r="H7" i="3"/>
  <c r="C9" i="4" s="1"/>
  <c r="G7" i="3"/>
  <c r="F7" i="3"/>
  <c r="E7" i="3"/>
  <c r="D7" i="3"/>
  <c r="C7" i="3"/>
  <c r="B7" i="3"/>
  <c r="A7" i="3"/>
  <c r="M6" i="3"/>
  <c r="L6" i="3"/>
  <c r="K6" i="3"/>
  <c r="J6" i="3"/>
  <c r="I6" i="3"/>
  <c r="H6" i="3"/>
  <c r="G6" i="3"/>
  <c r="F6" i="3"/>
  <c r="E6" i="3"/>
  <c r="E4" i="4" s="1"/>
  <c r="D6" i="3"/>
  <c r="C6" i="3"/>
  <c r="B6" i="3"/>
  <c r="A6" i="3"/>
  <c r="M5" i="3"/>
  <c r="L5" i="3"/>
  <c r="K5" i="3"/>
  <c r="C12" i="4" s="1"/>
  <c r="J5" i="3"/>
  <c r="F11" i="4" s="1"/>
  <c r="I5" i="3"/>
  <c r="H5" i="3"/>
  <c r="G5" i="3"/>
  <c r="F5" i="3"/>
  <c r="E5" i="3"/>
  <c r="D5" i="3"/>
  <c r="C5" i="3"/>
  <c r="J4" i="4" s="1"/>
  <c r="B5" i="3"/>
  <c r="I3" i="4" s="1"/>
  <c r="A5" i="3"/>
  <c r="M4" i="3"/>
  <c r="L4" i="3"/>
  <c r="K4" i="3"/>
  <c r="J4" i="3"/>
  <c r="I4" i="3"/>
  <c r="H4" i="3"/>
  <c r="H3" i="4" s="1"/>
  <c r="G4" i="3"/>
  <c r="F8" i="4" s="1"/>
  <c r="F4" i="3"/>
  <c r="E4" i="3"/>
  <c r="D4" i="3"/>
  <c r="C4" i="3"/>
  <c r="B4" i="3"/>
  <c r="A4" i="3"/>
  <c r="M3" i="3"/>
  <c r="M7" i="4" s="1"/>
  <c r="L3" i="3"/>
  <c r="K3" i="3"/>
  <c r="M12" i="4" s="1"/>
  <c r="J3" i="3"/>
  <c r="I11" i="4" s="1"/>
  <c r="I3" i="3"/>
  <c r="L10" i="4" s="1"/>
  <c r="H3" i="3"/>
  <c r="G3" i="3"/>
  <c r="F3" i="3"/>
  <c r="E3" i="3"/>
  <c r="I6" i="4" s="1"/>
  <c r="D3" i="3"/>
  <c r="C5" i="4" s="1"/>
  <c r="C3" i="3"/>
  <c r="B4" i="4" s="1"/>
  <c r="B3" i="3"/>
  <c r="J3" i="4" s="1"/>
  <c r="A3" i="3"/>
  <c r="M2" i="3"/>
  <c r="L2" i="3"/>
  <c r="A13" i="4" s="1"/>
  <c r="K2" i="3"/>
  <c r="J2" i="3"/>
  <c r="A11" i="4" s="1"/>
  <c r="I2" i="3"/>
  <c r="H2" i="3"/>
  <c r="H2" i="4" s="1"/>
  <c r="G2" i="3"/>
  <c r="F2" i="3"/>
  <c r="A7" i="4" s="1"/>
  <c r="E2" i="3"/>
  <c r="D2" i="3"/>
  <c r="A5" i="4" s="1"/>
  <c r="C2" i="3"/>
  <c r="B2" i="3"/>
  <c r="A3" i="4" s="1"/>
  <c r="G38" i="5" l="1"/>
  <c r="F38" i="5"/>
  <c r="G3" i="5"/>
  <c r="F3" i="5"/>
  <c r="G19" i="5"/>
  <c r="F19" i="5"/>
  <c r="G16" i="5"/>
  <c r="F16" i="5"/>
  <c r="G3" i="4"/>
  <c r="E11" i="4"/>
  <c r="G8" i="5"/>
  <c r="F8" i="5"/>
  <c r="G18" i="5"/>
  <c r="F18" i="5"/>
  <c r="G30" i="5"/>
  <c r="F30" i="5"/>
  <c r="G34" i="5"/>
  <c r="F34" i="5"/>
  <c r="E8" i="4"/>
  <c r="I4" i="4"/>
  <c r="G9" i="4"/>
  <c r="F31" i="5"/>
  <c r="G31" i="5"/>
  <c r="J2" i="4"/>
  <c r="H8" i="4"/>
  <c r="F10" i="4"/>
  <c r="G11" i="4"/>
  <c r="J12" i="4"/>
  <c r="B14" i="4"/>
  <c r="G32" i="5"/>
  <c r="F32" i="5"/>
  <c r="G35" i="5"/>
  <c r="F35" i="5"/>
  <c r="F39" i="5"/>
  <c r="G39" i="5"/>
  <c r="A10" i="4"/>
  <c r="I2" i="4"/>
  <c r="D10" i="4"/>
  <c r="F6" i="4"/>
  <c r="M6" i="4"/>
  <c r="D6" i="4"/>
  <c r="L6" i="4"/>
  <c r="C6" i="4"/>
  <c r="G5" i="4"/>
  <c r="D12" i="4"/>
  <c r="H5" i="4"/>
  <c r="I9" i="4"/>
  <c r="K4" i="4"/>
  <c r="J6" i="4"/>
  <c r="K7" i="4"/>
  <c r="J9" i="4"/>
  <c r="K10" i="4"/>
  <c r="H11" i="4"/>
  <c r="L12" i="4"/>
  <c r="I14" i="4"/>
  <c r="F14" i="5"/>
  <c r="G40" i="5"/>
  <c r="F40" i="5"/>
  <c r="M13" i="4"/>
  <c r="D13" i="4"/>
  <c r="K13" i="4"/>
  <c r="C13" i="4"/>
  <c r="J13" i="4"/>
  <c r="B13" i="4"/>
  <c r="L8" i="4"/>
  <c r="I13" i="4"/>
  <c r="H13" i="4"/>
  <c r="G6" i="4"/>
  <c r="G11" i="5"/>
  <c r="F11" i="5"/>
  <c r="I7" i="4"/>
  <c r="J7" i="4"/>
  <c r="G12" i="4"/>
  <c r="L5" i="4"/>
  <c r="I8" i="4"/>
  <c r="F9" i="4"/>
  <c r="L4" i="4"/>
  <c r="M5" i="4"/>
  <c r="K6" i="4"/>
  <c r="L7" i="4"/>
  <c r="M8" i="4"/>
  <c r="K9" i="4"/>
  <c r="J14" i="4"/>
  <c r="D7" i="4"/>
  <c r="H6" i="4"/>
  <c r="J10" i="4"/>
  <c r="H10" i="4"/>
  <c r="G10" i="4"/>
  <c r="B2" i="4"/>
  <c r="M4" i="4"/>
  <c r="L9" i="4"/>
  <c r="M10" i="4"/>
  <c r="E13" i="4"/>
  <c r="G5" i="5"/>
  <c r="F5" i="5"/>
  <c r="G26" i="5"/>
  <c r="F26" i="5"/>
  <c r="G29" i="5"/>
  <c r="F29" i="5"/>
  <c r="F5" i="4"/>
  <c r="G14" i="4"/>
  <c r="F14" i="4"/>
  <c r="E14" i="4"/>
  <c r="L14" i="4"/>
  <c r="D14" i="4"/>
  <c r="K14" i="4"/>
  <c r="C14" i="4"/>
  <c r="H14" i="4"/>
  <c r="E7" i="4"/>
  <c r="G2" i="4"/>
  <c r="A8" i="4"/>
  <c r="M3" i="4"/>
  <c r="E3" i="4"/>
  <c r="K3" i="4"/>
  <c r="L3" i="4"/>
  <c r="D3" i="4"/>
  <c r="C3" i="4"/>
  <c r="M11" i="4"/>
  <c r="D11" i="4"/>
  <c r="L11" i="4"/>
  <c r="C11" i="4"/>
  <c r="K11" i="4"/>
  <c r="B11" i="4"/>
  <c r="J8" i="4"/>
  <c r="B7" i="4"/>
  <c r="A9" i="4"/>
  <c r="B10" i="4"/>
  <c r="F13" i="4"/>
  <c r="G10" i="5"/>
  <c r="F10" i="5"/>
  <c r="F23" i="5"/>
  <c r="G23" i="5"/>
  <c r="F41" i="5"/>
  <c r="K5" i="4"/>
  <c r="B5" i="4"/>
  <c r="J5" i="4"/>
  <c r="I5" i="4"/>
  <c r="E10" i="4"/>
  <c r="G21" i="5"/>
  <c r="F21" i="5"/>
  <c r="C8" i="4"/>
  <c r="H4" i="4"/>
  <c r="G4" i="4"/>
  <c r="F4" i="4"/>
  <c r="I12" i="4"/>
  <c r="H12" i="4"/>
  <c r="F12" i="4"/>
  <c r="E12" i="4"/>
  <c r="F3" i="4"/>
  <c r="D4" i="4"/>
  <c r="N4" i="4" s="1"/>
  <c r="E5" i="4"/>
  <c r="B6" i="4"/>
  <c r="N6" i="4" s="1"/>
  <c r="C7" i="4"/>
  <c r="D8" i="4"/>
  <c r="B9" i="4"/>
  <c r="C10" i="4"/>
  <c r="B12" i="4"/>
  <c r="N12" i="4" s="1"/>
  <c r="G13" i="4"/>
  <c r="G13" i="5"/>
  <c r="F13" i="5"/>
  <c r="G24" i="5"/>
  <c r="F24" i="5"/>
  <c r="G27" i="5"/>
  <c r="F27" i="5"/>
  <c r="G37" i="5"/>
  <c r="F37" i="5"/>
  <c r="G42" i="5"/>
  <c r="F42" i="5"/>
  <c r="G7" i="4"/>
  <c r="D9" i="4"/>
  <c r="M9" i="4"/>
  <c r="H7" i="4"/>
  <c r="B8" i="4"/>
  <c r="N8" i="4" s="1"/>
  <c r="K8" i="4"/>
  <c r="E9" i="4"/>
  <c r="N5" i="4" l="1"/>
  <c r="N10" i="4"/>
  <c r="N7" i="4"/>
  <c r="N3" i="4"/>
  <c r="B16" i="4" s="1"/>
  <c r="B17" i="4" s="1"/>
  <c r="N14" i="4"/>
  <c r="N11" i="4"/>
  <c r="N9" i="4"/>
  <c r="N13" i="4"/>
</calcChain>
</file>

<file path=xl/sharedStrings.xml><?xml version="1.0" encoding="utf-8"?>
<sst xmlns="http://schemas.openxmlformats.org/spreadsheetml/2006/main" count="41" uniqueCount="39">
  <si>
    <t>PART 11 TRACKING TEMPLATE — Correlation Matrix &amp; Portfolio Drawdown Log</t>
  </si>
  <si>
    <t>Companion workbook to Part 11 — Portfolio-Level Drawdown Controls, v6 Trading System.</t>
  </si>
  <si>
    <t>HOW TO USE</t>
  </si>
  <si>
    <t>1. Price History tab — enter monthly closing prices for up to 12 portfolio positions (blue cells only). Update at each quarterly review per Rule 34.</t>
  </si>
  <si>
    <t>2. Returns (Calc) tab — calculates automatically from Price History. Do not edit.</t>
  </si>
  <si>
    <t>3. Correlation Matrix tab — calculates automatically. Ticker labels pull from Price History. Pairs above 0.70 (Rule 34 threshold) are flagged red. Each position also shows its own violation count in the rightmost column — review any position flagged there at each quarterly review.</t>
  </si>
  <si>
    <t>4. Portfolio Drawdown Log tab — enter portfolio value at each review date (blue cells only). Running peak, drawdown %, and required response status calculate automatically per the Part 11 drawdown response table (Rule 35).</t>
  </si>
  <si>
    <t>RULE REFERENCE</t>
  </si>
  <si>
    <t>Rule 34 — Correlation Cap: no position may carry pairwise correlation above 0.70 with more than one other holding in the portfolio at the same time. If a new position would violate this cap, reduce its initial size by 50% or pass.</t>
  </si>
  <si>
    <t>Rule 35 — Portfolio drawdown response levels apply automatically and are not subject to override based on individual conviction.</t>
  </si>
  <si>
    <t>Drawdown bands: 0-10% Normal | 10-20% Elevated | 20-30% Severe | 30%+ Critical (see Portfolio Drawdown Log tab for the full response required at each level).</t>
  </si>
  <si>
    <t>Monthly Closing Price ($) — enter ticker in row 1, prices below. Blue = input.</t>
  </si>
  <si>
    <t>Date</t>
  </si>
  <si>
    <t>Ticker 1</t>
  </si>
  <si>
    <t>Ticker 2</t>
  </si>
  <si>
    <t>Ticker 3</t>
  </si>
  <si>
    <t>Ticker 4</t>
  </si>
  <si>
    <t>Ticker 5</t>
  </si>
  <si>
    <t>Ticker 6</t>
  </si>
  <si>
    <t>Ticker 7</t>
  </si>
  <si>
    <t>Ticker 8</t>
  </si>
  <si>
    <t>Ticker 9</t>
  </si>
  <si>
    <t>Ticker 10</t>
  </si>
  <si>
    <t>Ticker 11</t>
  </si>
  <si>
    <t>Ticker 12</t>
  </si>
  <si>
    <t>Monthly return, calculated from Price History. Do not edit — formulas only.</t>
  </si>
  <si>
    <t>Pairwise 12-month correlation of monthly returns (Rule 34). Recalculate quarterly.</t>
  </si>
  <si>
    <t>Ticker</t>
  </si>
  <si>
    <t>Positions &gt;0.70 with</t>
  </si>
  <si>
    <t>Positions exceeding cap (correlated &gt;0.70 with 2+ other holdings):</t>
  </si>
  <si>
    <t>Rule 34 status (no position may exceed 0.70 with more than one other holding):</t>
  </si>
  <si>
    <t>Portfolio-level drawdown tracking (Rules 35-36). Enter Date and Portfolio Value; all other columns calculate automatically.</t>
  </si>
  <si>
    <t>Portfolio Value ($)</t>
  </si>
  <si>
    <t>Running Peak ($)</t>
  </si>
  <si>
    <t>Drawdown %</t>
  </si>
  <si>
    <t>Status</t>
  </si>
  <si>
    <t>Required Cash Floor</t>
  </si>
  <si>
    <t>New Position Initiation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</si>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</sst>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yyyy"/>
    <numFmt numFmtId="165" formatCode="0.0%"/>
    <numFmt numFmtId="166" formatCode="mm/dd/yyyy"/>
    <numFmt numFmtId="167" formatCode="\$#,##0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 Narrow"/>
      <family val="2"/>
    </font>
    <font>
      <sz val="10"/>
      <color rgb="FF000000"/>
      <name val="Arial Narrow"/>
      <family val="2"/>
    </font>
    <font>
      <i/>
      <sz val="10"/>
      <color rgb="FF000000"/>
      <name val="Arial Narrow"/>
      <family val="2"/>
    </font>
    <font>
      <b/>
      <sz val="11"/>
      <color rgb="FF1F3864"/>
      <name val="Arial Narrow"/>
      <family val="2"/>
    </font>
    <font>
      <b/>
      <sz val="10"/>
      <color rgb="FFFFFFFF"/>
      <name val="Arial Narrow"/>
      <family val="2"/>
    </font>
    <font>
      <sz val="10"/>
      <color rgb="FF0000FF"/>
      <name val="Arial Narrow"/>
      <family val="2"/>
    </font>
    <font>
      <b/>
      <sz val="10"/>
      <color rgb="FF1F3864"/>
      <name val="Arial Narrow"/>
      <family val="2"/>
    </font>
    <font>
      <b/>
      <sz val="10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6EFC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7" fillId="0" borderId="0" xfId="0" applyFont="1"/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7F6000"/>
      </font>
      <fill>
        <patternFill>
          <bgColor rgb="FFFFFF00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C65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showGridLines="0" tabSelected="1" zoomScaleNormal="100" workbookViewId="0"/>
  </sheetViews>
  <sheetFormatPr defaultColWidth="8.6640625" defaultRowHeight="14.4" x14ac:dyDescent="0.3"/>
  <cols>
    <col min="1" max="1" width="100" customWidth="1"/>
  </cols>
  <sheetData>
    <row r="1" spans="1:1" ht="21.75" customHeight="1" x14ac:dyDescent="0.35">
      <c r="A1" s="2" t="s">
        <v>0</v>
      </c>
    </row>
    <row r="2" spans="1:1" ht="15.75" customHeight="1" x14ac:dyDescent="0.3">
      <c r="A2" s="3"/>
    </row>
    <row r="3" spans="1:1" ht="15.75" customHeight="1" x14ac:dyDescent="0.3">
      <c r="A3" s="4" t="s">
        <v>1</v>
      </c>
    </row>
    <row r="4" spans="1:1" ht="15.75" customHeight="1" x14ac:dyDescent="0.3">
      <c r="A4" s="3"/>
    </row>
    <row r="5" spans="1:1" ht="15.75" customHeight="1" x14ac:dyDescent="0.3">
      <c r="A5" s="5" t="s">
        <v>2</v>
      </c>
    </row>
    <row r="6" spans="1:1" ht="27.75" customHeight="1" x14ac:dyDescent="0.3">
      <c r="A6" s="3" t="s">
        <v>3</v>
      </c>
    </row>
    <row r="7" spans="1:1" ht="15.75" customHeight="1" x14ac:dyDescent="0.3">
      <c r="A7" s="3" t="s">
        <v>4</v>
      </c>
    </row>
    <row r="8" spans="1:1" ht="27.75" customHeight="1" x14ac:dyDescent="0.3">
      <c r="A8" s="3" t="s">
        <v>5</v>
      </c>
    </row>
    <row r="9" spans="1:1" ht="27.75" customHeight="1" x14ac:dyDescent="0.3">
      <c r="A9" s="3" t="s">
        <v>6</v>
      </c>
    </row>
    <row r="10" spans="1:1" ht="15.75" customHeight="1" x14ac:dyDescent="0.3">
      <c r="A10" s="3"/>
    </row>
    <row r="11" spans="1:1" ht="15.75" customHeight="1" x14ac:dyDescent="0.3">
      <c r="A11" s="5" t="s">
        <v>7</v>
      </c>
    </row>
    <row r="12" spans="1:1" ht="27.75" customHeight="1" x14ac:dyDescent="0.3">
      <c r="A12" s="3" t="s">
        <v>8</v>
      </c>
    </row>
    <row r="13" spans="1:1" ht="27.75" customHeight="1" x14ac:dyDescent="0.3">
      <c r="A13" s="3" t="s">
        <v>9</v>
      </c>
    </row>
    <row r="14" spans="1:1" ht="27.75" customHeight="1" x14ac:dyDescent="0.3">
      <c r="A14" s="3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6640625" defaultRowHeight="14.4" x14ac:dyDescent="0.3"/>
  <cols>
    <col min="1" max="1" width="12" customWidth="1"/>
    <col min="2" max="13" width="11" customWidth="1"/>
  </cols>
  <sheetData>
    <row r="1" spans="1:13" x14ac:dyDescent="0.3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23</v>
      </c>
      <c r="M2" s="6" t="s">
        <v>24</v>
      </c>
    </row>
    <row r="3" spans="1:13" x14ac:dyDescent="0.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x14ac:dyDescent="0.3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3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3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x14ac:dyDescent="0.3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x14ac:dyDescent="0.3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x14ac:dyDescent="0.3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x14ac:dyDescent="0.3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x14ac:dyDescent="0.3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x14ac:dyDescent="0.3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x14ac:dyDescent="0.3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x14ac:dyDescent="0.3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3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3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x14ac:dyDescent="0.3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3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3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3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x14ac:dyDescent="0.3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x14ac:dyDescent="0.3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x14ac:dyDescent="0.3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x14ac:dyDescent="0.3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x14ac:dyDescent="0.3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6"/>
  <sheetViews>
    <sheetView showGridLines="0" zoomScaleNormal="100" workbookViewId="0"/>
  </sheetViews>
  <sheetFormatPr defaultColWidth="8.6640625" defaultRowHeight="14.4" x14ac:dyDescent="0.3"/>
  <cols>
    <col min="1" max="1" width="12" customWidth="1"/>
    <col min="2" max="13" width="11" customWidth="1"/>
  </cols>
  <sheetData>
    <row r="1" spans="1:13" x14ac:dyDescent="0.3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6" t="s">
        <v>12</v>
      </c>
      <c r="B2" s="6" t="str">
        <f>'Price History'!B2</f>
        <v>Ticker 1</v>
      </c>
      <c r="C2" s="6" t="str">
        <f>'Price History'!C2</f>
        <v>Ticker 2</v>
      </c>
      <c r="D2" s="6" t="str">
        <f>'Price History'!D2</f>
        <v>Ticker 3</v>
      </c>
      <c r="E2" s="6" t="str">
        <f>'Price History'!E2</f>
        <v>Ticker 4</v>
      </c>
      <c r="F2" s="6" t="str">
        <f>'Price History'!F2</f>
        <v>Ticker 5</v>
      </c>
      <c r="G2" s="6" t="str">
        <f>'Price History'!G2</f>
        <v>Ticker 6</v>
      </c>
      <c r="H2" s="6" t="str">
        <f>'Price History'!H2</f>
        <v>Ticker 7</v>
      </c>
      <c r="I2" s="6" t="str">
        <f>'Price History'!I2</f>
        <v>Ticker 8</v>
      </c>
      <c r="J2" s="6" t="str">
        <f>'Price History'!J2</f>
        <v>Ticker 9</v>
      </c>
      <c r="K2" s="6" t="str">
        <f>'Price History'!K2</f>
        <v>Ticker 10</v>
      </c>
      <c r="L2" s="6" t="str">
        <f>'Price History'!L2</f>
        <v>Ticker 11</v>
      </c>
      <c r="M2" s="6" t="str">
        <f>'Price History'!M2</f>
        <v>Ticker 12</v>
      </c>
    </row>
    <row r="3" spans="1:13" x14ac:dyDescent="0.3">
      <c r="A3" s="9">
        <f>'Price History'!A4</f>
        <v>0</v>
      </c>
      <c r="B3" s="10" t="str">
        <f>IF(OR('Price History'!B4="",'Price History'!B3="",'Price History'!B3=0),"",'Price History'!B4/'Price History'!B3-1)</f>
        <v/>
      </c>
      <c r="C3" s="10" t="str">
        <f>IF(OR('Price History'!C4="",'Price History'!C3="",'Price History'!C3=0),"",'Price History'!C4/'Price History'!C3-1)</f>
        <v/>
      </c>
      <c r="D3" s="10" t="str">
        <f>IF(OR('Price History'!D4="",'Price History'!D3="",'Price History'!D3=0),"",'Price History'!D4/'Price History'!D3-1)</f>
        <v/>
      </c>
      <c r="E3" s="10" t="str">
        <f>IF(OR('Price History'!E4="",'Price History'!E3="",'Price History'!E3=0),"",'Price History'!E4/'Price History'!E3-1)</f>
        <v/>
      </c>
      <c r="F3" s="10" t="str">
        <f>IF(OR('Price History'!F4="",'Price History'!F3="",'Price History'!F3=0),"",'Price History'!F4/'Price History'!F3-1)</f>
        <v/>
      </c>
      <c r="G3" s="10" t="str">
        <f>IF(OR('Price History'!G4="",'Price History'!G3="",'Price History'!G3=0),"",'Price History'!G4/'Price History'!G3-1)</f>
        <v/>
      </c>
      <c r="H3" s="10" t="str">
        <f>IF(OR('Price History'!H4="",'Price History'!H3="",'Price History'!H3=0),"",'Price History'!H4/'Price History'!H3-1)</f>
        <v/>
      </c>
      <c r="I3" s="10" t="str">
        <f>IF(OR('Price History'!I4="",'Price History'!I3="",'Price History'!I3=0),"",'Price History'!I4/'Price History'!I3-1)</f>
        <v/>
      </c>
      <c r="J3" s="10" t="str">
        <f>IF(OR('Price History'!J4="",'Price History'!J3="",'Price History'!J3=0),"",'Price History'!J4/'Price History'!J3-1)</f>
        <v/>
      </c>
      <c r="K3" s="10" t="str">
        <f>IF(OR('Price History'!K4="",'Price History'!K3="",'Price History'!K3=0),"",'Price History'!K4/'Price History'!K3-1)</f>
        <v/>
      </c>
      <c r="L3" s="10" t="str">
        <f>IF(OR('Price History'!L4="",'Price History'!L3="",'Price History'!L3=0),"",'Price History'!L4/'Price History'!L3-1)</f>
        <v/>
      </c>
      <c r="M3" s="10" t="str">
        <f>IF(OR('Price History'!M4="",'Price History'!M3="",'Price History'!M3=0),"",'Price History'!M4/'Price History'!M3-1)</f>
        <v/>
      </c>
    </row>
    <row r="4" spans="1:13" x14ac:dyDescent="0.3">
      <c r="A4" s="9">
        <f>'Price History'!A5</f>
        <v>0</v>
      </c>
      <c r="B4" s="10" t="str">
        <f>IF(OR('Price History'!B5="",'Price History'!B4="",'Price History'!B4=0),"",'Price History'!B5/'Price History'!B4-1)</f>
        <v/>
      </c>
      <c r="C4" s="10" t="str">
        <f>IF(OR('Price History'!C5="",'Price History'!C4="",'Price History'!C4=0),"",'Price History'!C5/'Price History'!C4-1)</f>
        <v/>
      </c>
      <c r="D4" s="10" t="str">
        <f>IF(OR('Price History'!D5="",'Price History'!D4="",'Price History'!D4=0),"",'Price History'!D5/'Price History'!D4-1)</f>
        <v/>
      </c>
      <c r="E4" s="10" t="str">
        <f>IF(OR('Price History'!E5="",'Price History'!E4="",'Price History'!E4=0),"",'Price History'!E5/'Price History'!E4-1)</f>
        <v/>
      </c>
      <c r="F4" s="10" t="str">
        <f>IF(OR('Price History'!F5="",'Price History'!F4="",'Price History'!F4=0),"",'Price History'!F5/'Price History'!F4-1)</f>
        <v/>
      </c>
      <c r="G4" s="10" t="str">
        <f>IF(OR('Price History'!G5="",'Price History'!G4="",'Price History'!G4=0),"",'Price History'!G5/'Price History'!G4-1)</f>
        <v/>
      </c>
      <c r="H4" s="10" t="str">
        <f>IF(OR('Price History'!H5="",'Price History'!H4="",'Price History'!H4=0),"",'Price History'!H5/'Price History'!H4-1)</f>
        <v/>
      </c>
      <c r="I4" s="10" t="str">
        <f>IF(OR('Price History'!I5="",'Price History'!I4="",'Price History'!I4=0),"",'Price History'!I5/'Price History'!I4-1)</f>
        <v/>
      </c>
      <c r="J4" s="10" t="str">
        <f>IF(OR('Price History'!J5="",'Price History'!J4="",'Price History'!J4=0),"",'Price History'!J5/'Price History'!J4-1)</f>
        <v/>
      </c>
      <c r="K4" s="10" t="str">
        <f>IF(OR('Price History'!K5="",'Price History'!K4="",'Price History'!K4=0),"",'Price History'!K5/'Price History'!K4-1)</f>
        <v/>
      </c>
      <c r="L4" s="10" t="str">
        <f>IF(OR('Price History'!L5="",'Price History'!L4="",'Price History'!L4=0),"",'Price History'!L5/'Price History'!L4-1)</f>
        <v/>
      </c>
      <c r="M4" s="10" t="str">
        <f>IF(OR('Price History'!M5="",'Price History'!M4="",'Price History'!M4=0),"",'Price History'!M5/'Price History'!M4-1)</f>
        <v/>
      </c>
    </row>
    <row r="5" spans="1:13" x14ac:dyDescent="0.3">
      <c r="A5" s="9">
        <f>'Price History'!A6</f>
        <v>0</v>
      </c>
      <c r="B5" s="10" t="str">
        <f>IF(OR('Price History'!B6="",'Price History'!B5="",'Price History'!B5=0),"",'Price History'!B6/'Price History'!B5-1)</f>
        <v/>
      </c>
      <c r="C5" s="10" t="str">
        <f>IF(OR('Price History'!C6="",'Price History'!C5="",'Price History'!C5=0),"",'Price History'!C6/'Price History'!C5-1)</f>
        <v/>
      </c>
      <c r="D5" s="10" t="str">
        <f>IF(OR('Price History'!D6="",'Price History'!D5="",'Price History'!D5=0),"",'Price History'!D6/'Price History'!D5-1)</f>
        <v/>
      </c>
      <c r="E5" s="10" t="str">
        <f>IF(OR('Price History'!E6="",'Price History'!E5="",'Price History'!E5=0),"",'Price History'!E6/'Price History'!E5-1)</f>
        <v/>
      </c>
      <c r="F5" s="10" t="str">
        <f>IF(OR('Price History'!F6="",'Price History'!F5="",'Price History'!F5=0),"",'Price History'!F6/'Price History'!F5-1)</f>
        <v/>
      </c>
      <c r="G5" s="10" t="str">
        <f>IF(OR('Price History'!G6="",'Price History'!G5="",'Price History'!G5=0),"",'Price History'!G6/'Price History'!G5-1)</f>
        <v/>
      </c>
      <c r="H5" s="10" t="str">
        <f>IF(OR('Price History'!H6="",'Price History'!H5="",'Price History'!H5=0),"",'Price History'!H6/'Price History'!H5-1)</f>
        <v/>
      </c>
      <c r="I5" s="10" t="str">
        <f>IF(OR('Price History'!I6="",'Price History'!I5="",'Price History'!I5=0),"",'Price History'!I6/'Price History'!I5-1)</f>
        <v/>
      </c>
      <c r="J5" s="10" t="str">
        <f>IF(OR('Price History'!J6="",'Price History'!J5="",'Price History'!J5=0),"",'Price History'!J6/'Price History'!J5-1)</f>
        <v/>
      </c>
      <c r="K5" s="10" t="str">
        <f>IF(OR('Price History'!K6="",'Price History'!K5="",'Price History'!K5=0),"",'Price History'!K6/'Price History'!K5-1)</f>
        <v/>
      </c>
      <c r="L5" s="10" t="str">
        <f>IF(OR('Price History'!L6="",'Price History'!L5="",'Price History'!L5=0),"",'Price History'!L6/'Price History'!L5-1)</f>
        <v/>
      </c>
      <c r="M5" s="10" t="str">
        <f>IF(OR('Price History'!M6="",'Price History'!M5="",'Price History'!M5=0),"",'Price History'!M6/'Price History'!M5-1)</f>
        <v/>
      </c>
    </row>
    <row r="6" spans="1:13" x14ac:dyDescent="0.3">
      <c r="A6" s="9">
        <f>'Price History'!A7</f>
        <v>0</v>
      </c>
      <c r="B6" s="10" t="str">
        <f>IF(OR('Price History'!B7="",'Price History'!B6="",'Price History'!B6=0),"",'Price History'!B7/'Price History'!B6-1)</f>
        <v/>
      </c>
      <c r="C6" s="10" t="str">
        <f>IF(OR('Price History'!C7="",'Price History'!C6="",'Price History'!C6=0),"",'Price History'!C7/'Price History'!C6-1)</f>
        <v/>
      </c>
      <c r="D6" s="10" t="str">
        <f>IF(OR('Price History'!D7="",'Price History'!D6="",'Price History'!D6=0),"",'Price History'!D7/'Price History'!D6-1)</f>
        <v/>
      </c>
      <c r="E6" s="10" t="str">
        <f>IF(OR('Price History'!E7="",'Price History'!E6="",'Price History'!E6=0),"",'Price History'!E7/'Price History'!E6-1)</f>
        <v/>
      </c>
      <c r="F6" s="10" t="str">
        <f>IF(OR('Price History'!F7="",'Price History'!F6="",'Price History'!F6=0),"",'Price History'!F7/'Price History'!F6-1)</f>
        <v/>
      </c>
      <c r="G6" s="10" t="str">
        <f>IF(OR('Price History'!G7="",'Price History'!G6="",'Price History'!G6=0),"",'Price History'!G7/'Price History'!G6-1)</f>
        <v/>
      </c>
      <c r="H6" s="10" t="str">
        <f>IF(OR('Price History'!H7="",'Price History'!H6="",'Price History'!H6=0),"",'Price History'!H7/'Price History'!H6-1)</f>
        <v/>
      </c>
      <c r="I6" s="10" t="str">
        <f>IF(OR('Price History'!I7="",'Price History'!I6="",'Price History'!I6=0),"",'Price History'!I7/'Price History'!I6-1)</f>
        <v/>
      </c>
      <c r="J6" s="10" t="str">
        <f>IF(OR('Price History'!J7="",'Price History'!J6="",'Price History'!J6=0),"",'Price History'!J7/'Price History'!J6-1)</f>
        <v/>
      </c>
      <c r="K6" s="10" t="str">
        <f>IF(OR('Price History'!K7="",'Price History'!K6="",'Price History'!K6=0),"",'Price History'!K7/'Price History'!K6-1)</f>
        <v/>
      </c>
      <c r="L6" s="10" t="str">
        <f>IF(OR('Price History'!L7="",'Price History'!L6="",'Price History'!L6=0),"",'Price History'!L7/'Price History'!L6-1)</f>
        <v/>
      </c>
      <c r="M6" s="10" t="str">
        <f>IF(OR('Price History'!M7="",'Price History'!M6="",'Price History'!M6=0),"",'Price History'!M7/'Price History'!M6-1)</f>
        <v/>
      </c>
    </row>
    <row r="7" spans="1:13" x14ac:dyDescent="0.3">
      <c r="A7" s="9">
        <f>'Price History'!A8</f>
        <v>0</v>
      </c>
      <c r="B7" s="10" t="str">
        <f>IF(OR('Price History'!B8="",'Price History'!B7="",'Price History'!B7=0),"",'Price History'!B8/'Price History'!B7-1)</f>
        <v/>
      </c>
      <c r="C7" s="10" t="str">
        <f>IF(OR('Price History'!C8="",'Price History'!C7="",'Price History'!C7=0),"",'Price History'!C8/'Price History'!C7-1)</f>
        <v/>
      </c>
      <c r="D7" s="10" t="str">
        <f>IF(OR('Price History'!D8="",'Price History'!D7="",'Price History'!D7=0),"",'Price History'!D8/'Price History'!D7-1)</f>
        <v/>
      </c>
      <c r="E7" s="10" t="str">
        <f>IF(OR('Price History'!E8="",'Price History'!E7="",'Price History'!E7=0),"",'Price History'!E8/'Price History'!E7-1)</f>
        <v/>
      </c>
      <c r="F7" s="10" t="str">
        <f>IF(OR('Price History'!F8="",'Price History'!F7="",'Price History'!F7=0),"",'Price History'!F8/'Price History'!F7-1)</f>
        <v/>
      </c>
      <c r="G7" s="10" t="str">
        <f>IF(OR('Price History'!G8="",'Price History'!G7="",'Price History'!G7=0),"",'Price History'!G8/'Price History'!G7-1)</f>
        <v/>
      </c>
      <c r="H7" s="10" t="str">
        <f>IF(OR('Price History'!H8="",'Price History'!H7="",'Price History'!H7=0),"",'Price History'!H8/'Price History'!H7-1)</f>
        <v/>
      </c>
      <c r="I7" s="10" t="str">
        <f>IF(OR('Price History'!I8="",'Price History'!I7="",'Price History'!I7=0),"",'Price History'!I8/'Price History'!I7-1)</f>
        <v/>
      </c>
      <c r="J7" s="10" t="str">
        <f>IF(OR('Price History'!J8="",'Price History'!J7="",'Price History'!J7=0),"",'Price History'!J8/'Price History'!J7-1)</f>
        <v/>
      </c>
      <c r="K7" s="10" t="str">
        <f>IF(OR('Price History'!K8="",'Price History'!K7="",'Price History'!K7=0),"",'Price History'!K8/'Price History'!K7-1)</f>
        <v/>
      </c>
      <c r="L7" s="10" t="str">
        <f>IF(OR('Price History'!L8="",'Price History'!L7="",'Price History'!L7=0),"",'Price History'!L8/'Price History'!L7-1)</f>
        <v/>
      </c>
      <c r="M7" s="10" t="str">
        <f>IF(OR('Price History'!M8="",'Price History'!M7="",'Price History'!M7=0),"",'Price History'!M8/'Price History'!M7-1)</f>
        <v/>
      </c>
    </row>
    <row r="8" spans="1:13" x14ac:dyDescent="0.3">
      <c r="A8" s="9">
        <f>'Price History'!A9</f>
        <v>0</v>
      </c>
      <c r="B8" s="10" t="str">
        <f>IF(OR('Price History'!B9="",'Price History'!B8="",'Price History'!B8=0),"",'Price History'!B9/'Price History'!B8-1)</f>
        <v/>
      </c>
      <c r="C8" s="10" t="str">
        <f>IF(OR('Price History'!C9="",'Price History'!C8="",'Price History'!C8=0),"",'Price History'!C9/'Price History'!C8-1)</f>
        <v/>
      </c>
      <c r="D8" s="10" t="str">
        <f>IF(OR('Price History'!D9="",'Price History'!D8="",'Price History'!D8=0),"",'Price History'!D9/'Price History'!D8-1)</f>
        <v/>
      </c>
      <c r="E8" s="10" t="str">
        <f>IF(OR('Price History'!E9="",'Price History'!E8="",'Price History'!E8=0),"",'Price History'!E9/'Price History'!E8-1)</f>
        <v/>
      </c>
      <c r="F8" s="10" t="str">
        <f>IF(OR('Price History'!F9="",'Price History'!F8="",'Price History'!F8=0),"",'Price History'!F9/'Price History'!F8-1)</f>
        <v/>
      </c>
      <c r="G8" s="10" t="str">
        <f>IF(OR('Price History'!G9="",'Price History'!G8="",'Price History'!G8=0),"",'Price History'!G9/'Price History'!G8-1)</f>
        <v/>
      </c>
      <c r="H8" s="10" t="str">
        <f>IF(OR('Price History'!H9="",'Price History'!H8="",'Price History'!H8=0),"",'Price History'!H9/'Price History'!H8-1)</f>
        <v/>
      </c>
      <c r="I8" s="10" t="str">
        <f>IF(OR('Price History'!I9="",'Price History'!I8="",'Price History'!I8=0),"",'Price History'!I9/'Price History'!I8-1)</f>
        <v/>
      </c>
      <c r="J8" s="10" t="str">
        <f>IF(OR('Price History'!J9="",'Price History'!J8="",'Price History'!J8=0),"",'Price History'!J9/'Price History'!J8-1)</f>
        <v/>
      </c>
      <c r="K8" s="10" t="str">
        <f>IF(OR('Price History'!K9="",'Price History'!K8="",'Price History'!K8=0),"",'Price History'!K9/'Price History'!K8-1)</f>
        <v/>
      </c>
      <c r="L8" s="10" t="str">
        <f>IF(OR('Price History'!L9="",'Price History'!L8="",'Price History'!L8=0),"",'Price History'!L9/'Price History'!L8-1)</f>
        <v/>
      </c>
      <c r="M8" s="10" t="str">
        <f>IF(OR('Price History'!M9="",'Price History'!M8="",'Price History'!M8=0),"",'Price History'!M9/'Price History'!M8-1)</f>
        <v/>
      </c>
    </row>
    <row r="9" spans="1:13" x14ac:dyDescent="0.3">
      <c r="A9" s="9">
        <f>'Price History'!A10</f>
        <v>0</v>
      </c>
      <c r="B9" s="10" t="str">
        <f>IF(OR('Price History'!B10="",'Price History'!B9="",'Price History'!B9=0),"",'Price History'!B10/'Price History'!B9-1)</f>
        <v/>
      </c>
      <c r="C9" s="10" t="str">
        <f>IF(OR('Price History'!C10="",'Price History'!C9="",'Price History'!C9=0),"",'Price History'!C10/'Price History'!C9-1)</f>
        <v/>
      </c>
      <c r="D9" s="10" t="str">
        <f>IF(OR('Price History'!D10="",'Price History'!D9="",'Price History'!D9=0),"",'Price History'!D10/'Price History'!D9-1)</f>
        <v/>
      </c>
      <c r="E9" s="10" t="str">
        <f>IF(OR('Price History'!E10="",'Price History'!E9="",'Price History'!E9=0),"",'Price History'!E10/'Price History'!E9-1)</f>
        <v/>
      </c>
      <c r="F9" s="10" t="str">
        <f>IF(OR('Price History'!F10="",'Price History'!F9="",'Price History'!F9=0),"",'Price History'!F10/'Price History'!F9-1)</f>
        <v/>
      </c>
      <c r="G9" s="10" t="str">
        <f>IF(OR('Price History'!G10="",'Price History'!G9="",'Price History'!G9=0),"",'Price History'!G10/'Price History'!G9-1)</f>
        <v/>
      </c>
      <c r="H9" s="10" t="str">
        <f>IF(OR('Price History'!H10="",'Price History'!H9="",'Price History'!H9=0),"",'Price History'!H10/'Price History'!H9-1)</f>
        <v/>
      </c>
      <c r="I9" s="10" t="str">
        <f>IF(OR('Price History'!I10="",'Price History'!I9="",'Price History'!I9=0),"",'Price History'!I10/'Price History'!I9-1)</f>
        <v/>
      </c>
      <c r="J9" s="10" t="str">
        <f>IF(OR('Price History'!J10="",'Price History'!J9="",'Price History'!J9=0),"",'Price History'!J10/'Price History'!J9-1)</f>
        <v/>
      </c>
      <c r="K9" s="10" t="str">
        <f>IF(OR('Price History'!K10="",'Price History'!K9="",'Price History'!K9=0),"",'Price History'!K10/'Price History'!K9-1)</f>
        <v/>
      </c>
      <c r="L9" s="10" t="str">
        <f>IF(OR('Price History'!L10="",'Price History'!L9="",'Price History'!L9=0),"",'Price History'!L10/'Price History'!L9-1)</f>
        <v/>
      </c>
      <c r="M9" s="10" t="str">
        <f>IF(OR('Price History'!M10="",'Price History'!M9="",'Price History'!M9=0),"",'Price History'!M10/'Price History'!M9-1)</f>
        <v/>
      </c>
    </row>
    <row r="10" spans="1:13" x14ac:dyDescent="0.3">
      <c r="A10" s="9">
        <f>'Price History'!A11</f>
        <v>0</v>
      </c>
      <c r="B10" s="10" t="str">
        <f>IF(OR('Price History'!B11="",'Price History'!B10="",'Price History'!B10=0),"",'Price History'!B11/'Price History'!B10-1)</f>
        <v/>
      </c>
      <c r="C10" s="10" t="str">
        <f>IF(OR('Price History'!C11="",'Price History'!C10="",'Price History'!C10=0),"",'Price History'!C11/'Price History'!C10-1)</f>
        <v/>
      </c>
      <c r="D10" s="10" t="str">
        <f>IF(OR('Price History'!D11="",'Price History'!D10="",'Price History'!D10=0),"",'Price History'!D11/'Price History'!D10-1)</f>
        <v/>
      </c>
      <c r="E10" s="10" t="str">
        <f>IF(OR('Price History'!E11="",'Price History'!E10="",'Price History'!E10=0),"",'Price History'!E11/'Price History'!E10-1)</f>
        <v/>
      </c>
      <c r="F10" s="10" t="str">
        <f>IF(OR('Price History'!F11="",'Price History'!F10="",'Price History'!F10=0),"",'Price History'!F11/'Price History'!F10-1)</f>
        <v/>
      </c>
      <c r="G10" s="10" t="str">
        <f>IF(OR('Price History'!G11="",'Price History'!G10="",'Price History'!G10=0),"",'Price History'!G11/'Price History'!G10-1)</f>
        <v/>
      </c>
      <c r="H10" s="10" t="str">
        <f>IF(OR('Price History'!H11="",'Price History'!H10="",'Price History'!H10=0),"",'Price History'!H11/'Price History'!H10-1)</f>
        <v/>
      </c>
      <c r="I10" s="10" t="str">
        <f>IF(OR('Price History'!I11="",'Price History'!I10="",'Price History'!I10=0),"",'Price History'!I11/'Price History'!I10-1)</f>
        <v/>
      </c>
      <c r="J10" s="10" t="str">
        <f>IF(OR('Price History'!J11="",'Price History'!J10="",'Price History'!J10=0),"",'Price History'!J11/'Price History'!J10-1)</f>
        <v/>
      </c>
      <c r="K10" s="10" t="str">
        <f>IF(OR('Price History'!K11="",'Price History'!K10="",'Price History'!K10=0),"",'Price History'!K11/'Price History'!K10-1)</f>
        <v/>
      </c>
      <c r="L10" s="10" t="str">
        <f>IF(OR('Price History'!L11="",'Price History'!L10="",'Price History'!L10=0),"",'Price History'!L11/'Price History'!L10-1)</f>
        <v/>
      </c>
      <c r="M10" s="10" t="str">
        <f>IF(OR('Price History'!M11="",'Price History'!M10="",'Price History'!M10=0),"",'Price History'!M11/'Price History'!M10-1)</f>
        <v/>
      </c>
    </row>
    <row r="11" spans="1:13" x14ac:dyDescent="0.3">
      <c r="A11" s="9">
        <f>'Price History'!A12</f>
        <v>0</v>
      </c>
      <c r="B11" s="10" t="str">
        <f>IF(OR('Price History'!B12="",'Price History'!B11="",'Price History'!B11=0),"",'Price History'!B12/'Price History'!B11-1)</f>
        <v/>
      </c>
      <c r="C11" s="10" t="str">
        <f>IF(OR('Price History'!C12="",'Price History'!C11="",'Price History'!C11=0),"",'Price History'!C12/'Price History'!C11-1)</f>
        <v/>
      </c>
      <c r="D11" s="10" t="str">
        <f>IF(OR('Price History'!D12="",'Price History'!D11="",'Price History'!D11=0),"",'Price History'!D12/'Price History'!D11-1)</f>
        <v/>
      </c>
      <c r="E11" s="10" t="str">
        <f>IF(OR('Price History'!E12="",'Price History'!E11="",'Price History'!E11=0),"",'Price History'!E12/'Price History'!E11-1)</f>
        <v/>
      </c>
      <c r="F11" s="10" t="str">
        <f>IF(OR('Price History'!F12="",'Price History'!F11="",'Price History'!F11=0),"",'Price History'!F12/'Price History'!F11-1)</f>
        <v/>
      </c>
      <c r="G11" s="10" t="str">
        <f>IF(OR('Price History'!G12="",'Price History'!G11="",'Price History'!G11=0),"",'Price History'!G12/'Price History'!G11-1)</f>
        <v/>
      </c>
      <c r="H11" s="10" t="str">
        <f>IF(OR('Price History'!H12="",'Price History'!H11="",'Price History'!H11=0),"",'Price History'!H12/'Price History'!H11-1)</f>
        <v/>
      </c>
      <c r="I11" s="10" t="str">
        <f>IF(OR('Price History'!I12="",'Price History'!I11="",'Price History'!I11=0),"",'Price History'!I12/'Price History'!I11-1)</f>
        <v/>
      </c>
      <c r="J11" s="10" t="str">
        <f>IF(OR('Price History'!J12="",'Price History'!J11="",'Price History'!J11=0),"",'Price History'!J12/'Price History'!J11-1)</f>
        <v/>
      </c>
      <c r="K11" s="10" t="str">
        <f>IF(OR('Price History'!K12="",'Price History'!K11="",'Price History'!K11=0),"",'Price History'!K12/'Price History'!K11-1)</f>
        <v/>
      </c>
      <c r="L11" s="10" t="str">
        <f>IF(OR('Price History'!L12="",'Price History'!L11="",'Price History'!L11=0),"",'Price History'!L12/'Price History'!L11-1)</f>
        <v/>
      </c>
      <c r="M11" s="10" t="str">
        <f>IF(OR('Price History'!M12="",'Price History'!M11="",'Price History'!M11=0),"",'Price History'!M12/'Price History'!M11-1)</f>
        <v/>
      </c>
    </row>
    <row r="12" spans="1:13" x14ac:dyDescent="0.3">
      <c r="A12" s="9">
        <f>'Price History'!A13</f>
        <v>0</v>
      </c>
      <c r="B12" s="10" t="str">
        <f>IF(OR('Price History'!B13="",'Price History'!B12="",'Price History'!B12=0),"",'Price History'!B13/'Price History'!B12-1)</f>
        <v/>
      </c>
      <c r="C12" s="10" t="str">
        <f>IF(OR('Price History'!C13="",'Price History'!C12="",'Price History'!C12=0),"",'Price History'!C13/'Price History'!C12-1)</f>
        <v/>
      </c>
      <c r="D12" s="10" t="str">
        <f>IF(OR('Price History'!D13="",'Price History'!D12="",'Price History'!D12=0),"",'Price History'!D13/'Price History'!D12-1)</f>
        <v/>
      </c>
      <c r="E12" s="10" t="str">
        <f>IF(OR('Price History'!E13="",'Price History'!E12="",'Price History'!E12=0),"",'Price History'!E13/'Price History'!E12-1)</f>
        <v/>
      </c>
      <c r="F12" s="10" t="str">
        <f>IF(OR('Price History'!F13="",'Price History'!F12="",'Price History'!F12=0),"",'Price History'!F13/'Price History'!F12-1)</f>
        <v/>
      </c>
      <c r="G12" s="10" t="str">
        <f>IF(OR('Price History'!G13="",'Price History'!G12="",'Price History'!G12=0),"",'Price History'!G13/'Price History'!G12-1)</f>
        <v/>
      </c>
      <c r="H12" s="10" t="str">
        <f>IF(OR('Price History'!H13="",'Price History'!H12="",'Price History'!H12=0),"",'Price History'!H13/'Price History'!H12-1)</f>
        <v/>
      </c>
      <c r="I12" s="10" t="str">
        <f>IF(OR('Price History'!I13="",'Price History'!I12="",'Price History'!I12=0),"",'Price History'!I13/'Price History'!I12-1)</f>
        <v/>
      </c>
      <c r="J12" s="10" t="str">
        <f>IF(OR('Price History'!J13="",'Price History'!J12="",'Price History'!J12=0),"",'Price History'!J13/'Price History'!J12-1)</f>
        <v/>
      </c>
      <c r="K12" s="10" t="str">
        <f>IF(OR('Price History'!K13="",'Price History'!K12="",'Price History'!K12=0),"",'Price History'!K13/'Price History'!K12-1)</f>
        <v/>
      </c>
      <c r="L12" s="10" t="str">
        <f>IF(OR('Price History'!L13="",'Price History'!L12="",'Price History'!L12=0),"",'Price History'!L13/'Price History'!L12-1)</f>
        <v/>
      </c>
      <c r="M12" s="10" t="str">
        <f>IF(OR('Price History'!M13="",'Price History'!M12="",'Price History'!M12=0),"",'Price History'!M13/'Price History'!M12-1)</f>
        <v/>
      </c>
    </row>
    <row r="13" spans="1:13" x14ac:dyDescent="0.3">
      <c r="A13" s="9">
        <f>'Price History'!A14</f>
        <v>0</v>
      </c>
      <c r="B13" s="10" t="str">
        <f>IF(OR('Price History'!B14="",'Price History'!B13="",'Price History'!B13=0),"",'Price History'!B14/'Price History'!B13-1)</f>
        <v/>
      </c>
      <c r="C13" s="10" t="str">
        <f>IF(OR('Price History'!C14="",'Price History'!C13="",'Price History'!C13=0),"",'Price History'!C14/'Price History'!C13-1)</f>
        <v/>
      </c>
      <c r="D13" s="10" t="str">
        <f>IF(OR('Price History'!D14="",'Price History'!D13="",'Price History'!D13=0),"",'Price History'!D14/'Price History'!D13-1)</f>
        <v/>
      </c>
      <c r="E13" s="10" t="str">
        <f>IF(OR('Price History'!E14="",'Price History'!E13="",'Price History'!E13=0),"",'Price History'!E14/'Price History'!E13-1)</f>
        <v/>
      </c>
      <c r="F13" s="10" t="str">
        <f>IF(OR('Price History'!F14="",'Price History'!F13="",'Price History'!F13=0),"",'Price History'!F14/'Price History'!F13-1)</f>
        <v/>
      </c>
      <c r="G13" s="10" t="str">
        <f>IF(OR('Price History'!G14="",'Price History'!G13="",'Price History'!G13=0),"",'Price History'!G14/'Price History'!G13-1)</f>
        <v/>
      </c>
      <c r="H13" s="10" t="str">
        <f>IF(OR('Price History'!H14="",'Price History'!H13="",'Price History'!H13=0),"",'Price History'!H14/'Price History'!H13-1)</f>
        <v/>
      </c>
      <c r="I13" s="10" t="str">
        <f>IF(OR('Price History'!I14="",'Price History'!I13="",'Price History'!I13=0),"",'Price History'!I14/'Price History'!I13-1)</f>
        <v/>
      </c>
      <c r="J13" s="10" t="str">
        <f>IF(OR('Price History'!J14="",'Price History'!J13="",'Price History'!J13=0),"",'Price History'!J14/'Price History'!J13-1)</f>
        <v/>
      </c>
      <c r="K13" s="10" t="str">
        <f>IF(OR('Price History'!K14="",'Price History'!K13="",'Price History'!K13=0),"",'Price History'!K14/'Price History'!K13-1)</f>
        <v/>
      </c>
      <c r="L13" s="10" t="str">
        <f>IF(OR('Price History'!L14="",'Price History'!L13="",'Price History'!L13=0),"",'Price History'!L14/'Price History'!L13-1)</f>
        <v/>
      </c>
      <c r="M13" s="10" t="str">
        <f>IF(OR('Price History'!M14="",'Price History'!M13="",'Price History'!M13=0),"",'Price History'!M14/'Price History'!M13-1)</f>
        <v/>
      </c>
    </row>
    <row r="14" spans="1:13" x14ac:dyDescent="0.3">
      <c r="A14" s="9">
        <f>'Price History'!A15</f>
        <v>0</v>
      </c>
      <c r="B14" s="10" t="str">
        <f>IF(OR('Price History'!B15="",'Price History'!B14="",'Price History'!B14=0),"",'Price History'!B15/'Price History'!B14-1)</f>
        <v/>
      </c>
      <c r="C14" s="10" t="str">
        <f>IF(OR('Price History'!C15="",'Price History'!C14="",'Price History'!C14=0),"",'Price History'!C15/'Price History'!C14-1)</f>
        <v/>
      </c>
      <c r="D14" s="10" t="str">
        <f>IF(OR('Price History'!D15="",'Price History'!D14="",'Price History'!D14=0),"",'Price History'!D15/'Price History'!D14-1)</f>
        <v/>
      </c>
      <c r="E14" s="10" t="str">
        <f>IF(OR('Price History'!E15="",'Price History'!E14="",'Price History'!E14=0),"",'Price History'!E15/'Price History'!E14-1)</f>
        <v/>
      </c>
      <c r="F14" s="10" t="str">
        <f>IF(OR('Price History'!F15="",'Price History'!F14="",'Price History'!F14=0),"",'Price History'!F15/'Price History'!F14-1)</f>
        <v/>
      </c>
      <c r="G14" s="10" t="str">
        <f>IF(OR('Price History'!G15="",'Price History'!G14="",'Price History'!G14=0),"",'Price History'!G15/'Price History'!G14-1)</f>
        <v/>
      </c>
      <c r="H14" s="10" t="str">
        <f>IF(OR('Price History'!H15="",'Price History'!H14="",'Price History'!H14=0),"",'Price History'!H15/'Price History'!H14-1)</f>
        <v/>
      </c>
      <c r="I14" s="10" t="str">
        <f>IF(OR('Price History'!I15="",'Price History'!I14="",'Price History'!I14=0),"",'Price History'!I15/'Price History'!I14-1)</f>
        <v/>
      </c>
      <c r="J14" s="10" t="str">
        <f>IF(OR('Price History'!J15="",'Price History'!J14="",'Price History'!J14=0),"",'Price History'!J15/'Price History'!J14-1)</f>
        <v/>
      </c>
      <c r="K14" s="10" t="str">
        <f>IF(OR('Price History'!K15="",'Price History'!K14="",'Price History'!K14=0),"",'Price History'!K15/'Price History'!K14-1)</f>
        <v/>
      </c>
      <c r="L14" s="10" t="str">
        <f>IF(OR('Price History'!L15="",'Price History'!L14="",'Price History'!L14=0),"",'Price History'!L15/'Price History'!L14-1)</f>
        <v/>
      </c>
      <c r="M14" s="10" t="str">
        <f>IF(OR('Price History'!M15="",'Price History'!M14="",'Price History'!M14=0),"",'Price History'!M15/'Price History'!M14-1)</f>
        <v/>
      </c>
    </row>
    <row r="15" spans="1:13" x14ac:dyDescent="0.3">
      <c r="A15" s="9">
        <f>'Price History'!A16</f>
        <v>0</v>
      </c>
      <c r="B15" s="10" t="str">
        <f>IF(OR('Price History'!B16="",'Price History'!B15="",'Price History'!B15=0),"",'Price History'!B16/'Price History'!B15-1)</f>
        <v/>
      </c>
      <c r="C15" s="10" t="str">
        <f>IF(OR('Price History'!C16="",'Price History'!C15="",'Price History'!C15=0),"",'Price History'!C16/'Price History'!C15-1)</f>
        <v/>
      </c>
      <c r="D15" s="10" t="str">
        <f>IF(OR('Price History'!D16="",'Price History'!D15="",'Price History'!D15=0),"",'Price History'!D16/'Price History'!D15-1)</f>
        <v/>
      </c>
      <c r="E15" s="10" t="str">
        <f>IF(OR('Price History'!E16="",'Price History'!E15="",'Price History'!E15=0),"",'Price History'!E16/'Price History'!E15-1)</f>
        <v/>
      </c>
      <c r="F15" s="10" t="str">
        <f>IF(OR('Price History'!F16="",'Price History'!F15="",'Price History'!F15=0),"",'Price History'!F16/'Price History'!F15-1)</f>
        <v/>
      </c>
      <c r="G15" s="10" t="str">
        <f>IF(OR('Price History'!G16="",'Price History'!G15="",'Price History'!G15=0),"",'Price History'!G16/'Price History'!G15-1)</f>
        <v/>
      </c>
      <c r="H15" s="10" t="str">
        <f>IF(OR('Price History'!H16="",'Price History'!H15="",'Price History'!H15=0),"",'Price History'!H16/'Price History'!H15-1)</f>
        <v/>
      </c>
      <c r="I15" s="10" t="str">
        <f>IF(OR('Price History'!I16="",'Price History'!I15="",'Price History'!I15=0),"",'Price History'!I16/'Price History'!I15-1)</f>
        <v/>
      </c>
      <c r="J15" s="10" t="str">
        <f>IF(OR('Price History'!J16="",'Price History'!J15="",'Price History'!J15=0),"",'Price History'!J16/'Price History'!J15-1)</f>
        <v/>
      </c>
      <c r="K15" s="10" t="str">
        <f>IF(OR('Price History'!K16="",'Price History'!K15="",'Price History'!K15=0),"",'Price History'!K16/'Price History'!K15-1)</f>
        <v/>
      </c>
      <c r="L15" s="10" t="str">
        <f>IF(OR('Price History'!L16="",'Price History'!L15="",'Price History'!L15=0),"",'Price History'!L16/'Price History'!L15-1)</f>
        <v/>
      </c>
      <c r="M15" s="10" t="str">
        <f>IF(OR('Price History'!M16="",'Price History'!M15="",'Price History'!M15=0),"",'Price History'!M16/'Price History'!M15-1)</f>
        <v/>
      </c>
    </row>
    <row r="16" spans="1:13" x14ac:dyDescent="0.3">
      <c r="A16" s="9">
        <f>'Price History'!A17</f>
        <v>0</v>
      </c>
      <c r="B16" s="10" t="str">
        <f>IF(OR('Price History'!B17="",'Price History'!B16="",'Price History'!B16=0),"",'Price History'!B17/'Price History'!B16-1)</f>
        <v/>
      </c>
      <c r="C16" s="10" t="str">
        <f>IF(OR('Price History'!C17="",'Price History'!C16="",'Price History'!C16=0),"",'Price History'!C17/'Price History'!C16-1)</f>
        <v/>
      </c>
      <c r="D16" s="10" t="str">
        <f>IF(OR('Price History'!D17="",'Price History'!D16="",'Price History'!D16=0),"",'Price History'!D17/'Price History'!D16-1)</f>
        <v/>
      </c>
      <c r="E16" s="10" t="str">
        <f>IF(OR('Price History'!E17="",'Price History'!E16="",'Price History'!E16=0),"",'Price History'!E17/'Price History'!E16-1)</f>
        <v/>
      </c>
      <c r="F16" s="10" t="str">
        <f>IF(OR('Price History'!F17="",'Price History'!F16="",'Price History'!F16=0),"",'Price History'!F17/'Price History'!F16-1)</f>
        <v/>
      </c>
      <c r="G16" s="10" t="str">
        <f>IF(OR('Price History'!G17="",'Price History'!G16="",'Price History'!G16=0),"",'Price History'!G17/'Price History'!G16-1)</f>
        <v/>
      </c>
      <c r="H16" s="10" t="str">
        <f>IF(OR('Price History'!H17="",'Price History'!H16="",'Price History'!H16=0),"",'Price History'!H17/'Price History'!H16-1)</f>
        <v/>
      </c>
      <c r="I16" s="10" t="str">
        <f>IF(OR('Price History'!I17="",'Price History'!I16="",'Price History'!I16=0),"",'Price History'!I17/'Price History'!I16-1)</f>
        <v/>
      </c>
      <c r="J16" s="10" t="str">
        <f>IF(OR('Price History'!J17="",'Price History'!J16="",'Price History'!J16=0),"",'Price History'!J17/'Price History'!J16-1)</f>
        <v/>
      </c>
      <c r="K16" s="10" t="str">
        <f>IF(OR('Price History'!K17="",'Price History'!K16="",'Price History'!K16=0),"",'Price History'!K17/'Price History'!K16-1)</f>
        <v/>
      </c>
      <c r="L16" s="10" t="str">
        <f>IF(OR('Price History'!L17="",'Price History'!L16="",'Price History'!L16=0),"",'Price History'!L17/'Price History'!L16-1)</f>
        <v/>
      </c>
      <c r="M16" s="10" t="str">
        <f>IF(OR('Price History'!M17="",'Price History'!M16="",'Price History'!M16=0),"",'Price History'!M17/'Price History'!M16-1)</f>
        <v/>
      </c>
    </row>
    <row r="17" spans="1:13" x14ac:dyDescent="0.3">
      <c r="A17" s="9">
        <f>'Price History'!A18</f>
        <v>0</v>
      </c>
      <c r="B17" s="10" t="str">
        <f>IF(OR('Price History'!B18="",'Price History'!B17="",'Price History'!B17=0),"",'Price History'!B18/'Price History'!B17-1)</f>
        <v/>
      </c>
      <c r="C17" s="10" t="str">
        <f>IF(OR('Price History'!C18="",'Price History'!C17="",'Price History'!C17=0),"",'Price History'!C18/'Price History'!C17-1)</f>
        <v/>
      </c>
      <c r="D17" s="10" t="str">
        <f>IF(OR('Price History'!D18="",'Price History'!D17="",'Price History'!D17=0),"",'Price History'!D18/'Price History'!D17-1)</f>
        <v/>
      </c>
      <c r="E17" s="10" t="str">
        <f>IF(OR('Price History'!E18="",'Price History'!E17="",'Price History'!E17=0),"",'Price History'!E18/'Price History'!E17-1)</f>
        <v/>
      </c>
      <c r="F17" s="10" t="str">
        <f>IF(OR('Price History'!F18="",'Price History'!F17="",'Price History'!F17=0),"",'Price History'!F18/'Price History'!F17-1)</f>
        <v/>
      </c>
      <c r="G17" s="10" t="str">
        <f>IF(OR('Price History'!G18="",'Price History'!G17="",'Price History'!G17=0),"",'Price History'!G18/'Price History'!G17-1)</f>
        <v/>
      </c>
      <c r="H17" s="10" t="str">
        <f>IF(OR('Price History'!H18="",'Price History'!H17="",'Price History'!H17=0),"",'Price History'!H18/'Price History'!H17-1)</f>
        <v/>
      </c>
      <c r="I17" s="10" t="str">
        <f>IF(OR('Price History'!I18="",'Price History'!I17="",'Price History'!I17=0),"",'Price History'!I18/'Price History'!I17-1)</f>
        <v/>
      </c>
      <c r="J17" s="10" t="str">
        <f>IF(OR('Price History'!J18="",'Price History'!J17="",'Price History'!J17=0),"",'Price History'!J18/'Price History'!J17-1)</f>
        <v/>
      </c>
      <c r="K17" s="10" t="str">
        <f>IF(OR('Price History'!K18="",'Price History'!K17="",'Price History'!K17=0),"",'Price History'!K18/'Price History'!K17-1)</f>
        <v/>
      </c>
      <c r="L17" s="10" t="str">
        <f>IF(OR('Price History'!L18="",'Price History'!L17="",'Price History'!L17=0),"",'Price History'!L18/'Price History'!L17-1)</f>
        <v/>
      </c>
      <c r="M17" s="10" t="str">
        <f>IF(OR('Price History'!M18="",'Price History'!M17="",'Price History'!M17=0),"",'Price History'!M18/'Price History'!M17-1)</f>
        <v/>
      </c>
    </row>
    <row r="18" spans="1:13" x14ac:dyDescent="0.3">
      <c r="A18" s="9">
        <f>'Price History'!A19</f>
        <v>0</v>
      </c>
      <c r="B18" s="10" t="str">
        <f>IF(OR('Price History'!B19="",'Price History'!B18="",'Price History'!B18=0),"",'Price History'!B19/'Price History'!B18-1)</f>
        <v/>
      </c>
      <c r="C18" s="10" t="str">
        <f>IF(OR('Price History'!C19="",'Price History'!C18="",'Price History'!C18=0),"",'Price History'!C19/'Price History'!C18-1)</f>
        <v/>
      </c>
      <c r="D18" s="10" t="str">
        <f>IF(OR('Price History'!D19="",'Price History'!D18="",'Price History'!D18=0),"",'Price History'!D19/'Price History'!D18-1)</f>
        <v/>
      </c>
      <c r="E18" s="10" t="str">
        <f>IF(OR('Price History'!E19="",'Price History'!E18="",'Price History'!E18=0),"",'Price History'!E19/'Price History'!E18-1)</f>
        <v/>
      </c>
      <c r="F18" s="10" t="str">
        <f>IF(OR('Price History'!F19="",'Price History'!F18="",'Price History'!F18=0),"",'Price History'!F19/'Price History'!F18-1)</f>
        <v/>
      </c>
      <c r="G18" s="10" t="str">
        <f>IF(OR('Price History'!G19="",'Price History'!G18="",'Price History'!G18=0),"",'Price History'!G19/'Price History'!G18-1)</f>
        <v/>
      </c>
      <c r="H18" s="10" t="str">
        <f>IF(OR('Price History'!H19="",'Price History'!H18="",'Price History'!H18=0),"",'Price History'!H19/'Price History'!H18-1)</f>
        <v/>
      </c>
      <c r="I18" s="10" t="str">
        <f>IF(OR('Price History'!I19="",'Price History'!I18="",'Price History'!I18=0),"",'Price History'!I19/'Price History'!I18-1)</f>
        <v/>
      </c>
      <c r="J18" s="10" t="str">
        <f>IF(OR('Price History'!J19="",'Price History'!J18="",'Price History'!J18=0),"",'Price History'!J19/'Price History'!J18-1)</f>
        <v/>
      </c>
      <c r="K18" s="10" t="str">
        <f>IF(OR('Price History'!K19="",'Price History'!K18="",'Price History'!K18=0),"",'Price History'!K19/'Price History'!K18-1)</f>
        <v/>
      </c>
      <c r="L18" s="10" t="str">
        <f>IF(OR('Price History'!L19="",'Price History'!L18="",'Price History'!L18=0),"",'Price History'!L19/'Price History'!L18-1)</f>
        <v/>
      </c>
      <c r="M18" s="10" t="str">
        <f>IF(OR('Price History'!M19="",'Price History'!M18="",'Price History'!M18=0),"",'Price History'!M19/'Price History'!M18-1)</f>
        <v/>
      </c>
    </row>
    <row r="19" spans="1:13" x14ac:dyDescent="0.3">
      <c r="A19" s="9">
        <f>'Price History'!A20</f>
        <v>0</v>
      </c>
      <c r="B19" s="10" t="str">
        <f>IF(OR('Price History'!B20="",'Price History'!B19="",'Price History'!B19=0),"",'Price History'!B20/'Price History'!B19-1)</f>
        <v/>
      </c>
      <c r="C19" s="10" t="str">
        <f>IF(OR('Price History'!C20="",'Price History'!C19="",'Price History'!C19=0),"",'Price History'!C20/'Price History'!C19-1)</f>
        <v/>
      </c>
      <c r="D19" s="10" t="str">
        <f>IF(OR('Price History'!D20="",'Price History'!D19="",'Price History'!D19=0),"",'Price History'!D20/'Price History'!D19-1)</f>
        <v/>
      </c>
      <c r="E19" s="10" t="str">
        <f>IF(OR('Price History'!E20="",'Price History'!E19="",'Price History'!E19=0),"",'Price History'!E20/'Price History'!E19-1)</f>
        <v/>
      </c>
      <c r="F19" s="10" t="str">
        <f>IF(OR('Price History'!F20="",'Price History'!F19="",'Price History'!F19=0),"",'Price History'!F20/'Price History'!F19-1)</f>
        <v/>
      </c>
      <c r="G19" s="10" t="str">
        <f>IF(OR('Price History'!G20="",'Price History'!G19="",'Price History'!G19=0),"",'Price History'!G20/'Price History'!G19-1)</f>
        <v/>
      </c>
      <c r="H19" s="10" t="str">
        <f>IF(OR('Price History'!H20="",'Price History'!H19="",'Price History'!H19=0),"",'Price History'!H20/'Price History'!H19-1)</f>
        <v/>
      </c>
      <c r="I19" s="10" t="str">
        <f>IF(OR('Price History'!I20="",'Price History'!I19="",'Price History'!I19=0),"",'Price History'!I20/'Price History'!I19-1)</f>
        <v/>
      </c>
      <c r="J19" s="10" t="str">
        <f>IF(OR('Price History'!J20="",'Price History'!J19="",'Price History'!J19=0),"",'Price History'!J20/'Price History'!J19-1)</f>
        <v/>
      </c>
      <c r="K19" s="10" t="str">
        <f>IF(OR('Price History'!K20="",'Price History'!K19="",'Price History'!K19=0),"",'Price History'!K20/'Price History'!K19-1)</f>
        <v/>
      </c>
      <c r="L19" s="10" t="str">
        <f>IF(OR('Price History'!L20="",'Price History'!L19="",'Price History'!L19=0),"",'Price History'!L20/'Price History'!L19-1)</f>
        <v/>
      </c>
      <c r="M19" s="10" t="str">
        <f>IF(OR('Price History'!M20="",'Price History'!M19="",'Price History'!M19=0),"",'Price History'!M20/'Price History'!M19-1)</f>
        <v/>
      </c>
    </row>
    <row r="20" spans="1:13" x14ac:dyDescent="0.3">
      <c r="A20" s="9">
        <f>'Price History'!A21</f>
        <v>0</v>
      </c>
      <c r="B20" s="10" t="str">
        <f>IF(OR('Price History'!B21="",'Price History'!B20="",'Price History'!B20=0),"",'Price History'!B21/'Price History'!B20-1)</f>
        <v/>
      </c>
      <c r="C20" s="10" t="str">
        <f>IF(OR('Price History'!C21="",'Price History'!C20="",'Price History'!C20=0),"",'Price History'!C21/'Price History'!C20-1)</f>
        <v/>
      </c>
      <c r="D20" s="10" t="str">
        <f>IF(OR('Price History'!D21="",'Price History'!D20="",'Price History'!D20=0),"",'Price History'!D21/'Price History'!D20-1)</f>
        <v/>
      </c>
      <c r="E20" s="10" t="str">
        <f>IF(OR('Price History'!E21="",'Price History'!E20="",'Price History'!E20=0),"",'Price History'!E21/'Price History'!E20-1)</f>
        <v/>
      </c>
      <c r="F20" s="10" t="str">
        <f>IF(OR('Price History'!F21="",'Price History'!F20="",'Price History'!F20=0),"",'Price History'!F21/'Price History'!F20-1)</f>
        <v/>
      </c>
      <c r="G20" s="10" t="str">
        <f>IF(OR('Price History'!G21="",'Price History'!G20="",'Price History'!G20=0),"",'Price History'!G21/'Price History'!G20-1)</f>
        <v/>
      </c>
      <c r="H20" s="10" t="str">
        <f>IF(OR('Price History'!H21="",'Price History'!H20="",'Price History'!H20=0),"",'Price History'!H21/'Price History'!H20-1)</f>
        <v/>
      </c>
      <c r="I20" s="10" t="str">
        <f>IF(OR('Price History'!I21="",'Price History'!I20="",'Price History'!I20=0),"",'Price History'!I21/'Price History'!I20-1)</f>
        <v/>
      </c>
      <c r="J20" s="10" t="str">
        <f>IF(OR('Price History'!J21="",'Price History'!J20="",'Price History'!J20=0),"",'Price History'!J21/'Price History'!J20-1)</f>
        <v/>
      </c>
      <c r="K20" s="10" t="str">
        <f>IF(OR('Price History'!K21="",'Price History'!K20="",'Price History'!K20=0),"",'Price History'!K21/'Price History'!K20-1)</f>
        <v/>
      </c>
      <c r="L20" s="10" t="str">
        <f>IF(OR('Price History'!L21="",'Price History'!L20="",'Price History'!L20=0),"",'Price History'!L21/'Price History'!L20-1)</f>
        <v/>
      </c>
      <c r="M20" s="10" t="str">
        <f>IF(OR('Price History'!M21="",'Price History'!M20="",'Price History'!M20=0),"",'Price History'!M21/'Price History'!M20-1)</f>
        <v/>
      </c>
    </row>
    <row r="21" spans="1:13" x14ac:dyDescent="0.3">
      <c r="A21" s="9">
        <f>'Price History'!A22</f>
        <v>0</v>
      </c>
      <c r="B21" s="10" t="str">
        <f>IF(OR('Price History'!B22="",'Price History'!B21="",'Price History'!B21=0),"",'Price History'!B22/'Price History'!B21-1)</f>
        <v/>
      </c>
      <c r="C21" s="10" t="str">
        <f>IF(OR('Price History'!C22="",'Price History'!C21="",'Price History'!C21=0),"",'Price History'!C22/'Price History'!C21-1)</f>
        <v/>
      </c>
      <c r="D21" s="10" t="str">
        <f>IF(OR('Price History'!D22="",'Price History'!D21="",'Price History'!D21=0),"",'Price History'!D22/'Price History'!D21-1)</f>
        <v/>
      </c>
      <c r="E21" s="10" t="str">
        <f>IF(OR('Price History'!E22="",'Price History'!E21="",'Price History'!E21=0),"",'Price History'!E22/'Price History'!E21-1)</f>
        <v/>
      </c>
      <c r="F21" s="10" t="str">
        <f>IF(OR('Price History'!F22="",'Price History'!F21="",'Price History'!F21=0),"",'Price History'!F22/'Price History'!F21-1)</f>
        <v/>
      </c>
      <c r="G21" s="10" t="str">
        <f>IF(OR('Price History'!G22="",'Price History'!G21="",'Price History'!G21=0),"",'Price History'!G22/'Price History'!G21-1)</f>
        <v/>
      </c>
      <c r="H21" s="10" t="str">
        <f>IF(OR('Price History'!H22="",'Price History'!H21="",'Price History'!H21=0),"",'Price History'!H22/'Price History'!H21-1)</f>
        <v/>
      </c>
      <c r="I21" s="10" t="str">
        <f>IF(OR('Price History'!I22="",'Price History'!I21="",'Price History'!I21=0),"",'Price History'!I22/'Price History'!I21-1)</f>
        <v/>
      </c>
      <c r="J21" s="10" t="str">
        <f>IF(OR('Price History'!J22="",'Price History'!J21="",'Price History'!J21=0),"",'Price History'!J22/'Price History'!J21-1)</f>
        <v/>
      </c>
      <c r="K21" s="10" t="str">
        <f>IF(OR('Price History'!K22="",'Price History'!K21="",'Price History'!K21=0),"",'Price History'!K22/'Price History'!K21-1)</f>
        <v/>
      </c>
      <c r="L21" s="10" t="str">
        <f>IF(OR('Price History'!L22="",'Price History'!L21="",'Price History'!L21=0),"",'Price History'!L22/'Price History'!L21-1)</f>
        <v/>
      </c>
      <c r="M21" s="10" t="str">
        <f>IF(OR('Price History'!M22="",'Price History'!M21="",'Price History'!M21=0),"",'Price History'!M22/'Price History'!M21-1)</f>
        <v/>
      </c>
    </row>
    <row r="22" spans="1:13" x14ac:dyDescent="0.3">
      <c r="A22" s="9">
        <f>'Price History'!A23</f>
        <v>0</v>
      </c>
      <c r="B22" s="10" t="str">
        <f>IF(OR('Price History'!B23="",'Price History'!B22="",'Price History'!B22=0),"",'Price History'!B23/'Price History'!B22-1)</f>
        <v/>
      </c>
      <c r="C22" s="10" t="str">
        <f>IF(OR('Price History'!C23="",'Price History'!C22="",'Price History'!C22=0),"",'Price History'!C23/'Price History'!C22-1)</f>
        <v/>
      </c>
      <c r="D22" s="10" t="str">
        <f>IF(OR('Price History'!D23="",'Price History'!D22="",'Price History'!D22=0),"",'Price History'!D23/'Price History'!D22-1)</f>
        <v/>
      </c>
      <c r="E22" s="10" t="str">
        <f>IF(OR('Price History'!E23="",'Price History'!E22="",'Price History'!E22=0),"",'Price History'!E23/'Price History'!E22-1)</f>
        <v/>
      </c>
      <c r="F22" s="10" t="str">
        <f>IF(OR('Price History'!F23="",'Price History'!F22="",'Price History'!F22=0),"",'Price History'!F23/'Price History'!F22-1)</f>
        <v/>
      </c>
      <c r="G22" s="10" t="str">
        <f>IF(OR('Price History'!G23="",'Price History'!G22="",'Price History'!G22=0),"",'Price History'!G23/'Price History'!G22-1)</f>
        <v/>
      </c>
      <c r="H22" s="10" t="str">
        <f>IF(OR('Price History'!H23="",'Price History'!H22="",'Price History'!H22=0),"",'Price History'!H23/'Price History'!H22-1)</f>
        <v/>
      </c>
      <c r="I22" s="10" t="str">
        <f>IF(OR('Price History'!I23="",'Price History'!I22="",'Price History'!I22=0),"",'Price History'!I23/'Price History'!I22-1)</f>
        <v/>
      </c>
      <c r="J22" s="10" t="str">
        <f>IF(OR('Price History'!J23="",'Price History'!J22="",'Price History'!J22=0),"",'Price History'!J23/'Price History'!J22-1)</f>
        <v/>
      </c>
      <c r="K22" s="10" t="str">
        <f>IF(OR('Price History'!K23="",'Price History'!K22="",'Price History'!K22=0),"",'Price History'!K23/'Price History'!K22-1)</f>
        <v/>
      </c>
      <c r="L22" s="10" t="str">
        <f>IF(OR('Price History'!L23="",'Price History'!L22="",'Price History'!L22=0),"",'Price History'!L23/'Price History'!L22-1)</f>
        <v/>
      </c>
      <c r="M22" s="10" t="str">
        <f>IF(OR('Price History'!M23="",'Price History'!M22="",'Price History'!M22=0),"",'Price History'!M23/'Price History'!M22-1)</f>
        <v/>
      </c>
    </row>
    <row r="23" spans="1:13" x14ac:dyDescent="0.3">
      <c r="A23" s="9">
        <f>'Price History'!A24</f>
        <v>0</v>
      </c>
      <c r="B23" s="10" t="str">
        <f>IF(OR('Price History'!B24="",'Price History'!B23="",'Price History'!B23=0),"",'Price History'!B24/'Price History'!B23-1)</f>
        <v/>
      </c>
      <c r="C23" s="10" t="str">
        <f>IF(OR('Price History'!C24="",'Price History'!C23="",'Price History'!C23=0),"",'Price History'!C24/'Price History'!C23-1)</f>
        <v/>
      </c>
      <c r="D23" s="10" t="str">
        <f>IF(OR('Price History'!D24="",'Price History'!D23="",'Price History'!D23=0),"",'Price History'!D24/'Price History'!D23-1)</f>
        <v/>
      </c>
      <c r="E23" s="10" t="str">
        <f>IF(OR('Price History'!E24="",'Price History'!E23="",'Price History'!E23=0),"",'Price History'!E24/'Price History'!E23-1)</f>
        <v/>
      </c>
      <c r="F23" s="10" t="str">
        <f>IF(OR('Price History'!F24="",'Price History'!F23="",'Price History'!F23=0),"",'Price History'!F24/'Price History'!F23-1)</f>
        <v/>
      </c>
      <c r="G23" s="10" t="str">
        <f>IF(OR('Price History'!G24="",'Price History'!G23="",'Price History'!G23=0),"",'Price History'!G24/'Price History'!G23-1)</f>
        <v/>
      </c>
      <c r="H23" s="10" t="str">
        <f>IF(OR('Price History'!H24="",'Price History'!H23="",'Price History'!H23=0),"",'Price History'!H24/'Price History'!H23-1)</f>
        <v/>
      </c>
      <c r="I23" s="10" t="str">
        <f>IF(OR('Price History'!I24="",'Price History'!I23="",'Price History'!I23=0),"",'Price History'!I24/'Price History'!I23-1)</f>
        <v/>
      </c>
      <c r="J23" s="10" t="str">
        <f>IF(OR('Price History'!J24="",'Price History'!J23="",'Price History'!J23=0),"",'Price History'!J24/'Price History'!J23-1)</f>
        <v/>
      </c>
      <c r="K23" s="10" t="str">
        <f>IF(OR('Price History'!K24="",'Price History'!K23="",'Price History'!K23=0),"",'Price History'!K24/'Price History'!K23-1)</f>
        <v/>
      </c>
      <c r="L23" s="10" t="str">
        <f>IF(OR('Price History'!L24="",'Price History'!L23="",'Price History'!L23=0),"",'Price History'!L24/'Price History'!L23-1)</f>
        <v/>
      </c>
      <c r="M23" s="10" t="str">
        <f>IF(OR('Price History'!M24="",'Price History'!M23="",'Price History'!M23=0),"",'Price History'!M24/'Price History'!M23-1)</f>
        <v/>
      </c>
    </row>
    <row r="24" spans="1:13" x14ac:dyDescent="0.3">
      <c r="A24" s="9">
        <f>'Price History'!A25</f>
        <v>0</v>
      </c>
      <c r="B24" s="10" t="str">
        <f>IF(OR('Price History'!B25="",'Price History'!B24="",'Price History'!B24=0),"",'Price History'!B25/'Price History'!B24-1)</f>
        <v/>
      </c>
      <c r="C24" s="10" t="str">
        <f>IF(OR('Price History'!C25="",'Price History'!C24="",'Price History'!C24=0),"",'Price History'!C25/'Price History'!C24-1)</f>
        <v/>
      </c>
      <c r="D24" s="10" t="str">
        <f>IF(OR('Price History'!D25="",'Price History'!D24="",'Price History'!D24=0),"",'Price History'!D25/'Price History'!D24-1)</f>
        <v/>
      </c>
      <c r="E24" s="10" t="str">
        <f>IF(OR('Price History'!E25="",'Price History'!E24="",'Price History'!E24=0),"",'Price History'!E25/'Price History'!E24-1)</f>
        <v/>
      </c>
      <c r="F24" s="10" t="str">
        <f>IF(OR('Price History'!F25="",'Price History'!F24="",'Price History'!F24=0),"",'Price History'!F25/'Price History'!F24-1)</f>
        <v/>
      </c>
      <c r="G24" s="10" t="str">
        <f>IF(OR('Price History'!G25="",'Price History'!G24="",'Price History'!G24=0),"",'Price History'!G25/'Price History'!G24-1)</f>
        <v/>
      </c>
      <c r="H24" s="10" t="str">
        <f>IF(OR('Price History'!H25="",'Price History'!H24="",'Price History'!H24=0),"",'Price History'!H25/'Price History'!H24-1)</f>
        <v/>
      </c>
      <c r="I24" s="10" t="str">
        <f>IF(OR('Price History'!I25="",'Price History'!I24="",'Price History'!I24=0),"",'Price History'!I25/'Price History'!I24-1)</f>
        <v/>
      </c>
      <c r="J24" s="10" t="str">
        <f>IF(OR('Price History'!J25="",'Price History'!J24="",'Price History'!J24=0),"",'Price History'!J25/'Price History'!J24-1)</f>
        <v/>
      </c>
      <c r="K24" s="10" t="str">
        <f>IF(OR('Price History'!K25="",'Price History'!K24="",'Price History'!K24=0),"",'Price History'!K25/'Price History'!K24-1)</f>
        <v/>
      </c>
      <c r="L24" s="10" t="str">
        <f>IF(OR('Price History'!L25="",'Price History'!L24="",'Price History'!L24=0),"",'Price History'!L25/'Price History'!L24-1)</f>
        <v/>
      </c>
      <c r="M24" s="10" t="str">
        <f>IF(OR('Price History'!M25="",'Price History'!M24="",'Price History'!M24=0),"",'Price History'!M25/'Price History'!M24-1)</f>
        <v/>
      </c>
    </row>
    <row r="25" spans="1:13" x14ac:dyDescent="0.3">
      <c r="A25" s="9">
        <f>'Price History'!A26</f>
        <v>0</v>
      </c>
      <c r="B25" s="10" t="str">
        <f>IF(OR('Price History'!B26="",'Price History'!B25="",'Price History'!B25=0),"",'Price History'!B26/'Price History'!B25-1)</f>
        <v/>
      </c>
      <c r="C25" s="10" t="str">
        <f>IF(OR('Price History'!C26="",'Price History'!C25="",'Price History'!C25=0),"",'Price History'!C26/'Price History'!C25-1)</f>
        <v/>
      </c>
      <c r="D25" s="10" t="str">
        <f>IF(OR('Price History'!D26="",'Price History'!D25="",'Price History'!D25=0),"",'Price History'!D26/'Price History'!D25-1)</f>
        <v/>
      </c>
      <c r="E25" s="10" t="str">
        <f>IF(OR('Price History'!E26="",'Price History'!E25="",'Price History'!E25=0),"",'Price History'!E26/'Price History'!E25-1)</f>
        <v/>
      </c>
      <c r="F25" s="10" t="str">
        <f>IF(OR('Price History'!F26="",'Price History'!F25="",'Price History'!F25=0),"",'Price History'!F26/'Price History'!F25-1)</f>
        <v/>
      </c>
      <c r="G25" s="10" t="str">
        <f>IF(OR('Price History'!G26="",'Price History'!G25="",'Price History'!G25=0),"",'Price History'!G26/'Price History'!G25-1)</f>
        <v/>
      </c>
      <c r="H25" s="10" t="str">
        <f>IF(OR('Price History'!H26="",'Price History'!H25="",'Price History'!H25=0),"",'Price History'!H26/'Price History'!H25-1)</f>
        <v/>
      </c>
      <c r="I25" s="10" t="str">
        <f>IF(OR('Price History'!I26="",'Price History'!I25="",'Price History'!I25=0),"",'Price History'!I26/'Price History'!I25-1)</f>
        <v/>
      </c>
      <c r="J25" s="10" t="str">
        <f>IF(OR('Price History'!J26="",'Price History'!J25="",'Price History'!J25=0),"",'Price History'!J26/'Price History'!J25-1)</f>
        <v/>
      </c>
      <c r="K25" s="10" t="str">
        <f>IF(OR('Price History'!K26="",'Price History'!K25="",'Price History'!K25=0),"",'Price History'!K26/'Price History'!K25-1)</f>
        <v/>
      </c>
      <c r="L25" s="10" t="str">
        <f>IF(OR('Price History'!L26="",'Price History'!L25="",'Price History'!L25=0),"",'Price History'!L26/'Price History'!L25-1)</f>
        <v/>
      </c>
      <c r="M25" s="10" t="str">
        <f>IF(OR('Price History'!M26="",'Price History'!M25="",'Price History'!M25=0),"",'Price History'!M26/'Price History'!M25-1)</f>
        <v/>
      </c>
    </row>
    <row r="26" spans="1:13" x14ac:dyDescent="0.3">
      <c r="A26" s="9">
        <f>'Price History'!A27</f>
        <v>0</v>
      </c>
      <c r="B26" s="10" t="str">
        <f>IF(OR('Price History'!B27="",'Price History'!B26="",'Price History'!B26=0),"",'Price History'!B27/'Price History'!B26-1)</f>
        <v/>
      </c>
      <c r="C26" s="10" t="str">
        <f>IF(OR('Price History'!C27="",'Price History'!C26="",'Price History'!C26=0),"",'Price History'!C27/'Price History'!C26-1)</f>
        <v/>
      </c>
      <c r="D26" s="10" t="str">
        <f>IF(OR('Price History'!D27="",'Price History'!D26="",'Price History'!D26=0),"",'Price History'!D27/'Price History'!D26-1)</f>
        <v/>
      </c>
      <c r="E26" s="10" t="str">
        <f>IF(OR('Price History'!E27="",'Price History'!E26="",'Price History'!E26=0),"",'Price History'!E27/'Price History'!E26-1)</f>
        <v/>
      </c>
      <c r="F26" s="10" t="str">
        <f>IF(OR('Price History'!F27="",'Price History'!F26="",'Price History'!F26=0),"",'Price History'!F27/'Price History'!F26-1)</f>
        <v/>
      </c>
      <c r="G26" s="10" t="str">
        <f>IF(OR('Price History'!G27="",'Price History'!G26="",'Price History'!G26=0),"",'Price History'!G27/'Price History'!G26-1)</f>
        <v/>
      </c>
      <c r="H26" s="10" t="str">
        <f>IF(OR('Price History'!H27="",'Price History'!H26="",'Price History'!H26=0),"",'Price History'!H27/'Price History'!H26-1)</f>
        <v/>
      </c>
      <c r="I26" s="10" t="str">
        <f>IF(OR('Price History'!I27="",'Price History'!I26="",'Price History'!I26=0),"",'Price History'!I27/'Price History'!I26-1)</f>
        <v/>
      </c>
      <c r="J26" s="10" t="str">
        <f>IF(OR('Price History'!J27="",'Price History'!J26="",'Price History'!J26=0),"",'Price History'!J27/'Price History'!J26-1)</f>
        <v/>
      </c>
      <c r="K26" s="10" t="str">
        <f>IF(OR('Price History'!K27="",'Price History'!K26="",'Price History'!K26=0),"",'Price History'!K27/'Price History'!K26-1)</f>
        <v/>
      </c>
      <c r="L26" s="10" t="str">
        <f>IF(OR('Price History'!L27="",'Price History'!L26="",'Price History'!L26=0),"",'Price History'!L27/'Price History'!L26-1)</f>
        <v/>
      </c>
      <c r="M26" s="10" t="str">
        <f>IF(OR('Price History'!M27="",'Price History'!M26="",'Price History'!M26=0),"",'Price History'!M27/'Price History'!M26-1)</f>
        <v/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6640625" defaultRowHeight="14.4" x14ac:dyDescent="0.3"/>
  <cols>
    <col min="1" max="1" width="12" customWidth="1"/>
    <col min="2" max="13" width="11" customWidth="1"/>
    <col min="14" max="14" width="14" customWidth="1"/>
  </cols>
  <sheetData>
    <row r="1" spans="1:14" x14ac:dyDescent="0.3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4" ht="27.6" x14ac:dyDescent="0.3">
      <c r="A2" s="6" t="s">
        <v>27</v>
      </c>
      <c r="B2" s="6" t="str">
        <f>'Returns (Calc)'!B2</f>
        <v>Ticker 1</v>
      </c>
      <c r="C2" s="6" t="str">
        <f>'Returns (Calc)'!C2</f>
        <v>Ticker 2</v>
      </c>
      <c r="D2" s="6" t="str">
        <f>'Returns (Calc)'!D2</f>
        <v>Ticker 3</v>
      </c>
      <c r="E2" s="6" t="str">
        <f>'Returns (Calc)'!E2</f>
        <v>Ticker 4</v>
      </c>
      <c r="F2" s="6" t="str">
        <f>'Returns (Calc)'!F2</f>
        <v>Ticker 5</v>
      </c>
      <c r="G2" s="6" t="str">
        <f>'Returns (Calc)'!G2</f>
        <v>Ticker 6</v>
      </c>
      <c r="H2" s="6" t="str">
        <f>'Returns (Calc)'!H2</f>
        <v>Ticker 7</v>
      </c>
      <c r="I2" s="6" t="str">
        <f>'Returns (Calc)'!I2</f>
        <v>Ticker 8</v>
      </c>
      <c r="J2" s="6" t="str">
        <f>'Returns (Calc)'!J2</f>
        <v>Ticker 9</v>
      </c>
      <c r="K2" s="6" t="str">
        <f>'Returns (Calc)'!K2</f>
        <v>Ticker 10</v>
      </c>
      <c r="L2" s="6" t="str">
        <f>'Returns (Calc)'!L2</f>
        <v>Ticker 11</v>
      </c>
      <c r="M2" s="6" t="str">
        <f>'Returns (Calc)'!M2</f>
        <v>Ticker 12</v>
      </c>
      <c r="N2" s="6" t="s">
        <v>28</v>
      </c>
    </row>
    <row r="3" spans="1:14" x14ac:dyDescent="0.3">
      <c r="A3" s="11" t="str">
        <f>'Returns (Calc)'!B2</f>
        <v>Ticker 1</v>
      </c>
      <c r="B3" s="12">
        <v>1</v>
      </c>
      <c r="C3" s="12" t="str">
        <f>IFERROR(ROUND(CORREL('Returns (Calc)'!$B$3:$B$26,'Returns (Calc)'!$C$3:$C$26),2),"")</f>
        <v/>
      </c>
      <c r="D3" s="12" t="str">
        <f>IFERROR(ROUND(CORREL('Returns (Calc)'!$B$3:$B$26,'Returns (Calc)'!$D$3:$D$26),2),"")</f>
        <v/>
      </c>
      <c r="E3" s="12" t="str">
        <f>IFERROR(ROUND(CORREL('Returns (Calc)'!$B$3:$B$26,'Returns (Calc)'!$E$3:$E$26),2),"")</f>
        <v/>
      </c>
      <c r="F3" s="12" t="str">
        <f>IFERROR(ROUND(CORREL('Returns (Calc)'!$B$3:$B$26,'Returns (Calc)'!$F$3:$F$26),2),"")</f>
        <v/>
      </c>
      <c r="G3" s="12" t="str">
        <f>IFERROR(ROUND(CORREL('Returns (Calc)'!$B$3:$B$26,'Returns (Calc)'!$G$3:$G$26),2),"")</f>
        <v/>
      </c>
      <c r="H3" s="12" t="str">
        <f>IFERROR(ROUND(CORREL('Returns (Calc)'!$B$3:$B$26,'Returns (Calc)'!$H$3:$H$26),2),"")</f>
        <v/>
      </c>
      <c r="I3" s="12" t="str">
        <f>IFERROR(ROUND(CORREL('Returns (Calc)'!$B$3:$B$26,'Returns (Calc)'!$I$3:$I$26),2),"")</f>
        <v/>
      </c>
      <c r="J3" s="12" t="str">
        <f>IFERROR(ROUND(CORREL('Returns (Calc)'!$B$3:$B$26,'Returns (Calc)'!$J$3:$J$26),2),"")</f>
        <v/>
      </c>
      <c r="K3" s="12" t="str">
        <f>IFERROR(ROUND(CORREL('Returns (Calc)'!$B$3:$B$26,'Returns (Calc)'!$K$3:$K$26),2),"")</f>
        <v/>
      </c>
      <c r="L3" s="12" t="str">
        <f>IFERROR(ROUND(CORREL('Returns (Calc)'!$B$3:$B$26,'Returns (Calc)'!$L$3:$L$26),2),"")</f>
        <v/>
      </c>
      <c r="M3" s="12" t="str">
        <f>IFERROR(ROUND(CORREL('Returns (Calc)'!$B$3:$B$26,'Returns (Calc)'!$M$3:$M$26),2),"")</f>
        <v/>
      </c>
      <c r="N3" s="13">
        <f t="shared" ref="N3:N14" si="0">COUNTIF(B3:M3,"&gt;0.7")-1</f>
        <v>0</v>
      </c>
    </row>
    <row r="4" spans="1:14" x14ac:dyDescent="0.3">
      <c r="A4" s="11" t="str">
        <f>'Returns (Calc)'!C2</f>
        <v>Ticker 2</v>
      </c>
      <c r="B4" s="12" t="str">
        <f>IFERROR(ROUND(CORREL('Returns (Calc)'!$C$3:$C$26,'Returns (Calc)'!$B$3:$B$26),2),"")</f>
        <v/>
      </c>
      <c r="C4" s="12">
        <v>1</v>
      </c>
      <c r="D4" s="12" t="str">
        <f>IFERROR(ROUND(CORREL('Returns (Calc)'!$C$3:$C$26,'Returns (Calc)'!$D$3:$D$26),2),"")</f>
        <v/>
      </c>
      <c r="E4" s="12" t="str">
        <f>IFERROR(ROUND(CORREL('Returns (Calc)'!$C$3:$C$26,'Returns (Calc)'!$E$3:$E$26),2),"")</f>
        <v/>
      </c>
      <c r="F4" s="12" t="str">
        <f>IFERROR(ROUND(CORREL('Returns (Calc)'!$C$3:$C$26,'Returns (Calc)'!$F$3:$F$26),2),"")</f>
        <v/>
      </c>
      <c r="G4" s="12" t="str">
        <f>IFERROR(ROUND(CORREL('Returns (Calc)'!$C$3:$C$26,'Returns (Calc)'!$G$3:$G$26),2),"")</f>
        <v/>
      </c>
      <c r="H4" s="12" t="str">
        <f>IFERROR(ROUND(CORREL('Returns (Calc)'!$C$3:$C$26,'Returns (Calc)'!$H$3:$H$26),2),"")</f>
        <v/>
      </c>
      <c r="I4" s="12" t="str">
        <f>IFERROR(ROUND(CORREL('Returns (Calc)'!$C$3:$C$26,'Returns (Calc)'!$I$3:$I$26),2),"")</f>
        <v/>
      </c>
      <c r="J4" s="12" t="str">
        <f>IFERROR(ROUND(CORREL('Returns (Calc)'!$C$3:$C$26,'Returns (Calc)'!$J$3:$J$26),2),"")</f>
        <v/>
      </c>
      <c r="K4" s="12" t="str">
        <f>IFERROR(ROUND(CORREL('Returns (Calc)'!$C$3:$C$26,'Returns (Calc)'!$K$3:$K$26),2),"")</f>
        <v/>
      </c>
      <c r="L4" s="12" t="str">
        <f>IFERROR(ROUND(CORREL('Returns (Calc)'!$C$3:$C$26,'Returns (Calc)'!$L$3:$L$26),2),"")</f>
        <v/>
      </c>
      <c r="M4" s="12" t="str">
        <f>IFERROR(ROUND(CORREL('Returns (Calc)'!$C$3:$C$26,'Returns (Calc)'!$M$3:$M$26),2),"")</f>
        <v/>
      </c>
      <c r="N4" s="13">
        <f t="shared" si="0"/>
        <v>0</v>
      </c>
    </row>
    <row r="5" spans="1:14" x14ac:dyDescent="0.3">
      <c r="A5" s="11" t="str">
        <f>'Returns (Calc)'!D2</f>
        <v>Ticker 3</v>
      </c>
      <c r="B5" s="12" t="str">
        <f>IFERROR(ROUND(CORREL('Returns (Calc)'!$D$3:$D$26,'Returns (Calc)'!$B$3:$B$26),2),"")</f>
        <v/>
      </c>
      <c r="C5" s="12" t="str">
        <f>IFERROR(ROUND(CORREL('Returns (Calc)'!$D$3:$D$26,'Returns (Calc)'!$C$3:$C$26),2),"")</f>
        <v/>
      </c>
      <c r="D5" s="12">
        <v>1</v>
      </c>
      <c r="E5" s="12" t="str">
        <f>IFERROR(ROUND(CORREL('Returns (Calc)'!$D$3:$D$26,'Returns (Calc)'!$E$3:$E$26),2),"")</f>
        <v/>
      </c>
      <c r="F5" s="12" t="str">
        <f>IFERROR(ROUND(CORREL('Returns (Calc)'!$D$3:$D$26,'Returns (Calc)'!$F$3:$F$26),2),"")</f>
        <v/>
      </c>
      <c r="G5" s="12" t="str">
        <f>IFERROR(ROUND(CORREL('Returns (Calc)'!$D$3:$D$26,'Returns (Calc)'!$G$3:$G$26),2),"")</f>
        <v/>
      </c>
      <c r="H5" s="12" t="str">
        <f>IFERROR(ROUND(CORREL('Returns (Calc)'!$D$3:$D$26,'Returns (Calc)'!$H$3:$H$26),2),"")</f>
        <v/>
      </c>
      <c r="I5" s="12" t="str">
        <f>IFERROR(ROUND(CORREL('Returns (Calc)'!$D$3:$D$26,'Returns (Calc)'!$I$3:$I$26),2),"")</f>
        <v/>
      </c>
      <c r="J5" s="12" t="str">
        <f>IFERROR(ROUND(CORREL('Returns (Calc)'!$D$3:$D$26,'Returns (Calc)'!$J$3:$J$26),2),"")</f>
        <v/>
      </c>
      <c r="K5" s="12" t="str">
        <f>IFERROR(ROUND(CORREL('Returns (Calc)'!$D$3:$D$26,'Returns (Calc)'!$K$3:$K$26),2),"")</f>
        <v/>
      </c>
      <c r="L5" s="12" t="str">
        <f>IFERROR(ROUND(CORREL('Returns (Calc)'!$D$3:$D$26,'Returns (Calc)'!$L$3:$L$26),2),"")</f>
        <v/>
      </c>
      <c r="M5" s="12" t="str">
        <f>IFERROR(ROUND(CORREL('Returns (Calc)'!$D$3:$D$26,'Returns (Calc)'!$M$3:$M$26),2),"")</f>
        <v/>
      </c>
      <c r="N5" s="13">
        <f t="shared" si="0"/>
        <v>0</v>
      </c>
    </row>
    <row r="6" spans="1:14" x14ac:dyDescent="0.3">
      <c r="A6" s="11" t="str">
        <f>'Returns (Calc)'!E2</f>
        <v>Ticker 4</v>
      </c>
      <c r="B6" s="12" t="str">
        <f>IFERROR(ROUND(CORREL('Returns (Calc)'!$E$3:$E$26,'Returns (Calc)'!$B$3:$B$26),2),"")</f>
        <v/>
      </c>
      <c r="C6" s="12" t="str">
        <f>IFERROR(ROUND(CORREL('Returns (Calc)'!$E$3:$E$26,'Returns (Calc)'!$C$3:$C$26),2),"")</f>
        <v/>
      </c>
      <c r="D6" s="12" t="str">
        <f>IFERROR(ROUND(CORREL('Returns (Calc)'!$E$3:$E$26,'Returns (Calc)'!$D$3:$D$26),2),"")</f>
        <v/>
      </c>
      <c r="E6" s="12">
        <v>1</v>
      </c>
      <c r="F6" s="12" t="str">
        <f>IFERROR(ROUND(CORREL('Returns (Calc)'!$E$3:$E$26,'Returns (Calc)'!$F$3:$F$26),2),"")</f>
        <v/>
      </c>
      <c r="G6" s="12" t="str">
        <f>IFERROR(ROUND(CORREL('Returns (Calc)'!$E$3:$E$26,'Returns (Calc)'!$G$3:$G$26),2),"")</f>
        <v/>
      </c>
      <c r="H6" s="12" t="str">
        <f>IFERROR(ROUND(CORREL('Returns (Calc)'!$E$3:$E$26,'Returns (Calc)'!$H$3:$H$26),2),"")</f>
        <v/>
      </c>
      <c r="I6" s="12" t="str">
        <f>IFERROR(ROUND(CORREL('Returns (Calc)'!$E$3:$E$26,'Returns (Calc)'!$I$3:$I$26),2),"")</f>
        <v/>
      </c>
      <c r="J6" s="12" t="str">
        <f>IFERROR(ROUND(CORREL('Returns (Calc)'!$E$3:$E$26,'Returns (Calc)'!$J$3:$J$26),2),"")</f>
        <v/>
      </c>
      <c r="K6" s="12" t="str">
        <f>IFERROR(ROUND(CORREL('Returns (Calc)'!$E$3:$E$26,'Returns (Calc)'!$K$3:$K$26),2),"")</f>
        <v/>
      </c>
      <c r="L6" s="12" t="str">
        <f>IFERROR(ROUND(CORREL('Returns (Calc)'!$E$3:$E$26,'Returns (Calc)'!$L$3:$L$26),2),"")</f>
        <v/>
      </c>
      <c r="M6" s="12" t="str">
        <f>IFERROR(ROUND(CORREL('Returns (Calc)'!$E$3:$E$26,'Returns (Calc)'!$M$3:$M$26),2),"")</f>
        <v/>
      </c>
      <c r="N6" s="13">
        <f t="shared" si="0"/>
        <v>0</v>
      </c>
    </row>
    <row r="7" spans="1:14" x14ac:dyDescent="0.3">
      <c r="A7" s="11" t="str">
        <f>'Returns (Calc)'!F2</f>
        <v>Ticker 5</v>
      </c>
      <c r="B7" s="12" t="str">
        <f>IFERROR(ROUND(CORREL('Returns (Calc)'!$F$3:$F$26,'Returns (Calc)'!$B$3:$B$26),2),"")</f>
        <v/>
      </c>
      <c r="C7" s="12" t="str">
        <f>IFERROR(ROUND(CORREL('Returns (Calc)'!$F$3:$F$26,'Returns (Calc)'!$C$3:$C$26),2),"")</f>
        <v/>
      </c>
      <c r="D7" s="12" t="str">
        <f>IFERROR(ROUND(CORREL('Returns (Calc)'!$F$3:$F$26,'Returns (Calc)'!$D$3:$D$26),2),"")</f>
        <v/>
      </c>
      <c r="E7" s="12" t="str">
        <f>IFERROR(ROUND(CORREL('Returns (Calc)'!$F$3:$F$26,'Returns (Calc)'!$E$3:$E$26),2),"")</f>
        <v/>
      </c>
      <c r="F7" s="12">
        <v>1</v>
      </c>
      <c r="G7" s="12" t="str">
        <f>IFERROR(ROUND(CORREL('Returns (Calc)'!$F$3:$F$26,'Returns (Calc)'!$G$3:$G$26),2),"")</f>
        <v/>
      </c>
      <c r="H7" s="12" t="str">
        <f>IFERROR(ROUND(CORREL('Returns (Calc)'!$F$3:$F$26,'Returns (Calc)'!$H$3:$H$26),2),"")</f>
        <v/>
      </c>
      <c r="I7" s="12" t="str">
        <f>IFERROR(ROUND(CORREL('Returns (Calc)'!$F$3:$F$26,'Returns (Calc)'!$I$3:$I$26),2),"")</f>
        <v/>
      </c>
      <c r="J7" s="12" t="str">
        <f>IFERROR(ROUND(CORREL('Returns (Calc)'!$F$3:$F$26,'Returns (Calc)'!$J$3:$J$26),2),"")</f>
        <v/>
      </c>
      <c r="K7" s="12" t="str">
        <f>IFERROR(ROUND(CORREL('Returns (Calc)'!$F$3:$F$26,'Returns (Calc)'!$K$3:$K$26),2),"")</f>
        <v/>
      </c>
      <c r="L7" s="12" t="str">
        <f>IFERROR(ROUND(CORREL('Returns (Calc)'!$F$3:$F$26,'Returns (Calc)'!$L$3:$L$26),2),"")</f>
        <v/>
      </c>
      <c r="M7" s="12" t="str">
        <f>IFERROR(ROUND(CORREL('Returns (Calc)'!$F$3:$F$26,'Returns (Calc)'!$M$3:$M$26),2),"")</f>
        <v/>
      </c>
      <c r="N7" s="13">
        <f t="shared" si="0"/>
        <v>0</v>
      </c>
    </row>
    <row r="8" spans="1:14" x14ac:dyDescent="0.3">
      <c r="A8" s="11" t="str">
        <f>'Returns (Calc)'!G2</f>
        <v>Ticker 6</v>
      </c>
      <c r="B8" s="12" t="str">
        <f>IFERROR(ROUND(CORREL('Returns (Calc)'!$G$3:$G$26,'Returns (Calc)'!$B$3:$B$26),2),"")</f>
        <v/>
      </c>
      <c r="C8" s="12" t="str">
        <f>IFERROR(ROUND(CORREL('Returns (Calc)'!$G$3:$G$26,'Returns (Calc)'!$C$3:$C$26),2),"")</f>
        <v/>
      </c>
      <c r="D8" s="12" t="str">
        <f>IFERROR(ROUND(CORREL('Returns (Calc)'!$G$3:$G$26,'Returns (Calc)'!$D$3:$D$26),2),"")</f>
        <v/>
      </c>
      <c r="E8" s="12" t="str">
        <f>IFERROR(ROUND(CORREL('Returns (Calc)'!$G$3:$G$26,'Returns (Calc)'!$E$3:$E$26),2),"")</f>
        <v/>
      </c>
      <c r="F8" s="12" t="str">
        <f>IFERROR(ROUND(CORREL('Returns (Calc)'!$G$3:$G$26,'Returns (Calc)'!$F$3:$F$26),2),"")</f>
        <v/>
      </c>
      <c r="G8" s="12">
        <v>1</v>
      </c>
      <c r="H8" s="12" t="str">
        <f>IFERROR(ROUND(CORREL('Returns (Calc)'!$G$3:$G$26,'Returns (Calc)'!$H$3:$H$26),2),"")</f>
        <v/>
      </c>
      <c r="I8" s="12" t="str">
        <f>IFERROR(ROUND(CORREL('Returns (Calc)'!$G$3:$G$26,'Returns (Calc)'!$I$3:$I$26),2),"")</f>
        <v/>
      </c>
      <c r="J8" s="12" t="str">
        <f>IFERROR(ROUND(CORREL('Returns (Calc)'!$G$3:$G$26,'Returns (Calc)'!$J$3:$J$26),2),"")</f>
        <v/>
      </c>
      <c r="K8" s="12" t="str">
        <f>IFERROR(ROUND(CORREL('Returns (Calc)'!$G$3:$G$26,'Returns (Calc)'!$K$3:$K$26),2),"")</f>
        <v/>
      </c>
      <c r="L8" s="12" t="str">
        <f>IFERROR(ROUND(CORREL('Returns (Calc)'!$G$3:$G$26,'Returns (Calc)'!$L$3:$L$26),2),"")</f>
        <v/>
      </c>
      <c r="M8" s="12" t="str">
        <f>IFERROR(ROUND(CORREL('Returns (Calc)'!$G$3:$G$26,'Returns (Calc)'!$M$3:$M$26),2),"")</f>
        <v/>
      </c>
      <c r="N8" s="13">
        <f t="shared" si="0"/>
        <v>0</v>
      </c>
    </row>
    <row r="9" spans="1:14" x14ac:dyDescent="0.3">
      <c r="A9" s="11" t="str">
        <f>'Returns (Calc)'!H2</f>
        <v>Ticker 7</v>
      </c>
      <c r="B9" s="12" t="str">
        <f>IFERROR(ROUND(CORREL('Returns (Calc)'!$H$3:$H$26,'Returns (Calc)'!$B$3:$B$26),2),"")</f>
        <v/>
      </c>
      <c r="C9" s="12" t="str">
        <f>IFERROR(ROUND(CORREL('Returns (Calc)'!$H$3:$H$26,'Returns (Calc)'!$C$3:$C$26),2),"")</f>
        <v/>
      </c>
      <c r="D9" s="12" t="str">
        <f>IFERROR(ROUND(CORREL('Returns (Calc)'!$H$3:$H$26,'Returns (Calc)'!$D$3:$D$26),2),"")</f>
        <v/>
      </c>
      <c r="E9" s="12" t="str">
        <f>IFERROR(ROUND(CORREL('Returns (Calc)'!$H$3:$H$26,'Returns (Calc)'!$E$3:$E$26),2),"")</f>
        <v/>
      </c>
      <c r="F9" s="12" t="str">
        <f>IFERROR(ROUND(CORREL('Returns (Calc)'!$H$3:$H$26,'Returns (Calc)'!$F$3:$F$26),2),"")</f>
        <v/>
      </c>
      <c r="G9" s="12" t="str">
        <f>IFERROR(ROUND(CORREL('Returns (Calc)'!$H$3:$H$26,'Returns (Calc)'!$G$3:$G$26),2),"")</f>
        <v/>
      </c>
      <c r="H9" s="12">
        <v>1</v>
      </c>
      <c r="I9" s="12" t="str">
        <f>IFERROR(ROUND(CORREL('Returns (Calc)'!$H$3:$H$26,'Returns (Calc)'!$I$3:$I$26),2),"")</f>
        <v/>
      </c>
      <c r="J9" s="12" t="str">
        <f>IFERROR(ROUND(CORREL('Returns (Calc)'!$H$3:$H$26,'Returns (Calc)'!$J$3:$J$26),2),"")</f>
        <v/>
      </c>
      <c r="K9" s="12" t="str">
        <f>IFERROR(ROUND(CORREL('Returns (Calc)'!$H$3:$H$26,'Returns (Calc)'!$K$3:$K$26),2),"")</f>
        <v/>
      </c>
      <c r="L9" s="12" t="str">
        <f>IFERROR(ROUND(CORREL('Returns (Calc)'!$H$3:$H$26,'Returns (Calc)'!$L$3:$L$26),2),"")</f>
        <v/>
      </c>
      <c r="M9" s="12" t="str">
        <f>IFERROR(ROUND(CORREL('Returns (Calc)'!$H$3:$H$26,'Returns (Calc)'!$M$3:$M$26),2),"")</f>
        <v/>
      </c>
      <c r="N9" s="13">
        <f t="shared" si="0"/>
        <v>0</v>
      </c>
    </row>
    <row r="10" spans="1:14" x14ac:dyDescent="0.3">
      <c r="A10" s="11" t="str">
        <f>'Returns (Calc)'!I2</f>
        <v>Ticker 8</v>
      </c>
      <c r="B10" s="12" t="str">
        <f>IFERROR(ROUND(CORREL('Returns (Calc)'!$I$3:$I$26,'Returns (Calc)'!$B$3:$B$26),2),"")</f>
        <v/>
      </c>
      <c r="C10" s="12" t="str">
        <f>IFERROR(ROUND(CORREL('Returns (Calc)'!$I$3:$I$26,'Returns (Calc)'!$C$3:$C$26),2),"")</f>
        <v/>
      </c>
      <c r="D10" s="12" t="str">
        <f>IFERROR(ROUND(CORREL('Returns (Calc)'!$I$3:$I$26,'Returns (Calc)'!$D$3:$D$26),2),"")</f>
        <v/>
      </c>
      <c r="E10" s="12" t="str">
        <f>IFERROR(ROUND(CORREL('Returns (Calc)'!$I$3:$I$26,'Returns (Calc)'!$E$3:$E$26),2),"")</f>
        <v/>
      </c>
      <c r="F10" s="12" t="str">
        <f>IFERROR(ROUND(CORREL('Returns (Calc)'!$I$3:$I$26,'Returns (Calc)'!$F$3:$F$26),2),"")</f>
        <v/>
      </c>
      <c r="G10" s="12" t="str">
        <f>IFERROR(ROUND(CORREL('Returns (Calc)'!$I$3:$I$26,'Returns (Calc)'!$G$3:$G$26),2),"")</f>
        <v/>
      </c>
      <c r="H10" s="12" t="str">
        <f>IFERROR(ROUND(CORREL('Returns (Calc)'!$I$3:$I$26,'Returns (Calc)'!$H$3:$H$26),2),"")</f>
        <v/>
      </c>
      <c r="I10" s="12">
        <v>1</v>
      </c>
      <c r="J10" s="12" t="str">
        <f>IFERROR(ROUND(CORREL('Returns (Calc)'!$I$3:$I$26,'Returns (Calc)'!$J$3:$J$26),2),"")</f>
        <v/>
      </c>
      <c r="K10" s="12" t="str">
        <f>IFERROR(ROUND(CORREL('Returns (Calc)'!$I$3:$I$26,'Returns (Calc)'!$K$3:$K$26),2),"")</f>
        <v/>
      </c>
      <c r="L10" s="12" t="str">
        <f>IFERROR(ROUND(CORREL('Returns (Calc)'!$I$3:$I$26,'Returns (Calc)'!$L$3:$L$26),2),"")</f>
        <v/>
      </c>
      <c r="M10" s="12" t="str">
        <f>IFERROR(ROUND(CORREL('Returns (Calc)'!$I$3:$I$26,'Returns (Calc)'!$M$3:$M$26),2),"")</f>
        <v/>
      </c>
      <c r="N10" s="13">
        <f t="shared" si="0"/>
        <v>0</v>
      </c>
    </row>
    <row r="11" spans="1:14" x14ac:dyDescent="0.3">
      <c r="A11" s="11" t="str">
        <f>'Returns (Calc)'!J2</f>
        <v>Ticker 9</v>
      </c>
      <c r="B11" s="12" t="str">
        <f>IFERROR(ROUND(CORREL('Returns (Calc)'!$J$3:$J$26,'Returns (Calc)'!$B$3:$B$26),2),"")</f>
        <v/>
      </c>
      <c r="C11" s="12" t="str">
        <f>IFERROR(ROUND(CORREL('Returns (Calc)'!$J$3:$J$26,'Returns (Calc)'!$C$3:$C$26),2),"")</f>
        <v/>
      </c>
      <c r="D11" s="12" t="str">
        <f>IFERROR(ROUND(CORREL('Returns (Calc)'!$J$3:$J$26,'Returns (Calc)'!$D$3:$D$26),2),"")</f>
        <v/>
      </c>
      <c r="E11" s="12" t="str">
        <f>IFERROR(ROUND(CORREL('Returns (Calc)'!$J$3:$J$26,'Returns (Calc)'!$E$3:$E$26),2),"")</f>
        <v/>
      </c>
      <c r="F11" s="12" t="str">
        <f>IFERROR(ROUND(CORREL('Returns (Calc)'!$J$3:$J$26,'Returns (Calc)'!$F$3:$F$26),2),"")</f>
        <v/>
      </c>
      <c r="G11" s="12" t="str">
        <f>IFERROR(ROUND(CORREL('Returns (Calc)'!$J$3:$J$26,'Returns (Calc)'!$G$3:$G$26),2),"")</f>
        <v/>
      </c>
      <c r="H11" s="12" t="str">
        <f>IFERROR(ROUND(CORREL('Returns (Calc)'!$J$3:$J$26,'Returns (Calc)'!$H$3:$H$26),2),"")</f>
        <v/>
      </c>
      <c r="I11" s="12" t="str">
        <f>IFERROR(ROUND(CORREL('Returns (Calc)'!$J$3:$J$26,'Returns (Calc)'!$I$3:$I$26),2),"")</f>
        <v/>
      </c>
      <c r="J11" s="12">
        <v>1</v>
      </c>
      <c r="K11" s="12" t="str">
        <f>IFERROR(ROUND(CORREL('Returns (Calc)'!$J$3:$J$26,'Returns (Calc)'!$K$3:$K$26),2),"")</f>
        <v/>
      </c>
      <c r="L11" s="12" t="str">
        <f>IFERROR(ROUND(CORREL('Returns (Calc)'!$J$3:$J$26,'Returns (Calc)'!$L$3:$L$26),2),"")</f>
        <v/>
      </c>
      <c r="M11" s="12" t="str">
        <f>IFERROR(ROUND(CORREL('Returns (Calc)'!$J$3:$J$26,'Returns (Calc)'!$M$3:$M$26),2),"")</f>
        <v/>
      </c>
      <c r="N11" s="13">
        <f t="shared" si="0"/>
        <v>0</v>
      </c>
    </row>
    <row r="12" spans="1:14" x14ac:dyDescent="0.3">
      <c r="A12" s="11" t="str">
        <f>'Returns (Calc)'!K2</f>
        <v>Ticker 10</v>
      </c>
      <c r="B12" s="12" t="str">
        <f>IFERROR(ROUND(CORREL('Returns (Calc)'!$K$3:$K$26,'Returns (Calc)'!$B$3:$B$26),2),"")</f>
        <v/>
      </c>
      <c r="C12" s="12" t="str">
        <f>IFERROR(ROUND(CORREL('Returns (Calc)'!$K$3:$K$26,'Returns (Calc)'!$C$3:$C$26),2),"")</f>
        <v/>
      </c>
      <c r="D12" s="12" t="str">
        <f>IFERROR(ROUND(CORREL('Returns (Calc)'!$K$3:$K$26,'Returns (Calc)'!$D$3:$D$26),2),"")</f>
        <v/>
      </c>
      <c r="E12" s="12" t="str">
        <f>IFERROR(ROUND(CORREL('Returns (Calc)'!$K$3:$K$26,'Returns (Calc)'!$E$3:$E$26),2),"")</f>
        <v/>
      </c>
      <c r="F12" s="12" t="str">
        <f>IFERROR(ROUND(CORREL('Returns (Calc)'!$K$3:$K$26,'Returns (Calc)'!$F$3:$F$26),2),"")</f>
        <v/>
      </c>
      <c r="G12" s="12" t="str">
        <f>IFERROR(ROUND(CORREL('Returns (Calc)'!$K$3:$K$26,'Returns (Calc)'!$G$3:$G$26),2),"")</f>
        <v/>
      </c>
      <c r="H12" s="12" t="str">
        <f>IFERROR(ROUND(CORREL('Returns (Calc)'!$K$3:$K$26,'Returns (Calc)'!$H$3:$H$26),2),"")</f>
        <v/>
      </c>
      <c r="I12" s="12" t="str">
        <f>IFERROR(ROUND(CORREL('Returns (Calc)'!$K$3:$K$26,'Returns (Calc)'!$I$3:$I$26),2),"")</f>
        <v/>
      </c>
      <c r="J12" s="12" t="str">
        <f>IFERROR(ROUND(CORREL('Returns (Calc)'!$K$3:$K$26,'Returns (Calc)'!$J$3:$J$26),2),"")</f>
        <v/>
      </c>
      <c r="K12" s="12">
        <v>1</v>
      </c>
      <c r="L12" s="12" t="str">
        <f>IFERROR(ROUND(CORREL('Returns (Calc)'!$K$3:$K$26,'Returns (Calc)'!$L$3:$L$26),2),"")</f>
        <v/>
      </c>
      <c r="M12" s="12" t="str">
        <f>IFERROR(ROUND(CORREL('Returns (Calc)'!$K$3:$K$26,'Returns (Calc)'!$M$3:$M$26),2),"")</f>
        <v/>
      </c>
      <c r="N12" s="13">
        <f t="shared" si="0"/>
        <v>0</v>
      </c>
    </row>
    <row r="13" spans="1:14" x14ac:dyDescent="0.3">
      <c r="A13" s="11" t="str">
        <f>'Returns (Calc)'!L2</f>
        <v>Ticker 11</v>
      </c>
      <c r="B13" s="12" t="str">
        <f>IFERROR(ROUND(CORREL('Returns (Calc)'!$L$3:$L$26,'Returns (Calc)'!$B$3:$B$26),2),"")</f>
        <v/>
      </c>
      <c r="C13" s="12" t="str">
        <f>IFERROR(ROUND(CORREL('Returns (Calc)'!$L$3:$L$26,'Returns (Calc)'!$C$3:$C$26),2),"")</f>
        <v/>
      </c>
      <c r="D13" s="12" t="str">
        <f>IFERROR(ROUND(CORREL('Returns (Calc)'!$L$3:$L$26,'Returns (Calc)'!$D$3:$D$26),2),"")</f>
        <v/>
      </c>
      <c r="E13" s="12" t="str">
        <f>IFERROR(ROUND(CORREL('Returns (Calc)'!$L$3:$L$26,'Returns (Calc)'!$E$3:$E$26),2),"")</f>
        <v/>
      </c>
      <c r="F13" s="12" t="str">
        <f>IFERROR(ROUND(CORREL('Returns (Calc)'!$L$3:$L$26,'Returns (Calc)'!$F$3:$F$26),2),"")</f>
        <v/>
      </c>
      <c r="G13" s="12" t="str">
        <f>IFERROR(ROUND(CORREL('Returns (Calc)'!$L$3:$L$26,'Returns (Calc)'!$G$3:$G$26),2),"")</f>
        <v/>
      </c>
      <c r="H13" s="12" t="str">
        <f>IFERROR(ROUND(CORREL('Returns (Calc)'!$L$3:$L$26,'Returns (Calc)'!$H$3:$H$26),2),"")</f>
        <v/>
      </c>
      <c r="I13" s="12" t="str">
        <f>IFERROR(ROUND(CORREL('Returns (Calc)'!$L$3:$L$26,'Returns (Calc)'!$I$3:$I$26),2),"")</f>
        <v/>
      </c>
      <c r="J13" s="12" t="str">
        <f>IFERROR(ROUND(CORREL('Returns (Calc)'!$L$3:$L$26,'Returns (Calc)'!$J$3:$J$26),2),"")</f>
        <v/>
      </c>
      <c r="K13" s="12" t="str">
        <f>IFERROR(ROUND(CORREL('Returns (Calc)'!$L$3:$L$26,'Returns (Calc)'!$K$3:$K$26),2),"")</f>
        <v/>
      </c>
      <c r="L13" s="12">
        <v>1</v>
      </c>
      <c r="M13" s="12" t="str">
        <f>IFERROR(ROUND(CORREL('Returns (Calc)'!$L$3:$L$26,'Returns (Calc)'!$M$3:$M$26),2),"")</f>
        <v/>
      </c>
      <c r="N13" s="13">
        <f t="shared" si="0"/>
        <v>0</v>
      </c>
    </row>
    <row r="14" spans="1:14" x14ac:dyDescent="0.3">
      <c r="A14" s="11" t="str">
        <f>'Returns (Calc)'!M2</f>
        <v>Ticker 12</v>
      </c>
      <c r="B14" s="12" t="str">
        <f>IFERROR(ROUND(CORREL('Returns (Calc)'!$M$3:$M$26,'Returns (Calc)'!$B$3:$B$26),2),"")</f>
        <v/>
      </c>
      <c r="C14" s="12" t="str">
        <f>IFERROR(ROUND(CORREL('Returns (Calc)'!$M$3:$M$26,'Returns (Calc)'!$C$3:$C$26),2),"")</f>
        <v/>
      </c>
      <c r="D14" s="12" t="str">
        <f>IFERROR(ROUND(CORREL('Returns (Calc)'!$M$3:$M$26,'Returns (Calc)'!$D$3:$D$26),2),"")</f>
        <v/>
      </c>
      <c r="E14" s="12" t="str">
        <f>IFERROR(ROUND(CORREL('Returns (Calc)'!$M$3:$M$26,'Returns (Calc)'!$E$3:$E$26),2),"")</f>
        <v/>
      </c>
      <c r="F14" s="12" t="str">
        <f>IFERROR(ROUND(CORREL('Returns (Calc)'!$M$3:$M$26,'Returns (Calc)'!$F$3:$F$26),2),"")</f>
        <v/>
      </c>
      <c r="G14" s="12" t="str">
        <f>IFERROR(ROUND(CORREL('Returns (Calc)'!$M$3:$M$26,'Returns (Calc)'!$G$3:$G$26),2),"")</f>
        <v/>
      </c>
      <c r="H14" s="12" t="str">
        <f>IFERROR(ROUND(CORREL('Returns (Calc)'!$M$3:$M$26,'Returns (Calc)'!$H$3:$H$26),2),"")</f>
        <v/>
      </c>
      <c r="I14" s="12" t="str">
        <f>IFERROR(ROUND(CORREL('Returns (Calc)'!$M$3:$M$26,'Returns (Calc)'!$I$3:$I$26),2),"")</f>
        <v/>
      </c>
      <c r="J14" s="12" t="str">
        <f>IFERROR(ROUND(CORREL('Returns (Calc)'!$M$3:$M$26,'Returns (Calc)'!$J$3:$J$26),2),"")</f>
        <v/>
      </c>
      <c r="K14" s="12" t="str">
        <f>IFERROR(ROUND(CORREL('Returns (Calc)'!$M$3:$M$26,'Returns (Calc)'!$K$3:$K$26),2),"")</f>
        <v/>
      </c>
      <c r="L14" s="12" t="str">
        <f>IFERROR(ROUND(CORREL('Returns (Calc)'!$M$3:$M$26,'Returns (Calc)'!$L$3:$L$26),2),"")</f>
        <v/>
      </c>
      <c r="M14" s="12">
        <v>1</v>
      </c>
      <c r="N14" s="13">
        <f t="shared" si="0"/>
        <v>0</v>
      </c>
    </row>
    <row r="16" spans="1:14" x14ac:dyDescent="0.3">
      <c r="A16" s="14" t="s">
        <v>29</v>
      </c>
      <c r="B16" s="15">
        <f>COUNTIF(N3:N14,"&gt;1")</f>
        <v>0</v>
      </c>
    </row>
    <row r="17" spans="1:2" x14ac:dyDescent="0.3">
      <c r="A17" s="14" t="s">
        <v>30</v>
      </c>
      <c r="B17" s="16" t="str">
        <f>IF(B16&gt;0,"REVIEW REQUIRED","OK")</f>
        <v>OK</v>
      </c>
    </row>
  </sheetData>
  <mergeCells count="1">
    <mergeCell ref="A1:M1"/>
  </mergeCells>
  <conditionalFormatting sqref="B17">
    <cfRule type="cellIs" dxfId="7" priority="4" operator="equal">
      <formula>"REVIEW REQUIRED"</formula>
    </cfRule>
    <cfRule type="cellIs" dxfId="6" priority="5" operator="equal">
      <formula>"OK"</formula>
    </cfRule>
  </conditionalFormatting>
  <conditionalFormatting sqref="B3:M14">
    <cfRule type="expression" dxfId="5" priority="2">
      <formula>AND(B3&lt;&gt;1,ABS(B3)&gt;0.7)</formula>
    </cfRule>
  </conditionalFormatting>
  <conditionalFormatting sqref="N3:N14">
    <cfRule type="cellIs" dxfId="4" priority="3" operator="greaterThan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3" width="15" customWidth="1"/>
    <col min="4" max="4" width="12" customWidth="1"/>
    <col min="5" max="6" width="13" customWidth="1"/>
    <col min="7" max="7" width="22" customWidth="1"/>
    <col min="8" max="8" width="30" customWidth="1"/>
  </cols>
  <sheetData>
    <row r="1" spans="1:8" x14ac:dyDescent="0.3">
      <c r="A1" s="1" t="s">
        <v>31</v>
      </c>
      <c r="B1" s="1"/>
      <c r="C1" s="1"/>
      <c r="D1" s="1"/>
      <c r="E1" s="1"/>
      <c r="F1" s="1"/>
      <c r="G1" s="1"/>
      <c r="H1" s="1"/>
    </row>
    <row r="2" spans="1:8" ht="27.6" x14ac:dyDescent="0.3">
      <c r="A2" s="6" t="s">
        <v>12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</row>
    <row r="3" spans="1:8" x14ac:dyDescent="0.3">
      <c r="A3" s="17"/>
      <c r="B3" s="18"/>
      <c r="C3" s="19" t="str">
        <f>IF(B3="","",B3)</f>
        <v/>
      </c>
      <c r="D3" s="20" t="str">
        <f t="shared" ref="D3:D42" si="0">IF(OR(B3="",C3=""),"",B3/C3-1)</f>
        <v/>
      </c>
      <c r="E3" s="16" t="str">
        <f t="shared" ref="E3:E42" si="1">IF(D3="","",IF(D3&gt;=-0.1,"Normal",IF(D3&gt;=-0.2,"Elevated",IF(D3&gt;=-0.3,"Severe","Critical"))))</f>
        <v/>
      </c>
      <c r="F3" s="21" t="str">
        <f t="shared" ref="F3:F42" si="2">IF(E3="","",IF(E3="Normal","5-15%",IF(E3="Elevated","15%",IF(E3="Severe","20%","25%"))))</f>
        <v/>
      </c>
      <c r="G3" s="21" t="str">
        <f t="shared" ref="G3:G42" si="3">IF(E3="","",IF(E3="Normal","Standard (score &gt;=65)",IF(E3="Elevated","Restricted (score &gt;=80 only)","Suspended")))</f>
        <v/>
      </c>
      <c r="H3" s="22"/>
    </row>
    <row r="4" spans="1:8" x14ac:dyDescent="0.3">
      <c r="A4" s="17"/>
      <c r="B4" s="18"/>
      <c r="C4" s="19" t="str">
        <f t="shared" ref="C4:C42" si="4">IF(B4="","",MAX(C3,B4))</f>
        <v/>
      </c>
      <c r="D4" s="20" t="str">
        <f t="shared" si="0"/>
        <v/>
      </c>
      <c r="E4" s="16" t="str">
        <f t="shared" si="1"/>
        <v/>
      </c>
      <c r="F4" s="21" t="str">
        <f t="shared" si="2"/>
        <v/>
      </c>
      <c r="G4" s="21" t="str">
        <f t="shared" si="3"/>
        <v/>
      </c>
      <c r="H4" s="22"/>
    </row>
    <row r="5" spans="1:8" x14ac:dyDescent="0.3">
      <c r="A5" s="17"/>
      <c r="B5" s="18"/>
      <c r="C5" s="19" t="str">
        <f t="shared" si="4"/>
        <v/>
      </c>
      <c r="D5" s="20" t="str">
        <f t="shared" si="0"/>
        <v/>
      </c>
      <c r="E5" s="16" t="str">
        <f t="shared" si="1"/>
        <v/>
      </c>
      <c r="F5" s="21" t="str">
        <f t="shared" si="2"/>
        <v/>
      </c>
      <c r="G5" s="21" t="str">
        <f t="shared" si="3"/>
        <v/>
      </c>
      <c r="H5" s="22"/>
    </row>
    <row r="6" spans="1:8" x14ac:dyDescent="0.3">
      <c r="A6" s="17"/>
      <c r="B6" s="18"/>
      <c r="C6" s="19" t="str">
        <f t="shared" si="4"/>
        <v/>
      </c>
      <c r="D6" s="20" t="str">
        <f t="shared" si="0"/>
        <v/>
      </c>
      <c r="E6" s="16" t="str">
        <f t="shared" si="1"/>
        <v/>
      </c>
      <c r="F6" s="21" t="str">
        <f t="shared" si="2"/>
        <v/>
      </c>
      <c r="G6" s="21" t="str">
        <f t="shared" si="3"/>
        <v/>
      </c>
      <c r="H6" s="22"/>
    </row>
    <row r="7" spans="1:8" x14ac:dyDescent="0.3">
      <c r="A7" s="17"/>
      <c r="B7" s="18"/>
      <c r="C7" s="19" t="str">
        <f t="shared" si="4"/>
        <v/>
      </c>
      <c r="D7" s="20" t="str">
        <f t="shared" si="0"/>
        <v/>
      </c>
      <c r="E7" s="16" t="str">
        <f t="shared" si="1"/>
        <v/>
      </c>
      <c r="F7" s="21" t="str">
        <f t="shared" si="2"/>
        <v/>
      </c>
      <c r="G7" s="21" t="str">
        <f t="shared" si="3"/>
        <v/>
      </c>
      <c r="H7" s="22"/>
    </row>
    <row r="8" spans="1:8" x14ac:dyDescent="0.3">
      <c r="A8" s="17"/>
      <c r="B8" s="18"/>
      <c r="C8" s="19" t="str">
        <f t="shared" si="4"/>
        <v/>
      </c>
      <c r="D8" s="20" t="str">
        <f t="shared" si="0"/>
        <v/>
      </c>
      <c r="E8" s="16" t="str">
        <f t="shared" si="1"/>
        <v/>
      </c>
      <c r="F8" s="21" t="str">
        <f t="shared" si="2"/>
        <v/>
      </c>
      <c r="G8" s="21" t="str">
        <f t="shared" si="3"/>
        <v/>
      </c>
      <c r="H8" s="22"/>
    </row>
    <row r="9" spans="1:8" x14ac:dyDescent="0.3">
      <c r="A9" s="17"/>
      <c r="B9" s="18"/>
      <c r="C9" s="19" t="str">
        <f t="shared" si="4"/>
        <v/>
      </c>
      <c r="D9" s="20" t="str">
        <f t="shared" si="0"/>
        <v/>
      </c>
      <c r="E9" s="16" t="str">
        <f t="shared" si="1"/>
        <v/>
      </c>
      <c r="F9" s="21" t="str">
        <f t="shared" si="2"/>
        <v/>
      </c>
      <c r="G9" s="21" t="str">
        <f t="shared" si="3"/>
        <v/>
      </c>
      <c r="H9" s="22"/>
    </row>
    <row r="10" spans="1:8" x14ac:dyDescent="0.3">
      <c r="A10" s="17"/>
      <c r="B10" s="18"/>
      <c r="C10" s="19" t="str">
        <f t="shared" si="4"/>
        <v/>
      </c>
      <c r="D10" s="20" t="str">
        <f t="shared" si="0"/>
        <v/>
      </c>
      <c r="E10" s="16" t="str">
        <f t="shared" si="1"/>
        <v/>
      </c>
      <c r="F10" s="21" t="str">
        <f t="shared" si="2"/>
        <v/>
      </c>
      <c r="G10" s="21" t="str">
        <f t="shared" si="3"/>
        <v/>
      </c>
      <c r="H10" s="22"/>
    </row>
    <row r="11" spans="1:8" x14ac:dyDescent="0.3">
      <c r="A11" s="17"/>
      <c r="B11" s="18"/>
      <c r="C11" s="19" t="str">
        <f t="shared" si="4"/>
        <v/>
      </c>
      <c r="D11" s="20" t="str">
        <f t="shared" si="0"/>
        <v/>
      </c>
      <c r="E11" s="16" t="str">
        <f t="shared" si="1"/>
        <v/>
      </c>
      <c r="F11" s="21" t="str">
        <f t="shared" si="2"/>
        <v/>
      </c>
      <c r="G11" s="21" t="str">
        <f t="shared" si="3"/>
        <v/>
      </c>
      <c r="H11" s="22"/>
    </row>
    <row r="12" spans="1:8" x14ac:dyDescent="0.3">
      <c r="A12" s="17"/>
      <c r="B12" s="18"/>
      <c r="C12" s="19" t="str">
        <f t="shared" si="4"/>
        <v/>
      </c>
      <c r="D12" s="20" t="str">
        <f t="shared" si="0"/>
        <v/>
      </c>
      <c r="E12" s="16" t="str">
        <f t="shared" si="1"/>
        <v/>
      </c>
      <c r="F12" s="21" t="str">
        <f t="shared" si="2"/>
        <v/>
      </c>
      <c r="G12" s="21" t="str">
        <f t="shared" si="3"/>
        <v/>
      </c>
      <c r="H12" s="22"/>
    </row>
    <row r="13" spans="1:8" x14ac:dyDescent="0.3">
      <c r="A13" s="17"/>
      <c r="B13" s="18"/>
      <c r="C13" s="19" t="str">
        <f t="shared" si="4"/>
        <v/>
      </c>
      <c r="D13" s="20" t="str">
        <f t="shared" si="0"/>
        <v/>
      </c>
      <c r="E13" s="16" t="str">
        <f t="shared" si="1"/>
        <v/>
      </c>
      <c r="F13" s="21" t="str">
        <f t="shared" si="2"/>
        <v/>
      </c>
      <c r="G13" s="21" t="str">
        <f t="shared" si="3"/>
        <v/>
      </c>
      <c r="H13" s="22"/>
    </row>
    <row r="14" spans="1:8" x14ac:dyDescent="0.3">
      <c r="A14" s="17"/>
      <c r="B14" s="18"/>
      <c r="C14" s="19" t="str">
        <f t="shared" si="4"/>
        <v/>
      </c>
      <c r="D14" s="20" t="str">
        <f t="shared" si="0"/>
        <v/>
      </c>
      <c r="E14" s="16" t="str">
        <f t="shared" si="1"/>
        <v/>
      </c>
      <c r="F14" s="21" t="str">
        <f t="shared" si="2"/>
        <v/>
      </c>
      <c r="G14" s="21" t="str">
        <f t="shared" si="3"/>
        <v/>
      </c>
      <c r="H14" s="22"/>
    </row>
    <row r="15" spans="1:8" x14ac:dyDescent="0.3">
      <c r="A15" s="17"/>
      <c r="B15" s="18"/>
      <c r="C15" s="19" t="str">
        <f t="shared" si="4"/>
        <v/>
      </c>
      <c r="D15" s="20" t="str">
        <f t="shared" si="0"/>
        <v/>
      </c>
      <c r="E15" s="16" t="str">
        <f t="shared" si="1"/>
        <v/>
      </c>
      <c r="F15" s="21" t="str">
        <f t="shared" si="2"/>
        <v/>
      </c>
      <c r="G15" s="21" t="str">
        <f t="shared" si="3"/>
        <v/>
      </c>
      <c r="H15" s="22"/>
    </row>
    <row r="16" spans="1:8" x14ac:dyDescent="0.3">
      <c r="A16" s="17"/>
      <c r="B16" s="18"/>
      <c r="C16" s="19" t="str">
        <f t="shared" si="4"/>
        <v/>
      </c>
      <c r="D16" s="20" t="str">
        <f t="shared" si="0"/>
        <v/>
      </c>
      <c r="E16" s="16" t="str">
        <f t="shared" si="1"/>
        <v/>
      </c>
      <c r="F16" s="21" t="str">
        <f t="shared" si="2"/>
        <v/>
      </c>
      <c r="G16" s="21" t="str">
        <f t="shared" si="3"/>
        <v/>
      </c>
      <c r="H16" s="22"/>
    </row>
    <row r="17" spans="1:8" x14ac:dyDescent="0.3">
      <c r="A17" s="17"/>
      <c r="B17" s="18"/>
      <c r="C17" s="19" t="str">
        <f t="shared" si="4"/>
        <v/>
      </c>
      <c r="D17" s="20" t="str">
        <f t="shared" si="0"/>
        <v/>
      </c>
      <c r="E17" s="16" t="str">
        <f t="shared" si="1"/>
        <v/>
      </c>
      <c r="F17" s="21" t="str">
        <f t="shared" si="2"/>
        <v/>
      </c>
      <c r="G17" s="21" t="str">
        <f t="shared" si="3"/>
        <v/>
      </c>
      <c r="H17" s="22"/>
    </row>
    <row r="18" spans="1:8" x14ac:dyDescent="0.3">
      <c r="A18" s="17"/>
      <c r="B18" s="18"/>
      <c r="C18" s="19" t="str">
        <f t="shared" si="4"/>
        <v/>
      </c>
      <c r="D18" s="20" t="str">
        <f t="shared" si="0"/>
        <v/>
      </c>
      <c r="E18" s="16" t="str">
        <f t="shared" si="1"/>
        <v/>
      </c>
      <c r="F18" s="21" t="str">
        <f t="shared" si="2"/>
        <v/>
      </c>
      <c r="G18" s="21" t="str">
        <f t="shared" si="3"/>
        <v/>
      </c>
      <c r="H18" s="22"/>
    </row>
    <row r="19" spans="1:8" x14ac:dyDescent="0.3">
      <c r="A19" s="17"/>
      <c r="B19" s="18"/>
      <c r="C19" s="19" t="str">
        <f t="shared" si="4"/>
        <v/>
      </c>
      <c r="D19" s="20" t="str">
        <f t="shared" si="0"/>
        <v/>
      </c>
      <c r="E19" s="16" t="str">
        <f t="shared" si="1"/>
        <v/>
      </c>
      <c r="F19" s="21" t="str">
        <f t="shared" si="2"/>
        <v/>
      </c>
      <c r="G19" s="21" t="str">
        <f t="shared" si="3"/>
        <v/>
      </c>
      <c r="H19" s="22"/>
    </row>
    <row r="20" spans="1:8" x14ac:dyDescent="0.3">
      <c r="A20" s="17"/>
      <c r="B20" s="18"/>
      <c r="C20" s="19" t="str">
        <f t="shared" si="4"/>
        <v/>
      </c>
      <c r="D20" s="20" t="str">
        <f t="shared" si="0"/>
        <v/>
      </c>
      <c r="E20" s="16" t="str">
        <f t="shared" si="1"/>
        <v/>
      </c>
      <c r="F20" s="21" t="str">
        <f t="shared" si="2"/>
        <v/>
      </c>
      <c r="G20" s="21" t="str">
        <f t="shared" si="3"/>
        <v/>
      </c>
      <c r="H20" s="22"/>
    </row>
    <row r="21" spans="1:8" x14ac:dyDescent="0.3">
      <c r="A21" s="17"/>
      <c r="B21" s="18"/>
      <c r="C21" s="19" t="str">
        <f t="shared" si="4"/>
        <v/>
      </c>
      <c r="D21" s="20" t="str">
        <f t="shared" si="0"/>
        <v/>
      </c>
      <c r="E21" s="16" t="str">
        <f t="shared" si="1"/>
        <v/>
      </c>
      <c r="F21" s="21" t="str">
        <f t="shared" si="2"/>
        <v/>
      </c>
      <c r="G21" s="21" t="str">
        <f t="shared" si="3"/>
        <v/>
      </c>
      <c r="H21" s="22"/>
    </row>
    <row r="22" spans="1:8" x14ac:dyDescent="0.3">
      <c r="A22" s="17"/>
      <c r="B22" s="18"/>
      <c r="C22" s="19" t="str">
        <f t="shared" si="4"/>
        <v/>
      </c>
      <c r="D22" s="20" t="str">
        <f t="shared" si="0"/>
        <v/>
      </c>
      <c r="E22" s="16" t="str">
        <f t="shared" si="1"/>
        <v/>
      </c>
      <c r="F22" s="21" t="str">
        <f t="shared" si="2"/>
        <v/>
      </c>
      <c r="G22" s="21" t="str">
        <f t="shared" si="3"/>
        <v/>
      </c>
      <c r="H22" s="22"/>
    </row>
    <row r="23" spans="1:8" x14ac:dyDescent="0.3">
      <c r="A23" s="17"/>
      <c r="B23" s="18"/>
      <c r="C23" s="19" t="str">
        <f t="shared" si="4"/>
        <v/>
      </c>
      <c r="D23" s="20" t="str">
        <f t="shared" si="0"/>
        <v/>
      </c>
      <c r="E23" s="16" t="str">
        <f t="shared" si="1"/>
        <v/>
      </c>
      <c r="F23" s="21" t="str">
        <f t="shared" si="2"/>
        <v/>
      </c>
      <c r="G23" s="21" t="str">
        <f t="shared" si="3"/>
        <v/>
      </c>
      <c r="H23" s="22"/>
    </row>
    <row r="24" spans="1:8" x14ac:dyDescent="0.3">
      <c r="A24" s="17"/>
      <c r="B24" s="18"/>
      <c r="C24" s="19" t="str">
        <f t="shared" si="4"/>
        <v/>
      </c>
      <c r="D24" s="20" t="str">
        <f t="shared" si="0"/>
        <v/>
      </c>
      <c r="E24" s="16" t="str">
        <f t="shared" si="1"/>
        <v/>
      </c>
      <c r="F24" s="21" t="str">
        <f t="shared" si="2"/>
        <v/>
      </c>
      <c r="G24" s="21" t="str">
        <f t="shared" si="3"/>
        <v/>
      </c>
      <c r="H24" s="22"/>
    </row>
    <row r="25" spans="1:8" x14ac:dyDescent="0.3">
      <c r="A25" s="17"/>
      <c r="B25" s="18"/>
      <c r="C25" s="19" t="str">
        <f t="shared" si="4"/>
        <v/>
      </c>
      <c r="D25" s="20" t="str">
        <f t="shared" si="0"/>
        <v/>
      </c>
      <c r="E25" s="16" t="str">
        <f t="shared" si="1"/>
        <v/>
      </c>
      <c r="F25" s="21" t="str">
        <f t="shared" si="2"/>
        <v/>
      </c>
      <c r="G25" s="21" t="str">
        <f t="shared" si="3"/>
        <v/>
      </c>
      <c r="H25" s="22"/>
    </row>
    <row r="26" spans="1:8" x14ac:dyDescent="0.3">
      <c r="A26" s="17"/>
      <c r="B26" s="18"/>
      <c r="C26" s="19" t="str">
        <f t="shared" si="4"/>
        <v/>
      </c>
      <c r="D26" s="20" t="str">
        <f t="shared" si="0"/>
        <v/>
      </c>
      <c r="E26" s="16" t="str">
        <f t="shared" si="1"/>
        <v/>
      </c>
      <c r="F26" s="21" t="str">
        <f t="shared" si="2"/>
        <v/>
      </c>
      <c r="G26" s="21" t="str">
        <f t="shared" si="3"/>
        <v/>
      </c>
      <c r="H26" s="22"/>
    </row>
    <row r="27" spans="1:8" x14ac:dyDescent="0.3">
      <c r="A27" s="17"/>
      <c r="B27" s="18"/>
      <c r="C27" s="19" t="str">
        <f t="shared" si="4"/>
        <v/>
      </c>
      <c r="D27" s="20" t="str">
        <f t="shared" si="0"/>
        <v/>
      </c>
      <c r="E27" s="16" t="str">
        <f t="shared" si="1"/>
        <v/>
      </c>
      <c r="F27" s="21" t="str">
        <f t="shared" si="2"/>
        <v/>
      </c>
      <c r="G27" s="21" t="str">
        <f t="shared" si="3"/>
        <v/>
      </c>
      <c r="H27" s="22"/>
    </row>
    <row r="28" spans="1:8" x14ac:dyDescent="0.3">
      <c r="A28" s="17"/>
      <c r="B28" s="18"/>
      <c r="C28" s="19" t="str">
        <f t="shared" si="4"/>
        <v/>
      </c>
      <c r="D28" s="20" t="str">
        <f t="shared" si="0"/>
        <v/>
      </c>
      <c r="E28" s="16" t="str">
        <f t="shared" si="1"/>
        <v/>
      </c>
      <c r="F28" s="21" t="str">
        <f t="shared" si="2"/>
        <v/>
      </c>
      <c r="G28" s="21" t="str">
        <f t="shared" si="3"/>
        <v/>
      </c>
      <c r="H28" s="22"/>
    </row>
    <row r="29" spans="1:8" x14ac:dyDescent="0.3">
      <c r="A29" s="17"/>
      <c r="B29" s="18"/>
      <c r="C29" s="19" t="str">
        <f t="shared" si="4"/>
        <v/>
      </c>
      <c r="D29" s="20" t="str">
        <f t="shared" si="0"/>
        <v/>
      </c>
      <c r="E29" s="16" t="str">
        <f t="shared" si="1"/>
        <v/>
      </c>
      <c r="F29" s="21" t="str">
        <f t="shared" si="2"/>
        <v/>
      </c>
      <c r="G29" s="21" t="str">
        <f t="shared" si="3"/>
        <v/>
      </c>
      <c r="H29" s="22"/>
    </row>
    <row r="30" spans="1:8" x14ac:dyDescent="0.3">
      <c r="A30" s="17"/>
      <c r="B30" s="18"/>
      <c r="C30" s="19" t="str">
        <f t="shared" si="4"/>
        <v/>
      </c>
      <c r="D30" s="20" t="str">
        <f t="shared" si="0"/>
        <v/>
      </c>
      <c r="E30" s="16" t="str">
        <f t="shared" si="1"/>
        <v/>
      </c>
      <c r="F30" s="21" t="str">
        <f t="shared" si="2"/>
        <v/>
      </c>
      <c r="G30" s="21" t="str">
        <f t="shared" si="3"/>
        <v/>
      </c>
      <c r="H30" s="22"/>
    </row>
    <row r="31" spans="1:8" x14ac:dyDescent="0.3">
      <c r="A31" s="17"/>
      <c r="B31" s="18"/>
      <c r="C31" s="19" t="str">
        <f t="shared" si="4"/>
        <v/>
      </c>
      <c r="D31" s="20" t="str">
        <f t="shared" si="0"/>
        <v/>
      </c>
      <c r="E31" s="16" t="str">
        <f t="shared" si="1"/>
        <v/>
      </c>
      <c r="F31" s="21" t="str">
        <f t="shared" si="2"/>
        <v/>
      </c>
      <c r="G31" s="21" t="str">
        <f t="shared" si="3"/>
        <v/>
      </c>
      <c r="H31" s="22"/>
    </row>
    <row r="32" spans="1:8" x14ac:dyDescent="0.3">
      <c r="A32" s="17"/>
      <c r="B32" s="18"/>
      <c r="C32" s="19" t="str">
        <f t="shared" si="4"/>
        <v/>
      </c>
      <c r="D32" s="20" t="str">
        <f t="shared" si="0"/>
        <v/>
      </c>
      <c r="E32" s="16" t="str">
        <f t="shared" si="1"/>
        <v/>
      </c>
      <c r="F32" s="21" t="str">
        <f t="shared" si="2"/>
        <v/>
      </c>
      <c r="G32" s="21" t="str">
        <f t="shared" si="3"/>
        <v/>
      </c>
      <c r="H32" s="22"/>
    </row>
    <row r="33" spans="1:8" x14ac:dyDescent="0.3">
      <c r="A33" s="17"/>
      <c r="B33" s="18"/>
      <c r="C33" s="19" t="str">
        <f t="shared" si="4"/>
        <v/>
      </c>
      <c r="D33" s="20" t="str">
        <f t="shared" si="0"/>
        <v/>
      </c>
      <c r="E33" s="16" t="str">
        <f t="shared" si="1"/>
        <v/>
      </c>
      <c r="F33" s="21" t="str">
        <f t="shared" si="2"/>
        <v/>
      </c>
      <c r="G33" s="21" t="str">
        <f t="shared" si="3"/>
        <v/>
      </c>
      <c r="H33" s="22"/>
    </row>
    <row r="34" spans="1:8" x14ac:dyDescent="0.3">
      <c r="A34" s="17"/>
      <c r="B34" s="18"/>
      <c r="C34" s="19" t="str">
        <f t="shared" si="4"/>
        <v/>
      </c>
      <c r="D34" s="20" t="str">
        <f t="shared" si="0"/>
        <v/>
      </c>
      <c r="E34" s="16" t="str">
        <f t="shared" si="1"/>
        <v/>
      </c>
      <c r="F34" s="21" t="str">
        <f t="shared" si="2"/>
        <v/>
      </c>
      <c r="G34" s="21" t="str">
        <f t="shared" si="3"/>
        <v/>
      </c>
      <c r="H34" s="22"/>
    </row>
    <row r="35" spans="1:8" x14ac:dyDescent="0.3">
      <c r="A35" s="17"/>
      <c r="B35" s="18"/>
      <c r="C35" s="19" t="str">
        <f t="shared" si="4"/>
        <v/>
      </c>
      <c r="D35" s="20" t="str">
        <f t="shared" si="0"/>
        <v/>
      </c>
      <c r="E35" s="16" t="str">
        <f t="shared" si="1"/>
        <v/>
      </c>
      <c r="F35" s="21" t="str">
        <f t="shared" si="2"/>
        <v/>
      </c>
      <c r="G35" s="21" t="str">
        <f t="shared" si="3"/>
        <v/>
      </c>
      <c r="H35" s="22"/>
    </row>
    <row r="36" spans="1:8" x14ac:dyDescent="0.3">
      <c r="A36" s="17"/>
      <c r="B36" s="18"/>
      <c r="C36" s="19" t="str">
        <f t="shared" si="4"/>
        <v/>
      </c>
      <c r="D36" s="20" t="str">
        <f t="shared" si="0"/>
        <v/>
      </c>
      <c r="E36" s="16" t="str">
        <f t="shared" si="1"/>
        <v/>
      </c>
      <c r="F36" s="21" t="str">
        <f t="shared" si="2"/>
        <v/>
      </c>
      <c r="G36" s="21" t="str">
        <f t="shared" si="3"/>
        <v/>
      </c>
      <c r="H36" s="22"/>
    </row>
    <row r="37" spans="1:8" x14ac:dyDescent="0.3">
      <c r="A37" s="17"/>
      <c r="B37" s="18"/>
      <c r="C37" s="19" t="str">
        <f t="shared" si="4"/>
        <v/>
      </c>
      <c r="D37" s="20" t="str">
        <f t="shared" si="0"/>
        <v/>
      </c>
      <c r="E37" s="16" t="str">
        <f t="shared" si="1"/>
        <v/>
      </c>
      <c r="F37" s="21" t="str">
        <f t="shared" si="2"/>
        <v/>
      </c>
      <c r="G37" s="21" t="str">
        <f t="shared" si="3"/>
        <v/>
      </c>
      <c r="H37" s="22"/>
    </row>
    <row r="38" spans="1:8" x14ac:dyDescent="0.3">
      <c r="A38" s="17"/>
      <c r="B38" s="18"/>
      <c r="C38" s="19" t="str">
        <f t="shared" si="4"/>
        <v/>
      </c>
      <c r="D38" s="20" t="str">
        <f t="shared" si="0"/>
        <v/>
      </c>
      <c r="E38" s="16" t="str">
        <f t="shared" si="1"/>
        <v/>
      </c>
      <c r="F38" s="21" t="str">
        <f t="shared" si="2"/>
        <v/>
      </c>
      <c r="G38" s="21" t="str">
        <f t="shared" si="3"/>
        <v/>
      </c>
      <c r="H38" s="22"/>
    </row>
    <row r="39" spans="1:8" x14ac:dyDescent="0.3">
      <c r="A39" s="17"/>
      <c r="B39" s="18"/>
      <c r="C39" s="19" t="str">
        <f t="shared" si="4"/>
        <v/>
      </c>
      <c r="D39" s="20" t="str">
        <f t="shared" si="0"/>
        <v/>
      </c>
      <c r="E39" s="16" t="str">
        <f t="shared" si="1"/>
        <v/>
      </c>
      <c r="F39" s="21" t="str">
        <f t="shared" si="2"/>
        <v/>
      </c>
      <c r="G39" s="21" t="str">
        <f t="shared" si="3"/>
        <v/>
      </c>
      <c r="H39" s="22"/>
    </row>
    <row r="40" spans="1:8" x14ac:dyDescent="0.3">
      <c r="A40" s="17"/>
      <c r="B40" s="18"/>
      <c r="C40" s="19" t="str">
        <f t="shared" si="4"/>
        <v/>
      </c>
      <c r="D40" s="20" t="str">
        <f t="shared" si="0"/>
        <v/>
      </c>
      <c r="E40" s="16" t="str">
        <f t="shared" si="1"/>
        <v/>
      </c>
      <c r="F40" s="21" t="str">
        <f t="shared" si="2"/>
        <v/>
      </c>
      <c r="G40" s="21" t="str">
        <f t="shared" si="3"/>
        <v/>
      </c>
      <c r="H40" s="22"/>
    </row>
    <row r="41" spans="1:8" x14ac:dyDescent="0.3">
      <c r="A41" s="17"/>
      <c r="B41" s="18"/>
      <c r="C41" s="19" t="str">
        <f t="shared" si="4"/>
        <v/>
      </c>
      <c r="D41" s="20" t="str">
        <f t="shared" si="0"/>
        <v/>
      </c>
      <c r="E41" s="16" t="str">
        <f t="shared" si="1"/>
        <v/>
      </c>
      <c r="F41" s="21" t="str">
        <f t="shared" si="2"/>
        <v/>
      </c>
      <c r="G41" s="21" t="str">
        <f t="shared" si="3"/>
        <v/>
      </c>
      <c r="H41" s="22"/>
    </row>
    <row r="42" spans="1:8" x14ac:dyDescent="0.3">
      <c r="A42" s="17"/>
      <c r="B42" s="18"/>
      <c r="C42" s="19" t="str">
        <f t="shared" si="4"/>
        <v/>
      </c>
      <c r="D42" s="20" t="str">
        <f t="shared" si="0"/>
        <v/>
      </c>
      <c r="E42" s="16" t="str">
        <f t="shared" si="1"/>
        <v/>
      </c>
      <c r="F42" s="21" t="str">
        <f t="shared" si="2"/>
        <v/>
      </c>
      <c r="G42" s="21" t="str">
        <f t="shared" si="3"/>
        <v/>
      </c>
      <c r="H42" s="22"/>
    </row>
  </sheetData>
  <mergeCells count="1">
    <mergeCell ref="A1:H1"/>
  </mergeCells>
  <conditionalFormatting sqref="E3:E42">
    <cfRule type="cellIs" dxfId="3" priority="2" operator="equal">
      <formula>"Normal"</formula>
    </cfRule>
    <cfRule type="cellIs" dxfId="2" priority="3" operator="equal">
      <formula>"Elevated"</formula>
    </cfRule>
    <cfRule type="cellIs" dxfId="1" priority="4" operator="equal">
      <formula>"Severe"</formula>
    </cfRule>
    <cfRule type="cellIs" dxfId="0" priority="5" operator="equal">
      <formula>"Critical"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Price History</vt:lpstr>
      <vt:lpstr>Returns (Calc)</vt:lpstr>
      <vt:lpstr>Correlation Matrix</vt:lpstr>
      <vt:lpstr>Portfolio Drawdown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Alan Landry</cp:lastModifiedBy>
  <cp:revision>0</cp:revision>
  <dcterms:created xsi:type="dcterms:W3CDTF">2026-07-06T20:19:55Z</dcterms:created>
  <dcterms:modified xsi:type="dcterms:W3CDTF">2026-07-06T20:21:34Z</dcterms:modified>
  <dc:language>en-US</dc:language>
</cp:coreProperties>
</file>