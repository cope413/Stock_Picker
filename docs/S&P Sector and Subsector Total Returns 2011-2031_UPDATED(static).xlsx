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anl\Documents\GitHub\Stock_Picker\docs\"/>
    </mc:Choice>
  </mc:AlternateContent>
  <xr:revisionPtr revIDLastSave="0" documentId="13_ncr:1_{C0708EA0-DF66-4BED-8E33-9CF1C24FD6C6}" xr6:coauthVersionLast="47" xr6:coauthVersionMax="47" xr10:uidLastSave="{00000000-0000-0000-0000-000000000000}"/>
  <bookViews>
    <workbookView xWindow="41430" yWindow="1340" windowWidth="33740" windowHeight="17810" xr2:uid="{C591601C-D900-4029-A38A-746893C6C708}"/>
  </bookViews>
  <sheets>
    <sheet name="S&amp;P YOY Sector Return (static)" sheetId="1" r:id="rId1"/>
  </sheets>
  <definedNames>
    <definedName name="_xlnm.Print_Area" localSheetId="0">'S&amp;P YOY Sector Return (static)'!$A$1:$Y$73</definedName>
    <definedName name="_xlnm.Print_Titles" localSheetId="0">'S&amp;P YOY Sector Return (static)'!$A:$B,'S&amp;P YOY Sector Return (static)'!$2:$2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<sst xmlns="http://schemas.openxmlformats.org/spreadsheetml/2006/main" count="465" uniqueCount="177">
  <si>
    <t>S&amp;P Annual Total Returns, 2011–2031*</t>
  </si>
  <si>
    <t>S&amp;P 500 sectors</t>
  </si>
  <si>
    <t>5-year cumulative
2021–2025</t>
  </si>
  <si>
    <t>10-year annualized
2016–2025</t>
  </si>
  <si>
    <t>15-year annualized
2011–2025</t>
  </si>
  <si>
    <t>2026E
full-year estimate</t>
  </si>
  <si>
    <t>2027–2031F
annual estimate</t>
  </si>
  <si>
    <t>Notes:</t>
  </si>
  <si>
    <t>Information Technology</t>
  </si>
  <si>
    <t>1) Forecasts are editable model estimates. Published market expectations provide the anchor; the sector/subsector rates are calculated here.</t>
  </si>
  <si>
    <t>Consumer Discretionary</t>
  </si>
  <si>
    <t>Health Care</t>
  </si>
  <si>
    <t>Industrials</t>
  </si>
  <si>
    <t>2) ETF proxies differ from S&amp;P 500 index portfolios. Some categories repeat combined proxies, and some history is unavailable. Read the basis and coverage columns to the right of 2031.</t>
  </si>
  <si>
    <t>Financials</t>
  </si>
  <si>
    <t>Communication Services</t>
  </si>
  <si>
    <t>Utilities</t>
  </si>
  <si>
    <t>3) Controls and sources: Sub-Sectors. Blue cells contain inputs; the yellow persistence assumption can be edited. Expected annual rates are flat in 2027–2031; they do not predict annual market swings.</t>
  </si>
  <si>
    <t>Consumer Staples</t>
  </si>
  <si>
    <t>Real Estate</t>
  </si>
  <si>
    <t>Materials</t>
  </si>
  <si>
    <t>Energy</t>
  </si>
  <si>
    <r>
      <t>S&amp;P 500 Index</t>
    </r>
    <r>
      <rPr>
        <b/>
        <sz val="9"/>
        <color theme="1"/>
        <rFont val="Arial Narrow"/>
        <family val="2"/>
      </rPr>
      <t xml:space="preserve">
 (Benchmark)</t>
    </r>
  </si>
  <si>
    <t>Basis</t>
  </si>
  <si>
    <t>Source series</t>
  </si>
  <si>
    <t>YTD cutoff</t>
  </si>
  <si>
    <t>Forecast basis</t>
  </si>
  <si>
    <t>Coverage / missing-data explanation</t>
  </si>
  <si>
    <t>S&amp;P sector index</t>
  </si>
  <si>
    <t>S&amp;P 500 Information Technology</t>
  </si>
  <si>
    <t>Historical calibration 2011–2025; 25% persistence</t>
  </si>
  <si>
    <t>S&amp;P sector index; constituents and classifications change over time.</t>
  </si>
  <si>
    <t>Software</t>
  </si>
  <si>
    <t>ETF proxy</t>
  </si>
  <si>
    <t>IGV — iShares Expanded Tech-Software</t>
  </si>
  <si>
    <t>Software proxy also includes selected interactive media and services. Fund universe and weights differ from S&amp;P 500; fees are reflected in fund returns.</t>
  </si>
  <si>
    <t>Hardware</t>
  </si>
  <si>
    <t>n.a.</t>
  </si>
  <si>
    <t>Unavailable history</t>
  </si>
  <si>
    <t>No verified continuous series</t>
  </si>
  <si>
    <t>Parent-sector model assumption</t>
  </si>
  <si>
    <t>No complete hardware index history verified; XTH was liquidated in 2020. 2027–2031 uses the parent sector estimate, a model assumption.</t>
  </si>
  <si>
    <t>Semiconductors</t>
  </si>
  <si>
    <t>XSD — SPDR S&amp;P Semiconductor</t>
  </si>
  <si>
    <t>All-cap, modified equal-weight semiconductor exposure. Fund universe and weights differ from S&amp;P 500; fees are reflected in fund returns.</t>
  </si>
  <si>
    <t>IT Services</t>
  </si>
  <si>
    <t>S&amp;P industry index</t>
  </si>
  <si>
    <t>S&amp;P 500 IT Services</t>
  </si>
  <si>
    <t>2011–2019 derived from rounded published index levels; approximate. Payments firms moved to Financials in 2023; past composition differs.</t>
  </si>
  <si>
    <t>S&amp;P 500 Consumer Discretionary</t>
  </si>
  <si>
    <t>Non-essential goods and services</t>
  </si>
  <si>
    <t>Sector synonym</t>
  </si>
  <si>
    <t>Non-essential goods and services is a broad sector description, not a separate GICS subsector. The parent sector series is repeated.</t>
  </si>
  <si>
    <t>Retail</t>
  </si>
  <si>
    <t>XRT — SPDR S&amp;P Retail</t>
  </si>
  <si>
    <t>Retail fund includes discretionary and staples retailers. Fund universe and weights differ from S&amp;P 500; fees are reflected in fund returns.</t>
  </si>
  <si>
    <t>Automotive</t>
  </si>
  <si>
    <t>CARZ — First Trust Future Vehicles &amp; Technology</t>
  </si>
  <si>
    <t>Historical calibration 2012–2025; 25% persistence</t>
  </si>
  <si>
    <t>2011 excluded as an inception-year partial period. Global exposure; mandate broadened on 01/26/2022. Fund universe and weights differ from S&amp;P 500; fees are reflected in fund returns.</t>
  </si>
  <si>
    <t>Apparel</t>
  </si>
  <si>
    <t>No verified calendar-year apparel total-return index or sufficiently specific continuous ETF series. 2027–2031 uses the parent sector estimate, a model assumption.</t>
  </si>
  <si>
    <t>S&amp;P 500 Health Care</t>
  </si>
  <si>
    <t>Biotechnology</t>
  </si>
  <si>
    <t>XBI — SPDR S&amp;P Biotech</t>
  </si>
  <si>
    <t>All-cap biotechnology; modified equal weighting. Fund universe and weights differ from S&amp;P 500; fees are reflected in fund returns.</t>
  </si>
  <si>
    <t>Pharmaceuticals</t>
  </si>
  <si>
    <t>XPH — SPDR S&amp;P Pharmaceuticals</t>
  </si>
  <si>
    <t>All-cap pharmaceutical exposure. Fund universe and weights differ from S&amp;P 500; fees are reflected in fund returns.</t>
  </si>
  <si>
    <t>Healthcare equipment</t>
  </si>
  <si>
    <t>IHI — iShares U.S. Medical Devices</t>
  </si>
  <si>
    <t>Medical-device companies; narrower than all healthcare equipment. Fund universe and weights differ from S&amp;P 500; fees are reflected in fund returns.</t>
  </si>
  <si>
    <t>Healthcare services</t>
  </si>
  <si>
    <t>IHF — iShares U.S. Healthcare Providers</t>
  </si>
  <si>
    <t>Healthcare providers and services. Fund universe and weights differ from S&amp;P 500; fees are reflected in fund returns.</t>
  </si>
  <si>
    <t>S&amp;P 500 Industrials</t>
  </si>
  <si>
    <t>Aerospace</t>
  </si>
  <si>
    <t>XAR — SPDR S&amp;P Aerospace &amp; Defense</t>
  </si>
  <si>
    <t>Combined aerospace and defense proxy; does not isolate aerospace. 2011 excluded as a partial inception year. Fund universe and weights differ from S&amp;P 500; fees are reflected in fund returns.</t>
  </si>
  <si>
    <t>Defense</t>
  </si>
  <si>
    <t>Same combined aerospace and defense proxy as Aerospace; does not isolate defense. 2011 excluded. Fund universe and weights differ from S&amp;P 500; fees are reflected in fund returns.</t>
  </si>
  <si>
    <t>Manufacturing</t>
  </si>
  <si>
    <t>Manufacturing spans several GICS industries; no single defined S&amp;P subsector series. 2027–2031 uses the parent sector estimate, a model assumption.</t>
  </si>
  <si>
    <t>Transportation</t>
  </si>
  <si>
    <t>IYT — iShares U.S. Transportation</t>
  </si>
  <si>
    <t>Broad U.S. transportation companies. Fund universe and weights differ from S&amp;P 500; fees are reflected in fund returns.</t>
  </si>
  <si>
    <t>S&amp;P 500 Financials</t>
  </si>
  <si>
    <t>Banks</t>
  </si>
  <si>
    <t>KBE — SPDR S&amp;P Bank</t>
  </si>
  <si>
    <t>All-cap bank exposure, rather than S&amp;P 500 banks alone. Fund universe and weights differ from S&amp;P 500; fees are reflected in fund returns.</t>
  </si>
  <si>
    <t>Insurance firms</t>
  </si>
  <si>
    <t>KIE — SPDR S&amp;P Insurance</t>
  </si>
  <si>
    <t>Broad insurance exposure. Fund universe and weights differ from S&amp;P 500; fees are reflected in fund returns.</t>
  </si>
  <si>
    <t>Capital Markets</t>
  </si>
  <si>
    <t>KCE — SPDR S&amp;P Capital Markets</t>
  </si>
  <si>
    <t>All-cap capital-markets exposure. Fund universe and weights differ from S&amp;P 500; fees are reflected in fund returns.</t>
  </si>
  <si>
    <t>Financial Services</t>
  </si>
  <si>
    <t>IYG — iShares U.S. Financial Services</t>
  </si>
  <si>
    <t>Broad financial services, including banks and capital-markets firms; overlaps other categories. Fund universe and weights differ from S&amp;P 500; fees are reflected in fund returns.</t>
  </si>
  <si>
    <t>S&amp;P 500 Communication Services</t>
  </si>
  <si>
    <t>S&amp;P sector index; constituents and classifications change over time. Pre-2018 history represents the legacy telecom sector; 2018 bridges the classification change.</t>
  </si>
  <si>
    <t>Telecom</t>
  </si>
  <si>
    <t>IYZ — iShares U.S. Telecommunications</t>
  </si>
  <si>
    <t>Includes communications equipment as well as telecom service providers. Fund universe and weights differ from S&amp;P 500; fees are reflected in fund returns.</t>
  </si>
  <si>
    <t>Media</t>
  </si>
  <si>
    <t>Continuous fund history includes former PBS. Media/gaming strategy changed in August 2023; global and technology exposure. Fund universe and weights differ from S&amp;P 500; fees are reflected in fund returns.</t>
  </si>
  <si>
    <t>Entertainment</t>
  </si>
  <si>
    <t>PEJ — Invesco Leisure and Entertainment</t>
  </si>
  <si>
    <t>Leisure and entertainment also includes travel, restaurants and other discretionary businesses. Fund universe and weights differ from S&amp;P 500; fees are reflected in fund returns.</t>
  </si>
  <si>
    <t>Interactive services</t>
  </si>
  <si>
    <t>FDN — First Trust Dow Jones Internet</t>
  </si>
  <si>
    <t>Internet-company proxy also includes e-commerce and technology businesses. Fund universe and weights differ from S&amp;P 500; fees are reflected in fund returns.</t>
  </si>
  <si>
    <t>S&amp;P 500 Utilities</t>
  </si>
  <si>
    <t>Essential services</t>
  </si>
  <si>
    <t>Essential services is a broad sector description, not a separate GICS subsector. The parent sector series is repeated.</t>
  </si>
  <si>
    <t>Gas distribution</t>
  </si>
  <si>
    <t>Natural-gas producer funds are not gas utilities. No suitable gas-distribution-only ETF or verified annual index history. 2027–2031 uses the parent sector estimate, a model assumption.</t>
  </si>
  <si>
    <t>Water distribution</t>
  </si>
  <si>
    <t>FIW — First Trust Water</t>
  </si>
  <si>
    <t>Broad water industry also includes equipment, infrastructure and treatment; not water utilities alone. Fund universe and weights differ from S&amp;P 500; fees are reflected in fund returns.</t>
  </si>
  <si>
    <t>Electric distribution</t>
  </si>
  <si>
    <t>S&amp;P 500 Electric Utilities</t>
  </si>
  <si>
    <t>Historical calibration 2020–2025; 25% persistence</t>
  </si>
  <si>
    <t>Electric utilities is broader than distribution alone. 2011–2019 not verified; forecast calibrated to 2020–2025.</t>
  </si>
  <si>
    <t>S&amp;P 500 Consumer Staples</t>
  </si>
  <si>
    <t>Everyday essentials</t>
  </si>
  <si>
    <t>Everyday essentials is a broad sector description, not a separate GICS subsector. The parent sector series is repeated.</t>
  </si>
  <si>
    <t>Food</t>
  </si>
  <si>
    <t>PBJ — Invesco Food &amp; Beverage</t>
  </si>
  <si>
    <t>Combined food and beverage proxy; does not isolate food. Fund universe and weights differ from S&amp;P 500; fees are reflected in fund returns.</t>
  </si>
  <si>
    <t>Beverages</t>
  </si>
  <si>
    <t>Same combined food and beverage proxy as Food; does not isolate beverages. Fund universe and weights differ from S&amp;P 500; fees are reflected in fund returns.</t>
  </si>
  <si>
    <t>Household items</t>
  </si>
  <si>
    <t>S&amp;P sub-industry index</t>
  </si>
  <si>
    <t>S&amp;P 500 Household Products</t>
  </si>
  <si>
    <t>2011–2019 not verified. Forecast calibrated to 2020–2025. 2026 estimate unavailable because the verified YTD observation is stale.</t>
  </si>
  <si>
    <t>S&amp;P 500 Real Estate</t>
  </si>
  <si>
    <t>S&amp;P sector index; constituents and classifications change over time. Pre-2016 history predates its separate GICS sector status.</t>
  </si>
  <si>
    <t>REITs</t>
  </si>
  <si>
    <t>VNQ — Vanguard Real Estate</t>
  </si>
  <si>
    <t>Broad U.S. equity real estate / REIT exposure; not limited to S&amp;P 500 constituents. Fund universe and weights differ from S&amp;P 500; fees are reflected in fund returns.</t>
  </si>
  <si>
    <t>Real Estate Management</t>
  </si>
  <si>
    <t>Discontinued S&amp;P industry index</t>
  </si>
  <si>
    <t>S&amp;P 500 Real Estate Management &amp; Development</t>
  </si>
  <si>
    <t>Only 2020–2022 verified; 2023 partial year excluded. 2027–2031 uses the parent sector estimate.</t>
  </si>
  <si>
    <t>S&amp;P 500 Materials</t>
  </si>
  <si>
    <t>Chemicals</t>
  </si>
  <si>
    <t>S&amp;P 500 Chemicals</t>
  </si>
  <si>
    <t>Annual returns derived from the adjacent published cumulative index levels, rounded to cents.</t>
  </si>
  <si>
    <t>Construction Materials</t>
  </si>
  <si>
    <t>No verified continuous calendar-year total-return series. Building/home-construction ETFs do not isolate construction materials. 2027–2031 uses the parent sector estimate, a model assumption.</t>
  </si>
  <si>
    <t>Containers</t>
  </si>
  <si>
    <t>No sufficiently specific continuous ETF or verified S&amp;P 500 Containers &amp; Packaging calendar-year total-return series. 2027–2031 uses the parent sector estimate, a model assumption.</t>
  </si>
  <si>
    <t>Mining companies</t>
  </si>
  <si>
    <t>XME — SPDR S&amp;P Metals &amp; Mining</t>
  </si>
  <si>
    <t>Metals and mining proxy includes steel producers and some coal companies; broader than mining alone. Fund universe and weights differ from S&amp;P 500; fees are reflected in fund returns.</t>
  </si>
  <si>
    <t>S&amp;P 500 Energy</t>
  </si>
  <si>
    <t>Oil</t>
  </si>
  <si>
    <t>XOP — SPDR S&amp;P Oil &amp; Gas Exploration &amp; Production</t>
  </si>
  <si>
    <t>Combined oil and gas exploration and production; does not isolate oil. Fund universe and weights differ from S&amp;P 500; fees are reflected in fund returns.</t>
  </si>
  <si>
    <t>Gas</t>
  </si>
  <si>
    <t>FCG — First Trust Natural Gas</t>
  </si>
  <si>
    <t>Natural-gas-related producer equities, including oil exposure; not gas utilities or natural-gas commodity prices. Fund universe and weights differ from S&amp;P 500; fees are reflected in fund returns.</t>
  </si>
  <si>
    <t>Consumable fuels</t>
  </si>
  <si>
    <t>No verified continuous consumable-fuels series. KOL coal ETF was liquidated in 2020. 2027–2031 uses the parent sector estimate, a model assumption.</t>
  </si>
  <si>
    <t>Energy equipment</t>
  </si>
  <si>
    <t>XES — SPDR S&amp;P Oil &amp; Gas Equipment &amp; Services</t>
  </si>
  <si>
    <t>Oil and gas equipment and services. Fund universe and weights differ from S&amp;P 500; fees are reflected in fund returns.</t>
  </si>
  <si>
    <t>S&amp;P 500 Index (Benchmark)</t>
  </si>
  <si>
    <t>S&amp;P index</t>
  </si>
  <si>
    <t>S&amp;P 500 Total Return</t>
  </si>
  <si>
    <t>Calendar-year nominal total returns, including reinvested dividends.</t>
  </si>
  <si>
    <t>* -2011–2025: actual index / proxy returns. 2026E: full-year estimate, cutoff varies. 2027–2031F: model estimates. n.a.: unavailable. Sources and assumptions: Sub-Sectors.</t>
  </si>
  <si>
    <r>
      <t>GGME — Invesco Next Gen Media and Gaming</t>
    </r>
    <r>
      <rPr>
        <sz val="6"/>
        <color theme="1"/>
        <rFont val="Arial Narrow"/>
        <family val="2"/>
      </rPr>
      <t xml:space="preserve"> (formerly PBS)</t>
    </r>
  </si>
  <si>
    <t>2026 YTD</t>
  </si>
  <si>
    <t>2027-31F</t>
  </si>
  <si>
    <t>[intentionally blank]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</si>
</sst>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;\(0.0%\);&quot;–&quot;"/>
    <numFmt numFmtId="166" formatCode="0&quot;E&quot;"/>
    <numFmt numFmtId="167" formatCode="0&quot;F&quot;"/>
    <numFmt numFmtId="168" formatCode="mm/dd/yyyy"/>
    <numFmt numFmtId="169" formatCode="\ \ @"/>
  </numFmts>
  <fonts count="12" x14ac:knownFonts="1"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6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165" fontId="1" fillId="5" borderId="8" xfId="0" applyNumberFormat="1" applyFont="1" applyFill="1" applyBorder="1" applyAlignment="1">
      <alignment horizontal="center" vertical="center"/>
    </xf>
    <xf numFmtId="165" fontId="1" fillId="6" borderId="9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center" vertical="center" wrapText="1"/>
    </xf>
    <xf numFmtId="165" fontId="1" fillId="5" borderId="13" xfId="0" applyNumberFormat="1" applyFont="1" applyFill="1" applyBorder="1" applyAlignment="1">
      <alignment horizontal="center" vertical="center"/>
    </xf>
    <xf numFmtId="165" fontId="1" fillId="6" borderId="15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 wrapText="1"/>
    </xf>
    <xf numFmtId="165" fontId="8" fillId="0" borderId="16" xfId="0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166" fontId="8" fillId="2" borderId="13" xfId="0" applyNumberFormat="1" applyFont="1" applyFill="1" applyBorder="1" applyAlignment="1">
      <alignment horizontal="center" vertical="center"/>
    </xf>
    <xf numFmtId="167" fontId="8" fillId="2" borderId="13" xfId="0" applyNumberFormat="1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right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5" fontId="5" fillId="3" borderId="6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vertical="center" wrapText="1"/>
    </xf>
    <xf numFmtId="168" fontId="1" fillId="0" borderId="2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164" fontId="1" fillId="0" borderId="8" xfId="0" applyNumberFormat="1" applyFont="1" applyBorder="1" applyAlignment="1">
      <alignment horizontal="center"/>
    </xf>
    <xf numFmtId="169" fontId="1" fillId="0" borderId="6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168" fontId="1" fillId="0" borderId="22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164" fontId="1" fillId="0" borderId="23" xfId="0" applyNumberFormat="1" applyFont="1" applyBorder="1" applyAlignment="1">
      <alignment horizontal="center"/>
    </xf>
    <xf numFmtId="169" fontId="1" fillId="0" borderId="24" xfId="0" applyNumberFormat="1" applyFont="1" applyBorder="1" applyAlignment="1">
      <alignment horizontal="right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5" borderId="23" xfId="0" applyNumberFormat="1" applyFont="1" applyFill="1" applyBorder="1" applyAlignment="1">
      <alignment horizontal="center" vertical="center"/>
    </xf>
    <xf numFmtId="165" fontId="1" fillId="6" borderId="23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168" fontId="1" fillId="0" borderId="25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168" fontId="1" fillId="0" borderId="2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169" fontId="1" fillId="0" borderId="8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68" fontId="1" fillId="0" borderId="22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 wrapText="1"/>
    </xf>
    <xf numFmtId="14" fontId="1" fillId="0" borderId="22" xfId="0" applyNumberFormat="1" applyFont="1" applyBorder="1" applyAlignment="1">
      <alignment horizontal="center" vertical="center" wrapText="1"/>
    </xf>
    <xf numFmtId="14" fontId="1" fillId="0" borderId="25" xfId="0" applyNumberFormat="1" applyFont="1" applyBorder="1" applyAlignment="1">
      <alignment horizontal="center" vertical="center" wrapText="1"/>
    </xf>
    <xf numFmtId="14" fontId="1" fillId="0" borderId="26" xfId="0" applyNumberFormat="1" applyFont="1" applyBorder="1" applyAlignment="1">
      <alignment horizontal="center" vertical="center" wrapText="1"/>
    </xf>
    <xf numFmtId="14" fontId="1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0" fillId="0" borderId="0" xfId="0" applyAlignment="1"/>
    <xf numFmtId="0" fontId="8" fillId="3" borderId="19" xfId="0" applyFont="1" applyFill="1" applyBorder="1" applyAlignment="1">
      <alignment vertical="center"/>
    </xf>
    <xf numFmtId="0" fontId="1" fillId="0" borderId="0" xfId="0" applyFont="1" applyAlignment="1"/>
    <xf numFmtId="169" fontId="8" fillId="3" borderId="8" xfId="0" applyNumberFormat="1" applyFont="1" applyFill="1" applyBorder="1" applyAlignment="1">
      <alignment vertical="center"/>
    </xf>
    <xf numFmtId="165" fontId="8" fillId="3" borderId="8" xfId="0" applyNumberFormat="1" applyFont="1" applyFill="1" applyBorder="1" applyAlignment="1">
      <alignment horizontal="center" vertical="center"/>
    </xf>
    <xf numFmtId="165" fontId="8" fillId="5" borderId="8" xfId="0" applyNumberFormat="1" applyFont="1" applyFill="1" applyBorder="1" applyAlignment="1">
      <alignment horizontal="center" vertical="center"/>
    </xf>
    <xf numFmtId="165" fontId="8" fillId="6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14" fontId="7" fillId="0" borderId="22" xfId="0" applyNumberFormat="1" applyFont="1" applyBorder="1" applyAlignment="1">
      <alignment horizontal="center" vertical="center" wrapText="1"/>
    </xf>
    <xf numFmtId="168" fontId="7" fillId="0" borderId="22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165" fontId="1" fillId="5" borderId="6" xfId="0" applyNumberFormat="1" applyFont="1" applyFill="1" applyBorder="1" applyAlignment="1">
      <alignment horizontal="center" vertical="center"/>
    </xf>
    <xf numFmtId="165" fontId="1" fillId="6" borderId="27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A3DC-8D24-44FC-9493-C597A1C7A64D}">
  <dimension ref="A1:AQ74"/>
  <sheetViews>
    <sheetView showGridLines="0" tabSelected="1" view="pageBreakPreview" zoomScale="60" zoomScaleNormal="100" workbookViewId="0">
      <selection activeCell="Y5" sqref="Y5"/>
    </sheetView>
  </sheetViews>
  <sheetFormatPr defaultColWidth="8.796875" defaultRowHeight="13" outlineLevelCol="1" x14ac:dyDescent="0.3"/>
  <cols>
    <col min="1" max="1" width="3.8984375" style="1" bestFit="1" customWidth="1"/>
    <col min="2" max="2" width="21.69921875" style="2" customWidth="1"/>
    <col min="3" max="3" width="9.296875" style="2" customWidth="1"/>
    <col min="4" max="4" width="9.3984375" style="2" customWidth="1"/>
    <col min="5" max="5" width="9.59765625" style="2" customWidth="1"/>
    <col min="6" max="6" width="8.796875" style="2" customWidth="1"/>
    <col min="7" max="7" width="9" style="2" bestFit="1" customWidth="1"/>
    <col min="8" max="19" width="8.796875" style="2" customWidth="1"/>
    <col min="20" max="20" width="22.59765625" customWidth="1"/>
    <col min="21" max="21" width="34.09765625" style="96" customWidth="1"/>
    <col min="22" max="22" width="7.5" style="93" bestFit="1" customWidth="1"/>
    <col min="23" max="23" width="9.59765625" bestFit="1" customWidth="1"/>
    <col min="24" max="24" width="40" customWidth="1"/>
    <col min="25" max="25" width="50.296875" customWidth="1"/>
    <col min="26" max="34" width="8.796875" style="2"/>
    <col min="35" max="38" width="9" style="2" bestFit="1" customWidth="1" outlineLevel="1"/>
    <col min="39" max="39" width="3" customWidth="1"/>
    <col min="40" max="16384" width="8.796875" style="2"/>
  </cols>
  <sheetData>
    <row r="1" spans="1:39" ht="18" x14ac:dyDescent="0.4">
      <c r="F1" s="3"/>
      <c r="G1" s="3"/>
      <c r="H1" s="3"/>
      <c r="I1" s="3"/>
      <c r="Y1" s="2"/>
    </row>
    <row r="2" spans="1:39" ht="23" thickBot="1" x14ac:dyDescent="0.35">
      <c r="B2" s="4" t="s">
        <v>0</v>
      </c>
      <c r="C2" s="5"/>
      <c r="D2" s="5"/>
      <c r="E2" s="5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V2" s="44"/>
      <c r="W2" s="2"/>
      <c r="X2" s="2"/>
      <c r="Y2" s="2"/>
      <c r="AI2" s="5"/>
      <c r="AJ2" s="5"/>
      <c r="AK2" s="5"/>
      <c r="AL2" s="5"/>
      <c r="AM2" s="5"/>
    </row>
    <row r="3" spans="1:39" ht="70" customHeight="1" thickBot="1" x14ac:dyDescent="0.35">
      <c r="B3" s="7" t="s">
        <v>1</v>
      </c>
      <c r="C3" s="8" t="s">
        <v>2</v>
      </c>
      <c r="D3" s="8" t="s">
        <v>3</v>
      </c>
      <c r="E3" s="9" t="s">
        <v>4</v>
      </c>
      <c r="F3" s="111" t="s">
        <v>5</v>
      </c>
      <c r="G3" s="112" t="s">
        <v>6</v>
      </c>
      <c r="H3" s="10"/>
      <c r="I3" s="11" t="s">
        <v>7</v>
      </c>
      <c r="J3" s="12"/>
      <c r="K3" s="12"/>
      <c r="L3" s="5"/>
      <c r="N3" s="5"/>
      <c r="O3" s="5"/>
      <c r="P3" s="5"/>
      <c r="Q3" s="13"/>
      <c r="R3" s="13"/>
      <c r="S3" s="13"/>
      <c r="T3" s="5"/>
      <c r="U3" s="5"/>
      <c r="V3" s="44"/>
      <c r="W3" s="2"/>
      <c r="X3" s="2"/>
      <c r="Y3" s="2"/>
      <c r="AI3" s="13"/>
      <c r="AJ3" s="13"/>
      <c r="AK3" s="13"/>
      <c r="AL3" s="13"/>
      <c r="AM3" s="5"/>
    </row>
    <row r="4" spans="1:39" ht="13" customHeight="1" x14ac:dyDescent="0.3">
      <c r="B4" s="14" t="s">
        <v>8</v>
      </c>
      <c r="C4" s="15">
        <v>1.5812264812591996</v>
      </c>
      <c r="D4" s="15">
        <v>0.24292643114876844</v>
      </c>
      <c r="E4" s="16">
        <v>0.20738748909156857</v>
      </c>
      <c r="F4" s="109">
        <v>0.30567739822756734</v>
      </c>
      <c r="G4" s="110">
        <v>6.867674061620678E-2</v>
      </c>
      <c r="H4" s="19"/>
      <c r="I4" s="20" t="s">
        <v>9</v>
      </c>
      <c r="J4" s="20"/>
      <c r="K4" s="20"/>
      <c r="L4" s="20"/>
      <c r="M4" s="20"/>
      <c r="N4" s="20"/>
      <c r="O4" s="20"/>
      <c r="P4" s="20"/>
      <c r="Q4" s="20"/>
      <c r="R4" s="13"/>
      <c r="S4" s="13"/>
      <c r="T4" s="5"/>
      <c r="U4" s="5"/>
      <c r="V4" s="44"/>
      <c r="W4" s="2"/>
      <c r="X4" s="2"/>
      <c r="Y4" s="2"/>
      <c r="AI4" s="13"/>
      <c r="AJ4" s="13"/>
      <c r="AK4" s="13"/>
      <c r="AL4" s="13"/>
      <c r="AM4" s="5"/>
    </row>
    <row r="5" spans="1:39" ht="18" x14ac:dyDescent="0.3">
      <c r="B5" s="21" t="s">
        <v>10</v>
      </c>
      <c r="C5" s="22">
        <v>0.53905479015679991</v>
      </c>
      <c r="D5" s="22">
        <v>0.13178159810615564</v>
      </c>
      <c r="E5" s="23">
        <v>0.14710481734266212</v>
      </c>
      <c r="F5" s="17">
        <v>-4.5519482321005E-2</v>
      </c>
      <c r="G5" s="18">
        <v>5.3606072678980168E-2</v>
      </c>
      <c r="H5" s="19"/>
      <c r="I5" s="20"/>
      <c r="J5" s="20"/>
      <c r="K5" s="20"/>
      <c r="L5" s="20"/>
      <c r="M5" s="20"/>
      <c r="N5" s="20"/>
      <c r="O5" s="20"/>
      <c r="P5" s="20"/>
      <c r="Q5" s="20"/>
      <c r="R5" s="5"/>
      <c r="S5" s="5"/>
      <c r="T5" s="5"/>
      <c r="U5" s="5"/>
      <c r="V5" s="44"/>
      <c r="W5" s="6" t="s">
        <v>176</v>
      </c>
      <c r="X5" s="2"/>
      <c r="Y5" s="2"/>
      <c r="AI5" s="5"/>
      <c r="AJ5" s="5"/>
      <c r="AK5" s="5"/>
      <c r="AL5" s="5"/>
      <c r="AM5" s="5"/>
    </row>
    <row r="6" spans="1:39" ht="13" customHeight="1" x14ac:dyDescent="0.3">
      <c r="B6" s="21" t="s">
        <v>11</v>
      </c>
      <c r="C6" s="22">
        <v>0.48353870967848001</v>
      </c>
      <c r="D6" s="22">
        <v>9.9142444863333123E-2</v>
      </c>
      <c r="E6" s="23">
        <v>0.132689431892278</v>
      </c>
      <c r="F6" s="17">
        <v>0.11563643965592796</v>
      </c>
      <c r="G6" s="18">
        <v>5.0002226316384138E-2</v>
      </c>
      <c r="H6" s="19"/>
      <c r="J6" s="13"/>
      <c r="K6" s="13"/>
      <c r="L6" s="13"/>
      <c r="M6" s="13"/>
      <c r="N6" s="13"/>
      <c r="O6" s="13"/>
      <c r="P6" s="13"/>
      <c r="Q6" s="13"/>
      <c r="R6" s="13"/>
      <c r="S6" s="13"/>
      <c r="T6" s="5"/>
      <c r="U6" s="5"/>
      <c r="V6" s="44"/>
      <c r="W6" s="2"/>
      <c r="X6" s="2"/>
      <c r="Y6" s="2"/>
      <c r="AI6" s="13"/>
      <c r="AJ6" s="13"/>
      <c r="AK6" s="13"/>
      <c r="AL6" s="13"/>
      <c r="AM6" s="5"/>
    </row>
    <row r="7" spans="1:39" ht="13" customHeight="1" x14ac:dyDescent="0.3">
      <c r="B7" s="21" t="s">
        <v>12</v>
      </c>
      <c r="C7" s="22">
        <v>0.89612970796025015</v>
      </c>
      <c r="D7" s="22">
        <v>0.13018690247970177</v>
      </c>
      <c r="E7" s="23">
        <v>0.12529501884091565</v>
      </c>
      <c r="F7" s="17">
        <v>9.7938317996697499E-2</v>
      </c>
      <c r="G7" s="18">
        <v>4.8153623053543551E-2</v>
      </c>
      <c r="H7" s="19"/>
      <c r="I7" s="24" t="s">
        <v>13</v>
      </c>
      <c r="J7" s="24"/>
      <c r="K7" s="24"/>
      <c r="L7" s="24"/>
      <c r="M7" s="24"/>
      <c r="N7" s="24"/>
      <c r="O7" s="24"/>
      <c r="P7" s="24"/>
      <c r="Q7" s="13"/>
      <c r="R7" s="13"/>
      <c r="S7" s="13"/>
      <c r="T7" s="5"/>
      <c r="U7" s="5"/>
      <c r="V7" s="44"/>
      <c r="W7" s="2"/>
      <c r="X7" s="2"/>
      <c r="Y7" s="2"/>
      <c r="AI7" s="13"/>
      <c r="AJ7" s="13"/>
      <c r="AK7" s="13"/>
      <c r="AL7" s="13"/>
      <c r="AM7" s="5"/>
    </row>
    <row r="8" spans="1:39" x14ac:dyDescent="0.3">
      <c r="B8" s="21" t="s">
        <v>14</v>
      </c>
      <c r="C8" s="22">
        <v>1.0360604973499998</v>
      </c>
      <c r="D8" s="22">
        <v>0.13188833417313606</v>
      </c>
      <c r="E8" s="23">
        <v>0.12264809073285532</v>
      </c>
      <c r="F8" s="17">
        <v>-1.3892760759137701E-3</v>
      </c>
      <c r="G8" s="18">
        <v>4.7491891026528468E-2</v>
      </c>
      <c r="H8" s="19"/>
      <c r="I8" s="24"/>
      <c r="J8" s="24"/>
      <c r="K8" s="24"/>
      <c r="L8" s="24"/>
      <c r="M8" s="24"/>
      <c r="N8" s="24"/>
      <c r="O8" s="24"/>
      <c r="P8" s="24"/>
      <c r="Q8" s="13"/>
      <c r="R8" s="13"/>
      <c r="S8" s="13"/>
      <c r="T8" s="5"/>
      <c r="U8" s="5"/>
      <c r="V8" s="44"/>
      <c r="W8" s="2"/>
      <c r="X8" s="2"/>
      <c r="Y8" s="2"/>
      <c r="AI8" s="13"/>
      <c r="AJ8" s="13"/>
      <c r="AK8" s="13"/>
      <c r="AL8" s="13"/>
      <c r="AM8" s="5"/>
    </row>
    <row r="9" spans="1:39" x14ac:dyDescent="0.3">
      <c r="B9" s="21" t="s">
        <v>15</v>
      </c>
      <c r="C9" s="22">
        <v>1.1327009973596156</v>
      </c>
      <c r="D9" s="22">
        <v>0.14072550771146419</v>
      </c>
      <c r="E9" s="23">
        <v>0.1213232091236478</v>
      </c>
      <c r="F9" s="17">
        <v>5.7208738892756461E-2</v>
      </c>
      <c r="G9" s="18">
        <v>4.7160670624226589E-2</v>
      </c>
      <c r="H9" s="19"/>
      <c r="J9" s="25"/>
      <c r="K9" s="25"/>
      <c r="L9" s="25"/>
      <c r="M9" s="25"/>
      <c r="N9" s="25"/>
      <c r="O9" s="25"/>
      <c r="P9" s="25"/>
      <c r="Q9" s="5"/>
      <c r="R9" s="5"/>
      <c r="S9" s="5"/>
      <c r="T9" s="5"/>
      <c r="U9" s="5"/>
      <c r="V9" s="44"/>
      <c r="W9" s="2"/>
      <c r="X9" s="2"/>
      <c r="Y9" s="2"/>
      <c r="AI9" s="5"/>
      <c r="AJ9" s="5"/>
      <c r="AK9" s="5"/>
      <c r="AL9" s="5"/>
      <c r="AM9" s="5"/>
    </row>
    <row r="10" spans="1:39" ht="13" customHeight="1" x14ac:dyDescent="0.3">
      <c r="B10" s="21" t="s">
        <v>16</v>
      </c>
      <c r="C10" s="22">
        <v>0.59022667325631994</v>
      </c>
      <c r="D10" s="22">
        <v>0.10611637738095325</v>
      </c>
      <c r="E10" s="23">
        <v>0.10756017015885955</v>
      </c>
      <c r="F10" s="17">
        <v>-4.6774018572900311E-2</v>
      </c>
      <c r="G10" s="18">
        <v>4.3719910883029525E-2</v>
      </c>
      <c r="H10" s="19"/>
      <c r="I10" s="26" t="s">
        <v>17</v>
      </c>
      <c r="J10" s="26"/>
      <c r="K10" s="26"/>
      <c r="L10" s="26"/>
      <c r="M10" s="26"/>
      <c r="N10" s="26"/>
      <c r="O10" s="26"/>
      <c r="P10" s="26"/>
      <c r="Q10" s="13"/>
      <c r="R10" s="13"/>
      <c r="S10" s="13"/>
      <c r="T10" s="5"/>
      <c r="U10" s="5"/>
      <c r="V10" s="44"/>
      <c r="W10" s="2"/>
      <c r="X10" s="2"/>
      <c r="Y10" s="2"/>
      <c r="AI10" s="13"/>
      <c r="AJ10" s="13"/>
      <c r="AK10" s="13"/>
      <c r="AL10" s="13"/>
      <c r="AM10" s="5"/>
    </row>
    <row r="11" spans="1:39" x14ac:dyDescent="0.3">
      <c r="B11" s="21" t="s">
        <v>18</v>
      </c>
      <c r="C11" s="22">
        <v>0.41440151035861983</v>
      </c>
      <c r="D11" s="22">
        <v>8.1607049639903062E-2</v>
      </c>
      <c r="E11" s="23">
        <v>0.10239693975318676</v>
      </c>
      <c r="F11" s="17">
        <v>7.1160573557429885E-2</v>
      </c>
      <c r="G11" s="18">
        <v>4.2429103281611327E-2</v>
      </c>
      <c r="H11" s="19"/>
      <c r="I11" s="26"/>
      <c r="J11" s="26"/>
      <c r="K11" s="26"/>
      <c r="L11" s="26"/>
      <c r="M11" s="26"/>
      <c r="N11" s="26"/>
      <c r="O11" s="26"/>
      <c r="P11" s="26"/>
      <c r="Q11" s="13"/>
      <c r="R11" s="13"/>
      <c r="S11" s="13"/>
      <c r="T11" s="5"/>
      <c r="U11" s="5"/>
      <c r="V11" s="44"/>
      <c r="W11" s="2"/>
      <c r="X11" s="2"/>
      <c r="Y11" s="2"/>
      <c r="AI11" s="13"/>
      <c r="AJ11" s="13"/>
      <c r="AK11" s="13"/>
      <c r="AL11" s="13"/>
      <c r="AM11" s="5"/>
    </row>
    <row r="12" spans="1:39" x14ac:dyDescent="0.3">
      <c r="B12" s="21" t="s">
        <v>19</v>
      </c>
      <c r="C12" s="22">
        <v>0.31841932256844818</v>
      </c>
      <c r="D12" s="22">
        <v>6.433245743292404E-2</v>
      </c>
      <c r="E12" s="23">
        <v>8.5959390970062444E-2</v>
      </c>
      <c r="F12" s="17">
        <v>6.3027998735988744E-2</v>
      </c>
      <c r="G12" s="18">
        <v>3.8319716085830249E-2</v>
      </c>
      <c r="H12" s="19"/>
      <c r="I12" s="26"/>
      <c r="J12" s="26"/>
      <c r="K12" s="26"/>
      <c r="L12" s="26"/>
      <c r="M12" s="26"/>
      <c r="N12" s="26"/>
      <c r="O12" s="26"/>
      <c r="P12" s="26"/>
      <c r="Q12" s="13"/>
      <c r="R12" s="13"/>
      <c r="S12" s="13"/>
      <c r="T12" s="5"/>
      <c r="U12" s="5"/>
      <c r="V12" s="44"/>
      <c r="W12" s="2"/>
      <c r="X12" s="2"/>
      <c r="Y12" s="2"/>
      <c r="AI12" s="13"/>
      <c r="AJ12" s="13"/>
      <c r="AK12" s="13"/>
      <c r="AL12" s="13"/>
      <c r="AM12" s="5"/>
    </row>
    <row r="13" spans="1:39" x14ac:dyDescent="0.3">
      <c r="B13" s="21" t="s">
        <v>20</v>
      </c>
      <c r="C13" s="22">
        <v>0.38908450083000012</v>
      </c>
      <c r="D13" s="22">
        <v>9.9181602991954554E-2</v>
      </c>
      <c r="E13" s="23">
        <v>8.2667017544975518E-2</v>
      </c>
      <c r="F13" s="17">
        <v>9.8141786523046504E-2</v>
      </c>
      <c r="G13" s="18">
        <v>3.7496622729558518E-2</v>
      </c>
      <c r="H13" s="19"/>
      <c r="I13" s="5"/>
      <c r="J13" s="19"/>
      <c r="K13" s="19"/>
      <c r="L13" s="5"/>
      <c r="N13" s="5"/>
      <c r="O13" s="5"/>
      <c r="P13" s="5"/>
      <c r="Q13" s="5"/>
      <c r="R13" s="5"/>
      <c r="S13" s="5"/>
      <c r="T13" s="5"/>
      <c r="U13" s="5"/>
      <c r="V13" s="44"/>
      <c r="W13" s="2"/>
      <c r="X13" s="2"/>
      <c r="Y13" s="2"/>
      <c r="AI13" s="5"/>
      <c r="AJ13" s="5"/>
      <c r="AK13" s="5"/>
      <c r="AL13" s="5"/>
      <c r="AM13" s="5"/>
    </row>
    <row r="14" spans="1:39" ht="13.5" thickBot="1" x14ac:dyDescent="0.35">
      <c r="B14" s="27" t="s">
        <v>21</v>
      </c>
      <c r="C14" s="28">
        <v>1.9050504712818257</v>
      </c>
      <c r="D14" s="28">
        <v>8.3227691758994471E-2</v>
      </c>
      <c r="E14" s="29">
        <v>5.450685972730529E-2</v>
      </c>
      <c r="F14" s="30">
        <v>0.41364990690843784</v>
      </c>
      <c r="G14" s="31">
        <v>3.0456583275140961E-2</v>
      </c>
      <c r="H14" s="19"/>
      <c r="I14" s="5"/>
      <c r="J14" s="19"/>
      <c r="K14" s="19"/>
      <c r="L14" s="5"/>
      <c r="N14" s="5"/>
      <c r="O14" s="5"/>
      <c r="P14" s="5"/>
      <c r="Q14" s="5"/>
      <c r="R14" s="5"/>
      <c r="S14" s="5"/>
      <c r="T14" s="5"/>
      <c r="U14" s="5"/>
      <c r="V14" s="44"/>
      <c r="W14" s="2"/>
      <c r="X14" s="2"/>
      <c r="Y14" s="2"/>
      <c r="AI14" s="5"/>
      <c r="AJ14" s="5"/>
      <c r="AK14" s="5"/>
      <c r="AL14" s="5"/>
      <c r="AM14" s="5"/>
    </row>
    <row r="15" spans="1:39" ht="27.5" thickBot="1" x14ac:dyDescent="0.4">
      <c r="A15" s="32"/>
      <c r="B15" s="33" t="s">
        <v>22</v>
      </c>
      <c r="C15" s="34">
        <v>0.96195759885124987</v>
      </c>
      <c r="D15" s="35">
        <v>0.1482303648908565</v>
      </c>
      <c r="E15" s="35">
        <v>0.14068052662674146</v>
      </c>
      <c r="F15" s="36">
        <v>0.14250542894673979</v>
      </c>
      <c r="G15" s="37">
        <v>5.2000000000000005E-2</v>
      </c>
      <c r="H15" s="38"/>
      <c r="I15" s="39"/>
      <c r="J15" s="38"/>
      <c r="K15" s="38"/>
      <c r="L15" s="40"/>
      <c r="M15" s="40"/>
      <c r="N15" s="40"/>
      <c r="O15" s="40"/>
      <c r="P15" s="40"/>
      <c r="Q15" s="40"/>
      <c r="R15" s="40"/>
      <c r="S15" s="40"/>
      <c r="T15" s="5"/>
      <c r="U15" s="5"/>
      <c r="V15" s="44"/>
      <c r="W15" s="2"/>
      <c r="X15" s="2"/>
      <c r="Y15" s="2"/>
      <c r="AI15" s="40"/>
      <c r="AJ15" s="40"/>
      <c r="AK15" s="40"/>
      <c r="AL15" s="40"/>
      <c r="AM15" s="5"/>
    </row>
    <row r="16" spans="1:39" ht="28" customHeight="1" thickTop="1" x14ac:dyDescent="0.3">
      <c r="B16" s="41" t="s">
        <v>172</v>
      </c>
      <c r="C16" s="42"/>
      <c r="D16" s="42"/>
      <c r="E16" s="4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5"/>
      <c r="U16" s="5"/>
      <c r="V16" s="44"/>
      <c r="W16" s="44"/>
      <c r="X16" s="44"/>
      <c r="Y16" s="5"/>
      <c r="Z16" s="5"/>
      <c r="AI16" s="43"/>
      <c r="AJ16" s="43"/>
      <c r="AK16" s="43"/>
      <c r="AL16" s="43"/>
      <c r="AM16" s="5"/>
    </row>
    <row r="17" spans="1:39" x14ac:dyDescent="0.3">
      <c r="B17" s="45"/>
      <c r="C17" s="46"/>
      <c r="D17" s="46"/>
      <c r="E17" s="46"/>
      <c r="F17" s="47"/>
      <c r="G17" s="47"/>
      <c r="H17" s="47"/>
      <c r="I17" s="47"/>
      <c r="J17" s="47"/>
      <c r="K17" s="47"/>
      <c r="L17" s="5"/>
      <c r="M17" s="5"/>
      <c r="N17" s="5"/>
      <c r="O17" s="5"/>
      <c r="P17" s="5"/>
      <c r="Q17" s="5"/>
      <c r="R17" s="5"/>
      <c r="S17" s="5"/>
      <c r="T17" s="5"/>
      <c r="U17" s="5"/>
      <c r="V17" s="44"/>
      <c r="W17" s="44"/>
      <c r="X17" s="44"/>
      <c r="Y17" s="5"/>
      <c r="Z17" s="5"/>
      <c r="AI17" s="5"/>
      <c r="AJ17" s="5"/>
      <c r="AK17" s="5"/>
      <c r="AL17" s="5"/>
      <c r="AM17" s="5"/>
    </row>
    <row r="18" spans="1:39" s="39" customFormat="1" ht="13.75" customHeight="1" thickBot="1" x14ac:dyDescent="0.4">
      <c r="A18" s="32"/>
      <c r="B18" s="40"/>
      <c r="C18" s="48">
        <v>2011</v>
      </c>
      <c r="D18" s="48">
        <v>2012</v>
      </c>
      <c r="E18" s="48">
        <v>2013</v>
      </c>
      <c r="F18" s="48">
        <v>2014</v>
      </c>
      <c r="G18" s="48">
        <v>2015</v>
      </c>
      <c r="H18" s="48">
        <v>2016</v>
      </c>
      <c r="I18" s="48">
        <v>2017</v>
      </c>
      <c r="J18" s="48">
        <v>2018</v>
      </c>
      <c r="K18" s="48">
        <v>2019</v>
      </c>
      <c r="L18" s="48">
        <v>2020</v>
      </c>
      <c r="M18" s="48">
        <v>2021</v>
      </c>
      <c r="N18" s="48">
        <v>2022</v>
      </c>
      <c r="O18" s="48">
        <v>2023</v>
      </c>
      <c r="P18" s="48">
        <v>2024</v>
      </c>
      <c r="Q18" s="48">
        <v>2025</v>
      </c>
      <c r="R18" s="49">
        <v>2026</v>
      </c>
      <c r="S18" s="50" t="s">
        <v>175</v>
      </c>
      <c r="T18" s="51" t="s">
        <v>23</v>
      </c>
      <c r="U18" s="97" t="s">
        <v>24</v>
      </c>
      <c r="V18" s="95" t="s">
        <v>174</v>
      </c>
      <c r="W18" s="95" t="s">
        <v>25</v>
      </c>
      <c r="X18" s="52" t="s">
        <v>26</v>
      </c>
      <c r="Y18" s="53" t="s">
        <v>27</v>
      </c>
      <c r="Z18" s="54"/>
      <c r="AI18" s="50">
        <v>2028</v>
      </c>
      <c r="AJ18" s="50">
        <v>2029</v>
      </c>
      <c r="AK18" s="50">
        <v>2030</v>
      </c>
      <c r="AL18" s="50">
        <v>2031</v>
      </c>
      <c r="AM18" s="40"/>
    </row>
    <row r="19" spans="1:39" ht="13.75" customHeight="1" x14ac:dyDescent="0.3">
      <c r="A19" s="55">
        <v>1</v>
      </c>
      <c r="B19" s="56" t="s">
        <v>8</v>
      </c>
      <c r="C19" s="57">
        <v>2.4E-2</v>
      </c>
      <c r="D19" s="57">
        <v>0.14800000000000002</v>
      </c>
      <c r="E19" s="57">
        <v>0.28399999999999997</v>
      </c>
      <c r="F19" s="57">
        <v>0.20100000000000001</v>
      </c>
      <c r="G19" s="57">
        <v>5.9000000000000004E-2</v>
      </c>
      <c r="H19" s="57">
        <v>0.13900000000000001</v>
      </c>
      <c r="I19" s="57">
        <v>0.38799999999999996</v>
      </c>
      <c r="J19" s="57">
        <v>-3.0000000000000001E-3</v>
      </c>
      <c r="K19" s="57">
        <v>0.503</v>
      </c>
      <c r="L19" s="57">
        <v>0.439</v>
      </c>
      <c r="M19" s="57">
        <v>0.34499999999999997</v>
      </c>
      <c r="N19" s="57">
        <v>-0.28199999999999997</v>
      </c>
      <c r="O19" s="57">
        <v>0.57799999999999996</v>
      </c>
      <c r="P19" s="57">
        <v>0.36599999999999999</v>
      </c>
      <c r="Q19" s="57">
        <v>0.24</v>
      </c>
      <c r="R19" s="58">
        <v>0.30567739822756734</v>
      </c>
      <c r="S19" s="59">
        <v>6.867674061620678E-2</v>
      </c>
      <c r="T19" s="60" t="s">
        <v>28</v>
      </c>
      <c r="U19" s="63" t="s">
        <v>29</v>
      </c>
      <c r="V19" s="57">
        <v>0.28399999999999997</v>
      </c>
      <c r="W19" s="88">
        <v>46295</v>
      </c>
      <c r="X19" s="62" t="s">
        <v>30</v>
      </c>
      <c r="Y19" s="63" t="s">
        <v>31</v>
      </c>
      <c r="Z19" s="61"/>
      <c r="AI19" s="59">
        <v>6.867674061620678E-2</v>
      </c>
      <c r="AJ19" s="59">
        <v>6.867674061620678E-2</v>
      </c>
      <c r="AK19" s="59">
        <v>6.867674061620678E-2</v>
      </c>
      <c r="AL19" s="59">
        <v>6.867674061620678E-2</v>
      </c>
      <c r="AM19" s="5"/>
    </row>
    <row r="20" spans="1:39" ht="13.75" customHeight="1" x14ac:dyDescent="0.3">
      <c r="A20" s="64">
        <v>1.1000000000000001</v>
      </c>
      <c r="B20" s="65" t="s">
        <v>32</v>
      </c>
      <c r="C20" s="66">
        <v>-7.3200000000000001E-2</v>
      </c>
      <c r="D20" s="66">
        <v>0.1678</v>
      </c>
      <c r="E20" s="66">
        <v>0.30680000000000002</v>
      </c>
      <c r="F20" s="66">
        <v>0.13419999999999999</v>
      </c>
      <c r="G20" s="66">
        <v>0.12119999999999999</v>
      </c>
      <c r="H20" s="66">
        <v>5.79E-2</v>
      </c>
      <c r="I20" s="66">
        <v>0.42159999999999997</v>
      </c>
      <c r="J20" s="66">
        <v>0.1244</v>
      </c>
      <c r="K20" s="66">
        <v>0.34320000000000001</v>
      </c>
      <c r="L20" s="66">
        <v>0.52859999999999996</v>
      </c>
      <c r="M20" s="66">
        <v>0.12300000000000001</v>
      </c>
      <c r="N20" s="66">
        <v>-0.35649999999999998</v>
      </c>
      <c r="O20" s="66">
        <v>0.59209999999999996</v>
      </c>
      <c r="P20" s="66">
        <v>0.2341</v>
      </c>
      <c r="Q20" s="66">
        <v>5.5599999999999997E-2</v>
      </c>
      <c r="R20" s="17">
        <v>6.680880862731664E-2</v>
      </c>
      <c r="S20" s="67">
        <v>5.7025465022340086E-2</v>
      </c>
      <c r="T20" s="65" t="s">
        <v>33</v>
      </c>
      <c r="U20" s="70" t="s">
        <v>34</v>
      </c>
      <c r="V20" s="66">
        <v>5.2000000000000005E-2</v>
      </c>
      <c r="W20" s="89">
        <v>46295</v>
      </c>
      <c r="X20" s="69" t="s">
        <v>30</v>
      </c>
      <c r="Y20" s="70" t="s">
        <v>35</v>
      </c>
      <c r="Z20" s="68"/>
      <c r="AI20" s="67">
        <v>5.7025465022340086E-2</v>
      </c>
      <c r="AJ20" s="67">
        <v>5.7025465022340086E-2</v>
      </c>
      <c r="AK20" s="67">
        <v>5.7025465022340086E-2</v>
      </c>
      <c r="AL20" s="67">
        <v>5.7025465022340086E-2</v>
      </c>
      <c r="AM20" s="5"/>
    </row>
    <row r="21" spans="1:39" ht="13.75" customHeight="1" x14ac:dyDescent="0.3">
      <c r="A21" s="64">
        <v>1.2</v>
      </c>
      <c r="B21" s="65" t="s">
        <v>36</v>
      </c>
      <c r="C21" s="66" t="s">
        <v>37</v>
      </c>
      <c r="D21" s="66" t="s">
        <v>37</v>
      </c>
      <c r="E21" s="66" t="s">
        <v>37</v>
      </c>
      <c r="F21" s="66" t="s">
        <v>37</v>
      </c>
      <c r="G21" s="66" t="s">
        <v>37</v>
      </c>
      <c r="H21" s="66" t="s">
        <v>37</v>
      </c>
      <c r="I21" s="66" t="s">
        <v>37</v>
      </c>
      <c r="J21" s="66" t="s">
        <v>37</v>
      </c>
      <c r="K21" s="66" t="s">
        <v>37</v>
      </c>
      <c r="L21" s="66" t="s">
        <v>37</v>
      </c>
      <c r="M21" s="66" t="s">
        <v>37</v>
      </c>
      <c r="N21" s="66" t="s">
        <v>37</v>
      </c>
      <c r="O21" s="66" t="s">
        <v>37</v>
      </c>
      <c r="P21" s="66" t="s">
        <v>37</v>
      </c>
      <c r="Q21" s="66" t="s">
        <v>37</v>
      </c>
      <c r="R21" s="17" t="s">
        <v>37</v>
      </c>
      <c r="S21" s="67">
        <v>6.867674061620678E-2</v>
      </c>
      <c r="T21" s="65" t="s">
        <v>38</v>
      </c>
      <c r="U21" s="70" t="s">
        <v>39</v>
      </c>
      <c r="V21" s="66" t="s">
        <v>37</v>
      </c>
      <c r="W21" s="89" t="s">
        <v>37</v>
      </c>
      <c r="X21" s="69" t="s">
        <v>40</v>
      </c>
      <c r="Y21" s="70" t="s">
        <v>41</v>
      </c>
      <c r="Z21" s="68"/>
      <c r="AI21" s="67">
        <v>6.867674061620678E-2</v>
      </c>
      <c r="AJ21" s="67">
        <v>6.867674061620678E-2</v>
      </c>
      <c r="AK21" s="67">
        <v>6.867674061620678E-2</v>
      </c>
      <c r="AL21" s="67">
        <v>6.867674061620678E-2</v>
      </c>
      <c r="AM21" s="5"/>
    </row>
    <row r="22" spans="1:39" ht="13.75" customHeight="1" x14ac:dyDescent="0.3">
      <c r="A22" s="64">
        <v>1.3</v>
      </c>
      <c r="B22" s="65" t="s">
        <v>42</v>
      </c>
      <c r="C22" s="66">
        <v>-0.18170000000000003</v>
      </c>
      <c r="D22" s="66">
        <v>2.3799999999999998E-2</v>
      </c>
      <c r="E22" s="66">
        <v>0.36369999999999997</v>
      </c>
      <c r="F22" s="66">
        <v>0.311</v>
      </c>
      <c r="G22" s="66">
        <v>0.10210000000000001</v>
      </c>
      <c r="H22" s="66">
        <v>0.29380000000000001</v>
      </c>
      <c r="I22" s="66">
        <v>0.25209999999999999</v>
      </c>
      <c r="J22" s="66">
        <v>-6.3500000000000001E-2</v>
      </c>
      <c r="K22" s="66">
        <v>0.64659999999999995</v>
      </c>
      <c r="L22" s="66">
        <v>0.61950000000000005</v>
      </c>
      <c r="M22" s="66">
        <v>0.4254</v>
      </c>
      <c r="N22" s="66">
        <v>-0.30920000000000003</v>
      </c>
      <c r="O22" s="66">
        <v>0.34869999999999995</v>
      </c>
      <c r="P22" s="66">
        <v>0.1075</v>
      </c>
      <c r="Q22" s="66">
        <v>0.29849999999999999</v>
      </c>
      <c r="R22" s="17">
        <v>0.76561137677370628</v>
      </c>
      <c r="S22" s="67">
        <v>6.3073869793290674E-2</v>
      </c>
      <c r="T22" s="65" t="s">
        <v>33</v>
      </c>
      <c r="U22" s="70" t="s">
        <v>43</v>
      </c>
      <c r="V22" s="66">
        <v>0.73860000000000003</v>
      </c>
      <c r="W22" s="89">
        <v>46295</v>
      </c>
      <c r="X22" s="69" t="s">
        <v>30</v>
      </c>
      <c r="Y22" s="70" t="s">
        <v>44</v>
      </c>
      <c r="Z22" s="68"/>
      <c r="AI22" s="67">
        <v>6.3073869793290674E-2</v>
      </c>
      <c r="AJ22" s="67">
        <v>6.3073869793290674E-2</v>
      </c>
      <c r="AK22" s="67">
        <v>6.3073869793290674E-2</v>
      </c>
      <c r="AL22" s="67">
        <v>6.3073869793290674E-2</v>
      </c>
      <c r="AM22" s="5"/>
    </row>
    <row r="23" spans="1:39" ht="13.75" customHeight="1" thickBot="1" x14ac:dyDescent="0.35">
      <c r="A23" s="71">
        <v>1.4</v>
      </c>
      <c r="B23" s="72" t="s">
        <v>45</v>
      </c>
      <c r="C23" s="73">
        <v>0.20999999999999996</v>
      </c>
      <c r="D23" s="73">
        <v>0.17355371900826455</v>
      </c>
      <c r="E23" s="73">
        <v>0.26760563380281699</v>
      </c>
      <c r="F23" s="73">
        <v>5.0000000000000044E-2</v>
      </c>
      <c r="G23" s="73">
        <v>6.8783068783068835E-2</v>
      </c>
      <c r="H23" s="73">
        <v>0.10000000000000009</v>
      </c>
      <c r="I23" s="73">
        <v>0.31818181818181812</v>
      </c>
      <c r="J23" s="73">
        <v>4.1379310344827669E-2</v>
      </c>
      <c r="K23" s="73">
        <v>0.41059602649006632</v>
      </c>
      <c r="L23" s="73">
        <v>0.22620000000000001</v>
      </c>
      <c r="M23" s="73">
        <v>4.8800000000000003E-2</v>
      </c>
      <c r="N23" s="73">
        <v>-0.18540000000000001</v>
      </c>
      <c r="O23" s="73">
        <v>0.3412</v>
      </c>
      <c r="P23" s="73">
        <v>0.1288</v>
      </c>
      <c r="Q23" s="73">
        <v>7.7000000000000002E-3</v>
      </c>
      <c r="R23" s="74">
        <v>-0.20817817042189335</v>
      </c>
      <c r="S23" s="75">
        <v>5.1121943472440548E-2</v>
      </c>
      <c r="T23" s="72" t="s">
        <v>46</v>
      </c>
      <c r="U23" s="78" t="s">
        <v>47</v>
      </c>
      <c r="V23" s="73">
        <v>-0.22020000000000001</v>
      </c>
      <c r="W23" s="90">
        <v>46275</v>
      </c>
      <c r="X23" s="77" t="s">
        <v>30</v>
      </c>
      <c r="Y23" s="78" t="s">
        <v>48</v>
      </c>
      <c r="Z23" s="76"/>
      <c r="AI23" s="75">
        <v>5.1121943472440548E-2</v>
      </c>
      <c r="AJ23" s="75">
        <v>5.1121943472440548E-2</v>
      </c>
      <c r="AK23" s="75">
        <v>5.1121943472440548E-2</v>
      </c>
      <c r="AL23" s="75">
        <v>5.1121943472440548E-2</v>
      </c>
      <c r="AM23" s="5"/>
    </row>
    <row r="24" spans="1:39" ht="13.75" customHeight="1" x14ac:dyDescent="0.3">
      <c r="A24" s="55">
        <v>2</v>
      </c>
      <c r="B24" s="56" t="s">
        <v>10</v>
      </c>
      <c r="C24" s="79">
        <v>6.0999999999999999E-2</v>
      </c>
      <c r="D24" s="79">
        <v>0.23899999999999999</v>
      </c>
      <c r="E24" s="79">
        <v>0.43099999999999999</v>
      </c>
      <c r="F24" s="79">
        <v>9.6999999999999989E-2</v>
      </c>
      <c r="G24" s="79">
        <v>0.10099999999999999</v>
      </c>
      <c r="H24" s="79">
        <v>0.06</v>
      </c>
      <c r="I24" s="79">
        <v>0.23</v>
      </c>
      <c r="J24" s="79">
        <v>8.0000000000000002E-3</v>
      </c>
      <c r="K24" s="79">
        <v>0.27899999999999997</v>
      </c>
      <c r="L24" s="79">
        <v>0.33299999999999996</v>
      </c>
      <c r="M24" s="79">
        <v>0.24399999999999999</v>
      </c>
      <c r="N24" s="79">
        <v>-0.37</v>
      </c>
      <c r="O24" s="79">
        <v>0.42399999999999999</v>
      </c>
      <c r="P24" s="79">
        <v>0.30099999999999999</v>
      </c>
      <c r="Q24" s="79">
        <v>0.06</v>
      </c>
      <c r="R24" s="80">
        <v>-4.5519482321005E-2</v>
      </c>
      <c r="S24" s="81">
        <v>5.3606072678980168E-2</v>
      </c>
      <c r="T24" s="56" t="s">
        <v>28</v>
      </c>
      <c r="U24" s="84" t="s">
        <v>49</v>
      </c>
      <c r="V24" s="79">
        <v>-5.7999999999999996E-2</v>
      </c>
      <c r="W24" s="91">
        <v>46295</v>
      </c>
      <c r="X24" s="83" t="s">
        <v>30</v>
      </c>
      <c r="Y24" s="84" t="s">
        <v>31</v>
      </c>
      <c r="Z24" s="82"/>
      <c r="AI24" s="81">
        <v>5.3606072678980168E-2</v>
      </c>
      <c r="AJ24" s="81">
        <v>5.3606072678980168E-2</v>
      </c>
      <c r="AK24" s="81">
        <v>5.3606072678980168E-2</v>
      </c>
      <c r="AL24" s="81">
        <v>5.3606072678980168E-2</v>
      </c>
      <c r="AM24" s="5"/>
    </row>
    <row r="25" spans="1:39" ht="13.75" customHeight="1" x14ac:dyDescent="0.3">
      <c r="A25" s="64">
        <v>2.1</v>
      </c>
      <c r="B25" s="85" t="s">
        <v>50</v>
      </c>
      <c r="C25" s="66">
        <v>6.0999999999999999E-2</v>
      </c>
      <c r="D25" s="66">
        <v>0.23899999999999999</v>
      </c>
      <c r="E25" s="66">
        <v>0.43099999999999999</v>
      </c>
      <c r="F25" s="66">
        <v>9.6999999999999989E-2</v>
      </c>
      <c r="G25" s="66">
        <v>0.10099999999999999</v>
      </c>
      <c r="H25" s="66">
        <v>0.06</v>
      </c>
      <c r="I25" s="66">
        <v>0.23</v>
      </c>
      <c r="J25" s="66">
        <v>8.0000000000000002E-3</v>
      </c>
      <c r="K25" s="66">
        <v>0.27899999999999997</v>
      </c>
      <c r="L25" s="66">
        <v>0.33299999999999996</v>
      </c>
      <c r="M25" s="66">
        <v>0.24399999999999999</v>
      </c>
      <c r="N25" s="66">
        <v>-0.37</v>
      </c>
      <c r="O25" s="66">
        <v>0.42399999999999999</v>
      </c>
      <c r="P25" s="66">
        <v>0.30099999999999999</v>
      </c>
      <c r="Q25" s="66">
        <v>0.06</v>
      </c>
      <c r="R25" s="17">
        <v>-4.5519482321005E-2</v>
      </c>
      <c r="S25" s="67">
        <v>5.3606072678980168E-2</v>
      </c>
      <c r="T25" s="85" t="s">
        <v>51</v>
      </c>
      <c r="U25" s="70" t="s">
        <v>49</v>
      </c>
      <c r="V25" s="66">
        <v>-5.7999999999999996E-2</v>
      </c>
      <c r="W25" s="89">
        <v>46295</v>
      </c>
      <c r="X25" s="69" t="s">
        <v>30</v>
      </c>
      <c r="Y25" s="70" t="s">
        <v>52</v>
      </c>
      <c r="Z25" s="68"/>
      <c r="AI25" s="67">
        <v>5.3606072678980168E-2</v>
      </c>
      <c r="AJ25" s="67">
        <v>5.3606072678980168E-2</v>
      </c>
      <c r="AK25" s="67">
        <v>5.3606072678980168E-2</v>
      </c>
      <c r="AL25" s="67">
        <v>5.3606072678980168E-2</v>
      </c>
      <c r="AM25" s="5"/>
    </row>
    <row r="26" spans="1:39" ht="13.75" customHeight="1" x14ac:dyDescent="0.3">
      <c r="A26" s="64">
        <v>2.2000000000000002</v>
      </c>
      <c r="B26" s="85" t="s">
        <v>53</v>
      </c>
      <c r="C26" s="66">
        <v>9.7500000000000003E-2</v>
      </c>
      <c r="D26" s="66">
        <v>0.20679999999999998</v>
      </c>
      <c r="E26" s="66">
        <v>0.4219</v>
      </c>
      <c r="F26" s="66">
        <v>9.849999999999999E-2</v>
      </c>
      <c r="G26" s="66">
        <v>-8.8599999999999998E-2</v>
      </c>
      <c r="H26" s="66">
        <v>3.3099999999999997E-2</v>
      </c>
      <c r="I26" s="66">
        <v>4.2099999999999999E-2</v>
      </c>
      <c r="J26" s="66">
        <v>-8.0399999999999985E-2</v>
      </c>
      <c r="K26" s="66">
        <v>0.14119999999999999</v>
      </c>
      <c r="L26" s="66">
        <v>0.41909999999999997</v>
      </c>
      <c r="M26" s="66">
        <v>0.42599999999999999</v>
      </c>
      <c r="N26" s="66">
        <v>-0.31640000000000001</v>
      </c>
      <c r="O26" s="66">
        <v>0.21539999999999998</v>
      </c>
      <c r="P26" s="66">
        <v>0.1177</v>
      </c>
      <c r="Q26" s="66">
        <v>8.0700000000000008E-2</v>
      </c>
      <c r="R26" s="17">
        <v>-1.0277473954881655E-2</v>
      </c>
      <c r="S26" s="67">
        <v>4.2473303219459094E-2</v>
      </c>
      <c r="T26" s="85" t="s">
        <v>33</v>
      </c>
      <c r="U26" s="70" t="s">
        <v>54</v>
      </c>
      <c r="V26" s="66">
        <v>-2.06E-2</v>
      </c>
      <c r="W26" s="89">
        <v>46295</v>
      </c>
      <c r="X26" s="69" t="s">
        <v>30</v>
      </c>
      <c r="Y26" s="70" t="s">
        <v>55</v>
      </c>
      <c r="Z26" s="68"/>
      <c r="AI26" s="67">
        <v>4.2473303219459094E-2</v>
      </c>
      <c r="AJ26" s="67">
        <v>4.2473303219459094E-2</v>
      </c>
      <c r="AK26" s="67">
        <v>4.2473303219459094E-2</v>
      </c>
      <c r="AL26" s="67">
        <v>4.2473303219459094E-2</v>
      </c>
      <c r="AM26" s="5"/>
    </row>
    <row r="27" spans="1:39" ht="13.75" customHeight="1" x14ac:dyDescent="0.3">
      <c r="A27" s="64">
        <v>2.2999999999999998</v>
      </c>
      <c r="B27" s="85" t="s">
        <v>56</v>
      </c>
      <c r="C27" s="66" t="s">
        <v>37</v>
      </c>
      <c r="D27" s="66">
        <v>0.28620000000000001</v>
      </c>
      <c r="E27" s="66">
        <v>0.375</v>
      </c>
      <c r="F27" s="66">
        <v>-4.5400000000000003E-2</v>
      </c>
      <c r="G27" s="66">
        <v>-1.3999999999999999E-2</v>
      </c>
      <c r="H27" s="66">
        <v>-2.5000000000000001E-2</v>
      </c>
      <c r="I27" s="66">
        <v>0.25469999999999998</v>
      </c>
      <c r="J27" s="66">
        <v>-0.23910000000000001</v>
      </c>
      <c r="K27" s="66">
        <v>0.114</v>
      </c>
      <c r="L27" s="66">
        <v>0.54649999999999999</v>
      </c>
      <c r="M27" s="66">
        <v>0.18090000000000001</v>
      </c>
      <c r="N27" s="66">
        <v>-0.3125</v>
      </c>
      <c r="O27" s="66">
        <v>0.42469999999999997</v>
      </c>
      <c r="P27" s="66">
        <v>3.2599999999999997E-2</v>
      </c>
      <c r="Q27" s="66">
        <v>0.37180000000000002</v>
      </c>
      <c r="R27" s="17">
        <v>0.42360650989994797</v>
      </c>
      <c r="S27" s="67">
        <v>4.2352051626790857E-2</v>
      </c>
      <c r="T27" s="85" t="s">
        <v>33</v>
      </c>
      <c r="U27" s="70" t="s">
        <v>57</v>
      </c>
      <c r="V27" s="66">
        <v>0.40880000000000005</v>
      </c>
      <c r="W27" s="89">
        <v>46295</v>
      </c>
      <c r="X27" s="69" t="s">
        <v>58</v>
      </c>
      <c r="Y27" s="70" t="s">
        <v>59</v>
      </c>
      <c r="Z27" s="68"/>
      <c r="AI27" s="67">
        <v>4.2352051626790857E-2</v>
      </c>
      <c r="AJ27" s="67">
        <v>4.2352051626790857E-2</v>
      </c>
      <c r="AK27" s="67">
        <v>4.2352051626790857E-2</v>
      </c>
      <c r="AL27" s="67">
        <v>4.2352051626790857E-2</v>
      </c>
      <c r="AM27" s="5"/>
    </row>
    <row r="28" spans="1:39" ht="13.75" customHeight="1" thickBot="1" x14ac:dyDescent="0.35">
      <c r="A28" s="64">
        <v>2.4</v>
      </c>
      <c r="B28" s="85" t="s">
        <v>60</v>
      </c>
      <c r="C28" s="66" t="s">
        <v>37</v>
      </c>
      <c r="D28" s="66" t="s">
        <v>37</v>
      </c>
      <c r="E28" s="66" t="s">
        <v>37</v>
      </c>
      <c r="F28" s="66" t="s">
        <v>37</v>
      </c>
      <c r="G28" s="66" t="s">
        <v>37</v>
      </c>
      <c r="H28" s="66" t="s">
        <v>37</v>
      </c>
      <c r="I28" s="66" t="s">
        <v>37</v>
      </c>
      <c r="J28" s="66" t="s">
        <v>37</v>
      </c>
      <c r="K28" s="66" t="s">
        <v>37</v>
      </c>
      <c r="L28" s="66" t="s">
        <v>37</v>
      </c>
      <c r="M28" s="66" t="s">
        <v>37</v>
      </c>
      <c r="N28" s="66" t="s">
        <v>37</v>
      </c>
      <c r="O28" s="66" t="s">
        <v>37</v>
      </c>
      <c r="P28" s="66" t="s">
        <v>37</v>
      </c>
      <c r="Q28" s="66" t="s">
        <v>37</v>
      </c>
      <c r="R28" s="17" t="s">
        <v>37</v>
      </c>
      <c r="S28" s="67">
        <v>5.3606072678980168E-2</v>
      </c>
      <c r="T28" s="85" t="s">
        <v>38</v>
      </c>
      <c r="U28" s="70" t="s">
        <v>39</v>
      </c>
      <c r="V28" s="66" t="s">
        <v>37</v>
      </c>
      <c r="W28" s="89" t="s">
        <v>37</v>
      </c>
      <c r="X28" s="69" t="s">
        <v>40</v>
      </c>
      <c r="Y28" s="70" t="s">
        <v>61</v>
      </c>
      <c r="Z28" s="68"/>
      <c r="AI28" s="67">
        <v>5.3606072678980168E-2</v>
      </c>
      <c r="AJ28" s="67">
        <v>5.3606072678980168E-2</v>
      </c>
      <c r="AK28" s="67">
        <v>5.3606072678980168E-2</v>
      </c>
      <c r="AL28" s="67">
        <v>5.3606072678980168E-2</v>
      </c>
      <c r="AM28" s="5"/>
    </row>
    <row r="29" spans="1:39" ht="13.75" customHeight="1" x14ac:dyDescent="0.3">
      <c r="A29" s="55">
        <v>3.0181818181818199</v>
      </c>
      <c r="B29" s="56" t="s">
        <v>11</v>
      </c>
      <c r="C29" s="79">
        <v>0.127</v>
      </c>
      <c r="D29" s="79">
        <v>0.17899999999999999</v>
      </c>
      <c r="E29" s="79">
        <v>0.41499999999999998</v>
      </c>
      <c r="F29" s="79">
        <v>0.253</v>
      </c>
      <c r="G29" s="79">
        <v>6.9000000000000006E-2</v>
      </c>
      <c r="H29" s="79">
        <v>-2.7000000000000003E-2</v>
      </c>
      <c r="I29" s="79">
        <v>0.221</v>
      </c>
      <c r="J29" s="79">
        <v>6.5000000000000002E-2</v>
      </c>
      <c r="K29" s="79">
        <v>0.20800000000000002</v>
      </c>
      <c r="L29" s="79">
        <v>0.13500000000000001</v>
      </c>
      <c r="M29" s="79">
        <v>0.26100000000000001</v>
      </c>
      <c r="N29" s="79">
        <v>-0.02</v>
      </c>
      <c r="O29" s="79">
        <v>2.1000000000000001E-2</v>
      </c>
      <c r="P29" s="79">
        <v>2.6000000000000002E-2</v>
      </c>
      <c r="Q29" s="79">
        <v>0.14599999999999999</v>
      </c>
      <c r="R29" s="80">
        <v>0.11563643965592796</v>
      </c>
      <c r="S29" s="81">
        <v>5.0002226316384138E-2</v>
      </c>
      <c r="T29" s="56" t="s">
        <v>28</v>
      </c>
      <c r="U29" s="84" t="s">
        <v>62</v>
      </c>
      <c r="V29" s="79">
        <v>0.10199999999999999</v>
      </c>
      <c r="W29" s="91">
        <v>46295</v>
      </c>
      <c r="X29" s="83" t="s">
        <v>30</v>
      </c>
      <c r="Y29" s="84" t="s">
        <v>31</v>
      </c>
      <c r="Z29" s="82"/>
      <c r="AI29" s="81">
        <v>5.0002226316384138E-2</v>
      </c>
      <c r="AJ29" s="81">
        <v>5.0002226316384138E-2</v>
      </c>
      <c r="AK29" s="81">
        <v>5.0002226316384138E-2</v>
      </c>
      <c r="AL29" s="81">
        <v>5.0002226316384138E-2</v>
      </c>
      <c r="AM29" s="5"/>
    </row>
    <row r="30" spans="1:39" ht="13.75" customHeight="1" x14ac:dyDescent="0.3">
      <c r="A30" s="64">
        <v>3.1</v>
      </c>
      <c r="B30" s="85" t="s">
        <v>63</v>
      </c>
      <c r="C30" s="66">
        <v>5.2600000000000001E-2</v>
      </c>
      <c r="D30" s="66">
        <v>0.32689999999999997</v>
      </c>
      <c r="E30" s="66">
        <v>0.4839</v>
      </c>
      <c r="F30" s="66">
        <v>0.44969999999999999</v>
      </c>
      <c r="G30" s="66">
        <v>0.1358</v>
      </c>
      <c r="H30" s="66">
        <v>-0.1545</v>
      </c>
      <c r="I30" s="66">
        <v>0.43770000000000003</v>
      </c>
      <c r="J30" s="66">
        <v>-0.15279999999999999</v>
      </c>
      <c r="K30" s="66">
        <v>0.3256</v>
      </c>
      <c r="L30" s="66">
        <v>0.48330000000000001</v>
      </c>
      <c r="M30" s="66">
        <v>-0.20449999999999999</v>
      </c>
      <c r="N30" s="66">
        <v>-0.25869999999999999</v>
      </c>
      <c r="O30" s="66">
        <v>7.5999999999999998E-2</v>
      </c>
      <c r="P30" s="66">
        <v>1.01E-2</v>
      </c>
      <c r="Q30" s="66">
        <v>0.3589</v>
      </c>
      <c r="R30" s="17">
        <v>0.25370909106722173</v>
      </c>
      <c r="S30" s="67">
        <v>4.8607338169758499E-2</v>
      </c>
      <c r="T30" s="85" t="s">
        <v>33</v>
      </c>
      <c r="U30" s="70" t="s">
        <v>64</v>
      </c>
      <c r="V30" s="66">
        <v>0.23879999999999998</v>
      </c>
      <c r="W30" s="89">
        <v>46295</v>
      </c>
      <c r="X30" s="69" t="s">
        <v>30</v>
      </c>
      <c r="Y30" s="70" t="s">
        <v>65</v>
      </c>
      <c r="Z30" s="68"/>
      <c r="AI30" s="67">
        <v>4.8607338169758499E-2</v>
      </c>
      <c r="AJ30" s="67">
        <v>4.8607338169758499E-2</v>
      </c>
      <c r="AK30" s="67">
        <v>4.8607338169758499E-2</v>
      </c>
      <c r="AL30" s="67">
        <v>4.8607338169758499E-2</v>
      </c>
      <c r="AM30" s="5"/>
    </row>
    <row r="31" spans="1:39" ht="13.75" customHeight="1" x14ac:dyDescent="0.3">
      <c r="A31" s="64">
        <v>3.2</v>
      </c>
      <c r="B31" s="85" t="s">
        <v>66</v>
      </c>
      <c r="C31" s="66">
        <v>0.1273</v>
      </c>
      <c r="D31" s="66">
        <v>0.1091</v>
      </c>
      <c r="E31" s="66">
        <v>0.60840000000000005</v>
      </c>
      <c r="F31" s="66">
        <v>0.29520000000000002</v>
      </c>
      <c r="G31" s="66">
        <v>1.6500000000000001E-2</v>
      </c>
      <c r="H31" s="66">
        <v>-0.23199999999999998</v>
      </c>
      <c r="I31" s="66">
        <v>0.12050000000000001</v>
      </c>
      <c r="J31" s="66">
        <v>-0.1532</v>
      </c>
      <c r="K31" s="66">
        <v>0.25609999999999999</v>
      </c>
      <c r="L31" s="66">
        <v>0.14679999999999999</v>
      </c>
      <c r="M31" s="66">
        <v>-0.10539999999999999</v>
      </c>
      <c r="N31" s="66">
        <v>-9.8400000000000001E-2</v>
      </c>
      <c r="O31" s="66">
        <v>2.9700000000000001E-2</v>
      </c>
      <c r="P31" s="66">
        <v>4.9400000000000006E-2</v>
      </c>
      <c r="Q31" s="66">
        <v>0.31609999999999999</v>
      </c>
      <c r="R31" s="17">
        <v>0.13663913900761537</v>
      </c>
      <c r="S31" s="67">
        <v>3.6918638686160368E-2</v>
      </c>
      <c r="T31" s="85" t="s">
        <v>33</v>
      </c>
      <c r="U31" s="70" t="s">
        <v>67</v>
      </c>
      <c r="V31" s="66">
        <v>0.1263</v>
      </c>
      <c r="W31" s="89">
        <v>46295</v>
      </c>
      <c r="X31" s="69" t="s">
        <v>30</v>
      </c>
      <c r="Y31" s="70" t="s">
        <v>68</v>
      </c>
      <c r="Z31" s="68"/>
      <c r="AI31" s="67">
        <v>3.6918638686160368E-2</v>
      </c>
      <c r="AJ31" s="67">
        <v>3.6918638686160368E-2</v>
      </c>
      <c r="AK31" s="67">
        <v>3.6918638686160368E-2</v>
      </c>
      <c r="AL31" s="67">
        <v>3.6918638686160368E-2</v>
      </c>
      <c r="AM31" s="5"/>
    </row>
    <row r="32" spans="1:39" ht="13.75" customHeight="1" x14ac:dyDescent="0.3">
      <c r="A32" s="64">
        <v>3.3</v>
      </c>
      <c r="B32" s="85" t="s">
        <v>69</v>
      </c>
      <c r="C32" s="66">
        <v>1E-4</v>
      </c>
      <c r="D32" s="66">
        <v>0.1578</v>
      </c>
      <c r="E32" s="66">
        <v>0.37770000000000004</v>
      </c>
      <c r="F32" s="66">
        <v>0.22719999999999999</v>
      </c>
      <c r="G32" s="66">
        <v>9.69E-2</v>
      </c>
      <c r="H32" s="66">
        <v>9.3000000000000013E-2</v>
      </c>
      <c r="I32" s="66">
        <v>0.30809999999999998</v>
      </c>
      <c r="J32" s="66">
        <v>0.1545</v>
      </c>
      <c r="K32" s="66">
        <v>0.32750000000000001</v>
      </c>
      <c r="L32" s="66">
        <v>0.24179999999999999</v>
      </c>
      <c r="M32" s="66">
        <v>0.2104</v>
      </c>
      <c r="N32" s="66">
        <v>-0.19800000000000001</v>
      </c>
      <c r="O32" s="66">
        <v>3.2400000000000005E-2</v>
      </c>
      <c r="P32" s="66">
        <v>8.6199999999999999E-2</v>
      </c>
      <c r="Q32" s="66">
        <v>6.88E-2</v>
      </c>
      <c r="R32" s="17">
        <v>-0.16704038678376143</v>
      </c>
      <c r="S32" s="67">
        <v>5.090563873926697E-2</v>
      </c>
      <c r="T32" s="85" t="s">
        <v>33</v>
      </c>
      <c r="U32" s="70" t="s">
        <v>70</v>
      </c>
      <c r="V32" s="66">
        <v>-0.17739999999999997</v>
      </c>
      <c r="W32" s="89">
        <v>46295</v>
      </c>
      <c r="X32" s="69" t="s">
        <v>30</v>
      </c>
      <c r="Y32" s="70" t="s">
        <v>71</v>
      </c>
      <c r="Z32" s="68"/>
      <c r="AI32" s="67">
        <v>5.090563873926697E-2</v>
      </c>
      <c r="AJ32" s="67">
        <v>5.090563873926697E-2</v>
      </c>
      <c r="AK32" s="67">
        <v>5.090563873926697E-2</v>
      </c>
      <c r="AL32" s="67">
        <v>5.090563873926697E-2</v>
      </c>
      <c r="AM32" s="5"/>
    </row>
    <row r="33" spans="1:39" ht="13.75" customHeight="1" thickBot="1" x14ac:dyDescent="0.35">
      <c r="A33" s="64">
        <v>3.4</v>
      </c>
      <c r="B33" s="85" t="s">
        <v>72</v>
      </c>
      <c r="C33" s="66">
        <v>9.4E-2</v>
      </c>
      <c r="D33" s="66">
        <v>0.1739</v>
      </c>
      <c r="E33" s="66">
        <v>0.36579999999999996</v>
      </c>
      <c r="F33" s="66">
        <v>0.27190000000000003</v>
      </c>
      <c r="G33" s="66">
        <v>5.2600000000000001E-2</v>
      </c>
      <c r="H33" s="66">
        <v>1.01E-2</v>
      </c>
      <c r="I33" s="66">
        <v>0.2545</v>
      </c>
      <c r="J33" s="66">
        <v>9.5600000000000004E-2</v>
      </c>
      <c r="K33" s="66">
        <v>0.22339999999999999</v>
      </c>
      <c r="L33" s="66">
        <v>0.17670000000000002</v>
      </c>
      <c r="M33" s="66">
        <v>0.24460000000000001</v>
      </c>
      <c r="N33" s="66">
        <v>-6.6299999999999998E-2</v>
      </c>
      <c r="O33" s="66">
        <v>-7.3000000000000001E-3</v>
      </c>
      <c r="P33" s="66">
        <v>-7.9100000000000004E-2</v>
      </c>
      <c r="Q33" s="66">
        <v>9.1999999999999998E-3</v>
      </c>
      <c r="R33" s="17">
        <v>0.1866674039241174</v>
      </c>
      <c r="S33" s="67">
        <v>4.5263192183735937E-2</v>
      </c>
      <c r="T33" s="85" t="s">
        <v>33</v>
      </c>
      <c r="U33" s="70" t="s">
        <v>73</v>
      </c>
      <c r="V33" s="66">
        <v>0.17350000000000002</v>
      </c>
      <c r="W33" s="89">
        <v>46295</v>
      </c>
      <c r="X33" s="69" t="s">
        <v>30</v>
      </c>
      <c r="Y33" s="70" t="s">
        <v>74</v>
      </c>
      <c r="Z33" s="68"/>
      <c r="AI33" s="67">
        <v>4.5263192183735937E-2</v>
      </c>
      <c r="AJ33" s="67">
        <v>4.5263192183735937E-2</v>
      </c>
      <c r="AK33" s="67">
        <v>4.5263192183735937E-2</v>
      </c>
      <c r="AL33" s="67">
        <v>4.5263192183735937E-2</v>
      </c>
      <c r="AM33" s="5"/>
    </row>
    <row r="34" spans="1:39" ht="13.75" customHeight="1" x14ac:dyDescent="0.3">
      <c r="A34" s="55">
        <v>4</v>
      </c>
      <c r="B34" s="56" t="s">
        <v>12</v>
      </c>
      <c r="C34" s="79">
        <v>-6.0000000000000001E-3</v>
      </c>
      <c r="D34" s="79">
        <v>0.154</v>
      </c>
      <c r="E34" s="79">
        <v>0.40700000000000003</v>
      </c>
      <c r="F34" s="79">
        <v>9.8000000000000004E-2</v>
      </c>
      <c r="G34" s="79">
        <v>-2.5000000000000001E-2</v>
      </c>
      <c r="H34" s="79">
        <v>0.18899999999999997</v>
      </c>
      <c r="I34" s="79">
        <v>0.21</v>
      </c>
      <c r="J34" s="79">
        <v>-0.13300000000000001</v>
      </c>
      <c r="K34" s="79">
        <v>0.29399999999999998</v>
      </c>
      <c r="L34" s="79">
        <v>0.111</v>
      </c>
      <c r="M34" s="79">
        <v>0.21100000000000002</v>
      </c>
      <c r="N34" s="79">
        <v>-5.5E-2</v>
      </c>
      <c r="O34" s="79">
        <v>0.18100000000000002</v>
      </c>
      <c r="P34" s="79">
        <v>0.17499999999999999</v>
      </c>
      <c r="Q34" s="79">
        <v>0.19399999999999998</v>
      </c>
      <c r="R34" s="80">
        <v>9.7938317996697499E-2</v>
      </c>
      <c r="S34" s="81">
        <v>4.8153623053543551E-2</v>
      </c>
      <c r="T34" s="56" t="s">
        <v>28</v>
      </c>
      <c r="U34" s="84" t="s">
        <v>75</v>
      </c>
      <c r="V34" s="79">
        <v>8.5000000000000006E-2</v>
      </c>
      <c r="W34" s="91">
        <v>46295</v>
      </c>
      <c r="X34" s="83" t="s">
        <v>30</v>
      </c>
      <c r="Y34" s="84" t="s">
        <v>31</v>
      </c>
      <c r="Z34" s="82"/>
      <c r="AI34" s="81">
        <v>4.8153623053543551E-2</v>
      </c>
      <c r="AJ34" s="81">
        <v>4.8153623053543551E-2</v>
      </c>
      <c r="AK34" s="81">
        <v>4.8153623053543551E-2</v>
      </c>
      <c r="AL34" s="81">
        <v>4.8153623053543551E-2</v>
      </c>
      <c r="AM34" s="5"/>
    </row>
    <row r="35" spans="1:39" ht="13.75" customHeight="1" x14ac:dyDescent="0.3">
      <c r="A35" s="64">
        <v>4.0727272727272696</v>
      </c>
      <c r="B35" s="85" t="s">
        <v>76</v>
      </c>
      <c r="C35" s="66" t="s">
        <v>37</v>
      </c>
      <c r="D35" s="66">
        <v>0.1477</v>
      </c>
      <c r="E35" s="66">
        <v>0.61170000000000002</v>
      </c>
      <c r="F35" s="66">
        <v>0.1159</v>
      </c>
      <c r="G35" s="66">
        <v>-9.7000000000000003E-3</v>
      </c>
      <c r="H35" s="66">
        <v>0.21239999999999998</v>
      </c>
      <c r="I35" s="66">
        <v>0.33</v>
      </c>
      <c r="J35" s="66">
        <v>-4.58E-2</v>
      </c>
      <c r="K35" s="66">
        <v>0.39329999999999998</v>
      </c>
      <c r="L35" s="66">
        <v>6.1799999999999994E-2</v>
      </c>
      <c r="M35" s="66">
        <v>2.3099999999999999E-2</v>
      </c>
      <c r="N35" s="66">
        <v>-5.0199999999999995E-2</v>
      </c>
      <c r="O35" s="66">
        <v>0.2379</v>
      </c>
      <c r="P35" s="66">
        <v>0.23319999999999999</v>
      </c>
      <c r="Q35" s="66">
        <v>0.46149999999999997</v>
      </c>
      <c r="R35" s="17">
        <v>-1.6185631735537775E-2</v>
      </c>
      <c r="S35" s="67">
        <v>5.9439379392348682E-2</v>
      </c>
      <c r="T35" s="85" t="s">
        <v>33</v>
      </c>
      <c r="U35" s="70" t="s">
        <v>77</v>
      </c>
      <c r="V35" s="66">
        <v>-3.04E-2</v>
      </c>
      <c r="W35" s="89">
        <v>46295</v>
      </c>
      <c r="X35" s="69" t="s">
        <v>58</v>
      </c>
      <c r="Y35" s="70" t="s">
        <v>78</v>
      </c>
      <c r="Z35" s="68"/>
      <c r="AI35" s="67">
        <v>5.9439379392348682E-2</v>
      </c>
      <c r="AJ35" s="67">
        <v>5.9439379392348682E-2</v>
      </c>
      <c r="AK35" s="67">
        <v>5.9439379392348682E-2</v>
      </c>
      <c r="AL35" s="67">
        <v>5.9439379392348682E-2</v>
      </c>
      <c r="AM35" s="5"/>
    </row>
    <row r="36" spans="1:39" ht="13.75" customHeight="1" x14ac:dyDescent="0.3">
      <c r="A36" s="64">
        <v>4.2484848484848499</v>
      </c>
      <c r="B36" s="85" t="s">
        <v>79</v>
      </c>
      <c r="C36" s="66" t="s">
        <v>37</v>
      </c>
      <c r="D36" s="66">
        <v>0.1477</v>
      </c>
      <c r="E36" s="66">
        <v>0.61170000000000002</v>
      </c>
      <c r="F36" s="66">
        <v>0.1159</v>
      </c>
      <c r="G36" s="66">
        <v>-9.7000000000000003E-3</v>
      </c>
      <c r="H36" s="66">
        <v>0.21239999999999998</v>
      </c>
      <c r="I36" s="66">
        <v>0.33</v>
      </c>
      <c r="J36" s="66">
        <v>-4.58E-2</v>
      </c>
      <c r="K36" s="66">
        <v>0.39329999999999998</v>
      </c>
      <c r="L36" s="66">
        <v>6.1799999999999994E-2</v>
      </c>
      <c r="M36" s="66">
        <v>2.3099999999999999E-2</v>
      </c>
      <c r="N36" s="66">
        <v>-5.0199999999999995E-2</v>
      </c>
      <c r="O36" s="66">
        <v>0.2379</v>
      </c>
      <c r="P36" s="66">
        <v>0.23319999999999999</v>
      </c>
      <c r="Q36" s="66">
        <v>0.46149999999999997</v>
      </c>
      <c r="R36" s="17">
        <v>-1.6185631735537775E-2</v>
      </c>
      <c r="S36" s="67">
        <v>5.9439379392348682E-2</v>
      </c>
      <c r="T36" s="85" t="s">
        <v>33</v>
      </c>
      <c r="U36" s="70" t="s">
        <v>77</v>
      </c>
      <c r="V36" s="66">
        <v>-3.04E-2</v>
      </c>
      <c r="W36" s="89">
        <v>46295</v>
      </c>
      <c r="X36" s="69" t="s">
        <v>58</v>
      </c>
      <c r="Y36" s="70" t="s">
        <v>80</v>
      </c>
      <c r="Z36" s="68"/>
      <c r="AI36" s="67">
        <v>5.9439379392348682E-2</v>
      </c>
      <c r="AJ36" s="67">
        <v>5.9439379392348682E-2</v>
      </c>
      <c r="AK36" s="67">
        <v>5.9439379392348682E-2</v>
      </c>
      <c r="AL36" s="67">
        <v>5.9439379392348682E-2</v>
      </c>
      <c r="AM36" s="5"/>
    </row>
    <row r="37" spans="1:39" ht="13.75" customHeight="1" x14ac:dyDescent="0.3">
      <c r="A37" s="64">
        <v>4.3</v>
      </c>
      <c r="B37" s="85" t="s">
        <v>81</v>
      </c>
      <c r="C37" s="66" t="s">
        <v>37</v>
      </c>
      <c r="D37" s="66" t="s">
        <v>37</v>
      </c>
      <c r="E37" s="66" t="s">
        <v>37</v>
      </c>
      <c r="F37" s="66" t="s">
        <v>37</v>
      </c>
      <c r="G37" s="66" t="s">
        <v>37</v>
      </c>
      <c r="H37" s="66" t="s">
        <v>37</v>
      </c>
      <c r="I37" s="66" t="s">
        <v>37</v>
      </c>
      <c r="J37" s="66" t="s">
        <v>37</v>
      </c>
      <c r="K37" s="66" t="s">
        <v>37</v>
      </c>
      <c r="L37" s="66" t="s">
        <v>37</v>
      </c>
      <c r="M37" s="66" t="s">
        <v>37</v>
      </c>
      <c r="N37" s="66" t="s">
        <v>37</v>
      </c>
      <c r="O37" s="66" t="s">
        <v>37</v>
      </c>
      <c r="P37" s="66" t="s">
        <v>37</v>
      </c>
      <c r="Q37" s="66" t="s">
        <v>37</v>
      </c>
      <c r="R37" s="17" t="s">
        <v>37</v>
      </c>
      <c r="S37" s="67">
        <v>4.8153623053543551E-2</v>
      </c>
      <c r="T37" s="85" t="s">
        <v>38</v>
      </c>
      <c r="U37" s="70" t="s">
        <v>39</v>
      </c>
      <c r="V37" s="66" t="s">
        <v>37</v>
      </c>
      <c r="W37" s="89" t="s">
        <v>37</v>
      </c>
      <c r="X37" s="69" t="s">
        <v>40</v>
      </c>
      <c r="Y37" s="70" t="s">
        <v>82</v>
      </c>
      <c r="Z37" s="68"/>
      <c r="AI37" s="67">
        <v>4.8153623053543551E-2</v>
      </c>
      <c r="AJ37" s="67">
        <v>4.8153623053543551E-2</v>
      </c>
      <c r="AK37" s="67">
        <v>4.8153623053543551E-2</v>
      </c>
      <c r="AL37" s="67">
        <v>4.8153623053543551E-2</v>
      </c>
      <c r="AM37" s="5"/>
    </row>
    <row r="38" spans="1:39" ht="13.75" customHeight="1" thickBot="1" x14ac:dyDescent="0.35">
      <c r="A38" s="64">
        <v>4.4000000000000004</v>
      </c>
      <c r="B38" s="85" t="s">
        <v>83</v>
      </c>
      <c r="C38" s="66">
        <v>-1.54E-2</v>
      </c>
      <c r="D38" s="66">
        <v>6.6600000000000006E-2</v>
      </c>
      <c r="E38" s="66">
        <v>0.41170000000000001</v>
      </c>
      <c r="F38" s="66">
        <v>0.25359999999999999</v>
      </c>
      <c r="G38" s="66">
        <v>-0.1691</v>
      </c>
      <c r="H38" s="66">
        <v>0.22159999999999999</v>
      </c>
      <c r="I38" s="66">
        <v>0.18890000000000001</v>
      </c>
      <c r="J38" s="66">
        <v>-0.12869999999999998</v>
      </c>
      <c r="K38" s="66">
        <v>0.2011</v>
      </c>
      <c r="L38" s="66">
        <v>0.14199999999999999</v>
      </c>
      <c r="M38" s="66">
        <v>0.2641</v>
      </c>
      <c r="N38" s="66">
        <v>-0.21739999999999998</v>
      </c>
      <c r="O38" s="66">
        <v>0.2462</v>
      </c>
      <c r="P38" s="66">
        <v>4.0999999999999995E-2</v>
      </c>
      <c r="Q38" s="66">
        <v>0.1148</v>
      </c>
      <c r="R38" s="17">
        <v>8.8477079172980533E-2</v>
      </c>
      <c r="S38" s="67">
        <v>4.0266722984351924E-2</v>
      </c>
      <c r="T38" s="85" t="s">
        <v>33</v>
      </c>
      <c r="U38" s="70" t="s">
        <v>84</v>
      </c>
      <c r="V38" s="66">
        <v>7.7699999999999991E-2</v>
      </c>
      <c r="W38" s="89">
        <v>46295</v>
      </c>
      <c r="X38" s="69" t="s">
        <v>30</v>
      </c>
      <c r="Y38" s="70" t="s">
        <v>85</v>
      </c>
      <c r="Z38" s="68"/>
      <c r="AI38" s="67">
        <v>4.0266722984351924E-2</v>
      </c>
      <c r="AJ38" s="67">
        <v>4.0266722984351924E-2</v>
      </c>
      <c r="AK38" s="67">
        <v>4.0266722984351924E-2</v>
      </c>
      <c r="AL38" s="67">
        <v>4.0266722984351924E-2</v>
      </c>
      <c r="AM38" s="5"/>
    </row>
    <row r="39" spans="1:39" ht="13.75" customHeight="1" x14ac:dyDescent="0.3">
      <c r="A39" s="55">
        <v>5</v>
      </c>
      <c r="B39" s="56" t="s">
        <v>14</v>
      </c>
      <c r="C39" s="79">
        <v>-0.17100000000000001</v>
      </c>
      <c r="D39" s="79">
        <v>0.28800000000000003</v>
      </c>
      <c r="E39" s="79">
        <v>0.35600000000000004</v>
      </c>
      <c r="F39" s="79">
        <v>0.152</v>
      </c>
      <c r="G39" s="79">
        <v>-1.4999999999999999E-2</v>
      </c>
      <c r="H39" s="79">
        <v>0.22800000000000001</v>
      </c>
      <c r="I39" s="79">
        <v>0.222</v>
      </c>
      <c r="J39" s="79">
        <v>-0.13</v>
      </c>
      <c r="K39" s="79">
        <v>0.32100000000000001</v>
      </c>
      <c r="L39" s="79">
        <v>-1.7000000000000001E-2</v>
      </c>
      <c r="M39" s="79">
        <v>0.35</v>
      </c>
      <c r="N39" s="79">
        <v>-0.105</v>
      </c>
      <c r="O39" s="79">
        <v>0.122</v>
      </c>
      <c r="P39" s="79">
        <v>0.30599999999999999</v>
      </c>
      <c r="Q39" s="79">
        <v>0.15</v>
      </c>
      <c r="R39" s="80">
        <v>-1.3892760759137701E-3</v>
      </c>
      <c r="S39" s="81">
        <v>4.7491891026528468E-2</v>
      </c>
      <c r="T39" s="56" t="s">
        <v>28</v>
      </c>
      <c r="U39" s="84" t="s">
        <v>86</v>
      </c>
      <c r="V39" s="79">
        <v>-1.3000000000000001E-2</v>
      </c>
      <c r="W39" s="91">
        <v>46295</v>
      </c>
      <c r="X39" s="83" t="s">
        <v>30</v>
      </c>
      <c r="Y39" s="84" t="s">
        <v>31</v>
      </c>
      <c r="Z39" s="82"/>
      <c r="AI39" s="81">
        <v>4.7491891026528468E-2</v>
      </c>
      <c r="AJ39" s="81">
        <v>4.7491891026528468E-2</v>
      </c>
      <c r="AK39" s="81">
        <v>4.7491891026528468E-2</v>
      </c>
      <c r="AL39" s="81">
        <v>4.7491891026528468E-2</v>
      </c>
      <c r="AM39" s="5"/>
    </row>
    <row r="40" spans="1:39" ht="13.75" customHeight="1" x14ac:dyDescent="0.3">
      <c r="A40" s="64">
        <v>5.0999999999999996</v>
      </c>
      <c r="B40" s="85" t="s">
        <v>87</v>
      </c>
      <c r="C40" s="66">
        <v>-0.22059999999999999</v>
      </c>
      <c r="D40" s="66">
        <v>0.2273</v>
      </c>
      <c r="E40" s="66">
        <v>0.4138</v>
      </c>
      <c r="F40" s="66">
        <v>2.76E-2</v>
      </c>
      <c r="G40" s="66">
        <v>2.4900000000000002E-2</v>
      </c>
      <c r="H40" s="66">
        <v>0.30809999999999998</v>
      </c>
      <c r="I40" s="66">
        <v>0.10490000000000001</v>
      </c>
      <c r="J40" s="66">
        <v>-0.19640000000000002</v>
      </c>
      <c r="K40" s="66">
        <v>0.29780000000000001</v>
      </c>
      <c r="L40" s="66">
        <v>-8.7499999999999994E-2</v>
      </c>
      <c r="M40" s="66">
        <v>0.33460000000000001</v>
      </c>
      <c r="N40" s="66">
        <v>-0.1484</v>
      </c>
      <c r="O40" s="66">
        <v>5.3200000000000004E-2</v>
      </c>
      <c r="P40" s="66">
        <v>0.23780000000000001</v>
      </c>
      <c r="Q40" s="66">
        <v>0.12359999999999999</v>
      </c>
      <c r="R40" s="17">
        <v>8.0838598665235128E-2</v>
      </c>
      <c r="S40" s="67">
        <v>3.7329873036776554E-2</v>
      </c>
      <c r="T40" s="85" t="s">
        <v>33</v>
      </c>
      <c r="U40" s="70" t="s">
        <v>88</v>
      </c>
      <c r="V40" s="66">
        <v>7.0900000000000005E-2</v>
      </c>
      <c r="W40" s="89">
        <v>46295</v>
      </c>
      <c r="X40" s="69" t="s">
        <v>30</v>
      </c>
      <c r="Y40" s="70" t="s">
        <v>89</v>
      </c>
      <c r="Z40" s="68"/>
      <c r="AI40" s="67">
        <v>3.7329873036776554E-2</v>
      </c>
      <c r="AJ40" s="67">
        <v>3.7329873036776554E-2</v>
      </c>
      <c r="AK40" s="67">
        <v>3.7329873036776554E-2</v>
      </c>
      <c r="AL40" s="67">
        <v>3.7329873036776554E-2</v>
      </c>
      <c r="AM40" s="5"/>
    </row>
    <row r="41" spans="1:39" ht="13.75" customHeight="1" x14ac:dyDescent="0.3">
      <c r="A41" s="64">
        <v>5.2</v>
      </c>
      <c r="B41" s="85" t="s">
        <v>90</v>
      </c>
      <c r="C41" s="66">
        <v>-0.1208</v>
      </c>
      <c r="D41" s="66">
        <v>0.2072</v>
      </c>
      <c r="E41" s="66">
        <v>0.45640000000000003</v>
      </c>
      <c r="F41" s="66">
        <v>7.690000000000001E-2</v>
      </c>
      <c r="G41" s="66">
        <v>5.9699999999999996E-2</v>
      </c>
      <c r="H41" s="66">
        <v>0.21420000000000003</v>
      </c>
      <c r="I41" s="66">
        <v>0.1283</v>
      </c>
      <c r="J41" s="66">
        <v>-5.9900000000000002E-2</v>
      </c>
      <c r="K41" s="66">
        <v>0.27190000000000003</v>
      </c>
      <c r="L41" s="66">
        <v>-3.04E-2</v>
      </c>
      <c r="M41" s="66">
        <v>0.22750000000000001</v>
      </c>
      <c r="N41" s="66">
        <v>3.4799999999999998E-2</v>
      </c>
      <c r="O41" s="66">
        <v>0.12189999999999999</v>
      </c>
      <c r="P41" s="66">
        <v>0.26950000000000002</v>
      </c>
      <c r="Q41" s="66">
        <v>8.1300000000000011E-2</v>
      </c>
      <c r="R41" s="17">
        <v>1.7172368143880901E-2</v>
      </c>
      <c r="S41" s="67">
        <v>4.685484039532696E-2</v>
      </c>
      <c r="T41" s="85" t="s">
        <v>33</v>
      </c>
      <c r="U41" s="70" t="s">
        <v>91</v>
      </c>
      <c r="V41" s="66">
        <v>5.5000000000000005E-3</v>
      </c>
      <c r="W41" s="89">
        <v>46295</v>
      </c>
      <c r="X41" s="69" t="s">
        <v>30</v>
      </c>
      <c r="Y41" s="70" t="s">
        <v>92</v>
      </c>
      <c r="Z41" s="68"/>
      <c r="AI41" s="67">
        <v>4.685484039532696E-2</v>
      </c>
      <c r="AJ41" s="67">
        <v>4.685484039532696E-2</v>
      </c>
      <c r="AK41" s="67">
        <v>4.685484039532696E-2</v>
      </c>
      <c r="AL41" s="67">
        <v>4.685484039532696E-2</v>
      </c>
      <c r="AM41" s="5"/>
    </row>
    <row r="42" spans="1:39" ht="13.75" customHeight="1" x14ac:dyDescent="0.3">
      <c r="A42" s="64">
        <v>5.3</v>
      </c>
      <c r="B42" s="85" t="s">
        <v>93</v>
      </c>
      <c r="C42" s="66">
        <v>-0.25359999999999999</v>
      </c>
      <c r="D42" s="66">
        <v>0.26950000000000002</v>
      </c>
      <c r="E42" s="66">
        <v>0.49880000000000002</v>
      </c>
      <c r="F42" s="66">
        <v>3.1800000000000002E-2</v>
      </c>
      <c r="G42" s="66">
        <v>-0.12330000000000001</v>
      </c>
      <c r="H42" s="66">
        <v>5.57E-2</v>
      </c>
      <c r="I42" s="66">
        <v>0.32</v>
      </c>
      <c r="J42" s="66">
        <v>-0.15629999999999999</v>
      </c>
      <c r="K42" s="66">
        <v>0.27129999999999999</v>
      </c>
      <c r="L42" s="66">
        <v>0.30829999999999996</v>
      </c>
      <c r="M42" s="66">
        <v>0.40039999999999998</v>
      </c>
      <c r="N42" s="66">
        <v>-0.22140000000000001</v>
      </c>
      <c r="O42" s="66">
        <v>0.32049999999999995</v>
      </c>
      <c r="P42" s="66">
        <v>0.37520000000000003</v>
      </c>
      <c r="Q42" s="66">
        <v>0.1076</v>
      </c>
      <c r="R42" s="17">
        <v>6.2011412783953279E-2</v>
      </c>
      <c r="S42" s="67">
        <v>4.6951782857531557E-2</v>
      </c>
      <c r="T42" s="85" t="s">
        <v>33</v>
      </c>
      <c r="U42" s="70" t="s">
        <v>94</v>
      </c>
      <c r="V42" s="66">
        <v>4.9800000000000004E-2</v>
      </c>
      <c r="W42" s="89">
        <v>46295</v>
      </c>
      <c r="X42" s="69" t="s">
        <v>30</v>
      </c>
      <c r="Y42" s="70" t="s">
        <v>95</v>
      </c>
      <c r="Z42" s="68"/>
      <c r="AI42" s="67">
        <v>4.6951782857531557E-2</v>
      </c>
      <c r="AJ42" s="67">
        <v>4.6951782857531557E-2</v>
      </c>
      <c r="AK42" s="67">
        <v>4.6951782857531557E-2</v>
      </c>
      <c r="AL42" s="67">
        <v>4.6951782857531557E-2</v>
      </c>
      <c r="AM42" s="5"/>
    </row>
    <row r="43" spans="1:39" ht="13.75" customHeight="1" thickBot="1" x14ac:dyDescent="0.35">
      <c r="A43" s="64">
        <v>5.4</v>
      </c>
      <c r="B43" s="85" t="s">
        <v>96</v>
      </c>
      <c r="C43" s="66">
        <v>-0.20449999999999999</v>
      </c>
      <c r="D43" s="66">
        <v>0.32969999999999999</v>
      </c>
      <c r="E43" s="66">
        <v>0.42849999999999999</v>
      </c>
      <c r="F43" s="66">
        <v>0.10970000000000001</v>
      </c>
      <c r="G43" s="66">
        <v>-7.1999999999999998E-3</v>
      </c>
      <c r="H43" s="66">
        <v>0.19889999999999999</v>
      </c>
      <c r="I43" s="66">
        <v>0.2447</v>
      </c>
      <c r="J43" s="66">
        <v>-0.12560000000000002</v>
      </c>
      <c r="K43" s="66">
        <v>0.37619999999999998</v>
      </c>
      <c r="L43" s="66">
        <v>9.8999999999999991E-3</v>
      </c>
      <c r="M43" s="66">
        <v>0.30359999999999998</v>
      </c>
      <c r="N43" s="66">
        <v>-0.16760000000000003</v>
      </c>
      <c r="O43" s="66">
        <v>0.16070000000000001</v>
      </c>
      <c r="P43" s="66">
        <v>0.31940000000000002</v>
      </c>
      <c r="Q43" s="66">
        <v>0.19850000000000001</v>
      </c>
      <c r="R43" s="17">
        <v>6.4644802191098361E-3</v>
      </c>
      <c r="S43" s="67">
        <v>4.8589009927015217E-2</v>
      </c>
      <c r="T43" s="85" t="s">
        <v>33</v>
      </c>
      <c r="U43" s="70" t="s">
        <v>97</v>
      </c>
      <c r="V43" s="66">
        <v>-5.5000000000000005E-3</v>
      </c>
      <c r="W43" s="89">
        <v>46295</v>
      </c>
      <c r="X43" s="69" t="s">
        <v>30</v>
      </c>
      <c r="Y43" s="70" t="s">
        <v>98</v>
      </c>
      <c r="Z43" s="68"/>
      <c r="AI43" s="67">
        <v>4.8589009927015217E-2</v>
      </c>
      <c r="AJ43" s="67">
        <v>4.8589009927015217E-2</v>
      </c>
      <c r="AK43" s="67">
        <v>4.8589009927015217E-2</v>
      </c>
      <c r="AL43" s="67">
        <v>4.8589009927015217E-2</v>
      </c>
      <c r="AM43" s="5"/>
    </row>
    <row r="44" spans="1:39" ht="13.75" customHeight="1" x14ac:dyDescent="0.3">
      <c r="A44" s="55">
        <v>6</v>
      </c>
      <c r="B44" s="56" t="s">
        <v>15</v>
      </c>
      <c r="C44" s="79">
        <v>6.3E-2</v>
      </c>
      <c r="D44" s="79">
        <v>0.183</v>
      </c>
      <c r="E44" s="79">
        <v>0.115</v>
      </c>
      <c r="F44" s="79">
        <v>0.03</v>
      </c>
      <c r="G44" s="79">
        <v>3.4000000000000002E-2</v>
      </c>
      <c r="H44" s="79">
        <v>0.23499999999999999</v>
      </c>
      <c r="I44" s="79">
        <v>-1.3000000000000001E-2</v>
      </c>
      <c r="J44" s="79">
        <v>-0.125</v>
      </c>
      <c r="K44" s="79">
        <v>0.32700000000000001</v>
      </c>
      <c r="L44" s="79">
        <v>0.23600000000000002</v>
      </c>
      <c r="M44" s="79">
        <v>0.21600000000000003</v>
      </c>
      <c r="N44" s="79">
        <v>-0.39899999999999997</v>
      </c>
      <c r="O44" s="79">
        <v>0.55799999999999994</v>
      </c>
      <c r="P44" s="79">
        <v>0.40200000000000002</v>
      </c>
      <c r="Q44" s="79">
        <v>0.33600000000000002</v>
      </c>
      <c r="R44" s="80">
        <v>5.7208738892756461E-2</v>
      </c>
      <c r="S44" s="81">
        <v>4.7160670624226589E-2</v>
      </c>
      <c r="T44" s="56" t="s">
        <v>28</v>
      </c>
      <c r="U44" s="84" t="s">
        <v>99</v>
      </c>
      <c r="V44" s="79">
        <v>4.4999999999999998E-2</v>
      </c>
      <c r="W44" s="91">
        <v>46295</v>
      </c>
      <c r="X44" s="83" t="s">
        <v>30</v>
      </c>
      <c r="Y44" s="84" t="s">
        <v>100</v>
      </c>
      <c r="Z44" s="82"/>
      <c r="AI44" s="81">
        <v>4.7160670624226589E-2</v>
      </c>
      <c r="AJ44" s="81">
        <v>4.7160670624226589E-2</v>
      </c>
      <c r="AK44" s="81">
        <v>4.7160670624226589E-2</v>
      </c>
      <c r="AL44" s="81">
        <v>4.7160670624226589E-2</v>
      </c>
      <c r="AM44" s="5"/>
    </row>
    <row r="45" spans="1:39" ht="13.75" customHeight="1" x14ac:dyDescent="0.3">
      <c r="A45" s="64">
        <v>6.1</v>
      </c>
      <c r="B45" s="85" t="s">
        <v>101</v>
      </c>
      <c r="C45" s="66">
        <v>-7.4200000000000002E-2</v>
      </c>
      <c r="D45" s="66">
        <v>0.18659999999999999</v>
      </c>
      <c r="E45" s="66">
        <v>0.26190000000000002</v>
      </c>
      <c r="F45" s="66">
        <v>6.8000000000000005E-3</v>
      </c>
      <c r="G45" s="66">
        <v>2.2000000000000001E-3</v>
      </c>
      <c r="H45" s="66">
        <v>0.22760000000000002</v>
      </c>
      <c r="I45" s="66">
        <v>-0.1186</v>
      </c>
      <c r="J45" s="66">
        <v>-8.5900000000000004E-2</v>
      </c>
      <c r="K45" s="66">
        <v>0.16140000000000002</v>
      </c>
      <c r="L45" s="66">
        <v>4.1299999999999996E-2</v>
      </c>
      <c r="M45" s="66">
        <v>0.11689999999999999</v>
      </c>
      <c r="N45" s="66">
        <v>-0.3029</v>
      </c>
      <c r="O45" s="66">
        <v>3.9E-2</v>
      </c>
      <c r="P45" s="66">
        <v>0.20530000000000001</v>
      </c>
      <c r="Q45" s="66">
        <v>0.29270000000000002</v>
      </c>
      <c r="R45" s="17">
        <v>0.32782057827405842</v>
      </c>
      <c r="S45" s="67">
        <v>2.9579968258797898E-2</v>
      </c>
      <c r="T45" s="85" t="s">
        <v>33</v>
      </c>
      <c r="U45" s="70" t="s">
        <v>102</v>
      </c>
      <c r="V45" s="66">
        <v>0.31809999999999999</v>
      </c>
      <c r="W45" s="89">
        <v>46295</v>
      </c>
      <c r="X45" s="69" t="s">
        <v>30</v>
      </c>
      <c r="Y45" s="70" t="s">
        <v>103</v>
      </c>
      <c r="Z45" s="68"/>
      <c r="AI45" s="67">
        <v>2.9579968258797898E-2</v>
      </c>
      <c r="AJ45" s="67">
        <v>2.9579968258797898E-2</v>
      </c>
      <c r="AK45" s="67">
        <v>2.9579968258797898E-2</v>
      </c>
      <c r="AL45" s="67">
        <v>2.9579968258797898E-2</v>
      </c>
      <c r="AM45" s="5"/>
    </row>
    <row r="46" spans="1:39" ht="13.75" customHeight="1" x14ac:dyDescent="0.3">
      <c r="A46" s="64">
        <v>6.2</v>
      </c>
      <c r="B46" s="85" t="s">
        <v>104</v>
      </c>
      <c r="C46" s="66">
        <v>-4.2800000000000005E-2</v>
      </c>
      <c r="D46" s="66">
        <v>0.27050000000000002</v>
      </c>
      <c r="E46" s="66">
        <v>0.60159999999999991</v>
      </c>
      <c r="F46" s="66">
        <v>-3.4500000000000003E-2</v>
      </c>
      <c r="G46" s="66">
        <v>-6.6E-3</v>
      </c>
      <c r="H46" s="66">
        <v>4.4299999999999999E-2</v>
      </c>
      <c r="I46" s="66">
        <v>7.6100000000000001E-2</v>
      </c>
      <c r="J46" s="66">
        <v>1.9699999999999999E-2</v>
      </c>
      <c r="K46" s="66">
        <v>0.20280000000000001</v>
      </c>
      <c r="L46" s="66">
        <v>0.36259999999999998</v>
      </c>
      <c r="M46" s="66">
        <v>0.10679999999999999</v>
      </c>
      <c r="N46" s="66">
        <v>-0.36430000000000001</v>
      </c>
      <c r="O46" s="66">
        <v>0.23780000000000001</v>
      </c>
      <c r="P46" s="66">
        <v>0.32669999999999999</v>
      </c>
      <c r="Q46" s="66">
        <v>0.16399999999999998</v>
      </c>
      <c r="R46" s="17">
        <v>0.11960534923721933</v>
      </c>
      <c r="S46" s="67">
        <v>4.4073243765348505E-2</v>
      </c>
      <c r="T46" s="85" t="s">
        <v>33</v>
      </c>
      <c r="U46" s="70" t="s">
        <v>173</v>
      </c>
      <c r="V46" s="66">
        <v>0.1075</v>
      </c>
      <c r="W46" s="89">
        <v>46295</v>
      </c>
      <c r="X46" s="69" t="s">
        <v>30</v>
      </c>
      <c r="Y46" s="70" t="s">
        <v>105</v>
      </c>
      <c r="Z46" s="68"/>
      <c r="AI46" s="67">
        <v>4.4073243765348505E-2</v>
      </c>
      <c r="AJ46" s="67">
        <v>4.4073243765348505E-2</v>
      </c>
      <c r="AK46" s="67">
        <v>4.4073243765348505E-2</v>
      </c>
      <c r="AL46" s="67">
        <v>4.4073243765348505E-2</v>
      </c>
      <c r="AM46" s="5"/>
    </row>
    <row r="47" spans="1:39" ht="13.75" customHeight="1" x14ac:dyDescent="0.3">
      <c r="A47" s="64">
        <v>6.3</v>
      </c>
      <c r="B47" s="85" t="s">
        <v>106</v>
      </c>
      <c r="C47" s="66">
        <v>1.9099999999999999E-2</v>
      </c>
      <c r="D47" s="66">
        <v>0.23629999999999998</v>
      </c>
      <c r="E47" s="66">
        <v>0.49329999999999996</v>
      </c>
      <c r="F47" s="66">
        <v>5.2999999999999999E-2</v>
      </c>
      <c r="G47" s="66">
        <v>3.4000000000000002E-2</v>
      </c>
      <c r="H47" s="66">
        <v>9.6799999999999997E-2</v>
      </c>
      <c r="I47" s="66">
        <v>0.11220000000000001</v>
      </c>
      <c r="J47" s="66">
        <v>-9.3100000000000002E-2</v>
      </c>
      <c r="K47" s="66">
        <v>0.13819999999999999</v>
      </c>
      <c r="L47" s="66">
        <v>-0.10289999999999999</v>
      </c>
      <c r="M47" s="66">
        <v>0.2278</v>
      </c>
      <c r="N47" s="66">
        <v>-0.25370000000000004</v>
      </c>
      <c r="O47" s="66">
        <v>0.1573</v>
      </c>
      <c r="P47" s="66">
        <v>0.25079999999999997</v>
      </c>
      <c r="Q47" s="66">
        <v>0.17780000000000001</v>
      </c>
      <c r="R47" s="17">
        <v>4.0836984407164101E-2</v>
      </c>
      <c r="S47" s="67">
        <v>3.91924819108216E-2</v>
      </c>
      <c r="T47" s="85" t="s">
        <v>33</v>
      </c>
      <c r="U47" s="70" t="s">
        <v>107</v>
      </c>
      <c r="V47" s="66">
        <v>3.0800000000000001E-2</v>
      </c>
      <c r="W47" s="89">
        <v>46295</v>
      </c>
      <c r="X47" s="69" t="s">
        <v>30</v>
      </c>
      <c r="Y47" s="70" t="s">
        <v>108</v>
      </c>
      <c r="Z47" s="68"/>
      <c r="AI47" s="67">
        <v>3.91924819108216E-2</v>
      </c>
      <c r="AJ47" s="67">
        <v>3.91924819108216E-2</v>
      </c>
      <c r="AK47" s="67">
        <v>3.91924819108216E-2</v>
      </c>
      <c r="AL47" s="67">
        <v>3.91924819108216E-2</v>
      </c>
      <c r="AM47" s="5"/>
    </row>
    <row r="48" spans="1:39" ht="13.75" customHeight="1" thickBot="1" x14ac:dyDescent="0.35">
      <c r="A48" s="64">
        <v>6.3575757575757601</v>
      </c>
      <c r="B48" s="85" t="s">
        <v>109</v>
      </c>
      <c r="C48" s="66">
        <v>-5.8200000000000002E-2</v>
      </c>
      <c r="D48" s="66">
        <v>0.20649999999999999</v>
      </c>
      <c r="E48" s="66">
        <v>0.53610000000000002</v>
      </c>
      <c r="F48" s="66">
        <v>2.4399999999999998E-2</v>
      </c>
      <c r="G48" s="66">
        <v>0.2167</v>
      </c>
      <c r="H48" s="66">
        <v>7.0000000000000007E-2</v>
      </c>
      <c r="I48" s="66">
        <v>0.37640000000000001</v>
      </c>
      <c r="J48" s="66">
        <v>6.1699999999999998E-2</v>
      </c>
      <c r="K48" s="66">
        <v>0.1925</v>
      </c>
      <c r="L48" s="66">
        <v>0.52549999999999997</v>
      </c>
      <c r="M48" s="66">
        <v>6.5500000000000003E-2</v>
      </c>
      <c r="N48" s="66">
        <v>-0.45539999999999997</v>
      </c>
      <c r="O48" s="66">
        <v>0.51479999999999992</v>
      </c>
      <c r="P48" s="66">
        <v>0.30349999999999999</v>
      </c>
      <c r="Q48" s="66">
        <v>0.107</v>
      </c>
      <c r="R48" s="17">
        <v>0.11721721818060682</v>
      </c>
      <c r="S48" s="67">
        <v>5.3639439942035197E-2</v>
      </c>
      <c r="T48" s="85" t="s">
        <v>33</v>
      </c>
      <c r="U48" s="70" t="s">
        <v>110</v>
      </c>
      <c r="V48" s="66">
        <v>0.1026</v>
      </c>
      <c r="W48" s="89">
        <v>46295</v>
      </c>
      <c r="X48" s="69" t="s">
        <v>30</v>
      </c>
      <c r="Y48" s="70" t="s">
        <v>111</v>
      </c>
      <c r="Z48" s="68"/>
      <c r="AI48" s="67">
        <v>5.3639439942035197E-2</v>
      </c>
      <c r="AJ48" s="67">
        <v>5.3639439942035197E-2</v>
      </c>
      <c r="AK48" s="67">
        <v>5.3639439942035197E-2</v>
      </c>
      <c r="AL48" s="67">
        <v>5.3639439942035197E-2</v>
      </c>
      <c r="AM48" s="5"/>
    </row>
    <row r="49" spans="1:39" ht="13.75" customHeight="1" x14ac:dyDescent="0.3">
      <c r="A49" s="55">
        <v>7</v>
      </c>
      <c r="B49" s="56" t="s">
        <v>16</v>
      </c>
      <c r="C49" s="79">
        <v>0.19899999999999998</v>
      </c>
      <c r="D49" s="79">
        <v>1.3000000000000001E-2</v>
      </c>
      <c r="E49" s="79">
        <v>0.13200000000000001</v>
      </c>
      <c r="F49" s="79">
        <v>0.28999999999999998</v>
      </c>
      <c r="G49" s="79">
        <v>-4.8000000000000001E-2</v>
      </c>
      <c r="H49" s="79">
        <v>0.16300000000000001</v>
      </c>
      <c r="I49" s="79">
        <v>0.121</v>
      </c>
      <c r="J49" s="79">
        <v>4.0999999999999995E-2</v>
      </c>
      <c r="K49" s="79">
        <v>0.26400000000000001</v>
      </c>
      <c r="L49" s="79">
        <v>5.0000000000000001E-3</v>
      </c>
      <c r="M49" s="79">
        <v>0.17699999999999999</v>
      </c>
      <c r="N49" s="79">
        <v>1.6E-2</v>
      </c>
      <c r="O49" s="79">
        <v>-7.0999999999999994E-2</v>
      </c>
      <c r="P49" s="79">
        <v>0.23399999999999999</v>
      </c>
      <c r="Q49" s="79">
        <v>0.16</v>
      </c>
      <c r="R49" s="80">
        <v>-4.6774018572900311E-2</v>
      </c>
      <c r="S49" s="81">
        <v>4.3719910883029525E-2</v>
      </c>
      <c r="T49" s="56" t="s">
        <v>28</v>
      </c>
      <c r="U49" s="84" t="s">
        <v>112</v>
      </c>
      <c r="V49" s="79">
        <v>-5.7000000000000002E-2</v>
      </c>
      <c r="W49" s="91">
        <v>46295</v>
      </c>
      <c r="X49" s="83" t="s">
        <v>30</v>
      </c>
      <c r="Y49" s="84" t="s">
        <v>31</v>
      </c>
      <c r="Z49" s="82"/>
      <c r="AI49" s="81">
        <v>4.3719910883029525E-2</v>
      </c>
      <c r="AJ49" s="81">
        <v>4.3719910883029525E-2</v>
      </c>
      <c r="AK49" s="81">
        <v>4.3719910883029525E-2</v>
      </c>
      <c r="AL49" s="81">
        <v>4.3719910883029525E-2</v>
      </c>
      <c r="AM49" s="5"/>
    </row>
    <row r="50" spans="1:39" ht="13.75" customHeight="1" x14ac:dyDescent="0.3">
      <c r="A50" s="64">
        <v>7.1</v>
      </c>
      <c r="B50" s="85" t="s">
        <v>113</v>
      </c>
      <c r="C50" s="66">
        <v>0.19899999999999998</v>
      </c>
      <c r="D50" s="66">
        <v>1.3000000000000001E-2</v>
      </c>
      <c r="E50" s="66">
        <v>0.13200000000000001</v>
      </c>
      <c r="F50" s="66">
        <v>0.28999999999999998</v>
      </c>
      <c r="G50" s="66">
        <v>-4.8000000000000001E-2</v>
      </c>
      <c r="H50" s="66">
        <v>0.16300000000000001</v>
      </c>
      <c r="I50" s="66">
        <v>0.121</v>
      </c>
      <c r="J50" s="66">
        <v>4.0999999999999995E-2</v>
      </c>
      <c r="K50" s="66">
        <v>0.26400000000000001</v>
      </c>
      <c r="L50" s="66">
        <v>5.0000000000000001E-3</v>
      </c>
      <c r="M50" s="66">
        <v>0.17699999999999999</v>
      </c>
      <c r="N50" s="66">
        <v>1.6E-2</v>
      </c>
      <c r="O50" s="66">
        <v>-7.0999999999999994E-2</v>
      </c>
      <c r="P50" s="66">
        <v>0.23399999999999999</v>
      </c>
      <c r="Q50" s="66">
        <v>0.16</v>
      </c>
      <c r="R50" s="17">
        <v>-4.6774018572900311E-2</v>
      </c>
      <c r="S50" s="67">
        <v>4.3719910883029525E-2</v>
      </c>
      <c r="T50" s="85" t="s">
        <v>51</v>
      </c>
      <c r="U50" s="70" t="s">
        <v>112</v>
      </c>
      <c r="V50" s="66">
        <v>-5.7000000000000002E-2</v>
      </c>
      <c r="W50" s="89">
        <v>46295</v>
      </c>
      <c r="X50" s="69" t="s">
        <v>30</v>
      </c>
      <c r="Y50" s="70" t="s">
        <v>114</v>
      </c>
      <c r="Z50" s="68"/>
      <c r="AI50" s="67">
        <v>4.3719910883029525E-2</v>
      </c>
      <c r="AJ50" s="67">
        <v>4.3719910883029525E-2</v>
      </c>
      <c r="AK50" s="67">
        <v>4.3719910883029525E-2</v>
      </c>
      <c r="AL50" s="67">
        <v>4.3719910883029525E-2</v>
      </c>
      <c r="AM50" s="5"/>
    </row>
    <row r="51" spans="1:39" ht="13.75" customHeight="1" x14ac:dyDescent="0.3">
      <c r="A51" s="64">
        <v>7.2</v>
      </c>
      <c r="B51" s="85" t="s">
        <v>115</v>
      </c>
      <c r="C51" s="66" t="s">
        <v>37</v>
      </c>
      <c r="D51" s="66" t="s">
        <v>37</v>
      </c>
      <c r="E51" s="66" t="s">
        <v>37</v>
      </c>
      <c r="F51" s="66" t="s">
        <v>37</v>
      </c>
      <c r="G51" s="66" t="s">
        <v>37</v>
      </c>
      <c r="H51" s="66" t="s">
        <v>37</v>
      </c>
      <c r="I51" s="66" t="s">
        <v>37</v>
      </c>
      <c r="J51" s="66" t="s">
        <v>37</v>
      </c>
      <c r="K51" s="66" t="s">
        <v>37</v>
      </c>
      <c r="L51" s="66" t="s">
        <v>37</v>
      </c>
      <c r="M51" s="66" t="s">
        <v>37</v>
      </c>
      <c r="N51" s="66" t="s">
        <v>37</v>
      </c>
      <c r="O51" s="66" t="s">
        <v>37</v>
      </c>
      <c r="P51" s="66" t="s">
        <v>37</v>
      </c>
      <c r="Q51" s="66" t="s">
        <v>37</v>
      </c>
      <c r="R51" s="17" t="s">
        <v>37</v>
      </c>
      <c r="S51" s="67">
        <v>4.3719910883029525E-2</v>
      </c>
      <c r="T51" s="85" t="s">
        <v>38</v>
      </c>
      <c r="U51" s="70" t="s">
        <v>39</v>
      </c>
      <c r="V51" s="66" t="s">
        <v>37</v>
      </c>
      <c r="W51" s="89" t="s">
        <v>37</v>
      </c>
      <c r="X51" s="69" t="s">
        <v>40</v>
      </c>
      <c r="Y51" s="70" t="s">
        <v>116</v>
      </c>
      <c r="Z51" s="68"/>
      <c r="AI51" s="67">
        <v>4.3719910883029525E-2</v>
      </c>
      <c r="AJ51" s="67">
        <v>4.3719910883029525E-2</v>
      </c>
      <c r="AK51" s="67">
        <v>4.3719910883029525E-2</v>
      </c>
      <c r="AL51" s="67">
        <v>4.3719910883029525E-2</v>
      </c>
      <c r="AM51" s="5"/>
    </row>
    <row r="52" spans="1:39" ht="13.75" customHeight="1" x14ac:dyDescent="0.3">
      <c r="A52" s="64">
        <v>7.3</v>
      </c>
      <c r="B52" s="85" t="s">
        <v>117</v>
      </c>
      <c r="C52" s="66">
        <v>-5.5099999999999996E-2</v>
      </c>
      <c r="D52" s="66">
        <v>0.26619999999999999</v>
      </c>
      <c r="E52" s="66">
        <v>0.31010000000000004</v>
      </c>
      <c r="F52" s="66">
        <v>3.5999999999999999E-3</v>
      </c>
      <c r="G52" s="66">
        <v>-0.10009999999999999</v>
      </c>
      <c r="H52" s="66">
        <v>0.32140000000000002</v>
      </c>
      <c r="I52" s="66">
        <v>0.247</v>
      </c>
      <c r="J52" s="66">
        <v>-9.2300000000000007E-2</v>
      </c>
      <c r="K52" s="66">
        <v>0.37369999999999998</v>
      </c>
      <c r="L52" s="66">
        <v>0.21149999999999999</v>
      </c>
      <c r="M52" s="66">
        <v>0.32</v>
      </c>
      <c r="N52" s="66">
        <v>-0.157</v>
      </c>
      <c r="O52" s="66">
        <v>0.2034</v>
      </c>
      <c r="P52" s="66">
        <v>8.3800000000000013E-2</v>
      </c>
      <c r="Q52" s="66">
        <v>7.2000000000000008E-2</v>
      </c>
      <c r="R52" s="17">
        <v>-7.8132321928432447E-3</v>
      </c>
      <c r="S52" s="67">
        <v>4.6859571157236005E-2</v>
      </c>
      <c r="T52" s="85" t="s">
        <v>33</v>
      </c>
      <c r="U52" s="70" t="s">
        <v>118</v>
      </c>
      <c r="V52" s="66">
        <v>-1.9199999999999998E-2</v>
      </c>
      <c r="W52" s="89">
        <v>46295</v>
      </c>
      <c r="X52" s="69" t="s">
        <v>30</v>
      </c>
      <c r="Y52" s="70" t="s">
        <v>119</v>
      </c>
      <c r="Z52" s="68"/>
      <c r="AI52" s="67">
        <v>4.6859571157236005E-2</v>
      </c>
      <c r="AJ52" s="67">
        <v>4.6859571157236005E-2</v>
      </c>
      <c r="AK52" s="67">
        <v>4.6859571157236005E-2</v>
      </c>
      <c r="AL52" s="67">
        <v>4.6859571157236005E-2</v>
      </c>
      <c r="AM52" s="5"/>
    </row>
    <row r="53" spans="1:39" ht="13.75" customHeight="1" thickBot="1" x14ac:dyDescent="0.35">
      <c r="A53" s="64">
        <v>7.4</v>
      </c>
      <c r="B53" s="85" t="s">
        <v>120</v>
      </c>
      <c r="C53" s="66" t="s">
        <v>37</v>
      </c>
      <c r="D53" s="66" t="s">
        <v>37</v>
      </c>
      <c r="E53" s="66" t="s">
        <v>37</v>
      </c>
      <c r="F53" s="66" t="s">
        <v>37</v>
      </c>
      <c r="G53" s="66" t="s">
        <v>37</v>
      </c>
      <c r="H53" s="66" t="s">
        <v>37</v>
      </c>
      <c r="I53" s="66" t="s">
        <v>37</v>
      </c>
      <c r="J53" s="66" t="s">
        <v>37</v>
      </c>
      <c r="K53" s="66" t="s">
        <v>37</v>
      </c>
      <c r="L53" s="66">
        <v>2.7799999999999998E-2</v>
      </c>
      <c r="M53" s="66">
        <v>0.19409999999999999</v>
      </c>
      <c r="N53" s="66">
        <v>2.3099999999999999E-2</v>
      </c>
      <c r="O53" s="66">
        <v>-7.0400000000000004E-2</v>
      </c>
      <c r="P53" s="66">
        <v>0.2412</v>
      </c>
      <c r="Q53" s="66">
        <v>0.1812</v>
      </c>
      <c r="R53" s="17">
        <v>2.5584331216675915E-2</v>
      </c>
      <c r="S53" s="67">
        <v>3.7713986540997627E-2</v>
      </c>
      <c r="T53" s="85" t="s">
        <v>46</v>
      </c>
      <c r="U53" s="70" t="s">
        <v>121</v>
      </c>
      <c r="V53" s="66">
        <v>1.4E-2</v>
      </c>
      <c r="W53" s="89">
        <v>46275</v>
      </c>
      <c r="X53" s="69" t="s">
        <v>122</v>
      </c>
      <c r="Y53" s="70" t="s">
        <v>123</v>
      </c>
      <c r="Z53" s="68"/>
      <c r="AI53" s="67">
        <v>3.7713986540997627E-2</v>
      </c>
      <c r="AJ53" s="67">
        <v>3.7713986540997627E-2</v>
      </c>
      <c r="AK53" s="67">
        <v>3.7713986540997627E-2</v>
      </c>
      <c r="AL53" s="67">
        <v>3.7713986540997627E-2</v>
      </c>
      <c r="AM53" s="5"/>
    </row>
    <row r="54" spans="1:39" ht="13.75" customHeight="1" x14ac:dyDescent="0.3">
      <c r="A54" s="55">
        <v>8</v>
      </c>
      <c r="B54" s="56" t="s">
        <v>18</v>
      </c>
      <c r="C54" s="79">
        <v>0.14000000000000001</v>
      </c>
      <c r="D54" s="79">
        <v>0.10800000000000001</v>
      </c>
      <c r="E54" s="79">
        <v>0.26100000000000001</v>
      </c>
      <c r="F54" s="79">
        <v>0.16</v>
      </c>
      <c r="G54" s="79">
        <v>6.6000000000000003E-2</v>
      </c>
      <c r="H54" s="79">
        <v>5.4000000000000006E-2</v>
      </c>
      <c r="I54" s="79">
        <v>0.13500000000000001</v>
      </c>
      <c r="J54" s="79">
        <v>-8.4000000000000005E-2</v>
      </c>
      <c r="K54" s="79">
        <v>0.27600000000000002</v>
      </c>
      <c r="L54" s="79">
        <v>0.10800000000000001</v>
      </c>
      <c r="M54" s="79">
        <v>0.18600000000000003</v>
      </c>
      <c r="N54" s="79">
        <v>-6.0000000000000001E-3</v>
      </c>
      <c r="O54" s="79">
        <v>5.0000000000000001E-3</v>
      </c>
      <c r="P54" s="79">
        <v>0.14899999999999999</v>
      </c>
      <c r="Q54" s="79">
        <v>3.9E-2</v>
      </c>
      <c r="R54" s="80">
        <v>7.1160573557429885E-2</v>
      </c>
      <c r="S54" s="81">
        <v>4.2429103281611327E-2</v>
      </c>
      <c r="T54" s="56" t="s">
        <v>28</v>
      </c>
      <c r="U54" s="84" t="s">
        <v>124</v>
      </c>
      <c r="V54" s="79">
        <v>0.06</v>
      </c>
      <c r="W54" s="91">
        <v>46295</v>
      </c>
      <c r="X54" s="83" t="s">
        <v>30</v>
      </c>
      <c r="Y54" s="84" t="s">
        <v>31</v>
      </c>
      <c r="Z54" s="82"/>
      <c r="AI54" s="81">
        <v>4.2429103281611327E-2</v>
      </c>
      <c r="AJ54" s="81">
        <v>4.2429103281611327E-2</v>
      </c>
      <c r="AK54" s="81">
        <v>4.2429103281611327E-2</v>
      </c>
      <c r="AL54" s="81">
        <v>4.2429103281611327E-2</v>
      </c>
      <c r="AM54" s="5"/>
    </row>
    <row r="55" spans="1:39" ht="13.75" customHeight="1" x14ac:dyDescent="0.3">
      <c r="A55" s="64">
        <v>8.1</v>
      </c>
      <c r="B55" s="85" t="s">
        <v>125</v>
      </c>
      <c r="C55" s="66">
        <v>0.14000000000000001</v>
      </c>
      <c r="D55" s="66">
        <v>0.10800000000000001</v>
      </c>
      <c r="E55" s="66">
        <v>0.26100000000000001</v>
      </c>
      <c r="F55" s="66">
        <v>0.16</v>
      </c>
      <c r="G55" s="66">
        <v>6.6000000000000003E-2</v>
      </c>
      <c r="H55" s="66">
        <v>5.4000000000000006E-2</v>
      </c>
      <c r="I55" s="66">
        <v>0.13500000000000001</v>
      </c>
      <c r="J55" s="66">
        <v>-8.4000000000000005E-2</v>
      </c>
      <c r="K55" s="66">
        <v>0.27600000000000002</v>
      </c>
      <c r="L55" s="66">
        <v>0.10800000000000001</v>
      </c>
      <c r="M55" s="66">
        <v>0.18600000000000003</v>
      </c>
      <c r="N55" s="66">
        <v>-6.0000000000000001E-3</v>
      </c>
      <c r="O55" s="66">
        <v>5.0000000000000001E-3</v>
      </c>
      <c r="P55" s="66">
        <v>0.14899999999999999</v>
      </c>
      <c r="Q55" s="66">
        <v>3.9E-2</v>
      </c>
      <c r="R55" s="17">
        <v>7.1160573557429885E-2</v>
      </c>
      <c r="S55" s="67">
        <v>4.2429103281611327E-2</v>
      </c>
      <c r="T55" s="85" t="s">
        <v>51</v>
      </c>
      <c r="U55" s="70" t="s">
        <v>124</v>
      </c>
      <c r="V55" s="66">
        <v>0.06</v>
      </c>
      <c r="W55" s="89">
        <v>46295</v>
      </c>
      <c r="X55" s="69" t="s">
        <v>30</v>
      </c>
      <c r="Y55" s="70" t="s">
        <v>126</v>
      </c>
      <c r="Z55" s="68"/>
      <c r="AI55" s="67">
        <v>4.2429103281611327E-2</v>
      </c>
      <c r="AJ55" s="67">
        <v>4.2429103281611327E-2</v>
      </c>
      <c r="AK55" s="67">
        <v>4.2429103281611327E-2</v>
      </c>
      <c r="AL55" s="67">
        <v>4.2429103281611327E-2</v>
      </c>
      <c r="AM55" s="5"/>
    </row>
    <row r="56" spans="1:39" ht="13.75" customHeight="1" x14ac:dyDescent="0.3">
      <c r="A56" s="64">
        <v>8.1999999999999993</v>
      </c>
      <c r="B56" s="85" t="s">
        <v>127</v>
      </c>
      <c r="C56" s="66">
        <v>6.1799999999999994E-2</v>
      </c>
      <c r="D56" s="66">
        <v>5.4900000000000004E-2</v>
      </c>
      <c r="E56" s="66">
        <v>0.33479999999999999</v>
      </c>
      <c r="F56" s="66">
        <v>0.1739</v>
      </c>
      <c r="G56" s="66">
        <v>6.9199999999999998E-2</v>
      </c>
      <c r="H56" s="66">
        <v>5.5999999999999994E-2</v>
      </c>
      <c r="I56" s="66">
        <v>1.8700000000000001E-2</v>
      </c>
      <c r="J56" s="66">
        <v>-0.11210000000000001</v>
      </c>
      <c r="K56" s="66">
        <v>0.17499999999999999</v>
      </c>
      <c r="L56" s="66">
        <v>5.5300000000000002E-2</v>
      </c>
      <c r="M56" s="66">
        <v>0.26879999999999998</v>
      </c>
      <c r="N56" s="66">
        <v>3.1400000000000004E-2</v>
      </c>
      <c r="O56" s="66">
        <v>2.3199999999999998E-2</v>
      </c>
      <c r="P56" s="66">
        <v>2.4900000000000002E-2</v>
      </c>
      <c r="Q56" s="66">
        <v>-1.8600000000000002E-2</v>
      </c>
      <c r="R56" s="17">
        <v>4.0178096558019405E-2</v>
      </c>
      <c r="S56" s="67">
        <v>3.5787449481654313E-2</v>
      </c>
      <c r="T56" s="85" t="s">
        <v>33</v>
      </c>
      <c r="U56" s="70" t="s">
        <v>128</v>
      </c>
      <c r="V56" s="66">
        <v>3.1E-2</v>
      </c>
      <c r="W56" s="89">
        <v>46295</v>
      </c>
      <c r="X56" s="69" t="s">
        <v>30</v>
      </c>
      <c r="Y56" s="70" t="s">
        <v>129</v>
      </c>
      <c r="Z56" s="68"/>
      <c r="AI56" s="67">
        <v>3.5787449481654313E-2</v>
      </c>
      <c r="AJ56" s="67">
        <v>3.5787449481654313E-2</v>
      </c>
      <c r="AK56" s="67">
        <v>3.5787449481654313E-2</v>
      </c>
      <c r="AL56" s="67">
        <v>3.5787449481654313E-2</v>
      </c>
      <c r="AM56" s="5"/>
    </row>
    <row r="57" spans="1:39" ht="13.75" customHeight="1" x14ac:dyDescent="0.3">
      <c r="A57" s="64">
        <v>8.3000000000000007</v>
      </c>
      <c r="B57" s="85" t="s">
        <v>130</v>
      </c>
      <c r="C57" s="66">
        <v>6.1799999999999994E-2</v>
      </c>
      <c r="D57" s="66">
        <v>5.4900000000000004E-2</v>
      </c>
      <c r="E57" s="66">
        <v>0.33479999999999999</v>
      </c>
      <c r="F57" s="66">
        <v>0.1739</v>
      </c>
      <c r="G57" s="66">
        <v>6.9199999999999998E-2</v>
      </c>
      <c r="H57" s="66">
        <v>5.5999999999999994E-2</v>
      </c>
      <c r="I57" s="66">
        <v>1.8700000000000001E-2</v>
      </c>
      <c r="J57" s="66">
        <v>-0.11210000000000001</v>
      </c>
      <c r="K57" s="66">
        <v>0.17499999999999999</v>
      </c>
      <c r="L57" s="66">
        <v>5.5300000000000002E-2</v>
      </c>
      <c r="M57" s="66">
        <v>0.26879999999999998</v>
      </c>
      <c r="N57" s="66">
        <v>3.1400000000000004E-2</v>
      </c>
      <c r="O57" s="66">
        <v>2.3199999999999998E-2</v>
      </c>
      <c r="P57" s="66">
        <v>2.4900000000000002E-2</v>
      </c>
      <c r="Q57" s="66">
        <v>-1.8600000000000002E-2</v>
      </c>
      <c r="R57" s="17">
        <v>4.0178096558019405E-2</v>
      </c>
      <c r="S57" s="67">
        <v>3.5787449481654313E-2</v>
      </c>
      <c r="T57" s="85" t="s">
        <v>33</v>
      </c>
      <c r="U57" s="70" t="s">
        <v>128</v>
      </c>
      <c r="V57" s="66">
        <v>3.1E-2</v>
      </c>
      <c r="W57" s="89">
        <v>46295</v>
      </c>
      <c r="X57" s="69" t="s">
        <v>30</v>
      </c>
      <c r="Y57" s="70" t="s">
        <v>131</v>
      </c>
      <c r="Z57" s="68"/>
      <c r="AI57" s="67">
        <v>3.5787449481654313E-2</v>
      </c>
      <c r="AJ57" s="67">
        <v>3.5787449481654313E-2</v>
      </c>
      <c r="AK57" s="67">
        <v>3.5787449481654313E-2</v>
      </c>
      <c r="AL57" s="67">
        <v>3.5787449481654313E-2</v>
      </c>
      <c r="AM57" s="5"/>
    </row>
    <row r="58" spans="1:39" ht="13.75" customHeight="1" thickBot="1" x14ac:dyDescent="0.35">
      <c r="A58" s="64">
        <v>8.4</v>
      </c>
      <c r="B58" s="85" t="s">
        <v>132</v>
      </c>
      <c r="C58" s="66" t="s">
        <v>37</v>
      </c>
      <c r="D58" s="66" t="s">
        <v>37</v>
      </c>
      <c r="E58" s="66" t="s">
        <v>37</v>
      </c>
      <c r="F58" s="66" t="s">
        <v>37</v>
      </c>
      <c r="G58" s="66" t="s">
        <v>37</v>
      </c>
      <c r="H58" s="66" t="s">
        <v>37</v>
      </c>
      <c r="I58" s="66" t="s">
        <v>37</v>
      </c>
      <c r="J58" s="66" t="s">
        <v>37</v>
      </c>
      <c r="K58" s="66" t="s">
        <v>37</v>
      </c>
      <c r="L58" s="66">
        <v>0.15770000000000001</v>
      </c>
      <c r="M58" s="66">
        <v>0.15240000000000001</v>
      </c>
      <c r="N58" s="66">
        <v>-5.9200000000000003E-2</v>
      </c>
      <c r="O58" s="66">
        <v>1.2999999999999999E-3</v>
      </c>
      <c r="P58" s="66">
        <v>0.16470000000000001</v>
      </c>
      <c r="Q58" s="66">
        <v>-0.13819999999999999</v>
      </c>
      <c r="R58" s="17" t="s">
        <v>37</v>
      </c>
      <c r="S58" s="67">
        <v>2.4163799506033715E-2</v>
      </c>
      <c r="T58" s="85" t="s">
        <v>133</v>
      </c>
      <c r="U58" s="70" t="s">
        <v>134</v>
      </c>
      <c r="V58" s="66">
        <v>6.3700000000000007E-2</v>
      </c>
      <c r="W58" s="89">
        <v>46183</v>
      </c>
      <c r="X58" s="69" t="s">
        <v>122</v>
      </c>
      <c r="Y58" s="70" t="s">
        <v>135</v>
      </c>
      <c r="Z58" s="68"/>
      <c r="AI58" s="67">
        <v>2.4163799506033715E-2</v>
      </c>
      <c r="AJ58" s="67">
        <v>2.4163799506033715E-2</v>
      </c>
      <c r="AK58" s="67">
        <v>2.4163799506033715E-2</v>
      </c>
      <c r="AL58" s="67">
        <v>2.4163799506033715E-2</v>
      </c>
      <c r="AM58" s="5"/>
    </row>
    <row r="59" spans="1:39" ht="13.75" customHeight="1" x14ac:dyDescent="0.3">
      <c r="A59" s="55">
        <v>9</v>
      </c>
      <c r="B59" s="56" t="s">
        <v>19</v>
      </c>
      <c r="C59" s="79">
        <v>0.114</v>
      </c>
      <c r="D59" s="79">
        <v>0.19699999999999998</v>
      </c>
      <c r="E59" s="79">
        <v>1.6E-2</v>
      </c>
      <c r="F59" s="79">
        <v>0.30199999999999999</v>
      </c>
      <c r="G59" s="79">
        <v>4.7E-2</v>
      </c>
      <c r="H59" s="79">
        <v>3.4000000000000002E-2</v>
      </c>
      <c r="I59" s="79">
        <v>0.109</v>
      </c>
      <c r="J59" s="79">
        <v>-2.2000000000000002E-2</v>
      </c>
      <c r="K59" s="79">
        <v>0.28999999999999998</v>
      </c>
      <c r="L59" s="79">
        <v>-2.2000000000000002E-2</v>
      </c>
      <c r="M59" s="79">
        <v>0.46200000000000002</v>
      </c>
      <c r="N59" s="79">
        <v>-0.26100000000000001</v>
      </c>
      <c r="O59" s="79">
        <v>0.124</v>
      </c>
      <c r="P59" s="79">
        <v>5.2000000000000005E-2</v>
      </c>
      <c r="Q59" s="79">
        <v>3.2000000000000001E-2</v>
      </c>
      <c r="R59" s="80">
        <v>6.3027998735988744E-2</v>
      </c>
      <c r="S59" s="81">
        <v>3.8319716085830249E-2</v>
      </c>
      <c r="T59" s="56" t="s">
        <v>28</v>
      </c>
      <c r="U59" s="84" t="s">
        <v>136</v>
      </c>
      <c r="V59" s="79">
        <v>5.2999999999999999E-2</v>
      </c>
      <c r="W59" s="91">
        <v>46295</v>
      </c>
      <c r="X59" s="83" t="s">
        <v>30</v>
      </c>
      <c r="Y59" s="84" t="s">
        <v>137</v>
      </c>
      <c r="Z59" s="82"/>
      <c r="AI59" s="81">
        <v>3.8319716085830249E-2</v>
      </c>
      <c r="AJ59" s="81">
        <v>3.8319716085830249E-2</v>
      </c>
      <c r="AK59" s="81">
        <v>3.8319716085830249E-2</v>
      </c>
      <c r="AL59" s="81">
        <v>3.8319716085830249E-2</v>
      </c>
      <c r="AM59" s="5"/>
    </row>
    <row r="60" spans="1:39" ht="13.75" customHeight="1" x14ac:dyDescent="0.3">
      <c r="A60" s="64">
        <v>9.1</v>
      </c>
      <c r="B60" s="85" t="s">
        <v>138</v>
      </c>
      <c r="C60" s="66">
        <v>8.6400000000000005E-2</v>
      </c>
      <c r="D60" s="66">
        <v>0.17629999999999998</v>
      </c>
      <c r="E60" s="66">
        <v>2.3E-2</v>
      </c>
      <c r="F60" s="66">
        <v>0.30399999999999999</v>
      </c>
      <c r="G60" s="66">
        <v>2.4300000000000002E-2</v>
      </c>
      <c r="H60" s="66">
        <v>8.5699999999999998E-2</v>
      </c>
      <c r="I60" s="66">
        <v>4.9000000000000002E-2</v>
      </c>
      <c r="J60" s="66">
        <v>-6.0299999999999999E-2</v>
      </c>
      <c r="K60" s="66">
        <v>0.28910000000000002</v>
      </c>
      <c r="L60" s="66">
        <v>-4.6100000000000002E-2</v>
      </c>
      <c r="M60" s="66">
        <v>0.40539999999999998</v>
      </c>
      <c r="N60" s="66">
        <v>-0.26250000000000001</v>
      </c>
      <c r="O60" s="66">
        <v>0.11849999999999999</v>
      </c>
      <c r="P60" s="66">
        <v>4.8099999999999997E-2</v>
      </c>
      <c r="Q60" s="66">
        <v>3.2400000000000005E-2</v>
      </c>
      <c r="R60" s="17">
        <v>5.4331400449046274E-2</v>
      </c>
      <c r="S60" s="67">
        <v>3.5113023190263895E-2</v>
      </c>
      <c r="T60" s="85" t="s">
        <v>33</v>
      </c>
      <c r="U60" s="70" t="s">
        <v>139</v>
      </c>
      <c r="V60" s="66">
        <v>4.5199999999999997E-2</v>
      </c>
      <c r="W60" s="89">
        <v>46295</v>
      </c>
      <c r="X60" s="69" t="s">
        <v>30</v>
      </c>
      <c r="Y60" s="70" t="s">
        <v>140</v>
      </c>
      <c r="Z60" s="68"/>
      <c r="AI60" s="67">
        <v>3.5113023190263895E-2</v>
      </c>
      <c r="AJ60" s="67">
        <v>3.5113023190263895E-2</v>
      </c>
      <c r="AK60" s="67">
        <v>3.5113023190263895E-2</v>
      </c>
      <c r="AL60" s="67">
        <v>3.5113023190263895E-2</v>
      </c>
      <c r="AM60" s="5"/>
    </row>
    <row r="61" spans="1:39" ht="13.75" customHeight="1" thickBot="1" x14ac:dyDescent="0.35">
      <c r="A61" s="64">
        <v>9.1999999999999993</v>
      </c>
      <c r="B61" s="85" t="s">
        <v>141</v>
      </c>
      <c r="C61" s="66" t="s">
        <v>37</v>
      </c>
      <c r="D61" s="66" t="s">
        <v>37</v>
      </c>
      <c r="E61" s="66" t="s">
        <v>37</v>
      </c>
      <c r="F61" s="66" t="s">
        <v>37</v>
      </c>
      <c r="G61" s="66" t="s">
        <v>37</v>
      </c>
      <c r="H61" s="66" t="s">
        <v>37</v>
      </c>
      <c r="I61" s="66" t="s">
        <v>37</v>
      </c>
      <c r="J61" s="66" t="s">
        <v>37</v>
      </c>
      <c r="K61" s="66" t="s">
        <v>37</v>
      </c>
      <c r="L61" s="66">
        <v>2.3300000000000001E-2</v>
      </c>
      <c r="M61" s="66">
        <v>0.73009999999999997</v>
      </c>
      <c r="N61" s="66">
        <v>-0.2908</v>
      </c>
      <c r="O61" s="66" t="s">
        <v>37</v>
      </c>
      <c r="P61" s="66" t="s">
        <v>37</v>
      </c>
      <c r="Q61" s="66" t="s">
        <v>37</v>
      </c>
      <c r="R61" s="17" t="s">
        <v>37</v>
      </c>
      <c r="S61" s="67">
        <v>3.8319716085830249E-2</v>
      </c>
      <c r="T61" s="85" t="s">
        <v>142</v>
      </c>
      <c r="U61" s="70" t="s">
        <v>143</v>
      </c>
      <c r="V61" s="66" t="s">
        <v>37</v>
      </c>
      <c r="W61" s="89" t="s">
        <v>37</v>
      </c>
      <c r="X61" s="69" t="s">
        <v>40</v>
      </c>
      <c r="Y61" s="70" t="s">
        <v>144</v>
      </c>
      <c r="Z61" s="68"/>
      <c r="AI61" s="67">
        <v>3.8319716085830249E-2</v>
      </c>
      <c r="AJ61" s="67">
        <v>3.8319716085830249E-2</v>
      </c>
      <c r="AK61" s="67">
        <v>3.8319716085830249E-2</v>
      </c>
      <c r="AL61" s="67">
        <v>3.8319716085830249E-2</v>
      </c>
      <c r="AM61" s="5"/>
    </row>
    <row r="62" spans="1:39" ht="13.75" customHeight="1" x14ac:dyDescent="0.3">
      <c r="A62" s="55">
        <v>10</v>
      </c>
      <c r="B62" s="56" t="s">
        <v>20</v>
      </c>
      <c r="C62" s="79">
        <v>-9.6000000000000002E-2</v>
      </c>
      <c r="D62" s="79">
        <v>0.15</v>
      </c>
      <c r="E62" s="79">
        <v>0.25600000000000001</v>
      </c>
      <c r="F62" s="79">
        <v>6.9000000000000006E-2</v>
      </c>
      <c r="G62" s="79">
        <v>-8.4000000000000005E-2</v>
      </c>
      <c r="H62" s="79">
        <v>0.16699999999999998</v>
      </c>
      <c r="I62" s="79">
        <v>0.23800000000000002</v>
      </c>
      <c r="J62" s="79">
        <v>-0.14699999999999999</v>
      </c>
      <c r="K62" s="79">
        <v>0.24600000000000002</v>
      </c>
      <c r="L62" s="79">
        <v>0.20699999999999999</v>
      </c>
      <c r="M62" s="79">
        <v>0.27300000000000002</v>
      </c>
      <c r="N62" s="79">
        <v>-0.12300000000000001</v>
      </c>
      <c r="O62" s="79">
        <v>0.126</v>
      </c>
      <c r="P62" s="79">
        <v>0</v>
      </c>
      <c r="Q62" s="79">
        <v>0.105</v>
      </c>
      <c r="R62" s="80">
        <v>9.8141786523046504E-2</v>
      </c>
      <c r="S62" s="81">
        <v>3.7496622729558518E-2</v>
      </c>
      <c r="T62" s="56" t="s">
        <v>28</v>
      </c>
      <c r="U62" s="84" t="s">
        <v>145</v>
      </c>
      <c r="V62" s="79">
        <v>8.8000000000000009E-2</v>
      </c>
      <c r="W62" s="91">
        <v>46295</v>
      </c>
      <c r="X62" s="83" t="s">
        <v>30</v>
      </c>
      <c r="Y62" s="84" t="s">
        <v>31</v>
      </c>
      <c r="Z62" s="82"/>
      <c r="AI62" s="81">
        <v>3.7496622729558518E-2</v>
      </c>
      <c r="AJ62" s="81">
        <v>3.7496622729558518E-2</v>
      </c>
      <c r="AK62" s="81">
        <v>3.7496622729558518E-2</v>
      </c>
      <c r="AL62" s="81">
        <v>3.7496622729558518E-2</v>
      </c>
      <c r="AM62" s="5"/>
    </row>
    <row r="63" spans="1:39" ht="13.75" customHeight="1" thickBot="1" x14ac:dyDescent="0.35">
      <c r="A63" s="64">
        <v>10.1</v>
      </c>
      <c r="B63" s="85" t="s">
        <v>146</v>
      </c>
      <c r="C63" s="66">
        <v>-1.2600000000000056E-2</v>
      </c>
      <c r="D63" s="66">
        <v>0.23607453919384236</v>
      </c>
      <c r="E63" s="66">
        <v>0.31806636624334295</v>
      </c>
      <c r="F63" s="66">
        <v>0.10704295393796226</v>
      </c>
      <c r="G63" s="66">
        <v>-4.177662979392438E-2</v>
      </c>
      <c r="H63" s="66">
        <v>0.10159999999999991</v>
      </c>
      <c r="I63" s="66">
        <v>0.26661220043572986</v>
      </c>
      <c r="J63" s="66">
        <v>-0.11603239446713964</v>
      </c>
      <c r="K63" s="66">
        <v>0.22012323658180644</v>
      </c>
      <c r="L63" s="66">
        <v>0.18041065851551585</v>
      </c>
      <c r="M63" s="66">
        <v>0.25909999999999989</v>
      </c>
      <c r="N63" s="66">
        <v>-0.1126201254864585</v>
      </c>
      <c r="O63" s="66">
        <v>0.11044482233956843</v>
      </c>
      <c r="P63" s="66">
        <v>-2.0955911985168774E-3</v>
      </c>
      <c r="Q63" s="66">
        <v>-1.106534205637677E-2</v>
      </c>
      <c r="R63" s="17">
        <v>0.14903568696408342</v>
      </c>
      <c r="S63" s="67">
        <v>3.9671958087908868E-2</v>
      </c>
      <c r="T63" s="85" t="s">
        <v>46</v>
      </c>
      <c r="U63" s="70" t="s">
        <v>147</v>
      </c>
      <c r="V63" s="66">
        <v>0.13539999999999999</v>
      </c>
      <c r="W63" s="89">
        <v>46275</v>
      </c>
      <c r="X63" s="69" t="s">
        <v>30</v>
      </c>
      <c r="Y63" s="70" t="s">
        <v>148</v>
      </c>
      <c r="Z63" s="68"/>
      <c r="AI63" s="67">
        <v>3.9671958087908868E-2</v>
      </c>
      <c r="AJ63" s="67">
        <v>3.9671958087908868E-2</v>
      </c>
      <c r="AK63" s="67">
        <v>3.9671958087908868E-2</v>
      </c>
      <c r="AL63" s="67">
        <v>3.9671958087908868E-2</v>
      </c>
      <c r="AM63" s="5"/>
    </row>
    <row r="64" spans="1:39" ht="13.75" customHeight="1" x14ac:dyDescent="0.3">
      <c r="A64" s="55">
        <v>11</v>
      </c>
      <c r="B64" s="56" t="s">
        <v>149</v>
      </c>
      <c r="C64" s="79" t="s">
        <v>37</v>
      </c>
      <c r="D64" s="79" t="s">
        <v>37</v>
      </c>
      <c r="E64" s="79" t="s">
        <v>37</v>
      </c>
      <c r="F64" s="79" t="s">
        <v>37</v>
      </c>
      <c r="G64" s="79" t="s">
        <v>37</v>
      </c>
      <c r="H64" s="79" t="s">
        <v>37</v>
      </c>
      <c r="I64" s="79" t="s">
        <v>37</v>
      </c>
      <c r="J64" s="79" t="s">
        <v>37</v>
      </c>
      <c r="K64" s="79" t="s">
        <v>37</v>
      </c>
      <c r="L64" s="79" t="s">
        <v>37</v>
      </c>
      <c r="M64" s="79" t="s">
        <v>37</v>
      </c>
      <c r="N64" s="79" t="s">
        <v>37</v>
      </c>
      <c r="O64" s="79" t="s">
        <v>37</v>
      </c>
      <c r="P64" s="79" t="s">
        <v>37</v>
      </c>
      <c r="Q64" s="79" t="s">
        <v>37</v>
      </c>
      <c r="R64" s="80" t="s">
        <v>37</v>
      </c>
      <c r="S64" s="81">
        <v>3.7496622729558518E-2</v>
      </c>
      <c r="T64" s="56" t="s">
        <v>38</v>
      </c>
      <c r="U64" s="84" t="s">
        <v>39</v>
      </c>
      <c r="V64" s="79" t="s">
        <v>37</v>
      </c>
      <c r="W64" s="91" t="s">
        <v>37</v>
      </c>
      <c r="X64" s="83" t="s">
        <v>40</v>
      </c>
      <c r="Y64" s="84" t="s">
        <v>150</v>
      </c>
      <c r="Z64" s="82"/>
      <c r="AI64" s="81">
        <v>3.7496622729558518E-2</v>
      </c>
      <c r="AJ64" s="81">
        <v>3.7496622729558518E-2</v>
      </c>
      <c r="AK64" s="81">
        <v>3.7496622729558518E-2</v>
      </c>
      <c r="AL64" s="81">
        <v>3.7496622729558518E-2</v>
      </c>
      <c r="AM64" s="5"/>
    </row>
    <row r="65" spans="1:39" ht="13.75" customHeight="1" x14ac:dyDescent="0.3">
      <c r="A65" s="64">
        <v>11.1</v>
      </c>
      <c r="B65" s="85" t="s">
        <v>151</v>
      </c>
      <c r="C65" s="66" t="s">
        <v>37</v>
      </c>
      <c r="D65" s="66" t="s">
        <v>37</v>
      </c>
      <c r="E65" s="66" t="s">
        <v>37</v>
      </c>
      <c r="F65" s="66" t="s">
        <v>37</v>
      </c>
      <c r="G65" s="66" t="s">
        <v>37</v>
      </c>
      <c r="H65" s="66" t="s">
        <v>37</v>
      </c>
      <c r="I65" s="66" t="s">
        <v>37</v>
      </c>
      <c r="J65" s="66" t="s">
        <v>37</v>
      </c>
      <c r="K65" s="66" t="s">
        <v>37</v>
      </c>
      <c r="L65" s="66" t="s">
        <v>37</v>
      </c>
      <c r="M65" s="66" t="s">
        <v>37</v>
      </c>
      <c r="N65" s="66" t="s">
        <v>37</v>
      </c>
      <c r="O65" s="66" t="s">
        <v>37</v>
      </c>
      <c r="P65" s="66" t="s">
        <v>37</v>
      </c>
      <c r="Q65" s="66" t="s">
        <v>37</v>
      </c>
      <c r="R65" s="17" t="s">
        <v>37</v>
      </c>
      <c r="S65" s="67">
        <v>3.7496622729558518E-2</v>
      </c>
      <c r="T65" s="85" t="s">
        <v>38</v>
      </c>
      <c r="U65" s="70" t="s">
        <v>39</v>
      </c>
      <c r="V65" s="66" t="s">
        <v>37</v>
      </c>
      <c r="W65" s="89" t="s">
        <v>37</v>
      </c>
      <c r="X65" s="69" t="s">
        <v>40</v>
      </c>
      <c r="Y65" s="70" t="s">
        <v>152</v>
      </c>
      <c r="Z65" s="68"/>
      <c r="AI65" s="67">
        <v>3.7496622729558518E-2</v>
      </c>
      <c r="AJ65" s="67">
        <v>3.7496622729558518E-2</v>
      </c>
      <c r="AK65" s="67">
        <v>3.7496622729558518E-2</v>
      </c>
      <c r="AL65" s="67">
        <v>3.7496622729558518E-2</v>
      </c>
      <c r="AM65" s="5"/>
    </row>
    <row r="66" spans="1:39" ht="13.75" customHeight="1" thickBot="1" x14ac:dyDescent="0.35">
      <c r="A66" s="64">
        <v>11.2</v>
      </c>
      <c r="B66" s="85" t="s">
        <v>153</v>
      </c>
      <c r="C66" s="66">
        <v>-0.28170000000000001</v>
      </c>
      <c r="D66" s="66">
        <v>-6.6000000000000003E-2</v>
      </c>
      <c r="E66" s="66">
        <v>-5.3800000000000001E-2</v>
      </c>
      <c r="F66" s="66">
        <v>-0.25280000000000002</v>
      </c>
      <c r="G66" s="66">
        <v>-0.50529999999999997</v>
      </c>
      <c r="H66" s="66">
        <v>1.0604</v>
      </c>
      <c r="I66" s="66">
        <v>0.21170000000000003</v>
      </c>
      <c r="J66" s="66">
        <v>-0.26780000000000004</v>
      </c>
      <c r="K66" s="66">
        <v>0.1469</v>
      </c>
      <c r="L66" s="66">
        <v>0.1595</v>
      </c>
      <c r="M66" s="66">
        <v>0.34920000000000001</v>
      </c>
      <c r="N66" s="66">
        <v>0.1313</v>
      </c>
      <c r="O66" s="66">
        <v>0.21510000000000001</v>
      </c>
      <c r="P66" s="66">
        <v>-4.5400000000000003E-2</v>
      </c>
      <c r="Q66" s="66">
        <v>0.8347</v>
      </c>
      <c r="R66" s="17">
        <v>5.3936642931242007E-2</v>
      </c>
      <c r="S66" s="67">
        <v>2.7322829965061426E-2</v>
      </c>
      <c r="T66" s="85" t="s">
        <v>33</v>
      </c>
      <c r="U66" s="70" t="s">
        <v>154</v>
      </c>
      <c r="V66" s="66">
        <v>4.6799999999999994E-2</v>
      </c>
      <c r="W66" s="89">
        <v>46295</v>
      </c>
      <c r="X66" s="69" t="s">
        <v>30</v>
      </c>
      <c r="Y66" s="70" t="s">
        <v>155</v>
      </c>
      <c r="Z66" s="68"/>
      <c r="AI66" s="67">
        <v>2.7322829965061426E-2</v>
      </c>
      <c r="AJ66" s="67">
        <v>2.7322829965061426E-2</v>
      </c>
      <c r="AK66" s="67">
        <v>2.7322829965061426E-2</v>
      </c>
      <c r="AL66" s="67">
        <v>2.7322829965061426E-2</v>
      </c>
      <c r="AM66" s="5"/>
    </row>
    <row r="67" spans="1:39" ht="13.75" customHeight="1" x14ac:dyDescent="0.3">
      <c r="A67" s="55">
        <v>12</v>
      </c>
      <c r="B67" s="56" t="s">
        <v>21</v>
      </c>
      <c r="C67" s="79">
        <v>4.7E-2</v>
      </c>
      <c r="D67" s="79">
        <v>4.5999999999999999E-2</v>
      </c>
      <c r="E67" s="79">
        <v>0.251</v>
      </c>
      <c r="F67" s="79">
        <v>-7.8E-2</v>
      </c>
      <c r="G67" s="79">
        <v>-0.21100000000000002</v>
      </c>
      <c r="H67" s="79">
        <v>0.27399999999999997</v>
      </c>
      <c r="I67" s="79">
        <v>-0.01</v>
      </c>
      <c r="J67" s="79">
        <v>-0.18100000000000002</v>
      </c>
      <c r="K67" s="79">
        <v>0.11800000000000001</v>
      </c>
      <c r="L67" s="79">
        <v>-0.33700000000000002</v>
      </c>
      <c r="M67" s="79">
        <v>0.54600000000000004</v>
      </c>
      <c r="N67" s="79">
        <v>0.65700000000000003</v>
      </c>
      <c r="O67" s="79">
        <v>-1.3000000000000001E-2</v>
      </c>
      <c r="P67" s="79">
        <v>5.7000000000000002E-2</v>
      </c>
      <c r="Q67" s="79">
        <v>8.6999999999999994E-2</v>
      </c>
      <c r="R67" s="80">
        <v>0.41364990690843784</v>
      </c>
      <c r="S67" s="81">
        <v>3.0456583275140961E-2</v>
      </c>
      <c r="T67" s="56" t="s">
        <v>28</v>
      </c>
      <c r="U67" s="84" t="s">
        <v>156</v>
      </c>
      <c r="V67" s="79">
        <v>0.40299999999999997</v>
      </c>
      <c r="W67" s="91">
        <v>46295</v>
      </c>
      <c r="X67" s="83" t="s">
        <v>30</v>
      </c>
      <c r="Y67" s="84" t="s">
        <v>31</v>
      </c>
      <c r="Z67" s="82"/>
      <c r="AI67" s="81">
        <v>3.0456583275140961E-2</v>
      </c>
      <c r="AJ67" s="81">
        <v>3.0456583275140961E-2</v>
      </c>
      <c r="AK67" s="81">
        <v>3.0456583275140961E-2</v>
      </c>
      <c r="AL67" s="81">
        <v>3.0456583275140961E-2</v>
      </c>
      <c r="AM67" s="5"/>
    </row>
    <row r="68" spans="1:39" ht="13.75" customHeight="1" x14ac:dyDescent="0.3">
      <c r="A68" s="64">
        <v>12.1</v>
      </c>
      <c r="B68" s="85" t="s">
        <v>157</v>
      </c>
      <c r="C68" s="66">
        <v>9.4999999999999998E-3</v>
      </c>
      <c r="D68" s="66">
        <v>3.8699999999999998E-2</v>
      </c>
      <c r="E68" s="66">
        <v>0.27899999999999997</v>
      </c>
      <c r="F68" s="66">
        <v>-0.29420000000000002</v>
      </c>
      <c r="G68" s="66">
        <v>-0.35780000000000001</v>
      </c>
      <c r="H68" s="66">
        <v>0.38290000000000002</v>
      </c>
      <c r="I68" s="66">
        <v>-9.4700000000000006E-2</v>
      </c>
      <c r="J68" s="66">
        <v>-0.28100000000000003</v>
      </c>
      <c r="K68" s="66">
        <v>-9.4399999999999998E-2</v>
      </c>
      <c r="L68" s="66">
        <v>-0.36399999999999999</v>
      </c>
      <c r="M68" s="66">
        <v>0.66739999999999999</v>
      </c>
      <c r="N68" s="66">
        <v>0.45340000000000003</v>
      </c>
      <c r="O68" s="66">
        <v>3.5799999999999998E-2</v>
      </c>
      <c r="P68" s="66">
        <v>-0.01</v>
      </c>
      <c r="Q68" s="66">
        <v>-2.1499999999999998E-2</v>
      </c>
      <c r="R68" s="17">
        <v>0.51661630422947002</v>
      </c>
      <c r="S68" s="67">
        <v>1.2433497046995631E-2</v>
      </c>
      <c r="T68" s="85" t="s">
        <v>33</v>
      </c>
      <c r="U68" s="70" t="s">
        <v>158</v>
      </c>
      <c r="V68" s="66">
        <v>0.51190000000000002</v>
      </c>
      <c r="W68" s="89">
        <v>46295</v>
      </c>
      <c r="X68" s="69" t="s">
        <v>30</v>
      </c>
      <c r="Y68" s="70" t="s">
        <v>159</v>
      </c>
      <c r="Z68" s="68"/>
      <c r="AI68" s="67">
        <v>1.2433497046995631E-2</v>
      </c>
      <c r="AJ68" s="67">
        <v>1.2433497046995631E-2</v>
      </c>
      <c r="AK68" s="67">
        <v>1.2433497046995631E-2</v>
      </c>
      <c r="AL68" s="67">
        <v>1.2433497046995631E-2</v>
      </c>
      <c r="AM68" s="5"/>
    </row>
    <row r="69" spans="1:39" ht="13.75" customHeight="1" x14ac:dyDescent="0.3">
      <c r="A69" s="64">
        <v>12.2</v>
      </c>
      <c r="B69" s="85" t="s">
        <v>160</v>
      </c>
      <c r="C69" s="66">
        <v>-7.2000000000000008E-2</v>
      </c>
      <c r="D69" s="66">
        <v>-0.13439999999999999</v>
      </c>
      <c r="E69" s="66">
        <v>0.2487</v>
      </c>
      <c r="F69" s="66">
        <v>-0.4199</v>
      </c>
      <c r="G69" s="66">
        <v>-0.59060000000000001</v>
      </c>
      <c r="H69" s="66">
        <v>0.1953</v>
      </c>
      <c r="I69" s="66">
        <v>-0.11380000000000001</v>
      </c>
      <c r="J69" s="66">
        <v>-0.34810000000000002</v>
      </c>
      <c r="K69" s="66">
        <v>-0.15759999999999999</v>
      </c>
      <c r="L69" s="66">
        <v>-0.23190000000000002</v>
      </c>
      <c r="M69" s="66">
        <v>0.9849</v>
      </c>
      <c r="N69" s="66">
        <v>0.47240000000000004</v>
      </c>
      <c r="O69" s="66">
        <v>2.5499999999999998E-2</v>
      </c>
      <c r="P69" s="66">
        <v>4.1599999999999998E-2</v>
      </c>
      <c r="Q69" s="66">
        <v>-2.29E-2</v>
      </c>
      <c r="R69" s="17">
        <v>0.28769933066350672</v>
      </c>
      <c r="S69" s="67">
        <v>-1.2335056043095288E-3</v>
      </c>
      <c r="T69" s="85" t="s">
        <v>33</v>
      </c>
      <c r="U69" s="70" t="s">
        <v>161</v>
      </c>
      <c r="V69" s="66">
        <v>0.28809999999999997</v>
      </c>
      <c r="W69" s="89">
        <v>46295</v>
      </c>
      <c r="X69" s="69" t="s">
        <v>30</v>
      </c>
      <c r="Y69" s="70" t="s">
        <v>162</v>
      </c>
      <c r="Z69" s="68"/>
      <c r="AI69" s="67">
        <v>-1.2335056043095288E-3</v>
      </c>
      <c r="AJ69" s="67">
        <v>-1.2335056043095288E-3</v>
      </c>
      <c r="AK69" s="67">
        <v>-1.2335056043095288E-3</v>
      </c>
      <c r="AL69" s="67">
        <v>-1.2335056043095288E-3</v>
      </c>
      <c r="AM69" s="5"/>
    </row>
    <row r="70" spans="1:39" ht="13.75" customHeight="1" x14ac:dyDescent="0.3">
      <c r="A70" s="64">
        <v>12.3</v>
      </c>
      <c r="B70" s="85" t="s">
        <v>163</v>
      </c>
      <c r="C70" s="66" t="s">
        <v>37</v>
      </c>
      <c r="D70" s="66" t="s">
        <v>37</v>
      </c>
      <c r="E70" s="66" t="s">
        <v>37</v>
      </c>
      <c r="F70" s="66" t="s">
        <v>37</v>
      </c>
      <c r="G70" s="66" t="s">
        <v>37</v>
      </c>
      <c r="H70" s="66" t="s">
        <v>37</v>
      </c>
      <c r="I70" s="66" t="s">
        <v>37</v>
      </c>
      <c r="J70" s="66" t="s">
        <v>37</v>
      </c>
      <c r="K70" s="66" t="s">
        <v>37</v>
      </c>
      <c r="L70" s="66" t="s">
        <v>37</v>
      </c>
      <c r="M70" s="66" t="s">
        <v>37</v>
      </c>
      <c r="N70" s="66" t="s">
        <v>37</v>
      </c>
      <c r="O70" s="66" t="s">
        <v>37</v>
      </c>
      <c r="P70" s="66" t="s">
        <v>37</v>
      </c>
      <c r="Q70" s="66" t="s">
        <v>37</v>
      </c>
      <c r="R70" s="17" t="s">
        <v>37</v>
      </c>
      <c r="S70" s="67">
        <v>3.0456583275140961E-2</v>
      </c>
      <c r="T70" s="85" t="s">
        <v>38</v>
      </c>
      <c r="U70" s="70" t="s">
        <v>39</v>
      </c>
      <c r="V70" s="66" t="s">
        <v>37</v>
      </c>
      <c r="W70" s="89" t="s">
        <v>37</v>
      </c>
      <c r="X70" s="69" t="s">
        <v>40</v>
      </c>
      <c r="Y70" s="70" t="s">
        <v>164</v>
      </c>
      <c r="Z70" s="68"/>
      <c r="AI70" s="67">
        <v>3.0456583275140961E-2</v>
      </c>
      <c r="AJ70" s="67">
        <v>3.0456583275140961E-2</v>
      </c>
      <c r="AK70" s="67">
        <v>3.0456583275140961E-2</v>
      </c>
      <c r="AL70" s="67">
        <v>3.0456583275140961E-2</v>
      </c>
      <c r="AM70" s="5"/>
    </row>
    <row r="71" spans="1:39" ht="13.75" customHeight="1" x14ac:dyDescent="0.3">
      <c r="A71" s="64">
        <v>12.4</v>
      </c>
      <c r="B71" s="85" t="s">
        <v>165</v>
      </c>
      <c r="C71" s="66">
        <v>-5.33E-2</v>
      </c>
      <c r="D71" s="66">
        <v>6.1999999999999998E-3</v>
      </c>
      <c r="E71" s="66">
        <v>0.27129999999999999</v>
      </c>
      <c r="F71" s="66">
        <v>-0.34700000000000003</v>
      </c>
      <c r="G71" s="66">
        <v>-0.36590000000000006</v>
      </c>
      <c r="H71" s="66">
        <v>0.28410000000000002</v>
      </c>
      <c r="I71" s="66">
        <v>-0.21929999999999999</v>
      </c>
      <c r="J71" s="66">
        <v>-0.46990000000000004</v>
      </c>
      <c r="K71" s="66">
        <v>-0.09</v>
      </c>
      <c r="L71" s="66">
        <v>-0.43369999999999997</v>
      </c>
      <c r="M71" s="66">
        <v>0.12</v>
      </c>
      <c r="N71" s="66">
        <v>0.62029999999999996</v>
      </c>
      <c r="O71" s="66">
        <v>6.6900000000000001E-2</v>
      </c>
      <c r="P71" s="66">
        <v>-5.4400000000000004E-2</v>
      </c>
      <c r="Q71" s="66">
        <v>5.8899999999999994E-2</v>
      </c>
      <c r="R71" s="17">
        <v>0.37111611614053652</v>
      </c>
      <c r="S71" s="67">
        <v>-4.2821737630549112E-3</v>
      </c>
      <c r="T71" s="85" t="s">
        <v>33</v>
      </c>
      <c r="U71" s="70" t="s">
        <v>166</v>
      </c>
      <c r="V71" s="66">
        <v>0.37259999999999999</v>
      </c>
      <c r="W71" s="89">
        <v>46295</v>
      </c>
      <c r="X71" s="69" t="s">
        <v>30</v>
      </c>
      <c r="Y71" s="70" t="s">
        <v>167</v>
      </c>
      <c r="Z71" s="68"/>
      <c r="AI71" s="67">
        <v>-4.2821737630549112E-3</v>
      </c>
      <c r="AJ71" s="67">
        <v>-4.2821737630549112E-3</v>
      </c>
      <c r="AK71" s="67">
        <v>-4.2821737630549112E-3</v>
      </c>
      <c r="AL71" s="67">
        <v>-4.2821737630549112E-3</v>
      </c>
      <c r="AM71" s="5"/>
    </row>
    <row r="72" spans="1:39" ht="13.75" customHeight="1" x14ac:dyDescent="0.3">
      <c r="B72" s="5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70"/>
      <c r="U72" s="70"/>
      <c r="V72" s="86"/>
      <c r="W72" s="92"/>
      <c r="X72" s="87"/>
      <c r="Y72" s="70"/>
      <c r="Z72" s="70"/>
      <c r="AI72" s="86"/>
      <c r="AJ72" s="86"/>
      <c r="AK72" s="86"/>
      <c r="AL72" s="86"/>
      <c r="AM72" s="5"/>
    </row>
    <row r="73" spans="1:39" s="40" customFormat="1" ht="13.75" customHeight="1" x14ac:dyDescent="0.3">
      <c r="A73" s="108"/>
      <c r="B73" s="99" t="s">
        <v>168</v>
      </c>
      <c r="C73" s="100">
        <v>2.1000000000000001E-2</v>
      </c>
      <c r="D73" s="100">
        <v>0.16</v>
      </c>
      <c r="E73" s="100">
        <v>0.32400000000000001</v>
      </c>
      <c r="F73" s="100">
        <v>0.13699999999999998</v>
      </c>
      <c r="G73" s="100">
        <v>1.3999999999999999E-2</v>
      </c>
      <c r="H73" s="100">
        <v>0.12</v>
      </c>
      <c r="I73" s="100">
        <v>0.218</v>
      </c>
      <c r="J73" s="100">
        <v>-4.4000000000000004E-2</v>
      </c>
      <c r="K73" s="100">
        <v>0.315</v>
      </c>
      <c r="L73" s="100">
        <v>0.184</v>
      </c>
      <c r="M73" s="100">
        <v>0.28699999999999998</v>
      </c>
      <c r="N73" s="100">
        <v>-0.18100000000000002</v>
      </c>
      <c r="O73" s="100">
        <v>0.26300000000000001</v>
      </c>
      <c r="P73" s="100">
        <v>0.25</v>
      </c>
      <c r="Q73" s="100">
        <v>0.17899999999999999</v>
      </c>
      <c r="R73" s="101">
        <v>0.14250542894673979</v>
      </c>
      <c r="S73" s="102">
        <v>5.2000000000000005E-2</v>
      </c>
      <c r="T73" s="103" t="s">
        <v>169</v>
      </c>
      <c r="U73" s="104" t="s">
        <v>170</v>
      </c>
      <c r="V73" s="100">
        <v>0.128</v>
      </c>
      <c r="W73" s="105">
        <v>46295</v>
      </c>
      <c r="X73" s="106" t="s">
        <v>30</v>
      </c>
      <c r="Y73" s="104" t="s">
        <v>171</v>
      </c>
      <c r="Z73" s="107"/>
      <c r="AI73" s="102">
        <v>5.2000000000000005E-2</v>
      </c>
      <c r="AJ73" s="102">
        <v>5.2000000000000005E-2</v>
      </c>
      <c r="AK73" s="102">
        <v>5.2000000000000005E-2</v>
      </c>
      <c r="AL73" s="102">
        <v>5.2000000000000005E-2</v>
      </c>
    </row>
    <row r="74" spans="1:39" ht="44" customHeight="1" x14ac:dyDescent="0.3">
      <c r="T74" s="2"/>
      <c r="U74" s="98"/>
      <c r="V74" s="94"/>
      <c r="W74" s="2"/>
      <c r="X74" s="2"/>
      <c r="Y74" s="2"/>
      <c r="AM74" s="5"/>
    </row>
  </sheetData>
  <mergeCells count="3">
    <mergeCell ref="I4:Q5"/>
    <mergeCell ref="I7:P8"/>
    <mergeCell ref="I10:P12"/>
  </mergeCells>
  <conditionalFormatting sqref="C19:S73 AI19:AL73">
    <cfRule type="cellIs" dxfId="2" priority="4" operator="lessThan">
      <formula>0</formula>
    </cfRule>
  </conditionalFormatting>
  <conditionalFormatting sqref="V19:V72">
    <cfRule type="cellIs" dxfId="1" priority="2" operator="lessThan">
      <formula>0</formula>
    </cfRule>
  </conditionalFormatting>
  <conditionalFormatting sqref="V73">
    <cfRule type="cellIs" dxfId="0" priority="1" operator="lessThan">
      <formula>0</formula>
    </cfRule>
  </conditionalFormatting>
  <pageMargins left="0.25" right="0.25" top="0.36" bottom="0.36" header="0.2" footer="0.17"/>
  <pageSetup scale="65" orientation="landscape" r:id="rId1"/>
  <headerFooter>
    <oddHeader>&amp;C&amp;"-,Bold"S&amp;&amp;P Returns History</oddHeader>
    <oddFooter>&amp;L&amp;8&amp;F&amp;C&amp;8&amp;A&amp;R&amp;P / &amp;N</oddFooter>
  </headerFooter>
  <rowBreaks count="1" manualBreakCount="1">
    <brk id="17" max="16383" man="1"/>
  </rowBreaks>
  <colBreaks count="2" manualBreakCount="2">
    <brk id="34" max="1048575" man="1"/>
    <brk id="19" max="7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S&amp;P YOY Sector Return (static)</vt:lpstr>
      <vt:lpstr>'S&amp;P YOY Sector Return (static)'!Print_Area</vt:lpstr>
      <vt:lpstr>'S&amp;P YOY Sector Return (static)'!Print_Titles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cp:lastPrinted>2026-10-07T17:33:29Z</cp:lastPrinted>
  <dcterms:created xsi:type="dcterms:W3CDTF">2026-10-07T17:11:42Z</dcterms:created>
  <dcterms:modified xsi:type="dcterms:W3CDTF">2026-10-07T17:34:33Z</dcterms:modified>
</cp:coreProperties>
</file>