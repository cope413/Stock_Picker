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l\Documents\GitHub\Stock_Picker\DCA_prep-executions\"/>
    </mc:Choice>
  </mc:AlternateContent>
  <xr:revisionPtr revIDLastSave="0" documentId="8_{C976B005-F1A4-4A40-B9FF-72E1D9A153E7}" xr6:coauthVersionLast="47" xr6:coauthVersionMax="47" xr10:uidLastSave="{00000000-0000-0000-0000-000000000000}"/>
  <bookViews>
    <workbookView xWindow="21710" yWindow="630" windowWidth="16580" windowHeight="19590" xr2:uid="{81535BC7-C0A6-0A4F-99A4-E8B5751AB3B7}"/>
  </bookViews>
  <sheets>
    <sheet name="DCA Slate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0" i="1" l="1"/>
  <c r="G32" i="1"/>
  <c r="H32" i="1" s="1"/>
  <c r="G13" i="1"/>
  <c r="H13" i="1" s="1"/>
  <c r="G36" i="1"/>
  <c r="G35" i="1"/>
  <c r="G34" i="1"/>
  <c r="G33" i="1"/>
  <c r="G27" i="1"/>
  <c r="G26" i="1"/>
  <c r="G25" i="1"/>
  <c r="G24" i="1"/>
  <c r="G23" i="1"/>
  <c r="H23" i="1" s="1"/>
  <c r="G17" i="1"/>
  <c r="G16" i="1"/>
  <c r="G15" i="1"/>
  <c r="G14" i="1"/>
  <c r="G5" i="1"/>
  <c r="G6" i="1"/>
  <c r="G7" i="1"/>
  <c r="G8" i="1"/>
  <c r="G4" i="1"/>
  <c r="H4" i="1" s="1"/>
  <c r="H33" i="1" l="1"/>
  <c r="H34" i="1" s="1"/>
  <c r="H35" i="1" s="1"/>
  <c r="H36" i="1" s="1"/>
  <c r="H14" i="1"/>
  <c r="H15" i="1" s="1"/>
  <c r="H16" i="1" s="1"/>
  <c r="H17" i="1" s="1"/>
  <c r="H18" i="1" s="1"/>
  <c r="H37" i="1"/>
  <c r="H43" i="1" s="1"/>
  <c r="H24" i="1"/>
  <c r="H25" i="1" s="1"/>
  <c r="H26" i="1" s="1"/>
  <c r="H27" i="1" s="1"/>
  <c r="H28" i="1" s="1"/>
  <c r="H41" i="1" s="1"/>
  <c r="H5" i="1"/>
  <c r="H6" i="1" s="1"/>
  <c r="H7" i="1" s="1"/>
  <c r="H8" i="1" s="1"/>
  <c r="H9" i="1" s="1"/>
  <c r="H39" i="1" s="1"/>
</calcChain>
</file>

<file path=xl/sharedStrings.xml><?xml version="1.0" encoding="utf-8"?>
<sst xmlns="http://schemas.openxmlformats.org/spreadsheetml/2006/main" count="74" uniqueCount="30">
  <si>
    <t>TICKER</t>
  </si>
  <si>
    <t>Broker</t>
  </si>
  <si>
    <t>Shares</t>
  </si>
  <si>
    <t>TOTAL</t>
  </si>
  <si>
    <t>BUYS</t>
  </si>
  <si>
    <t>VEEV</t>
  </si>
  <si>
    <t>SLB</t>
  </si>
  <si>
    <t>ABT</t>
  </si>
  <si>
    <t>DCA SLATE</t>
  </si>
  <si>
    <t>Target: ~</t>
  </si>
  <si>
    <t xml:space="preserve">FIDELITY 3711 </t>
  </si>
  <si>
    <t>CASH</t>
  </si>
  <si>
    <t>SPMO</t>
  </si>
  <si>
    <t>STAT</t>
  </si>
  <si>
    <t>sold 10/6</t>
  </si>
  <si>
    <t>actual bal</t>
  </si>
  <si>
    <t>pending</t>
  </si>
  <si>
    <t>FID</t>
  </si>
  <si>
    <t>~ $</t>
  </si>
  <si>
    <t>~ Price</t>
  </si>
  <si>
    <t>~ Net Result</t>
  </si>
  <si>
    <t>~ $ / notes</t>
  </si>
  <si>
    <t>VARIANCE FROM TARGET DCA</t>
  </si>
  <si>
    <t>CHA</t>
  </si>
  <si>
    <t>TOTAL BUYS</t>
  </si>
  <si>
    <t>TOTAL SELLS+CASH</t>
  </si>
  <si>
    <t>CHASE 3693</t>
  </si>
  <si>
    <t>NET  VARIANCE</t>
  </si>
  <si>
    <t>SELLS + CASH</t>
  </si>
  <si>
    <t>VMFXX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</si>
</sst>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8" formatCode="&quot;$&quot;#,##0"/>
    <numFmt numFmtId="170" formatCode="_(&quot;$&quot;* #,##0_);_(&quot;$&quot;* \(#,##0\);_(&quot;$&quot;* &quot;-&quot;??_);_(@_)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sz val="12"/>
      <color theme="1"/>
      <name val="Arial Narrow"/>
      <family val="2"/>
    </font>
    <font>
      <b/>
      <sz val="16"/>
      <color rgb="FFC00000"/>
      <name val="Arial Narrow"/>
      <family val="2"/>
    </font>
    <font>
      <b/>
      <sz val="12"/>
      <color theme="1"/>
      <name val="Arial Narrow"/>
      <family val="2"/>
    </font>
    <font>
      <b/>
      <sz val="12"/>
      <color rgb="FFC00000"/>
      <name val="Arial Narrow"/>
      <family val="2"/>
    </font>
    <font>
      <sz val="12"/>
      <color rgb="FFC00000"/>
      <name val="Arial Narrow"/>
      <family val="2"/>
    </font>
    <font>
      <b/>
      <sz val="16"/>
      <color theme="1"/>
      <name val="Arial Narrow"/>
      <family val="2"/>
    </font>
    <font>
      <b/>
      <sz val="16"/>
      <color theme="9" tint="-0.499984740745262"/>
      <name val="Arial Narrow"/>
      <family val="2"/>
    </font>
    <font>
      <i/>
      <sz val="12"/>
      <color theme="1"/>
      <name val="Arial Narrow"/>
      <family val="2"/>
    </font>
    <font>
      <b/>
      <i/>
      <sz val="12"/>
      <color theme="1"/>
      <name val="Arial Narrow"/>
      <family val="2"/>
    </font>
    <font>
      <b/>
      <sz val="22"/>
      <color rgb="FF0432FF"/>
      <name val="Arial Narrow"/>
      <family val="2"/>
    </font>
    <font>
      <sz val="14"/>
      <color theme="1"/>
      <name val="Arial Narrow"/>
      <family val="2"/>
    </font>
    <font>
      <sz val="18"/>
      <color theme="1"/>
      <name val="Arial Narrow"/>
      <family val="2"/>
    </font>
    <font>
      <sz val="24"/>
      <color theme="1"/>
      <name val="Arial Narrow"/>
      <family val="2"/>
    </font>
    <font>
      <b/>
      <sz val="14"/>
      <color theme="1"/>
      <name val="Arial Narrow"/>
      <family val="2"/>
    </font>
    <font>
      <b/>
      <sz val="18"/>
      <color rgb="FF0432FF"/>
      <name val="Arial Narrow"/>
      <family val="2"/>
    </font>
    <font>
      <b/>
      <sz val="12"/>
      <color theme="9" tint="-0.249977111117893"/>
      <name val="Arial Narrow"/>
      <family val="2"/>
    </font>
    <font>
      <b/>
      <sz val="12"/>
      <color rgb="FF0432FF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0" fontId="7" fillId="3" borderId="1" xfId="0" applyNumberFormat="1" applyFont="1" applyFill="1" applyBorder="1" applyAlignment="1">
      <alignment horizontal="center" vertical="center" wrapText="1"/>
    </xf>
    <xf numFmtId="44" fontId="7" fillId="3" borderId="1" xfId="1" applyFont="1" applyFill="1" applyBorder="1" applyAlignment="1">
      <alignment vertical="center" wrapText="1"/>
    </xf>
    <xf numFmtId="44" fontId="3" fillId="0" borderId="1" xfId="1" applyFont="1" applyBorder="1" applyAlignment="1">
      <alignment vertical="center" wrapText="1"/>
    </xf>
    <xf numFmtId="0" fontId="10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14" fontId="12" fillId="0" borderId="0" xfId="0" applyNumberFormat="1" applyFont="1"/>
    <xf numFmtId="0" fontId="13" fillId="0" borderId="0" xfId="0" applyFont="1"/>
    <xf numFmtId="0" fontId="15" fillId="0" borderId="0" xfId="0" applyFont="1" applyAlignment="1">
      <alignment vertical="center"/>
    </xf>
    <xf numFmtId="0" fontId="4" fillId="4" borderId="6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3" fillId="6" borderId="0" xfId="0" applyFont="1" applyFill="1" applyBorder="1"/>
    <xf numFmtId="0" fontId="3" fillId="6" borderId="11" xfId="0" applyFont="1" applyFill="1" applyBorder="1"/>
    <xf numFmtId="0" fontId="9" fillId="5" borderId="12" xfId="0" applyFont="1" applyFill="1" applyBorder="1" applyAlignment="1">
      <alignment horizontal="left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vertical="center"/>
    </xf>
    <xf numFmtId="0" fontId="3" fillId="6" borderId="14" xfId="0" applyFont="1" applyFill="1" applyBorder="1"/>
    <xf numFmtId="0" fontId="15" fillId="0" borderId="5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168" fontId="17" fillId="0" borderId="0" xfId="1" applyNumberFormat="1" applyFont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3" fillId="0" borderId="4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70" fontId="3" fillId="0" borderId="10" xfId="1" applyNumberFormat="1" applyFont="1" applyBorder="1" applyAlignment="1">
      <alignment vertical="center" wrapText="1"/>
    </xf>
    <xf numFmtId="170" fontId="8" fillId="0" borderId="10" xfId="0" applyNumberFormat="1" applyFont="1" applyBorder="1"/>
    <xf numFmtId="170" fontId="8" fillId="0" borderId="15" xfId="0" applyNumberFormat="1" applyFont="1" applyBorder="1"/>
    <xf numFmtId="0" fontId="3" fillId="2" borderId="1" xfId="0" applyFont="1" applyFill="1" applyBorder="1" applyAlignment="1">
      <alignment horizontal="center" vertical="center" wrapText="1"/>
    </xf>
    <xf numFmtId="168" fontId="7" fillId="3" borderId="1" xfId="1" applyNumberFormat="1" applyFont="1" applyFill="1" applyBorder="1" applyAlignment="1">
      <alignment horizontal="center" vertical="center" wrapText="1"/>
    </xf>
    <xf numFmtId="168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170" fontId="16" fillId="0" borderId="16" xfId="0" applyNumberFormat="1" applyFont="1" applyBorder="1"/>
    <xf numFmtId="170" fontId="3" fillId="0" borderId="0" xfId="0" applyNumberFormat="1" applyFont="1"/>
    <xf numFmtId="0" fontId="5" fillId="0" borderId="0" xfId="0" applyFont="1" applyAlignment="1">
      <alignment textRotation="90"/>
    </xf>
  </cellXfs>
  <cellStyles count="2">
    <cellStyle name="Currency" xfId="1" builtinId="4"/>
    <cellStyle name="Normal" xfId="0" builtinId="0"/>
  </cellStyles>
  <dxfs count="9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CCF6-1731-8748-BDFF-E06D9E94551B}">
  <dimension ref="A1:I44"/>
  <sheetViews>
    <sheetView tabSelected="1" workbookViewId="0">
      <selection activeCell="K17" sqref="K17"/>
    </sheetView>
  </sheetViews>
  <sheetFormatPr defaultColWidth="10.83203125" defaultRowHeight="15.5" x14ac:dyDescent="0.35"/>
  <cols>
    <col min="1" max="1" width="15.5" style="2" customWidth="1"/>
    <col min="2" max="3" width="10.83203125" style="2"/>
    <col min="4" max="4" width="6.75" style="2" bestFit="1" customWidth="1"/>
    <col min="5" max="6" width="10.83203125" style="2"/>
    <col min="7" max="7" width="12.58203125" style="2" bestFit="1" customWidth="1"/>
    <col min="8" max="8" width="11.9140625" style="2" bestFit="1" customWidth="1"/>
    <col min="9" max="9" width="2.83203125" style="2" customWidth="1"/>
    <col min="10" max="16384" width="10.83203125" style="2"/>
  </cols>
  <sheetData>
    <row r="1" spans="1:9" ht="30.5" thickBot="1" x14ac:dyDescent="0.55000000000000004">
      <c r="A1" s="12">
        <v>46302</v>
      </c>
      <c r="B1" s="1" t="s">
        <v>8</v>
      </c>
      <c r="C1" s="1"/>
      <c r="G1" s="27" t="s">
        <v>9</v>
      </c>
      <c r="H1" s="28">
        <v>45000</v>
      </c>
      <c r="I1" s="43" t="s">
        <v>13</v>
      </c>
    </row>
    <row r="2" spans="1:9" ht="17" customHeight="1" x14ac:dyDescent="0.35">
      <c r="A2" s="25" t="s">
        <v>26</v>
      </c>
      <c r="B2" s="15" t="s">
        <v>28</v>
      </c>
      <c r="C2" s="16"/>
      <c r="D2" s="16"/>
      <c r="E2" s="16"/>
      <c r="F2" s="16"/>
      <c r="G2" s="16"/>
      <c r="H2" s="17"/>
    </row>
    <row r="3" spans="1:9" ht="15.5" customHeight="1" x14ac:dyDescent="0.35">
      <c r="A3" s="26"/>
      <c r="B3" s="3" t="s">
        <v>0</v>
      </c>
      <c r="C3" s="3" t="s">
        <v>18</v>
      </c>
      <c r="D3" s="3" t="s">
        <v>1</v>
      </c>
      <c r="E3" s="3" t="s">
        <v>2</v>
      </c>
      <c r="F3" s="3" t="s">
        <v>19</v>
      </c>
      <c r="G3" s="3" t="s">
        <v>3</v>
      </c>
      <c r="H3" s="18" t="s">
        <v>20</v>
      </c>
    </row>
    <row r="4" spans="1:9" ht="15.5" customHeight="1" x14ac:dyDescent="0.35">
      <c r="A4" s="26"/>
      <c r="B4" s="29" t="s">
        <v>11</v>
      </c>
      <c r="C4" s="36" t="s">
        <v>15</v>
      </c>
      <c r="D4" s="38" t="s">
        <v>23</v>
      </c>
      <c r="E4" s="5">
        <v>11408.02</v>
      </c>
      <c r="F4" s="6">
        <v>1</v>
      </c>
      <c r="G4" s="7">
        <f>E4*F4</f>
        <v>11408.02</v>
      </c>
      <c r="H4" s="32">
        <f>G4</f>
        <v>11408.02</v>
      </c>
      <c r="I4" s="31" t="b">
        <v>1</v>
      </c>
    </row>
    <row r="5" spans="1:9" ht="15.5" customHeight="1" x14ac:dyDescent="0.35">
      <c r="A5" s="26"/>
      <c r="B5" s="4" t="s">
        <v>29</v>
      </c>
      <c r="C5" s="36"/>
      <c r="D5" s="38" t="s">
        <v>23</v>
      </c>
      <c r="E5" s="5">
        <v>9000</v>
      </c>
      <c r="F5" s="6">
        <v>1</v>
      </c>
      <c r="G5" s="7">
        <f t="shared" ref="G5:G8" si="0">E5*F5</f>
        <v>9000</v>
      </c>
      <c r="H5" s="32">
        <f>H4+G5</f>
        <v>20408.02</v>
      </c>
      <c r="I5" s="31" t="b">
        <v>1</v>
      </c>
    </row>
    <row r="6" spans="1:9" ht="15.5" customHeight="1" x14ac:dyDescent="0.35">
      <c r="A6" s="26"/>
      <c r="B6" s="4"/>
      <c r="C6" s="36"/>
      <c r="D6" s="38" t="s">
        <v>23</v>
      </c>
      <c r="E6" s="5"/>
      <c r="F6" s="6"/>
      <c r="G6" s="7">
        <f t="shared" si="0"/>
        <v>0</v>
      </c>
      <c r="H6" s="32">
        <f t="shared" ref="H6:H8" si="1">H5+G6</f>
        <v>20408.02</v>
      </c>
      <c r="I6" s="31" t="b">
        <v>0</v>
      </c>
    </row>
    <row r="7" spans="1:9" ht="15.5" customHeight="1" x14ac:dyDescent="0.35">
      <c r="A7" s="26"/>
      <c r="B7" s="4"/>
      <c r="C7" s="36"/>
      <c r="D7" s="38" t="s">
        <v>23</v>
      </c>
      <c r="E7" s="5"/>
      <c r="F7" s="6"/>
      <c r="G7" s="7">
        <f t="shared" si="0"/>
        <v>0</v>
      </c>
      <c r="H7" s="32">
        <f t="shared" si="1"/>
        <v>20408.02</v>
      </c>
      <c r="I7" s="31" t="b">
        <v>0</v>
      </c>
    </row>
    <row r="8" spans="1:9" ht="15.5" customHeight="1" x14ac:dyDescent="0.35">
      <c r="A8" s="26"/>
      <c r="B8" s="4"/>
      <c r="C8" s="36"/>
      <c r="D8" s="38" t="s">
        <v>23</v>
      </c>
      <c r="E8" s="5"/>
      <c r="F8" s="6"/>
      <c r="G8" s="7">
        <f t="shared" si="0"/>
        <v>0</v>
      </c>
      <c r="H8" s="32">
        <f t="shared" si="1"/>
        <v>20408.02</v>
      </c>
      <c r="I8" s="31" t="b">
        <v>0</v>
      </c>
    </row>
    <row r="9" spans="1:9" ht="20" customHeight="1" x14ac:dyDescent="0.4">
      <c r="A9" s="26"/>
      <c r="B9" s="19"/>
      <c r="C9" s="19"/>
      <c r="D9" s="19"/>
      <c r="E9" s="19"/>
      <c r="F9" s="19"/>
      <c r="G9" s="19"/>
      <c r="H9" s="33">
        <f>H8</f>
        <v>20408.02</v>
      </c>
    </row>
    <row r="10" spans="1:9" ht="15.5" customHeight="1" x14ac:dyDescent="0.35">
      <c r="A10" s="26"/>
      <c r="B10" s="19"/>
      <c r="C10" s="19"/>
      <c r="D10" s="19"/>
      <c r="E10" s="19"/>
      <c r="F10" s="19"/>
      <c r="G10" s="19"/>
      <c r="H10" s="20"/>
    </row>
    <row r="11" spans="1:9" ht="20" customHeight="1" x14ac:dyDescent="0.35">
      <c r="A11" s="26"/>
      <c r="B11" s="10" t="s">
        <v>4</v>
      </c>
      <c r="C11" s="11"/>
      <c r="D11" s="11"/>
      <c r="E11" s="11"/>
      <c r="F11" s="11"/>
      <c r="G11" s="11"/>
      <c r="H11" s="21"/>
    </row>
    <row r="12" spans="1:9" s="8" customFormat="1" ht="15.5" customHeight="1" x14ac:dyDescent="0.35">
      <c r="A12" s="26"/>
      <c r="B12" s="9" t="s">
        <v>0</v>
      </c>
      <c r="C12" s="3" t="s">
        <v>18</v>
      </c>
      <c r="D12" s="9" t="s">
        <v>1</v>
      </c>
      <c r="E12" s="9" t="s">
        <v>2</v>
      </c>
      <c r="F12" s="9" t="s">
        <v>19</v>
      </c>
      <c r="G12" s="9" t="s">
        <v>3</v>
      </c>
      <c r="H12" s="22" t="s">
        <v>20</v>
      </c>
    </row>
    <row r="13" spans="1:9" ht="15.5" customHeight="1" x14ac:dyDescent="0.35">
      <c r="A13" s="26"/>
      <c r="B13" s="30" t="s">
        <v>6</v>
      </c>
      <c r="C13" s="37" t="s">
        <v>16</v>
      </c>
      <c r="D13" s="38" t="s">
        <v>23</v>
      </c>
      <c r="E13" s="5">
        <v>400</v>
      </c>
      <c r="F13" s="6">
        <v>50.51</v>
      </c>
      <c r="G13" s="7">
        <f>E13*F13</f>
        <v>20204</v>
      </c>
      <c r="H13" s="32">
        <f>-G13</f>
        <v>-20204</v>
      </c>
      <c r="I13" s="31" t="b">
        <v>0</v>
      </c>
    </row>
    <row r="14" spans="1:9" ht="15.5" customHeight="1" x14ac:dyDescent="0.35">
      <c r="A14" s="26"/>
      <c r="B14" s="30"/>
      <c r="C14" s="37"/>
      <c r="D14" s="38" t="s">
        <v>23</v>
      </c>
      <c r="E14" s="5"/>
      <c r="F14" s="6"/>
      <c r="G14" s="7">
        <f t="shared" ref="G14:G17" si="2">E14*F14</f>
        <v>0</v>
      </c>
      <c r="H14" s="32">
        <f>H13-G14</f>
        <v>-20204</v>
      </c>
      <c r="I14" s="31" t="b">
        <v>0</v>
      </c>
    </row>
    <row r="15" spans="1:9" ht="15.5" customHeight="1" x14ac:dyDescent="0.35">
      <c r="A15" s="26"/>
      <c r="B15" s="30"/>
      <c r="C15" s="37"/>
      <c r="D15" s="38" t="s">
        <v>23</v>
      </c>
      <c r="E15" s="5"/>
      <c r="F15" s="6"/>
      <c r="G15" s="7">
        <f t="shared" si="2"/>
        <v>0</v>
      </c>
      <c r="H15" s="32">
        <f t="shared" ref="H15:H17" si="3">H14-G15</f>
        <v>-20204</v>
      </c>
      <c r="I15" s="31" t="b">
        <v>0</v>
      </c>
    </row>
    <row r="16" spans="1:9" ht="15.5" customHeight="1" x14ac:dyDescent="0.35">
      <c r="A16" s="26"/>
      <c r="B16" s="4"/>
      <c r="C16" s="37"/>
      <c r="D16" s="38" t="s">
        <v>23</v>
      </c>
      <c r="E16" s="5"/>
      <c r="F16" s="6"/>
      <c r="G16" s="7">
        <f t="shared" si="2"/>
        <v>0</v>
      </c>
      <c r="H16" s="32">
        <f t="shared" si="3"/>
        <v>-20204</v>
      </c>
      <c r="I16" s="31" t="b">
        <v>0</v>
      </c>
    </row>
    <row r="17" spans="1:9" ht="15.5" customHeight="1" x14ac:dyDescent="0.35">
      <c r="A17" s="26"/>
      <c r="B17" s="4"/>
      <c r="C17" s="37"/>
      <c r="D17" s="38" t="s">
        <v>23</v>
      </c>
      <c r="E17" s="5"/>
      <c r="F17" s="6"/>
      <c r="G17" s="7">
        <f t="shared" si="2"/>
        <v>0</v>
      </c>
      <c r="H17" s="32">
        <f t="shared" si="3"/>
        <v>-20204</v>
      </c>
      <c r="I17" s="31" t="b">
        <v>0</v>
      </c>
    </row>
    <row r="18" spans="1:9" ht="20" customHeight="1" thickBot="1" x14ac:dyDescent="0.45">
      <c r="A18" s="23"/>
      <c r="B18" s="24"/>
      <c r="C18" s="24"/>
      <c r="D18" s="24"/>
      <c r="E18" s="24"/>
      <c r="F18" s="24"/>
      <c r="G18" s="24"/>
      <c r="H18" s="34">
        <f>H17</f>
        <v>-20204</v>
      </c>
    </row>
    <row r="19" spans="1:9" ht="15.5" customHeight="1" x14ac:dyDescent="0.35">
      <c r="A19" s="14"/>
    </row>
    <row r="20" spans="1:9" ht="15.5" customHeight="1" thickBot="1" x14ac:dyDescent="0.4">
      <c r="A20" s="14"/>
    </row>
    <row r="21" spans="1:9" ht="20" x14ac:dyDescent="0.35">
      <c r="A21" s="25" t="s">
        <v>10</v>
      </c>
      <c r="B21" s="15" t="s">
        <v>28</v>
      </c>
      <c r="C21" s="16"/>
      <c r="D21" s="16"/>
      <c r="E21" s="16"/>
      <c r="F21" s="16"/>
      <c r="G21" s="16"/>
      <c r="H21" s="17"/>
    </row>
    <row r="22" spans="1:9" x14ac:dyDescent="0.35">
      <c r="A22" s="26"/>
      <c r="B22" s="3" t="s">
        <v>0</v>
      </c>
      <c r="C22" s="35" t="s">
        <v>21</v>
      </c>
      <c r="D22" s="3" t="s">
        <v>1</v>
      </c>
      <c r="E22" s="3" t="s">
        <v>2</v>
      </c>
      <c r="F22" s="3" t="s">
        <v>19</v>
      </c>
      <c r="G22" s="3" t="s">
        <v>3</v>
      </c>
      <c r="H22" s="18" t="s">
        <v>20</v>
      </c>
    </row>
    <row r="23" spans="1:9" x14ac:dyDescent="0.35">
      <c r="A23" s="26"/>
      <c r="B23" s="29" t="s">
        <v>11</v>
      </c>
      <c r="C23" s="36" t="s">
        <v>15</v>
      </c>
      <c r="D23" s="38" t="s">
        <v>17</v>
      </c>
      <c r="E23" s="5">
        <v>24366.94</v>
      </c>
      <c r="F23" s="6">
        <v>1</v>
      </c>
      <c r="G23" s="7">
        <f>E23*F23</f>
        <v>24366.94</v>
      </c>
      <c r="H23" s="32">
        <f>G23</f>
        <v>24366.94</v>
      </c>
      <c r="I23" s="31" t="b">
        <v>1</v>
      </c>
    </row>
    <row r="24" spans="1:9" x14ac:dyDescent="0.35">
      <c r="A24" s="26"/>
      <c r="B24" s="4" t="s">
        <v>12</v>
      </c>
      <c r="C24" s="36" t="s">
        <v>14</v>
      </c>
      <c r="D24" s="38" t="s">
        <v>17</v>
      </c>
      <c r="E24" s="5">
        <v>30</v>
      </c>
      <c r="F24" s="6">
        <v>153.6</v>
      </c>
      <c r="G24" s="7">
        <f t="shared" ref="G24:G27" si="4">E24*F24</f>
        <v>4608</v>
      </c>
      <c r="H24" s="32">
        <f>H23+G24</f>
        <v>28974.94</v>
      </c>
      <c r="I24" s="31" t="b">
        <v>1</v>
      </c>
    </row>
    <row r="25" spans="1:9" x14ac:dyDescent="0.35">
      <c r="A25" s="26"/>
      <c r="B25" s="4"/>
      <c r="C25" s="36"/>
      <c r="D25" s="38" t="s">
        <v>17</v>
      </c>
      <c r="E25" s="5"/>
      <c r="F25" s="6"/>
      <c r="G25" s="7">
        <f t="shared" si="4"/>
        <v>0</v>
      </c>
      <c r="H25" s="32">
        <f t="shared" ref="H25:H27" si="5">H24+G25</f>
        <v>28974.94</v>
      </c>
      <c r="I25" s="31" t="b">
        <v>0</v>
      </c>
    </row>
    <row r="26" spans="1:9" x14ac:dyDescent="0.35">
      <c r="A26" s="26"/>
      <c r="B26" s="4"/>
      <c r="C26" s="36"/>
      <c r="D26" s="38" t="s">
        <v>17</v>
      </c>
      <c r="E26" s="5"/>
      <c r="F26" s="6"/>
      <c r="G26" s="7">
        <f t="shared" si="4"/>
        <v>0</v>
      </c>
      <c r="H26" s="32">
        <f t="shared" si="5"/>
        <v>28974.94</v>
      </c>
      <c r="I26" s="31" t="b">
        <v>0</v>
      </c>
    </row>
    <row r="27" spans="1:9" x14ac:dyDescent="0.35">
      <c r="A27" s="26"/>
      <c r="B27" s="4"/>
      <c r="C27" s="36"/>
      <c r="D27" s="38" t="s">
        <v>17</v>
      </c>
      <c r="E27" s="5"/>
      <c r="F27" s="6"/>
      <c r="G27" s="7">
        <f t="shared" si="4"/>
        <v>0</v>
      </c>
      <c r="H27" s="32">
        <f t="shared" si="5"/>
        <v>28974.94</v>
      </c>
      <c r="I27" s="31" t="b">
        <v>0</v>
      </c>
    </row>
    <row r="28" spans="1:9" ht="20" x14ac:dyDescent="0.4">
      <c r="A28" s="26"/>
      <c r="B28" s="19"/>
      <c r="C28" s="19"/>
      <c r="D28" s="19"/>
      <c r="E28" s="19"/>
      <c r="F28" s="19"/>
      <c r="G28" s="19"/>
      <c r="H28" s="33">
        <f>H27</f>
        <v>28974.94</v>
      </c>
    </row>
    <row r="29" spans="1:9" x14ac:dyDescent="0.35">
      <c r="A29" s="26"/>
      <c r="B29" s="19"/>
      <c r="C29" s="19"/>
      <c r="D29" s="19"/>
      <c r="E29" s="19"/>
      <c r="F29" s="19"/>
      <c r="G29" s="19"/>
      <c r="H29" s="20"/>
    </row>
    <row r="30" spans="1:9" ht="20" x14ac:dyDescent="0.35">
      <c r="A30" s="26"/>
      <c r="B30" s="10" t="s">
        <v>4</v>
      </c>
      <c r="C30" s="11"/>
      <c r="D30" s="11"/>
      <c r="E30" s="11"/>
      <c r="F30" s="11"/>
      <c r="G30" s="11"/>
      <c r="H30" s="21"/>
    </row>
    <row r="31" spans="1:9" x14ac:dyDescent="0.35">
      <c r="A31" s="26"/>
      <c r="B31" s="9" t="s">
        <v>0</v>
      </c>
      <c r="C31" s="3" t="s">
        <v>18</v>
      </c>
      <c r="D31" s="9" t="s">
        <v>1</v>
      </c>
      <c r="E31" s="9" t="s">
        <v>2</v>
      </c>
      <c r="F31" s="9" t="s">
        <v>19</v>
      </c>
      <c r="G31" s="9" t="s">
        <v>3</v>
      </c>
      <c r="H31" s="22" t="s">
        <v>20</v>
      </c>
      <c r="I31" s="8"/>
    </row>
    <row r="32" spans="1:9" x14ac:dyDescent="0.35">
      <c r="A32" s="26"/>
      <c r="B32" s="30" t="s">
        <v>5</v>
      </c>
      <c r="C32" s="37" t="s">
        <v>16</v>
      </c>
      <c r="D32" s="38" t="s">
        <v>17</v>
      </c>
      <c r="E32" s="5">
        <v>100</v>
      </c>
      <c r="F32" s="6">
        <v>284</v>
      </c>
      <c r="G32" s="32">
        <f>E32*-F32</f>
        <v>-28400</v>
      </c>
      <c r="H32" s="32">
        <f>G32</f>
        <v>-28400</v>
      </c>
      <c r="I32" s="31" t="b">
        <v>0</v>
      </c>
    </row>
    <row r="33" spans="1:9" x14ac:dyDescent="0.35">
      <c r="A33" s="26"/>
      <c r="B33" s="30" t="s">
        <v>6</v>
      </c>
      <c r="C33" s="37"/>
      <c r="D33" s="38" t="s">
        <v>17</v>
      </c>
      <c r="E33" s="5"/>
      <c r="F33" s="6"/>
      <c r="G33" s="32">
        <f t="shared" ref="G33:G36" si="6">E33*F33</f>
        <v>0</v>
      </c>
      <c r="H33" s="32">
        <f>H32-G33</f>
        <v>-28400</v>
      </c>
      <c r="I33" s="31" t="b">
        <v>0</v>
      </c>
    </row>
    <row r="34" spans="1:9" x14ac:dyDescent="0.35">
      <c r="A34" s="26"/>
      <c r="B34" s="30" t="s">
        <v>7</v>
      </c>
      <c r="C34" s="37"/>
      <c r="D34" s="38" t="s">
        <v>17</v>
      </c>
      <c r="E34" s="5"/>
      <c r="F34" s="6"/>
      <c r="G34" s="32">
        <f t="shared" si="6"/>
        <v>0</v>
      </c>
      <c r="H34" s="32">
        <f t="shared" ref="H34:H36" si="7">H33-G34</f>
        <v>-28400</v>
      </c>
      <c r="I34" s="31" t="b">
        <v>0</v>
      </c>
    </row>
    <row r="35" spans="1:9" x14ac:dyDescent="0.35">
      <c r="A35" s="26"/>
      <c r="B35" s="4"/>
      <c r="C35" s="37"/>
      <c r="D35" s="38" t="s">
        <v>17</v>
      </c>
      <c r="E35" s="5"/>
      <c r="F35" s="6"/>
      <c r="G35" s="32">
        <f t="shared" si="6"/>
        <v>0</v>
      </c>
      <c r="H35" s="32">
        <f t="shared" si="7"/>
        <v>-28400</v>
      </c>
      <c r="I35" s="31" t="b">
        <v>0</v>
      </c>
    </row>
    <row r="36" spans="1:9" x14ac:dyDescent="0.35">
      <c r="A36" s="26"/>
      <c r="B36" s="4"/>
      <c r="C36" s="37"/>
      <c r="D36" s="38" t="s">
        <v>17</v>
      </c>
      <c r="E36" s="5"/>
      <c r="F36" s="6"/>
      <c r="G36" s="32">
        <f t="shared" si="6"/>
        <v>0</v>
      </c>
      <c r="H36" s="32">
        <f t="shared" si="7"/>
        <v>-28400</v>
      </c>
      <c r="I36" s="31" t="b">
        <v>0</v>
      </c>
    </row>
    <row r="37" spans="1:9" ht="20" customHeight="1" thickBot="1" x14ac:dyDescent="0.45">
      <c r="A37" s="23"/>
      <c r="B37" s="24"/>
      <c r="C37" s="24"/>
      <c r="D37" s="24"/>
      <c r="E37" s="24"/>
      <c r="F37" s="24"/>
      <c r="G37" s="24"/>
      <c r="H37" s="34">
        <f>H36</f>
        <v>-28400</v>
      </c>
    </row>
    <row r="39" spans="1:9" x14ac:dyDescent="0.35">
      <c r="G39" s="39" t="s">
        <v>25</v>
      </c>
      <c r="H39" s="42">
        <f>SUM(H9+H28)</f>
        <v>49382.96</v>
      </c>
    </row>
    <row r="40" spans="1:9" x14ac:dyDescent="0.35">
      <c r="G40" s="39" t="s">
        <v>24</v>
      </c>
      <c r="H40" s="42">
        <f>SUM(H18+H37)</f>
        <v>-48604</v>
      </c>
    </row>
    <row r="41" spans="1:9" ht="18.5" thickBot="1" x14ac:dyDescent="0.45">
      <c r="G41" s="40" t="s">
        <v>27</v>
      </c>
      <c r="H41" s="41">
        <f>SUM(H28,H37)</f>
        <v>574.93999999999869</v>
      </c>
    </row>
    <row r="42" spans="1:9" ht="18.5" thickTop="1" x14ac:dyDescent="0.4">
      <c r="G42" s="13"/>
      <c r="H42" s="13"/>
    </row>
    <row r="43" spans="1:9" ht="18.5" thickBot="1" x14ac:dyDescent="0.45">
      <c r="G43" s="40" t="s">
        <v>22</v>
      </c>
      <c r="H43" s="41">
        <f>(H1+(H18+H37))</f>
        <v>-3604</v>
      </c>
    </row>
    <row r="44" spans="1:9" ht="16" thickTop="1" x14ac:dyDescent="0.35"/>
  </sheetData>
  <mergeCells count="6">
    <mergeCell ref="B2:H2"/>
    <mergeCell ref="B11:H11"/>
    <mergeCell ref="A2:A17"/>
    <mergeCell ref="A21:A36"/>
    <mergeCell ref="B21:H21"/>
    <mergeCell ref="B30:H30"/>
  </mergeCells>
  <conditionalFormatting sqref="H32:H36">
    <cfRule type="cellIs" dxfId="8" priority="9" operator="lessThan">
      <formula>0</formula>
    </cfRule>
  </conditionalFormatting>
  <conditionalFormatting sqref="H41">
    <cfRule type="cellIs" dxfId="5" priority="6" operator="lessThan">
      <formula>0</formula>
    </cfRule>
  </conditionalFormatting>
  <conditionalFormatting sqref="H37">
    <cfRule type="cellIs" dxfId="4" priority="5" operator="lessThan">
      <formula>0</formula>
    </cfRule>
  </conditionalFormatting>
  <conditionalFormatting sqref="H13:H17">
    <cfRule type="cellIs" dxfId="3" priority="4" operator="lessThan">
      <formula>0</formula>
    </cfRule>
  </conditionalFormatting>
  <conditionalFormatting sqref="H18">
    <cfRule type="cellIs" dxfId="2" priority="3" operator="lessThan">
      <formula>0</formula>
    </cfRule>
  </conditionalFormatting>
  <conditionalFormatting sqref="G32:G36">
    <cfRule type="cellIs" dxfId="1" priority="2" operator="lessThan">
      <formula>0</formula>
    </cfRule>
  </conditionalFormatting>
  <conditionalFormatting sqref="H43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DCA Slate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Landry</dc:creator>
  <cp:lastModifiedBy>Alan Landry</cp:lastModifiedBy>
  <dcterms:created xsi:type="dcterms:W3CDTF">2026-10-05T21:59:56Z</dcterms:created>
  <dcterms:modified xsi:type="dcterms:W3CDTF">2026-10-06T15:29:56Z</dcterms:modified>
</cp:coreProperties>
</file>