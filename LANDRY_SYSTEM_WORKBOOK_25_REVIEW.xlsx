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omments2.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3.xml" ContentType="application/vnd.openxmlformats-officedocument.spreadsheetml.comments+xml"/>
  <Override PartName="/xl/tables/table10.xml" ContentType="application/vnd.openxmlformats-officedocument.spreadsheetml.table+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anl\Documents\GitHub\Stock_Picker\"/>
    </mc:Choice>
  </mc:AlternateContent>
  <xr:revisionPtr revIDLastSave="0" documentId="13_ncr:1_{531411F9-32B6-4F5C-8CCF-93D506FEC053}" xr6:coauthVersionLast="47" xr6:coauthVersionMax="47" xr10:uidLastSave="{00000000-0000-0000-0000-000000000000}"/>
  <bookViews>
    <workbookView xWindow="1520" yWindow="1520" windowWidth="35150" windowHeight="19590" tabRatio="799" activeTab="2" xr2:uid="{00000000-000D-0000-FFFF-FFFF00000000}"/>
  </bookViews>
  <sheets>
    <sheet name="Instructions" sheetId="1" r:id="rId1"/>
    <sheet name="Action Items" sheetId="2" r:id="rId2"/>
    <sheet name="Current Positions" sheetId="3" r:id="rId3"/>
    <sheet name="Monitor &amp; Recheck Triggers" sheetId="4" r:id="rId4"/>
    <sheet name="Price History" sheetId="5" r:id="rId5"/>
    <sheet name="Dashboard" sheetId="6" r:id="rId6"/>
    <sheet name="Scoring" sheetId="7" r:id="rId7"/>
    <sheet name="Entry Checklist" sheetId="8" r:id="rId8"/>
    <sheet name="Market Data" sheetId="9" r:id="rId9"/>
    <sheet name="Returns (Calc)" sheetId="10" r:id="rId10"/>
    <sheet name="Correlation Matrix" sheetId="11" r:id="rId11"/>
    <sheet name="Portfolio Drawdown Log" sheetId="12" r:id="rId12"/>
    <sheet name="Watch List Tracker" sheetId="13" r:id="rId13"/>
    <sheet name="Implied-Return Calculator" sheetId="14" r:id="rId14"/>
    <sheet name="Holding Monitor" sheetId="15" r:id="rId15"/>
    <sheet name="Performance Tracking" sheetId="16" r:id="rId16"/>
    <sheet name="Journal" sheetId="17" r:id="rId17"/>
    <sheet name="Process Checklist" sheetId="18" r:id="rId18"/>
    <sheet name="Open Items" sheetId="19" r:id="rId19"/>
    <sheet name="Schema Reference" sheetId="20" r:id="rId20"/>
    <sheet name="Scratchpad (disregard)" sheetId="21" r:id="rId21"/>
  </sheets>
  <definedNames>
    <definedName name="_xlnm._FilterDatabase" localSheetId="8" hidden="1">'Market Data'!$A$2:$I$44</definedName>
    <definedName name="_xlnm._FilterDatabase" localSheetId="6" hidden="1">Scoring!$A$2:$AS$61</definedName>
    <definedName name="MON_SignalsAsOf">'Monitor &amp; Recheck Triggers'!$Q$1</definedName>
    <definedName name="_xlnm.Print_Area" localSheetId="16">Journal!$A$1:$C$302</definedName>
    <definedName name="PT_AsOf">'Performance Tracking'!$D$63</definedName>
    <definedName name="PT_Inception">'Performance Tracking'!$D$67</definedName>
    <definedName name="PT_SPY_0805">'Performance Tracking'!$D$65</definedName>
    <definedName name="PT_SPY_1231">'Performance Tracking'!$D$66</definedName>
    <definedName name="PT_SPY_Now">'Performance Tracking'!$D$64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 i="19" l="1"/>
  <c r="E121" i="18"/>
  <c r="F121" i="18" s="1"/>
  <c r="E120" i="18"/>
  <c r="F120" i="18" s="1"/>
  <c r="E119" i="18"/>
  <c r="F119" i="18" s="1"/>
  <c r="E118" i="18"/>
  <c r="F118" i="18" s="1"/>
  <c r="E117" i="18"/>
  <c r="F117" i="18" s="1"/>
  <c r="E116" i="18"/>
  <c r="F116" i="18" s="1"/>
  <c r="E115" i="18"/>
  <c r="F115" i="18" s="1"/>
  <c r="E114" i="18"/>
  <c r="F114" i="18" s="1"/>
  <c r="E113" i="18"/>
  <c r="F113" i="18" s="1"/>
  <c r="E112" i="18"/>
  <c r="F112" i="18" s="1"/>
  <c r="E111" i="18"/>
  <c r="F111" i="18" s="1"/>
  <c r="E110" i="18"/>
  <c r="F110" i="18" s="1"/>
  <c r="E109" i="18"/>
  <c r="F109" i="18" s="1"/>
  <c r="E108" i="18"/>
  <c r="F108" i="18" s="1"/>
  <c r="E107" i="18"/>
  <c r="F107" i="18" s="1"/>
  <c r="E106" i="18"/>
  <c r="F106" i="18" s="1"/>
  <c r="E105" i="18"/>
  <c r="F105" i="18" s="1"/>
  <c r="E104" i="18"/>
  <c r="F104" i="18" s="1"/>
  <c r="E103" i="18"/>
  <c r="F103" i="18" s="1"/>
  <c r="E102" i="18"/>
  <c r="F102" i="18" s="1"/>
  <c r="E101" i="18"/>
  <c r="F101" i="18" s="1"/>
  <c r="E100" i="18"/>
  <c r="F100" i="18" s="1"/>
  <c r="E99" i="18"/>
  <c r="F99" i="18" s="1"/>
  <c r="E98" i="18"/>
  <c r="F98" i="18" s="1"/>
  <c r="E97" i="18"/>
  <c r="F97" i="18" s="1"/>
  <c r="E96" i="18"/>
  <c r="F96" i="18" s="1"/>
  <c r="E95" i="18"/>
  <c r="F95" i="18" s="1"/>
  <c r="E94" i="18"/>
  <c r="F94" i="18" s="1"/>
  <c r="E93" i="18"/>
  <c r="F93" i="18" s="1"/>
  <c r="E92" i="18"/>
  <c r="F92" i="18" s="1"/>
  <c r="E91" i="18"/>
  <c r="F91" i="18" s="1"/>
  <c r="E90" i="18"/>
  <c r="F90" i="18" s="1"/>
  <c r="E89" i="18"/>
  <c r="F89" i="18" s="1"/>
  <c r="E88" i="18"/>
  <c r="F88" i="18" s="1"/>
  <c r="E87" i="18"/>
  <c r="F87" i="18" s="1"/>
  <c r="E86" i="18"/>
  <c r="F86" i="18" s="1"/>
  <c r="E85" i="18"/>
  <c r="F85" i="18" s="1"/>
  <c r="E84" i="18"/>
  <c r="F84" i="18" s="1"/>
  <c r="E83" i="18"/>
  <c r="F83" i="18" s="1"/>
  <c r="E82" i="18"/>
  <c r="F82" i="18" s="1"/>
  <c r="E81" i="18"/>
  <c r="F81" i="18" s="1"/>
  <c r="E80" i="18"/>
  <c r="F80" i="18" s="1"/>
  <c r="E79" i="18"/>
  <c r="F79" i="18" s="1"/>
  <c r="E78" i="18"/>
  <c r="F78" i="18" s="1"/>
  <c r="E77" i="18"/>
  <c r="F77" i="18" s="1"/>
  <c r="E76" i="18"/>
  <c r="F76" i="18" s="1"/>
  <c r="E75" i="18"/>
  <c r="F75" i="18" s="1"/>
  <c r="E74" i="18"/>
  <c r="F74" i="18" s="1"/>
  <c r="E73" i="18"/>
  <c r="F73" i="18" s="1"/>
  <c r="E72" i="18"/>
  <c r="F72" i="18" s="1"/>
  <c r="E71" i="18"/>
  <c r="F71" i="18" s="1"/>
  <c r="E70" i="18"/>
  <c r="F70" i="18" s="1"/>
  <c r="E69" i="18"/>
  <c r="F69" i="18" s="1"/>
  <c r="E68" i="18"/>
  <c r="F68" i="18" s="1"/>
  <c r="E67" i="18"/>
  <c r="F67" i="18" s="1"/>
  <c r="E66" i="18"/>
  <c r="F66" i="18" s="1"/>
  <c r="E65" i="18"/>
  <c r="F65" i="18" s="1"/>
  <c r="E64" i="18"/>
  <c r="F64" i="18" s="1"/>
  <c r="E63" i="18"/>
  <c r="F63" i="18" s="1"/>
  <c r="E62" i="18"/>
  <c r="F62" i="18" s="1"/>
  <c r="E61" i="18"/>
  <c r="F61" i="18" s="1"/>
  <c r="E60" i="18"/>
  <c r="F60" i="18" s="1"/>
  <c r="E59" i="18"/>
  <c r="F59" i="18" s="1"/>
  <c r="E58" i="18"/>
  <c r="F58" i="18" s="1"/>
  <c r="E57" i="18"/>
  <c r="F57" i="18" s="1"/>
  <c r="E56" i="18"/>
  <c r="F56" i="18" s="1"/>
  <c r="E55" i="18"/>
  <c r="F55" i="18" s="1"/>
  <c r="E54" i="18"/>
  <c r="F54" i="18" s="1"/>
  <c r="E53" i="18"/>
  <c r="F53" i="18" s="1"/>
  <c r="E52" i="18"/>
  <c r="F52" i="18" s="1"/>
  <c r="E51" i="18"/>
  <c r="F51" i="18" s="1"/>
  <c r="E50" i="18"/>
  <c r="F50" i="18" s="1"/>
  <c r="E49" i="18"/>
  <c r="F49" i="18" s="1"/>
  <c r="E48" i="18"/>
  <c r="F48" i="18" s="1"/>
  <c r="E47" i="18"/>
  <c r="F47" i="18" s="1"/>
  <c r="E46" i="18"/>
  <c r="F46" i="18" s="1"/>
  <c r="E45" i="18"/>
  <c r="F45" i="18" s="1"/>
  <c r="F44" i="18"/>
  <c r="E44" i="18"/>
  <c r="F43" i="18"/>
  <c r="E43" i="18"/>
  <c r="F42" i="18"/>
  <c r="E42" i="18"/>
  <c r="F41" i="18"/>
  <c r="E41" i="18"/>
  <c r="F40" i="18"/>
  <c r="E40" i="18"/>
  <c r="F39" i="18"/>
  <c r="E39" i="18"/>
  <c r="F38" i="18"/>
  <c r="E38" i="18"/>
  <c r="F37" i="18"/>
  <c r="E37" i="18"/>
  <c r="F36" i="18"/>
  <c r="E36" i="18"/>
  <c r="E35" i="18"/>
  <c r="F35" i="18" s="1"/>
  <c r="E34" i="18"/>
  <c r="F34" i="18" s="1"/>
  <c r="E33" i="18"/>
  <c r="F33" i="18" s="1"/>
  <c r="E32" i="18"/>
  <c r="F32" i="18" s="1"/>
  <c r="E31" i="18"/>
  <c r="F31" i="18" s="1"/>
  <c r="E30" i="18"/>
  <c r="F30" i="18" s="1"/>
  <c r="E29" i="18"/>
  <c r="F29" i="18" s="1"/>
  <c r="E28" i="18"/>
  <c r="F28" i="18" s="1"/>
  <c r="E27" i="18"/>
  <c r="F27" i="18" s="1"/>
  <c r="E26" i="18"/>
  <c r="F26" i="18" s="1"/>
  <c r="E25" i="18"/>
  <c r="F25" i="18" s="1"/>
  <c r="E24" i="18"/>
  <c r="F24" i="18" s="1"/>
  <c r="E23" i="18"/>
  <c r="F23" i="18" s="1"/>
  <c r="E22" i="18"/>
  <c r="F22" i="18" s="1"/>
  <c r="E21" i="18"/>
  <c r="F21" i="18" s="1"/>
  <c r="E20" i="18"/>
  <c r="F20" i="18" s="1"/>
  <c r="E19" i="18"/>
  <c r="F19" i="18" s="1"/>
  <c r="E18" i="18"/>
  <c r="F18" i="18" s="1"/>
  <c r="E17" i="18"/>
  <c r="F17" i="18" s="1"/>
  <c r="E16" i="18"/>
  <c r="F16" i="18" s="1"/>
  <c r="E15" i="18"/>
  <c r="F15" i="18" s="1"/>
  <c r="E14" i="18"/>
  <c r="F14" i="18" s="1"/>
  <c r="E13" i="18"/>
  <c r="F13" i="18" s="1"/>
  <c r="E12" i="18"/>
  <c r="F12" i="18" s="1"/>
  <c r="E11" i="18"/>
  <c r="F11" i="18" s="1"/>
  <c r="E10" i="18"/>
  <c r="F10" i="18" s="1"/>
  <c r="E9" i="18"/>
  <c r="F9" i="18" s="1"/>
  <c r="E8" i="18"/>
  <c r="F8" i="18" s="1"/>
  <c r="E7" i="18"/>
  <c r="F7" i="18" s="1"/>
  <c r="E6" i="18"/>
  <c r="F6" i="18" s="1"/>
  <c r="F5" i="18"/>
  <c r="E5" i="18"/>
  <c r="H53" i="16"/>
  <c r="H52" i="16"/>
  <c r="H51" i="16"/>
  <c r="H50" i="16"/>
  <c r="H49" i="16"/>
  <c r="U44" i="16"/>
  <c r="P44" i="16"/>
  <c r="O44" i="16"/>
  <c r="Q44" i="16" s="1"/>
  <c r="U43" i="16"/>
  <c r="P43" i="16"/>
  <c r="O43" i="16"/>
  <c r="Q43" i="16" s="1"/>
  <c r="U42" i="16"/>
  <c r="P42" i="16"/>
  <c r="O42" i="16"/>
  <c r="Q42" i="16" s="1"/>
  <c r="U41" i="16"/>
  <c r="O41" i="16"/>
  <c r="H41" i="16"/>
  <c r="P41" i="16" s="1"/>
  <c r="U40" i="16"/>
  <c r="O40" i="16"/>
  <c r="H40" i="16"/>
  <c r="P40" i="16" s="1"/>
  <c r="U39" i="16"/>
  <c r="O39" i="16"/>
  <c r="H39" i="16"/>
  <c r="P39" i="16" s="1"/>
  <c r="U38" i="16"/>
  <c r="O38" i="16"/>
  <c r="H38" i="16"/>
  <c r="P38" i="16" s="1"/>
  <c r="U37" i="16"/>
  <c r="O37" i="16"/>
  <c r="H37" i="16"/>
  <c r="P37" i="16" s="1"/>
  <c r="U36" i="16"/>
  <c r="O36" i="16"/>
  <c r="N36" i="16"/>
  <c r="H36" i="16"/>
  <c r="P36" i="16" s="1"/>
  <c r="U35" i="16"/>
  <c r="O35" i="16"/>
  <c r="N35" i="16"/>
  <c r="H35" i="16"/>
  <c r="P35" i="16" s="1"/>
  <c r="U34" i="16"/>
  <c r="O34" i="16"/>
  <c r="N34" i="16"/>
  <c r="H34" i="16"/>
  <c r="P34" i="16" s="1"/>
  <c r="U33" i="16"/>
  <c r="O33" i="16"/>
  <c r="N33" i="16"/>
  <c r="H33" i="16"/>
  <c r="P33" i="16" s="1"/>
  <c r="U32" i="16"/>
  <c r="N32" i="16"/>
  <c r="M32" i="16"/>
  <c r="O32" i="16" s="1"/>
  <c r="H32" i="16"/>
  <c r="P32" i="16" s="1"/>
  <c r="U31" i="16"/>
  <c r="N31" i="16"/>
  <c r="M31" i="16"/>
  <c r="O31" i="16" s="1"/>
  <c r="H31" i="16"/>
  <c r="P31" i="16" s="1"/>
  <c r="U30" i="16"/>
  <c r="N30" i="16"/>
  <c r="M30" i="16"/>
  <c r="O30" i="16" s="1"/>
  <c r="H30" i="16"/>
  <c r="P30" i="16" s="1"/>
  <c r="U29" i="16"/>
  <c r="N29" i="16"/>
  <c r="M29" i="16"/>
  <c r="O29" i="16" s="1"/>
  <c r="H29" i="16"/>
  <c r="P29" i="16" s="1"/>
  <c r="U28" i="16"/>
  <c r="N28" i="16"/>
  <c r="M28" i="16"/>
  <c r="O28" i="16" s="1"/>
  <c r="H28" i="16"/>
  <c r="P28" i="16" s="1"/>
  <c r="U27" i="16"/>
  <c r="N27" i="16"/>
  <c r="M27" i="16"/>
  <c r="O27" i="16" s="1"/>
  <c r="H27" i="16"/>
  <c r="P27" i="16" s="1"/>
  <c r="U26" i="16"/>
  <c r="N26" i="16"/>
  <c r="M26" i="16"/>
  <c r="O26" i="16" s="1"/>
  <c r="H26" i="16"/>
  <c r="P26" i="16" s="1"/>
  <c r="U25" i="16"/>
  <c r="N25" i="16"/>
  <c r="M25" i="16"/>
  <c r="O25" i="16" s="1"/>
  <c r="H25" i="16"/>
  <c r="P25" i="16" s="1"/>
  <c r="U24" i="16"/>
  <c r="N24" i="16"/>
  <c r="M24" i="16"/>
  <c r="O24" i="16" s="1"/>
  <c r="Q24" i="16" s="1"/>
  <c r="H24" i="16"/>
  <c r="P24" i="16" s="1"/>
  <c r="U23" i="16"/>
  <c r="N23" i="16"/>
  <c r="M23" i="16"/>
  <c r="O23" i="16" s="1"/>
  <c r="H23" i="16"/>
  <c r="P23" i="16" s="1"/>
  <c r="N22" i="16"/>
  <c r="M22" i="16"/>
  <c r="O22" i="16" s="1"/>
  <c r="H22" i="16"/>
  <c r="P22" i="16" s="1"/>
  <c r="N21" i="16"/>
  <c r="M21" i="16"/>
  <c r="O21" i="16" s="1"/>
  <c r="H21" i="16"/>
  <c r="P21" i="16" s="1"/>
  <c r="N20" i="16"/>
  <c r="M20" i="16"/>
  <c r="O20" i="16" s="1"/>
  <c r="H20" i="16"/>
  <c r="P20" i="16" s="1"/>
  <c r="N19" i="16"/>
  <c r="M19" i="16"/>
  <c r="O19" i="16" s="1"/>
  <c r="H19" i="16"/>
  <c r="P19" i="16" s="1"/>
  <c r="N18" i="16"/>
  <c r="M18" i="16"/>
  <c r="O18" i="16" s="1"/>
  <c r="H18" i="16"/>
  <c r="P18" i="16" s="1"/>
  <c r="N17" i="16"/>
  <c r="M17" i="16"/>
  <c r="O17" i="16" s="1"/>
  <c r="H17" i="16"/>
  <c r="P17" i="16" s="1"/>
  <c r="N16" i="16"/>
  <c r="M16" i="16"/>
  <c r="O16" i="16" s="1"/>
  <c r="H16" i="16"/>
  <c r="P16" i="16" s="1"/>
  <c r="N15" i="16"/>
  <c r="M15" i="16"/>
  <c r="O15" i="16" s="1"/>
  <c r="H15" i="16"/>
  <c r="P15" i="16" s="1"/>
  <c r="N14" i="16"/>
  <c r="M14" i="16"/>
  <c r="O14" i="16" s="1"/>
  <c r="H14" i="16"/>
  <c r="P14" i="16" s="1"/>
  <c r="N13" i="16"/>
  <c r="M13" i="16"/>
  <c r="O13" i="16" s="1"/>
  <c r="H13" i="16"/>
  <c r="P13" i="16" s="1"/>
  <c r="N12" i="16"/>
  <c r="M12" i="16"/>
  <c r="O12" i="16" s="1"/>
  <c r="H12" i="16"/>
  <c r="P12" i="16" s="1"/>
  <c r="N11" i="16"/>
  <c r="M11" i="16"/>
  <c r="O11" i="16" s="1"/>
  <c r="H11" i="16"/>
  <c r="P11" i="16" s="1"/>
  <c r="N10" i="16"/>
  <c r="M10" i="16"/>
  <c r="O10" i="16" s="1"/>
  <c r="H10" i="16"/>
  <c r="P10" i="16" s="1"/>
  <c r="Y9" i="16"/>
  <c r="U9" i="16"/>
  <c r="N9" i="16"/>
  <c r="P9" i="16" s="1"/>
  <c r="M9" i="16"/>
  <c r="O9" i="16" s="1"/>
  <c r="Q9" i="16" s="1"/>
  <c r="Y8" i="16"/>
  <c r="U8" i="16"/>
  <c r="N8" i="16"/>
  <c r="P8" i="16" s="1"/>
  <c r="M8" i="16"/>
  <c r="O8" i="16" s="1"/>
  <c r="Q8" i="16" s="1"/>
  <c r="Y7" i="16"/>
  <c r="U7" i="16"/>
  <c r="N7" i="16"/>
  <c r="P7" i="16" s="1"/>
  <c r="M7" i="16"/>
  <c r="O7" i="16" s="1"/>
  <c r="Q7" i="16" s="1"/>
  <c r="Y6" i="16"/>
  <c r="U6" i="16"/>
  <c r="N6" i="16"/>
  <c r="P6" i="16" s="1"/>
  <c r="M6" i="16"/>
  <c r="O6" i="16" s="1"/>
  <c r="Q6" i="16" s="1"/>
  <c r="Y5" i="16"/>
  <c r="U5" i="16"/>
  <c r="N5" i="16"/>
  <c r="P5" i="16" s="1"/>
  <c r="M5" i="16"/>
  <c r="O5" i="16" s="1"/>
  <c r="Q5" i="16" s="1"/>
  <c r="Y4" i="16"/>
  <c r="U4" i="16"/>
  <c r="N4" i="16"/>
  <c r="P4" i="16" s="1"/>
  <c r="M4" i="16"/>
  <c r="O4" i="16" s="1"/>
  <c r="Q4" i="16" s="1"/>
  <c r="Y3" i="16"/>
  <c r="U3" i="16"/>
  <c r="N3" i="16"/>
  <c r="P3" i="16" s="1"/>
  <c r="M3" i="16"/>
  <c r="O3" i="16" s="1"/>
  <c r="Q3" i="16" s="1"/>
  <c r="Z23" i="15"/>
  <c r="S23" i="15"/>
  <c r="P23" i="15"/>
  <c r="M23" i="15"/>
  <c r="J23" i="15"/>
  <c r="G23" i="15"/>
  <c r="AB23" i="15" s="1"/>
  <c r="Z22" i="15"/>
  <c r="S22" i="15"/>
  <c r="P22" i="15"/>
  <c r="M22" i="15"/>
  <c r="J22" i="15"/>
  <c r="G22" i="15"/>
  <c r="AB22" i="15" s="1"/>
  <c r="Z21" i="15"/>
  <c r="S21" i="15"/>
  <c r="P21" i="15"/>
  <c r="M21" i="15"/>
  <c r="J21" i="15"/>
  <c r="G21" i="15"/>
  <c r="AB21" i="15" s="1"/>
  <c r="Z20" i="15"/>
  <c r="S20" i="15"/>
  <c r="P20" i="15"/>
  <c r="M20" i="15"/>
  <c r="J20" i="15"/>
  <c r="G20" i="15"/>
  <c r="AB20" i="15" s="1"/>
  <c r="Z19" i="15"/>
  <c r="S19" i="15"/>
  <c r="P19" i="15"/>
  <c r="M19" i="15"/>
  <c r="J19" i="15"/>
  <c r="G19" i="15"/>
  <c r="AB19" i="15" s="1"/>
  <c r="Z18" i="15"/>
  <c r="S18" i="15"/>
  <c r="P18" i="15"/>
  <c r="M18" i="15"/>
  <c r="J18" i="15"/>
  <c r="G18" i="15"/>
  <c r="AB18" i="15" s="1"/>
  <c r="Z17" i="15"/>
  <c r="S17" i="15"/>
  <c r="P17" i="15"/>
  <c r="M17" i="15"/>
  <c r="J17" i="15"/>
  <c r="G17" i="15"/>
  <c r="AB17" i="15" s="1"/>
  <c r="Z16" i="15"/>
  <c r="S16" i="15"/>
  <c r="P16" i="15"/>
  <c r="M16" i="15"/>
  <c r="J16" i="15"/>
  <c r="G16" i="15"/>
  <c r="AB16" i="15" s="1"/>
  <c r="Z15" i="15"/>
  <c r="S15" i="15"/>
  <c r="P15" i="15"/>
  <c r="M15" i="15"/>
  <c r="J15" i="15"/>
  <c r="G15" i="15"/>
  <c r="AB15" i="15" s="1"/>
  <c r="Z14" i="15"/>
  <c r="S14" i="15"/>
  <c r="P14" i="15"/>
  <c r="M14" i="15"/>
  <c r="J14" i="15"/>
  <c r="G14" i="15"/>
  <c r="AB14" i="15" s="1"/>
  <c r="Z13" i="15"/>
  <c r="S13" i="15"/>
  <c r="P13" i="15"/>
  <c r="M13" i="15"/>
  <c r="J13" i="15"/>
  <c r="G13" i="15"/>
  <c r="AB13" i="15" s="1"/>
  <c r="Z12" i="15"/>
  <c r="S12" i="15"/>
  <c r="P12" i="15"/>
  <c r="M12" i="15"/>
  <c r="J12" i="15"/>
  <c r="G12" i="15"/>
  <c r="AB12" i="15" s="1"/>
  <c r="Z11" i="15"/>
  <c r="S11" i="15"/>
  <c r="P11" i="15"/>
  <c r="M11" i="15"/>
  <c r="J11" i="15"/>
  <c r="G11" i="15"/>
  <c r="AB11" i="15" s="1"/>
  <c r="Z10" i="15"/>
  <c r="S10" i="15"/>
  <c r="P10" i="15"/>
  <c r="M10" i="15"/>
  <c r="J10" i="15"/>
  <c r="G10" i="15"/>
  <c r="AB10" i="15" s="1"/>
  <c r="Z9" i="15"/>
  <c r="S9" i="15"/>
  <c r="P9" i="15"/>
  <c r="M9" i="15"/>
  <c r="J9" i="15"/>
  <c r="G9" i="15"/>
  <c r="AB9" i="15" s="1"/>
  <c r="Z8" i="15"/>
  <c r="S8" i="15"/>
  <c r="P8" i="15"/>
  <c r="M8" i="15"/>
  <c r="J8" i="15"/>
  <c r="G8" i="15"/>
  <c r="AB8" i="15" s="1"/>
  <c r="Z7" i="15"/>
  <c r="S7" i="15"/>
  <c r="P7" i="15"/>
  <c r="M7" i="15"/>
  <c r="J7" i="15"/>
  <c r="G7" i="15"/>
  <c r="AB7" i="15" s="1"/>
  <c r="Z6" i="15"/>
  <c r="S6" i="15"/>
  <c r="P6" i="15"/>
  <c r="M6" i="15"/>
  <c r="J6" i="15"/>
  <c r="G6" i="15"/>
  <c r="AB6" i="15" s="1"/>
  <c r="Z5" i="15"/>
  <c r="S5" i="15"/>
  <c r="P5" i="15"/>
  <c r="M5" i="15"/>
  <c r="J5" i="15"/>
  <c r="G5" i="15"/>
  <c r="AB5" i="15" s="1"/>
  <c r="Z4" i="15"/>
  <c r="S4" i="15"/>
  <c r="P4" i="15"/>
  <c r="M4" i="15"/>
  <c r="J4" i="15"/>
  <c r="G4" i="15"/>
  <c r="AB4" i="15" s="1"/>
  <c r="U50" i="14"/>
  <c r="Q50" i="14"/>
  <c r="L50" i="14"/>
  <c r="T50" i="14" s="1"/>
  <c r="G50" i="14"/>
  <c r="S50" i="14" s="1"/>
  <c r="U49" i="14"/>
  <c r="Q49" i="14"/>
  <c r="L49" i="14"/>
  <c r="T49" i="14" s="1"/>
  <c r="G49" i="14"/>
  <c r="S49" i="14" s="1"/>
  <c r="U48" i="14"/>
  <c r="N47" i="8" s="1"/>
  <c r="Q47" i="8" s="1"/>
  <c r="Q48" i="14"/>
  <c r="L48" i="14"/>
  <c r="T48" i="14" s="1"/>
  <c r="M47" i="8" s="1"/>
  <c r="G48" i="14"/>
  <c r="S48" i="14" s="1"/>
  <c r="L47" i="8" s="1"/>
  <c r="U47" i="14"/>
  <c r="N46" i="8" s="1"/>
  <c r="Q46" i="8" s="1"/>
  <c r="Q47" i="14"/>
  <c r="L47" i="14"/>
  <c r="T47" i="14" s="1"/>
  <c r="M46" i="8" s="1"/>
  <c r="G47" i="14"/>
  <c r="S47" i="14" s="1"/>
  <c r="L46" i="8" s="1"/>
  <c r="U46" i="14"/>
  <c r="N45" i="8" s="1"/>
  <c r="Q45" i="8" s="1"/>
  <c r="Q46" i="14"/>
  <c r="L46" i="14"/>
  <c r="T46" i="14" s="1"/>
  <c r="M45" i="8" s="1"/>
  <c r="G46" i="14"/>
  <c r="S46" i="14" s="1"/>
  <c r="L45" i="8" s="1"/>
  <c r="U45" i="14"/>
  <c r="N44" i="8" s="1"/>
  <c r="Q44" i="8" s="1"/>
  <c r="Q45" i="14"/>
  <c r="L45" i="14"/>
  <c r="T45" i="14" s="1"/>
  <c r="M44" i="8" s="1"/>
  <c r="G45" i="14"/>
  <c r="S45" i="14" s="1"/>
  <c r="L44" i="8" s="1"/>
  <c r="U44" i="14"/>
  <c r="N43" i="8" s="1"/>
  <c r="Q43" i="8" s="1"/>
  <c r="Q44" i="14"/>
  <c r="L44" i="14"/>
  <c r="T44" i="14" s="1"/>
  <c r="M43" i="8" s="1"/>
  <c r="G44" i="14"/>
  <c r="S44" i="14" s="1"/>
  <c r="L43" i="8" s="1"/>
  <c r="U43" i="14"/>
  <c r="N42" i="8" s="1"/>
  <c r="Q42" i="8" s="1"/>
  <c r="Q43" i="14"/>
  <c r="L43" i="14"/>
  <c r="T43" i="14" s="1"/>
  <c r="M42" i="8" s="1"/>
  <c r="G43" i="14"/>
  <c r="S43" i="14" s="1"/>
  <c r="L42" i="8" s="1"/>
  <c r="U42" i="14"/>
  <c r="N41" i="8" s="1"/>
  <c r="Q41" i="8" s="1"/>
  <c r="Q42" i="14"/>
  <c r="L42" i="14"/>
  <c r="T42" i="14" s="1"/>
  <c r="M41" i="8" s="1"/>
  <c r="G42" i="14"/>
  <c r="S42" i="14" s="1"/>
  <c r="L41" i="8" s="1"/>
  <c r="U41" i="14"/>
  <c r="N40" i="8" s="1"/>
  <c r="Q40" i="8" s="1"/>
  <c r="Q41" i="14"/>
  <c r="L41" i="14"/>
  <c r="T41" i="14" s="1"/>
  <c r="M40" i="8" s="1"/>
  <c r="G41" i="14"/>
  <c r="S41" i="14" s="1"/>
  <c r="L40" i="8" s="1"/>
  <c r="U40" i="14"/>
  <c r="N39" i="8" s="1"/>
  <c r="Q39" i="8" s="1"/>
  <c r="Q40" i="14"/>
  <c r="L40" i="14"/>
  <c r="T40" i="14" s="1"/>
  <c r="M39" i="8" s="1"/>
  <c r="G40" i="14"/>
  <c r="S40" i="14" s="1"/>
  <c r="L39" i="8" s="1"/>
  <c r="U39" i="14"/>
  <c r="N38" i="8" s="1"/>
  <c r="Q38" i="8" s="1"/>
  <c r="Q39" i="14"/>
  <c r="L39" i="14"/>
  <c r="T39" i="14" s="1"/>
  <c r="M38" i="8" s="1"/>
  <c r="G39" i="14"/>
  <c r="S39" i="14" s="1"/>
  <c r="L38" i="8" s="1"/>
  <c r="U38" i="14"/>
  <c r="N37" i="8" s="1"/>
  <c r="Q37" i="8" s="1"/>
  <c r="Q38" i="14"/>
  <c r="L38" i="14"/>
  <c r="T38" i="14" s="1"/>
  <c r="M37" i="8" s="1"/>
  <c r="G38" i="14"/>
  <c r="S38" i="14" s="1"/>
  <c r="L37" i="8" s="1"/>
  <c r="U37" i="14"/>
  <c r="N36" i="8" s="1"/>
  <c r="Q36" i="8" s="1"/>
  <c r="Q37" i="14"/>
  <c r="L37" i="14"/>
  <c r="T37" i="14" s="1"/>
  <c r="M36" i="8" s="1"/>
  <c r="G37" i="14"/>
  <c r="S37" i="14" s="1"/>
  <c r="L36" i="8" s="1"/>
  <c r="U36" i="14"/>
  <c r="N35" i="8" s="1"/>
  <c r="Q35" i="8" s="1"/>
  <c r="Q36" i="14"/>
  <c r="L36" i="14"/>
  <c r="T36" i="14" s="1"/>
  <c r="M35" i="8" s="1"/>
  <c r="G36" i="14"/>
  <c r="S36" i="14" s="1"/>
  <c r="L35" i="8" s="1"/>
  <c r="U35" i="14"/>
  <c r="N34" i="8" s="1"/>
  <c r="Q34" i="8" s="1"/>
  <c r="Q35" i="14"/>
  <c r="L35" i="14"/>
  <c r="T35" i="14" s="1"/>
  <c r="M34" i="8" s="1"/>
  <c r="G35" i="14"/>
  <c r="S35" i="14" s="1"/>
  <c r="L34" i="8" s="1"/>
  <c r="U34" i="14"/>
  <c r="N33" i="8" s="1"/>
  <c r="Q33" i="8" s="1"/>
  <c r="Q34" i="14"/>
  <c r="L34" i="14"/>
  <c r="T34" i="14" s="1"/>
  <c r="M33" i="8" s="1"/>
  <c r="G34" i="14"/>
  <c r="S34" i="14" s="1"/>
  <c r="L33" i="8" s="1"/>
  <c r="U33" i="14"/>
  <c r="N32" i="8" s="1"/>
  <c r="Q32" i="8" s="1"/>
  <c r="Q33" i="14"/>
  <c r="L33" i="14"/>
  <c r="T33" i="14" s="1"/>
  <c r="M32" i="8" s="1"/>
  <c r="G33" i="14"/>
  <c r="S33" i="14" s="1"/>
  <c r="L32" i="8" s="1"/>
  <c r="U32" i="14"/>
  <c r="N31" i="8" s="1"/>
  <c r="Q31" i="8" s="1"/>
  <c r="Q32" i="14"/>
  <c r="L32" i="14"/>
  <c r="T32" i="14" s="1"/>
  <c r="M31" i="8" s="1"/>
  <c r="G32" i="14"/>
  <c r="S32" i="14" s="1"/>
  <c r="L31" i="8" s="1"/>
  <c r="U31" i="14"/>
  <c r="N30" i="8" s="1"/>
  <c r="Q30" i="8" s="1"/>
  <c r="Q31" i="14"/>
  <c r="L31" i="14"/>
  <c r="T31" i="14" s="1"/>
  <c r="M30" i="8" s="1"/>
  <c r="G31" i="14"/>
  <c r="S31" i="14" s="1"/>
  <c r="L30" i="8" s="1"/>
  <c r="U30" i="14"/>
  <c r="N29" i="8" s="1"/>
  <c r="Q29" i="8" s="1"/>
  <c r="Q30" i="14"/>
  <c r="L30" i="14"/>
  <c r="T30" i="14" s="1"/>
  <c r="M29" i="8" s="1"/>
  <c r="G30" i="14"/>
  <c r="S30" i="14" s="1"/>
  <c r="L29" i="8" s="1"/>
  <c r="U29" i="14"/>
  <c r="N28" i="8" s="1"/>
  <c r="Q28" i="8" s="1"/>
  <c r="Q29" i="14"/>
  <c r="L29" i="14"/>
  <c r="T29" i="14" s="1"/>
  <c r="M28" i="8" s="1"/>
  <c r="G29" i="14"/>
  <c r="S29" i="14" s="1"/>
  <c r="L28" i="8" s="1"/>
  <c r="U28" i="14"/>
  <c r="N27" i="8" s="1"/>
  <c r="Q27" i="8" s="1"/>
  <c r="Q28" i="14"/>
  <c r="L28" i="14"/>
  <c r="T28" i="14" s="1"/>
  <c r="M27" i="8" s="1"/>
  <c r="G28" i="14"/>
  <c r="S28" i="14" s="1"/>
  <c r="L27" i="8" s="1"/>
  <c r="U27" i="14"/>
  <c r="N26" i="8" s="1"/>
  <c r="Q26" i="8" s="1"/>
  <c r="Q27" i="14"/>
  <c r="L27" i="14"/>
  <c r="T27" i="14" s="1"/>
  <c r="M26" i="8" s="1"/>
  <c r="G27" i="14"/>
  <c r="S27" i="14" s="1"/>
  <c r="L26" i="8" s="1"/>
  <c r="U26" i="14"/>
  <c r="N25" i="8" s="1"/>
  <c r="Q25" i="8" s="1"/>
  <c r="Q26" i="14"/>
  <c r="L26" i="14"/>
  <c r="T26" i="14" s="1"/>
  <c r="M25" i="8" s="1"/>
  <c r="G26" i="14"/>
  <c r="S26" i="14" s="1"/>
  <c r="L25" i="8" s="1"/>
  <c r="U25" i="14"/>
  <c r="N24" i="8" s="1"/>
  <c r="Q24" i="8" s="1"/>
  <c r="Q25" i="14"/>
  <c r="L25" i="14"/>
  <c r="T25" i="14" s="1"/>
  <c r="M24" i="8" s="1"/>
  <c r="G25" i="14"/>
  <c r="S25" i="14" s="1"/>
  <c r="L24" i="8" s="1"/>
  <c r="U24" i="14"/>
  <c r="N23" i="8" s="1"/>
  <c r="Q23" i="8" s="1"/>
  <c r="Q24" i="14"/>
  <c r="L24" i="14"/>
  <c r="T24" i="14" s="1"/>
  <c r="M23" i="8" s="1"/>
  <c r="G24" i="14"/>
  <c r="S24" i="14" s="1"/>
  <c r="L23" i="8" s="1"/>
  <c r="U23" i="14"/>
  <c r="N22" i="8" s="1"/>
  <c r="Q22" i="8" s="1"/>
  <c r="Q23" i="14"/>
  <c r="L23" i="14"/>
  <c r="T23" i="14" s="1"/>
  <c r="M22" i="8" s="1"/>
  <c r="G23" i="14"/>
  <c r="S23" i="14" s="1"/>
  <c r="L22" i="8" s="1"/>
  <c r="U22" i="14"/>
  <c r="N21" i="8" s="1"/>
  <c r="Q21" i="8" s="1"/>
  <c r="Q22" i="14"/>
  <c r="L22" i="14"/>
  <c r="T22" i="14" s="1"/>
  <c r="M21" i="8" s="1"/>
  <c r="G22" i="14"/>
  <c r="S22" i="14" s="1"/>
  <c r="L21" i="8" s="1"/>
  <c r="U21" i="14"/>
  <c r="N20" i="8" s="1"/>
  <c r="Q21" i="14"/>
  <c r="L21" i="14"/>
  <c r="T21" i="14" s="1"/>
  <c r="M20" i="8" s="1"/>
  <c r="G21" i="14"/>
  <c r="S21" i="14" s="1"/>
  <c r="L20" i="8" s="1"/>
  <c r="U20" i="14"/>
  <c r="N19" i="8" s="1"/>
  <c r="Q20" i="14"/>
  <c r="L20" i="14"/>
  <c r="T20" i="14" s="1"/>
  <c r="M19" i="8" s="1"/>
  <c r="G20" i="14"/>
  <c r="S20" i="14" s="1"/>
  <c r="L19" i="8" s="1"/>
  <c r="U19" i="14"/>
  <c r="Q19" i="14"/>
  <c r="L19" i="14"/>
  <c r="T19" i="14" s="1"/>
  <c r="M18" i="8" s="1"/>
  <c r="G19" i="14"/>
  <c r="S19" i="14" s="1"/>
  <c r="L18" i="8" s="1"/>
  <c r="U18" i="14"/>
  <c r="Q18" i="14"/>
  <c r="L18" i="14"/>
  <c r="T18" i="14" s="1"/>
  <c r="M17" i="8" s="1"/>
  <c r="G18" i="14"/>
  <c r="S18" i="14" s="1"/>
  <c r="L17" i="8" s="1"/>
  <c r="U17" i="14"/>
  <c r="Q17" i="14"/>
  <c r="L17" i="14"/>
  <c r="T17" i="14" s="1"/>
  <c r="M16" i="8" s="1"/>
  <c r="G17" i="14"/>
  <c r="S17" i="14" s="1"/>
  <c r="L16" i="8" s="1"/>
  <c r="U16" i="14"/>
  <c r="Q16" i="14"/>
  <c r="L16" i="14"/>
  <c r="T16" i="14" s="1"/>
  <c r="M15" i="8" s="1"/>
  <c r="G16" i="14"/>
  <c r="S16" i="14" s="1"/>
  <c r="L15" i="8" s="1"/>
  <c r="U15" i="14"/>
  <c r="Q15" i="14"/>
  <c r="L15" i="14"/>
  <c r="T15" i="14" s="1"/>
  <c r="M14" i="8" s="1"/>
  <c r="G15" i="14"/>
  <c r="S15" i="14" s="1"/>
  <c r="L14" i="8" s="1"/>
  <c r="U14" i="14"/>
  <c r="Q14" i="14"/>
  <c r="L14" i="14"/>
  <c r="T14" i="14" s="1"/>
  <c r="M13" i="8" s="1"/>
  <c r="G14" i="14"/>
  <c r="S14" i="14" s="1"/>
  <c r="L13" i="8" s="1"/>
  <c r="U13" i="14"/>
  <c r="Q13" i="14"/>
  <c r="L13" i="14"/>
  <c r="T13" i="14" s="1"/>
  <c r="M12" i="8" s="1"/>
  <c r="G13" i="14"/>
  <c r="S13" i="14" s="1"/>
  <c r="L12" i="8" s="1"/>
  <c r="U12" i="14"/>
  <c r="Q12" i="14"/>
  <c r="L12" i="14"/>
  <c r="T12" i="14" s="1"/>
  <c r="M11" i="8" s="1"/>
  <c r="G12" i="14"/>
  <c r="S12" i="14" s="1"/>
  <c r="L11" i="8" s="1"/>
  <c r="U11" i="14"/>
  <c r="Q11" i="14"/>
  <c r="L11" i="14"/>
  <c r="T11" i="14" s="1"/>
  <c r="M10" i="8" s="1"/>
  <c r="G11" i="14"/>
  <c r="S11" i="14" s="1"/>
  <c r="L10" i="8" s="1"/>
  <c r="U10" i="14"/>
  <c r="Q10" i="14"/>
  <c r="L10" i="14"/>
  <c r="T10" i="14" s="1"/>
  <c r="M9" i="8" s="1"/>
  <c r="G10" i="14"/>
  <c r="S10" i="14" s="1"/>
  <c r="L9" i="8" s="1"/>
  <c r="U9" i="14"/>
  <c r="Q9" i="14"/>
  <c r="L9" i="14"/>
  <c r="T9" i="14" s="1"/>
  <c r="M8" i="8" s="1"/>
  <c r="G9" i="14"/>
  <c r="S9" i="14" s="1"/>
  <c r="L8" i="8" s="1"/>
  <c r="U8" i="14"/>
  <c r="N7" i="8" s="1"/>
  <c r="Q7" i="8" s="1"/>
  <c r="Q8" i="14"/>
  <c r="L8" i="14"/>
  <c r="T8" i="14" s="1"/>
  <c r="M7" i="8" s="1"/>
  <c r="G8" i="14"/>
  <c r="S8" i="14" s="1"/>
  <c r="L7" i="8" s="1"/>
  <c r="U7" i="14"/>
  <c r="Q7" i="14"/>
  <c r="L7" i="14"/>
  <c r="T7" i="14" s="1"/>
  <c r="M6" i="8" s="1"/>
  <c r="G7" i="14"/>
  <c r="S7" i="14" s="1"/>
  <c r="L6" i="8" s="1"/>
  <c r="U6" i="14"/>
  <c r="Q6" i="14"/>
  <c r="L6" i="14"/>
  <c r="T6" i="14" s="1"/>
  <c r="M5" i="8" s="1"/>
  <c r="G6" i="14"/>
  <c r="S6" i="14" s="1"/>
  <c r="L5" i="8" s="1"/>
  <c r="U5" i="14"/>
  <c r="Q5" i="14"/>
  <c r="L5" i="14"/>
  <c r="T5" i="14" s="1"/>
  <c r="M4" i="8" s="1"/>
  <c r="G5" i="14"/>
  <c r="S5" i="14" s="1"/>
  <c r="L4" i="8" s="1"/>
  <c r="U4" i="14"/>
  <c r="Q4" i="14"/>
  <c r="L4" i="14"/>
  <c r="T4" i="14" s="1"/>
  <c r="M3" i="8" s="1"/>
  <c r="G4" i="14"/>
  <c r="S4" i="14" s="1"/>
  <c r="L3" i="8" s="1"/>
  <c r="K22" i="13"/>
  <c r="I22" i="13"/>
  <c r="J22" i="13" s="1"/>
  <c r="K21" i="13"/>
  <c r="I21" i="13"/>
  <c r="J21" i="13" s="1"/>
  <c r="K20" i="13"/>
  <c r="I20" i="13"/>
  <c r="J20" i="13" s="1"/>
  <c r="K19" i="13"/>
  <c r="I19" i="13"/>
  <c r="J19" i="13" s="1"/>
  <c r="K18" i="13"/>
  <c r="I18" i="13"/>
  <c r="J18" i="13" s="1"/>
  <c r="K17" i="13"/>
  <c r="I17" i="13"/>
  <c r="J17" i="13" s="1"/>
  <c r="K16" i="13"/>
  <c r="I16" i="13"/>
  <c r="J16" i="13" s="1"/>
  <c r="K15" i="13"/>
  <c r="I15" i="13"/>
  <c r="J15" i="13" s="1"/>
  <c r="K14" i="13"/>
  <c r="I14" i="13"/>
  <c r="J14" i="13" s="1"/>
  <c r="K13" i="13"/>
  <c r="I13" i="13"/>
  <c r="J13" i="13" s="1"/>
  <c r="K12" i="13"/>
  <c r="I12" i="13"/>
  <c r="J12" i="13" s="1"/>
  <c r="K11" i="13"/>
  <c r="I11" i="13"/>
  <c r="J11" i="13" s="1"/>
  <c r="K10" i="13"/>
  <c r="I10" i="13"/>
  <c r="J10" i="13" s="1"/>
  <c r="K9" i="13"/>
  <c r="I9" i="13"/>
  <c r="J9" i="13" s="1"/>
  <c r="K8" i="13"/>
  <c r="I8" i="13"/>
  <c r="J8" i="13" s="1"/>
  <c r="K7" i="13"/>
  <c r="I7" i="13"/>
  <c r="J7" i="13" s="1"/>
  <c r="K6" i="13"/>
  <c r="I6" i="13"/>
  <c r="J6" i="13" s="1"/>
  <c r="K5" i="13"/>
  <c r="I5" i="13"/>
  <c r="J5" i="13" s="1"/>
  <c r="K4" i="13"/>
  <c r="I4" i="13"/>
  <c r="J4" i="13" s="1"/>
  <c r="K3" i="13"/>
  <c r="I3" i="13"/>
  <c r="J3" i="13" s="1"/>
  <c r="C42" i="12"/>
  <c r="D42" i="12" s="1"/>
  <c r="E42" i="12" s="1"/>
  <c r="C41" i="12"/>
  <c r="D41" i="12" s="1"/>
  <c r="E41" i="12" s="1"/>
  <c r="C40" i="12"/>
  <c r="D40" i="12" s="1"/>
  <c r="E40" i="12" s="1"/>
  <c r="C39" i="12"/>
  <c r="D39" i="12" s="1"/>
  <c r="E39" i="12" s="1"/>
  <c r="C38" i="12"/>
  <c r="D38" i="12" s="1"/>
  <c r="E38" i="12" s="1"/>
  <c r="C37" i="12"/>
  <c r="D37" i="12" s="1"/>
  <c r="E37" i="12" s="1"/>
  <c r="C36" i="12"/>
  <c r="D36" i="12" s="1"/>
  <c r="E36" i="12" s="1"/>
  <c r="C35" i="12"/>
  <c r="D35" i="12" s="1"/>
  <c r="E35" i="12" s="1"/>
  <c r="C34" i="12"/>
  <c r="D34" i="12" s="1"/>
  <c r="E34" i="12" s="1"/>
  <c r="C33" i="12"/>
  <c r="D33" i="12" s="1"/>
  <c r="E33" i="12" s="1"/>
  <c r="C32" i="12"/>
  <c r="D32" i="12" s="1"/>
  <c r="E32" i="12" s="1"/>
  <c r="C31" i="12"/>
  <c r="D31" i="12" s="1"/>
  <c r="E31" i="12" s="1"/>
  <c r="C30" i="12"/>
  <c r="D30" i="12" s="1"/>
  <c r="E30" i="12" s="1"/>
  <c r="C29" i="12"/>
  <c r="D29" i="12" s="1"/>
  <c r="E29" i="12" s="1"/>
  <c r="C28" i="12"/>
  <c r="D28" i="12" s="1"/>
  <c r="E28" i="12" s="1"/>
  <c r="C27" i="12"/>
  <c r="D27" i="12" s="1"/>
  <c r="E27" i="12" s="1"/>
  <c r="C26" i="12"/>
  <c r="D26" i="12" s="1"/>
  <c r="E26" i="12" s="1"/>
  <c r="C25" i="12"/>
  <c r="D25" i="12" s="1"/>
  <c r="E25" i="12" s="1"/>
  <c r="C24" i="12"/>
  <c r="D24" i="12" s="1"/>
  <c r="E24" i="12" s="1"/>
  <c r="C23" i="12"/>
  <c r="D23" i="12" s="1"/>
  <c r="E23" i="12" s="1"/>
  <c r="C22" i="12"/>
  <c r="D22" i="12" s="1"/>
  <c r="E22" i="12" s="1"/>
  <c r="C21" i="12"/>
  <c r="D21" i="12" s="1"/>
  <c r="E21" i="12" s="1"/>
  <c r="C20" i="12"/>
  <c r="D20" i="12" s="1"/>
  <c r="E20" i="12" s="1"/>
  <c r="C19" i="12"/>
  <c r="D19" i="12" s="1"/>
  <c r="E19" i="12" s="1"/>
  <c r="C18" i="12"/>
  <c r="D18" i="12" s="1"/>
  <c r="E18" i="12" s="1"/>
  <c r="C17" i="12"/>
  <c r="D17" i="12" s="1"/>
  <c r="E17" i="12" s="1"/>
  <c r="C16" i="12"/>
  <c r="D16" i="12" s="1"/>
  <c r="E16" i="12" s="1"/>
  <c r="C15" i="12"/>
  <c r="D15" i="12" s="1"/>
  <c r="E15" i="12" s="1"/>
  <c r="C14" i="12"/>
  <c r="D14" i="12" s="1"/>
  <c r="E14" i="12" s="1"/>
  <c r="C13" i="12"/>
  <c r="D13" i="12" s="1"/>
  <c r="E13" i="12" s="1"/>
  <c r="C12" i="12"/>
  <c r="D12" i="12" s="1"/>
  <c r="E12" i="12" s="1"/>
  <c r="C11" i="12"/>
  <c r="D11" i="12" s="1"/>
  <c r="E11" i="12" s="1"/>
  <c r="C10" i="12"/>
  <c r="D10" i="12" s="1"/>
  <c r="E10" i="12" s="1"/>
  <c r="C9" i="12"/>
  <c r="D9" i="12" s="1"/>
  <c r="E9" i="12" s="1"/>
  <c r="C8" i="12"/>
  <c r="D8" i="12" s="1"/>
  <c r="E8" i="12" s="1"/>
  <c r="C7" i="12"/>
  <c r="D7" i="12" s="1"/>
  <c r="E7" i="12" s="1"/>
  <c r="C6" i="12"/>
  <c r="D6" i="12" s="1"/>
  <c r="E6" i="12" s="1"/>
  <c r="C3" i="12"/>
  <c r="G31" i="11"/>
  <c r="A31" i="11"/>
  <c r="X30" i="11"/>
  <c r="A30" i="11"/>
  <c r="A29" i="11"/>
  <c r="A28" i="11"/>
  <c r="A27" i="11"/>
  <c r="A26" i="11"/>
  <c r="A25" i="11"/>
  <c r="A24" i="11"/>
  <c r="A23" i="11"/>
  <c r="A22" i="11"/>
  <c r="A21" i="11"/>
  <c r="A20" i="11"/>
  <c r="A19" i="11"/>
  <c r="A18" i="11"/>
  <c r="A17" i="11"/>
  <c r="A16" i="11"/>
  <c r="A15" i="11"/>
  <c r="A14" i="11"/>
  <c r="A13" i="11"/>
  <c r="A12" i="11"/>
  <c r="A11" i="11"/>
  <c r="A10" i="11"/>
  <c r="A9" i="11"/>
  <c r="A8" i="11"/>
  <c r="N7" i="11"/>
  <c r="A7" i="11"/>
  <c r="A6" i="11"/>
  <c r="AA5" i="11"/>
  <c r="Z5" i="11"/>
  <c r="Y5" i="11"/>
  <c r="X5" i="11"/>
  <c r="W5" i="11"/>
  <c r="V5" i="11"/>
  <c r="U5" i="11"/>
  <c r="T5" i="11"/>
  <c r="S5" i="11"/>
  <c r="R5" i="11"/>
  <c r="Q5" i="11"/>
  <c r="P5" i="11"/>
  <c r="O5" i="11"/>
  <c r="N5" i="11"/>
  <c r="M5" i="11"/>
  <c r="L5" i="11"/>
  <c r="K5" i="11"/>
  <c r="J5" i="11"/>
  <c r="I5" i="11"/>
  <c r="H5" i="11"/>
  <c r="G5" i="11"/>
  <c r="F5" i="11"/>
  <c r="E5" i="11"/>
  <c r="D5" i="11"/>
  <c r="C5" i="11"/>
  <c r="B5" i="11"/>
  <c r="AT162" i="10"/>
  <c r="AS162" i="10"/>
  <c r="AR162" i="10"/>
  <c r="AQ162" i="10"/>
  <c r="AP162" i="10"/>
  <c r="V162" i="10"/>
  <c r="U162" i="10"/>
  <c r="T162" i="10"/>
  <c r="S162" i="10"/>
  <c r="R162" i="10"/>
  <c r="Q162" i="10"/>
  <c r="P162" i="10"/>
  <c r="O162" i="10"/>
  <c r="N162" i="10"/>
  <c r="M162" i="10"/>
  <c r="L162" i="10"/>
  <c r="K162" i="10"/>
  <c r="J162" i="10"/>
  <c r="I162" i="10"/>
  <c r="H162" i="10"/>
  <c r="G162" i="10"/>
  <c r="F162" i="10"/>
  <c r="E162" i="10"/>
  <c r="D162" i="10"/>
  <c r="C162" i="10"/>
  <c r="B162" i="10"/>
  <c r="A162" i="10"/>
  <c r="AT161" i="10"/>
  <c r="AS161" i="10"/>
  <c r="AR161" i="10"/>
  <c r="AQ161" i="10"/>
  <c r="AP161" i="10"/>
  <c r="V161" i="10"/>
  <c r="U161" i="10"/>
  <c r="T161" i="10"/>
  <c r="S161" i="10"/>
  <c r="R161" i="10"/>
  <c r="Q161" i="10"/>
  <c r="P161" i="10"/>
  <c r="O161" i="10"/>
  <c r="N161" i="10"/>
  <c r="M161" i="10"/>
  <c r="L161" i="10"/>
  <c r="K161" i="10"/>
  <c r="J161" i="10"/>
  <c r="I161" i="10"/>
  <c r="H161" i="10"/>
  <c r="G161" i="10"/>
  <c r="F161" i="10"/>
  <c r="E161" i="10"/>
  <c r="D161" i="10"/>
  <c r="C161" i="10"/>
  <c r="B161" i="10"/>
  <c r="A161" i="10"/>
  <c r="AT160" i="10"/>
  <c r="AS160" i="10"/>
  <c r="AR160" i="10"/>
  <c r="AQ160" i="10"/>
  <c r="AP160" i="10"/>
  <c r="AO160" i="10"/>
  <c r="AN160" i="10"/>
  <c r="AM160" i="10"/>
  <c r="AL160" i="10"/>
  <c r="AK160" i="10"/>
  <c r="AJ160" i="10"/>
  <c r="AI160" i="10"/>
  <c r="AH160" i="10"/>
  <c r="AG160" i="10"/>
  <c r="AF160" i="10"/>
  <c r="AE160" i="10"/>
  <c r="AD160" i="10"/>
  <c r="AC160" i="10"/>
  <c r="AB160" i="10"/>
  <c r="AA160" i="10"/>
  <c r="Z160" i="10"/>
  <c r="V160" i="10"/>
  <c r="U160" i="10"/>
  <c r="T160" i="10"/>
  <c r="S160" i="10"/>
  <c r="R160" i="10"/>
  <c r="Q160" i="10"/>
  <c r="P160" i="10"/>
  <c r="O160" i="10"/>
  <c r="N160" i="10"/>
  <c r="M160" i="10"/>
  <c r="L160" i="10"/>
  <c r="K160" i="10"/>
  <c r="J160" i="10"/>
  <c r="I160" i="10"/>
  <c r="H160" i="10"/>
  <c r="G160" i="10"/>
  <c r="F160" i="10"/>
  <c r="E160" i="10"/>
  <c r="D160" i="10"/>
  <c r="C160" i="10"/>
  <c r="B160" i="10"/>
  <c r="A160" i="10"/>
  <c r="AT159" i="10"/>
  <c r="AS159" i="10"/>
  <c r="AR159" i="10"/>
  <c r="AQ159" i="10"/>
  <c r="AP159" i="10"/>
  <c r="V159" i="10"/>
  <c r="U159" i="10"/>
  <c r="T159" i="10"/>
  <c r="S159" i="10"/>
  <c r="R159" i="10"/>
  <c r="Q159" i="10"/>
  <c r="P159" i="10"/>
  <c r="O159" i="10"/>
  <c r="N159" i="10"/>
  <c r="M159" i="10"/>
  <c r="L159" i="10"/>
  <c r="K159" i="10"/>
  <c r="J159" i="10"/>
  <c r="I159" i="10"/>
  <c r="H159" i="10"/>
  <c r="G159" i="10"/>
  <c r="F159" i="10"/>
  <c r="E159" i="10"/>
  <c r="D159" i="10"/>
  <c r="C159" i="10"/>
  <c r="B159" i="10"/>
  <c r="A159" i="10"/>
  <c r="AT158" i="10"/>
  <c r="AS158" i="10"/>
  <c r="AR158" i="10"/>
  <c r="AQ158" i="10"/>
  <c r="AP158" i="10"/>
  <c r="V158" i="10"/>
  <c r="U158" i="10"/>
  <c r="T158" i="10"/>
  <c r="S158" i="10"/>
  <c r="R158" i="10"/>
  <c r="Q158" i="10"/>
  <c r="P158" i="10"/>
  <c r="O158" i="10"/>
  <c r="N158" i="10"/>
  <c r="M158" i="10"/>
  <c r="L158" i="10"/>
  <c r="K158" i="10"/>
  <c r="J158" i="10"/>
  <c r="I158" i="10"/>
  <c r="H158" i="10"/>
  <c r="G158" i="10"/>
  <c r="F158" i="10"/>
  <c r="E158" i="10"/>
  <c r="D158" i="10"/>
  <c r="C158" i="10"/>
  <c r="B158" i="10"/>
  <c r="A158" i="10"/>
  <c r="AT157" i="10"/>
  <c r="AS157" i="10"/>
  <c r="AR157" i="10"/>
  <c r="AQ157" i="10"/>
  <c r="AP157" i="10"/>
  <c r="V157" i="10"/>
  <c r="U157" i="10"/>
  <c r="T157" i="10"/>
  <c r="S157" i="10"/>
  <c r="R157" i="10"/>
  <c r="Q157" i="10"/>
  <c r="P157" i="10"/>
  <c r="O157" i="10"/>
  <c r="N157" i="10"/>
  <c r="M157" i="10"/>
  <c r="L157" i="10"/>
  <c r="K157" i="10"/>
  <c r="J157" i="10"/>
  <c r="I157" i="10"/>
  <c r="H157" i="10"/>
  <c r="G157" i="10"/>
  <c r="F157" i="10"/>
  <c r="E157" i="10"/>
  <c r="D157" i="10"/>
  <c r="C157" i="10"/>
  <c r="B157" i="10"/>
  <c r="A157" i="10"/>
  <c r="AT156" i="10"/>
  <c r="AS156" i="10"/>
  <c r="AR156" i="10"/>
  <c r="AQ156" i="10"/>
  <c r="AP156" i="10"/>
  <c r="V156" i="10"/>
  <c r="U156" i="10"/>
  <c r="T156" i="10"/>
  <c r="S156" i="10"/>
  <c r="R156" i="10"/>
  <c r="Q156" i="10"/>
  <c r="P156" i="10"/>
  <c r="O156" i="10"/>
  <c r="N156" i="10"/>
  <c r="M156" i="10"/>
  <c r="L156" i="10"/>
  <c r="K156" i="10"/>
  <c r="J156" i="10"/>
  <c r="I156" i="10"/>
  <c r="H156" i="10"/>
  <c r="G156" i="10"/>
  <c r="F156" i="10"/>
  <c r="E156" i="10"/>
  <c r="D156" i="10"/>
  <c r="C156" i="10"/>
  <c r="B156" i="10"/>
  <c r="A156" i="10"/>
  <c r="AT155" i="10"/>
  <c r="AS155" i="10"/>
  <c r="AR155" i="10"/>
  <c r="AQ155" i="10"/>
  <c r="AP155" i="10"/>
  <c r="V155" i="10"/>
  <c r="U155" i="10"/>
  <c r="T155" i="10"/>
  <c r="S155" i="10"/>
  <c r="R155" i="10"/>
  <c r="Q155" i="10"/>
  <c r="P155" i="10"/>
  <c r="O155" i="10"/>
  <c r="N155" i="10"/>
  <c r="M155" i="10"/>
  <c r="L155" i="10"/>
  <c r="K155" i="10"/>
  <c r="J155" i="10"/>
  <c r="I155" i="10"/>
  <c r="H155" i="10"/>
  <c r="G155" i="10"/>
  <c r="F155" i="10"/>
  <c r="E155" i="10"/>
  <c r="D155" i="10"/>
  <c r="C155" i="10"/>
  <c r="B155" i="10"/>
  <c r="A155" i="10"/>
  <c r="AT154" i="10"/>
  <c r="AS154" i="10"/>
  <c r="AR154" i="10"/>
  <c r="AQ154" i="10"/>
  <c r="AP154" i="10"/>
  <c r="V154" i="10"/>
  <c r="U154" i="10"/>
  <c r="T154" i="10"/>
  <c r="S154" i="10"/>
  <c r="R154" i="10"/>
  <c r="Q154" i="10"/>
  <c r="P154" i="10"/>
  <c r="O154" i="10"/>
  <c r="N154" i="10"/>
  <c r="M154" i="10"/>
  <c r="L154" i="10"/>
  <c r="K154" i="10"/>
  <c r="J154" i="10"/>
  <c r="I154" i="10"/>
  <c r="H154" i="10"/>
  <c r="G154" i="10"/>
  <c r="F154" i="10"/>
  <c r="E154" i="10"/>
  <c r="D154" i="10"/>
  <c r="C154" i="10"/>
  <c r="B154" i="10"/>
  <c r="A154" i="10"/>
  <c r="AT153" i="10"/>
  <c r="AS153" i="10"/>
  <c r="AR153" i="10"/>
  <c r="AQ153" i="10"/>
  <c r="AP153" i="10"/>
  <c r="V153" i="10"/>
  <c r="U153" i="10"/>
  <c r="T153" i="10"/>
  <c r="S153" i="10"/>
  <c r="R153" i="10"/>
  <c r="Q153" i="10"/>
  <c r="P153" i="10"/>
  <c r="O153" i="10"/>
  <c r="N153" i="10"/>
  <c r="M153" i="10"/>
  <c r="L153" i="10"/>
  <c r="K153" i="10"/>
  <c r="J153" i="10"/>
  <c r="I153" i="10"/>
  <c r="H153" i="10"/>
  <c r="G153" i="10"/>
  <c r="F153" i="10"/>
  <c r="E153" i="10"/>
  <c r="D153" i="10"/>
  <c r="C153" i="10"/>
  <c r="B153" i="10"/>
  <c r="A153" i="10"/>
  <c r="AT152" i="10"/>
  <c r="AS152" i="10"/>
  <c r="AR152" i="10"/>
  <c r="AQ152" i="10"/>
  <c r="AP152" i="10"/>
  <c r="V152" i="10"/>
  <c r="U152" i="10"/>
  <c r="T152" i="10"/>
  <c r="S152" i="10"/>
  <c r="R152" i="10"/>
  <c r="Q152" i="10"/>
  <c r="P152" i="10"/>
  <c r="O152" i="10"/>
  <c r="N152" i="10"/>
  <c r="M152" i="10"/>
  <c r="L152" i="10"/>
  <c r="K152" i="10"/>
  <c r="J152" i="10"/>
  <c r="I152" i="10"/>
  <c r="H152" i="10"/>
  <c r="G152" i="10"/>
  <c r="F152" i="10"/>
  <c r="E152" i="10"/>
  <c r="D152" i="10"/>
  <c r="C152" i="10"/>
  <c r="B152" i="10"/>
  <c r="A152" i="10"/>
  <c r="AT151" i="10"/>
  <c r="AS151" i="10"/>
  <c r="AR151" i="10"/>
  <c r="AQ151" i="10"/>
  <c r="AP151" i="10"/>
  <c r="V151" i="10"/>
  <c r="U151" i="10"/>
  <c r="T151" i="10"/>
  <c r="S151" i="10"/>
  <c r="R151" i="10"/>
  <c r="Q151" i="10"/>
  <c r="P151" i="10"/>
  <c r="O151" i="10"/>
  <c r="N151" i="10"/>
  <c r="M151" i="10"/>
  <c r="L151" i="10"/>
  <c r="K151" i="10"/>
  <c r="J151" i="10"/>
  <c r="I151" i="10"/>
  <c r="H151" i="10"/>
  <c r="G151" i="10"/>
  <c r="F151" i="10"/>
  <c r="E151" i="10"/>
  <c r="D151" i="10"/>
  <c r="C151" i="10"/>
  <c r="B151" i="10"/>
  <c r="A151" i="10"/>
  <c r="AT150" i="10"/>
  <c r="AS150" i="10"/>
  <c r="AR150" i="10"/>
  <c r="AQ150" i="10"/>
  <c r="AP150" i="10"/>
  <c r="V150" i="10"/>
  <c r="U150" i="10"/>
  <c r="T150" i="10"/>
  <c r="S150" i="10"/>
  <c r="R150" i="10"/>
  <c r="Q150" i="10"/>
  <c r="P150" i="10"/>
  <c r="O150" i="10"/>
  <c r="N150" i="10"/>
  <c r="M150" i="10"/>
  <c r="L150" i="10"/>
  <c r="K150" i="10"/>
  <c r="J150" i="10"/>
  <c r="I150" i="10"/>
  <c r="H150" i="10"/>
  <c r="G150" i="10"/>
  <c r="F150" i="10"/>
  <c r="E150" i="10"/>
  <c r="D150" i="10"/>
  <c r="C150" i="10"/>
  <c r="B150" i="10"/>
  <c r="A150" i="10"/>
  <c r="AT149" i="10"/>
  <c r="AS149" i="10"/>
  <c r="AR149" i="10"/>
  <c r="AQ149" i="10"/>
  <c r="AP149" i="10"/>
  <c r="V149" i="10"/>
  <c r="U149" i="10"/>
  <c r="T149" i="10"/>
  <c r="S149" i="10"/>
  <c r="R149" i="10"/>
  <c r="Q149" i="10"/>
  <c r="P149" i="10"/>
  <c r="O149" i="10"/>
  <c r="N149" i="10"/>
  <c r="M149" i="10"/>
  <c r="L149" i="10"/>
  <c r="K149" i="10"/>
  <c r="J149" i="10"/>
  <c r="I149" i="10"/>
  <c r="H149" i="10"/>
  <c r="G149" i="10"/>
  <c r="F149" i="10"/>
  <c r="E149" i="10"/>
  <c r="D149" i="10"/>
  <c r="C149" i="10"/>
  <c r="B149" i="10"/>
  <c r="A149" i="10"/>
  <c r="AT148" i="10"/>
  <c r="AS148" i="10"/>
  <c r="AR148" i="10"/>
  <c r="AQ148" i="10"/>
  <c r="AP148" i="10"/>
  <c r="V148" i="10"/>
  <c r="U148" i="10"/>
  <c r="T148" i="10"/>
  <c r="S148" i="10"/>
  <c r="R148" i="10"/>
  <c r="Q148" i="10"/>
  <c r="P148" i="10"/>
  <c r="O148" i="10"/>
  <c r="N148" i="10"/>
  <c r="M148" i="10"/>
  <c r="L148" i="10"/>
  <c r="K148" i="10"/>
  <c r="J148" i="10"/>
  <c r="I148" i="10"/>
  <c r="H148" i="10"/>
  <c r="G148" i="10"/>
  <c r="F148" i="10"/>
  <c r="E148" i="10"/>
  <c r="D148" i="10"/>
  <c r="C148" i="10"/>
  <c r="B148" i="10"/>
  <c r="A148" i="10"/>
  <c r="AT147" i="10"/>
  <c r="AS147" i="10"/>
  <c r="AR147" i="10"/>
  <c r="AQ147" i="10"/>
  <c r="AP147" i="10"/>
  <c r="V147" i="10"/>
  <c r="U147" i="10"/>
  <c r="T147" i="10"/>
  <c r="S147" i="10"/>
  <c r="R147" i="10"/>
  <c r="Q147" i="10"/>
  <c r="P147" i="10"/>
  <c r="O147" i="10"/>
  <c r="N147" i="10"/>
  <c r="M147" i="10"/>
  <c r="L147" i="10"/>
  <c r="K147" i="10"/>
  <c r="J147" i="10"/>
  <c r="I147" i="10"/>
  <c r="H147" i="10"/>
  <c r="G147" i="10"/>
  <c r="F147" i="10"/>
  <c r="E147" i="10"/>
  <c r="D147" i="10"/>
  <c r="C147" i="10"/>
  <c r="B147" i="10"/>
  <c r="A147" i="10"/>
  <c r="AT146" i="10"/>
  <c r="AS146" i="10"/>
  <c r="AR146" i="10"/>
  <c r="AQ146" i="10"/>
  <c r="AP146" i="10"/>
  <c r="V146" i="10"/>
  <c r="U146" i="10"/>
  <c r="T146" i="10"/>
  <c r="S146" i="10"/>
  <c r="R146" i="10"/>
  <c r="Q146" i="10"/>
  <c r="P146" i="10"/>
  <c r="O146" i="10"/>
  <c r="N146" i="10"/>
  <c r="M146" i="10"/>
  <c r="L146" i="10"/>
  <c r="K146" i="10"/>
  <c r="J146" i="10"/>
  <c r="I146" i="10"/>
  <c r="H146" i="10"/>
  <c r="G146" i="10"/>
  <c r="F146" i="10"/>
  <c r="E146" i="10"/>
  <c r="D146" i="10"/>
  <c r="C146" i="10"/>
  <c r="B146" i="10"/>
  <c r="A146" i="10"/>
  <c r="AT145" i="10"/>
  <c r="AS145" i="10"/>
  <c r="AR145" i="10"/>
  <c r="AQ145" i="10"/>
  <c r="AP145" i="10"/>
  <c r="V145" i="10"/>
  <c r="U145" i="10"/>
  <c r="T145" i="10"/>
  <c r="S145" i="10"/>
  <c r="R145" i="10"/>
  <c r="Q145" i="10"/>
  <c r="P145" i="10"/>
  <c r="O145" i="10"/>
  <c r="N145" i="10"/>
  <c r="M145" i="10"/>
  <c r="L145" i="10"/>
  <c r="K145" i="10"/>
  <c r="J145" i="10"/>
  <c r="I145" i="10"/>
  <c r="H145" i="10"/>
  <c r="G145" i="10"/>
  <c r="F145" i="10"/>
  <c r="E145" i="10"/>
  <c r="D145" i="10"/>
  <c r="C145" i="10"/>
  <c r="B145" i="10"/>
  <c r="A145" i="10"/>
  <c r="AT144" i="10"/>
  <c r="AS144" i="10"/>
  <c r="AR144" i="10"/>
  <c r="AQ144" i="10"/>
  <c r="AP144" i="10"/>
  <c r="V144" i="10"/>
  <c r="U144" i="10"/>
  <c r="T144" i="10"/>
  <c r="S144" i="10"/>
  <c r="R144" i="10"/>
  <c r="Q144" i="10"/>
  <c r="P144" i="10"/>
  <c r="O144" i="10"/>
  <c r="N144" i="10"/>
  <c r="M144" i="10"/>
  <c r="L144" i="10"/>
  <c r="K144" i="10"/>
  <c r="J144" i="10"/>
  <c r="I144" i="10"/>
  <c r="H144" i="10"/>
  <c r="G144" i="10"/>
  <c r="F144" i="10"/>
  <c r="E144" i="10"/>
  <c r="D144" i="10"/>
  <c r="C144" i="10"/>
  <c r="B144" i="10"/>
  <c r="A144" i="10"/>
  <c r="AT143" i="10"/>
  <c r="AS143" i="10"/>
  <c r="AR143" i="10"/>
  <c r="AQ143" i="10"/>
  <c r="AP143" i="10"/>
  <c r="V143" i="10"/>
  <c r="U143" i="10"/>
  <c r="T143" i="10"/>
  <c r="S143" i="10"/>
  <c r="R143" i="10"/>
  <c r="Q143" i="10"/>
  <c r="P143" i="10"/>
  <c r="O143" i="10"/>
  <c r="N143" i="10"/>
  <c r="M143" i="10"/>
  <c r="L143" i="10"/>
  <c r="K143" i="10"/>
  <c r="J143" i="10"/>
  <c r="I143" i="10"/>
  <c r="H143" i="10"/>
  <c r="G143" i="10"/>
  <c r="F143" i="10"/>
  <c r="E143" i="10"/>
  <c r="D143" i="10"/>
  <c r="C143" i="10"/>
  <c r="B143" i="10"/>
  <c r="A143" i="10"/>
  <c r="AT142" i="10"/>
  <c r="AS142" i="10"/>
  <c r="AR142" i="10"/>
  <c r="AQ142" i="10"/>
  <c r="AP142" i="10"/>
  <c r="V142" i="10"/>
  <c r="U142" i="10"/>
  <c r="T142" i="10"/>
  <c r="S142" i="10"/>
  <c r="R142" i="10"/>
  <c r="Q142" i="10"/>
  <c r="P142" i="10"/>
  <c r="O142" i="10"/>
  <c r="N142" i="10"/>
  <c r="M142" i="10"/>
  <c r="L142" i="10"/>
  <c r="K142" i="10"/>
  <c r="J142" i="10"/>
  <c r="I142" i="10"/>
  <c r="H142" i="10"/>
  <c r="G142" i="10"/>
  <c r="F142" i="10"/>
  <c r="E142" i="10"/>
  <c r="D142" i="10"/>
  <c r="C142" i="10"/>
  <c r="B142" i="10"/>
  <c r="A142" i="10"/>
  <c r="AT141" i="10"/>
  <c r="AS141" i="10"/>
  <c r="AR141" i="10"/>
  <c r="AQ141" i="10"/>
  <c r="AP141" i="10"/>
  <c r="V141" i="10"/>
  <c r="U141" i="10"/>
  <c r="T141" i="10"/>
  <c r="S141" i="10"/>
  <c r="R141" i="10"/>
  <c r="Q141" i="10"/>
  <c r="P141" i="10"/>
  <c r="O141" i="10"/>
  <c r="N141" i="10"/>
  <c r="M141" i="10"/>
  <c r="L141" i="10"/>
  <c r="K141" i="10"/>
  <c r="J141" i="10"/>
  <c r="I141" i="10"/>
  <c r="H141" i="10"/>
  <c r="G141" i="10"/>
  <c r="F141" i="10"/>
  <c r="E141" i="10"/>
  <c r="D141" i="10"/>
  <c r="C141" i="10"/>
  <c r="B141" i="10"/>
  <c r="A141" i="10"/>
  <c r="AT140" i="10"/>
  <c r="AS140" i="10"/>
  <c r="AR140" i="10"/>
  <c r="AQ140" i="10"/>
  <c r="AP140" i="10"/>
  <c r="V140" i="10"/>
  <c r="U140" i="10"/>
  <c r="T140" i="10"/>
  <c r="S140" i="10"/>
  <c r="R140" i="10"/>
  <c r="Q140" i="10"/>
  <c r="P140" i="10"/>
  <c r="O140" i="10"/>
  <c r="N140" i="10"/>
  <c r="M140" i="10"/>
  <c r="L140" i="10"/>
  <c r="K140" i="10"/>
  <c r="J140" i="10"/>
  <c r="I140" i="10"/>
  <c r="H140" i="10"/>
  <c r="G140" i="10"/>
  <c r="F140" i="10"/>
  <c r="E140" i="10"/>
  <c r="D140" i="10"/>
  <c r="C140" i="10"/>
  <c r="B140" i="10"/>
  <c r="A140" i="10"/>
  <c r="AT139" i="10"/>
  <c r="AS139" i="10"/>
  <c r="AR139" i="10"/>
  <c r="AQ139" i="10"/>
  <c r="AP139" i="10"/>
  <c r="V139" i="10"/>
  <c r="U139" i="10"/>
  <c r="T139" i="10"/>
  <c r="S139" i="10"/>
  <c r="R139" i="10"/>
  <c r="Q139" i="10"/>
  <c r="P139" i="10"/>
  <c r="O139" i="10"/>
  <c r="N139" i="10"/>
  <c r="M139" i="10"/>
  <c r="L139" i="10"/>
  <c r="K139" i="10"/>
  <c r="J139" i="10"/>
  <c r="I139" i="10"/>
  <c r="H139" i="10"/>
  <c r="G139" i="10"/>
  <c r="F139" i="10"/>
  <c r="E139" i="10"/>
  <c r="D139" i="10"/>
  <c r="C139" i="10"/>
  <c r="B139" i="10"/>
  <c r="A139" i="10"/>
  <c r="AT138" i="10"/>
  <c r="AS138" i="10"/>
  <c r="AR138" i="10"/>
  <c r="AQ138" i="10"/>
  <c r="AP138" i="10"/>
  <c r="V138" i="10"/>
  <c r="U138" i="10"/>
  <c r="T138" i="10"/>
  <c r="S138" i="10"/>
  <c r="R138" i="10"/>
  <c r="Q138" i="10"/>
  <c r="P138" i="10"/>
  <c r="O138" i="10"/>
  <c r="N138" i="10"/>
  <c r="M138" i="10"/>
  <c r="L138" i="10"/>
  <c r="K138" i="10"/>
  <c r="J138" i="10"/>
  <c r="I138" i="10"/>
  <c r="H138" i="10"/>
  <c r="G138" i="10"/>
  <c r="F138" i="10"/>
  <c r="E138" i="10"/>
  <c r="D138" i="10"/>
  <c r="C138" i="10"/>
  <c r="B138" i="10"/>
  <c r="A138" i="10"/>
  <c r="AT137" i="10"/>
  <c r="AS137" i="10"/>
  <c r="AR137" i="10"/>
  <c r="AQ137" i="10"/>
  <c r="AP137" i="10"/>
  <c r="V137" i="10"/>
  <c r="U137" i="10"/>
  <c r="T137" i="10"/>
  <c r="S137" i="10"/>
  <c r="R137" i="10"/>
  <c r="Q137" i="10"/>
  <c r="P137" i="10"/>
  <c r="O137" i="10"/>
  <c r="N137" i="10"/>
  <c r="M137" i="10"/>
  <c r="L137" i="10"/>
  <c r="K137" i="10"/>
  <c r="J137" i="10"/>
  <c r="I137" i="10"/>
  <c r="H137" i="10"/>
  <c r="G137" i="10"/>
  <c r="F137" i="10"/>
  <c r="E137" i="10"/>
  <c r="D137" i="10"/>
  <c r="C137" i="10"/>
  <c r="B137" i="10"/>
  <c r="A137" i="10"/>
  <c r="AT136" i="10"/>
  <c r="AS136" i="10"/>
  <c r="AR136" i="10"/>
  <c r="AQ136" i="10"/>
  <c r="AP136" i="10"/>
  <c r="V136" i="10"/>
  <c r="U136" i="10"/>
  <c r="T136" i="10"/>
  <c r="S136" i="10"/>
  <c r="R136" i="10"/>
  <c r="Q136" i="10"/>
  <c r="P136" i="10"/>
  <c r="O136" i="10"/>
  <c r="N136" i="10"/>
  <c r="M136" i="10"/>
  <c r="L136" i="10"/>
  <c r="K136" i="10"/>
  <c r="J136" i="10"/>
  <c r="I136" i="10"/>
  <c r="H136" i="10"/>
  <c r="G136" i="10"/>
  <c r="F136" i="10"/>
  <c r="E136" i="10"/>
  <c r="D136" i="10"/>
  <c r="C136" i="10"/>
  <c r="B136" i="10"/>
  <c r="A136" i="10"/>
  <c r="AT135" i="10"/>
  <c r="AS135" i="10"/>
  <c r="AR135" i="10"/>
  <c r="AQ135" i="10"/>
  <c r="AP135" i="10"/>
  <c r="V135" i="10"/>
  <c r="U135" i="10"/>
  <c r="T135" i="10"/>
  <c r="S135" i="10"/>
  <c r="R135" i="10"/>
  <c r="Q135" i="10"/>
  <c r="P135" i="10"/>
  <c r="O135" i="10"/>
  <c r="N135" i="10"/>
  <c r="M135" i="10"/>
  <c r="L135" i="10"/>
  <c r="K135" i="10"/>
  <c r="J135" i="10"/>
  <c r="I135" i="10"/>
  <c r="H135" i="10"/>
  <c r="G135" i="10"/>
  <c r="F135" i="10"/>
  <c r="E135" i="10"/>
  <c r="D135" i="10"/>
  <c r="C135" i="10"/>
  <c r="B135" i="10"/>
  <c r="A135" i="10"/>
  <c r="AT134" i="10"/>
  <c r="AS134" i="10"/>
  <c r="AR134" i="10"/>
  <c r="AQ134" i="10"/>
  <c r="AP134" i="10"/>
  <c r="V134" i="10"/>
  <c r="U134" i="10"/>
  <c r="T134" i="10"/>
  <c r="S134" i="10"/>
  <c r="R134" i="10"/>
  <c r="Q134" i="10"/>
  <c r="P134" i="10"/>
  <c r="O134" i="10"/>
  <c r="N134" i="10"/>
  <c r="M134" i="10"/>
  <c r="L134" i="10"/>
  <c r="K134" i="10"/>
  <c r="J134" i="10"/>
  <c r="I134" i="10"/>
  <c r="H134" i="10"/>
  <c r="G134" i="10"/>
  <c r="F134" i="10"/>
  <c r="E134" i="10"/>
  <c r="D134" i="10"/>
  <c r="C134" i="10"/>
  <c r="B134" i="10"/>
  <c r="A134" i="10"/>
  <c r="AT133" i="10"/>
  <c r="AS133" i="10"/>
  <c r="AR133" i="10"/>
  <c r="AQ133" i="10"/>
  <c r="AP133" i="10"/>
  <c r="V133" i="10"/>
  <c r="U133" i="10"/>
  <c r="T133" i="10"/>
  <c r="S133" i="10"/>
  <c r="R133" i="10"/>
  <c r="Q133" i="10"/>
  <c r="P133" i="10"/>
  <c r="O133" i="10"/>
  <c r="N133" i="10"/>
  <c r="M133" i="10"/>
  <c r="L133" i="10"/>
  <c r="K133" i="10"/>
  <c r="J133" i="10"/>
  <c r="I133" i="10"/>
  <c r="H133" i="10"/>
  <c r="G133" i="10"/>
  <c r="F133" i="10"/>
  <c r="E133" i="10"/>
  <c r="D133" i="10"/>
  <c r="C133" i="10"/>
  <c r="B133" i="10"/>
  <c r="A133" i="10"/>
  <c r="AT132" i="10"/>
  <c r="AS132" i="10"/>
  <c r="AR132" i="10"/>
  <c r="AQ132" i="10"/>
  <c r="AP132" i="10"/>
  <c r="V132" i="10"/>
  <c r="U132" i="10"/>
  <c r="T132" i="10"/>
  <c r="S132" i="10"/>
  <c r="R132" i="10"/>
  <c r="Q132" i="10"/>
  <c r="P132" i="10"/>
  <c r="O132" i="10"/>
  <c r="N132" i="10"/>
  <c r="M132" i="10"/>
  <c r="L132" i="10"/>
  <c r="K132" i="10"/>
  <c r="J132" i="10"/>
  <c r="I132" i="10"/>
  <c r="H132" i="10"/>
  <c r="G132" i="10"/>
  <c r="F132" i="10"/>
  <c r="E132" i="10"/>
  <c r="D132" i="10"/>
  <c r="C132" i="10"/>
  <c r="B132" i="10"/>
  <c r="A132" i="10"/>
  <c r="AT131" i="10"/>
  <c r="AS131" i="10"/>
  <c r="AR131" i="10"/>
  <c r="AQ131" i="10"/>
  <c r="AP131" i="10"/>
  <c r="V131" i="10"/>
  <c r="U131" i="10"/>
  <c r="T131" i="10"/>
  <c r="S131" i="10"/>
  <c r="R131" i="10"/>
  <c r="Q131" i="10"/>
  <c r="P131" i="10"/>
  <c r="O131" i="10"/>
  <c r="N131" i="10"/>
  <c r="M131" i="10"/>
  <c r="L131" i="10"/>
  <c r="K131" i="10"/>
  <c r="J131" i="10"/>
  <c r="I131" i="10"/>
  <c r="H131" i="10"/>
  <c r="G131" i="10"/>
  <c r="F131" i="10"/>
  <c r="E131" i="10"/>
  <c r="D131" i="10"/>
  <c r="C131" i="10"/>
  <c r="B131" i="10"/>
  <c r="A131" i="10"/>
  <c r="AT130" i="10"/>
  <c r="AS130" i="10"/>
  <c r="AR130" i="10"/>
  <c r="AQ130" i="10"/>
  <c r="AP130" i="10"/>
  <c r="V130" i="10"/>
  <c r="U130" i="10"/>
  <c r="T130" i="10"/>
  <c r="S130" i="10"/>
  <c r="R130" i="10"/>
  <c r="Q130" i="10"/>
  <c r="P130" i="10"/>
  <c r="O130" i="10"/>
  <c r="N130" i="10"/>
  <c r="M130" i="10"/>
  <c r="L130" i="10"/>
  <c r="K130" i="10"/>
  <c r="J130" i="10"/>
  <c r="I130" i="10"/>
  <c r="H130" i="10"/>
  <c r="G130" i="10"/>
  <c r="F130" i="10"/>
  <c r="E130" i="10"/>
  <c r="D130" i="10"/>
  <c r="C130" i="10"/>
  <c r="B130" i="10"/>
  <c r="A130" i="10"/>
  <c r="AT129" i="10"/>
  <c r="AS129" i="10"/>
  <c r="AR129" i="10"/>
  <c r="AQ129" i="10"/>
  <c r="AP129" i="10"/>
  <c r="V129" i="10"/>
  <c r="U129" i="10"/>
  <c r="T129" i="10"/>
  <c r="S129" i="10"/>
  <c r="R129" i="10"/>
  <c r="Q129" i="10"/>
  <c r="P129" i="10"/>
  <c r="O129" i="10"/>
  <c r="N129" i="10"/>
  <c r="M129" i="10"/>
  <c r="L129" i="10"/>
  <c r="K129" i="10"/>
  <c r="J129" i="10"/>
  <c r="I129" i="10"/>
  <c r="H129" i="10"/>
  <c r="G129" i="10"/>
  <c r="F129" i="10"/>
  <c r="E129" i="10"/>
  <c r="D129" i="10"/>
  <c r="C129" i="10"/>
  <c r="B129" i="10"/>
  <c r="A129" i="10"/>
  <c r="AT128" i="10"/>
  <c r="AS128" i="10"/>
  <c r="AR128" i="10"/>
  <c r="AQ128" i="10"/>
  <c r="AP128" i="10"/>
  <c r="V128" i="10"/>
  <c r="U128" i="10"/>
  <c r="T128" i="10"/>
  <c r="S128" i="10"/>
  <c r="R128" i="10"/>
  <c r="Q128" i="10"/>
  <c r="P128" i="10"/>
  <c r="O128" i="10"/>
  <c r="N128" i="10"/>
  <c r="M128" i="10"/>
  <c r="L128" i="10"/>
  <c r="K128" i="10"/>
  <c r="J128" i="10"/>
  <c r="I128" i="10"/>
  <c r="H128" i="10"/>
  <c r="G128" i="10"/>
  <c r="F128" i="10"/>
  <c r="E128" i="10"/>
  <c r="D128" i="10"/>
  <c r="C128" i="10"/>
  <c r="B128" i="10"/>
  <c r="A128" i="10"/>
  <c r="AT127" i="10"/>
  <c r="AS127" i="10"/>
  <c r="AR127" i="10"/>
  <c r="AQ127" i="10"/>
  <c r="AP127" i="10"/>
  <c r="V127" i="10"/>
  <c r="U127" i="10"/>
  <c r="T127" i="10"/>
  <c r="S127" i="10"/>
  <c r="R127" i="10"/>
  <c r="Q127" i="10"/>
  <c r="P127" i="10"/>
  <c r="O127" i="10"/>
  <c r="N127" i="10"/>
  <c r="M127" i="10"/>
  <c r="L127" i="10"/>
  <c r="K127" i="10"/>
  <c r="J127" i="10"/>
  <c r="I127" i="10"/>
  <c r="H127" i="10"/>
  <c r="G127" i="10"/>
  <c r="F127" i="10"/>
  <c r="E127" i="10"/>
  <c r="D127" i="10"/>
  <c r="C127" i="10"/>
  <c r="B127" i="10"/>
  <c r="A127" i="10"/>
  <c r="AT126" i="10"/>
  <c r="AS126" i="10"/>
  <c r="AR126" i="10"/>
  <c r="AQ126" i="10"/>
  <c r="AP126" i="10"/>
  <c r="V126" i="10"/>
  <c r="U126" i="10"/>
  <c r="T126" i="10"/>
  <c r="S126" i="10"/>
  <c r="R126" i="10"/>
  <c r="Q126" i="10"/>
  <c r="P126" i="10"/>
  <c r="O126" i="10"/>
  <c r="N126" i="10"/>
  <c r="M126" i="10"/>
  <c r="L126" i="10"/>
  <c r="K126" i="10"/>
  <c r="J126" i="10"/>
  <c r="I126" i="10"/>
  <c r="H126" i="10"/>
  <c r="G126" i="10"/>
  <c r="F126" i="10"/>
  <c r="E126" i="10"/>
  <c r="D126" i="10"/>
  <c r="C126" i="10"/>
  <c r="B126" i="10"/>
  <c r="A126" i="10"/>
  <c r="AT125" i="10"/>
  <c r="AS125" i="10"/>
  <c r="AR125" i="10"/>
  <c r="AQ125" i="10"/>
  <c r="AP125" i="10"/>
  <c r="V125" i="10"/>
  <c r="U125" i="10"/>
  <c r="T125" i="10"/>
  <c r="S125" i="10"/>
  <c r="R125" i="10"/>
  <c r="Q125" i="10"/>
  <c r="P125" i="10"/>
  <c r="O125" i="10"/>
  <c r="N125" i="10"/>
  <c r="M125" i="10"/>
  <c r="L125" i="10"/>
  <c r="K125" i="10"/>
  <c r="J125" i="10"/>
  <c r="I125" i="10"/>
  <c r="H125" i="10"/>
  <c r="G125" i="10"/>
  <c r="F125" i="10"/>
  <c r="E125" i="10"/>
  <c r="D125" i="10"/>
  <c r="C125" i="10"/>
  <c r="B125" i="10"/>
  <c r="A125" i="10"/>
  <c r="AT124" i="10"/>
  <c r="AS124" i="10"/>
  <c r="AR124" i="10"/>
  <c r="AQ124" i="10"/>
  <c r="AP124" i="10"/>
  <c r="V124" i="10"/>
  <c r="U124" i="10"/>
  <c r="T124" i="10"/>
  <c r="S124" i="10"/>
  <c r="R124" i="10"/>
  <c r="Q124" i="10"/>
  <c r="P124" i="10"/>
  <c r="O124" i="10"/>
  <c r="N124" i="10"/>
  <c r="M124" i="10"/>
  <c r="L124" i="10"/>
  <c r="K124" i="10"/>
  <c r="J124" i="10"/>
  <c r="I124" i="10"/>
  <c r="H124" i="10"/>
  <c r="G124" i="10"/>
  <c r="F124" i="10"/>
  <c r="E124" i="10"/>
  <c r="D124" i="10"/>
  <c r="C124" i="10"/>
  <c r="B124" i="10"/>
  <c r="A124" i="10"/>
  <c r="AT123" i="10"/>
  <c r="AS123" i="10"/>
  <c r="AR123" i="10"/>
  <c r="AQ123" i="10"/>
  <c r="AP123" i="10"/>
  <c r="V123" i="10"/>
  <c r="U123" i="10"/>
  <c r="T123" i="10"/>
  <c r="S123" i="10"/>
  <c r="R123" i="10"/>
  <c r="Q123" i="10"/>
  <c r="P123" i="10"/>
  <c r="O123" i="10"/>
  <c r="N123" i="10"/>
  <c r="M123" i="10"/>
  <c r="L123" i="10"/>
  <c r="K123" i="10"/>
  <c r="J123" i="10"/>
  <c r="I123" i="10"/>
  <c r="H123" i="10"/>
  <c r="G123" i="10"/>
  <c r="F123" i="10"/>
  <c r="E123" i="10"/>
  <c r="D123" i="10"/>
  <c r="C123" i="10"/>
  <c r="B123" i="10"/>
  <c r="A123" i="10"/>
  <c r="AT122" i="10"/>
  <c r="AS122" i="10"/>
  <c r="AR122" i="10"/>
  <c r="AQ122" i="10"/>
  <c r="AP122" i="10"/>
  <c r="V122" i="10"/>
  <c r="U122" i="10"/>
  <c r="T122" i="10"/>
  <c r="S122" i="10"/>
  <c r="R122" i="10"/>
  <c r="Q122" i="10"/>
  <c r="P122" i="10"/>
  <c r="O122" i="10"/>
  <c r="N122" i="10"/>
  <c r="M122" i="10"/>
  <c r="L122" i="10"/>
  <c r="K122" i="10"/>
  <c r="J122" i="10"/>
  <c r="I122" i="10"/>
  <c r="H122" i="10"/>
  <c r="G122" i="10"/>
  <c r="F122" i="10"/>
  <c r="E122" i="10"/>
  <c r="D122" i="10"/>
  <c r="C122" i="10"/>
  <c r="B122" i="10"/>
  <c r="A122" i="10"/>
  <c r="AT121" i="10"/>
  <c r="AS121" i="10"/>
  <c r="AR121" i="10"/>
  <c r="AQ121" i="10"/>
  <c r="AP121" i="10"/>
  <c r="V121" i="10"/>
  <c r="U121" i="10"/>
  <c r="T121" i="10"/>
  <c r="S121" i="10"/>
  <c r="R121" i="10"/>
  <c r="Q121" i="10"/>
  <c r="P121" i="10"/>
  <c r="O121" i="10"/>
  <c r="N121" i="10"/>
  <c r="M121" i="10"/>
  <c r="L121" i="10"/>
  <c r="K121" i="10"/>
  <c r="J121" i="10"/>
  <c r="I121" i="10"/>
  <c r="H121" i="10"/>
  <c r="G121" i="10"/>
  <c r="F121" i="10"/>
  <c r="E121" i="10"/>
  <c r="D121" i="10"/>
  <c r="C121" i="10"/>
  <c r="B121" i="10"/>
  <c r="A121" i="10"/>
  <c r="AT120" i="10"/>
  <c r="AS120" i="10"/>
  <c r="AR120" i="10"/>
  <c r="AQ120" i="10"/>
  <c r="AP120" i="10"/>
  <c r="V120" i="10"/>
  <c r="U120" i="10"/>
  <c r="T120" i="10"/>
  <c r="S120" i="10"/>
  <c r="R120" i="10"/>
  <c r="Q120" i="10"/>
  <c r="P120" i="10"/>
  <c r="O120" i="10"/>
  <c r="N120" i="10"/>
  <c r="M120" i="10"/>
  <c r="L120" i="10"/>
  <c r="K120" i="10"/>
  <c r="J120" i="10"/>
  <c r="I120" i="10"/>
  <c r="H120" i="10"/>
  <c r="G120" i="10"/>
  <c r="F120" i="10"/>
  <c r="E120" i="10"/>
  <c r="D120" i="10"/>
  <c r="C120" i="10"/>
  <c r="B120" i="10"/>
  <c r="A120" i="10"/>
  <c r="AT119" i="10"/>
  <c r="AS119" i="10"/>
  <c r="AR119" i="10"/>
  <c r="AQ119" i="10"/>
  <c r="AP119" i="10"/>
  <c r="V119" i="10"/>
  <c r="U119" i="10"/>
  <c r="T119" i="10"/>
  <c r="S119" i="10"/>
  <c r="R119" i="10"/>
  <c r="Q119" i="10"/>
  <c r="P119" i="10"/>
  <c r="O119" i="10"/>
  <c r="N119" i="10"/>
  <c r="M119" i="10"/>
  <c r="L119" i="10"/>
  <c r="K119" i="10"/>
  <c r="J119" i="10"/>
  <c r="I119" i="10"/>
  <c r="H119" i="10"/>
  <c r="G119" i="10"/>
  <c r="F119" i="10"/>
  <c r="E119" i="10"/>
  <c r="D119" i="10"/>
  <c r="C119" i="10"/>
  <c r="B119" i="10"/>
  <c r="A119" i="10"/>
  <c r="AT118" i="10"/>
  <c r="AS118" i="10"/>
  <c r="AR118" i="10"/>
  <c r="AQ118" i="10"/>
  <c r="AP118" i="10"/>
  <c r="V118" i="10"/>
  <c r="U118" i="10"/>
  <c r="T118" i="10"/>
  <c r="S118" i="10"/>
  <c r="R118" i="10"/>
  <c r="Q118" i="10"/>
  <c r="P118" i="10"/>
  <c r="O118" i="10"/>
  <c r="N118" i="10"/>
  <c r="M118" i="10"/>
  <c r="L118" i="10"/>
  <c r="K118" i="10"/>
  <c r="J118" i="10"/>
  <c r="I118" i="10"/>
  <c r="H118" i="10"/>
  <c r="G118" i="10"/>
  <c r="F118" i="10"/>
  <c r="E118" i="10"/>
  <c r="D118" i="10"/>
  <c r="C118" i="10"/>
  <c r="B118" i="10"/>
  <c r="A118" i="10"/>
  <c r="AT117" i="10"/>
  <c r="AS117" i="10"/>
  <c r="AR117" i="10"/>
  <c r="AQ117" i="10"/>
  <c r="AP117" i="10"/>
  <c r="V117" i="10"/>
  <c r="U117" i="10"/>
  <c r="T117" i="10"/>
  <c r="S117" i="10"/>
  <c r="R117" i="10"/>
  <c r="Q117" i="10"/>
  <c r="P117" i="10"/>
  <c r="O117" i="10"/>
  <c r="N117" i="10"/>
  <c r="M117" i="10"/>
  <c r="L117" i="10"/>
  <c r="K117" i="10"/>
  <c r="J117" i="10"/>
  <c r="I117" i="10"/>
  <c r="H117" i="10"/>
  <c r="G117" i="10"/>
  <c r="F117" i="10"/>
  <c r="E117" i="10"/>
  <c r="D117" i="10"/>
  <c r="C117" i="10"/>
  <c r="B117" i="10"/>
  <c r="A117" i="10"/>
  <c r="AT116" i="10"/>
  <c r="AS116" i="10"/>
  <c r="AR116" i="10"/>
  <c r="AQ116" i="10"/>
  <c r="AP116" i="10"/>
  <c r="V116" i="10"/>
  <c r="U116" i="10"/>
  <c r="T116" i="10"/>
  <c r="S116" i="10"/>
  <c r="R116" i="10"/>
  <c r="Q116" i="10"/>
  <c r="P116" i="10"/>
  <c r="O116" i="10"/>
  <c r="N116" i="10"/>
  <c r="M116" i="10"/>
  <c r="L116" i="10"/>
  <c r="K116" i="10"/>
  <c r="J116" i="10"/>
  <c r="I116" i="10"/>
  <c r="H116" i="10"/>
  <c r="G116" i="10"/>
  <c r="F116" i="10"/>
  <c r="E116" i="10"/>
  <c r="D116" i="10"/>
  <c r="C116" i="10"/>
  <c r="B116" i="10"/>
  <c r="A116" i="10"/>
  <c r="AT115" i="10"/>
  <c r="AS115" i="10"/>
  <c r="AR115" i="10"/>
  <c r="AQ115" i="10"/>
  <c r="AP115" i="10"/>
  <c r="V115" i="10"/>
  <c r="U115" i="10"/>
  <c r="T115" i="10"/>
  <c r="S115" i="10"/>
  <c r="R115" i="10"/>
  <c r="Q115" i="10"/>
  <c r="P115" i="10"/>
  <c r="O115" i="10"/>
  <c r="N115" i="10"/>
  <c r="M115" i="10"/>
  <c r="L115" i="10"/>
  <c r="K115" i="10"/>
  <c r="J115" i="10"/>
  <c r="I115" i="10"/>
  <c r="H115" i="10"/>
  <c r="G115" i="10"/>
  <c r="F115" i="10"/>
  <c r="E115" i="10"/>
  <c r="D115" i="10"/>
  <c r="C115" i="10"/>
  <c r="B115" i="10"/>
  <c r="A115" i="10"/>
  <c r="AT114" i="10"/>
  <c r="AS114" i="10"/>
  <c r="AR114" i="10"/>
  <c r="AQ114" i="10"/>
  <c r="AP114" i="10"/>
  <c r="V114" i="10"/>
  <c r="U114" i="10"/>
  <c r="T114" i="10"/>
  <c r="S114" i="10"/>
  <c r="R114" i="10"/>
  <c r="Q114" i="10"/>
  <c r="P114" i="10"/>
  <c r="O114" i="10"/>
  <c r="N114" i="10"/>
  <c r="M114" i="10"/>
  <c r="L114" i="10"/>
  <c r="K114" i="10"/>
  <c r="J114" i="10"/>
  <c r="I114" i="10"/>
  <c r="H114" i="10"/>
  <c r="G114" i="10"/>
  <c r="F114" i="10"/>
  <c r="E114" i="10"/>
  <c r="D114" i="10"/>
  <c r="C114" i="10"/>
  <c r="B114" i="10"/>
  <c r="A114" i="10"/>
  <c r="AT113" i="10"/>
  <c r="AS113" i="10"/>
  <c r="AR113" i="10"/>
  <c r="AQ113" i="10"/>
  <c r="AP113" i="10"/>
  <c r="V113" i="10"/>
  <c r="U113" i="10"/>
  <c r="T113" i="10"/>
  <c r="S113" i="10"/>
  <c r="R113" i="10"/>
  <c r="Q113" i="10"/>
  <c r="P113" i="10"/>
  <c r="O113" i="10"/>
  <c r="N113" i="10"/>
  <c r="M113" i="10"/>
  <c r="L113" i="10"/>
  <c r="K113" i="10"/>
  <c r="J113" i="10"/>
  <c r="I113" i="10"/>
  <c r="H113" i="10"/>
  <c r="G113" i="10"/>
  <c r="F113" i="10"/>
  <c r="E113" i="10"/>
  <c r="D113" i="10"/>
  <c r="C113" i="10"/>
  <c r="B113" i="10"/>
  <c r="A113" i="10"/>
  <c r="AT112" i="10"/>
  <c r="AS112" i="10"/>
  <c r="AR112" i="10"/>
  <c r="AQ112" i="10"/>
  <c r="AP112" i="10"/>
  <c r="V112" i="10"/>
  <c r="U112" i="10"/>
  <c r="T112" i="10"/>
  <c r="S112" i="10"/>
  <c r="R112" i="10"/>
  <c r="Q112" i="10"/>
  <c r="P112" i="10"/>
  <c r="O112" i="10"/>
  <c r="N112" i="10"/>
  <c r="M112" i="10"/>
  <c r="L112" i="10"/>
  <c r="K112" i="10"/>
  <c r="J112" i="10"/>
  <c r="I112" i="10"/>
  <c r="H112" i="10"/>
  <c r="G112" i="10"/>
  <c r="F112" i="10"/>
  <c r="E112" i="10"/>
  <c r="D112" i="10"/>
  <c r="C112" i="10"/>
  <c r="B112" i="10"/>
  <c r="A112" i="10"/>
  <c r="AT111" i="10"/>
  <c r="AS111" i="10"/>
  <c r="AR111" i="10"/>
  <c r="AQ111" i="10"/>
  <c r="AP111" i="10"/>
  <c r="V111" i="10"/>
  <c r="U111" i="10"/>
  <c r="T111" i="10"/>
  <c r="S111" i="10"/>
  <c r="R111" i="10"/>
  <c r="Q111" i="10"/>
  <c r="P111" i="10"/>
  <c r="O111" i="10"/>
  <c r="N111" i="10"/>
  <c r="M111" i="10"/>
  <c r="L111" i="10"/>
  <c r="K111" i="10"/>
  <c r="J111" i="10"/>
  <c r="I111" i="10"/>
  <c r="H111" i="10"/>
  <c r="G111" i="10"/>
  <c r="F111" i="10"/>
  <c r="E111" i="10"/>
  <c r="D111" i="10"/>
  <c r="C111" i="10"/>
  <c r="B111" i="10"/>
  <c r="A111" i="10"/>
  <c r="AT110" i="10"/>
  <c r="AS110" i="10"/>
  <c r="AR110" i="10"/>
  <c r="AQ110" i="10"/>
  <c r="AP110" i="10"/>
  <c r="V110" i="10"/>
  <c r="U110" i="10"/>
  <c r="T110" i="10"/>
  <c r="S110" i="10"/>
  <c r="R110" i="10"/>
  <c r="Q110" i="10"/>
  <c r="P110" i="10"/>
  <c r="O110" i="10"/>
  <c r="N110" i="10"/>
  <c r="M110" i="10"/>
  <c r="L110" i="10"/>
  <c r="K110" i="10"/>
  <c r="J110" i="10"/>
  <c r="I110" i="10"/>
  <c r="H110" i="10"/>
  <c r="G110" i="10"/>
  <c r="F110" i="10"/>
  <c r="E110" i="10"/>
  <c r="D110" i="10"/>
  <c r="C110" i="10"/>
  <c r="B110" i="10"/>
  <c r="A110" i="10"/>
  <c r="AT109" i="10"/>
  <c r="AS109" i="10"/>
  <c r="AR109" i="10"/>
  <c r="AQ109" i="10"/>
  <c r="AP109" i="10"/>
  <c r="V109" i="10"/>
  <c r="U109" i="10"/>
  <c r="T109" i="10"/>
  <c r="S109" i="10"/>
  <c r="R109" i="10"/>
  <c r="Q109" i="10"/>
  <c r="P109" i="10"/>
  <c r="O109" i="10"/>
  <c r="N109" i="10"/>
  <c r="M109" i="10"/>
  <c r="L109" i="10"/>
  <c r="K109" i="10"/>
  <c r="J109" i="10"/>
  <c r="I109" i="10"/>
  <c r="H109" i="10"/>
  <c r="G109" i="10"/>
  <c r="F109" i="10"/>
  <c r="E109" i="10"/>
  <c r="D109" i="10"/>
  <c r="C109" i="10"/>
  <c r="B109" i="10"/>
  <c r="A109" i="10"/>
  <c r="AT108" i="10"/>
  <c r="AS108" i="10"/>
  <c r="AR108" i="10"/>
  <c r="AQ108" i="10"/>
  <c r="AP108" i="10"/>
  <c r="V108" i="10"/>
  <c r="U108" i="10"/>
  <c r="T108" i="10"/>
  <c r="S108" i="10"/>
  <c r="R108" i="10"/>
  <c r="Q108" i="10"/>
  <c r="P108" i="10"/>
  <c r="O108" i="10"/>
  <c r="N108" i="10"/>
  <c r="M108" i="10"/>
  <c r="L108" i="10"/>
  <c r="K108" i="10"/>
  <c r="J108" i="10"/>
  <c r="I108" i="10"/>
  <c r="H108" i="10"/>
  <c r="G108" i="10"/>
  <c r="F108" i="10"/>
  <c r="E108" i="10"/>
  <c r="D108" i="10"/>
  <c r="C108" i="10"/>
  <c r="B108" i="10"/>
  <c r="A108" i="10"/>
  <c r="AT107" i="10"/>
  <c r="AS107" i="10"/>
  <c r="AR107" i="10"/>
  <c r="AQ107" i="10"/>
  <c r="AP107" i="10"/>
  <c r="V107" i="10"/>
  <c r="U107" i="10"/>
  <c r="T107" i="10"/>
  <c r="S107" i="10"/>
  <c r="R107" i="10"/>
  <c r="Q107" i="10"/>
  <c r="P107" i="10"/>
  <c r="O107" i="10"/>
  <c r="N107" i="10"/>
  <c r="M107" i="10"/>
  <c r="L107" i="10"/>
  <c r="K107" i="10"/>
  <c r="J107" i="10"/>
  <c r="I107" i="10"/>
  <c r="H107" i="10"/>
  <c r="G107" i="10"/>
  <c r="F107" i="10"/>
  <c r="E107" i="10"/>
  <c r="D107" i="10"/>
  <c r="C107" i="10"/>
  <c r="B107" i="10"/>
  <c r="A107" i="10"/>
  <c r="AT106" i="10"/>
  <c r="AS106" i="10"/>
  <c r="AR106" i="10"/>
  <c r="AQ106" i="10"/>
  <c r="AP106" i="10"/>
  <c r="V106" i="10"/>
  <c r="U106" i="10"/>
  <c r="T106" i="10"/>
  <c r="S106" i="10"/>
  <c r="R106" i="10"/>
  <c r="Q106" i="10"/>
  <c r="P106" i="10"/>
  <c r="O106" i="10"/>
  <c r="N106" i="10"/>
  <c r="M106" i="10"/>
  <c r="L106" i="10"/>
  <c r="K106" i="10"/>
  <c r="J106" i="10"/>
  <c r="I106" i="10"/>
  <c r="H106" i="10"/>
  <c r="G106" i="10"/>
  <c r="F106" i="10"/>
  <c r="E106" i="10"/>
  <c r="D106" i="10"/>
  <c r="C106" i="10"/>
  <c r="B106" i="10"/>
  <c r="A106" i="10"/>
  <c r="AT105" i="10"/>
  <c r="AS105" i="10"/>
  <c r="AR105" i="10"/>
  <c r="AQ105" i="10"/>
  <c r="AP105" i="10"/>
  <c r="V105" i="10"/>
  <c r="U105" i="10"/>
  <c r="T105" i="10"/>
  <c r="S105" i="10"/>
  <c r="R105" i="10"/>
  <c r="Q105" i="10"/>
  <c r="P105" i="10"/>
  <c r="O105" i="10"/>
  <c r="N105" i="10"/>
  <c r="M105" i="10"/>
  <c r="L105" i="10"/>
  <c r="K105" i="10"/>
  <c r="J105" i="10"/>
  <c r="I105" i="10"/>
  <c r="H105" i="10"/>
  <c r="G105" i="10"/>
  <c r="F105" i="10"/>
  <c r="E105" i="10"/>
  <c r="D105" i="10"/>
  <c r="C105" i="10"/>
  <c r="B105" i="10"/>
  <c r="A105" i="10"/>
  <c r="AT104" i="10"/>
  <c r="AS104" i="10"/>
  <c r="AR104" i="10"/>
  <c r="AQ104" i="10"/>
  <c r="AP104" i="10"/>
  <c r="V104" i="10"/>
  <c r="U104" i="10"/>
  <c r="T104" i="10"/>
  <c r="S104" i="10"/>
  <c r="R104" i="10"/>
  <c r="Q104" i="10"/>
  <c r="P104" i="10"/>
  <c r="O104" i="10"/>
  <c r="N104" i="10"/>
  <c r="M104" i="10"/>
  <c r="L104" i="10"/>
  <c r="K104" i="10"/>
  <c r="J104" i="10"/>
  <c r="I104" i="10"/>
  <c r="H104" i="10"/>
  <c r="G104" i="10"/>
  <c r="F104" i="10"/>
  <c r="E104" i="10"/>
  <c r="D104" i="10"/>
  <c r="C104" i="10"/>
  <c r="B104" i="10"/>
  <c r="A104" i="10"/>
  <c r="AT103" i="10"/>
  <c r="AS103" i="10"/>
  <c r="AR103" i="10"/>
  <c r="AQ103" i="10"/>
  <c r="AP103" i="10"/>
  <c r="V103" i="10"/>
  <c r="U103" i="10"/>
  <c r="T103" i="10"/>
  <c r="S103" i="10"/>
  <c r="R103" i="10"/>
  <c r="Q103" i="10"/>
  <c r="P103" i="10"/>
  <c r="O103" i="10"/>
  <c r="N103" i="10"/>
  <c r="M103" i="10"/>
  <c r="L103" i="10"/>
  <c r="K103" i="10"/>
  <c r="J103" i="10"/>
  <c r="I103" i="10"/>
  <c r="H103" i="10"/>
  <c r="G103" i="10"/>
  <c r="F103" i="10"/>
  <c r="E103" i="10"/>
  <c r="D103" i="10"/>
  <c r="C103" i="10"/>
  <c r="B103" i="10"/>
  <c r="A103" i="10"/>
  <c r="AT102" i="10"/>
  <c r="AS102" i="10"/>
  <c r="AR102" i="10"/>
  <c r="AQ102" i="10"/>
  <c r="AP102" i="10"/>
  <c r="V102" i="10"/>
  <c r="U102" i="10"/>
  <c r="T102" i="10"/>
  <c r="S102" i="10"/>
  <c r="R102" i="10"/>
  <c r="Q102" i="10"/>
  <c r="P102" i="10"/>
  <c r="O102" i="10"/>
  <c r="N102" i="10"/>
  <c r="M102" i="10"/>
  <c r="L102" i="10"/>
  <c r="K102" i="10"/>
  <c r="J102" i="10"/>
  <c r="I102" i="10"/>
  <c r="H102" i="10"/>
  <c r="G102" i="10"/>
  <c r="F102" i="10"/>
  <c r="E102" i="10"/>
  <c r="D102" i="10"/>
  <c r="C102" i="10"/>
  <c r="B102" i="10"/>
  <c r="A102" i="10"/>
  <c r="AT101" i="10"/>
  <c r="AS101" i="10"/>
  <c r="AR101" i="10"/>
  <c r="AQ101" i="10"/>
  <c r="AP101" i="10"/>
  <c r="V101" i="10"/>
  <c r="U101" i="10"/>
  <c r="T101" i="10"/>
  <c r="S101" i="10"/>
  <c r="R101" i="10"/>
  <c r="Q101" i="10"/>
  <c r="P101" i="10"/>
  <c r="O101" i="10"/>
  <c r="N101" i="10"/>
  <c r="M101" i="10"/>
  <c r="L101" i="10"/>
  <c r="K101" i="10"/>
  <c r="J101" i="10"/>
  <c r="I101" i="10"/>
  <c r="H101" i="10"/>
  <c r="G101" i="10"/>
  <c r="F101" i="10"/>
  <c r="E101" i="10"/>
  <c r="D101" i="10"/>
  <c r="C101" i="10"/>
  <c r="B101" i="10"/>
  <c r="A101" i="10"/>
  <c r="AT100" i="10"/>
  <c r="AS100" i="10"/>
  <c r="AR100" i="10"/>
  <c r="AQ100" i="10"/>
  <c r="AP100" i="10"/>
  <c r="V100" i="10"/>
  <c r="U100" i="10"/>
  <c r="T100" i="10"/>
  <c r="S100" i="10"/>
  <c r="R100" i="10"/>
  <c r="Q100" i="10"/>
  <c r="P100" i="10"/>
  <c r="O100" i="10"/>
  <c r="N100" i="10"/>
  <c r="M100" i="10"/>
  <c r="L100" i="10"/>
  <c r="K100" i="10"/>
  <c r="J100" i="10"/>
  <c r="I100" i="10"/>
  <c r="H100" i="10"/>
  <c r="G100" i="10"/>
  <c r="F100" i="10"/>
  <c r="E100" i="10"/>
  <c r="D100" i="10"/>
  <c r="C100" i="10"/>
  <c r="B100" i="10"/>
  <c r="A100" i="10"/>
  <c r="AT99" i="10"/>
  <c r="AS99" i="10"/>
  <c r="AR99" i="10"/>
  <c r="AQ99" i="10"/>
  <c r="AP99" i="10"/>
  <c r="V99" i="10"/>
  <c r="U99" i="10"/>
  <c r="T99" i="10"/>
  <c r="S99" i="10"/>
  <c r="R99" i="10"/>
  <c r="Q99" i="10"/>
  <c r="P99" i="10"/>
  <c r="O99" i="10"/>
  <c r="N99" i="10"/>
  <c r="M99" i="10"/>
  <c r="L99" i="10"/>
  <c r="K99" i="10"/>
  <c r="J99" i="10"/>
  <c r="I99" i="10"/>
  <c r="H99" i="10"/>
  <c r="G99" i="10"/>
  <c r="F99" i="10"/>
  <c r="E99" i="10"/>
  <c r="D99" i="10"/>
  <c r="C99" i="10"/>
  <c r="B99" i="10"/>
  <c r="A99" i="10"/>
  <c r="AT98" i="10"/>
  <c r="AS98" i="10"/>
  <c r="AR98" i="10"/>
  <c r="AQ98" i="10"/>
  <c r="AP98" i="10"/>
  <c r="V98" i="10"/>
  <c r="U98" i="10"/>
  <c r="T98" i="10"/>
  <c r="S98" i="10"/>
  <c r="R98" i="10"/>
  <c r="Q98" i="10"/>
  <c r="P98" i="10"/>
  <c r="O98" i="10"/>
  <c r="N98" i="10"/>
  <c r="M98" i="10"/>
  <c r="L98" i="10"/>
  <c r="K98" i="10"/>
  <c r="J98" i="10"/>
  <c r="I98" i="10"/>
  <c r="H98" i="10"/>
  <c r="G98" i="10"/>
  <c r="F98" i="10"/>
  <c r="E98" i="10"/>
  <c r="D98" i="10"/>
  <c r="C98" i="10"/>
  <c r="B98" i="10"/>
  <c r="A98" i="10"/>
  <c r="AT97" i="10"/>
  <c r="AS97" i="10"/>
  <c r="AR97" i="10"/>
  <c r="AQ97" i="10"/>
  <c r="AP97" i="10"/>
  <c r="V97" i="10"/>
  <c r="U97" i="10"/>
  <c r="T97" i="10"/>
  <c r="S97" i="10"/>
  <c r="R97" i="10"/>
  <c r="Q97" i="10"/>
  <c r="P97" i="10"/>
  <c r="O97" i="10"/>
  <c r="N97" i="10"/>
  <c r="M97" i="10"/>
  <c r="L97" i="10"/>
  <c r="K97" i="10"/>
  <c r="J97" i="10"/>
  <c r="I97" i="10"/>
  <c r="H97" i="10"/>
  <c r="G97" i="10"/>
  <c r="F97" i="10"/>
  <c r="E97" i="10"/>
  <c r="D97" i="10"/>
  <c r="C97" i="10"/>
  <c r="B97" i="10"/>
  <c r="A97" i="10"/>
  <c r="AT96" i="10"/>
  <c r="AS96" i="10"/>
  <c r="AR96" i="10"/>
  <c r="AQ96" i="10"/>
  <c r="AP96" i="10"/>
  <c r="V96" i="10"/>
  <c r="U96" i="10"/>
  <c r="T96" i="10"/>
  <c r="S96" i="10"/>
  <c r="R96" i="10"/>
  <c r="Q96" i="10"/>
  <c r="P96" i="10"/>
  <c r="O96" i="10"/>
  <c r="N96" i="10"/>
  <c r="M96" i="10"/>
  <c r="L96" i="10"/>
  <c r="K96" i="10"/>
  <c r="J96" i="10"/>
  <c r="I96" i="10"/>
  <c r="H96" i="10"/>
  <c r="G96" i="10"/>
  <c r="F96" i="10"/>
  <c r="E96" i="10"/>
  <c r="D96" i="10"/>
  <c r="C96" i="10"/>
  <c r="B96" i="10"/>
  <c r="A96" i="10"/>
  <c r="AT95" i="10"/>
  <c r="AS95" i="10"/>
  <c r="AR95" i="10"/>
  <c r="AQ95" i="10"/>
  <c r="AP95" i="10"/>
  <c r="V95" i="10"/>
  <c r="U95" i="10"/>
  <c r="T95" i="10"/>
  <c r="S95" i="10"/>
  <c r="R95" i="10"/>
  <c r="Q95" i="10"/>
  <c r="P95" i="10"/>
  <c r="O95" i="10"/>
  <c r="N95" i="10"/>
  <c r="M95" i="10"/>
  <c r="L95" i="10"/>
  <c r="K95" i="10"/>
  <c r="J95" i="10"/>
  <c r="I95" i="10"/>
  <c r="H95" i="10"/>
  <c r="G95" i="10"/>
  <c r="F95" i="10"/>
  <c r="E95" i="10"/>
  <c r="D95" i="10"/>
  <c r="C95" i="10"/>
  <c r="B95" i="10"/>
  <c r="A95" i="10"/>
  <c r="AT94" i="10"/>
  <c r="AS94" i="10"/>
  <c r="AR94" i="10"/>
  <c r="AQ94" i="10"/>
  <c r="AP94" i="10"/>
  <c r="V94" i="10"/>
  <c r="U94" i="10"/>
  <c r="T94" i="10"/>
  <c r="S94" i="10"/>
  <c r="R94" i="10"/>
  <c r="Q94" i="10"/>
  <c r="P94" i="10"/>
  <c r="O94" i="10"/>
  <c r="N94" i="10"/>
  <c r="M94" i="10"/>
  <c r="L94" i="10"/>
  <c r="K94" i="10"/>
  <c r="J94" i="10"/>
  <c r="I94" i="10"/>
  <c r="H94" i="10"/>
  <c r="G94" i="10"/>
  <c r="F94" i="10"/>
  <c r="E94" i="10"/>
  <c r="D94" i="10"/>
  <c r="C94" i="10"/>
  <c r="B94" i="10"/>
  <c r="A94" i="10"/>
  <c r="AT93" i="10"/>
  <c r="AS93" i="10"/>
  <c r="AR93" i="10"/>
  <c r="AQ93" i="10"/>
  <c r="AP93" i="10"/>
  <c r="V93" i="10"/>
  <c r="U93" i="10"/>
  <c r="T93" i="10"/>
  <c r="S93" i="10"/>
  <c r="R93" i="10"/>
  <c r="Q93" i="10"/>
  <c r="P93" i="10"/>
  <c r="O93" i="10"/>
  <c r="N93" i="10"/>
  <c r="M93" i="10"/>
  <c r="L93" i="10"/>
  <c r="K93" i="10"/>
  <c r="J93" i="10"/>
  <c r="I93" i="10"/>
  <c r="H93" i="10"/>
  <c r="G93" i="10"/>
  <c r="F93" i="10"/>
  <c r="E93" i="10"/>
  <c r="D93" i="10"/>
  <c r="C93" i="10"/>
  <c r="B93" i="10"/>
  <c r="A93" i="10"/>
  <c r="AT92" i="10"/>
  <c r="AS92" i="10"/>
  <c r="AR92" i="10"/>
  <c r="AQ92" i="10"/>
  <c r="AP92" i="10"/>
  <c r="V92" i="10"/>
  <c r="U92" i="10"/>
  <c r="T92" i="10"/>
  <c r="S92" i="10"/>
  <c r="R92" i="10"/>
  <c r="Q92" i="10"/>
  <c r="P92" i="10"/>
  <c r="O92" i="10"/>
  <c r="N92" i="10"/>
  <c r="M92" i="10"/>
  <c r="L92" i="10"/>
  <c r="K92" i="10"/>
  <c r="J92" i="10"/>
  <c r="I92" i="10"/>
  <c r="H92" i="10"/>
  <c r="G92" i="10"/>
  <c r="F92" i="10"/>
  <c r="E92" i="10"/>
  <c r="D92" i="10"/>
  <c r="C92" i="10"/>
  <c r="B92" i="10"/>
  <c r="A92" i="10"/>
  <c r="AT91" i="10"/>
  <c r="AS91" i="10"/>
  <c r="AR91" i="10"/>
  <c r="AQ91" i="10"/>
  <c r="AP91" i="10"/>
  <c r="V91" i="10"/>
  <c r="U91" i="10"/>
  <c r="T91" i="10"/>
  <c r="S91" i="10"/>
  <c r="R91" i="10"/>
  <c r="Q91" i="10"/>
  <c r="P91" i="10"/>
  <c r="O91" i="10"/>
  <c r="N91" i="10"/>
  <c r="M91" i="10"/>
  <c r="L91" i="10"/>
  <c r="K91" i="10"/>
  <c r="J91" i="10"/>
  <c r="I91" i="10"/>
  <c r="H91" i="10"/>
  <c r="G91" i="10"/>
  <c r="F91" i="10"/>
  <c r="E91" i="10"/>
  <c r="D91" i="10"/>
  <c r="C91" i="10"/>
  <c r="B91" i="10"/>
  <c r="A91" i="10"/>
  <c r="AT90" i="10"/>
  <c r="AS90" i="10"/>
  <c r="AR90" i="10"/>
  <c r="AQ90" i="10"/>
  <c r="AP90" i="10"/>
  <c r="V90" i="10"/>
  <c r="U90" i="10"/>
  <c r="T90" i="10"/>
  <c r="S90" i="10"/>
  <c r="R90" i="10"/>
  <c r="Q90" i="10"/>
  <c r="P90" i="10"/>
  <c r="O90" i="10"/>
  <c r="N90" i="10"/>
  <c r="M90" i="10"/>
  <c r="L90" i="10"/>
  <c r="K90" i="10"/>
  <c r="J90" i="10"/>
  <c r="I90" i="10"/>
  <c r="H90" i="10"/>
  <c r="G90" i="10"/>
  <c r="F90" i="10"/>
  <c r="E90" i="10"/>
  <c r="D90" i="10"/>
  <c r="C90" i="10"/>
  <c r="B90" i="10"/>
  <c r="A90" i="10"/>
  <c r="AT89" i="10"/>
  <c r="AS89" i="10"/>
  <c r="AR89" i="10"/>
  <c r="AQ89" i="10"/>
  <c r="AP89" i="10"/>
  <c r="V89" i="10"/>
  <c r="U89" i="10"/>
  <c r="T89" i="10"/>
  <c r="S89" i="10"/>
  <c r="R89" i="10"/>
  <c r="Q89" i="10"/>
  <c r="P89" i="10"/>
  <c r="O89" i="10"/>
  <c r="N89" i="10"/>
  <c r="M89" i="10"/>
  <c r="L89" i="10"/>
  <c r="K89" i="10"/>
  <c r="J89" i="10"/>
  <c r="I89" i="10"/>
  <c r="H89" i="10"/>
  <c r="G89" i="10"/>
  <c r="F89" i="10"/>
  <c r="E89" i="10"/>
  <c r="D89" i="10"/>
  <c r="C89" i="10"/>
  <c r="B89" i="10"/>
  <c r="A89" i="10"/>
  <c r="AT88" i="10"/>
  <c r="AS88" i="10"/>
  <c r="AR88" i="10"/>
  <c r="AQ88" i="10"/>
  <c r="AP88" i="10"/>
  <c r="V88" i="10"/>
  <c r="U88" i="10"/>
  <c r="T88" i="10"/>
  <c r="S88" i="10"/>
  <c r="R88" i="10"/>
  <c r="Q88" i="10"/>
  <c r="P88" i="10"/>
  <c r="O88" i="10"/>
  <c r="N88" i="10"/>
  <c r="M88" i="10"/>
  <c r="L88" i="10"/>
  <c r="K88" i="10"/>
  <c r="J88" i="10"/>
  <c r="I88" i="10"/>
  <c r="H88" i="10"/>
  <c r="G88" i="10"/>
  <c r="F88" i="10"/>
  <c r="E88" i="10"/>
  <c r="D88" i="10"/>
  <c r="C88" i="10"/>
  <c r="B88" i="10"/>
  <c r="A88" i="10"/>
  <c r="AT87" i="10"/>
  <c r="AS87" i="10"/>
  <c r="AR87" i="10"/>
  <c r="AQ87" i="10"/>
  <c r="AP87" i="10"/>
  <c r="V87" i="10"/>
  <c r="U87" i="10"/>
  <c r="T87" i="10"/>
  <c r="S87" i="10"/>
  <c r="R87" i="10"/>
  <c r="Q87" i="10"/>
  <c r="P87" i="10"/>
  <c r="O87" i="10"/>
  <c r="N87" i="10"/>
  <c r="M87" i="10"/>
  <c r="L87" i="10"/>
  <c r="K87" i="10"/>
  <c r="J87" i="10"/>
  <c r="I87" i="10"/>
  <c r="H87" i="10"/>
  <c r="G87" i="10"/>
  <c r="F87" i="10"/>
  <c r="E87" i="10"/>
  <c r="D87" i="10"/>
  <c r="C87" i="10"/>
  <c r="B87" i="10"/>
  <c r="A87" i="10"/>
  <c r="AT86" i="10"/>
  <c r="AS86" i="10"/>
  <c r="AR86" i="10"/>
  <c r="AQ86" i="10"/>
  <c r="AP86" i="10"/>
  <c r="V86" i="10"/>
  <c r="U86" i="10"/>
  <c r="T86" i="10"/>
  <c r="S86" i="10"/>
  <c r="R86" i="10"/>
  <c r="Q86" i="10"/>
  <c r="P86" i="10"/>
  <c r="O86" i="10"/>
  <c r="N86" i="10"/>
  <c r="M86" i="10"/>
  <c r="L86" i="10"/>
  <c r="K86" i="10"/>
  <c r="J86" i="10"/>
  <c r="I86" i="10"/>
  <c r="H86" i="10"/>
  <c r="G86" i="10"/>
  <c r="F86" i="10"/>
  <c r="E86" i="10"/>
  <c r="D86" i="10"/>
  <c r="C86" i="10"/>
  <c r="B86" i="10"/>
  <c r="A86" i="10"/>
  <c r="AT85" i="10"/>
  <c r="AS85" i="10"/>
  <c r="AR85" i="10"/>
  <c r="AQ85" i="10"/>
  <c r="AP85" i="10"/>
  <c r="V85" i="10"/>
  <c r="U85" i="10"/>
  <c r="T85" i="10"/>
  <c r="S85" i="10"/>
  <c r="R85" i="10"/>
  <c r="Q85" i="10"/>
  <c r="P85" i="10"/>
  <c r="O85" i="10"/>
  <c r="N85" i="10"/>
  <c r="M85" i="10"/>
  <c r="L85" i="10"/>
  <c r="K85" i="10"/>
  <c r="J85" i="10"/>
  <c r="I85" i="10"/>
  <c r="H85" i="10"/>
  <c r="G85" i="10"/>
  <c r="F85" i="10"/>
  <c r="E85" i="10"/>
  <c r="D85" i="10"/>
  <c r="C85" i="10"/>
  <c r="B85" i="10"/>
  <c r="A85" i="10"/>
  <c r="AT84" i="10"/>
  <c r="AS84" i="10"/>
  <c r="AR84" i="10"/>
  <c r="AQ84" i="10"/>
  <c r="AP84" i="10"/>
  <c r="V84" i="10"/>
  <c r="U84" i="10"/>
  <c r="T84" i="10"/>
  <c r="S84" i="10"/>
  <c r="R84" i="10"/>
  <c r="Q84" i="10"/>
  <c r="P84" i="10"/>
  <c r="O84" i="10"/>
  <c r="N84" i="10"/>
  <c r="M84" i="10"/>
  <c r="L84" i="10"/>
  <c r="K84" i="10"/>
  <c r="J84" i="10"/>
  <c r="I84" i="10"/>
  <c r="H84" i="10"/>
  <c r="G84" i="10"/>
  <c r="F84" i="10"/>
  <c r="E84" i="10"/>
  <c r="D84" i="10"/>
  <c r="C84" i="10"/>
  <c r="B84" i="10"/>
  <c r="A84" i="10"/>
  <c r="AT83" i="10"/>
  <c r="AS83" i="10"/>
  <c r="AR83" i="10"/>
  <c r="AQ83" i="10"/>
  <c r="AP83" i="10"/>
  <c r="V83" i="10"/>
  <c r="U83" i="10"/>
  <c r="T83" i="10"/>
  <c r="S83" i="10"/>
  <c r="R83" i="10"/>
  <c r="Q83" i="10"/>
  <c r="P83" i="10"/>
  <c r="O83" i="10"/>
  <c r="N83" i="10"/>
  <c r="M83" i="10"/>
  <c r="L83" i="10"/>
  <c r="K83" i="10"/>
  <c r="J83" i="10"/>
  <c r="I83" i="10"/>
  <c r="H83" i="10"/>
  <c r="G83" i="10"/>
  <c r="F83" i="10"/>
  <c r="E83" i="10"/>
  <c r="D83" i="10"/>
  <c r="C83" i="10"/>
  <c r="B83" i="10"/>
  <c r="A83" i="10"/>
  <c r="AT82" i="10"/>
  <c r="AS82" i="10"/>
  <c r="AR82" i="10"/>
  <c r="AQ82" i="10"/>
  <c r="AP82" i="10"/>
  <c r="V82" i="10"/>
  <c r="U82" i="10"/>
  <c r="T82" i="10"/>
  <c r="S82" i="10"/>
  <c r="R82" i="10"/>
  <c r="Q82" i="10"/>
  <c r="P82" i="10"/>
  <c r="O82" i="10"/>
  <c r="N82" i="10"/>
  <c r="M82" i="10"/>
  <c r="L82" i="10"/>
  <c r="K82" i="10"/>
  <c r="J82" i="10"/>
  <c r="I82" i="10"/>
  <c r="H82" i="10"/>
  <c r="G82" i="10"/>
  <c r="F82" i="10"/>
  <c r="E82" i="10"/>
  <c r="D82" i="10"/>
  <c r="C82" i="10"/>
  <c r="B82" i="10"/>
  <c r="A82" i="10"/>
  <c r="AT81" i="10"/>
  <c r="AS81" i="10"/>
  <c r="AR81" i="10"/>
  <c r="AQ81" i="10"/>
  <c r="AP81" i="10"/>
  <c r="V81" i="10"/>
  <c r="U81" i="10"/>
  <c r="T81" i="10"/>
  <c r="S81" i="10"/>
  <c r="R81" i="10"/>
  <c r="Q81" i="10"/>
  <c r="P81" i="10"/>
  <c r="O81" i="10"/>
  <c r="N81" i="10"/>
  <c r="M81" i="10"/>
  <c r="L81" i="10"/>
  <c r="K81" i="10"/>
  <c r="J81" i="10"/>
  <c r="I81" i="10"/>
  <c r="H81" i="10"/>
  <c r="G81" i="10"/>
  <c r="F81" i="10"/>
  <c r="E81" i="10"/>
  <c r="D81" i="10"/>
  <c r="C81" i="10"/>
  <c r="B81" i="10"/>
  <c r="A81" i="10"/>
  <c r="AT80" i="10"/>
  <c r="AS80" i="10"/>
  <c r="AR80" i="10"/>
  <c r="AQ80" i="10"/>
  <c r="AP80" i="10"/>
  <c r="V80" i="10"/>
  <c r="U80" i="10"/>
  <c r="T80" i="10"/>
  <c r="S80" i="10"/>
  <c r="R80" i="10"/>
  <c r="Q80" i="10"/>
  <c r="P80" i="10"/>
  <c r="O80" i="10"/>
  <c r="N80" i="10"/>
  <c r="M80" i="10"/>
  <c r="L80" i="10"/>
  <c r="K80" i="10"/>
  <c r="J80" i="10"/>
  <c r="I80" i="10"/>
  <c r="H80" i="10"/>
  <c r="G80" i="10"/>
  <c r="F80" i="10"/>
  <c r="E80" i="10"/>
  <c r="D80" i="10"/>
  <c r="C80" i="10"/>
  <c r="B80" i="10"/>
  <c r="A80" i="10"/>
  <c r="AT79" i="10"/>
  <c r="AS79" i="10"/>
  <c r="AR79" i="10"/>
  <c r="AQ79" i="10"/>
  <c r="AP79" i="10"/>
  <c r="V79" i="10"/>
  <c r="U79" i="10"/>
  <c r="T79" i="10"/>
  <c r="S79" i="10"/>
  <c r="R79" i="10"/>
  <c r="Q79" i="10"/>
  <c r="P79" i="10"/>
  <c r="O79" i="10"/>
  <c r="N79" i="10"/>
  <c r="M79" i="10"/>
  <c r="L79" i="10"/>
  <c r="K79" i="10"/>
  <c r="J79" i="10"/>
  <c r="I79" i="10"/>
  <c r="H79" i="10"/>
  <c r="G79" i="10"/>
  <c r="F79" i="10"/>
  <c r="E79" i="10"/>
  <c r="D79" i="10"/>
  <c r="C79" i="10"/>
  <c r="B79" i="10"/>
  <c r="A79" i="10"/>
  <c r="AT78" i="10"/>
  <c r="AS78" i="10"/>
  <c r="AR78" i="10"/>
  <c r="AQ78" i="10"/>
  <c r="AP78" i="10"/>
  <c r="V78" i="10"/>
  <c r="U78" i="10"/>
  <c r="T78" i="10"/>
  <c r="S78" i="10"/>
  <c r="R78" i="10"/>
  <c r="Q78" i="10"/>
  <c r="P78" i="10"/>
  <c r="O78" i="10"/>
  <c r="N78" i="10"/>
  <c r="M78" i="10"/>
  <c r="L78" i="10"/>
  <c r="K78" i="10"/>
  <c r="J78" i="10"/>
  <c r="I78" i="10"/>
  <c r="H78" i="10"/>
  <c r="G78" i="10"/>
  <c r="F78" i="10"/>
  <c r="E78" i="10"/>
  <c r="D78" i="10"/>
  <c r="C78" i="10"/>
  <c r="B78" i="10"/>
  <c r="A78" i="10"/>
  <c r="AT77" i="10"/>
  <c r="AS77" i="10"/>
  <c r="AR77" i="10"/>
  <c r="AQ77" i="10"/>
  <c r="AP77" i="10"/>
  <c r="V77" i="10"/>
  <c r="U77" i="10"/>
  <c r="T77" i="10"/>
  <c r="S77" i="10"/>
  <c r="R77" i="10"/>
  <c r="Q77" i="10"/>
  <c r="P77" i="10"/>
  <c r="O77" i="10"/>
  <c r="N77" i="10"/>
  <c r="M77" i="10"/>
  <c r="L77" i="10"/>
  <c r="K77" i="10"/>
  <c r="J77" i="10"/>
  <c r="I77" i="10"/>
  <c r="H77" i="10"/>
  <c r="G77" i="10"/>
  <c r="F77" i="10"/>
  <c r="E77" i="10"/>
  <c r="D77" i="10"/>
  <c r="C77" i="10"/>
  <c r="B77" i="10"/>
  <c r="A77" i="10"/>
  <c r="AT76" i="10"/>
  <c r="AS76" i="10"/>
  <c r="AR76" i="10"/>
  <c r="AQ76" i="10"/>
  <c r="AP76" i="10"/>
  <c r="V76" i="10"/>
  <c r="U76" i="10"/>
  <c r="T76" i="10"/>
  <c r="S76" i="10"/>
  <c r="R76" i="10"/>
  <c r="Q76" i="10"/>
  <c r="P76" i="10"/>
  <c r="O76" i="10"/>
  <c r="N76" i="10"/>
  <c r="M76" i="10"/>
  <c r="L76" i="10"/>
  <c r="K76" i="10"/>
  <c r="J76" i="10"/>
  <c r="I76" i="10"/>
  <c r="H76" i="10"/>
  <c r="G76" i="10"/>
  <c r="F76" i="10"/>
  <c r="E76" i="10"/>
  <c r="D76" i="10"/>
  <c r="C76" i="10"/>
  <c r="B76" i="10"/>
  <c r="A76" i="10"/>
  <c r="AT75" i="10"/>
  <c r="AS75" i="10"/>
  <c r="AR75" i="10"/>
  <c r="AQ75" i="10"/>
  <c r="AP75" i="10"/>
  <c r="V75" i="10"/>
  <c r="U75" i="10"/>
  <c r="T75" i="10"/>
  <c r="S75" i="10"/>
  <c r="R75" i="10"/>
  <c r="Q75" i="10"/>
  <c r="P75" i="10"/>
  <c r="O75" i="10"/>
  <c r="N75" i="10"/>
  <c r="M75" i="10"/>
  <c r="L75" i="10"/>
  <c r="K75" i="10"/>
  <c r="J75" i="10"/>
  <c r="I75" i="10"/>
  <c r="H75" i="10"/>
  <c r="G75" i="10"/>
  <c r="F75" i="10"/>
  <c r="E75" i="10"/>
  <c r="D75" i="10"/>
  <c r="C75" i="10"/>
  <c r="B75" i="10"/>
  <c r="A75" i="10"/>
  <c r="AT74" i="10"/>
  <c r="AS74" i="10"/>
  <c r="AR74" i="10"/>
  <c r="AQ74" i="10"/>
  <c r="AP74" i="10"/>
  <c r="V74" i="10"/>
  <c r="U74" i="10"/>
  <c r="T74" i="10"/>
  <c r="S74" i="10"/>
  <c r="R74" i="10"/>
  <c r="Q74" i="10"/>
  <c r="P74" i="10"/>
  <c r="O74" i="10"/>
  <c r="N74" i="10"/>
  <c r="M74" i="10"/>
  <c r="L74" i="10"/>
  <c r="K74" i="10"/>
  <c r="J74" i="10"/>
  <c r="I74" i="10"/>
  <c r="H74" i="10"/>
  <c r="G74" i="10"/>
  <c r="F74" i="10"/>
  <c r="E74" i="10"/>
  <c r="D74" i="10"/>
  <c r="C74" i="10"/>
  <c r="B74" i="10"/>
  <c r="A74" i="10"/>
  <c r="AT73" i="10"/>
  <c r="AS73" i="10"/>
  <c r="AR73" i="10"/>
  <c r="AQ73" i="10"/>
  <c r="AP73" i="10"/>
  <c r="V73" i="10"/>
  <c r="U73" i="10"/>
  <c r="T73" i="10"/>
  <c r="S73" i="10"/>
  <c r="R73" i="10"/>
  <c r="Q73" i="10"/>
  <c r="P73" i="10"/>
  <c r="O73" i="10"/>
  <c r="N73" i="10"/>
  <c r="M73" i="10"/>
  <c r="L73" i="10"/>
  <c r="K73" i="10"/>
  <c r="J73" i="10"/>
  <c r="I73" i="10"/>
  <c r="H73" i="10"/>
  <c r="G73" i="10"/>
  <c r="F73" i="10"/>
  <c r="E73" i="10"/>
  <c r="D73" i="10"/>
  <c r="C73" i="10"/>
  <c r="B73" i="10"/>
  <c r="A73" i="10"/>
  <c r="AT72" i="10"/>
  <c r="AS72" i="10"/>
  <c r="AR72" i="10"/>
  <c r="AQ72" i="10"/>
  <c r="AP72" i="10"/>
  <c r="V72" i="10"/>
  <c r="U72" i="10"/>
  <c r="T72" i="10"/>
  <c r="S72" i="10"/>
  <c r="R72" i="10"/>
  <c r="Q72" i="10"/>
  <c r="P72" i="10"/>
  <c r="O72" i="10"/>
  <c r="N72" i="10"/>
  <c r="M72" i="10"/>
  <c r="L72" i="10"/>
  <c r="K72" i="10"/>
  <c r="J72" i="10"/>
  <c r="I72" i="10"/>
  <c r="H72" i="10"/>
  <c r="G72" i="10"/>
  <c r="F72" i="10"/>
  <c r="E72" i="10"/>
  <c r="D72" i="10"/>
  <c r="C72" i="10"/>
  <c r="B72" i="10"/>
  <c r="A72" i="10"/>
  <c r="AT71" i="10"/>
  <c r="AS71" i="10"/>
  <c r="AR71" i="10"/>
  <c r="AQ71" i="10"/>
  <c r="AP71" i="10"/>
  <c r="V71" i="10"/>
  <c r="U71" i="10"/>
  <c r="T71" i="10"/>
  <c r="S71" i="10"/>
  <c r="R71" i="10"/>
  <c r="Q71" i="10"/>
  <c r="P71" i="10"/>
  <c r="O71" i="10"/>
  <c r="N71" i="10"/>
  <c r="M71" i="10"/>
  <c r="L71" i="10"/>
  <c r="K71" i="10"/>
  <c r="J71" i="10"/>
  <c r="I71" i="10"/>
  <c r="H71" i="10"/>
  <c r="G71" i="10"/>
  <c r="F71" i="10"/>
  <c r="E71" i="10"/>
  <c r="D71" i="10"/>
  <c r="C71" i="10"/>
  <c r="B71" i="10"/>
  <c r="A71" i="10"/>
  <c r="AT70" i="10"/>
  <c r="AS70" i="10"/>
  <c r="AR70" i="10"/>
  <c r="AQ70" i="10"/>
  <c r="AP70" i="10"/>
  <c r="V70" i="10"/>
  <c r="U70" i="10"/>
  <c r="T70" i="10"/>
  <c r="S70" i="10"/>
  <c r="R70" i="10"/>
  <c r="Q70" i="10"/>
  <c r="P70" i="10"/>
  <c r="O70" i="10"/>
  <c r="N70" i="10"/>
  <c r="M70" i="10"/>
  <c r="L70" i="10"/>
  <c r="K70" i="10"/>
  <c r="J70" i="10"/>
  <c r="I70" i="10"/>
  <c r="H70" i="10"/>
  <c r="G70" i="10"/>
  <c r="F70" i="10"/>
  <c r="E70" i="10"/>
  <c r="D70" i="10"/>
  <c r="C70" i="10"/>
  <c r="B70" i="10"/>
  <c r="A70" i="10"/>
  <c r="AT69" i="10"/>
  <c r="AS69" i="10"/>
  <c r="AR69" i="10"/>
  <c r="AQ69" i="10"/>
  <c r="AP69" i="10"/>
  <c r="V69" i="10"/>
  <c r="U69" i="10"/>
  <c r="T69" i="10"/>
  <c r="S69" i="10"/>
  <c r="R69" i="10"/>
  <c r="Q69" i="10"/>
  <c r="P69" i="10"/>
  <c r="O69" i="10"/>
  <c r="N69" i="10"/>
  <c r="M69" i="10"/>
  <c r="L69" i="10"/>
  <c r="K69" i="10"/>
  <c r="J69" i="10"/>
  <c r="I69" i="10"/>
  <c r="H69" i="10"/>
  <c r="G69" i="10"/>
  <c r="F69" i="10"/>
  <c r="E69" i="10"/>
  <c r="D69" i="10"/>
  <c r="C69" i="10"/>
  <c r="B69" i="10"/>
  <c r="A69" i="10"/>
  <c r="AT68" i="10"/>
  <c r="AS68" i="10"/>
  <c r="AR68" i="10"/>
  <c r="AQ68" i="10"/>
  <c r="AP68" i="10"/>
  <c r="V68" i="10"/>
  <c r="U68" i="10"/>
  <c r="T68" i="10"/>
  <c r="S68" i="10"/>
  <c r="R68" i="10"/>
  <c r="Q68" i="10"/>
  <c r="P68" i="10"/>
  <c r="O68" i="10"/>
  <c r="N68" i="10"/>
  <c r="M68" i="10"/>
  <c r="L68" i="10"/>
  <c r="K68" i="10"/>
  <c r="J68" i="10"/>
  <c r="I68" i="10"/>
  <c r="H68" i="10"/>
  <c r="G68" i="10"/>
  <c r="F68" i="10"/>
  <c r="E68" i="10"/>
  <c r="D68" i="10"/>
  <c r="C68" i="10"/>
  <c r="B68" i="10"/>
  <c r="A68" i="10"/>
  <c r="AT67" i="10"/>
  <c r="AS67" i="10"/>
  <c r="AR67" i="10"/>
  <c r="AQ67" i="10"/>
  <c r="AP67" i="10"/>
  <c r="V67" i="10"/>
  <c r="U67" i="10"/>
  <c r="T67" i="10"/>
  <c r="S67" i="10"/>
  <c r="R67" i="10"/>
  <c r="Q67" i="10"/>
  <c r="P67" i="10"/>
  <c r="O67" i="10"/>
  <c r="N67" i="10"/>
  <c r="M67" i="10"/>
  <c r="L67" i="10"/>
  <c r="K67" i="10"/>
  <c r="J67" i="10"/>
  <c r="I67" i="10"/>
  <c r="H67" i="10"/>
  <c r="G67" i="10"/>
  <c r="F67" i="10"/>
  <c r="E67" i="10"/>
  <c r="D67" i="10"/>
  <c r="C67" i="10"/>
  <c r="B67" i="10"/>
  <c r="A67" i="10"/>
  <c r="AT66" i="10"/>
  <c r="AS66" i="10"/>
  <c r="AR66" i="10"/>
  <c r="AQ66" i="10"/>
  <c r="AP66" i="10"/>
  <c r="V66" i="10"/>
  <c r="U66" i="10"/>
  <c r="T66" i="10"/>
  <c r="S66" i="10"/>
  <c r="R66" i="10"/>
  <c r="Q66" i="10"/>
  <c r="P66" i="10"/>
  <c r="O66" i="10"/>
  <c r="N66" i="10"/>
  <c r="M66" i="10"/>
  <c r="L66" i="10"/>
  <c r="K66" i="10"/>
  <c r="J66" i="10"/>
  <c r="I66" i="10"/>
  <c r="H66" i="10"/>
  <c r="G66" i="10"/>
  <c r="F66" i="10"/>
  <c r="E66" i="10"/>
  <c r="D66" i="10"/>
  <c r="C66" i="10"/>
  <c r="B66" i="10"/>
  <c r="A66" i="10"/>
  <c r="AT65" i="10"/>
  <c r="AS65" i="10"/>
  <c r="AR65" i="10"/>
  <c r="AQ65" i="10"/>
  <c r="AP65" i="10"/>
  <c r="V65" i="10"/>
  <c r="U65" i="10"/>
  <c r="T65" i="10"/>
  <c r="S65" i="10"/>
  <c r="R65" i="10"/>
  <c r="Q65" i="10"/>
  <c r="P65" i="10"/>
  <c r="O65" i="10"/>
  <c r="N65" i="10"/>
  <c r="M65" i="10"/>
  <c r="L65" i="10"/>
  <c r="K65" i="10"/>
  <c r="J65" i="10"/>
  <c r="I65" i="10"/>
  <c r="H65" i="10"/>
  <c r="G65" i="10"/>
  <c r="F65" i="10"/>
  <c r="E65" i="10"/>
  <c r="D65" i="10"/>
  <c r="C65" i="10"/>
  <c r="B65" i="10"/>
  <c r="A65" i="10"/>
  <c r="AT64" i="10"/>
  <c r="AS64" i="10"/>
  <c r="AR64" i="10"/>
  <c r="AQ64" i="10"/>
  <c r="AP64" i="10"/>
  <c r="V64" i="10"/>
  <c r="U64" i="10"/>
  <c r="T64" i="10"/>
  <c r="S64" i="10"/>
  <c r="R64" i="10"/>
  <c r="Q64" i="10"/>
  <c r="P64" i="10"/>
  <c r="O64" i="10"/>
  <c r="N64" i="10"/>
  <c r="M64" i="10"/>
  <c r="L64" i="10"/>
  <c r="K64" i="10"/>
  <c r="J64" i="10"/>
  <c r="I64" i="10"/>
  <c r="H64" i="10"/>
  <c r="G64" i="10"/>
  <c r="F64" i="10"/>
  <c r="E64" i="10"/>
  <c r="D64" i="10"/>
  <c r="C64" i="10"/>
  <c r="B64" i="10"/>
  <c r="A64" i="10"/>
  <c r="AT63" i="10"/>
  <c r="AS63" i="10"/>
  <c r="AR63" i="10"/>
  <c r="AQ63" i="10"/>
  <c r="AP63" i="10"/>
  <c r="V63" i="10"/>
  <c r="U63" i="10"/>
  <c r="T63" i="10"/>
  <c r="S63" i="10"/>
  <c r="R63" i="10"/>
  <c r="Q63" i="10"/>
  <c r="P63" i="10"/>
  <c r="O63" i="10"/>
  <c r="N63" i="10"/>
  <c r="M63" i="10"/>
  <c r="L63" i="10"/>
  <c r="K63" i="10"/>
  <c r="J63" i="10"/>
  <c r="I63" i="10"/>
  <c r="H63" i="10"/>
  <c r="G63" i="10"/>
  <c r="F63" i="10"/>
  <c r="E63" i="10"/>
  <c r="D63" i="10"/>
  <c r="C63" i="10"/>
  <c r="B63" i="10"/>
  <c r="A63" i="10"/>
  <c r="AT62" i="10"/>
  <c r="AS62" i="10"/>
  <c r="AR62" i="10"/>
  <c r="AQ62" i="10"/>
  <c r="AP62" i="10"/>
  <c r="V62" i="10"/>
  <c r="U62" i="10"/>
  <c r="T62" i="10"/>
  <c r="S62" i="10"/>
  <c r="R62" i="10"/>
  <c r="Q62" i="10"/>
  <c r="P62" i="10"/>
  <c r="O62" i="10"/>
  <c r="N62" i="10"/>
  <c r="M62" i="10"/>
  <c r="L62" i="10"/>
  <c r="K62" i="10"/>
  <c r="J62" i="10"/>
  <c r="I62" i="10"/>
  <c r="H62" i="10"/>
  <c r="G62" i="10"/>
  <c r="F62" i="10"/>
  <c r="E62" i="10"/>
  <c r="D62" i="10"/>
  <c r="C62" i="10"/>
  <c r="B62" i="10"/>
  <c r="A62" i="10"/>
  <c r="AT61" i="10"/>
  <c r="AS61" i="10"/>
  <c r="AR61" i="10"/>
  <c r="AQ61" i="10"/>
  <c r="AP61" i="10"/>
  <c r="V61" i="10"/>
  <c r="U61" i="10"/>
  <c r="T61" i="10"/>
  <c r="S61" i="10"/>
  <c r="R61" i="10"/>
  <c r="Q61" i="10"/>
  <c r="P61" i="10"/>
  <c r="O61" i="10"/>
  <c r="N61" i="10"/>
  <c r="M61" i="10"/>
  <c r="L61" i="10"/>
  <c r="K61" i="10"/>
  <c r="J61" i="10"/>
  <c r="I61" i="10"/>
  <c r="H61" i="10"/>
  <c r="G61" i="10"/>
  <c r="F61" i="10"/>
  <c r="E61" i="10"/>
  <c r="D61" i="10"/>
  <c r="C61" i="10"/>
  <c r="B61" i="10"/>
  <c r="A61" i="10"/>
  <c r="AT60" i="10"/>
  <c r="AS60" i="10"/>
  <c r="AR60" i="10"/>
  <c r="AQ60" i="10"/>
  <c r="AP60" i="10"/>
  <c r="V60" i="10"/>
  <c r="U60" i="10"/>
  <c r="T60" i="10"/>
  <c r="S60" i="10"/>
  <c r="R60" i="10"/>
  <c r="Q60" i="10"/>
  <c r="P60" i="10"/>
  <c r="O60" i="10"/>
  <c r="N60" i="10"/>
  <c r="M60" i="10"/>
  <c r="L60" i="10"/>
  <c r="K60" i="10"/>
  <c r="J60" i="10"/>
  <c r="I60" i="10"/>
  <c r="H60" i="10"/>
  <c r="G60" i="10"/>
  <c r="F60" i="10"/>
  <c r="E60" i="10"/>
  <c r="D60" i="10"/>
  <c r="C60" i="10"/>
  <c r="B60" i="10"/>
  <c r="A60" i="10"/>
  <c r="AT59" i="10"/>
  <c r="AS59" i="10"/>
  <c r="AR59" i="10"/>
  <c r="AQ59" i="10"/>
  <c r="AP59" i="10"/>
  <c r="V59" i="10"/>
  <c r="U59" i="10"/>
  <c r="T59" i="10"/>
  <c r="S59" i="10"/>
  <c r="R59" i="10"/>
  <c r="Q59" i="10"/>
  <c r="P59" i="10"/>
  <c r="O59" i="10"/>
  <c r="N59" i="10"/>
  <c r="M59" i="10"/>
  <c r="L59" i="10"/>
  <c r="K59" i="10"/>
  <c r="J59" i="10"/>
  <c r="I59" i="10"/>
  <c r="H59" i="10"/>
  <c r="G59" i="10"/>
  <c r="F59" i="10"/>
  <c r="E59" i="10"/>
  <c r="D59" i="10"/>
  <c r="C59" i="10"/>
  <c r="B59" i="10"/>
  <c r="A59" i="10"/>
  <c r="AT58" i="10"/>
  <c r="AS58" i="10"/>
  <c r="AR58" i="10"/>
  <c r="AQ58" i="10"/>
  <c r="AP58" i="10"/>
  <c r="V58" i="10"/>
  <c r="U58" i="10"/>
  <c r="T58" i="10"/>
  <c r="S58" i="10"/>
  <c r="R58" i="10"/>
  <c r="Q58" i="10"/>
  <c r="P58" i="10"/>
  <c r="O58" i="10"/>
  <c r="N58" i="10"/>
  <c r="M58" i="10"/>
  <c r="L58" i="10"/>
  <c r="K58" i="10"/>
  <c r="J58" i="10"/>
  <c r="I58" i="10"/>
  <c r="H58" i="10"/>
  <c r="G58" i="10"/>
  <c r="F58" i="10"/>
  <c r="E58" i="10"/>
  <c r="D58" i="10"/>
  <c r="C58" i="10"/>
  <c r="B58" i="10"/>
  <c r="A58" i="10"/>
  <c r="AT57" i="10"/>
  <c r="AS57" i="10"/>
  <c r="AR57" i="10"/>
  <c r="AQ57" i="10"/>
  <c r="AP57" i="10"/>
  <c r="V57" i="10"/>
  <c r="U57" i="10"/>
  <c r="T57" i="10"/>
  <c r="S57" i="10"/>
  <c r="R57" i="10"/>
  <c r="Q57" i="10"/>
  <c r="P57" i="10"/>
  <c r="O57" i="10"/>
  <c r="N57" i="10"/>
  <c r="M57" i="10"/>
  <c r="L57" i="10"/>
  <c r="K57" i="10"/>
  <c r="J57" i="10"/>
  <c r="I57" i="10"/>
  <c r="H57" i="10"/>
  <c r="G57" i="10"/>
  <c r="F57" i="10"/>
  <c r="E57" i="10"/>
  <c r="D57" i="10"/>
  <c r="C57" i="10"/>
  <c r="B57" i="10"/>
  <c r="A57" i="10"/>
  <c r="AT56" i="10"/>
  <c r="AS56" i="10"/>
  <c r="AR56" i="10"/>
  <c r="AQ56" i="10"/>
  <c r="AP56" i="10"/>
  <c r="V56" i="10"/>
  <c r="U56" i="10"/>
  <c r="T56" i="10"/>
  <c r="S56" i="10"/>
  <c r="R56" i="10"/>
  <c r="Q56" i="10"/>
  <c r="P56" i="10"/>
  <c r="O56" i="10"/>
  <c r="N56" i="10"/>
  <c r="M56" i="10"/>
  <c r="L56" i="10"/>
  <c r="K56" i="10"/>
  <c r="J56" i="10"/>
  <c r="I56" i="10"/>
  <c r="H56" i="10"/>
  <c r="G56" i="10"/>
  <c r="F56" i="10"/>
  <c r="E56" i="10"/>
  <c r="D56" i="10"/>
  <c r="C56" i="10"/>
  <c r="B56" i="10"/>
  <c r="A56" i="10"/>
  <c r="AT55" i="10"/>
  <c r="AS55" i="10"/>
  <c r="AR55" i="10"/>
  <c r="AQ55" i="10"/>
  <c r="AP55" i="10"/>
  <c r="V55" i="10"/>
  <c r="U55" i="10"/>
  <c r="T55" i="10"/>
  <c r="S55" i="10"/>
  <c r="R55" i="10"/>
  <c r="Q55" i="10"/>
  <c r="P55" i="10"/>
  <c r="O55" i="10"/>
  <c r="N55" i="10"/>
  <c r="M55" i="10"/>
  <c r="L55" i="10"/>
  <c r="K55" i="10"/>
  <c r="J55" i="10"/>
  <c r="I55" i="10"/>
  <c r="H55" i="10"/>
  <c r="G55" i="10"/>
  <c r="F55" i="10"/>
  <c r="E55" i="10"/>
  <c r="D55" i="10"/>
  <c r="C55" i="10"/>
  <c r="B55" i="10"/>
  <c r="A55" i="10"/>
  <c r="AT54" i="10"/>
  <c r="AS54" i="10"/>
  <c r="AR54" i="10"/>
  <c r="AQ54" i="10"/>
  <c r="AP54" i="10"/>
  <c r="V54" i="10"/>
  <c r="U54" i="10"/>
  <c r="T54" i="10"/>
  <c r="S54" i="10"/>
  <c r="R54" i="10"/>
  <c r="Q54" i="10"/>
  <c r="P54" i="10"/>
  <c r="O54" i="10"/>
  <c r="N54" i="10"/>
  <c r="M54" i="10"/>
  <c r="L54" i="10"/>
  <c r="K54" i="10"/>
  <c r="J54" i="10"/>
  <c r="I54" i="10"/>
  <c r="H54" i="10"/>
  <c r="G54" i="10"/>
  <c r="F54" i="10"/>
  <c r="E54" i="10"/>
  <c r="D54" i="10"/>
  <c r="C54" i="10"/>
  <c r="B54" i="10"/>
  <c r="A54" i="10"/>
  <c r="AT53" i="10"/>
  <c r="AS53" i="10"/>
  <c r="AR53" i="10"/>
  <c r="AQ53" i="10"/>
  <c r="AP53" i="10"/>
  <c r="V53" i="10"/>
  <c r="U53" i="10"/>
  <c r="T53" i="10"/>
  <c r="S53" i="10"/>
  <c r="R53" i="10"/>
  <c r="Q53" i="10"/>
  <c r="P53" i="10"/>
  <c r="O53" i="10"/>
  <c r="N53" i="10"/>
  <c r="M53" i="10"/>
  <c r="L53" i="10"/>
  <c r="K53" i="10"/>
  <c r="J53" i="10"/>
  <c r="I53" i="10"/>
  <c r="H53" i="10"/>
  <c r="G53" i="10"/>
  <c r="F53" i="10"/>
  <c r="E53" i="10"/>
  <c r="D53" i="10"/>
  <c r="C53" i="10"/>
  <c r="B53" i="10"/>
  <c r="A53" i="10"/>
  <c r="AT52" i="10"/>
  <c r="AS52" i="10"/>
  <c r="AR52" i="10"/>
  <c r="AQ52" i="10"/>
  <c r="AP52" i="10"/>
  <c r="V52" i="10"/>
  <c r="U52" i="10"/>
  <c r="T52" i="10"/>
  <c r="S52" i="10"/>
  <c r="R52" i="10"/>
  <c r="Q52" i="10"/>
  <c r="P52" i="10"/>
  <c r="O52" i="10"/>
  <c r="N52" i="10"/>
  <c r="M52" i="10"/>
  <c r="L52" i="10"/>
  <c r="K52" i="10"/>
  <c r="J52" i="10"/>
  <c r="I52" i="10"/>
  <c r="H52" i="10"/>
  <c r="G52" i="10"/>
  <c r="F52" i="10"/>
  <c r="E52" i="10"/>
  <c r="D52" i="10"/>
  <c r="C52" i="10"/>
  <c r="B52" i="10"/>
  <c r="A52" i="10"/>
  <c r="AT51" i="10"/>
  <c r="AS51" i="10"/>
  <c r="AR51" i="10"/>
  <c r="AQ51" i="10"/>
  <c r="AP51" i="10"/>
  <c r="V51" i="10"/>
  <c r="U51" i="10"/>
  <c r="T51" i="10"/>
  <c r="S51" i="10"/>
  <c r="R51" i="10"/>
  <c r="Q51" i="10"/>
  <c r="P51" i="10"/>
  <c r="O51" i="10"/>
  <c r="N51" i="10"/>
  <c r="M51" i="10"/>
  <c r="L51" i="10"/>
  <c r="K51" i="10"/>
  <c r="J51" i="10"/>
  <c r="I51" i="10"/>
  <c r="H51" i="10"/>
  <c r="G51" i="10"/>
  <c r="F51" i="10"/>
  <c r="E51" i="10"/>
  <c r="D51" i="10"/>
  <c r="C51" i="10"/>
  <c r="B51" i="10"/>
  <c r="A51" i="10"/>
  <c r="AT50" i="10"/>
  <c r="AS50" i="10"/>
  <c r="AR50" i="10"/>
  <c r="AQ50" i="10"/>
  <c r="AP50" i="10"/>
  <c r="V50" i="10"/>
  <c r="U50" i="10"/>
  <c r="T50" i="10"/>
  <c r="S50" i="10"/>
  <c r="R50" i="10"/>
  <c r="Q50" i="10"/>
  <c r="P50" i="10"/>
  <c r="O50" i="10"/>
  <c r="N50" i="10"/>
  <c r="M50" i="10"/>
  <c r="L50" i="10"/>
  <c r="K50" i="10"/>
  <c r="J50" i="10"/>
  <c r="I50" i="10"/>
  <c r="H50" i="10"/>
  <c r="G50" i="10"/>
  <c r="F50" i="10"/>
  <c r="E50" i="10"/>
  <c r="D50" i="10"/>
  <c r="C50" i="10"/>
  <c r="B50" i="10"/>
  <c r="A50" i="10"/>
  <c r="AT49" i="10"/>
  <c r="AS49" i="10"/>
  <c r="AR49" i="10"/>
  <c r="AQ49" i="10"/>
  <c r="AP49" i="10"/>
  <c r="V49" i="10"/>
  <c r="U49" i="10"/>
  <c r="T49" i="10"/>
  <c r="S49" i="10"/>
  <c r="R49" i="10"/>
  <c r="Q49" i="10"/>
  <c r="P49" i="10"/>
  <c r="O49" i="10"/>
  <c r="N49" i="10"/>
  <c r="M49" i="10"/>
  <c r="L49" i="10"/>
  <c r="K49" i="10"/>
  <c r="J49" i="10"/>
  <c r="I49" i="10"/>
  <c r="H49" i="10"/>
  <c r="G49" i="10"/>
  <c r="F49" i="10"/>
  <c r="E49" i="10"/>
  <c r="D49" i="10"/>
  <c r="C49" i="10"/>
  <c r="B49" i="10"/>
  <c r="A49" i="10"/>
  <c r="AT48" i="10"/>
  <c r="AS48" i="10"/>
  <c r="AR48" i="10"/>
  <c r="AQ48" i="10"/>
  <c r="AP48" i="10"/>
  <c r="V48" i="10"/>
  <c r="U48" i="10"/>
  <c r="T48" i="10"/>
  <c r="S48" i="10"/>
  <c r="R48" i="10"/>
  <c r="Q48" i="10"/>
  <c r="P48" i="10"/>
  <c r="O48" i="10"/>
  <c r="N48" i="10"/>
  <c r="M48" i="10"/>
  <c r="L48" i="10"/>
  <c r="K48" i="10"/>
  <c r="J48" i="10"/>
  <c r="I48" i="10"/>
  <c r="H48" i="10"/>
  <c r="G48" i="10"/>
  <c r="F48" i="10"/>
  <c r="E48" i="10"/>
  <c r="D48" i="10"/>
  <c r="C48" i="10"/>
  <c r="B48" i="10"/>
  <c r="A48" i="10"/>
  <c r="AT47" i="10"/>
  <c r="AS47" i="10"/>
  <c r="AR47" i="10"/>
  <c r="AQ47" i="10"/>
  <c r="AP47" i="10"/>
  <c r="V47" i="10"/>
  <c r="U47" i="10"/>
  <c r="T47" i="10"/>
  <c r="S47" i="10"/>
  <c r="R47" i="10"/>
  <c r="Q47" i="10"/>
  <c r="P47" i="10"/>
  <c r="O47" i="10"/>
  <c r="N47" i="10"/>
  <c r="M47" i="10"/>
  <c r="L47" i="10"/>
  <c r="K47" i="10"/>
  <c r="J47" i="10"/>
  <c r="I47" i="10"/>
  <c r="H47" i="10"/>
  <c r="G47" i="10"/>
  <c r="F47" i="10"/>
  <c r="E47" i="10"/>
  <c r="D47" i="10"/>
  <c r="C47" i="10"/>
  <c r="B47" i="10"/>
  <c r="A47" i="10"/>
  <c r="AT46" i="10"/>
  <c r="AS46" i="10"/>
  <c r="AR46" i="10"/>
  <c r="AQ46" i="10"/>
  <c r="AP46" i="10"/>
  <c r="V46" i="10"/>
  <c r="U46" i="10"/>
  <c r="T46" i="10"/>
  <c r="S46" i="10"/>
  <c r="R46" i="10"/>
  <c r="Q46" i="10"/>
  <c r="P46" i="10"/>
  <c r="O46" i="10"/>
  <c r="N46" i="10"/>
  <c r="M46" i="10"/>
  <c r="L46" i="10"/>
  <c r="K46" i="10"/>
  <c r="J46" i="10"/>
  <c r="I46" i="10"/>
  <c r="H46" i="10"/>
  <c r="G46" i="10"/>
  <c r="F46" i="10"/>
  <c r="E46" i="10"/>
  <c r="D46" i="10"/>
  <c r="C46" i="10"/>
  <c r="B46" i="10"/>
  <c r="A46" i="10"/>
  <c r="AT45" i="10"/>
  <c r="AS45" i="10"/>
  <c r="AR45" i="10"/>
  <c r="AQ45" i="10"/>
  <c r="AP45" i="10"/>
  <c r="V45" i="10"/>
  <c r="U45" i="10"/>
  <c r="T45" i="10"/>
  <c r="S45" i="10"/>
  <c r="R45" i="10"/>
  <c r="Q45" i="10"/>
  <c r="P45" i="10"/>
  <c r="O45" i="10"/>
  <c r="N45" i="10"/>
  <c r="M45" i="10"/>
  <c r="L45" i="10"/>
  <c r="K45" i="10"/>
  <c r="J45" i="10"/>
  <c r="I45" i="10"/>
  <c r="H45" i="10"/>
  <c r="G45" i="10"/>
  <c r="F45" i="10"/>
  <c r="E45" i="10"/>
  <c r="D45" i="10"/>
  <c r="C45" i="10"/>
  <c r="B45" i="10"/>
  <c r="A45" i="10"/>
  <c r="AT44" i="10"/>
  <c r="AS44" i="10"/>
  <c r="AR44" i="10"/>
  <c r="AQ44" i="10"/>
  <c r="AP44" i="10"/>
  <c r="V44" i="10"/>
  <c r="U44" i="10"/>
  <c r="T44" i="10"/>
  <c r="S44" i="10"/>
  <c r="R44" i="10"/>
  <c r="Q44" i="10"/>
  <c r="P44" i="10"/>
  <c r="O44" i="10"/>
  <c r="N44" i="10"/>
  <c r="M44" i="10"/>
  <c r="L44" i="10"/>
  <c r="K44" i="10"/>
  <c r="J44" i="10"/>
  <c r="I44" i="10"/>
  <c r="H44" i="10"/>
  <c r="G44" i="10"/>
  <c r="F44" i="10"/>
  <c r="E44" i="10"/>
  <c r="D44" i="10"/>
  <c r="C44" i="10"/>
  <c r="B44" i="10"/>
  <c r="A44" i="10"/>
  <c r="AT43" i="10"/>
  <c r="AS43" i="10"/>
  <c r="AR43" i="10"/>
  <c r="AQ43" i="10"/>
  <c r="AP43" i="10"/>
  <c r="V43" i="10"/>
  <c r="U43" i="10"/>
  <c r="T43" i="10"/>
  <c r="S43" i="10"/>
  <c r="R43" i="10"/>
  <c r="Q43" i="10"/>
  <c r="P43" i="10"/>
  <c r="O43" i="10"/>
  <c r="N43" i="10"/>
  <c r="M43" i="10"/>
  <c r="L43" i="10"/>
  <c r="K43" i="10"/>
  <c r="J43" i="10"/>
  <c r="I43" i="10"/>
  <c r="H43" i="10"/>
  <c r="G43" i="10"/>
  <c r="F43" i="10"/>
  <c r="E43" i="10"/>
  <c r="D43" i="10"/>
  <c r="C43" i="10"/>
  <c r="B43" i="10"/>
  <c r="A43" i="10"/>
  <c r="AT42" i="10"/>
  <c r="AS42" i="10"/>
  <c r="AR42" i="10"/>
  <c r="AQ42" i="10"/>
  <c r="AP42" i="10"/>
  <c r="V42" i="10"/>
  <c r="U42" i="10"/>
  <c r="T42" i="10"/>
  <c r="S42" i="10"/>
  <c r="R42" i="10"/>
  <c r="Q42" i="10"/>
  <c r="P42" i="10"/>
  <c r="O42" i="10"/>
  <c r="N42" i="10"/>
  <c r="M42" i="10"/>
  <c r="L42" i="10"/>
  <c r="K42" i="10"/>
  <c r="J42" i="10"/>
  <c r="I42" i="10"/>
  <c r="H42" i="10"/>
  <c r="G42" i="10"/>
  <c r="F42" i="10"/>
  <c r="E42" i="10"/>
  <c r="D42" i="10"/>
  <c r="C42" i="10"/>
  <c r="B42" i="10"/>
  <c r="A42" i="10"/>
  <c r="AT41" i="10"/>
  <c r="AS41" i="10"/>
  <c r="AR41" i="10"/>
  <c r="AQ41" i="10"/>
  <c r="AP41" i="10"/>
  <c r="V41" i="10"/>
  <c r="U41" i="10"/>
  <c r="T41" i="10"/>
  <c r="S41" i="10"/>
  <c r="R41" i="10"/>
  <c r="Q41" i="10"/>
  <c r="P41" i="10"/>
  <c r="O41" i="10"/>
  <c r="N41" i="10"/>
  <c r="M41" i="10"/>
  <c r="L41" i="10"/>
  <c r="K41" i="10"/>
  <c r="J41" i="10"/>
  <c r="I41" i="10"/>
  <c r="H41" i="10"/>
  <c r="G41" i="10"/>
  <c r="F41" i="10"/>
  <c r="E41" i="10"/>
  <c r="D41" i="10"/>
  <c r="C41" i="10"/>
  <c r="B41" i="10"/>
  <c r="A41" i="10"/>
  <c r="AT40" i="10"/>
  <c r="AS40" i="10"/>
  <c r="AR40" i="10"/>
  <c r="AQ40" i="10"/>
  <c r="AP40" i="10"/>
  <c r="V40" i="10"/>
  <c r="U40" i="10"/>
  <c r="T40" i="10"/>
  <c r="S40" i="10"/>
  <c r="R40" i="10"/>
  <c r="Q40" i="10"/>
  <c r="P40" i="10"/>
  <c r="O40" i="10"/>
  <c r="N40" i="10"/>
  <c r="M40" i="10"/>
  <c r="L40" i="10"/>
  <c r="K40" i="10"/>
  <c r="J40" i="10"/>
  <c r="I40" i="10"/>
  <c r="H40" i="10"/>
  <c r="G40" i="10"/>
  <c r="F40" i="10"/>
  <c r="E40" i="10"/>
  <c r="D40" i="10"/>
  <c r="C40" i="10"/>
  <c r="B40" i="10"/>
  <c r="A40" i="10"/>
  <c r="AT39" i="10"/>
  <c r="AS39" i="10"/>
  <c r="AR39" i="10"/>
  <c r="AQ39" i="10"/>
  <c r="AP39" i="10"/>
  <c r="V39" i="10"/>
  <c r="U39" i="10"/>
  <c r="T39" i="10"/>
  <c r="S39" i="10"/>
  <c r="R39" i="10"/>
  <c r="Q39" i="10"/>
  <c r="P39" i="10"/>
  <c r="O39" i="10"/>
  <c r="N39" i="10"/>
  <c r="M39" i="10"/>
  <c r="L39" i="10"/>
  <c r="K39" i="10"/>
  <c r="J39" i="10"/>
  <c r="I39" i="10"/>
  <c r="H39" i="10"/>
  <c r="G39" i="10"/>
  <c r="F39" i="10"/>
  <c r="E39" i="10"/>
  <c r="D39" i="10"/>
  <c r="C39" i="10"/>
  <c r="B39" i="10"/>
  <c r="A39" i="10"/>
  <c r="AT38" i="10"/>
  <c r="AS38" i="10"/>
  <c r="AR38" i="10"/>
  <c r="AQ38" i="10"/>
  <c r="AP38" i="10"/>
  <c r="V38" i="10"/>
  <c r="U38" i="10"/>
  <c r="T38" i="10"/>
  <c r="S38" i="10"/>
  <c r="R38" i="10"/>
  <c r="Q38" i="10"/>
  <c r="P38" i="10"/>
  <c r="O38" i="10"/>
  <c r="N38" i="10"/>
  <c r="M38" i="10"/>
  <c r="L38" i="10"/>
  <c r="K38" i="10"/>
  <c r="J38" i="10"/>
  <c r="I38" i="10"/>
  <c r="H38" i="10"/>
  <c r="G38" i="10"/>
  <c r="F38" i="10"/>
  <c r="E38" i="10"/>
  <c r="D38" i="10"/>
  <c r="C38" i="10"/>
  <c r="B38" i="10"/>
  <c r="A38" i="10"/>
  <c r="AT37" i="10"/>
  <c r="AS37" i="10"/>
  <c r="AR37" i="10"/>
  <c r="AQ37" i="10"/>
  <c r="AP37" i="10"/>
  <c r="V37" i="10"/>
  <c r="U37" i="10"/>
  <c r="T37" i="10"/>
  <c r="S37" i="10"/>
  <c r="R37" i="10"/>
  <c r="Q37" i="10"/>
  <c r="P37" i="10"/>
  <c r="O37" i="10"/>
  <c r="N37" i="10"/>
  <c r="M37" i="10"/>
  <c r="L37" i="10"/>
  <c r="K37" i="10"/>
  <c r="J37" i="10"/>
  <c r="I37" i="10"/>
  <c r="H37" i="10"/>
  <c r="G37" i="10"/>
  <c r="F37" i="10"/>
  <c r="E37" i="10"/>
  <c r="D37" i="10"/>
  <c r="C37" i="10"/>
  <c r="B37" i="10"/>
  <c r="A37" i="10"/>
  <c r="AT36" i="10"/>
  <c r="AS36" i="10"/>
  <c r="AR36" i="10"/>
  <c r="AQ36" i="10"/>
  <c r="AP36" i="10"/>
  <c r="V36" i="10"/>
  <c r="U36" i="10"/>
  <c r="T36" i="10"/>
  <c r="S36" i="10"/>
  <c r="R36" i="10"/>
  <c r="Q36" i="10"/>
  <c r="P36" i="10"/>
  <c r="O36" i="10"/>
  <c r="N36" i="10"/>
  <c r="M36" i="10"/>
  <c r="L36" i="10"/>
  <c r="K36" i="10"/>
  <c r="J36" i="10"/>
  <c r="I36" i="10"/>
  <c r="H36" i="10"/>
  <c r="G36" i="10"/>
  <c r="F36" i="10"/>
  <c r="E36" i="10"/>
  <c r="D36" i="10"/>
  <c r="C36" i="10"/>
  <c r="B36" i="10"/>
  <c r="A36" i="10"/>
  <c r="AT35" i="10"/>
  <c r="AS35" i="10"/>
  <c r="AR35" i="10"/>
  <c r="AQ35" i="10"/>
  <c r="AP35" i="10"/>
  <c r="V35" i="10"/>
  <c r="U35" i="10"/>
  <c r="T35" i="10"/>
  <c r="S35" i="10"/>
  <c r="R35" i="10"/>
  <c r="Q35" i="10"/>
  <c r="P35" i="10"/>
  <c r="O35" i="10"/>
  <c r="N35" i="10"/>
  <c r="M35" i="10"/>
  <c r="L35" i="10"/>
  <c r="K35" i="10"/>
  <c r="J35" i="10"/>
  <c r="I35" i="10"/>
  <c r="H35" i="10"/>
  <c r="G35" i="10"/>
  <c r="F35" i="10"/>
  <c r="E35" i="10"/>
  <c r="D35" i="10"/>
  <c r="C35" i="10"/>
  <c r="B35" i="10"/>
  <c r="A35" i="10"/>
  <c r="AT34" i="10"/>
  <c r="AS34" i="10"/>
  <c r="AR34" i="10"/>
  <c r="AQ34" i="10"/>
  <c r="AP34" i="10"/>
  <c r="V34" i="10"/>
  <c r="U34" i="10"/>
  <c r="T34" i="10"/>
  <c r="S34" i="10"/>
  <c r="R34" i="10"/>
  <c r="Q34" i="10"/>
  <c r="P34" i="10"/>
  <c r="O34" i="10"/>
  <c r="N34" i="10"/>
  <c r="M34" i="10"/>
  <c r="L34" i="10"/>
  <c r="K34" i="10"/>
  <c r="J34" i="10"/>
  <c r="I34" i="10"/>
  <c r="H34" i="10"/>
  <c r="G34" i="10"/>
  <c r="F34" i="10"/>
  <c r="E34" i="10"/>
  <c r="D34" i="10"/>
  <c r="C34" i="10"/>
  <c r="B34" i="10"/>
  <c r="A34" i="10"/>
  <c r="AT33" i="10"/>
  <c r="AS33" i="10"/>
  <c r="AR33" i="10"/>
  <c r="AQ33" i="10"/>
  <c r="AP33" i="10"/>
  <c r="V33" i="10"/>
  <c r="U33" i="10"/>
  <c r="T33" i="10"/>
  <c r="S33" i="10"/>
  <c r="R33" i="10"/>
  <c r="Q33" i="10"/>
  <c r="P33" i="10"/>
  <c r="O33" i="10"/>
  <c r="N33" i="10"/>
  <c r="M33" i="10"/>
  <c r="L33" i="10"/>
  <c r="K33" i="10"/>
  <c r="J33" i="10"/>
  <c r="I33" i="10"/>
  <c r="H33" i="10"/>
  <c r="G33" i="10"/>
  <c r="F33" i="10"/>
  <c r="E33" i="10"/>
  <c r="D33" i="10"/>
  <c r="C33" i="10"/>
  <c r="B33" i="10"/>
  <c r="A33" i="10"/>
  <c r="AT32" i="10"/>
  <c r="AS32" i="10"/>
  <c r="AR32" i="10"/>
  <c r="AQ32" i="10"/>
  <c r="AP32" i="10"/>
  <c r="V32" i="10"/>
  <c r="U32" i="10"/>
  <c r="T32" i="10"/>
  <c r="S32" i="10"/>
  <c r="R32" i="10"/>
  <c r="Q32" i="10"/>
  <c r="P32" i="10"/>
  <c r="O32" i="10"/>
  <c r="N32" i="10"/>
  <c r="M32" i="10"/>
  <c r="L32" i="10"/>
  <c r="K32" i="10"/>
  <c r="J32" i="10"/>
  <c r="I32" i="10"/>
  <c r="H32" i="10"/>
  <c r="G32" i="10"/>
  <c r="F32" i="10"/>
  <c r="E32" i="10"/>
  <c r="D32" i="10"/>
  <c r="C32" i="10"/>
  <c r="B32" i="10"/>
  <c r="A32" i="10"/>
  <c r="AT31" i="10"/>
  <c r="AS31" i="10"/>
  <c r="AR31" i="10"/>
  <c r="AQ31" i="10"/>
  <c r="AP31" i="10"/>
  <c r="V31" i="10"/>
  <c r="U31" i="10"/>
  <c r="T31" i="10"/>
  <c r="S31" i="10"/>
  <c r="R31" i="10"/>
  <c r="Q31" i="10"/>
  <c r="P31" i="10"/>
  <c r="O31" i="10"/>
  <c r="N31" i="10"/>
  <c r="M31" i="10"/>
  <c r="L31" i="10"/>
  <c r="K31" i="10"/>
  <c r="J31" i="10"/>
  <c r="I31" i="10"/>
  <c r="H31" i="10"/>
  <c r="G31" i="10"/>
  <c r="F31" i="10"/>
  <c r="E31" i="10"/>
  <c r="D31" i="10"/>
  <c r="C31" i="10"/>
  <c r="B31" i="10"/>
  <c r="A31" i="10"/>
  <c r="AT30" i="10"/>
  <c r="AS30" i="10"/>
  <c r="AR30" i="10"/>
  <c r="AQ30" i="10"/>
  <c r="AP30" i="10"/>
  <c r="V30" i="10"/>
  <c r="U30" i="10"/>
  <c r="T30" i="10"/>
  <c r="S30" i="10"/>
  <c r="R30" i="10"/>
  <c r="Q30" i="10"/>
  <c r="P30" i="10"/>
  <c r="O30" i="10"/>
  <c r="N30" i="10"/>
  <c r="M30" i="10"/>
  <c r="L30" i="10"/>
  <c r="K30" i="10"/>
  <c r="J30" i="10"/>
  <c r="I30" i="10"/>
  <c r="H30" i="10"/>
  <c r="G30" i="10"/>
  <c r="F30" i="10"/>
  <c r="E30" i="10"/>
  <c r="D30" i="10"/>
  <c r="C30" i="10"/>
  <c r="B30" i="10"/>
  <c r="A30" i="10"/>
  <c r="AT29" i="10"/>
  <c r="AS29" i="10"/>
  <c r="AR29" i="10"/>
  <c r="AQ29" i="10"/>
  <c r="AP29" i="10"/>
  <c r="V29" i="10"/>
  <c r="U29" i="10"/>
  <c r="T29" i="10"/>
  <c r="S29" i="10"/>
  <c r="R29" i="10"/>
  <c r="Q29" i="10"/>
  <c r="P29" i="10"/>
  <c r="O29" i="10"/>
  <c r="N29" i="10"/>
  <c r="M29" i="10"/>
  <c r="L29" i="10"/>
  <c r="K29" i="10"/>
  <c r="J29" i="10"/>
  <c r="I29" i="10"/>
  <c r="H29" i="10"/>
  <c r="G29" i="10"/>
  <c r="F29" i="10"/>
  <c r="E29" i="10"/>
  <c r="D29" i="10"/>
  <c r="C29" i="10"/>
  <c r="B29" i="10"/>
  <c r="A29" i="10"/>
  <c r="AT28" i="10"/>
  <c r="AS28" i="10"/>
  <c r="AR28" i="10"/>
  <c r="AQ28" i="10"/>
  <c r="AP28" i="10"/>
  <c r="V28" i="10"/>
  <c r="U28" i="10"/>
  <c r="T28" i="10"/>
  <c r="S28" i="10"/>
  <c r="R28" i="10"/>
  <c r="Q28" i="10"/>
  <c r="P28" i="10"/>
  <c r="O28" i="10"/>
  <c r="N28" i="10"/>
  <c r="M28" i="10"/>
  <c r="L28" i="10"/>
  <c r="K28" i="10"/>
  <c r="J28" i="10"/>
  <c r="I28" i="10"/>
  <c r="H28" i="10"/>
  <c r="G28" i="10"/>
  <c r="F28" i="10"/>
  <c r="E28" i="10"/>
  <c r="D28" i="10"/>
  <c r="C28" i="10"/>
  <c r="B28" i="10"/>
  <c r="A28" i="10"/>
  <c r="AT27" i="10"/>
  <c r="AS27" i="10"/>
  <c r="AR27" i="10"/>
  <c r="AQ27" i="10"/>
  <c r="AP27" i="10"/>
  <c r="V27" i="10"/>
  <c r="U27" i="10"/>
  <c r="T27" i="10"/>
  <c r="S27" i="10"/>
  <c r="R27" i="10"/>
  <c r="Q27" i="10"/>
  <c r="P27" i="10"/>
  <c r="O27" i="10"/>
  <c r="N27" i="10"/>
  <c r="M27" i="10"/>
  <c r="L27" i="10"/>
  <c r="K27" i="10"/>
  <c r="J27" i="10"/>
  <c r="I27" i="10"/>
  <c r="H27" i="10"/>
  <c r="G27" i="10"/>
  <c r="F27" i="10"/>
  <c r="E27" i="10"/>
  <c r="D27" i="10"/>
  <c r="C27" i="10"/>
  <c r="B27" i="10"/>
  <c r="A27" i="10"/>
  <c r="AT26" i="10"/>
  <c r="AS26" i="10"/>
  <c r="AR26" i="10"/>
  <c r="AQ26" i="10"/>
  <c r="AP26" i="10"/>
  <c r="V26" i="10"/>
  <c r="U26" i="10"/>
  <c r="T26" i="10"/>
  <c r="S26" i="10"/>
  <c r="R26" i="10"/>
  <c r="Q26" i="10"/>
  <c r="P26" i="10"/>
  <c r="O26" i="10"/>
  <c r="N26" i="10"/>
  <c r="M26" i="10"/>
  <c r="L26" i="10"/>
  <c r="K26" i="10"/>
  <c r="J26" i="10"/>
  <c r="I26" i="10"/>
  <c r="H26" i="10"/>
  <c r="G26" i="10"/>
  <c r="F26" i="10"/>
  <c r="E26" i="10"/>
  <c r="D26" i="10"/>
  <c r="C26" i="10"/>
  <c r="B26" i="10"/>
  <c r="A26" i="10"/>
  <c r="AT25" i="10"/>
  <c r="AS25" i="10"/>
  <c r="AR25" i="10"/>
  <c r="AQ25" i="10"/>
  <c r="AP25" i="10"/>
  <c r="V25" i="10"/>
  <c r="U25" i="10"/>
  <c r="T25" i="10"/>
  <c r="S25" i="10"/>
  <c r="R25" i="10"/>
  <c r="Q25" i="10"/>
  <c r="P25" i="10"/>
  <c r="O25" i="10"/>
  <c r="N25" i="10"/>
  <c r="M25" i="10"/>
  <c r="L25" i="10"/>
  <c r="K25" i="10"/>
  <c r="J25" i="10"/>
  <c r="I25" i="10"/>
  <c r="H25" i="10"/>
  <c r="G25" i="10"/>
  <c r="F25" i="10"/>
  <c r="E25" i="10"/>
  <c r="D25" i="10"/>
  <c r="C25" i="10"/>
  <c r="B25" i="10"/>
  <c r="A25" i="10"/>
  <c r="AT24" i="10"/>
  <c r="AS24" i="10"/>
  <c r="AR24" i="10"/>
  <c r="AQ24" i="10"/>
  <c r="AP24" i="10"/>
  <c r="V24" i="10"/>
  <c r="U24" i="10"/>
  <c r="T24" i="10"/>
  <c r="S24" i="10"/>
  <c r="R24" i="10"/>
  <c r="Q24" i="10"/>
  <c r="P24" i="10"/>
  <c r="O24" i="10"/>
  <c r="N24" i="10"/>
  <c r="M24" i="10"/>
  <c r="L24" i="10"/>
  <c r="K24" i="10"/>
  <c r="J24" i="10"/>
  <c r="I24" i="10"/>
  <c r="H24" i="10"/>
  <c r="G24" i="10"/>
  <c r="F24" i="10"/>
  <c r="E24" i="10"/>
  <c r="D24" i="10"/>
  <c r="C24" i="10"/>
  <c r="B24" i="10"/>
  <c r="A24" i="10"/>
  <c r="AT23" i="10"/>
  <c r="AS23" i="10"/>
  <c r="AR23" i="10"/>
  <c r="AQ23" i="10"/>
  <c r="AP23" i="10"/>
  <c r="V23" i="10"/>
  <c r="U23" i="10"/>
  <c r="T23" i="10"/>
  <c r="S23" i="10"/>
  <c r="R23" i="10"/>
  <c r="Q23" i="10"/>
  <c r="P23" i="10"/>
  <c r="O23" i="10"/>
  <c r="N23" i="10"/>
  <c r="M23" i="10"/>
  <c r="L23" i="10"/>
  <c r="K23" i="10"/>
  <c r="J23" i="10"/>
  <c r="I23" i="10"/>
  <c r="H23" i="10"/>
  <c r="G23" i="10"/>
  <c r="F23" i="10"/>
  <c r="E23" i="10"/>
  <c r="D23" i="10"/>
  <c r="C23" i="10"/>
  <c r="B23" i="10"/>
  <c r="A23" i="10"/>
  <c r="AT22" i="10"/>
  <c r="AS22" i="10"/>
  <c r="AR22" i="10"/>
  <c r="AQ22" i="10"/>
  <c r="AP22" i="10"/>
  <c r="V22" i="10"/>
  <c r="U22" i="10"/>
  <c r="T22" i="10"/>
  <c r="S22" i="10"/>
  <c r="R22" i="10"/>
  <c r="Q22" i="10"/>
  <c r="P22" i="10"/>
  <c r="O22" i="10"/>
  <c r="N22" i="10"/>
  <c r="M22" i="10"/>
  <c r="L22" i="10"/>
  <c r="K22" i="10"/>
  <c r="J22" i="10"/>
  <c r="I22" i="10"/>
  <c r="H22" i="10"/>
  <c r="G22" i="10"/>
  <c r="F22" i="10"/>
  <c r="E22" i="10"/>
  <c r="D22" i="10"/>
  <c r="C22" i="10"/>
  <c r="B22" i="10"/>
  <c r="A22" i="10"/>
  <c r="AT21" i="10"/>
  <c r="AS21" i="10"/>
  <c r="AR21" i="10"/>
  <c r="AQ21" i="10"/>
  <c r="AP21" i="10"/>
  <c r="V21" i="10"/>
  <c r="U21" i="10"/>
  <c r="T21" i="10"/>
  <c r="S21" i="10"/>
  <c r="R21" i="10"/>
  <c r="Q21" i="10"/>
  <c r="P21" i="10"/>
  <c r="O21" i="10"/>
  <c r="N21" i="10"/>
  <c r="M21" i="10"/>
  <c r="L21" i="10"/>
  <c r="K21" i="10"/>
  <c r="J21" i="10"/>
  <c r="I21" i="10"/>
  <c r="H21" i="10"/>
  <c r="G21" i="10"/>
  <c r="F21" i="10"/>
  <c r="E21" i="10"/>
  <c r="D21" i="10"/>
  <c r="C21" i="10"/>
  <c r="B21" i="10"/>
  <c r="A21" i="10"/>
  <c r="AT20" i="10"/>
  <c r="AS20" i="10"/>
  <c r="AR20" i="10"/>
  <c r="AQ20" i="10"/>
  <c r="AP20" i="10"/>
  <c r="V20" i="10"/>
  <c r="U20" i="10"/>
  <c r="T20" i="10"/>
  <c r="S20" i="10"/>
  <c r="R20" i="10"/>
  <c r="Q20" i="10"/>
  <c r="P20" i="10"/>
  <c r="O20" i="10"/>
  <c r="N20" i="10"/>
  <c r="M20" i="10"/>
  <c r="L20" i="10"/>
  <c r="K20" i="10"/>
  <c r="J20" i="10"/>
  <c r="I20" i="10"/>
  <c r="H20" i="10"/>
  <c r="G20" i="10"/>
  <c r="F20" i="10"/>
  <c r="E20" i="10"/>
  <c r="D20" i="10"/>
  <c r="C20" i="10"/>
  <c r="B20" i="10"/>
  <c r="A20" i="10"/>
  <c r="AT19" i="10"/>
  <c r="AS19" i="10"/>
  <c r="AR19" i="10"/>
  <c r="AQ19" i="10"/>
  <c r="AP19" i="10"/>
  <c r="V19" i="10"/>
  <c r="U19" i="10"/>
  <c r="T19" i="10"/>
  <c r="S19" i="10"/>
  <c r="R19" i="10"/>
  <c r="Q19" i="10"/>
  <c r="P19" i="10"/>
  <c r="O19" i="10"/>
  <c r="N19" i="10"/>
  <c r="M19" i="10"/>
  <c r="L19" i="10"/>
  <c r="K19" i="10"/>
  <c r="J19" i="10"/>
  <c r="I19" i="10"/>
  <c r="H19" i="10"/>
  <c r="G19" i="10"/>
  <c r="F19" i="10"/>
  <c r="E19" i="10"/>
  <c r="D19" i="10"/>
  <c r="C19" i="10"/>
  <c r="B19" i="10"/>
  <c r="A19" i="10"/>
  <c r="AT18" i="10"/>
  <c r="AS18" i="10"/>
  <c r="AR18" i="10"/>
  <c r="AQ18" i="10"/>
  <c r="AP18" i="10"/>
  <c r="V18" i="10"/>
  <c r="U18" i="10"/>
  <c r="T18" i="10"/>
  <c r="S18" i="10"/>
  <c r="R18" i="10"/>
  <c r="Q18" i="10"/>
  <c r="P18" i="10"/>
  <c r="O18" i="10"/>
  <c r="N18" i="10"/>
  <c r="M18" i="10"/>
  <c r="L18" i="10"/>
  <c r="K18" i="10"/>
  <c r="J18" i="10"/>
  <c r="I18" i="10"/>
  <c r="H18" i="10"/>
  <c r="G18" i="10"/>
  <c r="F18" i="10"/>
  <c r="E18" i="10"/>
  <c r="D18" i="10"/>
  <c r="C18" i="10"/>
  <c r="B18" i="10"/>
  <c r="A18" i="10"/>
  <c r="AT17" i="10"/>
  <c r="AS17" i="10"/>
  <c r="AR17" i="10"/>
  <c r="AQ17" i="10"/>
  <c r="AP17" i="10"/>
  <c r="V17" i="10"/>
  <c r="U17" i="10"/>
  <c r="T17" i="10"/>
  <c r="S17" i="10"/>
  <c r="R17" i="10"/>
  <c r="Q17" i="10"/>
  <c r="P17" i="10"/>
  <c r="O17" i="10"/>
  <c r="N17" i="10"/>
  <c r="M17" i="10"/>
  <c r="L17" i="10"/>
  <c r="K17" i="10"/>
  <c r="J17" i="10"/>
  <c r="I17" i="10"/>
  <c r="H17" i="10"/>
  <c r="G17" i="10"/>
  <c r="F17" i="10"/>
  <c r="E17" i="10"/>
  <c r="D17" i="10"/>
  <c r="C17" i="10"/>
  <c r="B17" i="10"/>
  <c r="A17" i="10"/>
  <c r="AT16" i="10"/>
  <c r="AS16" i="10"/>
  <c r="AR16" i="10"/>
  <c r="AQ16" i="10"/>
  <c r="AP16" i="10"/>
  <c r="V16" i="10"/>
  <c r="U16" i="10"/>
  <c r="T16" i="10"/>
  <c r="S16" i="10"/>
  <c r="R16" i="10"/>
  <c r="Q16" i="10"/>
  <c r="P16" i="10"/>
  <c r="O16" i="10"/>
  <c r="N16" i="10"/>
  <c r="M16" i="10"/>
  <c r="L16" i="10"/>
  <c r="K16" i="10"/>
  <c r="J16" i="10"/>
  <c r="I16" i="10"/>
  <c r="H16" i="10"/>
  <c r="G16" i="10"/>
  <c r="F16" i="10"/>
  <c r="E16" i="10"/>
  <c r="D16" i="10"/>
  <c r="C16" i="10"/>
  <c r="B16" i="10"/>
  <c r="A16" i="10"/>
  <c r="AT15" i="10"/>
  <c r="AS15" i="10"/>
  <c r="AR15" i="10"/>
  <c r="AQ15" i="10"/>
  <c r="AP15" i="10"/>
  <c r="V15" i="10"/>
  <c r="U15" i="10"/>
  <c r="T15" i="10"/>
  <c r="S15" i="10"/>
  <c r="R15" i="10"/>
  <c r="Q15" i="10"/>
  <c r="P15" i="10"/>
  <c r="O15" i="10"/>
  <c r="N15" i="10"/>
  <c r="M15" i="10"/>
  <c r="L15" i="10"/>
  <c r="K15" i="10"/>
  <c r="J15" i="10"/>
  <c r="I15" i="10"/>
  <c r="H15" i="10"/>
  <c r="G15" i="10"/>
  <c r="F15" i="10"/>
  <c r="E15" i="10"/>
  <c r="D15" i="10"/>
  <c r="C15" i="10"/>
  <c r="B15" i="10"/>
  <c r="A15" i="10"/>
  <c r="AT14" i="10"/>
  <c r="AS14" i="10"/>
  <c r="AR14" i="10"/>
  <c r="AQ14" i="10"/>
  <c r="AP14" i="10"/>
  <c r="V14" i="10"/>
  <c r="U14" i="10"/>
  <c r="T14" i="10"/>
  <c r="S14" i="10"/>
  <c r="R14" i="10"/>
  <c r="Q14" i="10"/>
  <c r="P14" i="10"/>
  <c r="O14" i="10"/>
  <c r="N14" i="10"/>
  <c r="M14" i="10"/>
  <c r="L14" i="10"/>
  <c r="K14" i="10"/>
  <c r="J14" i="10"/>
  <c r="I14" i="10"/>
  <c r="H14" i="10"/>
  <c r="G14" i="10"/>
  <c r="F14" i="10"/>
  <c r="E14" i="10"/>
  <c r="D14" i="10"/>
  <c r="C14" i="10"/>
  <c r="B14" i="10"/>
  <c r="A14" i="10"/>
  <c r="AT13" i="10"/>
  <c r="AS13" i="10"/>
  <c r="AR13" i="10"/>
  <c r="AQ13" i="10"/>
  <c r="AP13" i="10"/>
  <c r="V13" i="10"/>
  <c r="U13" i="10"/>
  <c r="T13" i="10"/>
  <c r="S13" i="10"/>
  <c r="R13" i="10"/>
  <c r="Q13" i="10"/>
  <c r="P13" i="10"/>
  <c r="O13" i="10"/>
  <c r="N13" i="10"/>
  <c r="M13" i="10"/>
  <c r="L13" i="10"/>
  <c r="K13" i="10"/>
  <c r="J13" i="10"/>
  <c r="I13" i="10"/>
  <c r="H13" i="10"/>
  <c r="G13" i="10"/>
  <c r="F13" i="10"/>
  <c r="E13" i="10"/>
  <c r="D13" i="10"/>
  <c r="C13" i="10"/>
  <c r="B13" i="10"/>
  <c r="A13" i="10"/>
  <c r="AT12" i="10"/>
  <c r="AS12" i="10"/>
  <c r="AR12" i="10"/>
  <c r="AQ12" i="10"/>
  <c r="AP12" i="10"/>
  <c r="V12" i="10"/>
  <c r="U12" i="10"/>
  <c r="T12" i="10"/>
  <c r="S12" i="10"/>
  <c r="R12" i="10"/>
  <c r="Q12" i="10"/>
  <c r="P12" i="10"/>
  <c r="O12" i="10"/>
  <c r="N12" i="10"/>
  <c r="M12" i="10"/>
  <c r="L12" i="10"/>
  <c r="K12" i="10"/>
  <c r="J12" i="10"/>
  <c r="I12" i="10"/>
  <c r="H12" i="10"/>
  <c r="G12" i="10"/>
  <c r="F12" i="10"/>
  <c r="E12" i="10"/>
  <c r="D12" i="10"/>
  <c r="C12" i="10"/>
  <c r="B12" i="10"/>
  <c r="A12" i="10"/>
  <c r="AT11" i="10"/>
  <c r="AS11" i="10"/>
  <c r="AR11" i="10"/>
  <c r="AQ11" i="10"/>
  <c r="AP11" i="10"/>
  <c r="V11" i="10"/>
  <c r="U11" i="10"/>
  <c r="T11" i="10"/>
  <c r="S11" i="10"/>
  <c r="R11" i="10"/>
  <c r="Q11" i="10"/>
  <c r="P11" i="10"/>
  <c r="O11" i="10"/>
  <c r="N11" i="10"/>
  <c r="M11" i="10"/>
  <c r="L11" i="10"/>
  <c r="K11" i="10"/>
  <c r="J11" i="10"/>
  <c r="I11" i="10"/>
  <c r="H11" i="10"/>
  <c r="G11" i="10"/>
  <c r="F11" i="10"/>
  <c r="E11" i="10"/>
  <c r="D11" i="10"/>
  <c r="C11" i="10"/>
  <c r="B11" i="10"/>
  <c r="A11" i="10"/>
  <c r="AT10" i="10"/>
  <c r="AS10" i="10"/>
  <c r="AR10" i="10"/>
  <c r="AQ10" i="10"/>
  <c r="AP10" i="10"/>
  <c r="V10" i="10"/>
  <c r="U10" i="10"/>
  <c r="T10" i="10"/>
  <c r="S10" i="10"/>
  <c r="R10" i="10"/>
  <c r="Q10" i="10"/>
  <c r="P10" i="10"/>
  <c r="O10" i="10"/>
  <c r="N10" i="10"/>
  <c r="M10" i="10"/>
  <c r="L10" i="10"/>
  <c r="K10" i="10"/>
  <c r="J10" i="10"/>
  <c r="I10" i="10"/>
  <c r="H10" i="10"/>
  <c r="G10" i="10"/>
  <c r="F10" i="10"/>
  <c r="E10" i="10"/>
  <c r="D10" i="10"/>
  <c r="C10" i="10"/>
  <c r="B10" i="10"/>
  <c r="A10" i="10"/>
  <c r="AT9" i="10"/>
  <c r="AS9" i="10"/>
  <c r="AR9" i="10"/>
  <c r="AQ9" i="10"/>
  <c r="AP9" i="10"/>
  <c r="V9" i="10"/>
  <c r="U9" i="10"/>
  <c r="T9" i="10"/>
  <c r="S9" i="10"/>
  <c r="R9" i="10"/>
  <c r="Q9" i="10"/>
  <c r="P9" i="10"/>
  <c r="O9" i="10"/>
  <c r="N9" i="10"/>
  <c r="M9" i="10"/>
  <c r="L9" i="10"/>
  <c r="K9" i="10"/>
  <c r="J9" i="10"/>
  <c r="I9" i="10"/>
  <c r="H9" i="10"/>
  <c r="G9" i="10"/>
  <c r="F9" i="10"/>
  <c r="E9" i="10"/>
  <c r="D9" i="10"/>
  <c r="C9" i="10"/>
  <c r="B9" i="10"/>
  <c r="A9" i="10"/>
  <c r="AT8" i="10"/>
  <c r="AS8" i="10"/>
  <c r="AR8" i="10"/>
  <c r="AQ8" i="10"/>
  <c r="AP8" i="10"/>
  <c r="V8" i="10"/>
  <c r="U8" i="10"/>
  <c r="T8" i="10"/>
  <c r="S8" i="10"/>
  <c r="R8" i="10"/>
  <c r="Q8" i="10"/>
  <c r="P8" i="10"/>
  <c r="O8" i="10"/>
  <c r="N8" i="10"/>
  <c r="M8" i="10"/>
  <c r="L8" i="10"/>
  <c r="K8" i="10"/>
  <c r="J8" i="10"/>
  <c r="I8" i="10"/>
  <c r="H8" i="10"/>
  <c r="G8" i="10"/>
  <c r="F8" i="10"/>
  <c r="E8" i="10"/>
  <c r="D8" i="10"/>
  <c r="C8" i="10"/>
  <c r="B8" i="10"/>
  <c r="A8" i="10"/>
  <c r="AT7" i="10"/>
  <c r="AS7" i="10"/>
  <c r="AR7" i="10"/>
  <c r="AQ7" i="10"/>
  <c r="AP7" i="10"/>
  <c r="V7" i="10"/>
  <c r="U7" i="10"/>
  <c r="T7" i="10"/>
  <c r="S7" i="10"/>
  <c r="R7" i="10"/>
  <c r="Q7" i="10"/>
  <c r="P7" i="10"/>
  <c r="O7" i="10"/>
  <c r="N7" i="10"/>
  <c r="M7" i="10"/>
  <c r="L7" i="10"/>
  <c r="K7" i="10"/>
  <c r="J7" i="10"/>
  <c r="I7" i="10"/>
  <c r="H7" i="10"/>
  <c r="G7" i="10"/>
  <c r="F7" i="10"/>
  <c r="E7" i="10"/>
  <c r="D7" i="10"/>
  <c r="C7" i="10"/>
  <c r="B7" i="10"/>
  <c r="A7" i="10"/>
  <c r="AT6" i="10"/>
  <c r="AS6" i="10"/>
  <c r="AR6" i="10"/>
  <c r="AQ6" i="10"/>
  <c r="AP6" i="10"/>
  <c r="V6" i="10"/>
  <c r="U6" i="10"/>
  <c r="T6" i="10"/>
  <c r="S6" i="10"/>
  <c r="R6" i="10"/>
  <c r="Q6" i="10"/>
  <c r="P6" i="10"/>
  <c r="O6" i="10"/>
  <c r="N6" i="10"/>
  <c r="M6" i="10"/>
  <c r="L6" i="10"/>
  <c r="K6" i="10"/>
  <c r="J6" i="10"/>
  <c r="I6" i="10"/>
  <c r="H6" i="10"/>
  <c r="G6" i="10"/>
  <c r="F6" i="10"/>
  <c r="E6" i="10"/>
  <c r="D6" i="10"/>
  <c r="C6" i="10"/>
  <c r="B6" i="10"/>
  <c r="A6" i="10"/>
  <c r="AT5" i="10"/>
  <c r="AS5" i="10"/>
  <c r="AR5" i="10"/>
  <c r="AQ5" i="10"/>
  <c r="AP5" i="10"/>
  <c r="V5" i="10"/>
  <c r="U5" i="10"/>
  <c r="T5" i="10"/>
  <c r="S5" i="10"/>
  <c r="R5" i="10"/>
  <c r="Q5" i="10"/>
  <c r="P5" i="10"/>
  <c r="O5" i="10"/>
  <c r="N5" i="10"/>
  <c r="M5" i="10"/>
  <c r="L5" i="10"/>
  <c r="K5" i="10"/>
  <c r="J5" i="10"/>
  <c r="I5" i="10"/>
  <c r="H5" i="10"/>
  <c r="G5" i="10"/>
  <c r="F5" i="10"/>
  <c r="E5" i="10"/>
  <c r="D5" i="10"/>
  <c r="C5" i="10"/>
  <c r="B5" i="10"/>
  <c r="A5" i="10"/>
  <c r="AT4" i="10"/>
  <c r="AS4" i="10"/>
  <c r="AR4" i="10"/>
  <c r="AQ4" i="10"/>
  <c r="AP4" i="10"/>
  <c r="V4" i="10"/>
  <c r="U4" i="10"/>
  <c r="T4" i="10"/>
  <c r="S4" i="10"/>
  <c r="R4" i="10"/>
  <c r="Q4" i="10"/>
  <c r="P4" i="10"/>
  <c r="O4" i="10"/>
  <c r="N4" i="10"/>
  <c r="M4" i="10"/>
  <c r="L4" i="10"/>
  <c r="K4" i="10"/>
  <c r="J4" i="10"/>
  <c r="I4" i="10"/>
  <c r="H4" i="10"/>
  <c r="G4" i="10"/>
  <c r="F4" i="10"/>
  <c r="E4" i="10"/>
  <c r="D4" i="10"/>
  <c r="C4" i="10"/>
  <c r="B4" i="10"/>
  <c r="A4" i="10"/>
  <c r="AT3" i="10"/>
  <c r="AS3" i="10"/>
  <c r="AR3" i="10"/>
  <c r="AQ3" i="10"/>
  <c r="AP3" i="10"/>
  <c r="V3" i="10"/>
  <c r="U3" i="10"/>
  <c r="T3" i="10"/>
  <c r="S3" i="10"/>
  <c r="R3" i="10"/>
  <c r="Q3" i="10"/>
  <c r="P3" i="10"/>
  <c r="O3" i="10"/>
  <c r="N3" i="10"/>
  <c r="M3" i="10"/>
  <c r="L3" i="10"/>
  <c r="K3" i="10"/>
  <c r="J3" i="10"/>
  <c r="I3" i="10"/>
  <c r="H3" i="10"/>
  <c r="G3" i="10"/>
  <c r="F3" i="10"/>
  <c r="E3" i="10"/>
  <c r="D3" i="10"/>
  <c r="C3" i="10"/>
  <c r="B3" i="10"/>
  <c r="A3" i="10"/>
  <c r="AT2" i="10"/>
  <c r="AS2" i="10"/>
  <c r="AR2" i="10"/>
  <c r="AQ2" i="10"/>
  <c r="AP2" i="10"/>
  <c r="V2" i="10"/>
  <c r="U2" i="10"/>
  <c r="T2" i="10"/>
  <c r="S2" i="10"/>
  <c r="R2" i="10"/>
  <c r="Q2" i="10"/>
  <c r="P2" i="10"/>
  <c r="O2" i="10"/>
  <c r="N2" i="10"/>
  <c r="M2" i="10"/>
  <c r="L2" i="10"/>
  <c r="K2" i="10"/>
  <c r="J2" i="10"/>
  <c r="I2" i="10"/>
  <c r="H2" i="10"/>
  <c r="G2" i="10"/>
  <c r="F2" i="10"/>
  <c r="E2" i="10"/>
  <c r="D2" i="10"/>
  <c r="C2" i="10"/>
  <c r="B2" i="10"/>
  <c r="K47" i="8"/>
  <c r="H47" i="8"/>
  <c r="B47" i="8"/>
  <c r="A47" i="8"/>
  <c r="K46" i="8"/>
  <c r="H46" i="8"/>
  <c r="B46" i="8"/>
  <c r="A46" i="8"/>
  <c r="K45" i="8"/>
  <c r="H45" i="8"/>
  <c r="B45" i="8"/>
  <c r="A45" i="8"/>
  <c r="K44" i="8"/>
  <c r="H44" i="8"/>
  <c r="B44" i="8"/>
  <c r="A44" i="8"/>
  <c r="K43" i="8"/>
  <c r="H43" i="8"/>
  <c r="B43" i="8"/>
  <c r="A43" i="8"/>
  <c r="K42" i="8"/>
  <c r="H42" i="8"/>
  <c r="B42" i="8"/>
  <c r="A42" i="8"/>
  <c r="K41" i="8"/>
  <c r="H41" i="8"/>
  <c r="B41" i="8"/>
  <c r="A41" i="8"/>
  <c r="K40" i="8"/>
  <c r="H40" i="8"/>
  <c r="B40" i="8"/>
  <c r="A40" i="8"/>
  <c r="K39" i="8"/>
  <c r="H39" i="8"/>
  <c r="B39" i="8"/>
  <c r="A39" i="8"/>
  <c r="K38" i="8"/>
  <c r="H38" i="8"/>
  <c r="B38" i="8"/>
  <c r="A38" i="8"/>
  <c r="K37" i="8"/>
  <c r="H37" i="8"/>
  <c r="B37" i="8"/>
  <c r="A37" i="8"/>
  <c r="K36" i="8"/>
  <c r="H36" i="8"/>
  <c r="B36" i="8"/>
  <c r="A36" i="8"/>
  <c r="K35" i="8"/>
  <c r="H35" i="8"/>
  <c r="B35" i="8"/>
  <c r="A35" i="8"/>
  <c r="K34" i="8"/>
  <c r="H34" i="8"/>
  <c r="B34" i="8"/>
  <c r="A34" i="8"/>
  <c r="K33" i="8"/>
  <c r="H33" i="8"/>
  <c r="B33" i="8"/>
  <c r="A33" i="8"/>
  <c r="K32" i="8"/>
  <c r="H32" i="8"/>
  <c r="B32" i="8"/>
  <c r="A32" i="8"/>
  <c r="K31" i="8"/>
  <c r="H31" i="8"/>
  <c r="B31" i="8"/>
  <c r="A31" i="8"/>
  <c r="K30" i="8"/>
  <c r="H30" i="8"/>
  <c r="B30" i="8"/>
  <c r="A30" i="8"/>
  <c r="K29" i="8"/>
  <c r="H29" i="8"/>
  <c r="B29" i="8"/>
  <c r="A29" i="8"/>
  <c r="K28" i="8"/>
  <c r="H28" i="8"/>
  <c r="B28" i="8"/>
  <c r="A28" i="8"/>
  <c r="K27" i="8"/>
  <c r="H27" i="8"/>
  <c r="B27" i="8"/>
  <c r="A27" i="8"/>
  <c r="K26" i="8"/>
  <c r="H26" i="8"/>
  <c r="B26" i="8"/>
  <c r="A26" i="8"/>
  <c r="K25" i="8"/>
  <c r="H25" i="8"/>
  <c r="B25" i="8"/>
  <c r="A25" i="8"/>
  <c r="K24" i="8"/>
  <c r="H24" i="8"/>
  <c r="B24" i="8"/>
  <c r="A24" i="8"/>
  <c r="K23" i="8"/>
  <c r="H23" i="8"/>
  <c r="B23" i="8"/>
  <c r="A23" i="8"/>
  <c r="K22" i="8"/>
  <c r="H22" i="8"/>
  <c r="B22" i="8"/>
  <c r="A22" i="8"/>
  <c r="K21" i="8"/>
  <c r="H21" i="8"/>
  <c r="B21" i="8"/>
  <c r="A21" i="8"/>
  <c r="K20" i="8"/>
  <c r="H20" i="8"/>
  <c r="B20" i="8"/>
  <c r="A20" i="8"/>
  <c r="K19" i="8"/>
  <c r="H19" i="8"/>
  <c r="B19" i="8"/>
  <c r="A19" i="8"/>
  <c r="N18" i="8"/>
  <c r="Q18" i="8" s="1"/>
  <c r="K18" i="8"/>
  <c r="H18" i="8"/>
  <c r="B18" i="8"/>
  <c r="A18" i="8"/>
  <c r="N17" i="8"/>
  <c r="Q17" i="8" s="1"/>
  <c r="K17" i="8"/>
  <c r="H17" i="8"/>
  <c r="B17" i="8"/>
  <c r="A17" i="8"/>
  <c r="N16" i="8"/>
  <c r="Q16" i="8" s="1"/>
  <c r="K16" i="8"/>
  <c r="H16" i="8"/>
  <c r="B16" i="8"/>
  <c r="A16" i="8"/>
  <c r="N15" i="8"/>
  <c r="Q15" i="8" s="1"/>
  <c r="K15" i="8"/>
  <c r="H15" i="8"/>
  <c r="B15" i="8"/>
  <c r="A15" i="8"/>
  <c r="N14" i="8"/>
  <c r="Q14" i="8" s="1"/>
  <c r="K14" i="8"/>
  <c r="H14" i="8"/>
  <c r="B14" i="8"/>
  <c r="A14" i="8"/>
  <c r="N13" i="8"/>
  <c r="Q13" i="8" s="1"/>
  <c r="K13" i="8"/>
  <c r="H13" i="8"/>
  <c r="B13" i="8"/>
  <c r="A13" i="8"/>
  <c r="N12" i="8"/>
  <c r="Q12" i="8" s="1"/>
  <c r="K12" i="8"/>
  <c r="H12" i="8"/>
  <c r="B12" i="8"/>
  <c r="A12" i="8"/>
  <c r="N11" i="8"/>
  <c r="Q11" i="8" s="1"/>
  <c r="K11" i="8"/>
  <c r="H11" i="8"/>
  <c r="B11" i="8"/>
  <c r="A11" i="8"/>
  <c r="N10" i="8"/>
  <c r="Q10" i="8" s="1"/>
  <c r="K10" i="8"/>
  <c r="H10" i="8"/>
  <c r="B10" i="8"/>
  <c r="A10" i="8"/>
  <c r="N9" i="8"/>
  <c r="Q9" i="8" s="1"/>
  <c r="K9" i="8"/>
  <c r="H9" i="8"/>
  <c r="B9" i="8"/>
  <c r="A9" i="8"/>
  <c r="N8" i="8"/>
  <c r="Q8" i="8" s="1"/>
  <c r="K8" i="8"/>
  <c r="H8" i="8"/>
  <c r="B8" i="8"/>
  <c r="A8" i="8"/>
  <c r="K7" i="8"/>
  <c r="H7" i="8"/>
  <c r="B7" i="8"/>
  <c r="A7" i="8"/>
  <c r="N6" i="8"/>
  <c r="Q6" i="8" s="1"/>
  <c r="K6" i="8"/>
  <c r="H6" i="8"/>
  <c r="B6" i="8"/>
  <c r="A6" i="8"/>
  <c r="N5" i="8"/>
  <c r="Q5" i="8" s="1"/>
  <c r="K5" i="8"/>
  <c r="H5" i="8"/>
  <c r="B5" i="8"/>
  <c r="A5" i="8"/>
  <c r="N4" i="8"/>
  <c r="Q4" i="8" s="1"/>
  <c r="K4" i="8"/>
  <c r="H4" i="8"/>
  <c r="B4" i="8"/>
  <c r="A4" i="8"/>
  <c r="N3" i="8"/>
  <c r="Q3" i="8" s="1"/>
  <c r="K3" i="8"/>
  <c r="H3" i="8"/>
  <c r="B3" i="8"/>
  <c r="A3" i="8"/>
  <c r="A62" i="7"/>
  <c r="AS60" i="7"/>
  <c r="AP60" i="7"/>
  <c r="AK60" i="7"/>
  <c r="AJ60" i="7"/>
  <c r="AI60" i="7"/>
  <c r="AF60" i="7"/>
  <c r="AG60" i="7" s="1"/>
  <c r="AE60" i="7"/>
  <c r="X60" i="7"/>
  <c r="O60" i="7"/>
  <c r="N60" i="7"/>
  <c r="AH60" i="7" s="1"/>
  <c r="AS59" i="7"/>
  <c r="AP59" i="7"/>
  <c r="AK59" i="7"/>
  <c r="AJ59" i="7"/>
  <c r="AI59" i="7"/>
  <c r="AF59" i="7"/>
  <c r="AG59" i="7" s="1"/>
  <c r="AE59" i="7"/>
  <c r="X59" i="7"/>
  <c r="O59" i="7"/>
  <c r="N59" i="7"/>
  <c r="AH59" i="7" s="1"/>
  <c r="AS58" i="7"/>
  <c r="AP58" i="7"/>
  <c r="AK58" i="7"/>
  <c r="AJ58" i="7"/>
  <c r="AI58" i="7"/>
  <c r="AF58" i="7"/>
  <c r="AG58" i="7" s="1"/>
  <c r="AE58" i="7"/>
  <c r="X58" i="7"/>
  <c r="O58" i="7"/>
  <c r="N58" i="7"/>
  <c r="AH58" i="7" s="1"/>
  <c r="AS57" i="7"/>
  <c r="AP57" i="7"/>
  <c r="AK57" i="7"/>
  <c r="AJ57" i="7"/>
  <c r="AI57" i="7"/>
  <c r="AF57" i="7"/>
  <c r="AG57" i="7" s="1"/>
  <c r="AE57" i="7"/>
  <c r="X57" i="7"/>
  <c r="O57" i="7"/>
  <c r="N57" i="7"/>
  <c r="AH57" i="7" s="1"/>
  <c r="AS56" i="7"/>
  <c r="AP56" i="7"/>
  <c r="AK56" i="7"/>
  <c r="AJ56" i="7"/>
  <c r="AI56" i="7"/>
  <c r="AF56" i="7"/>
  <c r="AG56" i="7" s="1"/>
  <c r="AE56" i="7"/>
  <c r="X56" i="7"/>
  <c r="O56" i="7"/>
  <c r="N56" i="7"/>
  <c r="AH56" i="7" s="1"/>
  <c r="AS55" i="7"/>
  <c r="AP55" i="7"/>
  <c r="AK55" i="7"/>
  <c r="AJ55" i="7"/>
  <c r="AI55" i="7"/>
  <c r="AF55" i="7"/>
  <c r="AG55" i="7" s="1"/>
  <c r="AE55" i="7"/>
  <c r="X55" i="7"/>
  <c r="O55" i="7"/>
  <c r="N55" i="7"/>
  <c r="AH55" i="7" s="1"/>
  <c r="AS54" i="7"/>
  <c r="AP54" i="7"/>
  <c r="AK54" i="7"/>
  <c r="AJ54" i="7"/>
  <c r="AI54" i="7"/>
  <c r="AF54" i="7"/>
  <c r="AG54" i="7" s="1"/>
  <c r="AE54" i="7"/>
  <c r="X54" i="7"/>
  <c r="O54" i="7"/>
  <c r="N54" i="7"/>
  <c r="AH54" i="7" s="1"/>
  <c r="AS53" i="7"/>
  <c r="AP53" i="7"/>
  <c r="AK53" i="7"/>
  <c r="AJ53" i="7"/>
  <c r="AI53" i="7"/>
  <c r="AF53" i="7"/>
  <c r="AG53" i="7" s="1"/>
  <c r="AE53" i="7"/>
  <c r="X53" i="7"/>
  <c r="O53" i="7"/>
  <c r="N53" i="7"/>
  <c r="AH53" i="7" s="1"/>
  <c r="AS52" i="7"/>
  <c r="AP52" i="7"/>
  <c r="AK52" i="7"/>
  <c r="AJ52" i="7"/>
  <c r="AI52" i="7"/>
  <c r="AF52" i="7"/>
  <c r="AG52" i="7" s="1"/>
  <c r="AE52" i="7"/>
  <c r="X52" i="7"/>
  <c r="O52" i="7"/>
  <c r="N52" i="7"/>
  <c r="AH52" i="7" s="1"/>
  <c r="AS6" i="7"/>
  <c r="AP6" i="7"/>
  <c r="AK6" i="7"/>
  <c r="AJ6" i="7"/>
  <c r="AI6" i="7"/>
  <c r="AE6" i="7"/>
  <c r="X6" i="7"/>
  <c r="O6" i="7"/>
  <c r="AF6" i="7" s="1"/>
  <c r="N6" i="7"/>
  <c r="AS26" i="7"/>
  <c r="AP26" i="7"/>
  <c r="AK26" i="7"/>
  <c r="AJ26" i="7"/>
  <c r="AI26" i="7"/>
  <c r="AE26" i="7"/>
  <c r="X26" i="7"/>
  <c r="O26" i="7"/>
  <c r="AF26" i="7" s="1"/>
  <c r="N26" i="7"/>
  <c r="AH26" i="7" s="1"/>
  <c r="AS25" i="7"/>
  <c r="AP25" i="7"/>
  <c r="AK25" i="7"/>
  <c r="AJ25" i="7"/>
  <c r="AI25" i="7"/>
  <c r="AE25" i="7"/>
  <c r="X25" i="7"/>
  <c r="O25" i="7"/>
  <c r="AF25" i="7" s="1"/>
  <c r="N25" i="7"/>
  <c r="AH25" i="7" s="1"/>
  <c r="AS13" i="7"/>
  <c r="AP13" i="7"/>
  <c r="AK13" i="7"/>
  <c r="AJ13" i="7"/>
  <c r="AI13" i="7"/>
  <c r="AF13" i="7"/>
  <c r="AG13" i="7" s="1"/>
  <c r="AE13" i="7"/>
  <c r="X13" i="7"/>
  <c r="O13" i="7"/>
  <c r="N13" i="7"/>
  <c r="AH13" i="7" s="1"/>
  <c r="AS8" i="7"/>
  <c r="AP8" i="7"/>
  <c r="AK8" i="7"/>
  <c r="AJ8" i="7"/>
  <c r="AI8" i="7"/>
  <c r="AE8" i="7"/>
  <c r="X8" i="7"/>
  <c r="O8" i="7"/>
  <c r="AF8" i="7" s="1"/>
  <c r="N8" i="7"/>
  <c r="AS33" i="7"/>
  <c r="AP33" i="7"/>
  <c r="AK33" i="7"/>
  <c r="AJ33" i="7"/>
  <c r="AI33" i="7"/>
  <c r="AF33" i="7"/>
  <c r="AG33" i="7" s="1"/>
  <c r="AE33" i="7"/>
  <c r="X33" i="7"/>
  <c r="O33" i="7"/>
  <c r="N33" i="7"/>
  <c r="AH33" i="7" s="1"/>
  <c r="AS24" i="7"/>
  <c r="AP24" i="7"/>
  <c r="AK24" i="7"/>
  <c r="AJ24" i="7"/>
  <c r="AI24" i="7"/>
  <c r="AF24" i="7"/>
  <c r="AG24" i="7" s="1"/>
  <c r="AE24" i="7"/>
  <c r="X24" i="7"/>
  <c r="O24" i="7"/>
  <c r="N24" i="7"/>
  <c r="AH24" i="7" s="1"/>
  <c r="AS30" i="7"/>
  <c r="AP30" i="7"/>
  <c r="AK30" i="7"/>
  <c r="AJ30" i="7"/>
  <c r="AI30" i="7"/>
  <c r="AF30" i="7"/>
  <c r="AG30" i="7" s="1"/>
  <c r="AE30" i="7"/>
  <c r="X30" i="7"/>
  <c r="O30" i="7"/>
  <c r="N30" i="7"/>
  <c r="AH30" i="7" s="1"/>
  <c r="AS10" i="7"/>
  <c r="AP10" i="7"/>
  <c r="AK10" i="7"/>
  <c r="AJ10" i="7"/>
  <c r="AI10" i="7"/>
  <c r="AE10" i="7"/>
  <c r="X10" i="7"/>
  <c r="O10" i="7"/>
  <c r="AF10" i="7" s="1"/>
  <c r="N10" i="7"/>
  <c r="AH10" i="7" s="1"/>
  <c r="AS28" i="7"/>
  <c r="AP28" i="7"/>
  <c r="AK28" i="7"/>
  <c r="AJ28" i="7"/>
  <c r="AI28" i="7"/>
  <c r="AF28" i="7"/>
  <c r="AG28" i="7" s="1"/>
  <c r="AE28" i="7"/>
  <c r="X28" i="7"/>
  <c r="O28" i="7"/>
  <c r="N28" i="7"/>
  <c r="AH28" i="7" s="1"/>
  <c r="AS35" i="7"/>
  <c r="AP35" i="7"/>
  <c r="AK35" i="7"/>
  <c r="AJ35" i="7"/>
  <c r="AI35" i="7"/>
  <c r="AF35" i="7"/>
  <c r="AG35" i="7" s="1"/>
  <c r="AE35" i="7"/>
  <c r="X35" i="7"/>
  <c r="O35" i="7"/>
  <c r="N35" i="7"/>
  <c r="AH35" i="7" s="1"/>
  <c r="AS50" i="7"/>
  <c r="AP50" i="7"/>
  <c r="AK50" i="7"/>
  <c r="AJ50" i="7"/>
  <c r="AI50" i="7"/>
  <c r="AF50" i="7"/>
  <c r="AG50" i="7" s="1"/>
  <c r="AE50" i="7"/>
  <c r="X50" i="7"/>
  <c r="O50" i="7"/>
  <c r="N50" i="7"/>
  <c r="AH50" i="7" s="1"/>
  <c r="AS39" i="7"/>
  <c r="AP39" i="7"/>
  <c r="AK39" i="7"/>
  <c r="AJ39" i="7"/>
  <c r="AI39" i="7"/>
  <c r="E39" i="8" s="1"/>
  <c r="AF39" i="7"/>
  <c r="AG39" i="7" s="1"/>
  <c r="AE39" i="7"/>
  <c r="X39" i="7"/>
  <c r="O39" i="7"/>
  <c r="N39" i="7"/>
  <c r="AH39" i="7" s="1"/>
  <c r="AS34" i="7"/>
  <c r="AP34" i="7"/>
  <c r="AK34" i="7"/>
  <c r="AJ34" i="7"/>
  <c r="AI34" i="7"/>
  <c r="AF34" i="7"/>
  <c r="AG34" i="7" s="1"/>
  <c r="AE34" i="7"/>
  <c r="X34" i="7"/>
  <c r="O34" i="7"/>
  <c r="N34" i="7"/>
  <c r="AH34" i="7" s="1"/>
  <c r="AS48" i="7"/>
  <c r="AP48" i="7"/>
  <c r="AK48" i="7"/>
  <c r="AJ48" i="7"/>
  <c r="AI48" i="7"/>
  <c r="AF48" i="7"/>
  <c r="AG48" i="7" s="1"/>
  <c r="AE48" i="7"/>
  <c r="X48" i="7"/>
  <c r="O48" i="7"/>
  <c r="N48" i="7"/>
  <c r="AH48" i="7" s="1"/>
  <c r="AS18" i="7"/>
  <c r="AP18" i="7"/>
  <c r="AK18" i="7"/>
  <c r="AJ18" i="7"/>
  <c r="AI18" i="7"/>
  <c r="AF18" i="7"/>
  <c r="AG18" i="7" s="1"/>
  <c r="AE18" i="7"/>
  <c r="X18" i="7"/>
  <c r="O18" i="7"/>
  <c r="N18" i="7"/>
  <c r="AH18" i="7" s="1"/>
  <c r="AS49" i="7"/>
  <c r="AP49" i="7"/>
  <c r="AK49" i="7"/>
  <c r="AJ49" i="7"/>
  <c r="AI49" i="7"/>
  <c r="E35" i="8" s="1"/>
  <c r="AF49" i="7"/>
  <c r="AG49" i="7" s="1"/>
  <c r="AE49" i="7"/>
  <c r="X49" i="7"/>
  <c r="O49" i="7"/>
  <c r="N49" i="7"/>
  <c r="AH49" i="7" s="1"/>
  <c r="AS16" i="7"/>
  <c r="AP16" i="7"/>
  <c r="AK16" i="7"/>
  <c r="AJ16" i="7"/>
  <c r="AI16" i="7"/>
  <c r="E34" i="8" s="1"/>
  <c r="AF16" i="7"/>
  <c r="AG16" i="7" s="1"/>
  <c r="AE16" i="7"/>
  <c r="X16" i="7"/>
  <c r="O16" i="7"/>
  <c r="N16" i="7"/>
  <c r="AH16" i="7" s="1"/>
  <c r="AS20" i="7"/>
  <c r="AP20" i="7"/>
  <c r="AK20" i="7"/>
  <c r="AJ20" i="7"/>
  <c r="AI20" i="7"/>
  <c r="AF20" i="7"/>
  <c r="AG20" i="7" s="1"/>
  <c r="AE20" i="7"/>
  <c r="X20" i="7"/>
  <c r="O20" i="7"/>
  <c r="N20" i="7"/>
  <c r="AH20" i="7" s="1"/>
  <c r="AS12" i="7"/>
  <c r="AP12" i="7"/>
  <c r="AK12" i="7"/>
  <c r="AJ12" i="7"/>
  <c r="AI12" i="7"/>
  <c r="AF12" i="7"/>
  <c r="AG12" i="7" s="1"/>
  <c r="AE12" i="7"/>
  <c r="X12" i="7"/>
  <c r="O12" i="7"/>
  <c r="N12" i="7"/>
  <c r="AH12" i="7" s="1"/>
  <c r="AS44" i="7"/>
  <c r="AP44" i="7"/>
  <c r="AK44" i="7"/>
  <c r="AJ44" i="7"/>
  <c r="AI44" i="7"/>
  <c r="AF44" i="7"/>
  <c r="AG44" i="7" s="1"/>
  <c r="AE44" i="7"/>
  <c r="X44" i="7"/>
  <c r="O44" i="7"/>
  <c r="N44" i="7"/>
  <c r="AH44" i="7" s="1"/>
  <c r="AS41" i="7"/>
  <c r="AP41" i="7"/>
  <c r="AK41" i="7"/>
  <c r="AJ41" i="7"/>
  <c r="AI41" i="7"/>
  <c r="E30" i="8" s="1"/>
  <c r="AF41" i="7"/>
  <c r="AG41" i="7" s="1"/>
  <c r="AE41" i="7"/>
  <c r="X41" i="7"/>
  <c r="O41" i="7"/>
  <c r="N41" i="7"/>
  <c r="AH41" i="7" s="1"/>
  <c r="AS40" i="7"/>
  <c r="AP40" i="7"/>
  <c r="AK40" i="7"/>
  <c r="AJ40" i="7"/>
  <c r="AI40" i="7"/>
  <c r="AF40" i="7"/>
  <c r="AG40" i="7" s="1"/>
  <c r="AE40" i="7"/>
  <c r="X40" i="7"/>
  <c r="O40" i="7"/>
  <c r="N40" i="7"/>
  <c r="AH40" i="7" s="1"/>
  <c r="AS32" i="7"/>
  <c r="AP32" i="7"/>
  <c r="AK32" i="7"/>
  <c r="AJ32" i="7"/>
  <c r="AI32" i="7"/>
  <c r="E28" i="8" s="1"/>
  <c r="AF32" i="7"/>
  <c r="AG32" i="7" s="1"/>
  <c r="AE32" i="7"/>
  <c r="X32" i="7"/>
  <c r="O32" i="7"/>
  <c r="N32" i="7"/>
  <c r="AH32" i="7" s="1"/>
  <c r="AS46" i="7"/>
  <c r="AP46" i="7"/>
  <c r="AK46" i="7"/>
  <c r="AJ46" i="7"/>
  <c r="AI46" i="7"/>
  <c r="AF46" i="7"/>
  <c r="AG46" i="7" s="1"/>
  <c r="AE46" i="7"/>
  <c r="X46" i="7"/>
  <c r="O46" i="7"/>
  <c r="N46" i="7"/>
  <c r="AH46" i="7" s="1"/>
  <c r="AS47" i="7"/>
  <c r="AP47" i="7"/>
  <c r="AK47" i="7"/>
  <c r="AJ47" i="7"/>
  <c r="AI47" i="7"/>
  <c r="E26" i="8" s="1"/>
  <c r="AF47" i="7"/>
  <c r="AG47" i="7" s="1"/>
  <c r="AE47" i="7"/>
  <c r="X47" i="7"/>
  <c r="O47" i="7"/>
  <c r="N47" i="7"/>
  <c r="AH47" i="7" s="1"/>
  <c r="AS36" i="7"/>
  <c r="AP36" i="7"/>
  <c r="AK36" i="7"/>
  <c r="AJ36" i="7"/>
  <c r="AI36" i="7"/>
  <c r="E25" i="8" s="1"/>
  <c r="AF36" i="7"/>
  <c r="AG36" i="7" s="1"/>
  <c r="AE36" i="7"/>
  <c r="X36" i="7"/>
  <c r="O36" i="7"/>
  <c r="N36" i="7"/>
  <c r="AH36" i="7" s="1"/>
  <c r="AS42" i="7"/>
  <c r="AP42" i="7"/>
  <c r="AK42" i="7"/>
  <c r="AJ42" i="7"/>
  <c r="AI42" i="7"/>
  <c r="E24" i="8" s="1"/>
  <c r="AF42" i="7"/>
  <c r="AG42" i="7" s="1"/>
  <c r="AE42" i="7"/>
  <c r="X42" i="7"/>
  <c r="O42" i="7"/>
  <c r="N42" i="7"/>
  <c r="AH42" i="7" s="1"/>
  <c r="AS31" i="7"/>
  <c r="AP31" i="7"/>
  <c r="AK31" i="7"/>
  <c r="AJ31" i="7"/>
  <c r="AI31" i="7"/>
  <c r="AF31" i="7"/>
  <c r="AG31" i="7" s="1"/>
  <c r="AE31" i="7"/>
  <c r="X31" i="7"/>
  <c r="O31" i="7"/>
  <c r="N31" i="7"/>
  <c r="AH31" i="7" s="1"/>
  <c r="AS51" i="7"/>
  <c r="AP51" i="7"/>
  <c r="AK51" i="7"/>
  <c r="AJ51" i="7"/>
  <c r="AI51" i="7"/>
  <c r="AF51" i="7"/>
  <c r="AG51" i="7" s="1"/>
  <c r="AE51" i="7"/>
  <c r="X51" i="7"/>
  <c r="O51" i="7"/>
  <c r="N51" i="7"/>
  <c r="AH51" i="7" s="1"/>
  <c r="AS38" i="7"/>
  <c r="AP38" i="7"/>
  <c r="AK38" i="7"/>
  <c r="AJ38" i="7"/>
  <c r="AI38" i="7"/>
  <c r="AF38" i="7"/>
  <c r="AE38" i="7"/>
  <c r="X38" i="7"/>
  <c r="O38" i="7"/>
  <c r="N38" i="7"/>
  <c r="AS22" i="7"/>
  <c r="AP22" i="7"/>
  <c r="AK22" i="7"/>
  <c r="AJ22" i="7"/>
  <c r="AI22" i="7"/>
  <c r="E20" i="8" s="1"/>
  <c r="AE22" i="7"/>
  <c r="X22" i="7"/>
  <c r="O22" i="7"/>
  <c r="AF22" i="7" s="1"/>
  <c r="N22" i="7"/>
  <c r="AH22" i="7" s="1"/>
  <c r="AS9" i="7"/>
  <c r="AP9" i="7"/>
  <c r="AK9" i="7"/>
  <c r="AJ9" i="7"/>
  <c r="AI9" i="7"/>
  <c r="AE9" i="7"/>
  <c r="X9" i="7"/>
  <c r="O9" i="7"/>
  <c r="AF9" i="7" s="1"/>
  <c r="N9" i="7"/>
  <c r="AH9" i="7" s="1"/>
  <c r="AS15" i="7"/>
  <c r="AP15" i="7"/>
  <c r="AK15" i="7"/>
  <c r="AJ15" i="7"/>
  <c r="AI15" i="7"/>
  <c r="E18" i="8" s="1"/>
  <c r="AE15" i="7"/>
  <c r="X15" i="7"/>
  <c r="O15" i="7"/>
  <c r="AF15" i="7" s="1"/>
  <c r="N15" i="7"/>
  <c r="AH15" i="7" s="1"/>
  <c r="AS7" i="7"/>
  <c r="AP7" i="7"/>
  <c r="AK7" i="7"/>
  <c r="AJ7" i="7"/>
  <c r="AI7" i="7"/>
  <c r="AE7" i="7"/>
  <c r="X7" i="7"/>
  <c r="O7" i="7"/>
  <c r="AF7" i="7" s="1"/>
  <c r="N7" i="7"/>
  <c r="AS19" i="7"/>
  <c r="AP19" i="7"/>
  <c r="AK19" i="7"/>
  <c r="AJ19" i="7"/>
  <c r="AI19" i="7"/>
  <c r="AE19" i="7"/>
  <c r="X19" i="7"/>
  <c r="O19" i="7"/>
  <c r="AF19" i="7" s="1"/>
  <c r="N19" i="7"/>
  <c r="AH19" i="7" s="1"/>
  <c r="AS23" i="7"/>
  <c r="AP23" i="7"/>
  <c r="AK23" i="7"/>
  <c r="AJ23" i="7"/>
  <c r="AI23" i="7"/>
  <c r="AE23" i="7"/>
  <c r="X23" i="7"/>
  <c r="O23" i="7"/>
  <c r="AF23" i="7" s="1"/>
  <c r="N23" i="7"/>
  <c r="AH23" i="7" s="1"/>
  <c r="AS17" i="7"/>
  <c r="AP17" i="7"/>
  <c r="AK17" i="7"/>
  <c r="AJ17" i="7"/>
  <c r="AI17" i="7"/>
  <c r="AE17" i="7"/>
  <c r="X17" i="7"/>
  <c r="O17" i="7"/>
  <c r="AF17" i="7" s="1"/>
  <c r="N17" i="7"/>
  <c r="AH17" i="7" s="1"/>
  <c r="AS5" i="7"/>
  <c r="AP5" i="7"/>
  <c r="AK5" i="7"/>
  <c r="J16" i="6" s="1"/>
  <c r="AJ5" i="7"/>
  <c r="I16" i="6" s="1"/>
  <c r="AI5" i="7"/>
  <c r="H16" i="6" s="1"/>
  <c r="AE5" i="7"/>
  <c r="X5" i="7"/>
  <c r="O5" i="7"/>
  <c r="AF5" i="7" s="1"/>
  <c r="N5" i="7"/>
  <c r="AS3" i="7"/>
  <c r="AP3" i="7"/>
  <c r="AK3" i="7"/>
  <c r="J14" i="6" s="1"/>
  <c r="AJ3" i="7"/>
  <c r="I14" i="6" s="1"/>
  <c r="AI3" i="7"/>
  <c r="AE3" i="7"/>
  <c r="X3" i="7"/>
  <c r="O3" i="7"/>
  <c r="N3" i="7"/>
  <c r="AS43" i="7"/>
  <c r="AP43" i="7"/>
  <c r="AK43" i="7"/>
  <c r="AJ43" i="7"/>
  <c r="AI43" i="7"/>
  <c r="AF43" i="7"/>
  <c r="AE43" i="7"/>
  <c r="X43" i="7"/>
  <c r="O43" i="7"/>
  <c r="N43" i="7"/>
  <c r="AS37" i="7"/>
  <c r="AP37" i="7"/>
  <c r="AK37" i="7"/>
  <c r="J9" i="6" s="1"/>
  <c r="AJ37" i="7"/>
  <c r="I9" i="6" s="1"/>
  <c r="AI37" i="7"/>
  <c r="AF37" i="7"/>
  <c r="AE37" i="7"/>
  <c r="X37" i="7"/>
  <c r="O37" i="7"/>
  <c r="N37" i="7"/>
  <c r="AS45" i="7"/>
  <c r="AP45" i="7"/>
  <c r="AK45" i="7"/>
  <c r="J8" i="6" s="1"/>
  <c r="AJ45" i="7"/>
  <c r="I8" i="6" s="1"/>
  <c r="AI45" i="7"/>
  <c r="AF45" i="7"/>
  <c r="AE45" i="7"/>
  <c r="X45" i="7"/>
  <c r="O45" i="7"/>
  <c r="N45" i="7"/>
  <c r="AS14" i="7"/>
  <c r="AP14" i="7"/>
  <c r="AK14" i="7"/>
  <c r="AJ14" i="7"/>
  <c r="AI14" i="7"/>
  <c r="H7" i="6" s="1"/>
  <c r="AE14" i="7"/>
  <c r="X14" i="7"/>
  <c r="O14" i="7"/>
  <c r="AF14" i="7" s="1"/>
  <c r="N14" i="7"/>
  <c r="AS27" i="7"/>
  <c r="AP27" i="7"/>
  <c r="AK27" i="7"/>
  <c r="J6" i="6" s="1"/>
  <c r="AJ27" i="7"/>
  <c r="I6" i="6" s="1"/>
  <c r="AI27" i="7"/>
  <c r="AE27" i="7"/>
  <c r="X27" i="7"/>
  <c r="O27" i="7"/>
  <c r="AF27" i="7" s="1"/>
  <c r="N27" i="7"/>
  <c r="AS4" i="7"/>
  <c r="AP4" i="7"/>
  <c r="AK4" i="7"/>
  <c r="AJ4" i="7"/>
  <c r="AI4" i="7"/>
  <c r="AE4" i="7"/>
  <c r="X4" i="7"/>
  <c r="O4" i="7"/>
  <c r="AF4" i="7" s="1"/>
  <c r="N4" i="7"/>
  <c r="D15" i="6" s="1"/>
  <c r="AS11" i="7"/>
  <c r="AP11" i="7"/>
  <c r="AK11" i="7"/>
  <c r="J4" i="6" s="1"/>
  <c r="AJ11" i="7"/>
  <c r="AI11" i="7"/>
  <c r="AE11" i="7"/>
  <c r="X11" i="7"/>
  <c r="O11" i="7"/>
  <c r="AF11" i="7" s="1"/>
  <c r="N11" i="7"/>
  <c r="AS21" i="7"/>
  <c r="AP21" i="7"/>
  <c r="AK21" i="7"/>
  <c r="AJ21" i="7"/>
  <c r="I3" i="6" s="1"/>
  <c r="AI21" i="7"/>
  <c r="AE21" i="7"/>
  <c r="X21" i="7"/>
  <c r="O21" i="7"/>
  <c r="AF21" i="7" s="1"/>
  <c r="N21" i="7"/>
  <c r="AS29" i="7"/>
  <c r="AP29" i="7"/>
  <c r="AK29" i="7"/>
  <c r="J2" i="6" s="1"/>
  <c r="AJ29" i="7"/>
  <c r="I2" i="6" s="1"/>
  <c r="AI29" i="7"/>
  <c r="AE29" i="7"/>
  <c r="X29" i="7"/>
  <c r="O29" i="7"/>
  <c r="AF29" i="7" s="1"/>
  <c r="N29" i="7"/>
  <c r="J50" i="6"/>
  <c r="I50" i="6"/>
  <c r="H50" i="6"/>
  <c r="D50" i="6"/>
  <c r="C50" i="6"/>
  <c r="B50" i="6"/>
  <c r="A50" i="6"/>
  <c r="J49" i="6"/>
  <c r="I49" i="6"/>
  <c r="H49" i="6"/>
  <c r="D49" i="6"/>
  <c r="C49" i="6"/>
  <c r="B49" i="6"/>
  <c r="A49" i="6"/>
  <c r="I48" i="6"/>
  <c r="H48" i="6"/>
  <c r="D48" i="6"/>
  <c r="C48" i="6"/>
  <c r="B48" i="6"/>
  <c r="A48" i="6"/>
  <c r="J47" i="6"/>
  <c r="I47" i="6"/>
  <c r="H47" i="6"/>
  <c r="E47" i="6"/>
  <c r="D47" i="6"/>
  <c r="C47" i="6"/>
  <c r="B47" i="6"/>
  <c r="A47" i="6"/>
  <c r="J46" i="6"/>
  <c r="I46" i="6"/>
  <c r="H46" i="6"/>
  <c r="D46" i="6"/>
  <c r="C46" i="6"/>
  <c r="B46" i="6"/>
  <c r="A46" i="6"/>
  <c r="J45" i="6"/>
  <c r="I45" i="6"/>
  <c r="H45" i="6"/>
  <c r="E45" i="6"/>
  <c r="D45" i="6"/>
  <c r="C45" i="6"/>
  <c r="B45" i="6"/>
  <c r="A45" i="6"/>
  <c r="J44" i="6"/>
  <c r="I44" i="6"/>
  <c r="H44" i="6"/>
  <c r="E44" i="6"/>
  <c r="D44" i="6"/>
  <c r="C44" i="6"/>
  <c r="B44" i="6"/>
  <c r="A44" i="6"/>
  <c r="J43" i="6"/>
  <c r="I43" i="6"/>
  <c r="H43" i="6"/>
  <c r="E43" i="6"/>
  <c r="D43" i="6"/>
  <c r="C43" i="6"/>
  <c r="B43" i="6"/>
  <c r="A43" i="6"/>
  <c r="J42" i="6"/>
  <c r="I42" i="6"/>
  <c r="H42" i="6"/>
  <c r="D42" i="6"/>
  <c r="C42" i="6"/>
  <c r="B42" i="6"/>
  <c r="A42" i="6"/>
  <c r="J41" i="6"/>
  <c r="I41" i="6"/>
  <c r="H41" i="6"/>
  <c r="E41" i="6"/>
  <c r="D41" i="6"/>
  <c r="C41" i="6"/>
  <c r="B41" i="6"/>
  <c r="A41" i="6"/>
  <c r="J40" i="6"/>
  <c r="I40" i="6"/>
  <c r="H40" i="6"/>
  <c r="E40" i="6"/>
  <c r="D40" i="6"/>
  <c r="C40" i="6"/>
  <c r="B40" i="6"/>
  <c r="A40" i="6"/>
  <c r="J39" i="6"/>
  <c r="I39" i="6"/>
  <c r="H39" i="6"/>
  <c r="E39" i="6"/>
  <c r="D39" i="6"/>
  <c r="C39" i="6"/>
  <c r="B39" i="6"/>
  <c r="A39" i="6"/>
  <c r="J38" i="6"/>
  <c r="I38" i="6"/>
  <c r="H38" i="6"/>
  <c r="E38" i="6"/>
  <c r="D38" i="6"/>
  <c r="C38" i="6"/>
  <c r="B38" i="6"/>
  <c r="A38" i="6"/>
  <c r="J37" i="6"/>
  <c r="I37" i="6"/>
  <c r="H37" i="6"/>
  <c r="E37" i="6"/>
  <c r="D37" i="6"/>
  <c r="C37" i="6"/>
  <c r="B37" i="6"/>
  <c r="A37" i="6"/>
  <c r="J36" i="6"/>
  <c r="I36" i="6"/>
  <c r="H36" i="6"/>
  <c r="E36" i="6"/>
  <c r="D36" i="6"/>
  <c r="C36" i="6"/>
  <c r="B36" i="6"/>
  <c r="A36" i="6"/>
  <c r="J35" i="6"/>
  <c r="I35" i="6"/>
  <c r="H35" i="6"/>
  <c r="E35" i="6"/>
  <c r="D35" i="6"/>
  <c r="C35" i="6"/>
  <c r="B35" i="6"/>
  <c r="A35" i="6"/>
  <c r="J34" i="6"/>
  <c r="I34" i="6"/>
  <c r="H34" i="6"/>
  <c r="E34" i="6"/>
  <c r="D34" i="6"/>
  <c r="C34" i="6"/>
  <c r="B34" i="6"/>
  <c r="A34" i="6"/>
  <c r="J33" i="6"/>
  <c r="I33" i="6"/>
  <c r="H33" i="6"/>
  <c r="E33" i="6"/>
  <c r="D33" i="6"/>
  <c r="C33" i="6"/>
  <c r="B33" i="6"/>
  <c r="A33" i="6"/>
  <c r="J32" i="6"/>
  <c r="I32" i="6"/>
  <c r="H32" i="6"/>
  <c r="E32" i="6"/>
  <c r="D32" i="6"/>
  <c r="C32" i="6"/>
  <c r="B32" i="6"/>
  <c r="A32" i="6"/>
  <c r="J31" i="6"/>
  <c r="I31" i="6"/>
  <c r="H31" i="6"/>
  <c r="E31" i="6"/>
  <c r="D31" i="6"/>
  <c r="C31" i="6"/>
  <c r="B31" i="6"/>
  <c r="A31" i="6"/>
  <c r="J30" i="6"/>
  <c r="I30" i="6"/>
  <c r="H30" i="6"/>
  <c r="E30" i="6"/>
  <c r="D30" i="6"/>
  <c r="C30" i="6"/>
  <c r="B30" i="6"/>
  <c r="A30" i="6"/>
  <c r="J29" i="6"/>
  <c r="I29" i="6"/>
  <c r="H29" i="6"/>
  <c r="E29" i="6"/>
  <c r="D29" i="6"/>
  <c r="C29" i="6"/>
  <c r="B29" i="6"/>
  <c r="A29" i="6"/>
  <c r="J28" i="6"/>
  <c r="I28" i="6"/>
  <c r="H28" i="6"/>
  <c r="E28" i="6"/>
  <c r="D28" i="6"/>
  <c r="C28" i="6"/>
  <c r="B28" i="6"/>
  <c r="A28" i="6"/>
  <c r="J27" i="6"/>
  <c r="I27" i="6"/>
  <c r="H27" i="6"/>
  <c r="E27" i="6"/>
  <c r="D27" i="6"/>
  <c r="C27" i="6"/>
  <c r="B27" i="6"/>
  <c r="A27" i="6"/>
  <c r="J26" i="6"/>
  <c r="I26" i="6"/>
  <c r="H26" i="6"/>
  <c r="E26" i="6"/>
  <c r="D26" i="6"/>
  <c r="C26" i="6"/>
  <c r="B26" i="6"/>
  <c r="A26" i="6"/>
  <c r="J25" i="6"/>
  <c r="I25" i="6"/>
  <c r="H25" i="6"/>
  <c r="E25" i="6"/>
  <c r="D25" i="6"/>
  <c r="C25" i="6"/>
  <c r="B25" i="6"/>
  <c r="A25" i="6"/>
  <c r="J24" i="6"/>
  <c r="I24" i="6"/>
  <c r="H24" i="6"/>
  <c r="E24" i="6"/>
  <c r="D24" i="6"/>
  <c r="C24" i="6"/>
  <c r="B24" i="6"/>
  <c r="A24" i="6"/>
  <c r="J23" i="6"/>
  <c r="I23" i="6"/>
  <c r="H23" i="6"/>
  <c r="E23" i="6"/>
  <c r="D23" i="6"/>
  <c r="C23" i="6"/>
  <c r="B23" i="6"/>
  <c r="A23" i="6"/>
  <c r="J22" i="6"/>
  <c r="I22" i="6"/>
  <c r="H22" i="6"/>
  <c r="E22" i="6"/>
  <c r="D22" i="6"/>
  <c r="C22" i="6"/>
  <c r="B22" i="6"/>
  <c r="A22" i="6"/>
  <c r="J21" i="6"/>
  <c r="I21" i="6"/>
  <c r="H21" i="6"/>
  <c r="E21" i="6"/>
  <c r="D21" i="6"/>
  <c r="C21" i="6"/>
  <c r="B21" i="6"/>
  <c r="A21" i="6"/>
  <c r="C20" i="6"/>
  <c r="B20" i="6"/>
  <c r="A20" i="6"/>
  <c r="C19" i="6"/>
  <c r="B19" i="6"/>
  <c r="A19" i="6"/>
  <c r="C18" i="6"/>
  <c r="B18" i="6"/>
  <c r="A18" i="6"/>
  <c r="C17" i="6"/>
  <c r="B17" i="6"/>
  <c r="A17" i="6"/>
  <c r="C16" i="6"/>
  <c r="B16" i="6"/>
  <c r="A16" i="6"/>
  <c r="C15" i="6"/>
  <c r="B15" i="6"/>
  <c r="A15" i="6"/>
  <c r="C14" i="6"/>
  <c r="B14" i="6"/>
  <c r="A14" i="6"/>
  <c r="J13" i="6"/>
  <c r="I13" i="6"/>
  <c r="H13" i="6"/>
  <c r="D13" i="6"/>
  <c r="C13" i="6"/>
  <c r="B13" i="6"/>
  <c r="A13" i="6"/>
  <c r="J12" i="6"/>
  <c r="I12" i="6"/>
  <c r="H12" i="6"/>
  <c r="D12" i="6"/>
  <c r="C12" i="6"/>
  <c r="B12" i="6"/>
  <c r="A12" i="6"/>
  <c r="J11" i="6"/>
  <c r="I11" i="6"/>
  <c r="H11" i="6"/>
  <c r="D11" i="6"/>
  <c r="C11" i="6"/>
  <c r="B11" i="6"/>
  <c r="A11" i="6"/>
  <c r="C10" i="6"/>
  <c r="B10" i="6"/>
  <c r="A10" i="6"/>
  <c r="C9" i="6"/>
  <c r="B9" i="6"/>
  <c r="A9" i="6"/>
  <c r="C8" i="6"/>
  <c r="B8" i="6"/>
  <c r="A8" i="6"/>
  <c r="J7" i="6"/>
  <c r="I7" i="6"/>
  <c r="C7" i="6"/>
  <c r="B7" i="6"/>
  <c r="A7" i="6"/>
  <c r="C6" i="6"/>
  <c r="B6" i="6"/>
  <c r="A6" i="6"/>
  <c r="C5" i="6"/>
  <c r="B5" i="6"/>
  <c r="A5" i="6"/>
  <c r="C4" i="6"/>
  <c r="B4" i="6"/>
  <c r="A4" i="6"/>
  <c r="C3" i="6"/>
  <c r="B3" i="6"/>
  <c r="A3" i="6"/>
  <c r="C2" i="6"/>
  <c r="B2" i="6"/>
  <c r="A2" i="6"/>
  <c r="A165" i="5"/>
  <c r="O51" i="4"/>
  <c r="H51" i="4" a="1"/>
  <c r="H51" i="4" s="1"/>
  <c r="I51" i="4" s="1"/>
  <c r="O50" i="4"/>
  <c r="H50" i="4" a="1"/>
  <c r="H50" i="4" s="1"/>
  <c r="I50" i="4" s="1"/>
  <c r="O49" i="4"/>
  <c r="H49" i="4" a="1"/>
  <c r="H49" i="4" s="1"/>
  <c r="I49" i="4" s="1"/>
  <c r="O48" i="4"/>
  <c r="H48" i="4" a="1"/>
  <c r="H48" i="4" s="1"/>
  <c r="I48" i="4" s="1"/>
  <c r="O47" i="4"/>
  <c r="H47" i="4" a="1"/>
  <c r="H47" i="4" s="1"/>
  <c r="I47" i="4" s="1"/>
  <c r="O46" i="4"/>
  <c r="H46" i="4" a="1"/>
  <c r="H46" i="4" s="1"/>
  <c r="I46" i="4" s="1"/>
  <c r="O45" i="4"/>
  <c r="H45" i="4" a="1"/>
  <c r="H45" i="4" s="1"/>
  <c r="O44" i="4"/>
  <c r="H44" i="4" a="1"/>
  <c r="H44" i="4" s="1"/>
  <c r="O43" i="4"/>
  <c r="H43" i="4" a="1"/>
  <c r="H43" i="4" s="1"/>
  <c r="O42" i="4"/>
  <c r="H42" i="4" a="1"/>
  <c r="H42" i="4" s="1"/>
  <c r="I42" i="4" s="1"/>
  <c r="O41" i="4"/>
  <c r="H41" i="4" a="1"/>
  <c r="H41" i="4" s="1"/>
  <c r="I41" i="4" s="1"/>
  <c r="O40" i="4"/>
  <c r="H40" i="4" a="1"/>
  <c r="H40" i="4" s="1"/>
  <c r="I40" i="4" s="1"/>
  <c r="O39" i="4"/>
  <c r="H39" i="4" a="1"/>
  <c r="H39" i="4" s="1"/>
  <c r="O38" i="4"/>
  <c r="H38" i="4" a="1"/>
  <c r="H38" i="4" s="1"/>
  <c r="I38" i="4" s="1"/>
  <c r="O37" i="4"/>
  <c r="H37" i="4" a="1"/>
  <c r="H37" i="4" s="1"/>
  <c r="I37" i="4" s="1"/>
  <c r="O36" i="4"/>
  <c r="H36" i="4" a="1"/>
  <c r="H36" i="4" s="1"/>
  <c r="O35" i="4"/>
  <c r="H35" i="4" a="1"/>
  <c r="H35" i="4" s="1"/>
  <c r="I35" i="4" s="1"/>
  <c r="O34" i="4"/>
  <c r="H34" i="4" a="1"/>
  <c r="H34" i="4" s="1"/>
  <c r="I34" i="4" s="1"/>
  <c r="O33" i="4"/>
  <c r="H33" i="4" a="1"/>
  <c r="H33" i="4" s="1"/>
  <c r="I33" i="4" s="1"/>
  <c r="O32" i="4"/>
  <c r="H32" i="4" a="1"/>
  <c r="H32" i="4" s="1"/>
  <c r="I32" i="4" s="1"/>
  <c r="O31" i="4"/>
  <c r="H31" i="4" a="1"/>
  <c r="H31" i="4" s="1"/>
  <c r="I31" i="4" s="1"/>
  <c r="O30" i="4"/>
  <c r="H30" i="4" a="1"/>
  <c r="H30" i="4" s="1"/>
  <c r="O29" i="4"/>
  <c r="H29" i="4" a="1"/>
  <c r="H29" i="4" s="1"/>
  <c r="I29" i="4" s="1"/>
  <c r="O28" i="4"/>
  <c r="H28" i="4" a="1"/>
  <c r="H28" i="4" s="1"/>
  <c r="I28" i="4" s="1"/>
  <c r="O27" i="4"/>
  <c r="H27" i="4" a="1"/>
  <c r="H27" i="4" s="1"/>
  <c r="I27" i="4" s="1"/>
  <c r="O26" i="4"/>
  <c r="H26" i="4" a="1"/>
  <c r="H26" i="4" s="1"/>
  <c r="I26" i="4" s="1"/>
  <c r="O25" i="4"/>
  <c r="P25" i="4" s="1"/>
  <c r="H25" i="4" a="1"/>
  <c r="H25" i="4" s="1"/>
  <c r="I25" i="4" s="1"/>
  <c r="O24" i="4"/>
  <c r="H24" i="4" a="1"/>
  <c r="H24" i="4" s="1"/>
  <c r="I24" i="4" s="1"/>
  <c r="O23" i="4"/>
  <c r="H23" i="4" a="1"/>
  <c r="H23" i="4" s="1"/>
  <c r="I23" i="4" s="1"/>
  <c r="O22" i="4"/>
  <c r="H22" i="4" a="1"/>
  <c r="H22" i="4" s="1"/>
  <c r="I22" i="4" s="1"/>
  <c r="O21" i="4"/>
  <c r="H21" i="4" a="1"/>
  <c r="H21" i="4" s="1"/>
  <c r="I21" i="4" s="1"/>
  <c r="O20" i="4"/>
  <c r="H20" i="4" a="1"/>
  <c r="H20" i="4" s="1"/>
  <c r="I20" i="4" s="1"/>
  <c r="O19" i="4"/>
  <c r="H19" i="4" a="1"/>
  <c r="H19" i="4" s="1"/>
  <c r="I19" i="4" s="1"/>
  <c r="O18" i="4"/>
  <c r="H18" i="4" a="1"/>
  <c r="H18" i="4" s="1"/>
  <c r="I18" i="4" s="1"/>
  <c r="O17" i="4"/>
  <c r="H17" i="4" a="1"/>
  <c r="H17" i="4" s="1"/>
  <c r="I17" i="4" s="1"/>
  <c r="O16" i="4"/>
  <c r="H16" i="4" a="1"/>
  <c r="H16" i="4" s="1"/>
  <c r="I16" i="4" s="1"/>
  <c r="O15" i="4"/>
  <c r="H15" i="4" a="1"/>
  <c r="H15" i="4" s="1"/>
  <c r="O14" i="4"/>
  <c r="H14" i="4" a="1"/>
  <c r="H14" i="4" s="1"/>
  <c r="O13" i="4"/>
  <c r="H13" i="4" a="1"/>
  <c r="H13" i="4" s="1"/>
  <c r="O12" i="4"/>
  <c r="H12" i="4" a="1"/>
  <c r="H12" i="4" s="1"/>
  <c r="O11" i="4"/>
  <c r="H11" i="4" a="1"/>
  <c r="H11" i="4" s="1"/>
  <c r="O10" i="4"/>
  <c r="H10" i="4" a="1"/>
  <c r="H10" i="4" s="1"/>
  <c r="O9" i="4"/>
  <c r="H9" i="4" a="1"/>
  <c r="H9" i="4" s="1"/>
  <c r="O8" i="4"/>
  <c r="H8" i="4" a="1"/>
  <c r="H8" i="4" s="1"/>
  <c r="O7" i="4"/>
  <c r="H7" i="4" a="1"/>
  <c r="H7" i="4" s="1"/>
  <c r="O6" i="4"/>
  <c r="H6" i="4" a="1"/>
  <c r="H6" i="4" s="1"/>
  <c r="O5" i="4"/>
  <c r="H5" i="4" a="1"/>
  <c r="H5" i="4" s="1"/>
  <c r="O4" i="4"/>
  <c r="H4" i="4" a="1"/>
  <c r="H4" i="4" s="1"/>
  <c r="O3" i="4"/>
  <c r="H3" i="4" a="1"/>
  <c r="H3" i="4" s="1"/>
  <c r="H51" i="3"/>
  <c r="H50" i="3"/>
  <c r="H47" i="3"/>
  <c r="B47" i="3"/>
  <c r="F46" i="3"/>
  <c r="G46" i="3" s="1"/>
  <c r="J44" i="3"/>
  <c r="G43" i="3"/>
  <c r="J42" i="3"/>
  <c r="F42" i="3"/>
  <c r="G42" i="3" s="1"/>
  <c r="J41" i="3"/>
  <c r="J40" i="3"/>
  <c r="F36" i="3"/>
  <c r="G36" i="3" s="1"/>
  <c r="F35" i="3"/>
  <c r="G35" i="3" s="1"/>
  <c r="F31" i="3"/>
  <c r="G31" i="3" s="1"/>
  <c r="J30" i="3"/>
  <c r="F30" i="3"/>
  <c r="G30" i="3" s="1"/>
  <c r="F29" i="3"/>
  <c r="G29" i="3" s="1"/>
  <c r="F28" i="3"/>
  <c r="G28" i="3" s="1"/>
  <c r="G27" i="3"/>
  <c r="H24" i="3"/>
  <c r="B24" i="3"/>
  <c r="F21" i="3"/>
  <c r="G21" i="3" s="1"/>
  <c r="F20" i="3"/>
  <c r="G20" i="3" s="1"/>
  <c r="F19" i="3"/>
  <c r="G19" i="3" s="1"/>
  <c r="F18" i="3"/>
  <c r="G18" i="3" s="1"/>
  <c r="F17" i="3"/>
  <c r="G17" i="3" s="1"/>
  <c r="F16" i="3"/>
  <c r="G16" i="3" s="1"/>
  <c r="G15" i="3"/>
  <c r="G14" i="3"/>
  <c r="E29" i="2"/>
  <c r="E31" i="8" l="1"/>
  <c r="H18" i="6"/>
  <c r="I10" i="6"/>
  <c r="E46" i="8"/>
  <c r="E27" i="8"/>
  <c r="E41" i="8"/>
  <c r="E37" i="8"/>
  <c r="J20" i="6"/>
  <c r="I18" i="6"/>
  <c r="E40" i="8"/>
  <c r="E29" i="8"/>
  <c r="J18" i="6"/>
  <c r="J10" i="6"/>
  <c r="E38" i="8"/>
  <c r="E22" i="8"/>
  <c r="I20" i="6"/>
  <c r="E5" i="2"/>
  <c r="E7" i="2"/>
  <c r="E6" i="2"/>
  <c r="E45" i="8"/>
  <c r="E32" i="2"/>
  <c r="E13" i="8"/>
  <c r="E8" i="8"/>
  <c r="I17" i="6"/>
  <c r="H19" i="6"/>
  <c r="J17" i="6"/>
  <c r="AF3" i="7"/>
  <c r="E2" i="6" s="1"/>
  <c r="I19" i="6"/>
  <c r="E14" i="8"/>
  <c r="E12" i="8"/>
  <c r="H17" i="6"/>
  <c r="E47" i="8"/>
  <c r="E44" i="8"/>
  <c r="E33" i="8"/>
  <c r="E23" i="8"/>
  <c r="E17" i="8"/>
  <c r="G49" i="6"/>
  <c r="F47" i="6"/>
  <c r="E42" i="8"/>
  <c r="G47" i="6"/>
  <c r="E43" i="8"/>
  <c r="E36" i="8"/>
  <c r="E19" i="8"/>
  <c r="E32" i="8"/>
  <c r="E33" i="2"/>
  <c r="A52" i="6"/>
  <c r="AH6" i="7"/>
  <c r="D17" i="6"/>
  <c r="AH8" i="7"/>
  <c r="D19" i="6"/>
  <c r="E21" i="8"/>
  <c r="H20" i="6"/>
  <c r="AG38" i="7"/>
  <c r="E20" i="6"/>
  <c r="AH38" i="7"/>
  <c r="D20" i="6"/>
  <c r="AH7" i="7"/>
  <c r="D18" i="6"/>
  <c r="AH5" i="7"/>
  <c r="D16" i="6"/>
  <c r="E15" i="8"/>
  <c r="H14" i="6"/>
  <c r="AH3" i="7"/>
  <c r="D14" i="6"/>
  <c r="E11" i="8"/>
  <c r="H10" i="6"/>
  <c r="AG43" i="7"/>
  <c r="E10" i="6"/>
  <c r="AH43" i="7"/>
  <c r="D10" i="6"/>
  <c r="E10" i="8"/>
  <c r="H9" i="6"/>
  <c r="AG37" i="7"/>
  <c r="E9" i="6"/>
  <c r="AH37" i="7"/>
  <c r="D9" i="6"/>
  <c r="E9" i="8"/>
  <c r="H8" i="6"/>
  <c r="AG45" i="7"/>
  <c r="E8" i="6"/>
  <c r="AH45" i="7"/>
  <c r="D8" i="6"/>
  <c r="J5" i="6"/>
  <c r="J15" i="6"/>
  <c r="I5" i="6"/>
  <c r="I15" i="6"/>
  <c r="E16" i="8"/>
  <c r="H15" i="6"/>
  <c r="E25" i="2"/>
  <c r="I4" i="6"/>
  <c r="E24" i="2"/>
  <c r="J3" i="6"/>
  <c r="J48" i="6"/>
  <c r="C2" i="18"/>
  <c r="P34" i="4"/>
  <c r="V44" i="16"/>
  <c r="Z44" i="16"/>
  <c r="W44" i="16"/>
  <c r="V43" i="16"/>
  <c r="W43" i="16"/>
  <c r="Z43" i="16"/>
  <c r="Z42" i="16"/>
  <c r="V42" i="16"/>
  <c r="W42" i="16"/>
  <c r="W41" i="16"/>
  <c r="V41" i="16"/>
  <c r="Z41" i="16"/>
  <c r="Z40" i="16"/>
  <c r="V40" i="16"/>
  <c r="W40" i="16"/>
  <c r="Z39" i="16"/>
  <c r="V39" i="16"/>
  <c r="W39" i="16"/>
  <c r="Z38" i="16"/>
  <c r="V38" i="16"/>
  <c r="W38" i="16"/>
  <c r="W37" i="16"/>
  <c r="Z37" i="16"/>
  <c r="V37" i="16"/>
  <c r="Z36" i="16"/>
  <c r="W36" i="16"/>
  <c r="V36" i="16"/>
  <c r="W35" i="16"/>
  <c r="V35" i="16"/>
  <c r="Z35" i="16"/>
  <c r="Z34" i="16"/>
  <c r="V34" i="16"/>
  <c r="W34" i="16"/>
  <c r="V33" i="16"/>
  <c r="W33" i="16"/>
  <c r="E59" i="16" s="1"/>
  <c r="Z33" i="16"/>
  <c r="Z32" i="16"/>
  <c r="W32" i="16"/>
  <c r="V32" i="16"/>
  <c r="V31" i="16"/>
  <c r="Z31" i="16"/>
  <c r="W31" i="16"/>
  <c r="Z30" i="16"/>
  <c r="V30" i="16"/>
  <c r="W30" i="16"/>
  <c r="V29" i="16"/>
  <c r="W29" i="16"/>
  <c r="Z29" i="16"/>
  <c r="V28" i="16"/>
  <c r="Z28" i="16"/>
  <c r="W28" i="16"/>
  <c r="W27" i="16"/>
  <c r="V27" i="16"/>
  <c r="Z27" i="16"/>
  <c r="W26" i="16"/>
  <c r="Z26" i="16"/>
  <c r="V26" i="16"/>
  <c r="W25" i="16"/>
  <c r="Z25" i="16"/>
  <c r="V25" i="16"/>
  <c r="Z24" i="16"/>
  <c r="W24" i="16"/>
  <c r="V24" i="16"/>
  <c r="W23" i="16"/>
  <c r="E58" i="16" s="1"/>
  <c r="V23" i="16"/>
  <c r="Z23" i="16"/>
  <c r="V9" i="16"/>
  <c r="Z9" i="16"/>
  <c r="W9" i="16"/>
  <c r="W8" i="16"/>
  <c r="V8" i="16"/>
  <c r="Z8" i="16"/>
  <c r="Z7" i="16"/>
  <c r="W7" i="16"/>
  <c r="V7" i="16"/>
  <c r="V6" i="16"/>
  <c r="W6" i="16"/>
  <c r="Z6" i="16"/>
  <c r="Z5" i="16"/>
  <c r="W5" i="16"/>
  <c r="V5" i="16"/>
  <c r="Z4" i="16"/>
  <c r="W4" i="16"/>
  <c r="V4" i="16"/>
  <c r="Z3" i="16"/>
  <c r="W3" i="16"/>
  <c r="V3" i="16"/>
  <c r="E10" i="2"/>
  <c r="E11" i="2"/>
  <c r="F42" i="12"/>
  <c r="G42" i="12"/>
  <c r="F41" i="12"/>
  <c r="G41" i="12"/>
  <c r="F40" i="12"/>
  <c r="G40" i="12"/>
  <c r="F39" i="12"/>
  <c r="G39" i="12"/>
  <c r="F38" i="12"/>
  <c r="G38" i="12"/>
  <c r="F37" i="12"/>
  <c r="G37" i="12"/>
  <c r="F36" i="12"/>
  <c r="G36" i="12"/>
  <c r="F35" i="12"/>
  <c r="G35" i="12"/>
  <c r="F34" i="12"/>
  <c r="G34" i="12"/>
  <c r="F33" i="12"/>
  <c r="G33" i="12"/>
  <c r="F32" i="12"/>
  <c r="G32" i="12"/>
  <c r="F31" i="12"/>
  <c r="G31" i="12"/>
  <c r="F30" i="12"/>
  <c r="G30" i="12"/>
  <c r="F29" i="12"/>
  <c r="G29" i="12"/>
  <c r="F28" i="12"/>
  <c r="G28" i="12"/>
  <c r="F27" i="12"/>
  <c r="G27" i="12"/>
  <c r="F26" i="12"/>
  <c r="G26" i="12"/>
  <c r="F25" i="12"/>
  <c r="G25" i="12"/>
  <c r="F24" i="12"/>
  <c r="G24" i="12"/>
  <c r="F23" i="12"/>
  <c r="G23" i="12"/>
  <c r="F22" i="12"/>
  <c r="G22" i="12"/>
  <c r="F21" i="12"/>
  <c r="G21" i="12"/>
  <c r="F20" i="12"/>
  <c r="G20" i="12"/>
  <c r="F19" i="12"/>
  <c r="G19" i="12"/>
  <c r="F18" i="12"/>
  <c r="G18" i="12"/>
  <c r="F17" i="12"/>
  <c r="G17" i="12"/>
  <c r="F16" i="12"/>
  <c r="G16" i="12"/>
  <c r="F15" i="12"/>
  <c r="G15" i="12"/>
  <c r="F14" i="12"/>
  <c r="G14" i="12"/>
  <c r="F13" i="12"/>
  <c r="G13" i="12"/>
  <c r="F12" i="12"/>
  <c r="G12" i="12"/>
  <c r="F11" i="12"/>
  <c r="G11" i="12"/>
  <c r="F10" i="12"/>
  <c r="G10" i="12"/>
  <c r="F9" i="12"/>
  <c r="G9" i="12"/>
  <c r="F8" i="12"/>
  <c r="G8" i="12"/>
  <c r="F7" i="12"/>
  <c r="G7" i="12"/>
  <c r="F6" i="12"/>
  <c r="G6" i="12"/>
  <c r="D3" i="12"/>
  <c r="C4" i="12"/>
  <c r="AI45" i="10"/>
  <c r="AJ45" i="10"/>
  <c r="AK45" i="10"/>
  <c r="AL45" i="10"/>
  <c r="AM45" i="10"/>
  <c r="AN45" i="10"/>
  <c r="AO45" i="10"/>
  <c r="W46" i="10"/>
  <c r="X46" i="10"/>
  <c r="Y46" i="10"/>
  <c r="Z46" i="10"/>
  <c r="AK162" i="10"/>
  <c r="AA46" i="10"/>
  <c r="AB46" i="10"/>
  <c r="AC46" i="10"/>
  <c r="AD46" i="10"/>
  <c r="AE46" i="10"/>
  <c r="AF46" i="10"/>
  <c r="AG46" i="10"/>
  <c r="AH46" i="10"/>
  <c r="AI46" i="10"/>
  <c r="AJ46" i="10"/>
  <c r="AK46" i="10"/>
  <c r="AL46" i="10"/>
  <c r="AM46" i="10"/>
  <c r="AN46" i="10"/>
  <c r="AO46" i="10"/>
  <c r="W47" i="10"/>
  <c r="X47" i="10"/>
  <c r="Y47" i="10"/>
  <c r="Z47" i="10"/>
  <c r="AA47" i="10"/>
  <c r="AB47" i="10"/>
  <c r="AC47" i="10"/>
  <c r="AD47" i="10"/>
  <c r="AO158" i="10"/>
  <c r="AN158" i="10"/>
  <c r="AM158" i="10"/>
  <c r="AL158" i="10"/>
  <c r="AK158" i="10"/>
  <c r="AJ158" i="10"/>
  <c r="AI158" i="10"/>
  <c r="AH158" i="10"/>
  <c r="AG158" i="10"/>
  <c r="AF158" i="10"/>
  <c r="AE158" i="10"/>
  <c r="AD158" i="10"/>
  <c r="AC158" i="10"/>
  <c r="AB158" i="10"/>
  <c r="AA158" i="10"/>
  <c r="Z158" i="10"/>
  <c r="Y158" i="10"/>
  <c r="X158" i="10"/>
  <c r="W158" i="10"/>
  <c r="AO157" i="10"/>
  <c r="AN157" i="10"/>
  <c r="AM157" i="10"/>
  <c r="AL157" i="10"/>
  <c r="AK157" i="10"/>
  <c r="AJ157" i="10"/>
  <c r="AI157" i="10"/>
  <c r="AH157" i="10"/>
  <c r="AG157" i="10"/>
  <c r="AF157" i="10"/>
  <c r="AE157" i="10"/>
  <c r="AD157" i="10"/>
  <c r="AC157" i="10"/>
  <c r="AB157" i="10"/>
  <c r="AA157" i="10"/>
  <c r="Z157" i="10"/>
  <c r="Y157" i="10"/>
  <c r="X157" i="10"/>
  <c r="W157" i="10"/>
  <c r="AO156" i="10"/>
  <c r="AN156" i="10"/>
  <c r="AM156" i="10"/>
  <c r="AL156" i="10"/>
  <c r="AK156" i="10"/>
  <c r="AJ156" i="10"/>
  <c r="AI156" i="10"/>
  <c r="AH156" i="10"/>
  <c r="AG156" i="10"/>
  <c r="AF156" i="10"/>
  <c r="AE156" i="10"/>
  <c r="AD156" i="10"/>
  <c r="AC156" i="10"/>
  <c r="AB156" i="10"/>
  <c r="AA156" i="10"/>
  <c r="Z156" i="10"/>
  <c r="Y156" i="10"/>
  <c r="X156" i="10"/>
  <c r="W156" i="10"/>
  <c r="AO155" i="10"/>
  <c r="AN155" i="10"/>
  <c r="AM155" i="10"/>
  <c r="AL155" i="10"/>
  <c r="AK155" i="10"/>
  <c r="AJ155" i="10"/>
  <c r="AI155" i="10"/>
  <c r="AH155" i="10"/>
  <c r="AG155" i="10"/>
  <c r="AF155" i="10"/>
  <c r="AE155" i="10"/>
  <c r="AD155" i="10"/>
  <c r="AC155" i="10"/>
  <c r="AB155" i="10"/>
  <c r="AA155" i="10"/>
  <c r="Z155" i="10"/>
  <c r="Y155" i="10"/>
  <c r="X155" i="10"/>
  <c r="W155" i="10"/>
  <c r="AO154" i="10"/>
  <c r="AN154" i="10"/>
  <c r="AM154" i="10"/>
  <c r="AL154" i="10"/>
  <c r="AK154" i="10"/>
  <c r="AJ154" i="10"/>
  <c r="AI154" i="10"/>
  <c r="AH154" i="10"/>
  <c r="AG154" i="10"/>
  <c r="AF154" i="10"/>
  <c r="AE154" i="10"/>
  <c r="AD154" i="10"/>
  <c r="AC154" i="10"/>
  <c r="AB154" i="10"/>
  <c r="AA154" i="10"/>
  <c r="Z154" i="10"/>
  <c r="Y154" i="10"/>
  <c r="X154" i="10"/>
  <c r="W154" i="10"/>
  <c r="AO153" i="10"/>
  <c r="AN153" i="10"/>
  <c r="AM153" i="10"/>
  <c r="AL153" i="10"/>
  <c r="AK153" i="10"/>
  <c r="AJ153" i="10"/>
  <c r="AI153" i="10"/>
  <c r="AH153" i="10"/>
  <c r="AG153" i="10"/>
  <c r="AF153" i="10"/>
  <c r="AE153" i="10"/>
  <c r="AD153" i="10"/>
  <c r="AC153" i="10"/>
  <c r="AB153" i="10"/>
  <c r="AA153" i="10"/>
  <c r="Z153" i="10"/>
  <c r="Y153" i="10"/>
  <c r="X153" i="10"/>
  <c r="W153" i="10"/>
  <c r="AO152" i="10"/>
  <c r="AN152" i="10"/>
  <c r="AM152" i="10"/>
  <c r="AL152" i="10"/>
  <c r="AK152" i="10"/>
  <c r="AJ152" i="10"/>
  <c r="AI152" i="10"/>
  <c r="AH152" i="10"/>
  <c r="AG152" i="10"/>
  <c r="AF152" i="10"/>
  <c r="AE152" i="10"/>
  <c r="AD152" i="10"/>
  <c r="AC152" i="10"/>
  <c r="AB152" i="10"/>
  <c r="AA152" i="10"/>
  <c r="Z152" i="10"/>
  <c r="Y152" i="10"/>
  <c r="X152" i="10"/>
  <c r="W152" i="10"/>
  <c r="AO151" i="10"/>
  <c r="AN151" i="10"/>
  <c r="AM151" i="10"/>
  <c r="AL151" i="10"/>
  <c r="AK151" i="10"/>
  <c r="AJ151" i="10"/>
  <c r="AI151" i="10"/>
  <c r="AH151" i="10"/>
  <c r="AG151" i="10"/>
  <c r="AF151" i="10"/>
  <c r="AE151" i="10"/>
  <c r="AD151" i="10"/>
  <c r="AC151" i="10"/>
  <c r="AB151" i="10"/>
  <c r="AA151" i="10"/>
  <c r="Z151" i="10"/>
  <c r="Y151" i="10"/>
  <c r="X151" i="10"/>
  <c r="W151" i="10"/>
  <c r="AO150" i="10"/>
  <c r="AN150" i="10"/>
  <c r="AM150" i="10"/>
  <c r="AL150" i="10"/>
  <c r="AK150" i="10"/>
  <c r="AJ150" i="10"/>
  <c r="AI150" i="10"/>
  <c r="AH150" i="10"/>
  <c r="AG150" i="10"/>
  <c r="AF150" i="10"/>
  <c r="AE150" i="10"/>
  <c r="AD150" i="10"/>
  <c r="AC150" i="10"/>
  <c r="AB150" i="10"/>
  <c r="AA150" i="10"/>
  <c r="Z150" i="10"/>
  <c r="Y150" i="10"/>
  <c r="X150" i="10"/>
  <c r="W150" i="10"/>
  <c r="AO149" i="10"/>
  <c r="AN149" i="10"/>
  <c r="AM149" i="10"/>
  <c r="AL149" i="10"/>
  <c r="AK149" i="10"/>
  <c r="AJ149" i="10"/>
  <c r="AI149" i="10"/>
  <c r="AH149" i="10"/>
  <c r="AG149" i="10"/>
  <c r="AF149" i="10"/>
  <c r="AE149" i="10"/>
  <c r="AD149" i="10"/>
  <c r="AC149" i="10"/>
  <c r="AB149" i="10"/>
  <c r="AA149" i="10"/>
  <c r="Z149" i="10"/>
  <c r="Y149" i="10"/>
  <c r="X149" i="10"/>
  <c r="W149" i="10"/>
  <c r="AO148" i="10"/>
  <c r="AN148" i="10"/>
  <c r="AM148" i="10"/>
  <c r="AL148" i="10"/>
  <c r="AK148" i="10"/>
  <c r="AJ148" i="10"/>
  <c r="AI148" i="10"/>
  <c r="AH148" i="10"/>
  <c r="AG148" i="10"/>
  <c r="AF148" i="10"/>
  <c r="AE148" i="10"/>
  <c r="AD148" i="10"/>
  <c r="AC148" i="10"/>
  <c r="AB148" i="10"/>
  <c r="AA148" i="10"/>
  <c r="Z148" i="10"/>
  <c r="Y148" i="10"/>
  <c r="X148" i="10"/>
  <c r="W148" i="10"/>
  <c r="AO147" i="10"/>
  <c r="AN147" i="10"/>
  <c r="AM147" i="10"/>
  <c r="AL147" i="10"/>
  <c r="AK147" i="10"/>
  <c r="AJ147" i="10"/>
  <c r="AI147" i="10"/>
  <c r="AH147" i="10"/>
  <c r="AG147" i="10"/>
  <c r="AF147" i="10"/>
  <c r="AE147" i="10"/>
  <c r="AD147" i="10"/>
  <c r="AC147" i="10"/>
  <c r="AB147" i="10"/>
  <c r="AA147" i="10"/>
  <c r="Z147" i="10"/>
  <c r="Y147" i="10"/>
  <c r="AH9" i="10"/>
  <c r="AE47" i="10"/>
  <c r="AF47" i="10"/>
  <c r="AG47" i="10"/>
  <c r="AH47" i="10"/>
  <c r="AI47" i="10"/>
  <c r="AJ47" i="10"/>
  <c r="AK47" i="10"/>
  <c r="AL47" i="10"/>
  <c r="AM47" i="10"/>
  <c r="AN47" i="10"/>
  <c r="AO47" i="10"/>
  <c r="W48" i="10"/>
  <c r="X48" i="10"/>
  <c r="Y48" i="10"/>
  <c r="Z48" i="10"/>
  <c r="AA48" i="10"/>
  <c r="AB48" i="10"/>
  <c r="AC48" i="10"/>
  <c r="AD48" i="10"/>
  <c r="AE48" i="10"/>
  <c r="AF48" i="10"/>
  <c r="AG48" i="10"/>
  <c r="AH48" i="10"/>
  <c r="AI48" i="10"/>
  <c r="AJ48" i="10"/>
  <c r="AK48" i="10"/>
  <c r="AL48" i="10"/>
  <c r="AM48" i="10"/>
  <c r="AG162" i="10"/>
  <c r="AN48" i="10"/>
  <c r="AO48" i="10"/>
  <c r="W49" i="10"/>
  <c r="X49" i="10"/>
  <c r="Y49" i="10"/>
  <c r="Z49" i="10"/>
  <c r="AA49" i="10"/>
  <c r="AB49" i="10"/>
  <c r="AC49" i="10"/>
  <c r="AD49" i="10"/>
  <c r="AE49" i="10"/>
  <c r="AF49" i="10"/>
  <c r="AG49" i="10"/>
  <c r="AH49" i="10"/>
  <c r="AI49" i="10"/>
  <c r="AJ49" i="10"/>
  <c r="AK49" i="10"/>
  <c r="AL49" i="10"/>
  <c r="AM49" i="10"/>
  <c r="AN49" i="10"/>
  <c r="AO49" i="10"/>
  <c r="W50" i="10"/>
  <c r="X50" i="10"/>
  <c r="Y50" i="10"/>
  <c r="Z50" i="10"/>
  <c r="AA50" i="10"/>
  <c r="AB50" i="10"/>
  <c r="AC50" i="10"/>
  <c r="AD50" i="10"/>
  <c r="AE50" i="10"/>
  <c r="AF50" i="10"/>
  <c r="AG50" i="10"/>
  <c r="AH50" i="10"/>
  <c r="AI50" i="10"/>
  <c r="AJ50" i="10"/>
  <c r="AK50" i="10"/>
  <c r="AL50" i="10"/>
  <c r="AM50" i="10"/>
  <c r="AN50" i="10"/>
  <c r="AO50" i="10"/>
  <c r="AB162" i="10"/>
  <c r="AI162" i="10"/>
  <c r="AI144" i="10"/>
  <c r="AH144" i="10"/>
  <c r="AG144" i="10"/>
  <c r="AF144" i="10"/>
  <c r="AE144" i="10"/>
  <c r="AD144" i="10"/>
  <c r="AC144" i="10"/>
  <c r="AB144" i="10"/>
  <c r="AA144" i="10"/>
  <c r="Z144" i="10"/>
  <c r="Y144" i="10"/>
  <c r="X144" i="10"/>
  <c r="W144" i="10"/>
  <c r="AO143" i="10"/>
  <c r="AN143" i="10"/>
  <c r="AM143" i="10"/>
  <c r="AL143" i="10"/>
  <c r="AK143" i="10"/>
  <c r="AJ143" i="10"/>
  <c r="AI143" i="10"/>
  <c r="AH143" i="10"/>
  <c r="AG143" i="10"/>
  <c r="AF143" i="10"/>
  <c r="AE143" i="10"/>
  <c r="AD143" i="10"/>
  <c r="AC143" i="10"/>
  <c r="AB143" i="10"/>
  <c r="AA143" i="10"/>
  <c r="Z143" i="10"/>
  <c r="Y143" i="10"/>
  <c r="X143" i="10"/>
  <c r="W143" i="10"/>
  <c r="AO142" i="10"/>
  <c r="AN142" i="10"/>
  <c r="AM142" i="10"/>
  <c r="AL142" i="10"/>
  <c r="AK142" i="10"/>
  <c r="AJ142" i="10"/>
  <c r="AI142" i="10"/>
  <c r="AH142" i="10"/>
  <c r="AG142" i="10"/>
  <c r="AF142" i="10"/>
  <c r="AE142" i="10"/>
  <c r="AD142" i="10"/>
  <c r="AC142" i="10"/>
  <c r="AB142" i="10"/>
  <c r="AA142" i="10"/>
  <c r="Z142" i="10"/>
  <c r="Y142" i="10"/>
  <c r="X142" i="10"/>
  <c r="W142" i="10"/>
  <c r="AO141" i="10"/>
  <c r="AN141" i="10"/>
  <c r="AM141" i="10"/>
  <c r="AL141" i="10"/>
  <c r="AK141" i="10"/>
  <c r="AJ141" i="10"/>
  <c r="AI141" i="10"/>
  <c r="AH141" i="10"/>
  <c r="AG141" i="10"/>
  <c r="AF141" i="10"/>
  <c r="AE141" i="10"/>
  <c r="AD141" i="10"/>
  <c r="AC141" i="10"/>
  <c r="AB141" i="10"/>
  <c r="AA141" i="10"/>
  <c r="Z141" i="10"/>
  <c r="Y141" i="10"/>
  <c r="X141" i="10"/>
  <c r="W141" i="10"/>
  <c r="AO140" i="10"/>
  <c r="AN140" i="10"/>
  <c r="AM140" i="10"/>
  <c r="AL140" i="10"/>
  <c r="AK140" i="10"/>
  <c r="AJ140" i="10"/>
  <c r="AI140" i="10"/>
  <c r="AH140" i="10"/>
  <c r="AG140" i="10"/>
  <c r="AF140" i="10"/>
  <c r="AE140" i="10"/>
  <c r="AD140" i="10"/>
  <c r="AC140" i="10"/>
  <c r="AB140" i="10"/>
  <c r="AA140" i="10"/>
  <c r="Z140" i="10"/>
  <c r="Y140" i="10"/>
  <c r="X140" i="10"/>
  <c r="W140" i="10"/>
  <c r="AO139" i="10"/>
  <c r="AN139" i="10"/>
  <c r="AM139" i="10"/>
  <c r="AL139" i="10"/>
  <c r="AK139" i="10"/>
  <c r="AJ139" i="10"/>
  <c r="AI139" i="10"/>
  <c r="AH139" i="10"/>
  <c r="AG139" i="10"/>
  <c r="AF139" i="10"/>
  <c r="AE139" i="10"/>
  <c r="AD139" i="10"/>
  <c r="AC139" i="10"/>
  <c r="AB139" i="10"/>
  <c r="AA139" i="10"/>
  <c r="Z139" i="10"/>
  <c r="Y139" i="10"/>
  <c r="X139" i="10"/>
  <c r="W139" i="10"/>
  <c r="AO138" i="10"/>
  <c r="AN138" i="10"/>
  <c r="AM138" i="10"/>
  <c r="AL138" i="10"/>
  <c r="AK138" i="10"/>
  <c r="AJ138" i="10"/>
  <c r="AI138" i="10"/>
  <c r="AH138" i="10"/>
  <c r="AG138" i="10"/>
  <c r="AF138" i="10"/>
  <c r="AE138" i="10"/>
  <c r="AD138" i="10"/>
  <c r="AC138" i="10"/>
  <c r="AB138" i="10"/>
  <c r="AA138" i="10"/>
  <c r="Z138" i="10"/>
  <c r="Y138" i="10"/>
  <c r="X138" i="10"/>
  <c r="W138" i="10"/>
  <c r="AO137" i="10"/>
  <c r="AN137" i="10"/>
  <c r="AM137" i="10"/>
  <c r="AL137" i="10"/>
  <c r="AK137" i="10"/>
  <c r="AJ137" i="10"/>
  <c r="AI137" i="10"/>
  <c r="AH137" i="10"/>
  <c r="AG137" i="10"/>
  <c r="AF137" i="10"/>
  <c r="AE137" i="10"/>
  <c r="AD137" i="10"/>
  <c r="AC137" i="10"/>
  <c r="AB137" i="10"/>
  <c r="AA137" i="10"/>
  <c r="Z137" i="10"/>
  <c r="Y137" i="10"/>
  <c r="X137" i="10"/>
  <c r="W137" i="10"/>
  <c r="AO136" i="10"/>
  <c r="AN136" i="10"/>
  <c r="AM136" i="10"/>
  <c r="AL136" i="10"/>
  <c r="AK136" i="10"/>
  <c r="AJ136" i="10"/>
  <c r="AI136" i="10"/>
  <c r="AH136" i="10"/>
  <c r="AG136" i="10"/>
  <c r="AF136" i="10"/>
  <c r="AE136" i="10"/>
  <c r="AD136" i="10"/>
  <c r="AC136" i="10"/>
  <c r="AB136" i="10"/>
  <c r="AA136" i="10"/>
  <c r="Z136" i="10"/>
  <c r="Y136" i="10"/>
  <c r="X136" i="10"/>
  <c r="W136" i="10"/>
  <c r="AO135" i="10"/>
  <c r="AN135" i="10"/>
  <c r="AM135" i="10"/>
  <c r="AL135" i="10"/>
  <c r="AK135" i="10"/>
  <c r="AJ135" i="10"/>
  <c r="AI135" i="10"/>
  <c r="AH135" i="10"/>
  <c r="AG135" i="10"/>
  <c r="AF135" i="10"/>
  <c r="AE135" i="10"/>
  <c r="AD135" i="10"/>
  <c r="AC135" i="10"/>
  <c r="AB135" i="10"/>
  <c r="AA135" i="10"/>
  <c r="Z135" i="10"/>
  <c r="Y135" i="10"/>
  <c r="X135" i="10"/>
  <c r="W135" i="10"/>
  <c r="AO134" i="10"/>
  <c r="AN134" i="10"/>
  <c r="AM134" i="10"/>
  <c r="AL134" i="10"/>
  <c r="AK134" i="10"/>
  <c r="AJ134" i="10"/>
  <c r="AI134" i="10"/>
  <c r="AH134" i="10"/>
  <c r="AG134" i="10"/>
  <c r="AF134" i="10"/>
  <c r="AE134" i="10"/>
  <c r="AD134" i="10"/>
  <c r="AC134" i="10"/>
  <c r="AB134" i="10"/>
  <c r="AA134" i="10"/>
  <c r="Z134" i="10"/>
  <c r="Y134" i="10"/>
  <c r="X134" i="10"/>
  <c r="AH82" i="10"/>
  <c r="AB82" i="10"/>
  <c r="Y82" i="10"/>
  <c r="AK6" i="10"/>
  <c r="Z6" i="10"/>
  <c r="AI5" i="10"/>
  <c r="X5" i="10"/>
  <c r="AI4" i="10"/>
  <c r="Z4" i="10"/>
  <c r="AN73" i="10"/>
  <c r="AE4" i="10"/>
  <c r="AO4" i="10"/>
  <c r="Z5" i="10"/>
  <c r="AF5" i="10"/>
  <c r="AA6" i="10"/>
  <c r="AJ6" i="10"/>
  <c r="Z7" i="10"/>
  <c r="AD7" i="10"/>
  <c r="AH7" i="10"/>
  <c r="AO7" i="10"/>
  <c r="Z8" i="10"/>
  <c r="AF8" i="10"/>
  <c r="AK8" i="10"/>
  <c r="AA9" i="10"/>
  <c r="AF9" i="10"/>
  <c r="AK9" i="10"/>
  <c r="Y10" i="10"/>
  <c r="AD10" i="10"/>
  <c r="AH10" i="10"/>
  <c r="AL10" i="10"/>
  <c r="W17" i="10"/>
  <c r="AE17" i="10"/>
  <c r="AI17" i="10"/>
  <c r="AM17" i="10"/>
  <c r="W18" i="10"/>
  <c r="AC18" i="10"/>
  <c r="AJ162" i="10"/>
  <c r="AH18" i="10"/>
  <c r="AM18" i="10"/>
  <c r="X19" i="10"/>
  <c r="AB19" i="10"/>
  <c r="AG19" i="10"/>
  <c r="AL19" i="10"/>
  <c r="Z20" i="10"/>
  <c r="AG20" i="10"/>
  <c r="AJ20" i="10"/>
  <c r="AO20" i="10"/>
  <c r="Y21" i="10"/>
  <c r="AC21" i="10"/>
  <c r="W30" i="10"/>
  <c r="AA30" i="10"/>
  <c r="AF30" i="10"/>
  <c r="AI30" i="10"/>
  <c r="AM30" i="10"/>
  <c r="Y31" i="10"/>
  <c r="AB31" i="10"/>
  <c r="AG31" i="10"/>
  <c r="AI31" i="10"/>
  <c r="AM31" i="10"/>
  <c r="W32" i="10"/>
  <c r="AB32" i="10"/>
  <c r="AF32" i="10"/>
  <c r="AI32" i="10"/>
  <c r="AL32" i="10"/>
  <c r="X43" i="10"/>
  <c r="AA43" i="10"/>
  <c r="AD43" i="10"/>
  <c r="W56" i="10"/>
  <c r="X56" i="10"/>
  <c r="AA56" i="10"/>
  <c r="AC56" i="10"/>
  <c r="AD56" i="10"/>
  <c r="AF56" i="10"/>
  <c r="AG56" i="10"/>
  <c r="AI56" i="10"/>
  <c r="AL56" i="10"/>
  <c r="AO56" i="10"/>
  <c r="X57" i="10"/>
  <c r="Z57" i="10"/>
  <c r="AA57" i="10"/>
  <c r="AC57" i="10"/>
  <c r="AE57" i="10"/>
  <c r="AF57" i="10"/>
  <c r="AH57" i="10"/>
  <c r="AJ57" i="10"/>
  <c r="AL57" i="10"/>
  <c r="AN57" i="10"/>
  <c r="W58" i="10"/>
  <c r="Y58" i="10"/>
  <c r="AA58" i="10"/>
  <c r="AC58" i="10"/>
  <c r="AE58" i="10"/>
  <c r="AF58" i="10"/>
  <c r="AH58" i="10"/>
  <c r="AJ58" i="10"/>
  <c r="AL58" i="10"/>
  <c r="AN58" i="10"/>
  <c r="X59" i="10"/>
  <c r="AA59" i="10"/>
  <c r="AB59" i="10"/>
  <c r="AD59" i="10"/>
  <c r="AF59" i="10"/>
  <c r="AJ59" i="10"/>
  <c r="AL59" i="10"/>
  <c r="AN59" i="10"/>
  <c r="Y60" i="10"/>
  <c r="Z60" i="10"/>
  <c r="AB60" i="10"/>
  <c r="AC60" i="10"/>
  <c r="AD60" i="10"/>
  <c r="AE60" i="10"/>
  <c r="AF60" i="10"/>
  <c r="AG60" i="10"/>
  <c r="AH60" i="10"/>
  <c r="AI60" i="10"/>
  <c r="AJ60" i="10"/>
  <c r="AK60" i="10"/>
  <c r="AL60" i="10"/>
  <c r="AM60" i="10"/>
  <c r="AN60" i="10"/>
  <c r="AO60" i="10"/>
  <c r="W61" i="10"/>
  <c r="X61" i="10"/>
  <c r="Y61" i="10"/>
  <c r="Z61" i="10"/>
  <c r="AA61" i="10"/>
  <c r="AB61" i="10"/>
  <c r="AC61" i="10"/>
  <c r="AD61" i="10"/>
  <c r="AE61" i="10"/>
  <c r="AF61" i="10"/>
  <c r="AG61" i="10"/>
  <c r="AH61" i="10"/>
  <c r="AI61" i="10"/>
  <c r="AJ61" i="10"/>
  <c r="AK61" i="10"/>
  <c r="AL61" i="10"/>
  <c r="AN61" i="10"/>
  <c r="AO61" i="10"/>
  <c r="W62" i="10"/>
  <c r="X62" i="10"/>
  <c r="Y62" i="10"/>
  <c r="Z62" i="10"/>
  <c r="AA62" i="10"/>
  <c r="AB62" i="10"/>
  <c r="AC62" i="10"/>
  <c r="AD62" i="10"/>
  <c r="AE62" i="10"/>
  <c r="AF62" i="10"/>
  <c r="AG62" i="10"/>
  <c r="AH62" i="10"/>
  <c r="AI62" i="10"/>
  <c r="AJ62" i="10"/>
  <c r="AK62" i="10"/>
  <c r="AO127" i="10"/>
  <c r="AN127" i="10"/>
  <c r="AM127" i="10"/>
  <c r="AL127" i="10"/>
  <c r="AK127" i="10"/>
  <c r="AJ127" i="10"/>
  <c r="AI127" i="10"/>
  <c r="AH127" i="10"/>
  <c r="AG127" i="10"/>
  <c r="AF127" i="10"/>
  <c r="AE127" i="10"/>
  <c r="AD127" i="10"/>
  <c r="AC127" i="10"/>
  <c r="AB127" i="10"/>
  <c r="AA127" i="10"/>
  <c r="Z127" i="10"/>
  <c r="Y127" i="10"/>
  <c r="X127" i="10"/>
  <c r="W127" i="10"/>
  <c r="AO126" i="10"/>
  <c r="AN126" i="10"/>
  <c r="AM126" i="10"/>
  <c r="AL126" i="10"/>
  <c r="AK126" i="10"/>
  <c r="AJ126" i="10"/>
  <c r="AI126" i="10"/>
  <c r="AH126" i="10"/>
  <c r="AG126" i="10"/>
  <c r="AF126" i="10"/>
  <c r="AE126" i="10"/>
  <c r="AD126" i="10"/>
  <c r="AC126" i="10"/>
  <c r="AB126" i="10"/>
  <c r="AA126" i="10"/>
  <c r="Z126" i="10"/>
  <c r="Y126" i="10"/>
  <c r="X126" i="10"/>
  <c r="W126" i="10"/>
  <c r="AO125" i="10"/>
  <c r="AN125" i="10"/>
  <c r="AM125" i="10"/>
  <c r="AL125" i="10"/>
  <c r="AK125" i="10"/>
  <c r="AJ125" i="10"/>
  <c r="AI125" i="10"/>
  <c r="AH125" i="10"/>
  <c r="AG125" i="10"/>
  <c r="AF125" i="10"/>
  <c r="AE125" i="10"/>
  <c r="AD125" i="10"/>
  <c r="AC125" i="10"/>
  <c r="AB125" i="10"/>
  <c r="AA125" i="10"/>
  <c r="Z125" i="10"/>
  <c r="Y125" i="10"/>
  <c r="X125" i="10"/>
  <c r="W125" i="10"/>
  <c r="AO124" i="10"/>
  <c r="AN124" i="10"/>
  <c r="AM124" i="10"/>
  <c r="AL124" i="10"/>
  <c r="AK124" i="10"/>
  <c r="AJ124" i="10"/>
  <c r="AI124" i="10"/>
  <c r="AH124" i="10"/>
  <c r="AG124" i="10"/>
  <c r="AF124" i="10"/>
  <c r="AE124" i="10"/>
  <c r="AD124" i="10"/>
  <c r="AC124" i="10"/>
  <c r="AB124" i="10"/>
  <c r="AA124" i="10"/>
  <c r="Z124" i="10"/>
  <c r="Y124" i="10"/>
  <c r="X124" i="10"/>
  <c r="W124" i="10"/>
  <c r="AO123" i="10"/>
  <c r="AN123" i="10"/>
  <c r="AM123" i="10"/>
  <c r="AL123" i="10"/>
  <c r="AK123" i="10"/>
  <c r="AJ123" i="10"/>
  <c r="AI123" i="10"/>
  <c r="AH123" i="10"/>
  <c r="AG123" i="10"/>
  <c r="AF123" i="10"/>
  <c r="AE123" i="10"/>
  <c r="AD123" i="10"/>
  <c r="AC123" i="10"/>
  <c r="AB123" i="10"/>
  <c r="AA123" i="10"/>
  <c r="Z123" i="10"/>
  <c r="Y123" i="10"/>
  <c r="X123" i="10"/>
  <c r="W123" i="10"/>
  <c r="AO122" i="10"/>
  <c r="AN122" i="10"/>
  <c r="AM122" i="10"/>
  <c r="AL122" i="10"/>
  <c r="AK122" i="10"/>
  <c r="AJ122" i="10"/>
  <c r="AI122" i="10"/>
  <c r="AH122" i="10"/>
  <c r="AG122" i="10"/>
  <c r="AF122" i="10"/>
  <c r="AE122" i="10"/>
  <c r="AD122" i="10"/>
  <c r="AC122" i="10"/>
  <c r="AB122" i="10"/>
  <c r="AA122" i="10"/>
  <c r="Z122" i="10"/>
  <c r="Y122" i="10"/>
  <c r="X122" i="10"/>
  <c r="W122" i="10"/>
  <c r="AO121" i="10"/>
  <c r="AN121" i="10"/>
  <c r="AM121" i="10"/>
  <c r="AL121" i="10"/>
  <c r="AK121" i="10"/>
  <c r="AJ121" i="10"/>
  <c r="AI121" i="10"/>
  <c r="AH121" i="10"/>
  <c r="AG121" i="10"/>
  <c r="AF121" i="10"/>
  <c r="AE121" i="10"/>
  <c r="AD121" i="10"/>
  <c r="AC121" i="10"/>
  <c r="AB121" i="10"/>
  <c r="AA121" i="10"/>
  <c r="Z121" i="10"/>
  <c r="Y121" i="10"/>
  <c r="X121" i="10"/>
  <c r="W121" i="10"/>
  <c r="AJ112" i="10"/>
  <c r="AH112" i="10"/>
  <c r="AF112" i="10"/>
  <c r="AE112" i="10"/>
  <c r="AC112" i="10"/>
  <c r="Z112" i="10"/>
  <c r="Y112" i="10"/>
  <c r="W112" i="10"/>
  <c r="AN111" i="10"/>
  <c r="AL111" i="10"/>
  <c r="AJ111" i="10"/>
  <c r="AH111" i="10"/>
  <c r="AF111" i="10"/>
  <c r="AC111" i="10"/>
  <c r="AA111" i="10"/>
  <c r="Z111" i="10"/>
  <c r="Y111" i="10"/>
  <c r="W111" i="10"/>
  <c r="AN110" i="10"/>
  <c r="AL110" i="10"/>
  <c r="AJ110" i="10"/>
  <c r="AG110" i="10"/>
  <c r="AF110" i="10"/>
  <c r="AD110" i="10"/>
  <c r="AB110" i="10"/>
  <c r="Z110" i="10"/>
  <c r="X110" i="10"/>
  <c r="AO109" i="10"/>
  <c r="AM109" i="10"/>
  <c r="AK109" i="10"/>
  <c r="AI109" i="10"/>
  <c r="AG109" i="10"/>
  <c r="AE109" i="10"/>
  <c r="AC109" i="10"/>
  <c r="AA109" i="10"/>
  <c r="Y109" i="10"/>
  <c r="W109" i="10"/>
  <c r="AN108" i="10"/>
  <c r="AL108" i="10"/>
  <c r="AK108" i="10"/>
  <c r="AH108" i="10"/>
  <c r="AF108" i="10"/>
  <c r="AD108" i="10"/>
  <c r="AB108" i="10"/>
  <c r="Y108" i="10"/>
  <c r="W108" i="10"/>
  <c r="AN87" i="10"/>
  <c r="AJ87" i="10"/>
  <c r="AE87" i="10"/>
  <c r="AB87" i="10"/>
  <c r="X87" i="10"/>
  <c r="AN86" i="10"/>
  <c r="AJ86" i="10"/>
  <c r="AD86" i="10"/>
  <c r="Z86" i="10"/>
  <c r="AK85" i="10"/>
  <c r="AH85" i="10"/>
  <c r="AE85" i="10"/>
  <c r="Z85" i="10"/>
  <c r="W85" i="10"/>
  <c r="AO84" i="10"/>
  <c r="AK84" i="10"/>
  <c r="AH84" i="10"/>
  <c r="AD84" i="10"/>
  <c r="Y84" i="10"/>
  <c r="AN83" i="10"/>
  <c r="AJ83" i="10"/>
  <c r="AF83" i="10"/>
  <c r="AB83" i="10"/>
  <c r="X83" i="10"/>
  <c r="AM82" i="10"/>
  <c r="AG82" i="10"/>
  <c r="AC82" i="10"/>
  <c r="Z82" i="10"/>
  <c r="AH6" i="10"/>
  <c r="Y6" i="10"/>
  <c r="AL5" i="10"/>
  <c r="AB5" i="10"/>
  <c r="AM4" i="10"/>
  <c r="AD4" i="10"/>
  <c r="W4" i="10"/>
  <c r="AB17" i="10"/>
  <c r="AD36" i="10"/>
  <c r="AE36" i="10"/>
  <c r="AF36" i="10"/>
  <c r="AI73" i="10"/>
  <c r="AJ73" i="10"/>
  <c r="AG36" i="10"/>
  <c r="AH36" i="10"/>
  <c r="AI36" i="10"/>
  <c r="AJ36" i="10"/>
  <c r="AK36" i="10"/>
  <c r="AL36" i="10"/>
  <c r="AM36" i="10"/>
  <c r="AN36" i="10"/>
  <c r="AO36" i="10"/>
  <c r="W37" i="10"/>
  <c r="AL62" i="10"/>
  <c r="AM62" i="10"/>
  <c r="AN62" i="10"/>
  <c r="AO62" i="10"/>
  <c r="W63" i="10"/>
  <c r="X63" i="10"/>
  <c r="Y63" i="10"/>
  <c r="Z63" i="10"/>
  <c r="AA63" i="10"/>
  <c r="AB63" i="10"/>
  <c r="AC63" i="10"/>
  <c r="AD63" i="10"/>
  <c r="AE63" i="10"/>
  <c r="AF63" i="10"/>
  <c r="AG63" i="10"/>
  <c r="AH63" i="10"/>
  <c r="AI63" i="10"/>
  <c r="AJ63" i="10"/>
  <c r="AK63" i="10"/>
  <c r="AL63" i="10"/>
  <c r="AM63" i="10"/>
  <c r="AN63" i="10"/>
  <c r="AO63" i="10"/>
  <c r="W64" i="10"/>
  <c r="X64" i="10"/>
  <c r="Y64" i="10"/>
  <c r="Z64" i="10"/>
  <c r="AA64" i="10"/>
  <c r="AF162" i="10"/>
  <c r="AB64" i="10"/>
  <c r="AC64" i="10"/>
  <c r="AD64" i="10"/>
  <c r="AE64" i="10"/>
  <c r="AF64" i="10"/>
  <c r="AG64" i="10"/>
  <c r="AH64" i="10"/>
  <c r="AI64" i="10"/>
  <c r="AJ64" i="10"/>
  <c r="AK64" i="10"/>
  <c r="AL64" i="10"/>
  <c r="AM64" i="10"/>
  <c r="AN64" i="10"/>
  <c r="AO64" i="10"/>
  <c r="W65" i="10"/>
  <c r="X65" i="10"/>
  <c r="Y65" i="10"/>
  <c r="Z65" i="10"/>
  <c r="AA65" i="10"/>
  <c r="AB65" i="10"/>
  <c r="AC65" i="10"/>
  <c r="AD65" i="10"/>
  <c r="AE65" i="10"/>
  <c r="AF65" i="10"/>
  <c r="AG65" i="10"/>
  <c r="AH65" i="10"/>
  <c r="AI65" i="10"/>
  <c r="X162" i="10"/>
  <c r="AM162" i="10"/>
  <c r="X37" i="10"/>
  <c r="Y37" i="10"/>
  <c r="Z37" i="10"/>
  <c r="AA37" i="10"/>
  <c r="AG5" i="10"/>
  <c r="X6" i="10"/>
  <c r="AD6" i="10"/>
  <c r="AM6" i="10"/>
  <c r="AB7" i="10"/>
  <c r="AF7" i="10"/>
  <c r="AO118" i="10"/>
  <c r="AN118" i="10"/>
  <c r="AM118" i="10"/>
  <c r="AL118" i="10"/>
  <c r="AK118" i="10"/>
  <c r="AJ118" i="10"/>
  <c r="AI118" i="10"/>
  <c r="AH118" i="10"/>
  <c r="AG118" i="10"/>
  <c r="AF118" i="10"/>
  <c r="AE118" i="10"/>
  <c r="AD118" i="10"/>
  <c r="AC118" i="10"/>
  <c r="AB118" i="10"/>
  <c r="AA118" i="10"/>
  <c r="Z118" i="10"/>
  <c r="Y118" i="10"/>
  <c r="X118" i="10"/>
  <c r="W118" i="10"/>
  <c r="AO117" i="10"/>
  <c r="AN117" i="10"/>
  <c r="AM117" i="10"/>
  <c r="AL117" i="10"/>
  <c r="AK117" i="10"/>
  <c r="AJ117" i="10"/>
  <c r="AI117" i="10"/>
  <c r="AH117" i="10"/>
  <c r="AG117" i="10"/>
  <c r="AF117" i="10"/>
  <c r="AE117" i="10"/>
  <c r="AD117" i="10"/>
  <c r="AC117" i="10"/>
  <c r="AB117" i="10"/>
  <c r="AA117" i="10"/>
  <c r="Z117" i="10"/>
  <c r="Y117" i="10"/>
  <c r="X117" i="10"/>
  <c r="W117" i="10"/>
  <c r="AO116" i="10"/>
  <c r="AN116" i="10"/>
  <c r="AM116" i="10"/>
  <c r="AL116" i="10"/>
  <c r="AK116" i="10"/>
  <c r="AJ116" i="10"/>
  <c r="AI116" i="10"/>
  <c r="AH116" i="10"/>
  <c r="AG116" i="10"/>
  <c r="AF116" i="10"/>
  <c r="AE116" i="10"/>
  <c r="AD116" i="10"/>
  <c r="AC116" i="10"/>
  <c r="AB116" i="10"/>
  <c r="AA116" i="10"/>
  <c r="Z116" i="10"/>
  <c r="Y116" i="10"/>
  <c r="X116" i="10"/>
  <c r="W116" i="10"/>
  <c r="AO115" i="10"/>
  <c r="AN115" i="10"/>
  <c r="AM115" i="10"/>
  <c r="AL115" i="10"/>
  <c r="AK115" i="10"/>
  <c r="AJ115" i="10"/>
  <c r="AI115" i="10"/>
  <c r="AH115" i="10"/>
  <c r="AG115" i="10"/>
  <c r="AF115" i="10"/>
  <c r="AE115" i="10"/>
  <c r="AD115" i="10"/>
  <c r="AC115" i="10"/>
  <c r="AB115" i="10"/>
  <c r="AA115" i="10"/>
  <c r="Z115" i="10"/>
  <c r="Y115" i="10"/>
  <c r="X115" i="10"/>
  <c r="W115" i="10"/>
  <c r="AO114" i="10"/>
  <c r="AN114" i="10"/>
  <c r="AM114" i="10"/>
  <c r="AL114" i="10"/>
  <c r="AK114" i="10"/>
  <c r="AJ114" i="10"/>
  <c r="AI114" i="10"/>
  <c r="AH114" i="10"/>
  <c r="AG114" i="10"/>
  <c r="AF114" i="10"/>
  <c r="AE114" i="10"/>
  <c r="AD114" i="10"/>
  <c r="AC114" i="10"/>
  <c r="AB114" i="10"/>
  <c r="AA114" i="10"/>
  <c r="Z114" i="10"/>
  <c r="Y114" i="10"/>
  <c r="X114" i="10"/>
  <c r="W114" i="10"/>
  <c r="AO113" i="10"/>
  <c r="AN113" i="10"/>
  <c r="AM113" i="10"/>
  <c r="AL113" i="10"/>
  <c r="AK113" i="10"/>
  <c r="AJ113" i="10"/>
  <c r="AI113" i="10"/>
  <c r="AH113" i="10"/>
  <c r="AG113" i="10"/>
  <c r="AF113" i="10"/>
  <c r="AE113" i="10"/>
  <c r="AD113" i="10"/>
  <c r="AC113" i="10"/>
  <c r="AB113" i="10"/>
  <c r="AA113" i="10"/>
  <c r="Z113" i="10"/>
  <c r="Y113" i="10"/>
  <c r="X113" i="10"/>
  <c r="W113" i="10"/>
  <c r="AO112" i="10"/>
  <c r="AN112" i="10"/>
  <c r="AM112" i="10"/>
  <c r="AL112" i="10"/>
  <c r="AK112" i="10"/>
  <c r="AI112" i="10"/>
  <c r="AG112" i="10"/>
  <c r="AD112" i="10"/>
  <c r="AB112" i="10"/>
  <c r="AA112" i="10"/>
  <c r="X112" i="10"/>
  <c r="AO111" i="10"/>
  <c r="AM111" i="10"/>
  <c r="AK111" i="10"/>
  <c r="AI111" i="10"/>
  <c r="AG111" i="10"/>
  <c r="AE111" i="10"/>
  <c r="AD111" i="10"/>
  <c r="AB111" i="10"/>
  <c r="X111" i="10"/>
  <c r="AO110" i="10"/>
  <c r="AM110" i="10"/>
  <c r="AK110" i="10"/>
  <c r="AI110" i="10"/>
  <c r="AH110" i="10"/>
  <c r="AE110" i="10"/>
  <c r="AC110" i="10"/>
  <c r="AA110" i="10"/>
  <c r="Y110" i="10"/>
  <c r="W110" i="10"/>
  <c r="AN109" i="10"/>
  <c r="AL109" i="10"/>
  <c r="AJ109" i="10"/>
  <c r="AH109" i="10"/>
  <c r="AF109" i="10"/>
  <c r="AD109" i="10"/>
  <c r="AB109" i="10"/>
  <c r="Z109" i="10"/>
  <c r="X109" i="10"/>
  <c r="AO108" i="10"/>
  <c r="AM108" i="10"/>
  <c r="AJ108" i="10"/>
  <c r="AI108" i="10"/>
  <c r="AG108" i="10"/>
  <c r="AE108" i="10"/>
  <c r="AC108" i="10"/>
  <c r="AA108" i="10"/>
  <c r="Z108" i="10"/>
  <c r="X108" i="10"/>
  <c r="AL87" i="10"/>
  <c r="AH87" i="10"/>
  <c r="AF87" i="10"/>
  <c r="Z87" i="10"/>
  <c r="W87" i="10"/>
  <c r="AL86" i="10"/>
  <c r="AI86" i="10"/>
  <c r="AE86" i="10"/>
  <c r="AA86" i="10"/>
  <c r="W86" i="10"/>
  <c r="AN85" i="10"/>
  <c r="AJ85" i="10"/>
  <c r="AD85" i="10"/>
  <c r="X85" i="10"/>
  <c r="AN84" i="10"/>
  <c r="AJ84" i="10"/>
  <c r="AG84" i="10"/>
  <c r="AB84" i="10"/>
  <c r="X84" i="10"/>
  <c r="AL83" i="10"/>
  <c r="AH83" i="10"/>
  <c r="AE83" i="10"/>
  <c r="AA83" i="10"/>
  <c r="W83" i="10"/>
  <c r="AO82" i="10"/>
  <c r="AK82" i="10"/>
  <c r="AE82" i="10"/>
  <c r="AA82" i="10"/>
  <c r="AI6" i="10"/>
  <c r="AK5" i="10"/>
  <c r="Y5" i="10"/>
  <c r="AN4" i="10"/>
  <c r="AF4" i="10"/>
  <c r="Y4" i="10"/>
  <c r="AB37" i="10"/>
  <c r="AC37" i="10"/>
  <c r="AD37" i="10"/>
  <c r="AE37" i="10"/>
  <c r="AF37" i="10"/>
  <c r="AG37" i="10"/>
  <c r="AH37" i="10"/>
  <c r="AI37" i="10"/>
  <c r="AJ37" i="10"/>
  <c r="AK37" i="10"/>
  <c r="AL37" i="10"/>
  <c r="AM37" i="10"/>
  <c r="AN37" i="10"/>
  <c r="AO37" i="10"/>
  <c r="W38" i="10"/>
  <c r="X38" i="10"/>
  <c r="Y38" i="10"/>
  <c r="Z38" i="10"/>
  <c r="AJ7" i="10"/>
  <c r="AN7" i="10"/>
  <c r="AM61" i="10"/>
  <c r="AA8" i="10"/>
  <c r="AE8" i="10"/>
  <c r="AJ8" i="10"/>
  <c r="AO8" i="10"/>
  <c r="Z9" i="10"/>
  <c r="AD9" i="10"/>
  <c r="AI9" i="10"/>
  <c r="AN9" i="10"/>
  <c r="AA10" i="10"/>
  <c r="AF10" i="10"/>
  <c r="AM10" i="10"/>
  <c r="Z11" i="10"/>
  <c r="Y17" i="10"/>
  <c r="AC17" i="10"/>
  <c r="AH17" i="10"/>
  <c r="AO17" i="10"/>
  <c r="Z18" i="10"/>
  <c r="AE18" i="10"/>
  <c r="AJ18" i="10"/>
  <c r="AO18" i="10"/>
  <c r="Z19" i="10"/>
  <c r="AC19" i="10"/>
  <c r="AH19" i="10"/>
  <c r="X20" i="10"/>
  <c r="AC20" i="10"/>
  <c r="AL20" i="10"/>
  <c r="Z21" i="10"/>
  <c r="AD21" i="10"/>
  <c r="X30" i="10"/>
  <c r="AD30" i="10"/>
  <c r="AJ30" i="10"/>
  <c r="AL30" i="10"/>
  <c r="X31" i="10"/>
  <c r="AD31" i="10"/>
  <c r="AJ31" i="10"/>
  <c r="AL31" i="10"/>
  <c r="AO31" i="10"/>
  <c r="Z32" i="10"/>
  <c r="AC32" i="10"/>
  <c r="AJ32" i="10"/>
  <c r="AM32" i="10"/>
  <c r="Y43" i="10"/>
  <c r="AB43" i="10"/>
  <c r="AC43" i="10"/>
  <c r="AF43" i="10"/>
  <c r="Y56" i="10"/>
  <c r="Z56" i="10"/>
  <c r="AB56" i="10"/>
  <c r="AE56" i="10"/>
  <c r="AH56" i="10"/>
  <c r="AJ56" i="10"/>
  <c r="AK56" i="10"/>
  <c r="AM56" i="10"/>
  <c r="AN56" i="10"/>
  <c r="W57" i="10"/>
  <c r="Y57" i="10"/>
  <c r="AB57" i="10"/>
  <c r="AD57" i="10"/>
  <c r="AG57" i="10"/>
  <c r="AI57" i="10"/>
  <c r="AK57" i="10"/>
  <c r="AM57" i="10"/>
  <c r="AO57" i="10"/>
  <c r="X58" i="10"/>
  <c r="Z58" i="10"/>
  <c r="AB58" i="10"/>
  <c r="AD58" i="10"/>
  <c r="AG58" i="10"/>
  <c r="AI58" i="10"/>
  <c r="AK58" i="10"/>
  <c r="AM58" i="10"/>
  <c r="AO58" i="10"/>
  <c r="W59" i="10"/>
  <c r="Y59" i="10"/>
  <c r="Z59" i="10"/>
  <c r="AC59" i="10"/>
  <c r="AE59" i="10"/>
  <c r="AG59" i="10"/>
  <c r="AH59" i="10"/>
  <c r="AI59" i="10"/>
  <c r="AK59" i="10"/>
  <c r="AM59" i="10"/>
  <c r="AO59" i="10"/>
  <c r="W60" i="10"/>
  <c r="X60" i="10"/>
  <c r="AA60" i="10"/>
  <c r="W69" i="10"/>
  <c r="X69" i="10"/>
  <c r="Y69" i="10"/>
  <c r="Z69" i="10"/>
  <c r="AA69" i="10"/>
  <c r="AB69" i="10"/>
  <c r="AC69" i="10"/>
  <c r="AD69" i="10"/>
  <c r="AE69" i="10"/>
  <c r="AF69" i="10"/>
  <c r="AG69" i="10"/>
  <c r="AH69" i="10"/>
  <c r="AI69" i="10"/>
  <c r="AJ69" i="10"/>
  <c r="AK69" i="10"/>
  <c r="AL69" i="10"/>
  <c r="AM69" i="10"/>
  <c r="AN69" i="10"/>
  <c r="AO69" i="10"/>
  <c r="W70" i="10"/>
  <c r="X70" i="10"/>
  <c r="Y70" i="10"/>
  <c r="Z70" i="10"/>
  <c r="AA70" i="10"/>
  <c r="AB70" i="10"/>
  <c r="AC70" i="10"/>
  <c r="AD70" i="10"/>
  <c r="AE70" i="10"/>
  <c r="AF70" i="10"/>
  <c r="AG70" i="10"/>
  <c r="AH70" i="10"/>
  <c r="AI70" i="10"/>
  <c r="AJ70" i="10"/>
  <c r="AK70" i="10"/>
  <c r="AL70" i="10"/>
  <c r="AM70" i="10"/>
  <c r="AO102" i="10"/>
  <c r="AN102" i="10"/>
  <c r="AM102" i="10"/>
  <c r="AL102" i="10"/>
  <c r="AK102" i="10"/>
  <c r="AJ102" i="10"/>
  <c r="AI102" i="10"/>
  <c r="AH102" i="10"/>
  <c r="AG102" i="10"/>
  <c r="AF102" i="10"/>
  <c r="AE102" i="10"/>
  <c r="AD102" i="10"/>
  <c r="AC102" i="10"/>
  <c r="AB102" i="10"/>
  <c r="AA102" i="10"/>
  <c r="Z102" i="10"/>
  <c r="Y102" i="10"/>
  <c r="X102" i="10"/>
  <c r="W102" i="10"/>
  <c r="AO101" i="10"/>
  <c r="AN101" i="10"/>
  <c r="AM101" i="10"/>
  <c r="AL101" i="10"/>
  <c r="AK101" i="10"/>
  <c r="AJ101" i="10"/>
  <c r="AI101" i="10"/>
  <c r="AH101" i="10"/>
  <c r="AG101" i="10"/>
  <c r="AF101" i="10"/>
  <c r="AE101" i="10"/>
  <c r="AD101" i="10"/>
  <c r="AC101" i="10"/>
  <c r="AB101" i="10"/>
  <c r="AA101" i="10"/>
  <c r="Z101" i="10"/>
  <c r="Y101" i="10"/>
  <c r="X101" i="10"/>
  <c r="W101" i="10"/>
  <c r="AO100" i="10"/>
  <c r="AN100" i="10"/>
  <c r="AM100" i="10"/>
  <c r="AL100" i="10"/>
  <c r="AK100" i="10"/>
  <c r="AJ100" i="10"/>
  <c r="AI100" i="10"/>
  <c r="AH100" i="10"/>
  <c r="AG100" i="10"/>
  <c r="AF100" i="10"/>
  <c r="AE100" i="10"/>
  <c r="AD100" i="10"/>
  <c r="AC100" i="10"/>
  <c r="AB100" i="10"/>
  <c r="AA100" i="10"/>
  <c r="Z100" i="10"/>
  <c r="Y100" i="10"/>
  <c r="X100" i="10"/>
  <c r="W100" i="10"/>
  <c r="AO99" i="10"/>
  <c r="AN99" i="10"/>
  <c r="AM99" i="10"/>
  <c r="AL99" i="10"/>
  <c r="AK99" i="10"/>
  <c r="AJ99" i="10"/>
  <c r="AI99" i="10"/>
  <c r="AH99" i="10"/>
  <c r="AG99" i="10"/>
  <c r="AF99" i="10"/>
  <c r="AE99" i="10"/>
  <c r="AD99" i="10"/>
  <c r="AC99" i="10"/>
  <c r="AB99" i="10"/>
  <c r="AA99" i="10"/>
  <c r="Z99" i="10"/>
  <c r="Y99" i="10"/>
  <c r="X99" i="10"/>
  <c r="W99" i="10"/>
  <c r="AO98" i="10"/>
  <c r="AN98" i="10"/>
  <c r="AM98" i="10"/>
  <c r="AL98" i="10"/>
  <c r="AK98" i="10"/>
  <c r="AJ98" i="10"/>
  <c r="AI98" i="10"/>
  <c r="AH98" i="10"/>
  <c r="AG98" i="10"/>
  <c r="AF98" i="10"/>
  <c r="AE98" i="10"/>
  <c r="AD98" i="10"/>
  <c r="AC98" i="10"/>
  <c r="AB98" i="10"/>
  <c r="AA98" i="10"/>
  <c r="Z98" i="10"/>
  <c r="Y98" i="10"/>
  <c r="X98" i="10"/>
  <c r="W98" i="10"/>
  <c r="AO97" i="10"/>
  <c r="AN97" i="10"/>
  <c r="AM97" i="10"/>
  <c r="AL97" i="10"/>
  <c r="AK97" i="10"/>
  <c r="AJ97" i="10"/>
  <c r="AI97" i="10"/>
  <c r="AH97" i="10"/>
  <c r="AG97" i="10"/>
  <c r="AF97" i="10"/>
  <c r="AE97" i="10"/>
  <c r="AD97" i="10"/>
  <c r="AC97" i="10"/>
  <c r="AB97" i="10"/>
  <c r="AA97" i="10"/>
  <c r="Z97" i="10"/>
  <c r="Y97" i="10"/>
  <c r="X97" i="10"/>
  <c r="W97" i="10"/>
  <c r="AO96" i="10"/>
  <c r="AN96" i="10"/>
  <c r="AM96" i="10"/>
  <c r="AL96" i="10"/>
  <c r="AK96" i="10"/>
  <c r="AJ96" i="10"/>
  <c r="AI96" i="10"/>
  <c r="AH96" i="10"/>
  <c r="AG96" i="10"/>
  <c r="AF96" i="10"/>
  <c r="AE96" i="10"/>
  <c r="AD96" i="10"/>
  <c r="AC96" i="10"/>
  <c r="AB96" i="10"/>
  <c r="AA96" i="10"/>
  <c r="Z96" i="10"/>
  <c r="Y96" i="10"/>
  <c r="X96" i="10"/>
  <c r="W96" i="10"/>
  <c r="AO95" i="10"/>
  <c r="AN95" i="10"/>
  <c r="AM95" i="10"/>
  <c r="AL95" i="10"/>
  <c r="AK95" i="10"/>
  <c r="AJ95" i="10"/>
  <c r="AI95" i="10"/>
  <c r="AH95" i="10"/>
  <c r="AG95" i="10"/>
  <c r="AF95" i="10"/>
  <c r="AE95" i="10"/>
  <c r="AD95" i="10"/>
  <c r="AC95" i="10"/>
  <c r="AB95" i="10"/>
  <c r="AA95" i="10"/>
  <c r="Z95" i="10"/>
  <c r="Y95" i="10"/>
  <c r="X95" i="10"/>
  <c r="W95" i="10"/>
  <c r="W90" i="10"/>
  <c r="AO89" i="10"/>
  <c r="AN89" i="10"/>
  <c r="AL89" i="10"/>
  <c r="AK89" i="10"/>
  <c r="AI89" i="10"/>
  <c r="AG89" i="10"/>
  <c r="AE89" i="10"/>
  <c r="AD89" i="10"/>
  <c r="AB89" i="10"/>
  <c r="AA89" i="10"/>
  <c r="Y89" i="10"/>
  <c r="X89" i="10"/>
  <c r="AN88" i="10"/>
  <c r="AK88" i="10"/>
  <c r="AI88" i="10"/>
  <c r="AG88" i="10"/>
  <c r="AD88" i="10"/>
  <c r="AC88" i="10"/>
  <c r="AA88" i="10"/>
  <c r="X88" i="10"/>
  <c r="AM87" i="10"/>
  <c r="AK87" i="10"/>
  <c r="AG87" i="10"/>
  <c r="AC87" i="10"/>
  <c r="Y87" i="10"/>
  <c r="AO86" i="10"/>
  <c r="AK86" i="10"/>
  <c r="AG86" i="10"/>
  <c r="AC86" i="10"/>
  <c r="Y86" i="10"/>
  <c r="AM85" i="10"/>
  <c r="AI85" i="10"/>
  <c r="AF85" i="10"/>
  <c r="AB85" i="10"/>
  <c r="Y85" i="10"/>
  <c r="AL84" i="10"/>
  <c r="AI84" i="10"/>
  <c r="AE84" i="10"/>
  <c r="AA84" i="10"/>
  <c r="W84" i="10"/>
  <c r="AO83" i="10"/>
  <c r="AK83" i="10"/>
  <c r="AG83" i="10"/>
  <c r="AD83" i="10"/>
  <c r="Y83" i="10"/>
  <c r="AN82" i="10"/>
  <c r="AJ82" i="10"/>
  <c r="AF82" i="10"/>
  <c r="W82" i="10"/>
  <c r="AG6" i="10"/>
  <c r="W6" i="10"/>
  <c r="AJ5" i="10"/>
  <c r="AA5" i="10"/>
  <c r="AJ4" i="10"/>
  <c r="AB4" i="10"/>
  <c r="AA38" i="10"/>
  <c r="AB38" i="10"/>
  <c r="AC38" i="10"/>
  <c r="AD38" i="10"/>
  <c r="AE38" i="10"/>
  <c r="AF38" i="10"/>
  <c r="AG38" i="10"/>
  <c r="AH38" i="10"/>
  <c r="AI38" i="10"/>
  <c r="AJ38" i="10"/>
  <c r="AN70" i="10"/>
  <c r="AO70" i="10"/>
  <c r="W71" i="10"/>
  <c r="X71" i="10"/>
  <c r="Y71" i="10"/>
  <c r="Z71" i="10"/>
  <c r="AA71" i="10"/>
  <c r="AB71" i="10"/>
  <c r="AC71" i="10"/>
  <c r="AD71" i="10"/>
  <c r="AE71" i="10"/>
  <c r="AF71" i="10"/>
  <c r="AG71" i="10"/>
  <c r="AH71" i="10"/>
  <c r="AI71" i="10"/>
  <c r="AJ71" i="10"/>
  <c r="AO73" i="10"/>
  <c r="AD162" i="10"/>
  <c r="AK71" i="10"/>
  <c r="AL71" i="10"/>
  <c r="AM71" i="10"/>
  <c r="AN71" i="10"/>
  <c r="AO71" i="10"/>
  <c r="W72" i="10"/>
  <c r="X72" i="10"/>
  <c r="Y72" i="10"/>
  <c r="Z72" i="10"/>
  <c r="AA72" i="10"/>
  <c r="AB72" i="10"/>
  <c r="AC72" i="10"/>
  <c r="AD72" i="10"/>
  <c r="AE72" i="10"/>
  <c r="AF72" i="10"/>
  <c r="AG72" i="10"/>
  <c r="AH72" i="10"/>
  <c r="AI72" i="10"/>
  <c r="AJ72" i="10"/>
  <c r="AK72" i="10"/>
  <c r="AL72" i="10"/>
  <c r="AM72" i="10"/>
  <c r="AN72" i="10"/>
  <c r="AO72" i="10"/>
  <c r="W73" i="10"/>
  <c r="X73" i="10"/>
  <c r="Y73" i="10"/>
  <c r="Z73" i="10"/>
  <c r="AA73" i="10"/>
  <c r="AB73" i="10"/>
  <c r="AK38" i="10"/>
  <c r="AD73" i="10"/>
  <c r="AE73" i="10"/>
  <c r="AF73" i="10"/>
  <c r="AG73" i="10"/>
  <c r="AO162" i="10"/>
  <c r="AA162" i="10"/>
  <c r="AH73" i="10"/>
  <c r="AO94" i="10"/>
  <c r="AN94" i="10"/>
  <c r="AM94" i="10"/>
  <c r="AL94" i="10"/>
  <c r="AK94" i="10"/>
  <c r="AJ94" i="10"/>
  <c r="AI94" i="10"/>
  <c r="AH94" i="10"/>
  <c r="AG94" i="10"/>
  <c r="AF94" i="10"/>
  <c r="AE94" i="10"/>
  <c r="AD94" i="10"/>
  <c r="AC94" i="10"/>
  <c r="AB94" i="10"/>
  <c r="AA94" i="10"/>
  <c r="Z94" i="10"/>
  <c r="Y94" i="10"/>
  <c r="X94" i="10"/>
  <c r="W94" i="10"/>
  <c r="AO93" i="10"/>
  <c r="AN93" i="10"/>
  <c r="AM93" i="10"/>
  <c r="AL93" i="10"/>
  <c r="AK93" i="10"/>
  <c r="AJ93" i="10"/>
  <c r="AI93" i="10"/>
  <c r="AH93" i="10"/>
  <c r="AG93" i="10"/>
  <c r="AF93" i="10"/>
  <c r="AE93" i="10"/>
  <c r="AD93" i="10"/>
  <c r="AC93" i="10"/>
  <c r="AB93" i="10"/>
  <c r="AA93" i="10"/>
  <c r="Z93" i="10"/>
  <c r="Y93" i="10"/>
  <c r="X93" i="10"/>
  <c r="W93" i="10"/>
  <c r="AO92" i="10"/>
  <c r="AN92" i="10"/>
  <c r="AM92" i="10"/>
  <c r="AL92" i="10"/>
  <c r="AK92" i="10"/>
  <c r="AJ92" i="10"/>
  <c r="AI92" i="10"/>
  <c r="AH92" i="10"/>
  <c r="AG92" i="10"/>
  <c r="AF92" i="10"/>
  <c r="AE92" i="10"/>
  <c r="AD92" i="10"/>
  <c r="AC92" i="10"/>
  <c r="AB92" i="10"/>
  <c r="AA92" i="10"/>
  <c r="Z92" i="10"/>
  <c r="Y92" i="10"/>
  <c r="X92" i="10"/>
  <c r="W92" i="10"/>
  <c r="AO91" i="10"/>
  <c r="AN91" i="10"/>
  <c r="AM91" i="10"/>
  <c r="AL91" i="10"/>
  <c r="AK91" i="10"/>
  <c r="AJ91" i="10"/>
  <c r="AI91" i="10"/>
  <c r="AH91" i="10"/>
  <c r="AG91" i="10"/>
  <c r="AF91" i="10"/>
  <c r="AE91" i="10"/>
  <c r="AD91" i="10"/>
  <c r="AC91" i="10"/>
  <c r="AB91" i="10"/>
  <c r="AA91" i="10"/>
  <c r="Z91" i="10"/>
  <c r="Y91" i="10"/>
  <c r="X91" i="10"/>
  <c r="W91" i="10"/>
  <c r="AO90" i="10"/>
  <c r="AN90" i="10"/>
  <c r="AM90" i="10"/>
  <c r="AL90" i="10"/>
  <c r="AK90" i="10"/>
  <c r="AJ90" i="10"/>
  <c r="AI90" i="10"/>
  <c r="AH90" i="10"/>
  <c r="AG90" i="10"/>
  <c r="AF90" i="10"/>
  <c r="AE90" i="10"/>
  <c r="AD90" i="10"/>
  <c r="AC90" i="10"/>
  <c r="AB90" i="10"/>
  <c r="AA90" i="10"/>
  <c r="Z90" i="10"/>
  <c r="Y90" i="10"/>
  <c r="X90" i="10"/>
  <c r="AM89" i="10"/>
  <c r="AJ89" i="10"/>
  <c r="AH89" i="10"/>
  <c r="AF89" i="10"/>
  <c r="AC89" i="10"/>
  <c r="Z89" i="10"/>
  <c r="W89" i="10"/>
  <c r="AO88" i="10"/>
  <c r="AM88" i="10"/>
  <c r="AL88" i="10"/>
  <c r="AJ88" i="10"/>
  <c r="AH88" i="10"/>
  <c r="AF88" i="10"/>
  <c r="AE88" i="10"/>
  <c r="AB88" i="10"/>
  <c r="Z88" i="10"/>
  <c r="Y88" i="10"/>
  <c r="W88" i="10"/>
  <c r="AO87" i="10"/>
  <c r="AI87" i="10"/>
  <c r="AD87" i="10"/>
  <c r="AA87" i="10"/>
  <c r="AM86" i="10"/>
  <c r="AH86" i="10"/>
  <c r="AF86" i="10"/>
  <c r="AB86" i="10"/>
  <c r="X86" i="10"/>
  <c r="AO85" i="10"/>
  <c r="AL85" i="10"/>
  <c r="AG85" i="10"/>
  <c r="AC85" i="10"/>
  <c r="AA85" i="10"/>
  <c r="AM84" i="10"/>
  <c r="AF84" i="10"/>
  <c r="AC84" i="10"/>
  <c r="Z84" i="10"/>
  <c r="AM83" i="10"/>
  <c r="AI83" i="10"/>
  <c r="AC83" i="10"/>
  <c r="Z83" i="10"/>
  <c r="AL82" i="10"/>
  <c r="AI82" i="10"/>
  <c r="AD82" i="10"/>
  <c r="X82" i="10"/>
  <c r="AL6" i="10"/>
  <c r="AC6" i="10"/>
  <c r="AM5" i="10"/>
  <c r="AD5" i="10"/>
  <c r="W5" i="10"/>
  <c r="AK4" i="10"/>
  <c r="AC4" i="10"/>
  <c r="AL38" i="10"/>
  <c r="AM38" i="10"/>
  <c r="AN38" i="10"/>
  <c r="AO38" i="10"/>
  <c r="W39" i="10"/>
  <c r="X39" i="10"/>
  <c r="Y39" i="10"/>
  <c r="Z39" i="10"/>
  <c r="AA39" i="10"/>
  <c r="AK73" i="10"/>
  <c r="AC36" i="10"/>
  <c r="AB36" i="10"/>
  <c r="AA36" i="10"/>
  <c r="Z36" i="10"/>
  <c r="Y36" i="10"/>
  <c r="X36" i="10"/>
  <c r="W36" i="10"/>
  <c r="AO35" i="10"/>
  <c r="AN35" i="10"/>
  <c r="AM35" i="10"/>
  <c r="AL35" i="10"/>
  <c r="AK35" i="10"/>
  <c r="AJ35" i="10"/>
  <c r="AI35" i="10"/>
  <c r="AH35" i="10"/>
  <c r="AG35" i="10"/>
  <c r="AF35" i="10"/>
  <c r="AE35" i="10"/>
  <c r="AD35" i="10"/>
  <c r="AC35" i="10"/>
  <c r="AB35" i="10"/>
  <c r="AA35" i="10"/>
  <c r="Z35" i="10"/>
  <c r="Y35" i="10"/>
  <c r="X35" i="10"/>
  <c r="W35" i="10"/>
  <c r="AO34" i="10"/>
  <c r="AN34" i="10"/>
  <c r="AM34" i="10"/>
  <c r="AL34" i="10"/>
  <c r="AK34" i="10"/>
  <c r="AJ34" i="10"/>
  <c r="AI34" i="10"/>
  <c r="AH34" i="10"/>
  <c r="AG34" i="10"/>
  <c r="AF34" i="10"/>
  <c r="AE34" i="10"/>
  <c r="AD34" i="10"/>
  <c r="AC34" i="10"/>
  <c r="AB34" i="10"/>
  <c r="AA34" i="10"/>
  <c r="Z34" i="10"/>
  <c r="Y34" i="10"/>
  <c r="X34" i="10"/>
  <c r="W34" i="10"/>
  <c r="AO33" i="10"/>
  <c r="AN33" i="10"/>
  <c r="AM33" i="10"/>
  <c r="AL33" i="10"/>
  <c r="AK33" i="10"/>
  <c r="AJ33" i="10"/>
  <c r="AI33" i="10"/>
  <c r="AH33" i="10"/>
  <c r="AG33" i="10"/>
  <c r="AF33" i="10"/>
  <c r="AE33" i="10"/>
  <c r="AD33" i="10"/>
  <c r="AC33" i="10"/>
  <c r="AB33" i="10"/>
  <c r="AA33" i="10"/>
  <c r="Z33" i="10"/>
  <c r="Y33" i="10"/>
  <c r="X33" i="10"/>
  <c r="W33" i="10"/>
  <c r="AO32" i="10"/>
  <c r="AK32" i="10"/>
  <c r="AG32" i="10"/>
  <c r="AD32" i="10"/>
  <c r="Y32" i="10"/>
  <c r="AK31" i="10"/>
  <c r="AE31" i="10"/>
  <c r="AA31" i="10"/>
  <c r="W31" i="10"/>
  <c r="AO30" i="10"/>
  <c r="AK30" i="10"/>
  <c r="AG30" i="10"/>
  <c r="AC30" i="10"/>
  <c r="Y30" i="10"/>
  <c r="AE21" i="10"/>
  <c r="X21" i="10"/>
  <c r="AM20" i="10"/>
  <c r="AH20" i="10"/>
  <c r="AD20" i="10"/>
  <c r="AB20" i="10"/>
  <c r="Y20" i="10"/>
  <c r="AM19" i="10"/>
  <c r="AK19" i="10"/>
  <c r="AE19" i="10"/>
  <c r="Y19" i="10"/>
  <c r="AL18" i="10"/>
  <c r="AG18" i="10"/>
  <c r="AB18" i="10"/>
  <c r="X18" i="10"/>
  <c r="AL17" i="10"/>
  <c r="AG17" i="10"/>
  <c r="AA17" i="10"/>
  <c r="Y11" i="10"/>
  <c r="AK10" i="10"/>
  <c r="AG10" i="10"/>
  <c r="AB10" i="10"/>
  <c r="W10" i="10"/>
  <c r="AJ9" i="10"/>
  <c r="AE9" i="10"/>
  <c r="Y9" i="10"/>
  <c r="AL8" i="10"/>
  <c r="AH8" i="10"/>
  <c r="AD8" i="10"/>
  <c r="X8" i="10"/>
  <c r="AM7" i="10"/>
  <c r="AI7" i="10"/>
  <c r="AC7" i="10"/>
  <c r="X7" i="10"/>
  <c r="AO6" i="10"/>
  <c r="AF6" i="10"/>
  <c r="AH5" i="10"/>
  <c r="AG4" i="10"/>
  <c r="AL73" i="10"/>
  <c r="AB39" i="10"/>
  <c r="AC39" i="10"/>
  <c r="AD39" i="10"/>
  <c r="AE39" i="10"/>
  <c r="AF39" i="10"/>
  <c r="AG39" i="10"/>
  <c r="AH39" i="10"/>
  <c r="AI39" i="10"/>
  <c r="AJ39" i="10"/>
  <c r="AK39" i="10"/>
  <c r="AL39" i="10"/>
  <c r="AM39" i="10"/>
  <c r="AN39" i="10"/>
  <c r="AO39" i="10"/>
  <c r="AC11" i="10"/>
  <c r="Z162" i="10"/>
  <c r="AN162" i="10"/>
  <c r="AE162" i="10"/>
  <c r="AA4" i="10"/>
  <c r="AL4" i="10"/>
  <c r="AE5" i="10"/>
  <c r="AO27" i="10"/>
  <c r="AN27" i="10"/>
  <c r="AM27" i="10"/>
  <c r="AL27" i="10"/>
  <c r="AK27" i="10"/>
  <c r="AJ27" i="10"/>
  <c r="AI27" i="10"/>
  <c r="AH27" i="10"/>
  <c r="AG27" i="10"/>
  <c r="AF27" i="10"/>
  <c r="AE27" i="10"/>
  <c r="AD27" i="10"/>
  <c r="AC27" i="10"/>
  <c r="AB27" i="10"/>
  <c r="AA27" i="10"/>
  <c r="Z27" i="10"/>
  <c r="Y27" i="10"/>
  <c r="X27" i="10"/>
  <c r="W27" i="10"/>
  <c r="AO26" i="10"/>
  <c r="AN26" i="10"/>
  <c r="AM26" i="10"/>
  <c r="AL26" i="10"/>
  <c r="AK26" i="10"/>
  <c r="AJ26" i="10"/>
  <c r="AI26" i="10"/>
  <c r="AH26" i="10"/>
  <c r="AG26" i="10"/>
  <c r="AF26" i="10"/>
  <c r="AE26" i="10"/>
  <c r="AD26" i="10"/>
  <c r="AC26" i="10"/>
  <c r="AB26" i="10"/>
  <c r="AA26" i="10"/>
  <c r="Z26" i="10"/>
  <c r="Y26" i="10"/>
  <c r="X26" i="10"/>
  <c r="W26" i="10"/>
  <c r="AO25" i="10"/>
  <c r="AN25" i="10"/>
  <c r="AM25" i="10"/>
  <c r="AL25" i="10"/>
  <c r="AK25" i="10"/>
  <c r="AJ25" i="10"/>
  <c r="AC73" i="10"/>
  <c r="AH25" i="10"/>
  <c r="AG25" i="10"/>
  <c r="AF25" i="10"/>
  <c r="AE25" i="10"/>
  <c r="AD25" i="10"/>
  <c r="AC25" i="10"/>
  <c r="AB25" i="10"/>
  <c r="AA25" i="10"/>
  <c r="Z25" i="10"/>
  <c r="Y25" i="10"/>
  <c r="X25" i="10"/>
  <c r="W25" i="10"/>
  <c r="AO24" i="10"/>
  <c r="AN24" i="10"/>
  <c r="AM24" i="10"/>
  <c r="AL24" i="10"/>
  <c r="AK24" i="10"/>
  <c r="AJ24" i="10"/>
  <c r="AI24" i="10"/>
  <c r="AH24" i="10"/>
  <c r="AG24" i="10"/>
  <c r="AF24" i="10"/>
  <c r="AE24" i="10"/>
  <c r="AD24" i="10"/>
  <c r="AC24" i="10"/>
  <c r="AB24" i="10"/>
  <c r="AA24" i="10"/>
  <c r="Z24" i="10"/>
  <c r="Y24" i="10"/>
  <c r="X24" i="10"/>
  <c r="W24" i="10"/>
  <c r="AO23" i="10"/>
  <c r="AN23" i="10"/>
  <c r="AM23" i="10"/>
  <c r="AL23" i="10"/>
  <c r="AK23" i="10"/>
  <c r="AJ23" i="10"/>
  <c r="AI23" i="10"/>
  <c r="AH23" i="10"/>
  <c r="AG23" i="10"/>
  <c r="AF23" i="10"/>
  <c r="AE23" i="10"/>
  <c r="AD23" i="10"/>
  <c r="AC23" i="10"/>
  <c r="AB23" i="10"/>
  <c r="AA23" i="10"/>
  <c r="Z23" i="10"/>
  <c r="Y23" i="10"/>
  <c r="X23" i="10"/>
  <c r="W23" i="10"/>
  <c r="AO22" i="10"/>
  <c r="AN22" i="10"/>
  <c r="AM22" i="10"/>
  <c r="AL22" i="10"/>
  <c r="AK22" i="10"/>
  <c r="AJ22" i="10"/>
  <c r="AI22" i="10"/>
  <c r="AH22" i="10"/>
  <c r="AG22" i="10"/>
  <c r="AF22" i="10"/>
  <c r="AE22" i="10"/>
  <c r="AD22" i="10"/>
  <c r="AC22" i="10"/>
  <c r="AB22" i="10"/>
  <c r="AA22" i="10"/>
  <c r="Z22" i="10"/>
  <c r="Y22" i="10"/>
  <c r="X22" i="10"/>
  <c r="W22" i="10"/>
  <c r="AO21" i="10"/>
  <c r="AN21" i="10"/>
  <c r="AM21" i="10"/>
  <c r="AL21" i="10"/>
  <c r="AK21" i="10"/>
  <c r="AJ21" i="10"/>
  <c r="AI21" i="10"/>
  <c r="AH21" i="10"/>
  <c r="AG21" i="10"/>
  <c r="AF21" i="10"/>
  <c r="AA21" i="10"/>
  <c r="AK20" i="10"/>
  <c r="AE20" i="10"/>
  <c r="W20" i="10"/>
  <c r="AN19" i="10"/>
  <c r="AJ19" i="10"/>
  <c r="AF19" i="10"/>
  <c r="AA19" i="10"/>
  <c r="AK18" i="10"/>
  <c r="AF18" i="10"/>
  <c r="AA18" i="10"/>
  <c r="AN17" i="10"/>
  <c r="AJ17" i="10"/>
  <c r="AD17" i="10"/>
  <c r="Z17" i="10"/>
  <c r="W11" i="10"/>
  <c r="AH162" i="10"/>
  <c r="AC162" i="10"/>
  <c r="AO16" i="10"/>
  <c r="AN16" i="10"/>
  <c r="AM16" i="10"/>
  <c r="AL16" i="10"/>
  <c r="AK16" i="10"/>
  <c r="AJ16" i="10"/>
  <c r="AI16" i="10"/>
  <c r="AH16" i="10"/>
  <c r="AG16" i="10"/>
  <c r="AF16" i="10"/>
  <c r="AE16" i="10"/>
  <c r="AD16" i="10"/>
  <c r="AC16" i="10"/>
  <c r="AB16" i="10"/>
  <c r="AA16" i="10"/>
  <c r="Z16" i="10"/>
  <c r="Y16" i="10"/>
  <c r="X16" i="10"/>
  <c r="W16" i="10"/>
  <c r="AO15" i="10"/>
  <c r="AN15" i="10"/>
  <c r="AM15" i="10"/>
  <c r="AL15" i="10"/>
  <c r="AK15" i="10"/>
  <c r="AJ15" i="10"/>
  <c r="AI15" i="10"/>
  <c r="AH15" i="10"/>
  <c r="AG15" i="10"/>
  <c r="AF15" i="10"/>
  <c r="AE15" i="10"/>
  <c r="AD15" i="10"/>
  <c r="AC15" i="10"/>
  <c r="AB15" i="10"/>
  <c r="AA15" i="10"/>
  <c r="Z15" i="10"/>
  <c r="Y15" i="10"/>
  <c r="X15" i="10"/>
  <c r="W15" i="10"/>
  <c r="AO14" i="10"/>
  <c r="AN14" i="10"/>
  <c r="AM14" i="10"/>
  <c r="AL14" i="10"/>
  <c r="AK14" i="10"/>
  <c r="AJ14" i="10"/>
  <c r="AI14" i="10"/>
  <c r="AH14" i="10"/>
  <c r="AG14" i="10"/>
  <c r="AF14" i="10"/>
  <c r="AE14" i="10"/>
  <c r="AD14" i="10"/>
  <c r="AC14" i="10"/>
  <c r="AB14" i="10"/>
  <c r="AA14" i="10"/>
  <c r="Z14" i="10"/>
  <c r="Y14" i="10"/>
  <c r="X14" i="10"/>
  <c r="W14" i="10"/>
  <c r="AO13" i="10"/>
  <c r="AN13" i="10"/>
  <c r="AM13" i="10"/>
  <c r="AL13" i="10"/>
  <c r="AK13" i="10"/>
  <c r="AJ13" i="10"/>
  <c r="AI13" i="10"/>
  <c r="AH13" i="10"/>
  <c r="AG13" i="10"/>
  <c r="AF13" i="10"/>
  <c r="AE13" i="10"/>
  <c r="AD13" i="10"/>
  <c r="AC13" i="10"/>
  <c r="AB13" i="10"/>
  <c r="AA13" i="10"/>
  <c r="Z13" i="10"/>
  <c r="Y13" i="10"/>
  <c r="X13" i="10"/>
  <c r="W13" i="10"/>
  <c r="AO12" i="10"/>
  <c r="AN12" i="10"/>
  <c r="AM12" i="10"/>
  <c r="AL12" i="10"/>
  <c r="AK12" i="10"/>
  <c r="AJ12" i="10"/>
  <c r="AI12" i="10"/>
  <c r="AH12" i="10"/>
  <c r="AG12" i="10"/>
  <c r="AF12" i="10"/>
  <c r="AE12" i="10"/>
  <c r="AD12" i="10"/>
  <c r="AC12" i="10"/>
  <c r="AB12" i="10"/>
  <c r="AA12" i="10"/>
  <c r="Z12" i="10"/>
  <c r="Y12" i="10"/>
  <c r="X12" i="10"/>
  <c r="W12" i="10"/>
  <c r="AO11" i="10"/>
  <c r="AN11" i="10"/>
  <c r="AM11" i="10"/>
  <c r="AL11" i="10"/>
  <c r="AK11" i="10"/>
  <c r="AJ11" i="10"/>
  <c r="AI11" i="10"/>
  <c r="AH11" i="10"/>
  <c r="AG11" i="10"/>
  <c r="AF11" i="10"/>
  <c r="AE11" i="10"/>
  <c r="AD11" i="10"/>
  <c r="AB11" i="10"/>
  <c r="AA11" i="10"/>
  <c r="AO10" i="10"/>
  <c r="AJ10" i="10"/>
  <c r="AC10" i="10"/>
  <c r="X10" i="10"/>
  <c r="AO9" i="10"/>
  <c r="AL9" i="10"/>
  <c r="AG9" i="10"/>
  <c r="AB9" i="10"/>
  <c r="W9" i="10"/>
  <c r="AN8" i="10"/>
  <c r="AI8" i="10"/>
  <c r="AG8" i="10"/>
  <c r="AC8" i="10"/>
  <c r="Y8" i="10"/>
  <c r="AL7" i="10"/>
  <c r="AG7" i="10"/>
  <c r="Y7" i="10"/>
  <c r="W7" i="10"/>
  <c r="AN6" i="10"/>
  <c r="AB6" i="10"/>
  <c r="AN5" i="10"/>
  <c r="AC5" i="10"/>
  <c r="AH4" i="10"/>
  <c r="X4" i="10"/>
  <c r="AO5" i="10"/>
  <c r="AE6" i="10"/>
  <c r="AA7" i="10"/>
  <c r="AE7" i="10"/>
  <c r="AL162" i="10"/>
  <c r="Y162" i="10"/>
  <c r="AO3" i="10"/>
  <c r="AN3" i="10"/>
  <c r="AM3" i="10"/>
  <c r="AL3" i="10"/>
  <c r="AK3" i="10"/>
  <c r="AJ3" i="10"/>
  <c r="AI3" i="10"/>
  <c r="AH3" i="10"/>
  <c r="AG3" i="10"/>
  <c r="AF3" i="10"/>
  <c r="AE3" i="10"/>
  <c r="AD3" i="10"/>
  <c r="AC3" i="10"/>
  <c r="AB3" i="10"/>
  <c r="AA3" i="10"/>
  <c r="Z3" i="10"/>
  <c r="Y3" i="10"/>
  <c r="X3" i="10"/>
  <c r="W3" i="10"/>
  <c r="AK7" i="10"/>
  <c r="W8" i="10"/>
  <c r="AB8" i="10"/>
  <c r="AM8" i="10"/>
  <c r="AM73" i="10"/>
  <c r="X9" i="10"/>
  <c r="AC9" i="10"/>
  <c r="AM9" i="10"/>
  <c r="Z10" i="10"/>
  <c r="AE10" i="10"/>
  <c r="AI10" i="10"/>
  <c r="AN10" i="10"/>
  <c r="X11" i="10"/>
  <c r="X17" i="10"/>
  <c r="AF17" i="10"/>
  <c r="AK17" i="10"/>
  <c r="Y18" i="10"/>
  <c r="AD18" i="10"/>
  <c r="AI18" i="10"/>
  <c r="AN18" i="10"/>
  <c r="W19" i="10"/>
  <c r="AD19" i="10"/>
  <c r="AI19" i="10"/>
  <c r="AO19" i="10"/>
  <c r="AA20" i="10"/>
  <c r="AF20" i="10"/>
  <c r="AI20" i="10"/>
  <c r="AN20" i="10"/>
  <c r="W21" i="10"/>
  <c r="AB21" i="10"/>
  <c r="Z30" i="10"/>
  <c r="AB30" i="10"/>
  <c r="W162" i="10"/>
  <c r="AE30" i="10"/>
  <c r="AH30" i="10"/>
  <c r="AN30" i="10"/>
  <c r="Z31" i="10"/>
  <c r="AC31" i="10"/>
  <c r="AF31" i="10"/>
  <c r="AH31" i="10"/>
  <c r="AN31" i="10"/>
  <c r="X32" i="10"/>
  <c r="AA32" i="10"/>
  <c r="AE32" i="10"/>
  <c r="AH32" i="10"/>
  <c r="AN32" i="10"/>
  <c r="W43" i="10"/>
  <c r="Z43" i="10"/>
  <c r="AE43" i="10"/>
  <c r="AG43" i="10"/>
  <c r="AH43" i="10"/>
  <c r="AI43" i="10"/>
  <c r="AJ43" i="10"/>
  <c r="AK43" i="10"/>
  <c r="AL43" i="10"/>
  <c r="AM43" i="10"/>
  <c r="AN43" i="10"/>
  <c r="AO43" i="10"/>
  <c r="W44" i="10"/>
  <c r="X44" i="10"/>
  <c r="Y44" i="10"/>
  <c r="Z44" i="10"/>
  <c r="AA44" i="10"/>
  <c r="AB44" i="10"/>
  <c r="AC44" i="10"/>
  <c r="AD44" i="10"/>
  <c r="AE44" i="10"/>
  <c r="AF44" i="10"/>
  <c r="AG44" i="10"/>
  <c r="AH44" i="10"/>
  <c r="AI44" i="10"/>
  <c r="AJ44" i="10"/>
  <c r="AK44" i="10"/>
  <c r="AL44" i="10"/>
  <c r="AM44" i="10"/>
  <c r="AN44" i="10"/>
  <c r="AO44" i="10"/>
  <c r="W45" i="10"/>
  <c r="X45" i="10"/>
  <c r="Y45" i="10"/>
  <c r="Z45" i="10"/>
  <c r="AA45" i="10"/>
  <c r="AB45" i="10"/>
  <c r="AC45" i="10"/>
  <c r="AD45" i="10"/>
  <c r="AE45" i="10"/>
  <c r="AF45" i="10"/>
  <c r="AG45" i="10"/>
  <c r="AH45" i="10"/>
  <c r="AI25" i="10"/>
  <c r="U26" i="11"/>
  <c r="I26" i="11"/>
  <c r="T26" i="11"/>
  <c r="G26" i="11"/>
  <c r="P26" i="11"/>
  <c r="B26" i="11"/>
  <c r="S26" i="11"/>
  <c r="F26" i="11"/>
  <c r="J26" i="11"/>
  <c r="H26" i="11"/>
  <c r="L26" i="11"/>
  <c r="N26" i="11"/>
  <c r="C26" i="11"/>
  <c r="M26" i="11"/>
  <c r="K26" i="11"/>
  <c r="O26" i="11"/>
  <c r="Q26" i="11"/>
  <c r="E26" i="11"/>
  <c r="R26" i="11"/>
  <c r="D26" i="11"/>
  <c r="V25" i="11"/>
  <c r="M25" i="11"/>
  <c r="G25" i="11"/>
  <c r="D25" i="11"/>
  <c r="N25" i="11"/>
  <c r="H25" i="11"/>
  <c r="E25" i="11"/>
  <c r="Q25" i="11"/>
  <c r="F25" i="11"/>
  <c r="S25" i="11"/>
  <c r="O25" i="11"/>
  <c r="K25" i="11"/>
  <c r="I25" i="11"/>
  <c r="T25" i="11"/>
  <c r="L25" i="11"/>
  <c r="B25" i="11"/>
  <c r="C25" i="11"/>
  <c r="P25" i="11"/>
  <c r="J25" i="11"/>
  <c r="R25" i="11"/>
  <c r="E24" i="11"/>
  <c r="G24" i="11"/>
  <c r="B24" i="11"/>
  <c r="M24" i="11"/>
  <c r="S24" i="11"/>
  <c r="K24" i="11"/>
  <c r="R24" i="11"/>
  <c r="C24" i="11"/>
  <c r="V24" i="11"/>
  <c r="P24" i="11"/>
  <c r="L24" i="11"/>
  <c r="H24" i="11"/>
  <c r="Q24" i="11"/>
  <c r="D24" i="11"/>
  <c r="N24" i="11"/>
  <c r="U24" i="11"/>
  <c r="F24" i="11"/>
  <c r="J24" i="11"/>
  <c r="I24" i="11"/>
  <c r="O24" i="11"/>
  <c r="R23" i="11"/>
  <c r="H23" i="11"/>
  <c r="T23" i="11"/>
  <c r="U23" i="11"/>
  <c r="V23" i="11"/>
  <c r="E23" i="11"/>
  <c r="L23" i="11"/>
  <c r="D23" i="11"/>
  <c r="M23" i="11"/>
  <c r="Q23" i="11"/>
  <c r="J23" i="11"/>
  <c r="I23" i="11"/>
  <c r="B23" i="11"/>
  <c r="P23" i="11"/>
  <c r="F23" i="11"/>
  <c r="N23" i="11"/>
  <c r="C23" i="11"/>
  <c r="G23" i="11"/>
  <c r="K23" i="11"/>
  <c r="O23" i="11"/>
  <c r="M22" i="11"/>
  <c r="N22" i="11"/>
  <c r="O22" i="11"/>
  <c r="P22" i="11"/>
  <c r="Q22" i="11"/>
  <c r="S22" i="11"/>
  <c r="T22" i="11"/>
  <c r="U22" i="11"/>
  <c r="V22" i="11"/>
  <c r="B22" i="11"/>
  <c r="C22" i="11"/>
  <c r="D22" i="11"/>
  <c r="E22" i="11"/>
  <c r="F22" i="11"/>
  <c r="G22" i="11"/>
  <c r="H22" i="11"/>
  <c r="I22" i="11"/>
  <c r="J22" i="11"/>
  <c r="K22" i="11"/>
  <c r="L22" i="11"/>
  <c r="M21" i="11"/>
  <c r="N21" i="11"/>
  <c r="O21" i="11"/>
  <c r="P21" i="11"/>
  <c r="R21" i="11"/>
  <c r="S21" i="11"/>
  <c r="T21" i="11"/>
  <c r="U21" i="11"/>
  <c r="C21" i="11"/>
  <c r="V21" i="11"/>
  <c r="D21" i="11"/>
  <c r="L21" i="11"/>
  <c r="B21" i="11"/>
  <c r="E21" i="11"/>
  <c r="F21" i="11"/>
  <c r="G21" i="11"/>
  <c r="H21" i="11"/>
  <c r="I21" i="11"/>
  <c r="J21" i="11"/>
  <c r="K21" i="11"/>
  <c r="B20" i="11"/>
  <c r="R20" i="11"/>
  <c r="I20" i="11"/>
  <c r="T20" i="11"/>
  <c r="G20" i="11"/>
  <c r="Q20" i="11"/>
  <c r="F20" i="11"/>
  <c r="J20" i="11"/>
  <c r="L20" i="11"/>
  <c r="V20" i="11"/>
  <c r="C20" i="11"/>
  <c r="O20" i="11"/>
  <c r="D20" i="11"/>
  <c r="U20" i="11"/>
  <c r="H20" i="11"/>
  <c r="S20" i="11"/>
  <c r="N20" i="11"/>
  <c r="M20" i="11"/>
  <c r="K20" i="11"/>
  <c r="E20" i="11"/>
  <c r="C19" i="11"/>
  <c r="N19" i="11"/>
  <c r="J19" i="11"/>
  <c r="G19" i="11"/>
  <c r="U19" i="11"/>
  <c r="D19" i="11"/>
  <c r="T19" i="11"/>
  <c r="B19" i="11"/>
  <c r="R19" i="11"/>
  <c r="F19" i="11"/>
  <c r="K19" i="11"/>
  <c r="L19" i="11"/>
  <c r="P19" i="11"/>
  <c r="M19" i="11"/>
  <c r="V19" i="11"/>
  <c r="Q19" i="11"/>
  <c r="S19" i="11"/>
  <c r="H19" i="11"/>
  <c r="I19" i="11"/>
  <c r="E19" i="11"/>
  <c r="V18" i="11"/>
  <c r="G18" i="11"/>
  <c r="H18" i="11"/>
  <c r="M18" i="11"/>
  <c r="I18" i="11"/>
  <c r="P18" i="11"/>
  <c r="T18" i="11"/>
  <c r="J18" i="11"/>
  <c r="K18" i="11"/>
  <c r="O18" i="11"/>
  <c r="U18" i="11"/>
  <c r="S18" i="11"/>
  <c r="B18" i="11"/>
  <c r="D18" i="11"/>
  <c r="R18" i="11"/>
  <c r="Q18" i="11"/>
  <c r="L18" i="11"/>
  <c r="F18" i="11"/>
  <c r="C18" i="11"/>
  <c r="E18" i="11"/>
  <c r="H17" i="11"/>
  <c r="B17" i="11"/>
  <c r="G17" i="11"/>
  <c r="D17" i="11"/>
  <c r="V17" i="11"/>
  <c r="F17" i="11"/>
  <c r="J17" i="11"/>
  <c r="L17" i="11"/>
  <c r="P17" i="11"/>
  <c r="T17" i="11"/>
  <c r="C17" i="11"/>
  <c r="Q17" i="11"/>
  <c r="I17" i="11"/>
  <c r="U17" i="11"/>
  <c r="O17" i="11"/>
  <c r="K17" i="11"/>
  <c r="S17" i="11"/>
  <c r="R17" i="11"/>
  <c r="E17" i="11"/>
  <c r="N17" i="11"/>
  <c r="J16" i="11"/>
  <c r="G16" i="11"/>
  <c r="M16" i="11"/>
  <c r="S16" i="11"/>
  <c r="N16" i="11"/>
  <c r="B16" i="11"/>
  <c r="I16" i="11"/>
  <c r="F16" i="11"/>
  <c r="K16" i="11"/>
  <c r="D16" i="11"/>
  <c r="T16" i="11"/>
  <c r="V16" i="11"/>
  <c r="E16" i="11"/>
  <c r="O16" i="11"/>
  <c r="Q16" i="11"/>
  <c r="H16" i="11"/>
  <c r="R16" i="11"/>
  <c r="U16" i="11"/>
  <c r="P16" i="11"/>
  <c r="C16" i="11"/>
  <c r="M15" i="11"/>
  <c r="G15" i="11"/>
  <c r="I15" i="11"/>
  <c r="B15" i="11"/>
  <c r="D15" i="11"/>
  <c r="O15" i="11"/>
  <c r="H15" i="11"/>
  <c r="P15" i="11"/>
  <c r="V15" i="11"/>
  <c r="F15" i="11"/>
  <c r="E15" i="11"/>
  <c r="L15" i="11"/>
  <c r="U15" i="11"/>
  <c r="C15" i="11"/>
  <c r="S15" i="11"/>
  <c r="Q15" i="11"/>
  <c r="T15" i="11"/>
  <c r="R15" i="11"/>
  <c r="N15" i="11"/>
  <c r="J15" i="11"/>
  <c r="D14" i="11"/>
  <c r="E14" i="11"/>
  <c r="R14" i="11"/>
  <c r="O14" i="11"/>
  <c r="C14" i="11"/>
  <c r="M14" i="11"/>
  <c r="U14" i="11"/>
  <c r="F14" i="11"/>
  <c r="L14" i="11"/>
  <c r="I14" i="11"/>
  <c r="N14" i="11"/>
  <c r="S14" i="11"/>
  <c r="H14" i="11"/>
  <c r="G14" i="11"/>
  <c r="K14" i="11"/>
  <c r="V14" i="11"/>
  <c r="P14" i="11"/>
  <c r="Q14" i="11"/>
  <c r="T14" i="11"/>
  <c r="B14" i="11"/>
  <c r="H13" i="11"/>
  <c r="S13" i="11"/>
  <c r="R13" i="11"/>
  <c r="D13" i="11"/>
  <c r="F13" i="11"/>
  <c r="L13" i="11"/>
  <c r="O13" i="11"/>
  <c r="N13" i="11"/>
  <c r="Q13" i="11"/>
  <c r="T13" i="11"/>
  <c r="B13" i="11"/>
  <c r="U13" i="11"/>
  <c r="C13" i="11"/>
  <c r="E13" i="11"/>
  <c r="P13" i="11"/>
  <c r="G13" i="11"/>
  <c r="V13" i="11"/>
  <c r="J13" i="11"/>
  <c r="M13" i="11"/>
  <c r="K13" i="11"/>
  <c r="D12" i="11"/>
  <c r="V12" i="11"/>
  <c r="G12" i="11"/>
  <c r="R12" i="11"/>
  <c r="K12" i="11"/>
  <c r="N12" i="11"/>
  <c r="F12" i="11"/>
  <c r="P12" i="11"/>
  <c r="O12" i="11"/>
  <c r="L12" i="11"/>
  <c r="E12" i="11"/>
  <c r="I12" i="11"/>
  <c r="T12" i="11"/>
  <c r="B12" i="11"/>
  <c r="M12" i="11"/>
  <c r="Q12" i="11"/>
  <c r="J12" i="11"/>
  <c r="U12" i="11"/>
  <c r="S12" i="11"/>
  <c r="C12" i="11"/>
  <c r="S11" i="11"/>
  <c r="L11" i="11"/>
  <c r="O11" i="11"/>
  <c r="R11" i="11"/>
  <c r="J11" i="11"/>
  <c r="I11" i="11"/>
  <c r="H11" i="11"/>
  <c r="C11" i="11"/>
  <c r="N11" i="11"/>
  <c r="F11" i="11"/>
  <c r="Q11" i="11"/>
  <c r="B11" i="11"/>
  <c r="T11" i="11"/>
  <c r="P11" i="11"/>
  <c r="E11" i="11"/>
  <c r="V11" i="11"/>
  <c r="K11" i="11"/>
  <c r="D11" i="11"/>
  <c r="U11" i="11"/>
  <c r="M11" i="11"/>
  <c r="B10" i="11"/>
  <c r="Q10" i="11"/>
  <c r="L10" i="11"/>
  <c r="V10" i="11"/>
  <c r="C10" i="11"/>
  <c r="K10" i="11"/>
  <c r="R10" i="11"/>
  <c r="M10" i="11"/>
  <c r="J10" i="11"/>
  <c r="O10" i="11"/>
  <c r="T10" i="11"/>
  <c r="D10" i="11"/>
  <c r="P10" i="11"/>
  <c r="H10" i="11"/>
  <c r="I10" i="11"/>
  <c r="S10" i="11"/>
  <c r="N10" i="11"/>
  <c r="G10" i="11"/>
  <c r="U10" i="11"/>
  <c r="E10" i="11"/>
  <c r="C9" i="11"/>
  <c r="N9" i="11"/>
  <c r="F9" i="11"/>
  <c r="S9" i="11"/>
  <c r="G9" i="11"/>
  <c r="Q9" i="11"/>
  <c r="U9" i="11"/>
  <c r="K9" i="11"/>
  <c r="D9" i="11"/>
  <c r="O9" i="11"/>
  <c r="B9" i="11"/>
  <c r="H9" i="11"/>
  <c r="T9" i="11"/>
  <c r="M9" i="11"/>
  <c r="I9" i="11"/>
  <c r="R9" i="11"/>
  <c r="L9" i="11"/>
  <c r="V9" i="11"/>
  <c r="J9" i="11"/>
  <c r="P9" i="11"/>
  <c r="F8" i="11"/>
  <c r="S8" i="11"/>
  <c r="U8" i="11"/>
  <c r="B8" i="11"/>
  <c r="V8" i="11"/>
  <c r="C8" i="11"/>
  <c r="J8" i="11"/>
  <c r="O8" i="11"/>
  <c r="R8" i="11"/>
  <c r="N8" i="11"/>
  <c r="Q8" i="11"/>
  <c r="H8" i="11"/>
  <c r="T8" i="11"/>
  <c r="E8" i="11"/>
  <c r="L8" i="11"/>
  <c r="K8" i="11"/>
  <c r="M8" i="11"/>
  <c r="G8" i="11"/>
  <c r="P8" i="11"/>
  <c r="I8" i="11"/>
  <c r="T7" i="11"/>
  <c r="J7" i="11"/>
  <c r="F7" i="11"/>
  <c r="O7" i="11"/>
  <c r="G7" i="11"/>
  <c r="K7" i="11"/>
  <c r="D7" i="11"/>
  <c r="S7" i="11"/>
  <c r="I7" i="11"/>
  <c r="L7" i="11"/>
  <c r="U7" i="11"/>
  <c r="M7" i="11"/>
  <c r="H7" i="11"/>
  <c r="P7" i="11"/>
  <c r="V7" i="11"/>
  <c r="B7" i="11"/>
  <c r="E7" i="11"/>
  <c r="R7" i="11"/>
  <c r="Q7" i="11"/>
  <c r="E6" i="11"/>
  <c r="U6" i="11"/>
  <c r="V6" i="11"/>
  <c r="J6" i="11"/>
  <c r="M6" i="11"/>
  <c r="K6" i="11"/>
  <c r="S6" i="11"/>
  <c r="P6" i="11"/>
  <c r="L6" i="11"/>
  <c r="H6" i="11"/>
  <c r="G6" i="11"/>
  <c r="N6" i="11"/>
  <c r="I6" i="11"/>
  <c r="D6" i="11"/>
  <c r="F6" i="11"/>
  <c r="R6" i="11"/>
  <c r="O6" i="11"/>
  <c r="C6" i="11"/>
  <c r="Q6" i="11"/>
  <c r="T6" i="11"/>
  <c r="AG161" i="10"/>
  <c r="AA161" i="10"/>
  <c r="AF161" i="10"/>
  <c r="AC161" i="10"/>
  <c r="AH161" i="10"/>
  <c r="Z161" i="10"/>
  <c r="AO161" i="10"/>
  <c r="X161" i="10"/>
  <c r="AL161" i="10"/>
  <c r="Y161" i="10"/>
  <c r="AE161" i="10"/>
  <c r="AB161" i="10"/>
  <c r="AJ161" i="10"/>
  <c r="AI161" i="10"/>
  <c r="AM161" i="10"/>
  <c r="W161" i="10"/>
  <c r="AK161" i="10"/>
  <c r="AN161" i="10"/>
  <c r="AD161" i="10"/>
  <c r="AA19" i="11"/>
  <c r="AA14" i="11"/>
  <c r="I31" i="11"/>
  <c r="AA23" i="11"/>
  <c r="AA18" i="11"/>
  <c r="T31" i="11"/>
  <c r="C31" i="11"/>
  <c r="L31" i="11"/>
  <c r="AA20" i="11"/>
  <c r="D31" i="11"/>
  <c r="U31" i="11"/>
  <c r="AA26" i="11"/>
  <c r="Q31" i="11"/>
  <c r="AA7" i="11"/>
  <c r="AA17" i="11"/>
  <c r="X31" i="11"/>
  <c r="M31" i="11"/>
  <c r="S31" i="11"/>
  <c r="B31" i="11"/>
  <c r="J31" i="11"/>
  <c r="W31" i="11"/>
  <c r="Y31" i="11"/>
  <c r="AA10" i="11"/>
  <c r="AA11" i="11"/>
  <c r="AA8" i="11"/>
  <c r="AA15" i="11"/>
  <c r="AA9" i="11"/>
  <c r="AA25" i="11"/>
  <c r="V31" i="11"/>
  <c r="F31" i="11"/>
  <c r="H31" i="11"/>
  <c r="AA24" i="11"/>
  <c r="O31" i="11"/>
  <c r="N31" i="11"/>
  <c r="AA16" i="11"/>
  <c r="AA12" i="11"/>
  <c r="AA13" i="11"/>
  <c r="AA6" i="11"/>
  <c r="AA21" i="11"/>
  <c r="K31" i="11"/>
  <c r="Z31" i="11"/>
  <c r="P31" i="11"/>
  <c r="E31" i="11"/>
  <c r="R31" i="11"/>
  <c r="Z12" i="11"/>
  <c r="Z16" i="11"/>
  <c r="Z26" i="11"/>
  <c r="Z19" i="11"/>
  <c r="Z11" i="11"/>
  <c r="Z8" i="11"/>
  <c r="Z25" i="11"/>
  <c r="D30" i="11"/>
  <c r="Z15" i="11"/>
  <c r="R30" i="11"/>
  <c r="B30" i="11"/>
  <c r="E30" i="11"/>
  <c r="J30" i="11"/>
  <c r="U30" i="11"/>
  <c r="M30" i="11"/>
  <c r="Q30" i="11"/>
  <c r="W30" i="11"/>
  <c r="S30" i="11"/>
  <c r="Z9" i="11"/>
  <c r="Z7" i="11"/>
  <c r="Z10" i="11"/>
  <c r="Z21" i="11"/>
  <c r="AA30" i="11"/>
  <c r="L30" i="11"/>
  <c r="Z23" i="11"/>
  <c r="Y30" i="11"/>
  <c r="C30" i="11"/>
  <c r="N30" i="11"/>
  <c r="Z13" i="11"/>
  <c r="Z6" i="11"/>
  <c r="F30" i="11"/>
  <c r="O30" i="11"/>
  <c r="Z24" i="11"/>
  <c r="H30" i="11"/>
  <c r="K30" i="11"/>
  <c r="G30" i="11"/>
  <c r="V30" i="11"/>
  <c r="T30" i="11"/>
  <c r="Z18" i="11"/>
  <c r="Z17" i="11"/>
  <c r="Z20" i="11"/>
  <c r="I30" i="11"/>
  <c r="Z14" i="11"/>
  <c r="P30" i="11"/>
  <c r="Y20" i="11"/>
  <c r="S29" i="11"/>
  <c r="N29" i="11"/>
  <c r="E29" i="11"/>
  <c r="Y6" i="11"/>
  <c r="K29" i="11"/>
  <c r="R29" i="11"/>
  <c r="V29" i="11"/>
  <c r="Y24" i="11"/>
  <c r="Y7" i="11"/>
  <c r="Y19" i="11"/>
  <c r="Y21" i="11"/>
  <c r="Y17" i="11"/>
  <c r="Y12" i="11"/>
  <c r="G29" i="11"/>
  <c r="M29" i="11"/>
  <c r="L29" i="11"/>
  <c r="Z29" i="11"/>
  <c r="T29" i="11"/>
  <c r="P29" i="11"/>
  <c r="I29" i="11"/>
  <c r="B29" i="11"/>
  <c r="F29" i="11"/>
  <c r="O29" i="11"/>
  <c r="Y26" i="11"/>
  <c r="Y25" i="11"/>
  <c r="Y13" i="11"/>
  <c r="Y10" i="11"/>
  <c r="Y14" i="11"/>
  <c r="Y16" i="11"/>
  <c r="Y8" i="11"/>
  <c r="Y9" i="11"/>
  <c r="AA29" i="11"/>
  <c r="U29" i="11"/>
  <c r="Q29" i="11"/>
  <c r="J29" i="11"/>
  <c r="C29" i="11"/>
  <c r="Y15" i="11"/>
  <c r="Y11" i="11"/>
  <c r="D29" i="11"/>
  <c r="Y18" i="11"/>
  <c r="H29" i="11"/>
  <c r="Y23" i="11"/>
  <c r="X29" i="11"/>
  <c r="W29" i="11"/>
  <c r="F28" i="11"/>
  <c r="X24" i="11"/>
  <c r="U28" i="11"/>
  <c r="V28" i="11"/>
  <c r="X26" i="11"/>
  <c r="B28" i="11"/>
  <c r="AG28" i="11" s="1"/>
  <c r="C28" i="11"/>
  <c r="I28" i="11"/>
  <c r="X6" i="11"/>
  <c r="X15" i="11"/>
  <c r="Q28" i="11"/>
  <c r="E28" i="11"/>
  <c r="T28" i="11"/>
  <c r="K28" i="11"/>
  <c r="Z28" i="11"/>
  <c r="X17" i="11"/>
  <c r="X10" i="11"/>
  <c r="P28" i="11"/>
  <c r="O28" i="11"/>
  <c r="Y28" i="11"/>
  <c r="N28" i="11"/>
  <c r="R28" i="11"/>
  <c r="G28" i="11"/>
  <c r="X9" i="11"/>
  <c r="X13" i="11"/>
  <c r="X16" i="11"/>
  <c r="X23" i="11"/>
  <c r="X11" i="11"/>
  <c r="X20" i="11"/>
  <c r="X14" i="11"/>
  <c r="X18" i="11"/>
  <c r="X21" i="11"/>
  <c r="X7" i="11"/>
  <c r="X12" i="11"/>
  <c r="M28" i="11"/>
  <c r="J28" i="11"/>
  <c r="S28" i="11"/>
  <c r="X19" i="11"/>
  <c r="L28" i="11"/>
  <c r="X25" i="11"/>
  <c r="AA28" i="11"/>
  <c r="X8" i="11"/>
  <c r="H28" i="11"/>
  <c r="W28" i="11"/>
  <c r="D28" i="11"/>
  <c r="U27" i="11"/>
  <c r="I27" i="11"/>
  <c r="W25" i="11"/>
  <c r="V27" i="11"/>
  <c r="J27" i="11"/>
  <c r="K27" i="11"/>
  <c r="W23" i="11"/>
  <c r="X27" i="11"/>
  <c r="M27" i="11"/>
  <c r="W17" i="11"/>
  <c r="W8" i="11"/>
  <c r="W12" i="11"/>
  <c r="W15" i="11"/>
  <c r="D27" i="11"/>
  <c r="R27" i="11"/>
  <c r="G27" i="11"/>
  <c r="C27" i="11"/>
  <c r="W6" i="11"/>
  <c r="B27" i="11"/>
  <c r="N27" i="11"/>
  <c r="L27" i="11"/>
  <c r="W19" i="11"/>
  <c r="H27" i="11"/>
  <c r="T27" i="11"/>
  <c r="W24" i="11"/>
  <c r="P27" i="11"/>
  <c r="W20" i="11"/>
  <c r="W9" i="11"/>
  <c r="W16" i="11"/>
  <c r="W7" i="11"/>
  <c r="AA27" i="11"/>
  <c r="W11" i="11"/>
  <c r="E27" i="11"/>
  <c r="Z27" i="11"/>
  <c r="O27" i="11"/>
  <c r="W13" i="11"/>
  <c r="Y27" i="11"/>
  <c r="F27" i="11"/>
  <c r="Q27" i="11"/>
  <c r="W14" i="11"/>
  <c r="W26" i="11"/>
  <c r="S27" i="11"/>
  <c r="W18" i="11"/>
  <c r="W21" i="11"/>
  <c r="W10" i="11"/>
  <c r="AF55" i="10"/>
  <c r="AO42" i="10"/>
  <c r="AN42" i="10"/>
  <c r="AM42" i="10"/>
  <c r="AL42" i="10"/>
  <c r="AK42" i="10"/>
  <c r="AJ42" i="10"/>
  <c r="AI42" i="10"/>
  <c r="AH42" i="10"/>
  <c r="AG42" i="10"/>
  <c r="AF42" i="10"/>
  <c r="AE42" i="10"/>
  <c r="AD42" i="10"/>
  <c r="AC42" i="10"/>
  <c r="AB42" i="10"/>
  <c r="AA42" i="10"/>
  <c r="Z42" i="10"/>
  <c r="Y42" i="10"/>
  <c r="X42" i="10"/>
  <c r="W42" i="10"/>
  <c r="AO41" i="10"/>
  <c r="AN41" i="10"/>
  <c r="AM41" i="10"/>
  <c r="AL41" i="10"/>
  <c r="AK41" i="10"/>
  <c r="AJ41" i="10"/>
  <c r="AI41" i="10"/>
  <c r="AH41" i="10"/>
  <c r="AG41" i="10"/>
  <c r="AF41" i="10"/>
  <c r="AE41" i="10"/>
  <c r="AD41" i="10"/>
  <c r="AC41" i="10"/>
  <c r="AB41" i="10"/>
  <c r="AA41" i="10"/>
  <c r="Z41" i="10"/>
  <c r="Y41" i="10"/>
  <c r="X41" i="10"/>
  <c r="W41" i="10"/>
  <c r="AO40" i="10"/>
  <c r="AM40" i="10"/>
  <c r="AL40" i="10"/>
  <c r="AK40" i="10"/>
  <c r="AJ40" i="10"/>
  <c r="AI40" i="10"/>
  <c r="AH40" i="10"/>
  <c r="AG40" i="10"/>
  <c r="AF40" i="10"/>
  <c r="AE40" i="10"/>
  <c r="AD40" i="10"/>
  <c r="AC40" i="10"/>
  <c r="AB40" i="10"/>
  <c r="AA40" i="10"/>
  <c r="Z40" i="10"/>
  <c r="Y40" i="10"/>
  <c r="X40" i="10"/>
  <c r="W40" i="10"/>
  <c r="AO75" i="10"/>
  <c r="AO81" i="10"/>
  <c r="AN81" i="10"/>
  <c r="AM81" i="10"/>
  <c r="AL81" i="10"/>
  <c r="AK81" i="10"/>
  <c r="AJ81" i="10"/>
  <c r="AI81" i="10"/>
  <c r="AH81" i="10"/>
  <c r="AG81" i="10"/>
  <c r="AF81" i="10"/>
  <c r="AE81" i="10"/>
  <c r="AD81" i="10"/>
  <c r="AC81" i="10"/>
  <c r="AB81" i="10"/>
  <c r="AA81" i="10"/>
  <c r="Z81" i="10"/>
  <c r="Y81" i="10"/>
  <c r="X81" i="10"/>
  <c r="W81" i="10"/>
  <c r="AO80" i="10"/>
  <c r="AN80" i="10"/>
  <c r="AM80" i="10"/>
  <c r="AL80" i="10"/>
  <c r="AK80" i="10"/>
  <c r="AJ80" i="10"/>
  <c r="AI80" i="10"/>
  <c r="AH80" i="10"/>
  <c r="AG80" i="10"/>
  <c r="AF80" i="10"/>
  <c r="AE80" i="10"/>
  <c r="AD80" i="10"/>
  <c r="AC80" i="10"/>
  <c r="AB80" i="10"/>
  <c r="AA80" i="10"/>
  <c r="Z80" i="10"/>
  <c r="Y80" i="10"/>
  <c r="X80" i="10"/>
  <c r="W80" i="10"/>
  <c r="AO79" i="10"/>
  <c r="AN79" i="10"/>
  <c r="AM79" i="10"/>
  <c r="AL79" i="10"/>
  <c r="AK79" i="10"/>
  <c r="AJ79" i="10"/>
  <c r="AI79" i="10"/>
  <c r="AH79" i="10"/>
  <c r="AG79" i="10"/>
  <c r="AF79" i="10"/>
  <c r="AE79" i="10"/>
  <c r="AD79" i="10"/>
  <c r="AC79" i="10"/>
  <c r="AB79" i="10"/>
  <c r="AA79" i="10"/>
  <c r="Z79" i="10"/>
  <c r="Y79" i="10"/>
  <c r="X79" i="10"/>
  <c r="W79" i="10"/>
  <c r="AO78" i="10"/>
  <c r="AN78" i="10"/>
  <c r="AM78" i="10"/>
  <c r="AL78" i="10"/>
  <c r="AK78" i="10"/>
  <c r="AJ78" i="10"/>
  <c r="AI78" i="10"/>
  <c r="AH78" i="10"/>
  <c r="AG78" i="10"/>
  <c r="AF78" i="10"/>
  <c r="AE78" i="10"/>
  <c r="AD78" i="10"/>
  <c r="AC78" i="10"/>
  <c r="AB78" i="10"/>
  <c r="AA78" i="10"/>
  <c r="Z78" i="10"/>
  <c r="Y78" i="10"/>
  <c r="X78" i="10"/>
  <c r="W78" i="10"/>
  <c r="AO77" i="10"/>
  <c r="AN77" i="10"/>
  <c r="AM77" i="10"/>
  <c r="AL77" i="10"/>
  <c r="AK77" i="10"/>
  <c r="AJ77" i="10"/>
  <c r="AI77" i="10"/>
  <c r="AH77" i="10"/>
  <c r="AG77" i="10"/>
  <c r="AF77" i="10"/>
  <c r="AE77" i="10"/>
  <c r="AD77" i="10"/>
  <c r="AC77" i="10"/>
  <c r="AB77" i="10"/>
  <c r="AA77" i="10"/>
  <c r="Z77" i="10"/>
  <c r="Y77" i="10"/>
  <c r="X77" i="10"/>
  <c r="W77" i="10"/>
  <c r="AO76" i="10"/>
  <c r="AN76" i="10"/>
  <c r="AM76" i="10"/>
  <c r="AL76" i="10"/>
  <c r="AK76" i="10"/>
  <c r="AJ76" i="10"/>
  <c r="AI76" i="10"/>
  <c r="AH76" i="10"/>
  <c r="AG76" i="10"/>
  <c r="AF76" i="10"/>
  <c r="AE76" i="10"/>
  <c r="AD76" i="10"/>
  <c r="AC76" i="10"/>
  <c r="AB76" i="10"/>
  <c r="AO29" i="10"/>
  <c r="AN29" i="10"/>
  <c r="AM29" i="10"/>
  <c r="AL29" i="10"/>
  <c r="AK29" i="10"/>
  <c r="AJ29" i="10"/>
  <c r="AI29" i="10"/>
  <c r="AH29" i="10"/>
  <c r="AG29" i="10"/>
  <c r="AF29" i="10"/>
  <c r="AE29" i="10"/>
  <c r="AD29" i="10"/>
  <c r="AC29" i="10"/>
  <c r="AB29" i="10"/>
  <c r="AA29" i="10"/>
  <c r="Z29" i="10"/>
  <c r="Y29" i="10"/>
  <c r="X29" i="10"/>
  <c r="W29" i="10"/>
  <c r="AO28" i="10"/>
  <c r="AN28" i="10"/>
  <c r="AM28" i="10"/>
  <c r="AL28" i="10"/>
  <c r="AK28" i="10"/>
  <c r="AJ28" i="10"/>
  <c r="AI28" i="10"/>
  <c r="AH28" i="10"/>
  <c r="AG28" i="10"/>
  <c r="AF28" i="10"/>
  <c r="AE28" i="10"/>
  <c r="AD28" i="10"/>
  <c r="AC28" i="10"/>
  <c r="AB28" i="10"/>
  <c r="AA28" i="10"/>
  <c r="Z28" i="10"/>
  <c r="Y28" i="10"/>
  <c r="X28" i="10"/>
  <c r="W28" i="10"/>
  <c r="AA76" i="10"/>
  <c r="Z76" i="10"/>
  <c r="Y76" i="10"/>
  <c r="X76" i="10"/>
  <c r="W76" i="10"/>
  <c r="AI106" i="10"/>
  <c r="AN75" i="10"/>
  <c r="AM75" i="10"/>
  <c r="AL75" i="10"/>
  <c r="AK75" i="10"/>
  <c r="AJ75" i="10"/>
  <c r="AI75" i="10"/>
  <c r="AH75" i="10"/>
  <c r="AG75" i="10"/>
  <c r="AF75" i="10"/>
  <c r="AE75" i="10"/>
  <c r="AD75" i="10"/>
  <c r="AC75" i="10"/>
  <c r="AB75" i="10"/>
  <c r="AA75" i="10"/>
  <c r="Z75" i="10"/>
  <c r="Y75" i="10"/>
  <c r="X75" i="10"/>
  <c r="W75" i="10"/>
  <c r="AO74" i="10"/>
  <c r="AN74" i="10"/>
  <c r="AM74" i="10"/>
  <c r="AL74" i="10"/>
  <c r="AK74" i="10"/>
  <c r="AJ74" i="10"/>
  <c r="AI74" i="10"/>
  <c r="AH74" i="10"/>
  <c r="AG74" i="10"/>
  <c r="AF74" i="10"/>
  <c r="AE74" i="10"/>
  <c r="AD74" i="10"/>
  <c r="AC74" i="10"/>
  <c r="AB74" i="10"/>
  <c r="AA74" i="10"/>
  <c r="Z74" i="10"/>
  <c r="Y74" i="10"/>
  <c r="X74" i="10"/>
  <c r="W74" i="10"/>
  <c r="W128" i="10"/>
  <c r="X128" i="10"/>
  <c r="Y128" i="10"/>
  <c r="Z128" i="10"/>
  <c r="AA128" i="10"/>
  <c r="AB128" i="10"/>
  <c r="AC128" i="10"/>
  <c r="AD128" i="10"/>
  <c r="AE128" i="10"/>
  <c r="AF128" i="10"/>
  <c r="AG128" i="10"/>
  <c r="AH128" i="10"/>
  <c r="AI128" i="10"/>
  <c r="AJ128" i="10"/>
  <c r="AK128" i="10"/>
  <c r="AL128" i="10"/>
  <c r="AM128" i="10"/>
  <c r="AN128" i="10"/>
  <c r="AO128" i="10"/>
  <c r="W129" i="10"/>
  <c r="X129" i="10"/>
  <c r="Y129" i="10"/>
  <c r="Z129" i="10"/>
  <c r="AA129" i="10"/>
  <c r="AB129" i="10"/>
  <c r="AC129" i="10"/>
  <c r="AD129" i="10"/>
  <c r="AE129" i="10"/>
  <c r="AF129" i="10"/>
  <c r="AG129" i="10"/>
  <c r="AH129" i="10"/>
  <c r="AI129" i="10"/>
  <c r="AJ129" i="10"/>
  <c r="AK129" i="10"/>
  <c r="AL129" i="10"/>
  <c r="AM129" i="10"/>
  <c r="AN129" i="10"/>
  <c r="AO129" i="10"/>
  <c r="W130" i="10"/>
  <c r="X130" i="10"/>
  <c r="Y130" i="10"/>
  <c r="W103" i="10"/>
  <c r="X103" i="10"/>
  <c r="Y103" i="10"/>
  <c r="Z103" i="10"/>
  <c r="AA103" i="10"/>
  <c r="AB103" i="10"/>
  <c r="AC103" i="10"/>
  <c r="AD103" i="10"/>
  <c r="AE103" i="10"/>
  <c r="AF103" i="10"/>
  <c r="AG103" i="10"/>
  <c r="AH103" i="10"/>
  <c r="AI103" i="10"/>
  <c r="AJ103" i="10"/>
  <c r="AK103" i="10"/>
  <c r="AL103" i="10"/>
  <c r="AM103" i="10"/>
  <c r="AN103" i="10"/>
  <c r="AO103" i="10"/>
  <c r="W104" i="10"/>
  <c r="X104" i="10"/>
  <c r="Y104" i="10"/>
  <c r="Z104" i="10"/>
  <c r="AA104" i="10"/>
  <c r="AB104" i="10"/>
  <c r="AC104" i="10"/>
  <c r="AD104" i="10"/>
  <c r="AE104" i="10"/>
  <c r="AF104" i="10"/>
  <c r="AG104" i="10"/>
  <c r="AH104" i="10"/>
  <c r="AI104" i="10"/>
  <c r="AJ104" i="10"/>
  <c r="AK104" i="10"/>
  <c r="AL104" i="10"/>
  <c r="AM104" i="10"/>
  <c r="AN104" i="10"/>
  <c r="AO104" i="10"/>
  <c r="Z130" i="10"/>
  <c r="AA130" i="10"/>
  <c r="AB130" i="10"/>
  <c r="AC130" i="10"/>
  <c r="AD130" i="10"/>
  <c r="AE130" i="10"/>
  <c r="AF130" i="10"/>
  <c r="AG130" i="10"/>
  <c r="AH130" i="10"/>
  <c r="AI130" i="10"/>
  <c r="AJ130" i="10"/>
  <c r="AK130" i="10"/>
  <c r="AL130" i="10"/>
  <c r="AM130" i="10"/>
  <c r="AN130" i="10"/>
  <c r="AO130" i="10"/>
  <c r="W131" i="10"/>
  <c r="X131" i="10"/>
  <c r="W105" i="10"/>
  <c r="Y131" i="10"/>
  <c r="Z131" i="10"/>
  <c r="AA131" i="10"/>
  <c r="AB131" i="10"/>
  <c r="AC131" i="10"/>
  <c r="AD131" i="10"/>
  <c r="AE131" i="10"/>
  <c r="AF131" i="10"/>
  <c r="AG131" i="10"/>
  <c r="AH131" i="10"/>
  <c r="AI131" i="10"/>
  <c r="AJ131" i="10"/>
  <c r="AK131" i="10"/>
  <c r="AL131" i="10"/>
  <c r="AM131" i="10"/>
  <c r="AN131" i="10"/>
  <c r="AO131" i="10"/>
  <c r="W132" i="10"/>
  <c r="X132" i="10"/>
  <c r="Y132" i="10"/>
  <c r="Z132" i="10"/>
  <c r="AA132" i="10"/>
  <c r="AB132" i="10"/>
  <c r="AC132" i="10"/>
  <c r="AD132" i="10"/>
  <c r="AE132" i="10"/>
  <c r="AF132" i="10"/>
  <c r="X105" i="10"/>
  <c r="Y105" i="10"/>
  <c r="AG132" i="10"/>
  <c r="Z105" i="10"/>
  <c r="AA105" i="10"/>
  <c r="AB105" i="10"/>
  <c r="AC105" i="10"/>
  <c r="AD105" i="10"/>
  <c r="AE105" i="10"/>
  <c r="AF105" i="10"/>
  <c r="AG105" i="10"/>
  <c r="AH105" i="10"/>
  <c r="AI105" i="10"/>
  <c r="AJ105" i="10"/>
  <c r="AK105" i="10"/>
  <c r="AL105" i="10"/>
  <c r="AM105" i="10"/>
  <c r="AN105" i="10"/>
  <c r="AO105" i="10"/>
  <c r="W106" i="10"/>
  <c r="X106" i="10"/>
  <c r="Y106" i="10"/>
  <c r="Z106" i="10"/>
  <c r="AA106" i="10"/>
  <c r="AB106" i="10"/>
  <c r="AC106" i="10"/>
  <c r="AD106" i="10"/>
  <c r="AE106" i="10"/>
  <c r="AF106" i="10"/>
  <c r="AG106" i="10"/>
  <c r="AH106" i="10"/>
  <c r="AJ106" i="10"/>
  <c r="AK106" i="10"/>
  <c r="AL106" i="10"/>
  <c r="AM106" i="10"/>
  <c r="AN106" i="10"/>
  <c r="AO106" i="10"/>
  <c r="W107" i="10"/>
  <c r="X107" i="10"/>
  <c r="Y107" i="10"/>
  <c r="Z107" i="10"/>
  <c r="AA107" i="10"/>
  <c r="AB107" i="10"/>
  <c r="AC107" i="10"/>
  <c r="AD107" i="10"/>
  <c r="AE107" i="10"/>
  <c r="AF107" i="10"/>
  <c r="AG107" i="10"/>
  <c r="AH107" i="10"/>
  <c r="AI107" i="10"/>
  <c r="AJ107" i="10"/>
  <c r="AK107" i="10"/>
  <c r="AL107" i="10"/>
  <c r="AM107" i="10"/>
  <c r="AN107" i="10"/>
  <c r="AO107" i="10"/>
  <c r="AH132" i="10"/>
  <c r="AI132" i="10"/>
  <c r="AJ132" i="10"/>
  <c r="AK132" i="10"/>
  <c r="AL132" i="10"/>
  <c r="AM132" i="10"/>
  <c r="AN132" i="10"/>
  <c r="AO132" i="10"/>
  <c r="W133" i="10"/>
  <c r="X133" i="10"/>
  <c r="Y133" i="10"/>
  <c r="Z133" i="10"/>
  <c r="AA133" i="10"/>
  <c r="AB133" i="10"/>
  <c r="AC133" i="10"/>
  <c r="AD133" i="10"/>
  <c r="AE133" i="10"/>
  <c r="AF133" i="10"/>
  <c r="AG133" i="10"/>
  <c r="AH133" i="10"/>
  <c r="AI133" i="10"/>
  <c r="AJ133" i="10"/>
  <c r="AK133" i="10"/>
  <c r="AL133" i="10"/>
  <c r="AM133" i="10"/>
  <c r="AN133" i="10"/>
  <c r="AO133" i="10"/>
  <c r="W134" i="10"/>
  <c r="AJ144" i="10"/>
  <c r="W119" i="10"/>
  <c r="X119" i="10"/>
  <c r="Y119" i="10"/>
  <c r="Z119" i="10"/>
  <c r="AA119" i="10"/>
  <c r="AB119" i="10"/>
  <c r="AC119" i="10"/>
  <c r="AD119" i="10"/>
  <c r="AE119" i="10"/>
  <c r="AF119" i="10"/>
  <c r="AK144" i="10"/>
  <c r="AL144" i="10"/>
  <c r="AM144" i="10"/>
  <c r="AN144" i="10"/>
  <c r="AO144" i="10"/>
  <c r="W145" i="10"/>
  <c r="X145" i="10"/>
  <c r="AO55" i="10"/>
  <c r="AN55" i="10"/>
  <c r="AM55" i="10"/>
  <c r="AL55" i="10"/>
  <c r="AK55" i="10"/>
  <c r="AJ55" i="10"/>
  <c r="AI55" i="10"/>
  <c r="AH55" i="10"/>
  <c r="AG55" i="10"/>
  <c r="AE55" i="10"/>
  <c r="AD55" i="10"/>
  <c r="AC55" i="10"/>
  <c r="AB55" i="10"/>
  <c r="AA55" i="10"/>
  <c r="Z55" i="10"/>
  <c r="Y55" i="10"/>
  <c r="X55" i="10"/>
  <c r="W55" i="10"/>
  <c r="AO54" i="10"/>
  <c r="AN54" i="10"/>
  <c r="AM54" i="10"/>
  <c r="AL54" i="10"/>
  <c r="AK54" i="10"/>
  <c r="AJ54" i="10"/>
  <c r="AI54" i="10"/>
  <c r="AH54" i="10"/>
  <c r="AG54" i="10"/>
  <c r="AF54" i="10"/>
  <c r="AE54" i="10"/>
  <c r="AD54" i="10"/>
  <c r="AC54" i="10"/>
  <c r="AB54" i="10"/>
  <c r="AA54" i="10"/>
  <c r="Z54" i="10"/>
  <c r="AG119" i="10"/>
  <c r="AH119" i="10"/>
  <c r="Y54" i="10"/>
  <c r="AO68" i="10"/>
  <c r="X54" i="10"/>
  <c r="W54" i="10"/>
  <c r="AO53" i="10"/>
  <c r="AN53" i="10"/>
  <c r="AM53" i="10"/>
  <c r="AL53" i="10"/>
  <c r="AK53" i="10"/>
  <c r="AJ53" i="10"/>
  <c r="AI53" i="10"/>
  <c r="AN68" i="10"/>
  <c r="AH53" i="10"/>
  <c r="AG53" i="10"/>
  <c r="AF53" i="10"/>
  <c r="AE53" i="10"/>
  <c r="AD53" i="10"/>
  <c r="AC53" i="10"/>
  <c r="AB53" i="10"/>
  <c r="AA53" i="10"/>
  <c r="Z53" i="10"/>
  <c r="Y53" i="10"/>
  <c r="X53" i="10"/>
  <c r="W53" i="10"/>
  <c r="AO52" i="10"/>
  <c r="AN52" i="10"/>
  <c r="AM52" i="10"/>
  <c r="AL52" i="10"/>
  <c r="AK52" i="10"/>
  <c r="AJ52" i="10"/>
  <c r="AI52" i="10"/>
  <c r="AH52" i="10"/>
  <c r="AG52" i="10"/>
  <c r="AF52" i="10"/>
  <c r="AE52" i="10"/>
  <c r="AD52" i="10"/>
  <c r="AC52" i="10"/>
  <c r="AB52" i="10"/>
  <c r="AA52" i="10"/>
  <c r="Z52" i="10"/>
  <c r="AM68" i="10"/>
  <c r="AL68" i="10"/>
  <c r="Y52" i="10"/>
  <c r="AK68" i="10"/>
  <c r="AJ68" i="10"/>
  <c r="AI68" i="10"/>
  <c r="AH68" i="10"/>
  <c r="AG68" i="10"/>
  <c r="AF68" i="10"/>
  <c r="AE68" i="10"/>
  <c r="AD68" i="10"/>
  <c r="AC68" i="10"/>
  <c r="AB68" i="10"/>
  <c r="AA68" i="10"/>
  <c r="Z68" i="10"/>
  <c r="Y68" i="10"/>
  <c r="X68" i="10"/>
  <c r="W68" i="10"/>
  <c r="AO67" i="10"/>
  <c r="AN67" i="10"/>
  <c r="AM67" i="10"/>
  <c r="AL67" i="10"/>
  <c r="AK67" i="10"/>
  <c r="AJ67" i="10"/>
  <c r="AI67" i="10"/>
  <c r="AH67" i="10"/>
  <c r="AG67" i="10"/>
  <c r="AF67" i="10"/>
  <c r="AE67" i="10"/>
  <c r="AD67" i="10"/>
  <c r="AC67" i="10"/>
  <c r="AB67" i="10"/>
  <c r="AA67" i="10"/>
  <c r="Z67" i="10"/>
  <c r="Y67" i="10"/>
  <c r="X67" i="10"/>
  <c r="W67" i="10"/>
  <c r="AO66" i="10"/>
  <c r="AN66" i="10"/>
  <c r="AM66" i="10"/>
  <c r="AL66" i="10"/>
  <c r="AK66" i="10"/>
  <c r="AJ66" i="10"/>
  <c r="AI66" i="10"/>
  <c r="AH66" i="10"/>
  <c r="X52" i="10"/>
  <c r="AG66" i="10"/>
  <c r="AF66" i="10"/>
  <c r="AE66" i="10"/>
  <c r="AD66" i="10"/>
  <c r="AC66" i="10"/>
  <c r="AB66" i="10"/>
  <c r="AA66" i="10"/>
  <c r="Z66" i="10"/>
  <c r="Y66" i="10"/>
  <c r="X66" i="10"/>
  <c r="W66" i="10"/>
  <c r="AO65" i="10"/>
  <c r="AN65" i="10"/>
  <c r="AM65" i="10"/>
  <c r="AL65" i="10"/>
  <c r="AK65" i="10"/>
  <c r="AJ65" i="10"/>
  <c r="AI119" i="10"/>
  <c r="AJ119" i="10"/>
  <c r="AK119" i="10"/>
  <c r="W52" i="10"/>
  <c r="AO51" i="10"/>
  <c r="AN51" i="10"/>
  <c r="AM51" i="10"/>
  <c r="AL51" i="10"/>
  <c r="AK51" i="10"/>
  <c r="AJ51" i="10"/>
  <c r="AI51" i="10"/>
  <c r="AH51" i="10"/>
  <c r="AG51" i="10"/>
  <c r="AF51" i="10"/>
  <c r="AE51" i="10"/>
  <c r="AD51" i="10"/>
  <c r="AC51" i="10"/>
  <c r="AB51" i="10"/>
  <c r="AA51" i="10"/>
  <c r="Z51" i="10"/>
  <c r="Y51" i="10"/>
  <c r="X51" i="10"/>
  <c r="W51" i="10"/>
  <c r="Y145" i="10"/>
  <c r="Z145" i="10"/>
  <c r="AA145" i="10"/>
  <c r="AL119" i="10"/>
  <c r="AM119" i="10"/>
  <c r="AN119" i="10"/>
  <c r="AO119" i="10"/>
  <c r="W120" i="10"/>
  <c r="X120" i="10"/>
  <c r="Y120" i="10"/>
  <c r="Z120" i="10"/>
  <c r="AA120" i="10"/>
  <c r="AB120" i="10"/>
  <c r="AC120" i="10"/>
  <c r="AD120" i="10"/>
  <c r="AE120" i="10"/>
  <c r="AF120" i="10"/>
  <c r="AG120" i="10"/>
  <c r="AH120" i="10"/>
  <c r="AI120" i="10"/>
  <c r="AJ120" i="10"/>
  <c r="AK120" i="10"/>
  <c r="AL120" i="10"/>
  <c r="AM120" i="10"/>
  <c r="AN120" i="10"/>
  <c r="AO120" i="10"/>
  <c r="AN40" i="10"/>
  <c r="AB145" i="10"/>
  <c r="AC145" i="10"/>
  <c r="AD145" i="10"/>
  <c r="AE145" i="10"/>
  <c r="AF145" i="10"/>
  <c r="AG145" i="10"/>
  <c r="AH145" i="10"/>
  <c r="AI145" i="10"/>
  <c r="AJ145" i="10"/>
  <c r="AK145" i="10"/>
  <c r="AL145" i="10"/>
  <c r="AM145" i="10"/>
  <c r="AN145" i="10"/>
  <c r="AO145" i="10"/>
  <c r="W146" i="10"/>
  <c r="X146" i="10"/>
  <c r="Y146" i="10"/>
  <c r="Z146" i="10"/>
  <c r="AA146" i="10"/>
  <c r="AB146" i="10"/>
  <c r="AC146" i="10"/>
  <c r="AD146" i="10"/>
  <c r="AE146" i="10"/>
  <c r="AF146" i="10"/>
  <c r="AG146" i="10"/>
  <c r="AH146" i="10"/>
  <c r="AI146" i="10"/>
  <c r="AJ146" i="10"/>
  <c r="AK146" i="10"/>
  <c r="AL146" i="10"/>
  <c r="AM146" i="10"/>
  <c r="AN146" i="10"/>
  <c r="AO146" i="10"/>
  <c r="W147" i="10"/>
  <c r="X147" i="10"/>
  <c r="W159" i="10"/>
  <c r="X159" i="10"/>
  <c r="Y159" i="10"/>
  <c r="Z159" i="10"/>
  <c r="AA159" i="10"/>
  <c r="AB159" i="10"/>
  <c r="AC159" i="10"/>
  <c r="AD159" i="10"/>
  <c r="AE159" i="10"/>
  <c r="AF159" i="10"/>
  <c r="AG159" i="10"/>
  <c r="AH159" i="10"/>
  <c r="AI159" i="10"/>
  <c r="AJ159" i="10"/>
  <c r="AK159" i="10"/>
  <c r="AL159" i="10"/>
  <c r="AM159" i="10"/>
  <c r="AN159" i="10"/>
  <c r="AO159" i="10"/>
  <c r="W160" i="10"/>
  <c r="X160" i="10"/>
  <c r="Y160" i="10"/>
  <c r="X22" i="11"/>
  <c r="Y22" i="11"/>
  <c r="AA22" i="11"/>
  <c r="Z22" i="11"/>
  <c r="W22" i="11"/>
  <c r="E50" i="6"/>
  <c r="AG26" i="7"/>
  <c r="E49" i="6"/>
  <c r="AG25" i="7"/>
  <c r="E48" i="6"/>
  <c r="E46" i="6"/>
  <c r="C46" i="8"/>
  <c r="F45" i="6"/>
  <c r="D46" i="8"/>
  <c r="G45" i="6"/>
  <c r="D44" i="8"/>
  <c r="G43" i="6"/>
  <c r="AG10" i="7"/>
  <c r="E42" i="6"/>
  <c r="D42" i="8"/>
  <c r="G41" i="6"/>
  <c r="C41" i="8"/>
  <c r="F40" i="6"/>
  <c r="D41" i="8"/>
  <c r="G40" i="6"/>
  <c r="C40" i="8"/>
  <c r="F39" i="6"/>
  <c r="D40" i="8"/>
  <c r="G39" i="6"/>
  <c r="C39" i="8"/>
  <c r="F38" i="6"/>
  <c r="D39" i="8"/>
  <c r="G38" i="6"/>
  <c r="C35" i="8"/>
  <c r="F34" i="6"/>
  <c r="D35" i="8"/>
  <c r="G34" i="6"/>
  <c r="C34" i="8"/>
  <c r="F33" i="6"/>
  <c r="D34" i="8"/>
  <c r="G33" i="6"/>
  <c r="C33" i="8"/>
  <c r="F32" i="6"/>
  <c r="D33" i="8"/>
  <c r="G32" i="6"/>
  <c r="C31" i="8"/>
  <c r="F30" i="6"/>
  <c r="D31" i="8"/>
  <c r="G30" i="6"/>
  <c r="C30" i="8"/>
  <c r="F29" i="6"/>
  <c r="D30" i="8"/>
  <c r="G29" i="6"/>
  <c r="C28" i="8"/>
  <c r="F27" i="6"/>
  <c r="D28" i="8"/>
  <c r="G27" i="6"/>
  <c r="C26" i="8"/>
  <c r="F25" i="6"/>
  <c r="D26" i="8"/>
  <c r="G25" i="6"/>
  <c r="C25" i="8"/>
  <c r="F24" i="6"/>
  <c r="D25" i="8"/>
  <c r="G24" i="6"/>
  <c r="C24" i="8"/>
  <c r="F23" i="6"/>
  <c r="D24" i="8"/>
  <c r="G23" i="6"/>
  <c r="D23" i="8"/>
  <c r="G22" i="6"/>
  <c r="D22" i="8"/>
  <c r="G21" i="6"/>
  <c r="J19" i="6"/>
  <c r="E26" i="2"/>
  <c r="AG22" i="7"/>
  <c r="E19" i="6"/>
  <c r="D20" i="8"/>
  <c r="G19" i="6"/>
  <c r="AG9" i="7"/>
  <c r="E18" i="6"/>
  <c r="D19" i="8"/>
  <c r="G18" i="6"/>
  <c r="AG15" i="7"/>
  <c r="E17" i="6"/>
  <c r="D18" i="8"/>
  <c r="G17" i="6"/>
  <c r="E16" i="6"/>
  <c r="AG19" i="7"/>
  <c r="E15" i="6"/>
  <c r="AG23" i="7"/>
  <c r="E14" i="6"/>
  <c r="D15" i="8"/>
  <c r="G14" i="6"/>
  <c r="AG17" i="7"/>
  <c r="E13" i="6"/>
  <c r="E12" i="6"/>
  <c r="E7" i="6"/>
  <c r="D7" i="6"/>
  <c r="AH14" i="7"/>
  <c r="E7" i="8"/>
  <c r="H6" i="6"/>
  <c r="E6" i="6"/>
  <c r="AH27" i="7"/>
  <c r="D6" i="6"/>
  <c r="E6" i="8"/>
  <c r="H5" i="6"/>
  <c r="E5" i="6"/>
  <c r="D5" i="6"/>
  <c r="AH4" i="7"/>
  <c r="E5" i="8"/>
  <c r="H4" i="6"/>
  <c r="E4" i="6"/>
  <c r="D4" i="6"/>
  <c r="AH11" i="7"/>
  <c r="E4" i="8"/>
  <c r="H3" i="6"/>
  <c r="E3" i="6"/>
  <c r="D3" i="6"/>
  <c r="AH21" i="7"/>
  <c r="H2" i="6"/>
  <c r="E3" i="8"/>
  <c r="D2" i="6"/>
  <c r="AH29" i="7"/>
  <c r="I45" i="4"/>
  <c r="P45" i="4" s="1"/>
  <c r="F13" i="3"/>
  <c r="G13" i="3" s="1"/>
  <c r="I44" i="4"/>
  <c r="P44" i="4" s="1"/>
  <c r="F41" i="3"/>
  <c r="G41" i="3" s="1"/>
  <c r="I43" i="4"/>
  <c r="P43" i="4" s="1"/>
  <c r="F40" i="3"/>
  <c r="G40" i="3" s="1"/>
  <c r="I39" i="4"/>
  <c r="P39" i="4" s="1"/>
  <c r="F44" i="3"/>
  <c r="G44" i="3" s="1"/>
  <c r="I36" i="4"/>
  <c r="P36" i="4" s="1"/>
  <c r="F23" i="3"/>
  <c r="G23" i="3" s="1"/>
  <c r="I30" i="4"/>
  <c r="P30" i="4" s="1"/>
  <c r="F22" i="3"/>
  <c r="G22" i="3" s="1"/>
  <c r="I15" i="4"/>
  <c r="P15" i="4" s="1"/>
  <c r="F34" i="3"/>
  <c r="G34" i="3" s="1"/>
  <c r="I14" i="4"/>
  <c r="P14" i="4" s="1"/>
  <c r="F39" i="3"/>
  <c r="G39" i="3" s="1"/>
  <c r="I13" i="4"/>
  <c r="P13" i="4" s="1"/>
  <c r="F32" i="3"/>
  <c r="G32" i="3" s="1"/>
  <c r="I12" i="4"/>
  <c r="P12" i="4" s="1"/>
  <c r="F12" i="3"/>
  <c r="G12" i="3" s="1"/>
  <c r="I11" i="4"/>
  <c r="P11" i="4" s="1"/>
  <c r="F11" i="3"/>
  <c r="G11" i="3" s="1"/>
  <c r="I10" i="4"/>
  <c r="P10" i="4" s="1"/>
  <c r="F10" i="3"/>
  <c r="G10" i="3" s="1"/>
  <c r="F45" i="3"/>
  <c r="G45" i="3" s="1"/>
  <c r="I9" i="4"/>
  <c r="P9" i="4" s="1"/>
  <c r="F9" i="3"/>
  <c r="G9" i="3" s="1"/>
  <c r="F33" i="3"/>
  <c r="G33" i="3" s="1"/>
  <c r="I8" i="4"/>
  <c r="P8" i="4" s="1"/>
  <c r="F8" i="3"/>
  <c r="G8" i="3" s="1"/>
  <c r="I7" i="4"/>
  <c r="P7" i="4" s="1"/>
  <c r="F7" i="3"/>
  <c r="G7" i="3" s="1"/>
  <c r="I6" i="4"/>
  <c r="P6" i="4" s="1"/>
  <c r="F6" i="3"/>
  <c r="G6" i="3" s="1"/>
  <c r="F38" i="3"/>
  <c r="G38" i="3" s="1"/>
  <c r="I5" i="4"/>
  <c r="P5" i="4" s="1"/>
  <c r="F5" i="3"/>
  <c r="G5" i="3" s="1"/>
  <c r="I4" i="4"/>
  <c r="P4" i="4" s="1"/>
  <c r="F4" i="3"/>
  <c r="G4" i="3" s="1"/>
  <c r="F37" i="3"/>
  <c r="G37" i="3" s="1"/>
  <c r="I3" i="4"/>
  <c r="P3" i="4" s="1"/>
  <c r="F3" i="3"/>
  <c r="G3" i="3" s="1"/>
  <c r="I46" i="3"/>
  <c r="J46" i="3"/>
  <c r="J43" i="3"/>
  <c r="I43" i="3"/>
  <c r="I42" i="3"/>
  <c r="I36" i="3"/>
  <c r="J36" i="3"/>
  <c r="I35" i="3"/>
  <c r="J35" i="3"/>
  <c r="I31" i="3"/>
  <c r="J31" i="3"/>
  <c r="I30" i="3"/>
  <c r="I29" i="3"/>
  <c r="J29" i="3"/>
  <c r="I28" i="3"/>
  <c r="J28" i="3"/>
  <c r="G51" i="3"/>
  <c r="J27" i="3"/>
  <c r="I27" i="3"/>
  <c r="U10" i="16"/>
  <c r="U18" i="16"/>
  <c r="U19" i="16"/>
  <c r="U17" i="16"/>
  <c r="U20" i="16"/>
  <c r="U16" i="16"/>
  <c r="U22" i="16"/>
  <c r="U15" i="16"/>
  <c r="U14" i="16"/>
  <c r="U13" i="16"/>
  <c r="U12" i="16"/>
  <c r="U11" i="16"/>
  <c r="U21" i="16"/>
  <c r="I21" i="3"/>
  <c r="J21" i="3"/>
  <c r="I20" i="3"/>
  <c r="J20" i="3"/>
  <c r="I19" i="3"/>
  <c r="J19" i="3"/>
  <c r="I18" i="3"/>
  <c r="J18" i="3"/>
  <c r="I17" i="3"/>
  <c r="J17" i="3"/>
  <c r="I16" i="3"/>
  <c r="J16" i="3"/>
  <c r="J15" i="3"/>
  <c r="I15" i="3"/>
  <c r="J14" i="3"/>
  <c r="I14" i="3"/>
  <c r="Q41" i="16"/>
  <c r="Q40" i="16"/>
  <c r="Q39" i="16"/>
  <c r="Q38" i="16"/>
  <c r="Q37" i="16"/>
  <c r="Q36" i="16"/>
  <c r="Q35" i="16"/>
  <c r="Q34" i="16"/>
  <c r="Q33" i="16"/>
  <c r="Q32" i="16"/>
  <c r="Q31" i="16"/>
  <c r="Q30" i="16"/>
  <c r="Q29" i="16"/>
  <c r="Q28" i="16"/>
  <c r="Q27" i="16"/>
  <c r="Q26" i="16"/>
  <c r="Q25" i="16"/>
  <c r="Q23" i="16"/>
  <c r="Q22" i="16"/>
  <c r="Q21" i="16"/>
  <c r="Q20" i="16"/>
  <c r="Q19" i="16"/>
  <c r="Q18" i="16"/>
  <c r="Q17" i="16"/>
  <c r="Q16" i="16"/>
  <c r="Q15" i="16"/>
  <c r="Q14" i="16"/>
  <c r="Q13" i="16"/>
  <c r="Q12" i="16"/>
  <c r="Q11" i="16"/>
  <c r="Q10" i="16"/>
  <c r="Q20" i="8"/>
  <c r="Q19" i="8"/>
  <c r="P46" i="4"/>
  <c r="P42" i="4"/>
  <c r="P32" i="4"/>
  <c r="P41" i="4"/>
  <c r="P40" i="4"/>
  <c r="P28" i="4"/>
  <c r="P26" i="4"/>
  <c r="P23" i="4"/>
  <c r="P22" i="4"/>
  <c r="P21" i="4"/>
  <c r="P38" i="4"/>
  <c r="P24" i="4"/>
  <c r="P50" i="4"/>
  <c r="P48" i="4"/>
  <c r="P31" i="4"/>
  <c r="P29" i="4"/>
  <c r="P27" i="4"/>
  <c r="P16" i="4"/>
  <c r="P51" i="4"/>
  <c r="P37" i="4"/>
  <c r="P35" i="4"/>
  <c r="P33" i="4"/>
  <c r="P49" i="4"/>
  <c r="P47" i="4"/>
  <c r="P17" i="4"/>
  <c r="P20" i="4"/>
  <c r="P19" i="4"/>
  <c r="P18" i="4"/>
  <c r="C38" i="8" l="1"/>
  <c r="R38" i="8" s="1"/>
  <c r="S38" i="8" s="1"/>
  <c r="F37" i="6"/>
  <c r="G37" i="6"/>
  <c r="D38" i="8"/>
  <c r="G42" i="6"/>
  <c r="D43" i="8"/>
  <c r="F36" i="6"/>
  <c r="C37" i="8"/>
  <c r="R37" i="8" s="1"/>
  <c r="S37" i="8" s="1"/>
  <c r="D37" i="8"/>
  <c r="G36" i="6"/>
  <c r="C45" i="8"/>
  <c r="R45" i="8" s="1"/>
  <c r="S45" i="8" s="1"/>
  <c r="F44" i="6"/>
  <c r="D45" i="8"/>
  <c r="G44" i="6"/>
  <c r="F21" i="6"/>
  <c r="C22" i="8"/>
  <c r="R22" i="8" s="1"/>
  <c r="S22" i="8" s="1"/>
  <c r="G13" i="6"/>
  <c r="D14" i="8"/>
  <c r="AG27" i="7"/>
  <c r="G26" i="6"/>
  <c r="D27" i="8"/>
  <c r="AG29" i="7"/>
  <c r="G28" i="6"/>
  <c r="D29" i="8"/>
  <c r="E11" i="6"/>
  <c r="AG3" i="7"/>
  <c r="G50" i="6"/>
  <c r="AG6" i="7"/>
  <c r="G46" i="6"/>
  <c r="AG8" i="7"/>
  <c r="D47" i="8"/>
  <c r="G20" i="6"/>
  <c r="D21" i="8"/>
  <c r="AG7" i="7"/>
  <c r="D17" i="8"/>
  <c r="G16" i="6"/>
  <c r="AG5" i="7"/>
  <c r="D13" i="8"/>
  <c r="G12" i="6"/>
  <c r="D12" i="8"/>
  <c r="G11" i="6"/>
  <c r="G10" i="6"/>
  <c r="D11" i="8"/>
  <c r="C10" i="8"/>
  <c r="F9" i="6"/>
  <c r="G9" i="6"/>
  <c r="D10" i="8"/>
  <c r="C9" i="8"/>
  <c r="F8" i="6"/>
  <c r="D9" i="8"/>
  <c r="G8" i="6"/>
  <c r="F49" i="6"/>
  <c r="F50" i="6"/>
  <c r="C23" i="8"/>
  <c r="R23" i="8" s="1"/>
  <c r="S23" i="8" s="1"/>
  <c r="F22" i="6"/>
  <c r="F41" i="6"/>
  <c r="C42" i="8"/>
  <c r="R42" i="8" s="1"/>
  <c r="S42" i="8" s="1"/>
  <c r="C44" i="8"/>
  <c r="R44" i="8" s="1"/>
  <c r="S44" i="8" s="1"/>
  <c r="F43" i="6"/>
  <c r="AG14" i="7"/>
  <c r="D36" i="8"/>
  <c r="G35" i="6"/>
  <c r="AG4" i="7"/>
  <c r="G15" i="6"/>
  <c r="D16" i="8"/>
  <c r="AG11" i="7"/>
  <c r="D32" i="8"/>
  <c r="G31" i="6"/>
  <c r="AG21" i="7"/>
  <c r="G48" i="6"/>
  <c r="K17" i="3"/>
  <c r="K19" i="3"/>
  <c r="L17" i="3"/>
  <c r="K14" i="3"/>
  <c r="L19" i="3"/>
  <c r="L15" i="3"/>
  <c r="L14" i="3"/>
  <c r="K18" i="3"/>
  <c r="L16" i="3"/>
  <c r="L18" i="3"/>
  <c r="K15" i="3"/>
  <c r="L20" i="3"/>
  <c r="K16" i="3"/>
  <c r="K31" i="3"/>
  <c r="K28" i="3"/>
  <c r="K30" i="3"/>
  <c r="G47" i="3"/>
  <c r="K29" i="3"/>
  <c r="K27" i="3"/>
  <c r="L43" i="3"/>
  <c r="L28" i="3"/>
  <c r="K21" i="3"/>
  <c r="L36" i="3"/>
  <c r="L27" i="3"/>
  <c r="L31" i="3"/>
  <c r="L30" i="3"/>
  <c r="K20" i="3"/>
  <c r="L42" i="3"/>
  <c r="L21" i="3"/>
  <c r="L46" i="3"/>
  <c r="L29" i="3"/>
  <c r="L35" i="3"/>
  <c r="K43" i="3"/>
  <c r="K42" i="3"/>
  <c r="K35" i="3"/>
  <c r="K36" i="3"/>
  <c r="K46" i="3"/>
  <c r="AC44" i="16"/>
  <c r="X44" i="16"/>
  <c r="AB44" i="16"/>
  <c r="AA44" i="16"/>
  <c r="AC43" i="16"/>
  <c r="X43" i="16"/>
  <c r="AB43" i="16"/>
  <c r="AA43" i="16"/>
  <c r="AB42" i="16"/>
  <c r="AA42" i="16"/>
  <c r="AC42" i="16"/>
  <c r="X42" i="16"/>
  <c r="X41" i="16"/>
  <c r="AC41" i="16"/>
  <c r="AB41" i="16"/>
  <c r="AA41" i="16"/>
  <c r="AB40" i="16"/>
  <c r="AA40" i="16"/>
  <c r="X40" i="16"/>
  <c r="AC40" i="16"/>
  <c r="AB39" i="16"/>
  <c r="AA39" i="16"/>
  <c r="X39" i="16"/>
  <c r="AC39" i="16"/>
  <c r="AB38" i="16"/>
  <c r="AA38" i="16"/>
  <c r="AC38" i="16"/>
  <c r="X38" i="16"/>
  <c r="AB37" i="16"/>
  <c r="AA37" i="16"/>
  <c r="X37" i="16"/>
  <c r="AC37" i="16"/>
  <c r="AB36" i="16"/>
  <c r="AA36" i="16"/>
  <c r="AC36" i="16"/>
  <c r="X36" i="16"/>
  <c r="AC35" i="16"/>
  <c r="X35" i="16"/>
  <c r="AB35" i="16"/>
  <c r="AA35" i="16"/>
  <c r="AB34" i="16"/>
  <c r="AA34" i="16"/>
  <c r="X34" i="16"/>
  <c r="AC34" i="16"/>
  <c r="D59" i="16"/>
  <c r="X33" i="16"/>
  <c r="AC33" i="16"/>
  <c r="AA33" i="16"/>
  <c r="AB33" i="16"/>
  <c r="AB32" i="16"/>
  <c r="AA32" i="16"/>
  <c r="AC32" i="16"/>
  <c r="X32" i="16"/>
  <c r="X31" i="16"/>
  <c r="AC31" i="16"/>
  <c r="AB31" i="16"/>
  <c r="AA31" i="16"/>
  <c r="AA30" i="16"/>
  <c r="AB30" i="16"/>
  <c r="X30" i="16"/>
  <c r="AC30" i="16"/>
  <c r="AC29" i="16"/>
  <c r="X29" i="16"/>
  <c r="AA29" i="16"/>
  <c r="AB29" i="16"/>
  <c r="AC28" i="16"/>
  <c r="X28" i="16"/>
  <c r="AB28" i="16"/>
  <c r="AA28" i="16"/>
  <c r="AC27" i="16"/>
  <c r="X27" i="16"/>
  <c r="AA27" i="16"/>
  <c r="AB27" i="16"/>
  <c r="AB26" i="16"/>
  <c r="AA26" i="16"/>
  <c r="AC26" i="16"/>
  <c r="X26" i="16"/>
  <c r="AB25" i="16"/>
  <c r="AA25" i="16"/>
  <c r="AC25" i="16"/>
  <c r="X25" i="16"/>
  <c r="AA24" i="16"/>
  <c r="AB24" i="16"/>
  <c r="X24" i="16"/>
  <c r="AC24" i="16"/>
  <c r="X23" i="16"/>
  <c r="AC23" i="16"/>
  <c r="D58" i="16"/>
  <c r="AA23" i="16"/>
  <c r="AB23" i="16"/>
  <c r="X9" i="16"/>
  <c r="AC9" i="16"/>
  <c r="AA9" i="16"/>
  <c r="AB9" i="16"/>
  <c r="X8" i="16"/>
  <c r="AC8" i="16"/>
  <c r="AA8" i="16"/>
  <c r="AB8" i="16"/>
  <c r="AA7" i="16"/>
  <c r="AB7" i="16"/>
  <c r="X7" i="16"/>
  <c r="AC7" i="16"/>
  <c r="X6" i="16"/>
  <c r="AC6" i="16"/>
  <c r="AA6" i="16"/>
  <c r="AB6" i="16"/>
  <c r="AA5" i="16"/>
  <c r="AB5" i="16"/>
  <c r="X5" i="16"/>
  <c r="AC5" i="16"/>
  <c r="AA4" i="16"/>
  <c r="AB4" i="16"/>
  <c r="X4" i="16"/>
  <c r="AC4" i="16"/>
  <c r="AA3" i="16"/>
  <c r="AB3" i="16"/>
  <c r="E56" i="16"/>
  <c r="X3" i="16"/>
  <c r="AC3" i="16"/>
  <c r="D56" i="16"/>
  <c r="E3" i="12"/>
  <c r="D4" i="12"/>
  <c r="C5" i="12"/>
  <c r="D5" i="12" s="1"/>
  <c r="C43" i="8"/>
  <c r="F42" i="6"/>
  <c r="D8" i="8"/>
  <c r="G7" i="6"/>
  <c r="D7" i="8"/>
  <c r="G6" i="6"/>
  <c r="D6" i="8"/>
  <c r="G5" i="6"/>
  <c r="D5" i="8"/>
  <c r="G4" i="6"/>
  <c r="D4" i="8"/>
  <c r="G3" i="6"/>
  <c r="C3" i="8"/>
  <c r="F2" i="6"/>
  <c r="D3" i="8"/>
  <c r="E23" i="2"/>
  <c r="G2" i="6"/>
  <c r="I13" i="3"/>
  <c r="J13" i="3"/>
  <c r="K13" i="3"/>
  <c r="L13" i="3"/>
  <c r="I41" i="3"/>
  <c r="K41" i="3"/>
  <c r="L41" i="3"/>
  <c r="I40" i="3"/>
  <c r="K40" i="3"/>
  <c r="L40" i="3"/>
  <c r="I44" i="3"/>
  <c r="K44" i="3"/>
  <c r="L44" i="3"/>
  <c r="I23" i="3"/>
  <c r="J23" i="3"/>
  <c r="K23" i="3"/>
  <c r="L23" i="3"/>
  <c r="I22" i="3"/>
  <c r="J22" i="3"/>
  <c r="K22" i="3"/>
  <c r="L22" i="3"/>
  <c r="I34" i="3"/>
  <c r="J34" i="3"/>
  <c r="K34" i="3"/>
  <c r="L34" i="3"/>
  <c r="I39" i="3"/>
  <c r="J39" i="3"/>
  <c r="K39" i="3"/>
  <c r="L39" i="3"/>
  <c r="I32" i="3"/>
  <c r="J32" i="3"/>
  <c r="K32" i="3"/>
  <c r="L32" i="3"/>
  <c r="I12" i="3"/>
  <c r="J12" i="3"/>
  <c r="K12" i="3"/>
  <c r="L12" i="3"/>
  <c r="I11" i="3"/>
  <c r="J11" i="3"/>
  <c r="K11" i="3"/>
  <c r="L11" i="3"/>
  <c r="I10" i="3"/>
  <c r="J10" i="3"/>
  <c r="K10" i="3"/>
  <c r="L10" i="3"/>
  <c r="I45" i="3"/>
  <c r="J45" i="3"/>
  <c r="K45" i="3"/>
  <c r="L45" i="3"/>
  <c r="I9" i="3"/>
  <c r="J9" i="3"/>
  <c r="K9" i="3"/>
  <c r="L9" i="3"/>
  <c r="I33" i="3"/>
  <c r="J33" i="3"/>
  <c r="K33" i="3"/>
  <c r="L33" i="3"/>
  <c r="I8" i="3"/>
  <c r="J8" i="3"/>
  <c r="K8" i="3"/>
  <c r="L8" i="3"/>
  <c r="I7" i="3"/>
  <c r="J7" i="3"/>
  <c r="K7" i="3"/>
  <c r="L7" i="3"/>
  <c r="I6" i="3"/>
  <c r="J6" i="3"/>
  <c r="K6" i="3"/>
  <c r="L6" i="3"/>
  <c r="I38" i="3"/>
  <c r="J38" i="3"/>
  <c r="K38" i="3"/>
  <c r="L38" i="3"/>
  <c r="I5" i="3"/>
  <c r="J5" i="3"/>
  <c r="K5" i="3"/>
  <c r="L5" i="3"/>
  <c r="I4" i="3"/>
  <c r="J4" i="3"/>
  <c r="K4" i="3"/>
  <c r="L4" i="3"/>
  <c r="I37" i="3"/>
  <c r="J37" i="3"/>
  <c r="K37" i="3"/>
  <c r="L37" i="3"/>
  <c r="I3" i="3"/>
  <c r="J3" i="3"/>
  <c r="K3" i="3"/>
  <c r="L3" i="3"/>
  <c r="G24" i="3"/>
  <c r="G50" i="3"/>
  <c r="L51" i="3" s="1"/>
  <c r="I51" i="3"/>
  <c r="V10" i="16"/>
  <c r="W10" i="16"/>
  <c r="Z10" i="16"/>
  <c r="V18" i="16"/>
  <c r="W18" i="16"/>
  <c r="Z18" i="16"/>
  <c r="V19" i="16"/>
  <c r="W19" i="16"/>
  <c r="Z19" i="16"/>
  <c r="V17" i="16"/>
  <c r="W17" i="16"/>
  <c r="Z17" i="16"/>
  <c r="V20" i="16"/>
  <c r="W20" i="16"/>
  <c r="Z20" i="16"/>
  <c r="V16" i="16"/>
  <c r="W16" i="16"/>
  <c r="Z16" i="16"/>
  <c r="V22" i="16"/>
  <c r="W22" i="16"/>
  <c r="Z22" i="16"/>
  <c r="V15" i="16"/>
  <c r="W15" i="16"/>
  <c r="Z15" i="16"/>
  <c r="V14" i="16"/>
  <c r="W14" i="16"/>
  <c r="Z14" i="16"/>
  <c r="V13" i="16"/>
  <c r="W13" i="16"/>
  <c r="Z13" i="16"/>
  <c r="V12" i="16"/>
  <c r="W12" i="16"/>
  <c r="Z12" i="16"/>
  <c r="V11" i="16"/>
  <c r="W11" i="16"/>
  <c r="Z11" i="16"/>
  <c r="V21" i="16"/>
  <c r="W21" i="16"/>
  <c r="Z21" i="16"/>
  <c r="AG15" i="11"/>
  <c r="AG14" i="11"/>
  <c r="AG8" i="11"/>
  <c r="AG21" i="11"/>
  <c r="AG19" i="11"/>
  <c r="AG16" i="11"/>
  <c r="AG9" i="11"/>
  <c r="AG23" i="11"/>
  <c r="AG24" i="11"/>
  <c r="AG20" i="11"/>
  <c r="AG13" i="11"/>
  <c r="AG22" i="11"/>
  <c r="AG10" i="11"/>
  <c r="AG31" i="11"/>
  <c r="AG25" i="11"/>
  <c r="AG29" i="11"/>
  <c r="AG26" i="11"/>
  <c r="AG18" i="11"/>
  <c r="AG17" i="11"/>
  <c r="AG12" i="11"/>
  <c r="AG7" i="11"/>
  <c r="AG6" i="11"/>
  <c r="AG30" i="11"/>
  <c r="AG27" i="11"/>
  <c r="R40" i="8"/>
  <c r="S40" i="8" s="1"/>
  <c r="AG11" i="11"/>
  <c r="R46" i="8"/>
  <c r="S46" i="8" s="1"/>
  <c r="R41" i="8"/>
  <c r="S41" i="8" s="1"/>
  <c r="R39" i="8"/>
  <c r="S39" i="8" s="1"/>
  <c r="R35" i="8"/>
  <c r="S35" i="8" s="1"/>
  <c r="R34" i="8"/>
  <c r="S34" i="8" s="1"/>
  <c r="R33" i="8"/>
  <c r="S33" i="8" s="1"/>
  <c r="R31" i="8"/>
  <c r="S31" i="8" s="1"/>
  <c r="R30" i="8"/>
  <c r="S30" i="8" s="1"/>
  <c r="R28" i="8"/>
  <c r="S28" i="8" s="1"/>
  <c r="R26" i="8"/>
  <c r="S26" i="8" s="1"/>
  <c r="R25" i="8"/>
  <c r="S25" i="8" s="1"/>
  <c r="R24" i="8"/>
  <c r="S24" i="8" s="1"/>
  <c r="C27" i="8" l="1"/>
  <c r="R27" i="8" s="1"/>
  <c r="S27" i="8" s="1"/>
  <c r="F26" i="6"/>
  <c r="F28" i="6"/>
  <c r="C29" i="8"/>
  <c r="R29" i="8" s="1"/>
  <c r="S29" i="8" s="1"/>
  <c r="R43" i="8"/>
  <c r="S43" i="8" s="1"/>
  <c r="C7" i="8"/>
  <c r="R7" i="8" s="1"/>
  <c r="S7" i="8" s="1"/>
  <c r="F6" i="6"/>
  <c r="C14" i="8"/>
  <c r="R14" i="8" s="1"/>
  <c r="S14" i="8" s="1"/>
  <c r="F13" i="6"/>
  <c r="F10" i="6"/>
  <c r="C11" i="8"/>
  <c r="R11" i="8" s="1"/>
  <c r="S11" i="8" s="1"/>
  <c r="F20" i="6"/>
  <c r="C21" i="8"/>
  <c r="R21" i="8"/>
  <c r="S21" i="8" s="1"/>
  <c r="R10" i="8"/>
  <c r="S10" i="8" s="1"/>
  <c r="R9" i="8"/>
  <c r="S9" i="8" s="1"/>
  <c r="F14" i="6"/>
  <c r="C15" i="8"/>
  <c r="R15" i="8" s="1"/>
  <c r="S15" i="8" s="1"/>
  <c r="C18" i="8"/>
  <c r="R18" i="8" s="1"/>
  <c r="S18" i="8" s="1"/>
  <c r="F17" i="6"/>
  <c r="C20" i="8"/>
  <c r="R20" i="8" s="1"/>
  <c r="S20" i="8" s="1"/>
  <c r="F19" i="6"/>
  <c r="C19" i="8"/>
  <c r="R19" i="8" s="1"/>
  <c r="S19" i="8" s="1"/>
  <c r="F18" i="6"/>
  <c r="C16" i="8"/>
  <c r="R16" i="8" s="1"/>
  <c r="S16" i="8" s="1"/>
  <c r="F15" i="6"/>
  <c r="C12" i="8"/>
  <c r="R12" i="8" s="1"/>
  <c r="S12" i="8" s="1"/>
  <c r="F11" i="6"/>
  <c r="C47" i="8"/>
  <c r="R47" i="8" s="1"/>
  <c r="S47" i="8" s="1"/>
  <c r="F46" i="6"/>
  <c r="C17" i="8"/>
  <c r="R17" i="8" s="1"/>
  <c r="S17" i="8" s="1"/>
  <c r="F16" i="6"/>
  <c r="C13" i="8"/>
  <c r="R13" i="8" s="1"/>
  <c r="S13" i="8" s="1"/>
  <c r="F12" i="6"/>
  <c r="C8" i="8"/>
  <c r="R8" i="8" s="1"/>
  <c r="S8" i="8" s="1"/>
  <c r="F7" i="6"/>
  <c r="C6" i="8"/>
  <c r="R6" i="8" s="1"/>
  <c r="S6" i="8" s="1"/>
  <c r="F5" i="6"/>
  <c r="C5" i="8"/>
  <c r="R5" i="8" s="1"/>
  <c r="S5" i="8" s="1"/>
  <c r="F4" i="6"/>
  <c r="F48" i="6"/>
  <c r="C4" i="8"/>
  <c r="R4" i="8" s="1"/>
  <c r="S4" i="8" s="1"/>
  <c r="F3" i="6"/>
  <c r="F35" i="6"/>
  <c r="C36" i="8"/>
  <c r="R36" i="8" s="1"/>
  <c r="S36" i="8" s="1"/>
  <c r="F31" i="6"/>
  <c r="C32" i="8"/>
  <c r="R32" i="8" s="1"/>
  <c r="S32" i="8" s="1"/>
  <c r="K24" i="3"/>
  <c r="L24" i="3"/>
  <c r="L47" i="3"/>
  <c r="K47" i="3"/>
  <c r="I47" i="3"/>
  <c r="F59" i="16"/>
  <c r="H59" i="16"/>
  <c r="G59" i="16"/>
  <c r="F58" i="16"/>
  <c r="H58" i="16"/>
  <c r="G58" i="16"/>
  <c r="F56" i="16"/>
  <c r="G56" i="16" s="1"/>
  <c r="H56" i="16"/>
  <c r="F3" i="12"/>
  <c r="G3" i="12"/>
  <c r="I24" i="3"/>
  <c r="I50" i="3"/>
  <c r="X10" i="16"/>
  <c r="AC10" i="16"/>
  <c r="D57" i="16"/>
  <c r="D60" i="16" s="1"/>
  <c r="AA10" i="16"/>
  <c r="AB10" i="16"/>
  <c r="X18" i="16"/>
  <c r="AC18" i="16"/>
  <c r="AA18" i="16"/>
  <c r="AB18" i="16"/>
  <c r="X19" i="16"/>
  <c r="AC19" i="16"/>
  <c r="AA19" i="16"/>
  <c r="AB19" i="16"/>
  <c r="X17" i="16"/>
  <c r="AC17" i="16"/>
  <c r="AA17" i="16"/>
  <c r="AB17" i="16"/>
  <c r="X20" i="16"/>
  <c r="AC20" i="16"/>
  <c r="AA20" i="16"/>
  <c r="AB20" i="16"/>
  <c r="X16" i="16"/>
  <c r="AC16" i="16"/>
  <c r="AA16" i="16"/>
  <c r="AB16" i="16"/>
  <c r="X22" i="16"/>
  <c r="AC22" i="16"/>
  <c r="AA22" i="16"/>
  <c r="AB22" i="16"/>
  <c r="X15" i="16"/>
  <c r="AC15" i="16"/>
  <c r="AA15" i="16"/>
  <c r="AB15" i="16"/>
  <c r="X14" i="16"/>
  <c r="AC14" i="16"/>
  <c r="AA14" i="16"/>
  <c r="AB14" i="16"/>
  <c r="X13" i="16"/>
  <c r="AC13" i="16"/>
  <c r="AA13" i="16"/>
  <c r="AB13" i="16"/>
  <c r="X12" i="16"/>
  <c r="AC12" i="16"/>
  <c r="AA12" i="16"/>
  <c r="AB12" i="16"/>
  <c r="X11" i="16"/>
  <c r="AC11" i="16"/>
  <c r="AA11" i="16"/>
  <c r="AB11" i="16"/>
  <c r="X21" i="16"/>
  <c r="AC21" i="16"/>
  <c r="AA21" i="16"/>
  <c r="AB21" i="16"/>
  <c r="R3" i="8"/>
  <c r="J2" i="11"/>
  <c r="E4" i="12"/>
  <c r="E18" i="2"/>
  <c r="E19" i="2"/>
  <c r="E5" i="12"/>
  <c r="D51" i="16"/>
  <c r="D48" i="16"/>
  <c r="D47" i="16"/>
  <c r="D52" i="16"/>
  <c r="E57" i="16"/>
  <c r="E60" i="16" s="1"/>
  <c r="E51" i="16"/>
  <c r="F51" i="16" s="1"/>
  <c r="E50" i="16"/>
  <c r="E47" i="16"/>
  <c r="E49" i="16"/>
  <c r="E52" i="16"/>
  <c r="E48" i="16"/>
  <c r="D50" i="16"/>
  <c r="D49" i="16"/>
  <c r="F47" i="16" l="1"/>
  <c r="G47" i="16" s="1"/>
  <c r="F52" i="16"/>
  <c r="F48" i="16"/>
  <c r="G48" i="16" s="1"/>
  <c r="I58" i="16"/>
  <c r="I59" i="16"/>
  <c r="F50" i="16"/>
  <c r="G50" i="16" s="1"/>
  <c r="I50" i="16" s="1"/>
  <c r="F49" i="16"/>
  <c r="G49" i="16" s="1"/>
  <c r="I49" i="16" s="1"/>
  <c r="J47" i="3"/>
  <c r="J48" i="3"/>
  <c r="J60" i="16"/>
  <c r="H60" i="16"/>
  <c r="J24" i="3"/>
  <c r="J25" i="3"/>
  <c r="F57" i="16"/>
  <c r="G57" i="16" s="1"/>
  <c r="H57" i="16"/>
  <c r="E28" i="2"/>
  <c r="S3" i="8"/>
  <c r="E15" i="2"/>
  <c r="J3" i="11"/>
  <c r="E14" i="2" s="1"/>
  <c r="G4" i="12"/>
  <c r="F4" i="12"/>
  <c r="G5" i="12"/>
  <c r="F5" i="12"/>
  <c r="E20" i="2" s="1"/>
  <c r="H48" i="16"/>
  <c r="H47" i="16"/>
  <c r="G51" i="16"/>
  <c r="I51" i="16" s="1"/>
  <c r="F60" i="16"/>
  <c r="G60" i="16" s="1"/>
  <c r="I56" i="16"/>
  <c r="F53" i="16" l="1"/>
  <c r="G52" i="16"/>
  <c r="I52" i="16" s="1"/>
  <c r="I60" i="16"/>
  <c r="G53" i="16"/>
  <c r="I53" i="16" s="1"/>
  <c r="I48" i="16"/>
  <c r="I47" i="16"/>
  <c r="I57"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F2" authorId="0" shapeId="0" xr:uid="{00000000-0006-0000-0200-000001000000}">
      <text>
        <r>
          <rPr>
            <sz val="10"/>
            <rFont val="Arial"/>
            <family val="2"/>
          </rPr>
          <t>Live-wired to Monitor &amp; Recheck Triggers' Current Price (col H, a STOCKHISTORY formula) when this ticker is tracked there (i.e. a scored Landry position). Falls back to the last manually-refreshed price if Monitor doesn't have this ticker (dry-powder ETFs) or if STOCKHISTORY can't resolve (e.g. this session's LibreOffice-based recalc, which cannot evaluate STOCKHISTORY -- verify live pricing by opening in real Excel, not by local recalc). Added 9/8/26.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G5" authorId="0" shapeId="0" xr:uid="{00000000-0006-0000-0A00-000001000000}">
      <text>
        <r>
          <rPr>
            <sz val="10"/>
            <rFont val="Arial"/>
            <family val="2"/>
          </rPr>
          <t>10 blank columns are reserved to the left (cols W-AF) so new tickers can be added without relocating this column. When they run out: extend the buffer, move this column further right, and update the two summary formulas above (row 2/3) plus Action Items' references to them.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4" authorId="0" shapeId="0" xr:uid="{00000000-0006-0000-1100-000001000000}">
      <text>
        <r>
          <rPr>
            <sz val="10"/>
            <rFont val="Arial"/>
            <family val="2"/>
          </rPr>
          <t>Event must match a value in Journal col B exactly (case-sensitive) for the Event Due Date lookup to resolve -- e.g. 'DCA-CATCHUP-7', not 'Catchup 7' or 'DCA CATCHUP 7'. If Journal's event codes ever get renamed, update here too.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4" authorId="0" shapeId="0" xr:uid="{00000000-0006-0000-1200-000001000000}">
      <text>
        <r>
          <rPr>
            <sz val="10"/>
            <rFont val="Arial"/>
            <family val="2"/>
          </rPr>
          <t>Priority order, not a stable ticket ID -- fine to renumber when priorities change or a new item gets inserted partway down the list.</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futureMetadata>
  <valueMetadata count="4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valueMetadata>
</metadata>
</file>

<file path=xl/sharedStrings.xml><?xml version="1.0" encoding="utf-8"?>
<sst xmlns="http://schemas.openxmlformats.org/spreadsheetml/2006/main" count="2462" uniqueCount="977">
  <si>
    <t>THE LANDRY FAMILY EQUITY INVESTMENT OPERATING SYSTEM — 
STOCK SCORING &amp; PORTFOLIO RISK WORKBOOK</t>
  </si>
  <si>
    <t>Companion workbook to Landry System v1.03. Aligned to: Version 1.03 (50 Hard Rules, Parts 1–12).</t>
  </si>
  <si>
    <t>If the Word document's rule numbers ever change in a future revision, check this line and the rule</t>
  </si>
  <si>
    <t>references throughout this workbook before relying on them.</t>
  </si>
  <si>
    <t>HOW TO USE THIS WORKBOOK</t>
  </si>
  <si>
    <t>1. Market Data tab — enter or refresh price, volume, market cap, P/E, 52-week range, and dividend</t>
  </si>
  <si>
    <t>yield for each tracked ticker. Blue cells only. See that tab's note on optional live-data refresh.</t>
  </si>
  <si>
    <t>2. Scoring tab — during a scoring session, enter each Tier 1/2/3 indicator's score (1–5) and Confidence</t>
  </si>
  <si>
    <t>tag (H/M/L) per Part 2's rubrics. The Composite Score, decision classification, and hard-rule flags</t>
  </si>
  <si>
    <t>(Rules 1–4) calculate automatically.</t>
  </si>
  <si>
    <t>3. Dashboard tab — read-only summary of every tracked stock, sortable by Composite Score.</t>
  </si>
  <si>
    <t>4. Price History / Returns (Calc) / Correlation Matrix tabs — enter weekly closing prices for current</t>
  </si>
  <si>
    <t>holdings (ex-cash-sweep); pairwise correlation and the Rule 38 per-position violation flag calculate automatically.</t>
  </si>
  <si>
    <t>5. Portfolio Drawdown Log tab — enter portfolio value at each review date; running peak, drawdown %,</t>
  </si>
  <si>
    <t>and the Part 7 response status (Normal/Elevated/Severe/Critical) calculate automatically.</t>
  </si>
  <si>
    <t>RULE REFERENCE (Landry System v1.03)</t>
  </si>
  <si>
    <t>Rules 1–4 (Part 3) — Tier 1 floor of 3.0, mandatory review of any Tier 1 score of 1, automatic Avoid if</t>
  </si>
  <si>
    <t>two or more Tier 1 indicators score 2.0 or below, and the Strong Buy cap when two or more Tier 1</t>
  </si>
  <si>
    <t>indicators are tagged Low Confidence.</t>
  </si>
  <si>
    <t>Rule 38 (Part 7) — Correlation Cap: no position may carry pairwise correlation above 0.70 with more</t>
  </si>
  <si>
    <t>than one other holding at the same time.</t>
  </si>
  <si>
    <t>Rule 39 (Part 7) — Portfolio drawdown response levels apply automatically; only a documented Tier 1</t>
  </si>
  <si>
    <t>re-score restores normal sizing for an affected security.</t>
  </si>
  <si>
    <t>Rule 34 (Part 6, added 2026-09-13) — Early Partial Trim: a holding in Probationary Hold (50–64) whose</t>
  </si>
  <si>
    <t>triggering indicator(s) are reconfirmed unimproved before the 90-day re-score is trimmed by one-third; may recur up to 3x.</t>
  </si>
  <si>
    <t>Decision thresholds (Part 3): 80–100 Strong Buy | 65–79 Buy | 50–64 Watch List | 35–49 Avoid | &lt;35 Pass.</t>
  </si>
  <si>
    <t>Drawdown response (Part 7): 0–10% Normal | 10–20% Elevated | 20–30% Severe | 30%+ Critical.</t>
  </si>
  <si>
    <t>COLOR LEGEND</t>
  </si>
  <si>
    <t>Dark blue text on light blue fill = input cell (type here). Black text, no fill = calculated (do not overwrite -- formulas live here). Colored fill on Decision/Status/Recheck cells reflects the classification band (green/yellow/orange/red), separate from the input/formula distinction above.</t>
  </si>
  <si>
    <t>reflects the classification band.</t>
  </si>
  <si>
    <t>SCHEMA REFERENCE</t>
  </si>
  <si>
    <t>See the Schema Reference tab (last tab) for the exact column layout of every tab -- built for handoff to Claude Code or any future programmatic access.</t>
  </si>
  <si>
    <t>WORKFLOW POLICY (established 8/12/26)</t>
  </si>
  <si>
    <t>Watch List Tracker: entries added when a scored position (owned or candidate) lands in Probationary</t>
  </si>
  <si>
    <t>Hold/Exit Review, or an owned position's re-score triggers Rule 3. Claude flags it; the analyst confirms</t>
  </si>
  <si>
    <t>the classification and any remediation decision.</t>
  </si>
  <si>
    <t>Implied-Return Calculator: populated when a candidate moves from screened toward actual entry</t>
  </si>
  <si>
    <t>consideration (Rules 12-14 prep).</t>
  </si>
  <si>
    <t>Holding Monitor: populated during scheduled quarterly reviews / fundamental refreshes (see Journal for</t>
  </si>
  <si>
    <t>the standing calendar).</t>
  </si>
  <si>
    <t>Performance Tracking: populated the same moment a confirmed trade updates Current Positions -- one new lot row per purchase (landry.perf_tab.add_lot); prices and SPY refresh with the weekly run.</t>
  </si>
  <si>
    <t>Journal: for decisions, reasoning, and corrections that don't have a natural home in a structured tab -- not a duplicate of what the Scoring/Correlation/Drawdown tabs already record as data.</t>
  </si>
  <si>
    <t>Market Data: Claude-populated via yfinance (landry.data_auto.market_snapshot), refreshed each Saturday after the Friday close by `python -m landry weekly` (`landry market` on demand; the same run refreshes the Monitor tab's earnings dates, col J), not a live formula -- corrected 2026-08-26; the STOCKHISTORY/Stocks-data-type approach previously documented here was never actually implemented (the tab sat empty). Scope: current holdings (excluding cash-sweep vehicles FZDXX/FZFXX/VMFXX/QACDS) plus any candidate that has cleared Tier 1 and is sitting on the bench -- not names already screened out.</t>
  </si>
  <si>
    <t>Monitor &amp; Recheck Triggers: col G (Price at Last Score) is stamped every time a ticker is re-scored on the Scoring tab -- not tied to a fixed review cadence, since re-scores happen for reasons beyond scheduled reviews (see Journal, e.g. VRTX 8/7/26). Col H (Current Price) is a live</t>
  </si>
  <si>
    <t>STOCKHISTORY formula, manual recalc. Col J (Next Earnings Date) is Claude-populated via yfinance on the same cadence as Price History, since Excel has no native earnings-date field without a 3rd-party add-in (confirmed 2026-08-26). Cols C-G (Last Score) mirror the Scoring row for every held position: stamp them at each re-score or Decision change with `python -m landry monitor stamp`; cols K-N (insider / analyst signals) are refreshed monthly with `python -m landry monitor refresh` and dated in Q1. `landry audit` fails when either lapses (Alan, 10/5/26: keep the Monitor tab monthly-current for held positions).</t>
  </si>
  <si>
    <t>Price History: ticker list tracks current holdings (ex-cash-sweep) exactly, added/removed when a</t>
  </si>
  <si>
    <t>position opens/fully exits. Weekly closes are Claude-populated (fetch_daily/weekly_closes in</t>
  </si>
  <si>
    <t>landry.data_auto, same tooling as Market Data) as of 2026-08-26 -- previously Alan pulled via</t>
  </si>
  <si>
    <t>yFinance and handed it to Claude to enter; now Claude fetches and writes directly, refreshed</t>
  </si>
  <si>
    <t>periodically, not live. Only write fully-completed weeks (week-ending Friday has occurred) --</t>
  </si>
  <si>
    <t>a partial current week resamples to a misleading "Friday" label before Friday actually happens.</t>
  </si>
  <si>
    <t>Scoring tab, Tier 1 FCF indicators -- basis (policy 10/5/26, Open Items #31, Journal row 94): the scores of record are drafted from fiscal-year statements. At each quarterly review, and before acting on any Rule 1 / Rule 3 trip, Watch List or Exit Review deadline or Part 6 sell trigger, run `python -m landry.sec_ttm --holdings` (one name: `python -m landry.sec_ttm TICKER`) to compare every US-filer holding with its latest 10-Q. Re-score on trailing 12-month windows only where a hard-rule outcome or Decision band differs, in either direction; ASML, TSM, REITs and anything the tool lists as BY HAND are checked from the filings. A Part 10 adjustment for a one-time item (an acquisition, say) is Alan's to approve and is recorded in landry_addbacks.json and the score's adaptation field.</t>
  </si>
  <si>
    <t>ACTION ITEMS — everything requiring your decision, pulled live from every other tab. Everything else in this workbook is reference; this is what to open.</t>
  </si>
  <si>
    <t>Refresh by opening the workbook (F9 recalculates); all cells below are live formulas, nothing here is typed.</t>
  </si>
  <si>
    <t>1. WATCH LIST — Rules 32-36 (see Watch List Tracker tab for detail)</t>
  </si>
  <si>
    <t>Deadlines passed (sell required within 30 days):</t>
  </si>
  <si>
    <t>Deadlines approaching (within 14 days):</t>
  </si>
  <si>
    <t>Recovered — ready to remove/reclassify:</t>
  </si>
  <si>
    <t>2. ACTIVE SELL TRIGGERS — Rules 22-31 (see Holding Monitor tab for detail)</t>
  </si>
  <si>
    <t>Holdings with action required within 30 days:</t>
  </si>
  <si>
    <t>Holdings under Hold Through (monitor only, no action):</t>
  </si>
  <si>
    <t>3. CORRELATION CAP — Rule 38 (see Correlation Matrix tab for detail)</t>
  </si>
  <si>
    <t>Rule 38 status:</t>
  </si>
  <si>
    <t>Positions exceeding cap:</t>
  </si>
  <si>
    <t>4. PORTFOLIO DRAWDOWN STATUS — Rule 39 (see Portfolio Drawdown Log tab for detail)</t>
  </si>
  <si>
    <t>Most recent recorded status:</t>
  </si>
  <si>
    <t>Most recent drawdown %:</t>
  </si>
  <si>
    <t>Required cash floor at this level:</t>
  </si>
  <si>
    <t>5. CANDIDATE SCORING FLAGS — Rules 1-4 (see Scoring tab for detail)</t>
  </si>
  <si>
    <t>Candidates failing the Tier 1 floor, 3.0 (Rule 1):</t>
  </si>
  <si>
    <t>Stocks flagged Avoid by Rule 3 (candidates and holdings):</t>
  </si>
  <si>
    <t>Candidates flagged for mandatory Tier 1 review (Rule 2):</t>
  </si>
  <si>
    <t>Candidates capped at Buy despite Strong Buy score (Rule 4):</t>
  </si>
  <si>
    <t>6. ENTRY AUTHORIZATION — Rules 6-14 (see Entry Checklist tab for detail)</t>
  </si>
  <si>
    <t>Candidates NOT authorized to enter (failing one or more Entry Rules):</t>
  </si>
  <si>
    <t>Candidates authorized, staged at reduced size (50%, per Rules 9-10):</t>
  </si>
  <si>
    <t>7. PIOTROSKI CROSS-CHECKS -- RETIRED 9/11/26. Tested on an 8-ticker diagnostic batch, dropped as redundant for how this system is actually used (see Journal row 42-43). Historical data left in place at Scoring cols AN-AS as a record of the experiment; no longer live-tallied here.</t>
  </si>
  <si>
    <t>Candidates flagged LOW CONF on Accruals (CFO does not exceed Net Income):</t>
  </si>
  <si>
    <t>Candidates with Debt/FCF trending up year-over-year:</t>
  </si>
  <si>
    <t>Combined current positions, both accounts, as of the 9/30/2026 statements (GE/NFLX bought 9/30, settled 10/1; prices refresh in Excel) -- JT ULTRA (Fidelity); Self-Directed, Chase — cash sweep custodied at Schwab, swept to VMFXX for yield. 
Source: uploaded brokerage exports + confirmed trade executions, aggregated by ticker. 
Update this tab at each quarterly/annual review; use it with Part 5 sizing modifiers and the Holding Monitor tab to prescribe classifications and follow-up actions.</t>
  </si>
  <si>
    <t>TAX-LOSS CARRYFORWARD (update annually)</t>
  </si>
  <si>
    <t>Account</t>
  </si>
  <si>
    <t>Ticker</t>
  </si>
  <si>
    <t>Description</t>
  </si>
  <si>
    <t>Asset Class</t>
  </si>
  <si>
    <t>Quantity</t>
  </si>
  <si>
    <t>Price
($)</t>
  </si>
  <si>
    <t>Market Value
($)</t>
  </si>
  <si>
    <t>Cost Basis
($)</t>
  </si>
  <si>
    <t>Unrealized G/L ($)</t>
  </si>
  <si>
    <t>Unrealized G/L (%)</t>
  </si>
  <si>
    <t>Classification / Notes (fill at review)</t>
  </si>
  <si>
    <t>Short-Term Loss Carryforward:</t>
  </si>
  <si>
    <t>JT ULTRA (Fidelity)</t>
  </si>
  <si>
    <t>ADBE</t>
  </si>
  <si>
    <t>Adobe Inc.</t>
  </si>
  <si>
    <t>Equity</t>
  </si>
  <si>
    <t>BOUGHT +20sh 8/7/26 @ $266.38 -- DCA tranche 1 diversifier add</t>
  </si>
  <si>
    <t>Long-Term Loss Carryforward:</t>
  </si>
  <si>
    <t>ANET</t>
  </si>
  <si>
    <t>Arista Networks</t>
  </si>
  <si>
    <t>ASML</t>
  </si>
  <si>
    <t>ASML Holding</t>
  </si>
  <si>
    <t>CRWD</t>
  </si>
  <si>
    <t>CrowdStrike Holdings</t>
  </si>
  <si>
    <t>KLAC</t>
  </si>
  <si>
    <t>KLA Corporation</t>
  </si>
  <si>
    <t>MU</t>
  </si>
  <si>
    <t>Micron Technology</t>
  </si>
  <si>
    <t>NVDA</t>
  </si>
  <si>
    <t>NVIDIA Corporation</t>
  </si>
  <si>
    <t>PLTR</t>
  </si>
  <si>
    <t>Palantir Technologies</t>
  </si>
  <si>
    <t>TSM</t>
  </si>
  <si>
    <t>Taiwan Semiconductor</t>
  </si>
  <si>
    <t>VRT</t>
  </si>
  <si>
    <t>Vertiv Holdings</t>
  </si>
  <si>
    <t>V</t>
  </si>
  <si>
    <t>Visa Inc.</t>
  </si>
  <si>
    <t>NEW position 9/8/26 -- DCA-TRANCHE-2, opened per Entry Checklist authorization (Composite 86.4, STRONG BUY). 2 lots: 25sh @ $368.38 + 25sh @ $369.565.</t>
  </si>
  <si>
    <t>FZDXX</t>
  </si>
  <si>
    <t>Fidelity Money Market Premium</t>
  </si>
  <si>
    <t>Cash</t>
  </si>
  <si>
    <t>FZFXX</t>
  </si>
  <si>
    <t>Fidelity Core Money Market</t>
  </si>
  <si>
    <t>DVY</t>
  </si>
  <si>
    <t>iShares Select Dividend ETF</t>
  </si>
  <si>
    <t>NEW position since 8/5/26 -- cash/dry powder per Alan 9/7/26, not a scored Landry position.</t>
  </si>
  <si>
    <t>VFLO</t>
  </si>
  <si>
    <t>VictoryShares Free Cash Flow ETF</t>
  </si>
  <si>
    <t>NEW to this account since 8/5/26 (already held in Self-Directed) -- cash/dry powder per Alan 9/7/26, not a scored Landry position.</t>
  </si>
  <si>
    <t>SCHD</t>
  </si>
  <si>
    <t>Schwab US Dividend Equity ETF</t>
  </si>
  <si>
    <t>VYM</t>
  </si>
  <si>
    <t>Vanguard High Dividend Yield ETF</t>
  </si>
  <si>
    <t>MLPI</t>
  </si>
  <si>
    <t>NEOS MLP &amp; Energy Income ETF</t>
  </si>
  <si>
    <t>SPMO</t>
  </si>
  <si>
    <t>Invesco S&amp;P 500 Momentum ETF</t>
  </si>
  <si>
    <t>GE</t>
  </si>
  <si>
    <t>GE Aerospace</t>
  </si>
  <si>
    <t>NEW position 9/30/26 -- DCA-CATCHUP-1, opened per Composite 84.2 STRONG BUY (rescored 9/13/26, reconfirmed fresh 9/29/26, zero Tier 1 drift). 75sh @ $314.71.</t>
  </si>
  <si>
    <t>NFLX</t>
  </si>
  <si>
    <t>Netflix, Inc.</t>
  </si>
  <si>
    <t>NEW position 9/30/26 -- DCA-CATCHUP-1, opened per Composite 83.8 STRONG BUY (rescored 9/13/26, reconfirmed fresh 9/29/26, zero Tier 1 drift). 300sh @ $69.795.</t>
  </si>
  <si>
    <t>Positions</t>
  </si>
  <si>
    <t>JT ULTRA (Fidelity) SUBTOTAL</t>
  </si>
  <si>
    <t>Excluding Cash</t>
  </si>
  <si>
    <t>Self-Directed (Chase)</t>
  </si>
  <si>
    <t>VMFXX</t>
  </si>
  <si>
    <t>Vanguard Federal Money Market</t>
  </si>
  <si>
    <t>JEPQ</t>
  </si>
  <si>
    <t>JPMorgan Nasdaq Equity Premium Income ETF</t>
  </si>
  <si>
    <t>Alternative Assets</t>
  </si>
  <si>
    <t>Qty 840.4-&gt;850.4sh since 8/5, likely DRIP reinvestment. Reclassified as cash/dry powder per Alan 9/7/26, not a scored Landry position.</t>
  </si>
  <si>
    <t>AVUV</t>
  </si>
  <si>
    <t>Avantis US Small Cap Value ETF</t>
  </si>
  <si>
    <t>BOUGHT +193.58sh 8/7/26 @ $126.66 -- consolidation target from CALF</t>
  </si>
  <si>
    <t>CALF</t>
  </si>
  <si>
    <t>Pacer US Small Cap Cash Cows ETF</t>
  </si>
  <si>
    <t>SOLD 8/7/26 -- confirmed: -409.55sh, $23,016.52 proceeds. Consolidated into AVUV.</t>
  </si>
  <si>
    <t>HELO</t>
  </si>
  <si>
    <t>JPMorgan Hedged Equity Laddered Overlay ETF</t>
  </si>
  <si>
    <t>BOUGHT +200sh since 8/5 (300-&gt;500sh) -- expanding income sleeve. Reclassified as cash/dry powder per Alan 9/7/26, not a scored Landry position.</t>
  </si>
  <si>
    <t>AVGO</t>
  </si>
  <si>
    <t>Broadcom Inc.</t>
  </si>
  <si>
    <t>VRTX</t>
  </si>
  <si>
    <t>Vertex Pharmaceuticals</t>
  </si>
  <si>
    <t>BOUGHT +15sh 9/8/26 @ ~$527.47 ($7,912.09) -- DCA-TRANCHE-2 diversifier add.</t>
  </si>
  <si>
    <t>PLD</t>
  </si>
  <si>
    <t>Prologis Inc.</t>
  </si>
  <si>
    <t>BOUGHT +64sh 8/7/26 @ $139.92 -- DCA tranche 1 diversifier add</t>
  </si>
  <si>
    <t>SFM</t>
  </si>
  <si>
    <t>Sprouts Farmers Market</t>
  </si>
  <si>
    <t>SOLD 08/07/26 -- confirmed: -65 sh, $5,601.58 proceeds. Rule 3 Avoid. Proceeds added to VMFXX.</t>
  </si>
  <si>
    <t>TSLA</t>
  </si>
  <si>
    <t>Tesla Inc.</t>
  </si>
  <si>
    <t>SOLD 08/07/26 -- confirmed: -15 sh, $4,783.25 proceeds. Rule 3 Avoid. Proceeds added to VMFXX.</t>
  </si>
  <si>
    <t>VGT</t>
  </si>
  <si>
    <t>Vanguard Information Technology ETF</t>
  </si>
  <si>
    <t>SOLD 8/7/26 -- confirmed: -40.18sh, $4,851.48 proceeds. Worst correlation offender (5 violations), cleared per plan.</t>
  </si>
  <si>
    <t>QACDS</t>
  </si>
  <si>
    <t>Schwab Cash Features (Sweep)</t>
  </si>
  <si>
    <t>ONON</t>
  </si>
  <si>
    <t>On Holding AG</t>
  </si>
  <si>
    <t>SOLD 08/07/26 -- confirmed: -100 sh, $3,764.92 proceeds. Rule 3 Avoid. Proceeds added to VMFXX.</t>
  </si>
  <si>
    <t>JEPI</t>
  </si>
  <si>
    <t>JPMorgan Equity Premium Income ETF</t>
  </si>
  <si>
    <t>Self-Directed (Chase) SUBTOTAL</t>
  </si>
  <si>
    <t>COMBINED PORTFOLIO TOTAL</t>
  </si>
  <si>
    <t>Cash / Cash Equivalents</t>
  </si>
  <si>
    <t>Actual cash (FZDXX+FZFXX+VMFXX+QACDS) + temporary yield-bearing cash buckets (AVUV, SPMO x2, VFLO x2, DVY, SCHD, VYM, MLPI, JEPQ, HELO, JEPI) held for liquidity/dry powder, not scored as long-term Landry positions. Policy confirmed by Alan 9/7/26. V (Visa) is NOT in this bucket -- it's a real, Entry-Checklist-authorized Landry position (Composite 86.4, STRONG BUY).</t>
  </si>
  <si>
    <t>NOTE: JT ULTRA's ASML/PLTR/MU quantities reflect trims already executed from the earlier rebalance session; 
SWAN is not currently held in this export (flagging in case that wasn't intentional). 
9/7/26: refreshed both accounts from fresh Fidelity/Chase exports (as of 9/4/26 close). Alan confirmed the new/expanded positions (DVY, SCHD, VYM, MLPI, JEPI, plus additions to HELO/JEPQ and VFLO/SPMO now in both accounts) are a deliberate move of idle cash into better-paying temporary buckets -- no strategy change. See Journal and [[price_history_ownership]]/[[etf_scope_todo]] memory for context.
9/8/26: DCA-TRANCHE-2 executed. VRTX +15sh @ ~$527.47 ($7,912.09, Chase). V (Visa) opened new, 50sh across 2 lots ($9,209.50 + $9,239.13 = $18,448.63, Fidelity). PLD skipped this tranche -- Fidelity's Equity Summary Score (LSEG StarMine) showed Very Bearish (0.7/10) with 2 recent Sell opinions; traditional sell-side consensus stayed clean, but Alan chose to wait/watch rather than add. Total tranche $26,360.72 vs. $24,000 target. See Journal 9/8/26.
10/4/26: tied to the 9/30/26 statements (Fidelity X64-063711 $406,372.50; Chase 735-43693 $315,412.66). Every share count and cost basis already matched. Cash corrected: FZDXX 92,777.34 -&gt; 38,154.18 (statement 82,695.93 less the $44,541.75 GE/NFLX buy that settled 10/1), FZFXX 0 -&gt; 1,174.01, QACDS 1,853.89 -&gt; 10,849.71; cash cost basis set equal to value (cash has no gain/loss -- this also clears the understated combined unrealized G/L). The old FZDXX figure had ignored September's outflows ($36,519.99 withdrawn, $18,448.63 of Visa buys). Prices are still the workbook's own (refresh in Excel), which is why the combined total here still reads about $10.4K above the statements. See Journal row 81.</t>
  </si>
  <si>
    <t>Recheck triggers for every name that's been scored, not just Watch List holdings. Current Price, Insider Activity, and Analyst Shift are Claude-populated (STOCKHISTORY formula + manual recalc for price; SEC EDGAR and yfinance consensus data for the other two, refreshed periodically, not live). Recheck Status calculates automatically from all signals together. For held positions, Last Score (cols C-G) mirrors the Scoring row -- `python -m landry monitor stamp` does it after any re-score or Decision change -- and the insider / analyst signals (K-N) are refreshed monthly with `python -m landry monitor refresh` (dated in Q1); `landry audit` holds both (Alan, 10/5/26).</t>
  </si>
  <si>
    <t>Insider / analyst signals refreshed</t>
  </si>
  <si>
    <t>Category</t>
  </si>
  <si>
    <t>Last Score
Date</t>
  </si>
  <si>
    <t>Last
Composite</t>
  </si>
  <si>
    <t>Last Tier 1
Wtd Avg</t>
  </si>
  <si>
    <t>Last
Decision</t>
  </si>
  <si>
    <t>Price at
Last Score</t>
  </si>
  <si>
    <t>Current
Price</t>
  </si>
  <si>
    <t>% Price
Change</t>
  </si>
  <si>
    <t>Next/Last
Earnings Date</t>
  </si>
  <si>
    <t>Insider
Activity? (Y/N)</t>
  </si>
  <si>
    <t>Insider Note</t>
  </si>
  <si>
    <t>Analyst
Shift? (Y/N)</t>
  </si>
  <si>
    <t>Analyst Shift
Note</t>
  </si>
  <si>
    <t>Days Since
Last Score</t>
  </si>
  <si>
    <t>Recheck Status</t>
  </si>
  <si>
    <t>Notes</t>
  </si>
  <si>
    <t>Owned</t>
  </si>
  <si>
    <t>STRONG BUY</t>
  </si>
  <si>
    <t>Y</t>
  </si>
  <si>
    <t>2026-09-18: NARAYEN SHANTANU (Chair and CEO) sold $2,091,376, 2% of holding (+11 more in last 30d)</t>
  </si>
  <si>
    <t>N</t>
  </si>
  <si>
    <t>2026-09-29: Ullal Jayshree (CEO and Chairperson) sold $1,891,569, 0% of holding (+33 more in last 30d)</t>
  </si>
  <si>
    <t>BUY</t>
  </si>
  <si>
    <t>AVOID</t>
  </si>
  <si>
    <t>2026-10-02: Sentonas Michael (PRESIDENT) sold $3,487,213, 1% of holding (+153 more in last 30d)</t>
  </si>
  <si>
    <t>2026-09-16: WALLACE RICHARD P (President and CEO) sold $12,378,626, 9% of holding</t>
  </si>
  <si>
    <t>2026-09-23: Teter Timothy S. (EVP, General Counsel and Sec) sold $2,773,638, 0% of holding (+14 more in last 30d)</t>
  </si>
  <si>
    <t>2026-09-17: Moore Alexander D. (Director) sold $222,702, 0% of holding (+5 more in last 30d)</t>
  </si>
  <si>
    <t>2026-09-09: Wu Yi-Huang (VP) bought $3,048, 33% of holding (+6 more in last 30d)</t>
  </si>
  <si>
    <t>2026-09-25: SAMUELI HENRY (Director) sold $8,025,864, 0% of holding (+15 more in last 30d)</t>
  </si>
  <si>
    <t>Re-scored 10/5/26 on the latest 10-Q figures (Journal row 92): Rule 3 cleared.</t>
  </si>
  <si>
    <t>Re-scored 8/7/26: original Avoid was bad source data, corrected. See Journal. Re-scored 10/5/26 on the latest 10-Q figures (Journal row 92): Rule 3 cleared.</t>
  </si>
  <si>
    <t>AAP</t>
  </si>
  <si>
    <t>Tier-1 Avoid (external)</t>
  </si>
  <si>
    <t>BABA</t>
  </si>
  <si>
    <t>2026-08-25: Tsai Joseph C (Other) bought $10,418,400, 1% of holding (+2 more in last 30d)</t>
  </si>
  <si>
    <t>CE</t>
  </si>
  <si>
    <t>CLF</t>
  </si>
  <si>
    <t>CMG</t>
  </si>
  <si>
    <t>Watch List</t>
  </si>
  <si>
    <t>COST</t>
  </si>
  <si>
    <t>CRK</t>
  </si>
  <si>
    <t>DEO</t>
  </si>
  <si>
    <t>DIS</t>
  </si>
  <si>
    <t>2026-08-20: Roeder Paul M (Sr EVP and Chief Comm Officer) sold $382,327, 100% of holding (+1 more in last 30d)</t>
  </si>
  <si>
    <t>DPZ</t>
  </si>
  <si>
    <t>EL</t>
  </si>
  <si>
    <t>2026-08-25: La Lande Rashida (Exec VP &amp; General Counsel) sold $553,896, 100% of holding</t>
  </si>
  <si>
    <t>ET</t>
  </si>
  <si>
    <t>2026-08-20: WARREN KELCY L (Other) bought $7,487,721, 0% of holding (+2 more in last 30d)</t>
  </si>
  <si>
    <t>ETN</t>
  </si>
  <si>
    <t>2026-08-13: Monesmith Heath B. (See Remarks below.) sold $8,261,224, 26% of holding (+1 more in last 30d)</t>
  </si>
  <si>
    <t>ETSY</t>
  </si>
  <si>
    <t>2026-08-19: Buckley Merilee (CHIEF ACCOUNTING OFFICER) sold $18,850, 59% of holding (+9 more in last 30d)</t>
  </si>
  <si>
    <t>GOOS</t>
  </si>
  <si>
    <t>HRL</t>
  </si>
  <si>
    <t>LBRT</t>
  </si>
  <si>
    <t>2026-07-30: Murti Arjun N (Director) bought $250,009, 51% of holding</t>
  </si>
  <si>
    <t>LIN</t>
  </si>
  <si>
    <t>2026-08-19: Reynolds Paula Rosput (Director) bought $47,912, 14% of holding</t>
  </si>
  <si>
    <t>NEE</t>
  </si>
  <si>
    <t>2026-09-10: BARTON RICHARD N (Director) sold $54,907, 23% of holding (+2 more in last 30d)</t>
  </si>
  <si>
    <t>NKE</t>
  </si>
  <si>
    <t>2026-08-11: Montagne Amy (PRESIDENT, NIKE) sold $204,657, 8% of holding (+1 more in last 30d)</t>
  </si>
  <si>
    <t>Consensus declined 0.19 (1-5 scale) over 3 months (3.39 -&gt; 3.21, 39 analysts currently)</t>
  </si>
  <si>
    <t>NOV</t>
  </si>
  <si>
    <t>2026-07-31: HARRISON DAVID D (Other) sold $184,301, 7% of holding</t>
  </si>
  <si>
    <t>Consensus improved 0.21 (1-5 scale) over 3 months (3.19 -&gt; 3.40, 20 analysts currently)</t>
  </si>
  <si>
    <t>2026-08-17: Bernhard Olivier (Executive Officer) bought $1,993,790, 1% of holding (+1 more in last 30d)</t>
  </si>
  <si>
    <t>PG</t>
  </si>
  <si>
    <t>2026-08-24: Janzaruk Matthew W. (SVP - Chief Accounting Officer) sold $52,141, 22% of holding (+12 more in last 30d)</t>
  </si>
  <si>
    <t>PH</t>
  </si>
  <si>
    <t>2026-08-19: Scott Patrick (VP &amp; Pres-Fluid Conn. Grp.) sold $1,294,800, 25% of holding (+12 more in last 30d)</t>
  </si>
  <si>
    <t>PZZA</t>
  </si>
  <si>
    <t>Consensus declined 0.29 (1-5 scale) over 3 months (3.29 -&gt; 3.00, 14 analysts currently)</t>
  </si>
  <si>
    <t>2026-08-17: O'Leary Joseph D (Director) sold $214,440, 15% of holding (+2 more in last 30d)</t>
  </si>
  <si>
    <t>2026-10-02: MCINERNEY RYAN (Chief Executive Officer) sold $2,108,009, 28% of holding (+1 more in last 30d)</t>
  </si>
  <si>
    <t>VFC</t>
  </si>
  <si>
    <t>2026-08-17: Carucci Richard (Director) bought $294,600, 6% of holding (+1 more in last 30d)</t>
  </si>
  <si>
    <t>YUM</t>
  </si>
  <si>
    <t>2026-08-24: Skeans Tracy L (COO and CPO) sold $552,052, 100% of holding (+2 more in last 30d)</t>
  </si>
  <si>
    <t>KGS</t>
  </si>
  <si>
    <t>Diversification candidate (Energy -- gas compression services, contract-based revenue, not upstream E&amp;P). Fresh Tier 1 quant screen 9/11/26; Moat/Rev Visibility not yet assessed (Part 12).</t>
  </si>
  <si>
    <t>ABT</t>
  </si>
  <si>
    <t>Bench candidate (Healthcare / Medical Devices). Scored 9/13/26: BUY 70.8, Tier 1 avg 3.50. Relative Strength=1 -&gt; Rule 5 review before any purchase. Added to Monitor 10/4/26 (Open Items #28).</t>
  </si>
  <si>
    <t>SLB</t>
  </si>
  <si>
    <t>Bench candidate (Energy / Oil &amp; Gas Equipment &amp; Services). Scored 9/13/26: BUY 72.4, Tier 1 avg 3.50. Added to Monitor 10/4/26 (Open Items #28).</t>
  </si>
  <si>
    <t>VEEV</t>
  </si>
  <si>
    <t>2026-09-16: Schwenger Thomas D. (Pres. &amp; Chief Customer Officer) sold $265,200, 5% of holding (+1 more in last 30d)</t>
  </si>
  <si>
    <t>Bench candidate (Healthcare / Health Information Services). Scored 10/2/26: STRONG BUY 81.6, Tier 1 avg 4.29. Moat 4 approved; Alan leans 3 (78.6, BUY) -- re-evaluate at purchase (Open Items #24). Q3 earnings 11/18/26 (Fidelity, unconfirmed; yfinance says 11/25) is the natural re-check point, not a hold-off. Added to Monitor 10/4/26 (Open Items #28).</t>
  </si>
  <si>
    <t>Weekly closing price ($), week-ending Friday, dividend-adjusted so week-over-week changes are total returns (Rule 38: 24-month target, 12-month minimum, 36-month max). One column per held position (ex-cash sweeps): keep it current with `python -m landry prices` (status / append / rebuild / add TICKER).</t>
  </si>
  <si>
    <t>Week Ending</t>
  </si>
  <si>
    <t>Weeks</t>
  </si>
  <si>
    <t>Company</t>
  </si>
  <si>
    <t>Date Scored</t>
  </si>
  <si>
    <t>Tier 1 Wtd Avg</t>
  </si>
  <si>
    <t>Composite Score</t>
  </si>
  <si>
    <t>Decision</t>
  </si>
  <si>
    <t>Rule 1</t>
  </si>
  <si>
    <t>Rule 2</t>
  </si>
  <si>
    <t>Rule 3</t>
  </si>
  <si>
    <t>Rule 4</t>
  </si>
  <si>
    <t>This tab mirrors the Scoring tab automatically — do not type here. You can sort this tab directly (Data &gt; Sort by Composite Score); Excel moves whole rows, so each row's links stay correct.</t>
  </si>
  <si>
    <t>Tickers</t>
  </si>
  <si>
    <t>TIER 1 — 70% of Decision</t>
  </si>
  <si>
    <t>TIER 2 — 25% of Decision</t>
  </si>
  <si>
    <t>TIER 3 — 5% of Decision</t>
  </si>
  <si>
    <t>RULE FLAGS (1–4)</t>
  </si>
  <si>
    <t>CLASSIFICATION</t>
  </si>
  <si>
    <t>PIOTROSKI-DERIVED CROSS-CHECKS 
(confidence-tagging inputs only — do not feed Composite Score)</t>
  </si>
  <si>
    <t>Date
Scored</t>
  </si>
  <si>
    <t>FCF Yield &amp;
Trend (20%)
Score</t>
  </si>
  <si>
    <t>Conf
(H/M/L)</t>
  </si>
  <si>
    <t>Rev Growth
Consist. (15%)
Score</t>
  </si>
  <si>
    <t>Moat
Quality (15%)
Score</t>
  </si>
  <si>
    <t>Rev
Visibility (10%)
Score</t>
  </si>
  <si>
    <t>FCF Margin
Trend (10%)
Score</t>
  </si>
  <si>
    <t>Confidence
(H/M/L)</t>
  </si>
  <si>
    <t>Tier 1
Wtd Avg
(÷0.70)</t>
  </si>
  <si>
    <t>Tier 1
Contrib.</t>
  </si>
  <si>
    <t>Mgmt Quality
&amp; Cap Alloc (8%)
Score</t>
  </si>
  <si>
    <t>ROIC vs
WACC (6%)
Score</t>
  </si>
  <si>
    <t>Rel Strength
vs SPY (3%)
Score</t>
  </si>
  <si>
    <t>Valuation
Multiples (8%)
Score</t>
  </si>
  <si>
    <t>Tier 2
Contrib.</t>
  </si>
  <si>
    <t>Technical
Trend (2%)
Score</t>
  </si>
  <si>
    <t>Analyst
Consensus (2%)
Score</t>
  </si>
  <si>
    <t>Volume &amp;
Accum. (1%)
Score</t>
  </si>
  <si>
    <t>Tier 3
Contrib.</t>
  </si>
  <si>
    <t>Composite
Score</t>
  </si>
  <si>
    <t>Rule 1
Tier1&lt;3.0</t>
  </si>
  <si>
    <t>Rule 2
Any=1</t>
  </si>
  <si>
    <t>Rule 3
2+≤2=
Avoid</t>
  </si>
  <si>
    <t>Rule 4
2+Low=
Cap Buy</t>
  </si>
  <si>
    <t>Sector</t>
  </si>
  <si>
    <t>Industry</t>
  </si>
  <si>
    <t>CFO
($)</t>
  </si>
  <si>
    <t>Net Income
($)</t>
  </si>
  <si>
    <t>Accruals
Check</t>
  </si>
  <si>
    <t>Debt/FCF
(current)</t>
  </si>
  <si>
    <t>Debt/FCF
(prior yr)</t>
  </si>
  <si>
    <t>Leverage
Trajectory</t>
  </si>
  <si>
    <t>M</t>
  </si>
  <si>
    <t>H</t>
  </si>
  <si>
    <t>L</t>
  </si>
  <si>
    <t>Technology</t>
  </si>
  <si>
    <t>Semiconductors</t>
  </si>
  <si>
    <t>Software - Infrastructure</t>
  </si>
  <si>
    <t>Healthcare</t>
  </si>
  <si>
    <t>Biotechnology</t>
  </si>
  <si>
    <t>Prologis Inc. (REIT-adapted)</t>
  </si>
  <si>
    <t>Real Estate</t>
  </si>
  <si>
    <t>REIT - Industrial</t>
  </si>
  <si>
    <t>Consumer Defensive</t>
  </si>
  <si>
    <t>Grocery Stores</t>
  </si>
  <si>
    <t>Consumer Cyclical</t>
  </si>
  <si>
    <t>Footwear &amp; Accessories</t>
  </si>
  <si>
    <t>Auto Manufacturers</t>
  </si>
  <si>
    <t>Software - Application</t>
  </si>
  <si>
    <t>Computer Hardware</t>
  </si>
  <si>
    <t>Semiconductor Equipment &amp; Materials</t>
  </si>
  <si>
    <t>Taiwan Semiconductor Mfg.</t>
  </si>
  <si>
    <t>Industrials</t>
  </si>
  <si>
    <t>Electrical Equipment &amp; Parts</t>
  </si>
  <si>
    <t>Costco Wholesale Corp.</t>
  </si>
  <si>
    <t>Discount Stores</t>
  </si>
  <si>
    <t>Financial Services</t>
  </si>
  <si>
    <t>Credit Services</t>
  </si>
  <si>
    <t>NextEra Energy Inc.</t>
  </si>
  <si>
    <t>Utilities</t>
  </si>
  <si>
    <t>Utilities - Regulated Electric</t>
  </si>
  <si>
    <t>Comstock Resources Inc.</t>
  </si>
  <si>
    <t>Energy</t>
  </si>
  <si>
    <t>Oil &amp; Gas E&amp;P</t>
  </si>
  <si>
    <t>Energy Transfer LP</t>
  </si>
  <si>
    <t>Oil &amp; Gas Midstream</t>
  </si>
  <si>
    <t>Liberty Energy Inc.</t>
  </si>
  <si>
    <t>Oil &amp; Gas Equipment &amp; Services</t>
  </si>
  <si>
    <t>NOV Inc.</t>
  </si>
  <si>
    <t>Celanese Corp.</t>
  </si>
  <si>
    <t>Basic Materials</t>
  </si>
  <si>
    <t>Chemicals</t>
  </si>
  <si>
    <t>Cleveland-Cliffs Inc.</t>
  </si>
  <si>
    <t>Steel</t>
  </si>
  <si>
    <t>Linde plc</t>
  </si>
  <si>
    <t>Specialty Chemicals</t>
  </si>
  <si>
    <t>Diageo plc</t>
  </si>
  <si>
    <t>Beverages - Wineries &amp; Distilleries</t>
  </si>
  <si>
    <t>Estee Lauder Companies</t>
  </si>
  <si>
    <t>Household &amp; Personal Products</t>
  </si>
  <si>
    <t>Hormel Foods Corp.</t>
  </si>
  <si>
    <t>Packaged Foods</t>
  </si>
  <si>
    <t>Procter &amp; Gamble Co.</t>
  </si>
  <si>
    <t>Chipotle Mexican Grill</t>
  </si>
  <si>
    <t>Restaurants</t>
  </si>
  <si>
    <t>Domino's Pizza Inc.</t>
  </si>
  <si>
    <t>Papa John's Intl.</t>
  </si>
  <si>
    <t>Yum! Brands Inc.</t>
  </si>
  <si>
    <t>Nike Inc.</t>
  </si>
  <si>
    <t>V.F. Corporation</t>
  </si>
  <si>
    <t>Apparel Manufacturing</t>
  </si>
  <si>
    <t>Canada Goose Holdings</t>
  </si>
  <si>
    <t>Advance Auto Parts Inc.</t>
  </si>
  <si>
    <t>Auto Parts</t>
  </si>
  <si>
    <t>Alibaba Group Holding Ltd.</t>
  </si>
  <si>
    <t>Internet Retail</t>
  </si>
  <si>
    <t>Etsy Inc.</t>
  </si>
  <si>
    <t>Aerospace &amp; Defense</t>
  </si>
  <si>
    <t>Parker-Hannifin Corporation</t>
  </si>
  <si>
    <t>Specialty Industrial Machinery</t>
  </si>
  <si>
    <t>Eaton Corporation plc</t>
  </si>
  <si>
    <t>The Walt Disney Company</t>
  </si>
  <si>
    <t>Communication Services</t>
  </si>
  <si>
    <t>Entertainment</t>
  </si>
  <si>
    <t>Kodiak Gas Services, Inc.</t>
  </si>
  <si>
    <t>Abbott Laboratories</t>
  </si>
  <si>
    <t>Medical Devices</t>
  </si>
  <si>
    <t>SLB N.V.</t>
  </si>
  <si>
    <t>Veeva Systems Inc.</t>
  </si>
  <si>
    <t>Health Information Services</t>
  </si>
  <si>
    <t>Part 4 Entry Rules (6-11, 14). Rules 6-8 pull from the Scoring tab; Rules 12-13 pull from the Implied-Return Calculator; Rules 9-10-11-14 are entered here. Keep this tab's row order matching Scoring/Dashboard/Implied-Return Calculator for the same stock (row 3 = same stock across all four).</t>
  </si>
  <si>
    <t>Rule 6
Composite
≥65?</t>
  </si>
  <si>
    <t>Rule 7
Tier1
≥3.0?</t>
  </si>
  <si>
    <t>Rule 8
No Tier1
=1?</t>
  </si>
  <si>
    <t>Rule 9
Above / reclaimed
200-wk MA?
(Y/N)</t>
  </si>
  <si>
    <t>Rule 10
Monthly MACD
positive / turning?
(Y/N)</t>
  </si>
  <si>
    <t>Staging
Result
(Rules 9-10)</t>
  </si>
  <si>
    <t>Rule 11
Binary event
risk present?
(Y/N)</t>
  </si>
  <si>
    <t>Risk included
in thesis?
(Y/N)</t>
  </si>
  <si>
    <t>Rule 11
Result</t>
  </si>
  <si>
    <t>Base Case
&gt;10%?</t>
  </si>
  <si>
    <t>Rule 12
Bear Case
≥0%?</t>
  </si>
  <si>
    <t>Rule 13
Scenario tags
OK?</t>
  </si>
  <si>
    <t>P/FCF
(current)</t>
  </si>
  <si>
    <t>Consensus FCF
growth, 2-yr
annualized</t>
  </si>
  <si>
    <t>Rule 14
Valuation
Ceiling</t>
  </si>
  <si>
    <t>ENTRY
AUTHORIZED?</t>
  </si>
  <si>
    <t>Recommended Action</t>
  </si>
  <si>
    <t>Market Data -- Claude-populated via yfinance (landry.data_auto.market_snapshot), refreshed each Saturday by `python -m landry weekly`, not live. Scope: current holdings (excluding cash-sweep vehicles) plus any Scoring candidate that has cleared Tier 1 and is sitting on the bench -- not names already screened out. See Instructions WORKFLOW POLICY for detail.</t>
  </si>
  <si>
    <t>Price ($)</t>
  </si>
  <si>
    <t>Volume</t>
  </si>
  <si>
    <t>Market Cap ($M)</t>
  </si>
  <si>
    <t>P/E</t>
  </si>
  <si>
    <t>Div Yield (%)</t>
  </si>
  <si>
    <t>Weekly return, calculated from Price History. Do not edit — formulas only.</t>
  </si>
  <si>
    <t>ADBE trend</t>
  </si>
  <si>
    <t>ANET trend</t>
  </si>
  <si>
    <t>ASML trend</t>
  </si>
  <si>
    <t>AVGO trend</t>
  </si>
  <si>
    <t>CRWD trend</t>
  </si>
  <si>
    <t>KLAC trend</t>
  </si>
  <si>
    <t>MU trend</t>
  </si>
  <si>
    <t>NVDA trend</t>
  </si>
  <si>
    <t>PLD trend</t>
  </si>
  <si>
    <t>PLTR trend</t>
  </si>
  <si>
    <t>TSM trend</t>
  </si>
  <si>
    <t>VRT trend</t>
  </si>
  <si>
    <t>VRTX trend</t>
  </si>
  <si>
    <t>AVUV trend</t>
  </si>
  <si>
    <t>HELO trend</t>
  </si>
  <si>
    <t>JEPQ trend</t>
  </si>
  <si>
    <t>SPMO trend</t>
  </si>
  <si>
    <t>VFLO trend</t>
  </si>
  <si>
    <t>V trend</t>
  </si>
  <si>
    <t>Pairwise correlation of weekly returns, 12-36 month window (Rule 38, Part 7). Covers stocks and held ETFs together. Recalculate quarterly.</t>
  </si>
  <si>
    <t>Positions exceeding cap (correlated &gt;0.70 with 2+ other holdings):</t>
  </si>
  <si>
    <t>Rule 38 status (no position may exceed 0.70 with more than one other holding):</t>
  </si>
  <si>
    <t>Positions &gt;0.70 with</t>
  </si>
  <si>
    <t>Portfolio-level drawdown tracking (Part 7, Rules 38-39). Enter Date and Portfolio Value; all other columns calculate automatically.</t>
  </si>
  <si>
    <t>Date</t>
  </si>
  <si>
    <t>Portfolio Value ($)</t>
  </si>
  <si>
    <t>Running Peak ($)</t>
  </si>
  <si>
    <t>Drawdown %</t>
  </si>
  <si>
    <t>Status</t>
  </si>
  <si>
    <t>Required Cash Floor</t>
  </si>
  <si>
    <t>New Position Initiation</t>
  </si>
  <si>
    <t>DCA-TRANCHE-2 prerequisite check, 9/7/26 -- see Journal.</t>
  </si>
  <si>
    <t>Corrected 10/4/26 to the 9/30 statements, net of $20,019.99 external withdrawals (Part 7); was 776,662.72 -- see Journal row 81.</t>
  </si>
  <si>
    <t>Tracks every holding in Probationary Hold (50-64) or Exit Review (35-49) per Part 6. The 90-day deadline and its consequence are calculated automatically — this tab is what makes Rules 32-36 enforceable rather than a manual judgment call.</t>
  </si>
  <si>
    <t>Status
(Probationary/
Exit Review)</t>
  </si>
  <si>
    <t>Entry Date
(band entered)</t>
  </si>
  <si>
    <t>Entry
Score</t>
  </si>
  <si>
    <t>Current
Score</t>
  </si>
  <si>
    <t>Current Score
Date</t>
  </si>
  <si>
    <t>Credible
Remediation Plan?
(Y/N)</t>
  </si>
  <si>
    <t>90-Day
Deadline</t>
  </si>
  <si>
    <t>Days
Remaining</t>
  </si>
  <si>
    <t>Action Status</t>
  </si>
  <si>
    <t>Remediation Plan Notes</t>
  </si>
  <si>
    <t>Trims Taken
(0-3, Rule 34)</t>
  </si>
  <si>
    <t>Exit Review</t>
  </si>
  <si>
    <t>Exit Review under Rule 3 (FCF Yield &amp; Trend and FCF Margin Trend both 2 at the 9/13/26 held-position re-score; applied as written 10/4/26, Journal row 89). DECISION (Alan, 10/5/26): no remediation plan, and the 30 days count from the 10/4 confirmation, so SELL BY 11/3/26 (not 10/13); his reason for the later date: Fidelity's charts look very strong. Re-checked 10/5 on trailing-12-month windows to the latest 10-Q (Journal row 92): still 2/2 (after-comp FCF $282M, 5.2% margin, yield 0.1%), so nothing changes the classification, and no new filing arrives before 11/3 (Q3 is expected 11/30). Lots: JT ULTRA/Fidelity 40 sh and Chase 45 sh -- choose by Part 8 (Rule 42) and confirm with the broker. No additions. Rule 34 (Early Partial Trim) covers Probationary Hold only; Trims Taken stays 0. ENTRY DATE re-dated 10/4/26 (was 9/13, the re-score) so the 30-day clock reads from the confirmation, as decided 10/5; the score and its date stay 9/13. Journal: CRWD-ENTRY-DATE.</t>
  </si>
  <si>
    <t>Standardized Implied-Return Methodology (Rule 12, Part 4): Expected annualized return = [(Year-5 equity value + cumulative distributions) ÷ current equity value]^(1/5) − 1. Run Base, Bear, and Bull cases together (Rule 13) — exactly one gets the Likely tag.</t>
  </si>
  <si>
    <t>BASE CASE</t>
  </si>
  <si>
    <t>BEAR CASE</t>
  </si>
  <si>
    <t>BULL CASE</t>
  </si>
  <si>
    <t>RULE 12 / 13 CHECKS</t>
  </si>
  <si>
    <t>Current
Price ($)</t>
  </si>
  <si>
    <t>Yr-5 FCF
/sh ($)</t>
  </si>
  <si>
    <t>Terminal
P/FCF</t>
  </si>
  <si>
    <t>Cum.
Distrib/sh</t>
  </si>
  <si>
    <t>Implied
Annual Return</t>
  </si>
  <si>
    <t>Tag (L/P/U)</t>
  </si>
  <si>
    <t>Base&gt;10%?</t>
  </si>
  <si>
    <t>Bear≥0%?</t>
  </si>
  <si>
    <t>Exactly 1
Likely?</t>
  </si>
  <si>
    <t>Costco Wholesale Corporation</t>
  </si>
  <si>
    <t>Possible</t>
  </si>
  <si>
    <t>Likely</t>
  </si>
  <si>
    <t xml:space="preserve">For positions actually held (not screening candidates). Tracks Part 6's ten sell triggers (Rules 22-31). Enter this-period and prior-period Tier 1 sub-scores to auto-detect the 'two consecutive periods' fundamental triggers; enter current valuation/position metrics for the rest. Any trigger firing without a Hold Through condition applying requires action within 30 days. </t>
  </si>
  <si>
    <t>FUNDAMENTAL TRIGGERS (Rules 22-26) — flags if declined 2 consecutive periods</t>
  </si>
  <si>
    <t>VALUATION / SIZING TRIGGERS (Rules 27-31)</t>
  </si>
  <si>
    <t>Position Pct</t>
  </si>
  <si>
    <t>Max Full Pct</t>
  </si>
  <si>
    <t>FCF Yield
Prior</t>
  </si>
  <si>
    <t>FCF Yield
Current</t>
  </si>
  <si>
    <t>Flag</t>
  </si>
  <si>
    <t>Moat
Prior</t>
  </si>
  <si>
    <t>Moat
Current</t>
  </si>
  <si>
    <t>ROIC-WACC
Spread
Prior</t>
  </si>
  <si>
    <t>ROIC-WACC
Spread
Current</t>
  </si>
  <si>
    <t>Mgmt
Quality
Prior</t>
  </si>
  <si>
    <t>Mgmt
Quality
Current</t>
  </si>
  <si>
    <t>Rev Growth
Prior</t>
  </si>
  <si>
    <t>Rev Growth
Current</t>
  </si>
  <si>
    <t>Debt/FCF
(&gt;6x=
trigger)</t>
  </si>
  <si>
    <t>P/FCF
(&gt;50x+gr
&lt;15%)</t>
  </si>
  <si>
    <t>FCF Growth
%</t>
  </si>
  <si>
    <t>Implied Return
(&lt;7%=
trigger)</t>
  </si>
  <si>
    <t>Current
Tier</t>
  </si>
  <si>
    <t>Prior
Tier</t>
  </si>
  <si>
    <t>Valuation
Flags</t>
  </si>
  <si>
    <t>Hold Through
Applies? (Y/N)</t>
  </si>
  <si>
    <t>Every position, per Part 9 -- one row per purchase lot, held and sold (avoids the exit-only selection bias the System was built to prevent). Basis = System: the System's own purchases, with their real entry date, price, score, confidence, band and SPY at entry; only these feed the Rule-46 cohort review once 10+ entries in a decision band reach five years. Basis = Baseline: everything already held at the 8/5/26 first snapshot -- legacy stocks, the dry-powder ETFs, cash and money-market funds, the shares of ADBE / VRTX / PLD held before the System added to them, and the names sold 8/7/26 -- is measured as if held since the 8/5/26 close, against SPY's 8/5/26 close (a common baseline, not Alan's cost basis); Entry Score, Confidence and Band stay blank rather than guess. Type Stock / ETF / Cash: the ETFs and cash funds are Current Positions' Cash / Cash Equivalents (light-green Ticker, dark-green text) and are left out of every Subtotal. Shares follow Current Positions (a baseline lot = the ticker's quantity there less its System lots; the audit compares that with the 8/5 share count typed in Lot Shares, so a purchase not added as a System lot is flagged); Current Price follows Market Data; SPY is written by the weekly run. Price return only. The summary's by-source section splits the ledger into System lots only, Legacy stocks, Dry-powder ETFs and Cash (held + sold, each against SPY over its own period); the four add up to the Cumulative TOTAL, so the System's own record is on the tab without any trade to tidy it. (Agreed with Alan 2026-08-26; all holdings, lots, the 8/5 baseline, the summary and its by-source split 2026-10-05.)</t>
  </si>
  <si>
    <t>Entry
Date</t>
  </si>
  <si>
    <t>Entry
Price</t>
  </si>
  <si>
    <t>Entry
Confidence</t>
  </si>
  <si>
    <t>Entry
Decision Band</t>
  </si>
  <si>
    <t>SPY Price
at Entry</t>
  </si>
  <si>
    <t>Status
(Held / Exited)</t>
  </si>
  <si>
    <t>Exit
Date</t>
  </si>
  <si>
    <t>Exit
Price</t>
  </si>
  <si>
    <t>Exit
Reason</t>
  </si>
  <si>
    <t>Current /
Exit Price</t>
  </si>
  <si>
    <t>SPY Price
(current / exit)</t>
  </si>
  <si>
    <t>Total Return
Since Entry</t>
  </si>
  <si>
    <t>SPY Return
Same Period</t>
  </si>
  <si>
    <t>Excess
Return</t>
  </si>
  <si>
    <t>Type</t>
  </si>
  <si>
    <t>Basis</t>
  </si>
  <si>
    <t>Lot
Shares</t>
  </si>
  <si>
    <t>Shares</t>
  </si>
  <si>
    <t>Entry
Value</t>
  </si>
  <si>
    <t>Current /
Exit Value</t>
  </si>
  <si>
    <t>Gain /
(Loss)</t>
  </si>
  <si>
    <t>YTD Base
Price</t>
  </si>
  <si>
    <t>YTD Base
Value</t>
  </si>
  <si>
    <t>YTD Gain /
(Loss)</t>
  </si>
  <si>
    <t>YTD
Return</t>
  </si>
  <si>
    <t>SPY Gain
(same $)</t>
  </si>
  <si>
    <t>Strong Buy</t>
  </si>
  <si>
    <t>Held</t>
  </si>
  <si>
    <t>Stock</t>
  </si>
  <si>
    <t>System</t>
  </si>
  <si>
    <t>Buy</t>
  </si>
  <si>
    <t>Vertex (9/8 add)</t>
  </si>
  <si>
    <t>Adobe (pre-System)</t>
  </si>
  <si>
    <t>Baseline</t>
  </si>
  <si>
    <t>Vertex (pre-System)</t>
  </si>
  <si>
    <t>Prologis (pre-System)</t>
  </si>
  <si>
    <t>Avantis US Small Value</t>
  </si>
  <si>
    <t>ETF</t>
  </si>
  <si>
    <t>iShares Select Dividend</t>
  </si>
  <si>
    <t>JPMorgan Hedged Equity</t>
  </si>
  <si>
    <t>JPMorgan Equity Premium</t>
  </si>
  <si>
    <t>JPMorgan Nasdaq Equity</t>
  </si>
  <si>
    <t>NEOS MLP &amp; Energy Inc.</t>
  </si>
  <si>
    <t>Schwab US Dividend ETF</t>
  </si>
  <si>
    <t>S&amp;P 500 Momentum ETF</t>
  </si>
  <si>
    <t>VictoryShares FCF ETF</t>
  </si>
  <si>
    <t>Vanguard High Dividend</t>
  </si>
  <si>
    <t>Fidelity MM Premium</t>
  </si>
  <si>
    <t>Fidelity Core Money Mkt</t>
  </si>
  <si>
    <t>Schwab Cash Features</t>
  </si>
  <si>
    <t>Vanguard Fed Money Mkt</t>
  </si>
  <si>
    <t>Pacer US Cash Cows ETF</t>
  </si>
  <si>
    <t>Exited</t>
  </si>
  <si>
    <t>Consolidated into AVUV</t>
  </si>
  <si>
    <t>Rule 3 Avoid</t>
  </si>
  <si>
    <t>Rule 3 Avoid (2nd pass)</t>
  </si>
  <si>
    <t>Vanguard Info Tech ETF</t>
  </si>
  <si>
    <t>Worst correlation offender</t>
  </si>
  <si>
    <t>Performance summary</t>
  </si>
  <si>
    <t>Basis ($)</t>
  </si>
  <si>
    <t>Value ($)</t>
  </si>
  <si>
    <t>Gain/(Loss) ($)</t>
  </si>
  <si>
    <t>Return</t>
  </si>
  <si>
    <t>SPY</t>
  </si>
  <si>
    <t>Excess</t>
  </si>
  <si>
    <t>How it is measured</t>
  </si>
  <si>
    <t>Subtotal</t>
  </si>
  <si>
    <t>stocks held now -- not the cash &amp; cash equivalents (green); each lot from its entry (8/5/26 close for baseline lots); SPY = the same dollars in SPY over each lot's own period</t>
  </si>
  <si>
    <t>TOTAL</t>
  </si>
  <si>
    <t>every position held now, cash &amp; cash equivalents included; Value ties to Current Positions' combined total</t>
  </si>
  <si>
    <t>YTD Subtotal</t>
  </si>
  <si>
    <t>stocks, held + sold; from the 12/31/25 close (System lots from their entry); SPY 12/31/25 -&gt; now</t>
  </si>
  <si>
    <t>YTD TOTAL</t>
  </si>
  <si>
    <t>every position, held + sold; Value includes the proceeds of the sold names</t>
  </si>
  <si>
    <t>Cumulative Subtotal</t>
  </si>
  <si>
    <t>stocks, held + sold, since inception 8/5/26 (System lots from their entry); SPY 8/5/26 -&gt; now</t>
  </si>
  <si>
    <t>Cumulative TOTAL (since inception 8/5)</t>
  </si>
  <si>
    <t>every position, held + sold; price return only -- no dividends, interest or cash flows</t>
  </si>
  <si>
    <t>Avg Annual Gain/(Loss)</t>
  </si>
  <si>
    <t>Cumulative TOTAL / years since 8/5/26, simple not compounded -- extrapolated from under a year, not a forecast</t>
  </si>
  <si>
    <t>By source (since 8/5; held + sold)</t>
  </si>
  <si>
    <t>System lots only (from entry)</t>
  </si>
  <si>
    <t>the System's own purchases (Basis = System), held + sold, from each entry date; SPY = the same dollars in SPY over each lot's own period</t>
  </si>
  <si>
    <t>Legacy stocks (from the 8/5 close)</t>
  </si>
  <si>
    <t>Basis = Baseline, stocks: held at the 8/5/26 snapshot (pre-System shares of ADBE / VRTX / PLD included) and sold 8/7/26; same SPY measure</t>
  </si>
  <si>
    <t>Dry-powder ETFs (from the 8/5 close)</t>
  </si>
  <si>
    <t>Basis = Baseline, ETFs: held at the 8/5/26 snapshot (and any sold since); same SPY measure</t>
  </si>
  <si>
    <t>Cash &amp; money funds</t>
  </si>
  <si>
    <t>Basis = Baseline, cash: money-market and sweep funds at $1.00 -- price return 0%, interest not captured</t>
  </si>
  <si>
    <t>All sources (= Cumulative TOTAL)</t>
  </si>
  <si>
    <t>Benchmark &amp; dates</t>
  </si>
  <si>
    <t>Prices as of</t>
  </si>
  <si>
    <t>written by `landry weekly` (the last close it saw)</t>
  </si>
  <si>
    <t>SPY current</t>
  </si>
  <si>
    <t>written by `landry weekly`</t>
  </si>
  <si>
    <t>SPY close at inception (8/5/26)</t>
  </si>
  <si>
    <t>typed; every baseline lot's SPY at Entry</t>
  </si>
  <si>
    <t>SPY close 12/31/25</t>
  </si>
  <si>
    <t>typed; the YTD benchmark's start</t>
  </si>
  <si>
    <t>Inception date</t>
  </si>
  <si>
    <t>typed; the first Current Positions snapshot</t>
  </si>
  <si>
    <t>Total Return Since Entry is a simple price return (excludes dividends unless you fold them into Current/Exit Price manually). At each annual review, snapshot the return here rather than trying to back-calculate historical 1/3/5-year prices Excel doesn't have. Current prices read Market Data and SPY is written by the weekly run, so both refresh every Saturday; sold lots keep their sale price; cash and money-market funds are carried at $1.00 (price return 0%, interest not captured). The summary lines are holdings-based -- today's shares measured from each lot's baseline -- so realized trades, deposits and withdrawals and the timing of post-8/5 purchases are not reflected; the Drawdown Log is the portfolio-value record. Add a position with landry.perf_tab.add_lot.</t>
  </si>
  <si>
    <t>Freeform notes log — no required structure or length. Date and Ticker are there so you can sort or filter (Data &gt; Filter, or click the column dropdown arrows) by symbol or date range. 
Leave Ticker blank for portfolio-level or general notes.</t>
  </si>
  <si>
    <t>Sold -- Rule 3 Avoid (same-store sales growth collapsed 11.5%-&gt;1.6% YoY, FCF margin compressed), small gain, no credible remediation path identified.</t>
  </si>
  <si>
    <t>Sold -- Rule 3 Avoid confirmed on 2nd consecutive scoring pass. FCF negative funding AI/robotics capex; not the profile this System rewards. Small gain.</t>
  </si>
  <si>
    <t>Sold -- small position, clearing the deck rather than carrying a Tier 1 Avoid. Small gain, FCF trend declining despite strong revenue growth.</t>
  </si>
  <si>
    <t>RE-SCORED, NOT sold. Original Avoid call (8/6/26) was based on unreliable FCF data from MacroTrends. Reconstructed actual cash-flow-statement FCF: $3.19B (2024), $3.71B (2025), growing, ~31% margin -- 2023 was a one-year dip, not a trend. Corrected Composite = 75.6, BUY. Holding.</t>
  </si>
  <si>
    <t>SFM,TSLA,ONON</t>
  </si>
  <si>
    <t>Sells confirmed executed. Removed from Current Positions (qty/cost basis zeroed) and Monitor &amp; Recheck Triggers (marked Closed). Sale proceeds shown as estimates using last known market price -- true up cash balances with next fresh account export.</t>
  </si>
  <si>
    <t>Confirmed actual proceeds: ONON -100sh $3,764.92 | SFM -65sh $5,601.58 | TSLA -15sh $4,783.25. Total $14,149.75 added to VMFXX. Combined portfolio now $700,739.19.</t>
  </si>
  <si>
    <t>VGT,CALF,AVUV</t>
  </si>
  <si>
    <t>ETF cleanup executed: VGT sold (-40.18sh, $4,851.48, worst correlation offender). CALF sold (-409.55sh, $23,016.52), consolidated into AVUV (+193.58sh, $24,518.64) per correlation/flow/quality comparison. AVUV now 400.0sh, $51,496 combined value.</t>
  </si>
  <si>
    <t>PLD,VRTX,ADBE</t>
  </si>
  <si>
    <t>DCA tranche 1 executed, weighted toward diversifiers: PLD +64sh $8,954.88, VRTX +25sh $12,219.25, ADBE +20sh $5,327.60. Total $26,501.73 (target was $24,000, actual fills ran slightly over).</t>
  </si>
  <si>
    <t>Label corrected: VFLO is VictoryShares Free Cash Flow ETF (large-cap FCF-focused), not Vanguard US Multifactor ETF as previously mislabeled. Not redundant with AVUV/CALF as originally framed -- different market-cap segment. Kept on its own merits.</t>
  </si>
  <si>
    <t>DCA-TRANCHE-2</t>
  </si>
  <si>
    <t>Target: ~$24,000. PREREQUISITES before executing: (1) Pull fresh prices for all held positions -- update Current Positions col F and Monitor &amp; Recheck Triggers col H. (2) Log this month's total portfolio value into Portfolio Drawdown Log -- regime determines whether tranche proceeds at all: Normal=full tranche, Elevated=Strong-Buy-only, Severe/Critical=SKIP and hold cash per Rule 18. (3) Scan Monitor &amp; Recheck Triggers Recheck Status for anything DUE -- re-score before adding to it, not after. (4) Check remaining diversifier headroom (VRTX/PLD/ADBE) against tranche size -- ~$64,174 left after Tranche 1, should still be sufficient here. (5) Confirm Correlation Matrix status hasn't moved unfavorably. [Rescheduled from 9/7 to 9/8: 9/7/2026 is Labor Day, a market holiday -- no trading. Kept the ~7-day-after-month-end spacing, shifted to the next trading day.]</t>
  </si>
  <si>
    <t>QTR-REVIEW-1</t>
  </si>
  <si>
    <t>Standardized quarterly review, calendar quarter-end (price/date-driven items only -- no benefit to delaying these). ACTIONS: (1) Portfolio Drawdown Log -- log quarter-end portfolio value, confirm regime. (2) Correlation Matrix -- full refresh with latest Price History data, confirm Rule 36 status. (3) Watch List Tracker -- check all 90-day deadlines (Rule 33), flag any DEADLINE PASSED / APPROACHING. (4) Begin COST/Visa prep for Tranche 3 headroom gap (see 10/7 note) -- populate Price History with 12+ months weekly closes, run Entry Checklist Rules 8-13 for both.</t>
  </si>
  <si>
    <t>DCA-TRANCHE-3</t>
  </si>
  <si>
    <t>Target: ~$24,000. Same 5-step prerequisite checklist as Tranche 2 (fresh prices, Drawdown Log regime check, Monitor DUE scan, headroom check, Correlation Matrix confirm). IMPORTANT: diversifier headroom (VRTX/PLD/ADBE) likely runs thin around this tranche (~$64,174 remaining after Tranche 1, minus Tranche 2). If insufficient, this is where COST and/or Visa enter the deployment -- confirm both have completed Price History population and Entry Checklist authorization (started at 9/30 review) before allocating to either. SUPERSEDED 9/7/26 -- see DCA-CATCHUP-PLAN (9/7/26 entry below) for the revised ~$33,413/tranche, twice-monthly schedule.</t>
  </si>
  <si>
    <t>FUND-REFRESH-1</t>
  </si>
  <si>
    <t>Fundamental refresh, ~3-4 weeks after Sep 30 quarter-end to allow Q3 earnings to land. ACTIONS: (1) Re-score Tier 1 indicators (FCF Yield, Revenue Growth, Moat, Rev Visibility, FCF Margin) for existing holdings using new Q3 results -- update Scoring tab for anything material, not a full re-research unless flagged by Monitor &amp; Recheck Triggers. (2) Complete COST/Visa Entry Checklist work if not finished at 9/30 review. (3) Holding Monitor -- for each held ticker, snapshot pre-refresh Tier 1 sub-scores (FCF Yield, Moat, ROIC-WACC Spread, Mgmt Quality, Rev Growth) into the Prior columns, then populate Current columns with the post-refresh values; also populate Position Pct, Max Full Pct, Debt/FCF, P/FCF, FCF Growth%, Implied Return, and Current/Prior Tier. First cycle, so Prior = pre-refresh baseline, not a true prior period. NOTE: Costco's fiscal year ends in August, not December -- its earnings won't align with this calendar-quarter cadence; don't expect a fresh COST report here.</t>
  </si>
  <si>
    <t>DCA-TRANCHE-4</t>
  </si>
  <si>
    <t>Target: ~$24,000. Same 5-step prerequisite checklist as prior tranches (fresh prices, Drawdown Log regime check, Monitor DUE scan, headroom check, Correlation Matrix confirm). By this point COST and/or Visa should be live deployment candidates if diversifier headroom ran out at Tranche 3. [Rescheduled from 11/7 to 11/9: 11/7/2026 is a Saturday. Kept the ~7-day-after-month-end spacing, shifted to the next trading day.] SUPERSEDED 9/7/26 -- see DCA-CATCHUP-PLAN (9/7/26 entry below) for the revised ~$33,413/tranche, twice-monthly schedule.</t>
  </si>
  <si>
    <t>QTR-REVIEW-2</t>
  </si>
  <si>
    <t>Standardized quarterly review, calendar quarter-end. Same actions as 9/30 (QTR-REVIEW-1): Portfolio Drawdown Log entry, Correlation Matrix refresh, Watch List 90-day deadline check.</t>
  </si>
  <si>
    <t>FUND-REFRESH-2</t>
  </si>
  <si>
    <t>Fundamental refresh, ~3-4 weeks after Dec 31 quarter-end. Re-score Tier 1 indicators using Q4/FY results. Holding Monitor: shift each held ticker's Current columns into Prior, then populate Current with the newly re-scored Tier 1 sub-scores and refreshed valuation/sizing metrics (Debt/FCF, P/FCF, FCF Growth%, Implied Return, Current/Prior Tier, Position Pct, Max Full Pct); review any resulting TRIGGER/ACTION REQUIRED flags. NOTE: Q4/full-year earnings tend to land later than other quarters (audited annuals, proxy statements) -- may catch fewer names fully reported than the October refresh does; some re-scoring may need to wait into February.</t>
  </si>
  <si>
    <t>DARRYL-SCREEN-METHOD</t>
  </si>
  <si>
    <t>Darryl-list screening used GICS-sector Tier A/B/C categorization (from the original candidate-sequencing plan) as a proxy for diversification value -- e.g. Utilities called "zero AI capex exposure." NRG/VST screening (8/18) showed this doesn't hold: both are AI-power-narrative names that correlate 0.74 with EACH OTHER and sold off together on AI-capex-overbuild concerns -- the sector label was never the System's real diversification test. Built correlation_vs_holdings() (landry/data_auto.py) to run the actual Rule 36 test -- correlation vs REAL current holdings, not a sector-label assumption -- automatically on every `landry draft`. Backfilled it for every already-screened Darryl candidate plus NRG/VST: none flag against real holdings (highest is VST at 0.61 vs VRT, under the 0.70 threshold). Going forward: sector labels are a sequencing convenience only -- Rule 36 vs actual holdings is what decides diversification value.</t>
  </si>
  <si>
    <t>ETF-CASH-BUCKET-TODO</t>
  </si>
  <si>
    <t>AVUV, SPMO, VFLO are held as temporary cash buckets (liquidity reserve to be drawn on when cash is needed), not as scored Landry positions -- they sit outside the system's scope (Part 1.3 excludes ETFs) and have no Scoring tab entry. Added a "Cash / Cash Equivalents" row to Current Positions (row 39, under the Combined Portfolio Total) rolling up actual cash plus these three ETFs: $398,882 combined, 56.9% of the $700,751 portfolio, with $9,533 of embedded unrealized gain in the ETF portion (a real tax cost if liquidated). TO DO: formalize how ETFs should be treated as portfolio positions -- current treatment (temporary cash proxy, outside Landry scoring) is a working assumption, not a documented rule.</t>
  </si>
  <si>
    <t>PRE-TRANCHE-SCORING-TODO</t>
  </si>
  <si>
    <t>Reviewed Current Positions' note flagging 12 Self-Directed (Chase) tickers as unscored -- it was stale. Checked each against the current Scoring tab and actual holdings: VRTX, PLD, SFM, ONON, and TSLA are already scored (VRTX/PLD as diversifiers, SFM/ONON/TSLA as historical entries on now-zero positions); AVUV, SPMO, and VFLO are ETF cash-buckets, correctly out of Landry scope per Part 1.3 (see ETF-CASH-BUCKET-TODO, 8/24); CALF and VGT are zero-quantity, no longer held. Only JEPQ ($50,056) and HELO ($20,877) are real, currently-held positions with zero Scoring tab presence -- score both before DCA-TRANCHE-2 (9/8/2026). Separately, lower priority: added a PENDING fallback to Dashboard col F (Decision) for any ticker that cleared Tier 1 but has no Composite Score yet -- this surfaced 10 such tickers (ET, LIN, PG, CMG, DPZ, YUM, ETSY, GE, PH, ETN, NFLX), none of which are currently held, so none block the tranche. Worth finishing their Tier 2/3 scoring at some point, just not before 9/8.</t>
  </si>
  <si>
    <t>DCA-CATCHUP-PLAN-V1</t>
  </si>
  <si>
    <t>Agreed with Alan: blend increased cadence with an explicit catch-up amount to address dry-powder buildup, rather than just resuming flat $24K tranches. Diagnosis: combined portfolio $751,223 (9/4/26), cash/dry-powder $513,634 (68.4%) -- the $24K target was sized against a much smaller cash base and was never rescaled; at that pace, full deployment would take 20+ months. Plan: (1) 6-month catch-up phase, twice-monthly tranches. Excess over Part 5's 15% cash ceiling (15% of $751,223 = $112,683) is $400,950; split across 12 tranches = ~$33,413 each (see DCA-CATCHUP-1 through -12 below; dates approximate, shift for weekends/holidays same as prior tranches). (2) After the catch-up completes (~March 2027), downshift to steady-state twice-monthly tranches sized as a % of portfolio rather than a flat $, so this doesn't go stale again. Guardrail: pace does NOT override the Composite&gt;=65 / Tier 1 qualifying-candidate gate (Part 5 -- insufficient qualifying candidates means hold the difference in cash, don't lower the bar). Each catch-up tranche still runs the full 5-step prerequisite checklist. DCA-TRANCHE-2 (9/8/26, $24K) proceeds as already planned/checklisted -- this new cadence starts with the first tranche after it, not with Tranche 2 itself. Rationale for accelerating now, per Alan: no acute macro threat identified (election uncertainty noted but not treated as a reason to slow bottom-up deployment -- consistent with Part 7's macro-overlay guidance that macro views are a temporary modifier, not an override). SUPERSEDED 9/11/26 -- see DCA-CATCHUP-PLAN-2 for the revised ~4-month/8-tranche, $40K-$50K/tranche schedule.</t>
  </si>
  <si>
    <t>DCA-CATCHUP-1-V1</t>
  </si>
  <si>
    <t>Target: ~$33,413 (catch-up plan, see DCA-CATCHUP-PLAN 9/7/26). Same 5-step prerequisite checklist as prior tranches (fresh prices, Drawdown Log regime check, Monitor DUE scan, headroom check, Correlation Matrix confirm). Date approximate -- confirm against actual trading calendar and shift for weekends/holidays, same convention as Tranches 1-2. SUPERSEDED 9/11/26 -- see DCA-CATCHUP-PLAN-2 for the revised ~4-month/8-tranche, $40K-$50K/tranche schedule.</t>
  </si>
  <si>
    <t>DCA-CATCHUP-2-V1</t>
  </si>
  <si>
    <t>DCA-CATCHUP-3-V1</t>
  </si>
  <si>
    <t>DCA-CATCHUP-4-V1</t>
  </si>
  <si>
    <t>DCA-CATCHUP-5-V1</t>
  </si>
  <si>
    <t>DCA-CATCHUP-6-V1</t>
  </si>
  <si>
    <t>DCA-CATCHUP-7-V1</t>
  </si>
  <si>
    <t>DCA-CATCHUP-8-V1</t>
  </si>
  <si>
    <t>DCA-CATCHUP-9-V1</t>
  </si>
  <si>
    <t>DCA-CATCHUP-10-V1</t>
  </si>
  <si>
    <t>DCA-CATCHUP-11-V1</t>
  </si>
  <si>
    <t>DCA-CATCHUP-12-V1</t>
  </si>
  <si>
    <t>Target: ~$33,413 (catch-up plan, see DCA-CATCHUP-PLAN 9/7/26). Same 5-step prerequisite checklist as prior tranches (fresh prices, Drawdown Log regime check, Monitor DUE scan, headroom check, Correlation Matrix confirm). Date approximate -- confirm against actual trading calendar and shift for weekends/holidays, same convention as Tranches 1-2. Last catch-up tranche -- after this, downshift to steady-state cadence per DCA-CATCHUP-PLAN. SUPERSEDED 9/11/26 -- see DCA-CATCHUP-PLAN-2 for the revised ~4-month/8-tranche, $40K-$50K/tranche schedule.</t>
  </si>
  <si>
    <t>VRTX,V,PLD</t>
  </si>
  <si>
    <t>DCA-TRANCHE-2 executed. VRTX +15sh @ ~$527.47 ($7,912.09, Chase) -- diversifier add, now 65sh total. V (Visa) opened as a brand-new position: 50sh across 2 lots, $9,209.50 @ $368.38 + $9,239.13 @ $369.565 = $18,448.63 (Fidelity) -- Entry Checklist authorized (Composite 86.4, STRONG BUY), zero prior Financial Services exposure, correlation checked clean against all current holdings (max 0.46 vs VFLO, live CORREL formula) before buying. PLD skipped this tranche -- Fidelity's Equity Summary Score (LSEG StarMine) showed Very Bearish (0.7/10) with 2 recent Sell opinions (Trading Central 9/4, McLean Capital Mgmt 9/6) against 3 Neutral and 2 Buy; traditional sell-side consensus stayed clean (0 Sell ratings, improving vs 3mo ago) -- Alan chose to wait/watch rather than add given the split signal. Total tranche $26,360.72 vs. $24,000 target (ran over, same pattern as Tranche 1). Source: Tranche_EXECUTIONS.xlsx (Alan's new standing execution-log file, updated each tranche going forward). Recorded in Current Positions, Performance Tracking (V, new row), Price History + Returns (Calc) + Correlation Matrix (V added as a new tracked ticker, live formulas throughout).</t>
  </si>
  <si>
    <t>DCA-ACCELERATION-POLICY</t>
  </si>
  <si>
    <t>DCA acceleration policy for the current dry-powder pile (tactical, NOT a Part 7 rule change) -- source: "Landry System DOLLAR COST AVERAGING Strategy.docx" (docs/, added 9/11/26), proposing DCA tranche-size acceleration tiered to the S&amp;P 500's distance from its all-time high: Routine Pullback (-5% to -9%) = baseline/0%, Market Correction (-10% to -14%) = +25%, Severe Correction (-15% to -19%) = +50%, Bear Market (-20%+) = +100% (double). This runs in tension with Part 7's existing Portfolio Drawdown Response (Elevated=Strong-Buy-only, Severe/Critical=skip), since one measures the S&amp;P's condition and the other measures the portfolio's own -- they usually move together but don't have to. RECONCILED 9/11/26: for the DCA-CATCHUP-1 through 12 tranches specifically (the $337,606 ETF dry-powder pile, ~43.5% of the portfolio as of this date), apply the S&amp;P-ATH acceleration tier to set tranche size, UNLESS the Portfolio Drawdown Log's own regime is Severe or worse, which overrides and skips the tranche regardless of the S&amp;P tier; if the portfolio regime is Elevated, the acceleration still applies to size but new entries stay restricted to Strong-Buy-quality names only (matching Part 7's existing Elevated rule). This is a near-term, tactical application to the current pile -- not a change to Part 7's Hard Rule text or the Instructions tab. Grounding numbers at the time of this decision: S&amp;P 500 at 7676.09, only -1.58% from its recent ATH (7798.99, 8/13/26) -- this tier framework is not currently active (baseline pace applies today); this is policy for later, not a live override. Process Checklist's DCA-CATCHUP step list updated same day to apply this.</t>
  </si>
  <si>
    <t>ETF-CASH-BUCKET-TODO,PRE-TRANCHE-SCORING-TODO</t>
  </si>
  <si>
    <t>CLARIFIED 9/11/26 (during Journal review -- corrects an overstated "RESOLVED" framing written moments earlier in a first pass at this same entry): the 8/24 ETF-CASH-BUCKET-TODO ("formalize how ETFs should be treated as portfolio positions") is NOT resolved -- it remains a genuine open To-Do, grouped with DB development as a "later" item per Alan (9/11/26). What IS settled, narrowly: the specific 8/26 tactical question (score JEPQ/HELO before DCA-TRANCHE-2?). These 10 yield ETFs (AVUV, SPMO, VFLO, DVY, SCHD, VYM, MLPI, JEPQ, HELO, JEPI) are being treated as temporary cash-equivalents, outside Landry's scoring scope, for now -- confirmed JEPQ/HELO are still absent from the Scoring tab, consistent with this temporary treatment. This is a stopgap working assumption, not the formal ETF policy the original TODO asked for -- that formalization is still pending, no target date set.</t>
  </si>
  <si>
    <t>WILDCARD-ALLOCATION-TODO</t>
  </si>
  <si>
    <t>Alan raised for future consideration -- not decided, not scoped, no target date: a 5%-10% portfolio allocation to a "wild card" sleeve -- rule-disregarding, or governed by a new/separate rule set still to be defined -- for exceptional opportunities that fall outside the current Landry Strategy's normal Entry Checklist / Tier 1-3 scoring gates. Genuinely undefined at this stage (his own framing): what qualifies as "exceptional," how it would be sized and tracked separately from the scored portfolio, whether it needs its own sell discipline, and how it interacts with Part 5's existing position/sector caps and Part 7's drawdown response. Grouped with the other standing To-Dos (ETF treatment policy, DB migration) as a future discussion item, not active work.</t>
  </si>
  <si>
    <t>PIOTROSKI-DIAGNOSTIC-BATCH</t>
  </si>
  <si>
    <t>Ran the agreed 4-ticker validity test (SFM, TSLA, ONON, VRTX) against real, dated cash-flow-statement data (not a third-party aggregator). Results: Accruals Check diverged from existing FCF-Yield confidence for VRTX only (existing=High, Accruals=LOW CONF -- FY2025 CFO .63B came in below Net Income .95B); SFM/TSLA/ONON's Accruals agreed with existing state (no new signal). Leverage Trajectory could NOT be evaluated for any of the 4 -- none has a Management Quality score on record to compare the flag against (SFM/ONON/TSLA were all sold before reaching that stage of scoring). NOT a final verdict -- sample is too thin, especially on Leverage Trajectory (0 of 4 testable). Plan: add 1-2 currently-held, fully-scored tickers to get real Leverage Trajectory signal before deciding keep/drop; investigate why VRTX's CFO&lt;NI happened (one-time item vs. genuine quality concern) before treating that divergence as conclusive on its own. If kept: fold AN-AS population into the standing FUND-REFRESH checklist for every held ticker, not just diagnostic-batch ones. If dropped: stop populating, leave the historical data in place as a record of the experiment. Also resolved in this pass: TSLA's "FCF negative" sell rationale (row 4, 8/7/26) doesn't match today's data (FCF was solidly positive both FY2024 and FY2025) -- Alan's separate 7/31/26 analysis (possibly predating the chat-to-code migration, exact methodology now uncertain per his own recollection) independently confirms the actual trigger was a Tier 1 floor failure (1.71 vs 3.0 minimum), most likely driven by low FCF YIELD given Tesla's enormous market cap rather than negative FCF in dollar terms -- the sell decision looks solidly grounded, the write-up's phrasing was just imprecise. Data now populated in Scoring cols AN-AS for all 4 tickers (rows 7, 9, 10, 11).</t>
  </si>
  <si>
    <t>Extended the batch with 2 currently-held, Management-Quality-scored tickers (MU, VRT) specifically to make the Leverage Trajectory check testable -- the first 4 (SFM/TSLA/ONON/VRTX) left it untestable for 3 of 4. Picked capital-intensive businesses with real debt dynamics rather than low-debt software names; skipped PLD (REIT, no standard CapEx line item -- "Purchase of Investment Properties" isn't a clean analog) and TSM/ASML (foreign issuers reporting in local currency -- caught TSM's figures were in Taiwan dollars, trillions not billions, before writing anything). Results: MU Accruals=OK, Leverage=Decreased (existing Mgmt Quality 4/M -- consistent, no divergence). VRT Accruals=OK, Leverage=Decreased (existing Mgmt Quality 4/M -- same, consistent). Note: MU's fiscal year ends August 31, not December -- same non-calendar-FYE quirk as COST, worth remembering for FUND-REFRESH timing. Running batch tally, 6 tickers total: Accruals testable for all 6, 1 divergence (VRTX only), 5 agree. Leverage Trajectory now testable for 3 of 6 (VRTX, MU, VRT), 0 divergences -- all three agree with existing Mgmt Quality. Still not a final verdict -- 0 divergences on Leverage Trajectory could mean it's redundant (per the original decision rule) or just that 3 data points isn't enough yet; leaning toward needing a few more before calling it either way.</t>
  </si>
  <si>
    <t>Diagnosed the Piotroski Accruals divergence flagged in the diagnostic batch (FY2025 CFO .63B under Net Income .95B). Traced the full cash-flow reconciliation: every non-cash addback points the normal direction (D&amp;A +.8M, stock comp +.9M, asset impairment +.0M all push CFO above NI, as usual), but a ,199.1M working-capital consumption overwhelms them -- concentrated in inventory (-.2M), prepaid assets (-.0M), and receivables (-.3M). Revenue grew a real 8.9% YoY (.02B-&gt;.00B) over the same period, and this coincides with the Journavx (suzetrigine) launch, VRTX's first non-opioid pain drug -- inventory build ahead of a major launch and receivables growth from ramping sales are the expected pattern, not a red flag on their own. One thing worth actually watching, not alarming: receivables grew about 35% as fast as revenue, somewhat more than stable collection terms alone would suggest -- check whether this normalizes over the next quarter or two. CONCLUSION: reads as growth/launch-driven working capital consumption, not a hidden earnings-quality problem. The Accruals check did its job -- it correctly flagged a real, mechanically-true divergence -- but interpreting it needed a human read, consistent with how the check is designed to work (confidence-tagging only, not an automatic verdict). Status: diagnosed, monitor the receivables trend at the next fundamental refresh, not currently treated as a red flag on VRTX's BUY classification.</t>
  </si>
  <si>
    <t>Added KLAC and V specifically to test worsening leverage -- the 5 prior testable cases were all "Decreased" (improving), leaving the more diagnostic scenario (leverage worsening despite an already-good score) untested. Results: KLAC Accruals=LOW CONF (existing FCF-Yield conf=M -- a mild divergence, not yet diagnosed), Leverage=Increased but essentially flat (1.625-&gt;1.633, existing Mgmt Quality=4/H). V Accruals=OK (agrees), Leverage=Increased and real (1.115-&gt;1.167, existing Mgmt Quality=4/M). FINAL TALLY, 8 tickers: Accruals testable for all 8, 2 divergences (VRTX -- diagnosed benign, growth/launch-driven; KLAC -- not yet diagnosed but same profile as a growing semiconductor-equipment maker), 6 agree. Leverage Trajectory testable for 5 of 8, 2 show "Increased" but both against already-imperfect scores (4, not 5) rather than contradicting a high-confidence claim -- neither is the clean "caught something the existing score missed" case the test was designed to find, and one (KLAC) is economically trivial rather than a real deterioration. Assessment: across 8 tickers, the mechanism has correctly detected real mechanical divergences twice, but in the one case fully diagnosed (VRTX) the underlying cause was benign, normal business activity, not something that should have lowered confidence -- meaning the check adds diagnostic overhead without changing the conclusion. Leverage Trajectory has never once produced a result that meaningfully contradicts an existing assessment. Leaning toward DROP as redundant for how this system is actually used, per the original decision rule -- Alan's own expectation going into this last check. Awaiting his final call.</t>
  </si>
  <si>
    <t>PIOTROSKI-VERDICT</t>
  </si>
  <si>
    <t>FINAL DECISION: DROP. Alan confirmed 9/11/26 ("Yes, proceed - well done") after reviewing the complete 8-ticker diagnostic batch (VRTX, SFM, ONON, TSLA, MU, VRT, KLAC, V). The two Piotroski cross-checks (Accruals Quality, Leverage Trajectory) do not add reliable signal beyond the existing Confidence-tagging process, per the decision rule agreed 9/8/26. Reasoning: Accruals Check correctly detected 2 real mechanical divergences (VRTX, KLAC) across 8 tickers, but the one fully diagnosed (VRTX) turned out to be benign, growth/launch-driven working-capital consumption, not a genuine earnings-quality concern -- the flag creates diagnostic overhead without changing the conclusion. Leverage Trajectory was tested against 5 tickers with an existing Management Quality baseline and never once produced a result that meaningfully contradicted the existing assessment -- both "Increased" results were against already-imperfect (4, not 5) scores, and one (KLAC) was economically trivial (a 0.008 change in the ratio, essentially noise). Also confirmed before finalizing: the Accruals flag (Scoring col AP) was never actually wired into any live formula -- Rule 4's cap only counts the original Tier 1/2 confidence columns (E:M), not AP -- so this decision changes nothing about any ticker's current classification; it was a pure documentation/annotation column this whole time. DISPOSITION: stop populating Scoring cols AN-AS for any further tickers. Historical data for the 8 tested tickers stays in place as a record of the experiment, not scrubbed. Action Items' Piotroski tally section (rows 31-33) retired same day, in place of becoming a permanently-stale, partial-coverage counter in a tab meant to reflect live state. The rubric additions remain documented in Landry System v1.02 as a tested-and-retired enhancement, not erased from the record.</t>
  </si>
  <si>
    <t>DCA-CATCHUP-PLAN-2</t>
  </si>
  <si>
    <t>Revised catch-up cadence, replacing the 9/7/26 plan (rows 22-34, now superseded). Agreed with Alan after discussing Vanguard's lump-sum-vs-DCA research (lump sum beats DCA ~67-75% of the time) against his stated discomfort with current macro uncertainty (elections, war, politics). Reasoning for leaning accelerated despite that discomfort: (1) this is already-committed capital that's been sitting idle specifically because the original pace was too slow, so the time-in-market argument applies more cleanly than to a fresh lump-sum decision; (2) the system already has reactive protection against bad timing that doesn't depend on slow pacing -- Part 7's Drawdown Response can pause/shrink tranches if things actually deteriorate, and the 9/11/26 S&amp;P-ATH acceleration policy actually leans into weakness rather than avoiding it; (3) DCA's real value is regret minimization, not expected return, so some smoothing still makes sense given Alan's stated discomfort is about comfort, not a market-timing thesis. NEW PLAN: 4 months, 8 tranches (down from 6 months/12), twice monthly on the 7th and 22nd (not 15th/31st -- avoids month-end index/institutional rebalancing noise and stays consistent with the original plan's early-month/mid-month spirit). Target $40,000-$50,000/tranche, deliberately a loose range rather than a precise figure (a precise calc -- excess over Part 5's 15% cash ceiling, less a planned $20,000 personal withdrawal, /8 -- comes out to ~$47,517 as of 9/11/26, comfortably inside the range). Same 5-step-plus prerequisite checklist as before every tranche (now tracked in Process Checklist). Guardrail unchanged: pace never overrides the Composite&gt;=65/Tier-1-qualifying-candidate gate.</t>
  </si>
  <si>
    <t>DCA-CATCHUP-1</t>
  </si>
  <si>
    <t>Target: $40,000-$50,000 (see DCA-CATCHUP-PLAN-2). Shifted from 9/22 (the plan's regular cadence date) to 9/30 -- Alan traveling abroad last week of September, no market access. Same prerequisite checklist as prior tranches.</t>
  </si>
  <si>
    <t>DCA-CATCHUP-2</t>
  </si>
  <si>
    <t>Target: $40,000-$50,000 (see DCA-CATCHUP-PLAN-2). Only 7 days after DCA-CATCHUP-1 (which itself shifted to 9/30) -- a shorter-than-usual gap, kept as-is rather than reflowing the whole schedule, same convention as prior holiday/weekend shifts. Same prerequisite checklist as prior tranches.</t>
  </si>
  <si>
    <t>DCA-CATCHUP-3</t>
  </si>
  <si>
    <t>Target: $40,000-$50,000 (see DCA-CATCHUP-PLAN-2). Same prerequisite checklist as prior tranches.</t>
  </si>
  <si>
    <t>DCA-CATCHUP-4</t>
  </si>
  <si>
    <t>Target: $40,000-$50,000 (see DCA-CATCHUP-PLAN-2). Rescheduled from 11/7 to 11/9: 11/7/2026 is a Saturday. Same prerequisite checklist as prior tranches.</t>
  </si>
  <si>
    <t>DCA-CATCHUP-5</t>
  </si>
  <si>
    <t>Target: $40,000-$50,000 (see DCA-CATCHUP-PLAN-2). Rescheduled from 11/22 to 11/23: 11/22/2026 is a Sunday. Same prerequisite checklist as prior tranches.</t>
  </si>
  <si>
    <t>DCA-CATCHUP-6</t>
  </si>
  <si>
    <t>DCA-CATCHUP-7</t>
  </si>
  <si>
    <t>DCA-CATCHUP-8</t>
  </si>
  <si>
    <t>Target: $40,000-$50,000 (see DCA-CATCHUP-PLAN-2). Last tranche of the revised catch-up cadence -- after this, downshift to steady-state twice-monthly tranches sized as a % of portfolio, same as originally planned. Same prerequisite checklist as prior tranches.</t>
  </si>
  <si>
    <t>LIN,ET,KGS</t>
  </si>
  <si>
    <t>Started the Scoring completion queue with LIN (see scoring_completion_queue) -- refreshed Tier 1 via the auto-draft pipeline since the 8/11/26 scores were a month old. Found real deterioration: Tier 1 Wtd Avg fell from 4.5 to 3.07 (Revenue Growth Consistency 4-&gt;2, FCF Margin Trend 5-&gt;2, driven by a genuine ~0.6% 3-year revenue CAGR and FCF margin compression from a heavy CapEx cycle -- verified directly against real revenue/CFO/CapEx figures, not a data glitch). Checked ET (same 8/11 batch) for the same issue on a hunch and found the identical pattern: 4.0 -&gt; 3.07 (Revenue Growth Consistency 4-&gt;1 on a newly-negative CAGR, FCF Margin Trend 4-&gt;2). Both approved and written into Scoring at their rescored values. Alan's call for both: leave them rescored, don't advance further right now -- below the ~4.0 bar he's using for what's worth prioritizing this early. Worth rechecking DPZ, PG, and GE (same 8/11-13 batch, still fully untouched) before trusting their recorded scores -- the auto-draft pipeline matured after 8/11 (confirmed via git history the same day), so this may not be company-specific deterioration so much as the original batch having been scored with something less rigorous than what's available now. Added to Open Items.
Separately, picked 2 diversification candidates and began tracking: ET (already tracked, now rescored) and KGS (Kodiak Gas Services, Energy -- gas compression services, contract-based revenue, not upstream E&amp;P). Energy is the one sector genuinely untouched by both current holdings and the rest of the Scoring queue. KGS screened clean: Tier 1 quant = 4.0 on its 3 known indicators (Moat/Rev Visibility not yet assessed, Part 12), relative strength +78.6% over 12mo, analyst consensus 15/15 buy-equivalent, correlation vs holdings only 0.48 (vs AVUV) -- genuinely diversifying, not just a different label (same check that caught the NRG/VST correlation trap). One caution: ROIC vs WACC is negative (-2.0pp), not currently earning its cost of capital -- may be structural to compression-equipment economics, worth watching not ignoring. Added to Scoring (row 48) and Monitor &amp; Recheck Triggers (Watch List, row 48); Candidates pipeline status updated to "Ready for Tier 1".
Real bug found and fixed in passing: Scoring's Tier 1 Wtd Avg formula only handled "all 5 indicators populated" or "none" correctly -- KGS's partial state (3 of 5) exposed that missing indicators were silently treated as zero rather than excluded, which would have shown KGS failing Tier 1 at 2.57 instead of its honest 4.0. Fixed across all 45 rows, verified zero regressions on every already-complete ticker. Also fixed: extending Monitor &amp; Recheck Triggers to row 48 (for KGS) left all 35 of Current Positions' live-price lookup formulas one row short of the new boundary -- extended, verified no held position's resolved price changed.</t>
  </si>
  <si>
    <t>DPZ,PG,GE</t>
  </si>
  <si>
    <t>Rescored DPZ and PG through the current auto-draft pipeline (same treatment as LIN/ET, 9/11/26) -- both show real divergence from their 8/11/26 scores, in the same direction as LIN/ET (weaker Rev Growth Consistency and FCF Margin Trend on fresh data). DPZ Tier 1 Wtd Avg 4.86-&gt;3.93 (Rev Growth 5-&gt;2 on CAGR 2.9%/CV 1.02, FCF Margin 5-&gt;3). PG Tier 1 Wtd Avg 4.21-&gt;4.00 (Rev Growth 4-&gt;3 on CAGR 2.0%/CV 0.63; FCF Yield/Margin held). Both approved into landry_scores.json and written into Scoring at the rescored values; Alan's call: leave both parked, same as LIN/ET, below/at the ~4.0 bar. GE rescored the same way but diverged the OTHER direction -- Tier 1 Wtd Avg 3.86-&gt;4.14 (FCF Yield 3-&gt;4 on an expanding trend despite a modest 2.2% yield; Rev Growth/FCF Margin held) -- the first name in this whole batch (LIN/ET/DPZ/PG) to improve rather than deteriorate on rereview, evidence the pipeline isn't just systematically pessimistic. Given GE cleared the 4.0 bar, advanced it through full Tier 2/3: all 9 quant indicators (ROIC vs WACC, Relative Strength, Valuation Multiples, Technical Trend, Analyst Consensus, Volume &amp; Accumulation, plus the 3 Tier 1 quant ones) auto-drafted and approved. Management Quality &amp; Capital Allocation (Part 12 -- qualitative, not auto-drafted) researched via web search and approved by Alan: score 5/H, based on GE Aerospace's capital return framework (70-75% of available funds targeted via dividends+buybacks, ~90% of FCF actually returned in 2025; $4.2B buybacks + $873M dividends in H1 2026 alone under a new $20B authorization; dividend +30.6% Feb 2026; 2026 FCF guidance raised, not cut) and Larry Culp's track record (&gt;$100B debt reduction, executed the 3-way GEHC/GEV/GE-Aerospace breakup, committed through 2027). Noted but not weighted against the score: 500+ suppliers straining under backlog demand -- read as an industry-wide constraint being proactively managed, not a governance or capital-allocation flag. Result: GE Composite 84.2, STRONG BUY -- first-ever completion out of the original 5-name queue (LIN, NFLX, DPZ, PG, GE) besides the two now-parked names. NFLX remains the one name in that original 5 never touched this round.
Two real bugs found and fixed in the process, both in landry/export.py, both the same root cause as the recurring "hardcoded row bound never updated as a tab grew" class (see CLAUDE.md): (1) the Composite Score gate (Scoring!AF) considered a tier "ready" once its contribution cell was merely non-blank, but that cell goes non-blank as soon as ANY ONE of its 3-4 inputs is filled -- would have silently computed GE's Composite using 0 for Management Quality if that indicator had been written before the others. Fixed the gate to require full population of all 5/4/3 indicators per tier, tab-wide (safe/backward-compatible: only changes behavior for a genuinely-partial row, which had never existed before GE). (2) export --scores's ticker-to-row lookup (and the identical pattern for Market Data) only scanned rows 3-27, a stale bound from when the tab was smaller -- DPZ/PG/GE (rows 32/34/43) were silently skipped entirely on the first export attempt, no data written, no error. Fixed to scan the sheet's actual extent. Side effect caught and corrected: because that first (broken) export still processed the WHOLE approved-score store, not just today's changes, it re-stamped V and ET's Date Scored to today even though neither was touched -- reverted both back to their correct dates (V: 8/11/26, ET: 9/11/26) after each export run. This will recur on any future export --scores run since the CLI always passes today's date for every approved ticker in the store, not just newly-changed ones -- a real but lower-priority follow-up, logged in CLAUDE.md rather than fixed now.</t>
  </si>
  <si>
    <t>NFLX,YUM</t>
  </si>
  <si>
    <t>Closed out the original 5-name scoring completion queue (LIN, NFLX, DPZ, PG, GE) and checked one more. NFLX rechecked through the current auto-draft pipeline: Tier 1 Wtd Avg held exactly at 4.21 -- the first name in this whole exercise (LIN/ET/DPZ/PG/GE) where the fresh reread produced IDENTICAL scores to the 8/24/26 original, no deterioration and no surprise improvement. Notably, NFLX also shows a very large relative-strength gap vs SPY (-43.6% blended, -52.4% 12mo) despite stable-not-deteriorating fundamentals -- a clean real example of the divergence-direction idea discussed with Alan the same day (weak RS + stable fundamentals is the 'market hasn't caught up' case, unlike DPZ/PG where RS weakness tracked genuine fundamental decline). Since Tier 1 cleared the bar cleanly, advanced NFLX through full Tier 2/3: all 9 quant indicators approved, and Management Quality &amp; Capital Allocation (Part 12, researched via web search, approved by Alan at the same 5/H tier as GE) based on a disciplined reinvest-then-return capital framework (new $25B buyback authorization Apr 2026 on top of a Dec 2024 one; record $4.7B single-quarter repurchase in Q2 2026 alongside 12% FX-neutral revenue growth) and a stable co-CEO structure (Sarandos/content, Peters/ops) since Jan 2023 with an actual succession precedent already demonstrated (Reed Hastings's smooth transition to non-exec Chairman). Caveat noted, not weighted against the score: content spend rising ~10% in 2026, worth watching for discipline slippage but not a current issue. Result: NFLX Composite 83.8, STRONG BUY.
Also rechecked YUM (one of the 6 PENDING tickers originally excluded from this round) at Alan's direction -- 'only YUM worth a revisit at this point' among CMG/YUM/ETSY/PH/ETN. Same weakening pattern as DPZ/PG/LIN/ET: Tier 1 Wtd Avg 4.29-&gt;3.79 (FCF Yield 5-&gt;4, Revenue Growth Consistency 4-&gt;3, both losing H confidence -&gt; M on fresh data). Approved into the audit trail and written into Scoring at the rescored value; parked below the ~4.0 bar, not advanced, same treatment as the others. CMG, ETSY, PH, and ETN remain untouched -- Alan's explicit call, not an oversight; logged as Open Items #12 so it reads as a decision, not a gap.
Current state, this queue: GE and NFLX fully completed (STRONG BUY, 84.2 and 83.8). LIN, ET, DPZ, PG, and now YUM all parked below/at the ~4.0 bar on rescore. CMG, ETSY, PH, ETN deliberately not rechecked.</t>
  </si>
  <si>
    <t>V,SCORING-VERIFICATION-AUDIT</t>
  </si>
  <si>
    <t>Alan noticed YUM/LIN/DPZ all failed on verified rescore and asked whether other Darryl-list names were missed. Traced provenance via Screen_Candidates' Source column: LIN, NFLX, CMG, DPZ, ETSY, YUM, PG, ET, and V are all Darryl-sourced (PH and ETN are not, despite being in the same 'other 6 PENDING' group). Of those rechecked, 4 of 6 clearly failed (LIN, ET, DPZ, YUM), one sits exactly at the bar (PG), one held steady (NFLX) -- and GE, the sole improvement, is NOT Darryl-sourced. V (Visa, a live $18K+ STRONG BUY position bought 9/8/26) is also Darryl-sourced, also dated 8/11/26, and had never been rechecked -- rechecked it: Tier 1 Wtd Avg 4.57-&gt;3.64 (FCF Margin Trend 5-&gt;2, the 51.7% margin itself is excellent but the trend is contracting; Revenue Growth Consistency 5-&gt;4; FCF Yield 4-&gt;3). Recomputed Composite 86.4-&gt;73.4: STRONG BUY -&gt; BUY. Approved into the audit trail and written into Scoring at Alan's direction.
Root-caused how this happened, not just that it did. Checked landry_scores.json's git history: it wasn't tracked until 2026-08-18, and at that point LIN/ET/DPZ/PG/YUM/V/NFLX/GE/CMG/ETSY were ALL absent -- none of their original Tier 1 scores were ever produced by landry draft. Found the actual source: the 8/11/26 commit that added these Scoring rows also added Darryl_List_Analysis_v1.docx, a saved transcript of a conversational chat-based analysis, ticker by ticker. Read it -- it's genuinely careful work (real citations, real sector-vs-business differentiation reasoning, e.g. why ET passed and CRK/LBRT/NOV in the same GICS sector didn't), not sloppy. But it predates roic_vs_wacc even existing as a capability (added 8/17), predates the ScoreStore audit trail (added 8/18), and predates the whole propose-then-approve discipline CLAUDE.md now documents. Best read: not an error being corrected, but a fresh quarter of real data (Q2 2026 earnings, reported after 8/11 for most of these names) now baked into the rescore that simply didn't exist originally -- genuine drift, not a mistake.
V has a second wrinkle on top: its Tier 2/3 scores were never independently re-verified either. Found all 9 of its non-Tier-1-quant indicators (competitive_moat, revenue_visibility, management_quality, roic_vs_wacc, relative_strength, valuation_multiples, technical_trend, analyst_consensus, volume_accumulation) share the IDENTICAL approved_at timestamp to the second (2026-09-09T00:13:54) -- the fingerprint of a mechanical import_scores() backfill (copying whatever was already in the workbook), not real one-at-a-time review. This is the exact incident CLAUDE.md already flagged ('V, Sept 2026') but as a bookkeeping gap -- it wasn't previously understood that the underlying numbers were never actually re-derived, only notarized into the audit trail nine days after the position was bought.
Built the fix Alan asked for: a new landry audit check, scoring_verification, with two signals -- (1) any Scoring ticker with a real Tier 1 Wtd Avg but zero approved landry_scores.json entries at all (one consolidated finding, currently ~38 tickers -- most of the workbook predates this discipline, expected to shrink over time, not a one-sitting fix), and (2) 3+ indicators approved with source=manual sharing one identical timestamp (the bulk-import fingerprint). Had to restrict signal (2) to source=manual specifically after it first flagged today's own legitimate scripted approve-loops (GE/NFLX/YUM all landed multiple real quant_draft approvals in the same wall-clock second, which is fast review, not a copy) -- verified against the actual pytest suite afterward (4 pre-existing, unrelated failures found -- a stale KGS partial-Tier1 edge case, a stale equity-weight threshold, a stale performance-tab-emptiness assertion, and a data-hygiene caching test -- none caused by today's changes, logged for whenever someone works through test staleness separately). Full detail in CLAUDE.md's new 'Standing gap' section.</t>
  </si>
  <si>
    <t>NVDA,SPMO-SEQUENCING</t>
  </si>
  <si>
    <t>Started working through the held-position verification queue (largest first): NVDA rechecked. Tier 1 Wtd Avg 4.57-&gt;4.29 (FCF Yield 4-&gt;3, yield still ~1.7% but confidence eased; Revenue Growth and FCF Margin held their scores exactly with confidence easing H-&gt;M) -- much milder than the DPZ/PG/YUM/V pattern, Composite 93.2-&gt;89.2, stays STRONG BUY comfortably. Approved and written in.
The auto-draft's Rule 36 correlation check also flagged NVDA at 0.75 vs SPMO (&gt;0.70 cap) -- a portfolio-construction finding, separate from NVDA's own quality. Pulled SPMO's full row from Correlation Matrix: it's not just NVDA -- JEPQ (0.88), NVDA (0.74), and AVGO (0.73) all exceed the 0.70 cap, with TSM (0.69), KLAC (0.67), MU (0.66), VRT (0.66), ANET (0.64), and ASML (0.61) close behind. SPMO (S&amp;P 500 Momentum) is effectively a concentrated re-expression of the same AI/semiconductor momentum trade that already dominates the real stock book, not a diversifying use of dry powder.
DECISION (Alan, 9/13/26): given SPMO is already treated as temporary dry powder (see ETF-CASH-BUCKET-TODO, 8/24/26) and can be liquidated as needed, sequence it FIRST among the 10 dry-powder ETF positions when funding upcoming DCA-CATCHUP tranches -- it's the least diversifying of the group, so drawing it down first gives up the least. This is a funding-source sequencing decision, not a change to which NEW positions get bought or to Rule 36 itself. Added to Process Checklist's diversifier-headroom step across all 8 DCA-CATCHUP-N events so it's visible at the point of actually executing a tranche, not just here.</t>
  </si>
  <si>
    <t>VRTX,ANET,KLAC,CRWD,ADBE,PLD,PLTR,AVGO,ASML,TSM,VRT,MU</t>
  </si>
  <si>
    <t>Closed out the held-position verification queue (see [[held_position_verification]]) -- rechecked the remaining 12 of 14 real stock holdings (V and NVDA done earlier same day), largest-to-smallest per Alan's instruction. Refreshed only the 3 Tier 1 quant indicators per ticker (fcf_yield_trend, revenue_growth_consistency, fcf_margin_trend); Tier 2/3 left as recorded, same policy as V/NVDA.
Results (Tier 1 Wtd Avg / Composite / Decision, before -&gt; after): VRTX 3.79-&gt;3.14 / 75.6-&gt;66.6 / BUY (weaker, close to Watch List). ANET 4.57-&gt;4.29 / 85-&gt;81 / STRONG BUY holds. KLAC 3.43-&gt;3.71 / 68.6-&gt;72.6 / BUY improves. CRWD 4.00-&gt;3.50 / 70.4-&gt;63.4 / BUY -&gt; WATCH LIST (see below). ADBE unchanged on all 3 quant indicators -- zero drift, same as NFLX earlier. PLD 4.36-&gt;3.93 / 82-&gt;76 / STRONG BUY -&gt; BUY, but only Revenue Growth Consistency could be refreshed (PLD is a REIT with no standard CapEx line item -- FCF Yield and FCF Margin Trend can't be auto-drafted this way, stay at recorded values pending a real REIT-adapted reassessment). PLTR 4.00-&gt;4.07 / 75.2-&gt;76.2 / BUY holds. AVGO 4.07-&gt;3.14 / 80.8-&gt;67.8 / STRONG BUY -&gt; BUY. ASML 3.57-&gt;3.86 / 73.2-&gt;77.2 / BUY improves. TSM 4.00-&gt;4.21 / 81-&gt;84 / STRONG BUY improves despite Revenue Growth Consistency cratering (5-&gt;2) -- CAGR is fine (18.9%) but erratic quarter to quarter (CV 0.87), and FCF Yield/Margin gains more than offset it. VRT 4.36-&gt;3.93 / 82.8-&gt;76.8 / STRONG BUY -&gt; BUY. MU 3.64-&gt;3.36 / 71.8-&gt;67.8 / BUY holds. All approved into landry_scores.json and written into Scoring.
CRWD is the one that matters most: FCF Margin Trend collapsed to a 2 (margin now just 3.0%, contracting, down hard from whatever supported its original 5), and the Tier 2 draft shows ROIC at -323.7% vs WACC -- a real profitability problem, not statistical noise. First position in this whole exercise to actually cross out of BUY into WATCH LIST. Alan's read: the market is already on to this -- CRWD's price has declined significantly over the past two weeks -- so this isn't a surprise divergence to investigate, it's confirmed and deserves watching. Added to Watch List Tracker (previously empty -- first entry ever) per the tab's own Rule 31-34 mechanism: Probationary Hold, entered 9/13/26 at score 63.4, 90-day deadline 12/12/26, currently ON TRACK. Credible Remediation Plan (col H) not yet assessed -- doesn't gate the Action Status formula for Probationary Hold (only matters for Exit Review), but worth a real look before the deadline.
Second real finding, independent of SPMO: KLAC and ASML correlate 0.77 with EACH OTHER (both semiconductor-equipment makers) -- a genuine Rule 36 violation between two actual scored holdings, not a dry-powder ETF. AVGO also reconfirmed 0.73 vs SPMO (already known), and TSM sits exactly at the 0.70 boundary. Not acted on yet -- logged for whenever position-sizing/correlation gets a real look, since unlike SPMO neither KLAC nor ASML is a temporary/liquidatable position.
This closes the held-position verification queue Alan opened after noticing YUM/LIN/DPZ's pattern -- all 14 real stock holdings now have a genuine, dated Tier 1 rescore backing them (V's Tier 2/3 still flagged bulk-imported, not yet re-derived). 25 tickers remain in `landry audit`'s no_audit_trail list, all bench candidates or previously-sold positions, not held.</t>
  </si>
  <si>
    <t>RULE-33-EARLY-PARTIAL-TRIM</t>
  </si>
  <si>
    <t>New Hard Rule added to the Landry System governing document, prompted directly by CRWD's entry into Probationary Hold the same day (see Journal row 58). Alan's question: the existing Probationary Hold mechanism is all-or-nothing for 90 days -- recover to 65+ or get sold at the deadline -- with nothing in between, even for a position whose fundamentals have reconfirmed-deteriorating and whose price is already falling fast (CRWD down 10-15% over the prior two weeks). Is there a way to reduce exposure earlier without reintroducing the kind of reactive, price-driven selling the system's own Hold Through provision exists to prevent?
Pulled the exact Part 6 text from LANDRY_SYSTEM_v1-02_FINAL.docx before drafting anything, rather than work from the workbook's condensed summary -- confirmed the existing Hold Through list already protects against price alone ('Short-term price decline of 20-30% with no change in Tier 1/2 fundamentals -- this is noise'), so any new rule had to trigger on a fresh FUNDAMENTAL reconfirmation, not on the stock continuing to fall, or it would quietly undercut that existing protection.
Agreed rule (Alan's parameters): Early Partial Trim, scoped to Probationary Hold only (not Exit Review). If, before the 90-day re-score, the same Tier 1/2 indicator(s) that caused Probationary Hold entry are reconfirmed unimproved or worse by a later filing, scheduled re-score, or equivalent documented evidence, trim one-third of the share count held at entry. May recur up to twice more in the same window on further reconfirmation -- up to 3 trims total, full liquidation in the worst case, avoiding a full 90-day ride to the bottom on a name with confirmed, ongoing deterioration while still preserving the position (and any profit) if it genuinely recovers first. Alan's own framing, explicitly: this is a first pass, not a final calibration -- trim size/scope may get tightened once more positions have gone through Probationary Hold and a real pattern (not one case) suggests which metric combinations actually predict non-recovery, consistent with Part 9's existing caution against reactive rule changes after a single case.
Implemented as Rule 33 (Part 6, Hard Rules: Sell Triggers -- Valuation) -- inserted directly into the numbered, bordered Hard Rules list in LANDRY_SYSTEM_v1-02_FINAL.docx (both the Part 6 body and its restatement in the Master Rule Register), which correctly auto-renumbered the old Rule 33 ('Composite Score falls below 35...') to Rule 34 and everything auto-recalculates from there -- confirmed by rendering to PDF and inspecting the actual page, not just trusting the XML edit; first attempt used a plain paragraph and silently broke out of both the numbered list and the bordered box, caught by that same render check. Version bumped v1.02-&gt;v1.03, Hard Rule count 49-&gt;50, with a full Revision History entry following the exact precedent format of the 2026-08-25 Piotroski entry -- unlike that one, this DOES cross Part 9's Change Control threshold for a Hard Rule revision, which is why this one gets a version bump and that one didn't.
Cascaded into the workbook: Instructions tab's version/count line and RULE REFERENCE section updated (new Rule 33 quick-reference callout added). Watch List Tracker gets a new 'Trims Taken (0-3, Rule 33)' column (table extended to A2:M22) so this is tracked the same auditable way everything else on that tab is -- not a formula-driven auto-check like the 90-day deadline (a 'did the fundamentals reconfirm' judgment can't be a spreadsheet formula the way date arithmetic can), but a visible, standing record. CRWD's row: Trims Taken=0 (today's Probationary Hold entry does not itself count as a trim event -- only a LATER reconfirmation does), Remediation Plan Notes updated to flag that Rule 33 now applies pending the next real data point.</t>
  </si>
  <si>
    <t>PYPL,XRAY,GXO</t>
  </si>
  <si>
    <t>Screened 3 more Darryl-list candidates, one from each of the three sectors that had never been touched at all (Financial Services, Healthcare, Industrials) -- confirmed via the Darryl_List_Candidates ranking tab that none of the three had even a coarse prior verdict. PYPL is the only other Financial Services name on the list besides V (already held); flagged the payments-on-payments overlap before screening, but correlation came back clean (max 0.39 vs any current holding, so vs V specifically is even lower) -- different business models (card network vs. digital wallet) apparently don't move together much.
Initial quant screen: PYPL clears the Tier 1 floor comfortably on the 3 quant indicators alone (FCF Yield 5, Rev Growth 3, FCF Margin 3, quant-only ~3.89) -- strong FCF yield (9.9%, expanding), solid ROIC (25.2% vs 9.8% WACC), reasonable valuation (PEG 0.95). XRAY fails decisively (quant-only ~1.67: revenue actually shrinking at -2.1% CAGR, FCF margin just 1.9% and contracting, ROIC negative). GXO fails too (quant-only ~2.67: FCF margin near-zero at 0.5% and contracting, weak ROIC 2.3% vs 6.3% WACC -- no sector adaptation exists for asset-light 3PL margin structure, so it's scored on the same terms as everything else). Both rejected per Part 1.4 (Tier 1 below 3.0, stop and reject), same treatment as CRK/LBRT/NOV in the original Darryl forays -- no further research warranted.
PYPL's own picture was more complicated than the quant numbers alone suggested. Researched why analyst consensus was so weak (16% buy-equivalent) and relative strength so negative (-36% over 12mo) before doing Moat/Revenue Visibility research -- found PayPal is an ACTIVE ACQUISITION TARGET: Stripe and Advent International made a joint $60.50/share offer (~$53B, a 28% premium to pre-offer price) in July 2026, following an earlier approach in April, confirmed across Reuters/CNBC/WSJ. As of the most recent reporting, PayPal hasn't responded and talks are ongoing.
DECISION (Alan, 9/13/26): drop PYPL for now, not scored further. Rationale: an active M&amp;A target is out of scope for this system regardless of how the fundamentals look -- Part 1.3 explicitly excludes sub-12-month time horizons, and a stock trading on deal speculation has its near-term price driven by deal probability and terms, not the Tier 1-3 business-quality signals this framework measures. Current valuation/technical/relative-strength readings are likely deal-distorted rather than clean fundamental signals -- the moat-erosion narrative that likely contributed to PayPal becoming a target in the first place (Stripe growing TPV 3-4x faster, Apple Pay/Google Pay checkout pressure) may be real, but it can't be cleanly separated from deal dynamics right now. Revisit as a fresh candidate only after the situation resolves (deal completes, falls through, or goes stale) -- not before.
All 3 tickers' pending drafts formally rejected in landry_scores.json with documented reasons (not left in limbo). None of the 3 ever touched the Scoring tab -- pure screening exercise, no workbook cleanup needed. Sector coverage note: Financial Services (2 names total, both now resolved: V held, PYPL dropped for M&amp;A), Healthcare and Industrials both have several untouched names left if either sector gets revisited (Healthcare: ABT, AZN, BAX, BSX, ICLR, NTRA, PFE, UNH, VEEV; Industrials: BE, MIR, QXO, SMR, SUNB, SWK, UPS -- note BE and SMR were already flagged in the original Darryl analysis as secretly AI-datacenter-power plays despite the Industrials label, worth deprioritizing if Industrials comes up again).</t>
  </si>
  <si>
    <t>ABT,SLB,CCI,SCORING-EXPORT-BUGS</t>
  </si>
  <si>
    <t>Continued the Darryl-list screening round (2nd batch of 3 after PYPL/XRAY/GXO): one from each of the most underrepresented sectors -- Real Estate (CCI), Healthcare (ABT), Energy (SLB). SLB and ABT both cleared the Tier 1 floor and went through full research to Composite. CCI's headline Revenue Growth Consistency (-15.2% CAGR) turned out to be a mix of a deliberate fiber/small-cell divestiture (closed May 2026, $8.4B to Zayo/Arium) AND genuine unresolved litigation -- DISH allegedly defaulted on tower lease payments, Crown Castle terminated and is suing for over $3.5B, DISH counters with a force majeure claim already through an appeals court. A tower REIT's whole thesis depends on durable, visible lease revenue; this is live, unresolved uncertainty on exactly that, not an artifact more research would resolve. Rejected rather than scored further.
SLB: Moat=4 (undisputed #1 in oilfield services, $35.9B revenue ~$14B ahead of Halliburton; Delfi/Lumi digital platforms, ~30% share in drilling equipment; Digital segment ARR &gt;$1B, +15% YoY, 21% margin -- highest-margin segment in the company). Revenue Visibility=3 (capex-cycle-driven core, partially offset by growing Digital ARR and offshore backlogs). Management Quality=4 (3.5% dividend increase for 2026, &gt;$4B targeted shareholder returns, stable CEO tenure since 2019). Result: Composite 72.4, BUY. Scoring row 50.
ABT: Moat=5 (FreeStyle Libre ~40% global CGM share, $5.3B+ annual sales, 6M+ users -- genuine recurring consumables model with real switching costs; June 2026 Dexcom cross-licensing settlement removed a real patent-litigation overhang for a decade; diversified across 4 segments, 60% international revenue). Revenue Visibility=4 (recurring consumables plus diversification). Management Quality=5 (Dividend King, 54 consecutive years of increases, ~60% FCF payout ratio leaving real room, clearly articulated capital priorities). Note: raw Rev Growth Consistency score (2) is mechanically correct but driven by a 2023 COVID-testing-revenue rolloff inside the 3-year CAGR/CV window -- recent quarters (2025-2026) show clean, steady growth ($10.36B-&gt;$11.14B-&gt;$11.37B-&gt;$11.46B-&gt;$11.16B); left the raw score as computed rather than override it, flagged for context. Result: Composite 70.8, BUY. Scoring row 49.
Alan asked to validate/verify everything into and out of the Scoring tab while placing these two new tickers -- turned up four real, previously-unknown or unfixed bugs, not just the two new scores:
(1) landry/export.py's new-ticker placement logic treated the Scoring tab's SUBTOTAL ticker-count footer as if it were a real ticker (its column-A value is a bare number under data_only=True, but the formula TEXT ITSELF -- still a string -- under data_only=False, which export_workbook must use to avoid wiping every other formula in the workbook on save). This corrupted where ABT got placed (row 63, past the footer, no Company name) and silently dropped SLB entirely -- a second, independent bug in the same block only ever allowed exactly one new ticker to be appended per export call. Both fixed: excluded non-string AND formula-text values from the row-detection scan, and let the free-row counter increment per new ticker instead of capping at one.
(2) A genuine openpyxl gotcha cost real time diagnosing this: ws.cell(row=r, column=c, value=None) does NOT clear an existing cell -- the constructor only assigns a value when one is truthy/not-None, so this call is a silent no-op on a cell that already has content. Every 'clear' attempt using this pattern did nothing; the fix is explicit attribute assignment (cell = ws.cell(row, column); cell.value = None).
(3) landry/xlsx_io.py's read_scoring_tab (used by both `landry pending`/scoring and export.py's own import_scores) had NO max_row bound at all on main and only checked bare truthiness of column A -- meaning it was ALSO silently reading the SUBTOTAL footer as a real 49th ticker (literally named after whatever the current visible count was) on every single call, this whole session and presumably long before it. This is the third occurrence of the unbounded-reader-treats-a-footer-as-data bug class in this codebase's history -- CLAUDE.md already documented a max_row=60 fix for this exact function, but it was made on the abandoned db-migration-prep branch and never ported to main. Fixed properly this time with a content-based guard (exclude non-string values) rather than a hardcoded row bound, so it can't go stale as the tab grows the way a magic-number bound already has three times.
(4) Dashboard's row-by-row mirror formulas (=IF(Scoring!A47="","",Scoring!A47) pattern) only extended through Scoring row 47 (NFLX) -- KGS (added 9/11, row 48) was ALREADY invisible on Dashboard before today, and ABT/SLB would have been too. Extended Dashboard's mirror rows through Scoring row 50, moved its note and SUBTOTAL footer down to match, extended DashboardTable's Table ref (A1:J46-&gt;A1:J49, caught by `landry audit`'s table_ref check), and corrected Schema Reference's now-stale Dashboard row-range entry (also caught by audit). Verified rows 47-49 aren't accidentally row-hidden (unlike the 19 Rule-3-Avoid rows that are deliberately hidden elsewhere on that tab).
Full pytest suite run twice during this process: same 4 pre-existing, unrelated stale-test failures throughout, plus one NEW expected failure (test_import_seeds_store_and_reproduces_composite hardcodes NVDA's Composite as 93.2, its value before today's legitimate rescore to 89.2 -- test drift from real work, not a bug). None of the four fixes above caused any new failure. `landry audit` clean at the usual 2-pre-existing-plus-scoring-verification-baseline throughout, confirming CANDIDATES LIST.xlsx and the workbook itself both correctly reflect ABT/SLB/CCI's outcomes.</t>
  </si>
  <si>
    <t>DCA-CATCHUP-1-PREP</t>
  </si>
  <si>
    <t>Alan back from travel, ran the DCA-CATCHUP-1 prerequisite checklist a day early (due 9/30, he wanted to get ahead of it). Environment note: system Python was blocked by an unaccepted Xcode license (likely an OS/Xcode update during his travel-prep device refresh) -- fixed with a dedicated venv (/Users/Alan/.venvs/stock_picker), no action needed from Alan. See CLAUDE.md.
REAL CORRECTION: the '$1.55M portfolio, ETF sleeve = 21.7%' figures quoted to Alan on 9/13 (during the still-paused ETF-sleeve design conversation) were wrong -- an ad hoc inline script summed Current Positions market values without excluding zero-quantity legacy rows, landing at exactly double the real figure. Confirmed via the actual landry.xlsx_io.total_portfolio_value() library function: true total is $776,662.72, consistent with $751,223 on 9/7 plus Tranche 2's ~$26K and normal drift. The 10-ETF sleeve ($337,606) is therefore ~43.5% of the portfolio, not 21.7% -- a materially different starting point whenever the ETF-sleeve conversation resumes. Also found: Current Positions' own Price column can't be refreshed by this tooling at all (depends on an Excel-only STOCKHISTORY formula) -- Market Data (yfinance-refreshed) is the reliable source going forward. Both logged in CLAUDE.md.
Prerequisite checklist results: portfolio at a new high (~$777K vs $751K prior peak) -&gt; Drawdown regime Normal, full tranche proceeds. S&amp;P 500 -1.64% from ATH -&gt; baseline tier, no acceleration multiplier. Target stays $40,000-$50,000 per DCA-CATCHUP-PLAN-2.
NEW finding: landry refresh's Rule 36 cluster check flagged AVUV/DVY/SCHD/VFLO/VYM (5 of the 10 ETFs) at 20.76% aggregate exposure, over the docx's own 20% cluster cap (pairwise correlations 0.73-0.89 -- DVY/SCHD/VYM are the tightest at 0.86-0.89, essentially redundant large-cap dividend funds; AVUV/VFLO are more loosely tied at 0.73-0.79). Per the rule's own text this is a risk-review trigger requiring documentation of the shared risk driver (a common Value-factor tilt) and written approval to continue above 20%, not an automatic forced sale. Not yet resolved -- tied to the still-paused ETF-sleeve conversation. Logged as Open Items #13.
Diversifier headroom check: Alan's own read is that VRTX, PLD, AND ADBE (all three of the usual diversifier trio) have shown significant weakness over the past few weeks. Confirmed for VRTX via a fresh (unapproved) draft peek: FCF Yield and FCF Margin both now drafting lower (contracting on both), a real change from the 9/13 recheck -- PLD and ADBE not independently re-verified today, only Alan's observation. Given this, pulled the full field of qualified (Composite&gt;=65), not-yet-held candidates instead: GE (84.2, STRONG BUY) and NFLX (83.8, STRONG BUY) both re-verified fresh today with ZERO Tier 1 drift since 9/13 (genuinely stable), clean correlation (max 0.61 and 0.41 respectively, both vs SPMO), and zero current sector exposure (Industrials, Communication Services) -- COST (77.4) was available but its 8/11 score predates the pipeline maturity that caused ~70% of that same batch to fail on recheck, so not trusted without a fresh look; SLB/ABT (72.4, 70.8) are solid but lower-tier than GE/NFLX.
DECISION: split the tranche half-and-half between GE (~60-75sh at $334.91) and NFLX (~260-325sh at $76.77), roughly $20-25K each. Funding: SPMO first per the standing 9/13 sequencing decision (covers roughly half-to-two-thirds on its own, $26,491 combined); for the remainder, suggested drawing from DVY/SCHD/VYM specifically (the most redundant sub-cluster) as a way to also chip into the 20.76% cluster-cap breach above -- not yet confirmed by Alan, his call when he executes. Alan will execute at the broker 9/30 and report back actual fills for recording.
Not yet done, flagged for follow-up: a formal (approved, not just drafted) recheck of PLD and ADBE to match VRTX's fresh data point; VRTX/PLD/ADBE weren't touched beyond the one VRTX peek. See Open Items.</t>
  </si>
  <si>
    <t>PROCESS-CHECKLIST-FRESH-CHECK-STEP</t>
  </si>
  <si>
    <t>Agreed with Alan: starting with DCA-CATCHUP-2 (10/7, not retroactive to -1 which is already past prep), add a standing prep step -- before finalizing a tranche's buy target(s), run a fresh landry draft Tier 1 reread for every candidate under consideration, not just the usual diversifier names, and deprioritize anything showing new price-trend weakness or a stale (30+ day, or pre-8/18/26) Date Scored. Directly prompted by today's DCA-CATCHUP-1 prep (see row 62): VRTX/PLD/ADBE, the default trio, had all weakened since 9/13 with nothing flagging it, while GE/NFLX turned out stronger on a fresh check. Alan's own note: this kind of staleness tracking is exactly the sort of thing a real database would do more systematically -- not a request to resume DB migration work (still paused per Alan's standing instruction), just an observation for whenever that resumes.
Rebuilt Process Checklist to add this as a new step on DCA-CATCHUP-2 through -8 (each now 10 steps, was 9) -- DCA-CATCHUP-1 unchanged at 9. No Done=Y rows existed anywhere in the tab, so a full rebuild was safe (no completion data at risk). Schema Reference's row-range note updated to match (A4:F106, was A4:F99).</t>
  </si>
  <si>
    <t>DCA-CATCHUP-1 executed. GE (GE Aerospace) opened new, 75sh @ $314.71 ($23,603.25, JT ULTRA/Fidelity). NFLX (Netflix) opened new, 300sh @ $69.795 ($20,938.50, JT ULTRA/Fidelity). Total tranche $44,541.75, within the $40,000-$50,000 target (see DCA-CATCHUP-PLAN-2, 9/11/26) -- both names entered per the 9/29/26 prep decision (Composite 84.2 and 83.8, both STRONG BUY, both reconfirmed with zero Tier 1 drift on fresh data after VRTX/PLD/ADBE -- the usual diversifier trio -- all showed unflagged weakness). Both fill prices came in below the 9/29 estimate (GE $334.91-&gt;$314.71, NFLX $76.77-&gt;$69.795), a real ~6-9% overnight/next-day decline in both names, not a data error -- more shares bought for the same dollar target as a result. Recorded in Current Positions (rows 22-23, JT ULTRA block extended from 19 to 21 positions -- required inserting 2 rows and fixing every dependent subtotal/percentage formula across both the JT ULTRA and Chase blocks, since the block boundaries shifted; verified with a full self-reference scan after, one narrow collision caught and fixed where a row's old position number happened to equal the Chase block's own start boundary), Performance Tracking (new rows 7-8), and Monitor &amp; Recheck Triggers (Category Watch List -&gt; Owned for both). Funding: drawn from Fidelity cash, not an ETF sale -- FZFXX fully drained ($23, a residual balance) plus $44,518.75 from FZDXX ($137,296.09 -&gt; $92,777.34), covering the $44,541.75 tranche exactly. Portfolio total unchanged at $776,662.72 (a pure cash-to-equity reallocation) -- logged in Portfolio Drawdown Log row 5, still a new high vs. the $751,223 prior peak, regime Normal.</t>
  </si>
  <si>
    <t>VRTX,PLD,ADBE</t>
  </si>
  <si>
    <t>Fresh Tier 1 reconfirmation on VRTX/PLD/ADBE, following Alan's 9/29 observation that all three showed recent price-trend weakness. Result: zero drift on any of the three since the 9/13 recheck -- VRTX stays 3.14/66.6 BUY, PLD stays 3.93/76 BUY (still only revenue_growth_consistency auto-draftable, REIT limitation), ADBE stays 4.57/85.8 STRONG BUY. All reconfirmed and re-dated 9/30/26.
The actual picture is more specific than uniform weakness: ADBE is the real divergence case -- fundamentals unchanged across two checks now, but relative strength vs SPY has gotten worse (-30.1% on 9/13 -&gt; -35.6% now) and technicals are bearish. VRTX and PLD don't show much weakness on this fresh look at all -- VRTX's relative strength actually improved (+9.1%, bullish technicals), PLD is only mildly negative (-7.9%) with bullish technicals. Both are sitting at the lower BUY tier they already dropped to on 9/13, not declining further.</t>
  </si>
  <si>
    <t>Deep dive into ADBE's Moat Quality (currently 4/M) at Alan's request, prompted by the 9/30 reconfirmation finding zero Tier 1 drift alongside worsening relative strength (-35.6% vs SPY) -- "everything looks good, but it continues deteriorating; something we're not picking up." Research found a genuine leading-vs-trailing divergence: trailing financials (FCF Yield, Revenue Growth, Margin -- all Tier 1) still strong, but net-new-ARR is decelerating and RPO has declined sequentially, both leading indicators Tier 1's trailing-statement metrics can't see. Underlying narrative: competitive share pressure from Canva/Figma's freemium tier. Walked the system's own Moat Quality rubric (Part 2/3 -- 2-of-4 evidence gate for a 4/5 score: pricing power above CPI w/o volume loss, gross margin vs. industry median [confidence-tag only, doesn't count toward the gate], customer retention/switching-cost evidence, 3yr+ market share trend) together with Alan: only 1 of 3 substantive tests held up clearly, suggesting a possible drop to 3.
Alan's countervailing read: "nothing firsthand -- more a Wall Street narrative getting ahead of the real-world usage picture," and asked for a live chart read (Fidelity, authenticated, via Claude in Chrome) as a second data point. Chart (6-month daily) showed: price rolled over hard from ~$280-290 highs to an intraday low of $231.95 today before bouncing +3.11% to $240.34; Performance Index vs. SPY has run persistently negative for nearly the entire 6-month window (only a brief green patch near the highs that faded before the breakdown) -- a sustained-underperformance signature more consistent with a real repricing than a single-headline overreaction; MACD confirms a clean bearish crossover as price peaked in late August, bottoming most negative ~9/8-9/14 (Alan's own read, confirmed on zoom), now curling back up alongside today's bounce -- real dive, genuine but very early turn.
Decision (Alan's call): HOLD Moat Quality at 4/M -- no change. One day's bounce and an early MACD curl aren't evidence the system should act on absent something more concrete, and technicals can't independently adjudicate whether the ARR/RPO concern is real deterioration or overdone narrative -- they only confirm the market has genuinely committed to the move, not why. Flagged as an open watch item (Open Items #14) tied specifically to ADBE's next earnings report -- the first point real ARR/RPO data (not price action) would confirm or reverse the leading-indicator concern. Alan: stick with the time-tested rules/process absent genuine new evidence, "in spite of a little heartburn now and then."</t>
  </si>
  <si>
    <t>New standing practice: Fidelity info-tab scan added to Process Checklist, prompted by the ADBE Moat Quality deep-dive (row 66) and Open Items #14. For held positions under quarterly review or fundamental refresh (QTR-REVIEW-1/2, FUND-REFRESH-1/2), and for buy candidates during DCA tranche prep (DCA-CATCHUP-2 through -8, paired with the existing fresh-Tier-1-reread step), scan Fidelity's Overview, Dividends &amp; Earnings, Analyst Ratings, and Statistics/Comparisons tabs (via Claude in Chrome, Alan's authenticated session) -- confirmed earnings date, valuation-vs-industry (P/E, EPS growth), analyst sentiment split, multi-period price performance. This surfaces real context the yfinance-backed Tier 1 pipeline doesn't: on ADBE specifically it showed a P/E at roughly 1/4 the software industry average, EPS growth meaningfully lagging peers, a genuinely split (not uniformly bearish) analyst panel, and a multi-year price decline (-53% 2yr, -58% 5yr) -- none of which the existing pipeline would have caught.
DCA-CATCHUP-1 deliberately excluded (already executed/closed 9/30/26, same precedent as the 9/29 fresh-check-step addition skipping -1). Alan's explicit call: scope of application (which events, which tickers) is still being proven out over the next use or two -- default inclusive rather than narrow in the meantime, on the assumption the scan only adds/verifies signal rather than costing more than it's worth. Revisit the exact trigger list (e.g. whether to extend to Watch List Tracker entries specifically, or narrow back down) once there's a real pattern from 2-3 more uses.</t>
  </si>
  <si>
    <t>Built a dedicated Fidelity chart template, 'Landry_System_v1', set as the account default and favorited -- complements the info-tab scan practice logged above (row 67). Contains exactly 5 indicators: Volume, Supertrend (7,3), Time Fcst (14,C), Perf Idx (120,SPY), and MACD (12,26,9) -- built from Fidelity's own 'KEY INDICATORS_1' default plus MACD/Time Forecast (Alan's own regular picks) and Perf Idx vs SPY (proved genuinely useful in the ADBE Moat Quality read, row 66), with the more obscure/lower-value ones (W Acc Dist, Acc Swing, HHV, Darvas, PSY) dropped. Now loads automatically whenever a chart is pulled up in Fidelity, rather than the prior undifferentiated 'whatever Fidelity defaults to.'
Tried to automate the indicator cleanup via Claude in Chrome and hit real, repeated UI instability on this specific chart widget -- coordinate- and even element-reference-based clicks intermittently landed on the wrong target or triggered stray navigation (harmless -- menu opens, no trades/submissions -- but a real risk on a live account), most likely tied to the page's live/streaming quote re-rendering between actions. Stopped rather than keep guessing at a live account, and Alan completed the actual toggle-off + delete (two-step: toggle off, then the X becomes live) himself. Verified the final state directly afterward: exactly the 5 target indicators present and on, all 5 unwanted ones fully removed, template confirmed as both default (loads on fresh navigation) and favorited (starred in the saved-templates list).</t>
  </si>
  <si>
    <t>UNH,ACN</t>
  </si>
  <si>
    <t>Screened UNH and ACN off Darryl's list (2 this round, not the usual 3 -- explicitly to exercise the new Fidelity info-tab scan practice, added earlier today, on live cases). Both diverged sharply from their quant screen in opposite directions -- a good test of exactly what the new practice is for.
UNH: quant screen ~3.33 (no severe outlier, clears the floor). Fidelity scan surfaced a genuinely Bearish Equity Summary Score (1.5/10) and active litigation -- a judge denied in part UnitedHealth's motion to dismiss a CalPERS suit the same day. TTM EPS -32.67% vs industry +8.94% (real trailing decline), though the most recent single quarter beat and grew faster than industry (+61.5% vs +51.1%) -- a possible stabilization signal. None of the litigation or sentiment context would have shown up in the quant draft. Alan's call: flag to score further only after the situation settles -- not a floor-failure rejection like XRAY/GXO/CCI, just paused pending a clearer CalPERS resolution or the 10/13/26 Q3 print. Logged as Open Items #15.
ACN: quant screen ~2.875 (marginal, dragged down almost entirely by relative_strength=1, -34.7% blended vs SPY; otherwise fine -- fcf_yield 4, valuation 4 discount). Fidelity scan shows the opposite sentiment: Very Bullish Equity Summary Score (9.4/10), positive news flow, P/E ~40% of the IT-services industry average. GAAP EPS (TTM) and P/E both show '--', likely a large one-time charge distorting GAAP net income (adjusted quarterly EPS looks normal, consistent beats). Reports Q4 earnings 10/1/26 -- the very next trading day. Alan's call: hold open, no score or further screening until after that print. Logged as Open Items #16.
CANDIDATES LIST.xlsx Screen_Candidates tab updated for both (Status: 'Watch - Pending Litigation' for UNH, 'Watch - Pending Earnings' for ACN, both new status values -- no data validation on that column, confirmed before using them).</t>
  </si>
  <si>
    <t>SPOT,PFE,UPS</t>
  </si>
  <si>
    <t>Screened SPOT, PFE, and UPS off Darryl's list (last 3 before wrapping up for the day). Mixed outcome:
SPOT: quant screen ~3.67, strong across the board (FCF margin expanding, ROIC 44.6% vs WACC 11.1%, cheap valuation) with one severe outlier -- relative_strength=1, -29.7% blended vs SPY -- the same fundamentals-vs-price-action divergence pattern as ACN/ADBE/UNH this session. Ran the Fidelity scan on it specifically given that pattern. Unlike the other three, it reinforced the quant read rather than undercutting it: Bullish 7.2/10 consensus, zero Sell ratings across 6 firms, Evercore ISI raised its target to $700 on 9/29, short interest declining. The price weakness reads as giving back part of a large multi-year run (+32% 2yr, +121% 5yr) after a Q2 EPS miss, not a structural problem -- a genuinely different shape than ADBE's multi-year decline. Cleared to Ready for Tier 1 (full Tier 1-3 scoring is a separate pass).
PFE and UPS: both decisive floor failures, same territory as GXO. PFE has two indicators at the literal floor -- negative revenue CAGR (-14.8%) and ROIC actually below its own cost of capital (value-destroying, not just low). UPS also has two at the floor -- negative revenue CAGR (-4.0%) and broadly negative technicals across the board. Both rejected; neither warranted a Fidelity scan given how concrete and fundamental (not data-quality-artifact) the problems are.
CANDIDATES LIST.xlsx Screen_Candidates tab updated for all three. 17 Darryl names remain unscreened (20 before this round, minus these 3), plus UNH and ACN still sitting at Watch status from earlier today.</t>
  </si>
  <si>
    <t>NFLX deep-dive (prompted by Alan noticing a substantial decline the day after purchase, 9/30-&gt;10/1) and the new Hard Rule it produced.
Verified nothing was actually missed: relative_strength was explicitly scored 1 (the literal floor) and approved by Alan on 9/13, rationale on record as 'blended vs SPY -43.6% (6mo -34.8%, 12mo -52.4%)'. The Fidelity chart (Landry_System_v1 template) confirmed it -- Supertrend bearish for most of the past 6 months, MACD rolling into a fresh bearish crossover right at the purchase window. Today's specific move has a real catalyst too: Netflix's own CEO said on record that growth is 'not good enough' (same morning Guggenheim reaffirmed Buy, raised target to $80). Equity Summary Score Neutral (6/10), not bearish. Position down $409.50 (-1.96%) so far -- real but modest.
The actual gap: Rules 1-4 (Part 3) only ever scan the five Tier 1 columns. Relative Strength is Tier 2 (3% composite weight) -- a literal 1 there cannot trigger any existing hard rule and cannot meaningfully move an 83.8 Composite built on five Tier 1 scores of 4-5. Checked the actual docx text (not just the implementation-plan summary): Rules 1-4 are explicitly, deliberately Tier-1-scoped by their own wording, not a bug -- so this needed a genuinely new Hard Rule, not a formula tweak to an existing one, per Part 9's Change Control process.
Added Rule 5 (Part 3), Technical/Momentum Floor Review: any Relative Strength or Technical Trend indicator scored at 1 requires mandatory qualitative review before relying on a Buy/Strong Buy classification, new entry or existing holding alike. Scoped to just these two indicators (not all Tier 2/3) -- Valuation Multiples also showed literal-1 scores in the same dry-run (MU, ANET, CRWD, COST) but that's already governed by the existing Implied-Return Bear Case &gt;=0% gate, so including it would duplicate an existing safeguard rather than close a real gap. Dry-run also flagged ADBE (STRONG BUY, held) and ABT (BUY) for the same reason as NFLX.
Docx version bump: LANDRY_SYSTEM_v1-02_FINAL.docx -&gt; LANDRY_SYSTEM_v1-04_FINAL.docx (v1.04, 51 Hard Rules; v1.03 had been the current content version since 9/13 but the filename itself was never updated off v1-02 -- fixed in the same pass, per Alan noticing the drift). Rendered to PDF and verified visually, not just via the XML validator.
Significant side effect, found only by rendering: Hard Rule numbering is a single global auto-incrementing field spanning the whole docx. Inserting the new rule into Part 3 auto-numbered it as Rule 5, cascading every later rule's number by +1 -- Early Partial Trim 33-&gt;34, Correlation Cap 36-&gt;38, Portfolio Drawdown Response 37-&gt;39, Entry Checklist's Rules 5-13-&gt;6-14. Also surfaced that this exact problem already existed, unfixed, since Rule 33's own insertion on 9/13 -- the workbook's Instructions/Action Items quick-reference cheat sheet had been silently citing stale Rule 36/37 for weeks. Full sweep done this pass: the docx itself (Index + RULE REFERENCE section), and ~30 live workbook cells across Instructions, Action Items, Price History, Watch List Tracker, Entry Checklist (9 column headers), Correlation Matrix, Implied-Return Calculator, Process Checklist (8 rows), Open Items, and Schema Reference. Old historical Journal entries citing a rule by the number it had at the time they were written were deliberately left alone, same aging principle as everything else in this tab. Also fixed three long-stale LANDRY_SYSTEM_v1-01_final.docx filename references (README.md, LANDRY_IMPLEMENTATION_PLAN.md, landry/__init__.py) that predated even the v1-02 rename and had never been caught.
Alan raised, not yet decided: recalibrating to a decimal sub-rule scheme (e.g. Rule 2.1, 2.2) for new rules that elaborate an existing one, specifically to avoid this cascade recurring. Tonight's rule stays on plain integer numbering; the scheme question is deferred to its own discussion.</t>
  </si>
  <si>
    <t>Resumed the db-migration-prep re-validation (per the 9/30 plan: re-run python -m landry.migrate_to_db against main's current workbook before any other DB design work). Found a real, consequential data bug, not just a migration-script issue.
Price History had two rows both dated 9/4/26 -- row 158 (correct) and row 163. Row 163's ADBE/ANET/ASML matched row 158 exactly (stale carry-forward), but from AVGO onward the values looked column-shifted relative to row 158 (e.g. row 163's AVUV value equaled row 158's CRWD value), not a second legitimate week of data. Alan's read: almost certainly a leftover artifact from the original 3-year historical price migration he did by hand, possibly mis-corrected at some point since -- exact mechanism not reconstructable, not worth chasing further.
This wasn't inert: Returns (Calc) row 162 actively computes off Price History rows 162-&gt;163 (confirmed by reading the live formula), feeding into Correlation Matrix and the Rule 38 compliance check. Fixed expediently per Alan's direction -- cleared row 163's cells entirely rather than trying to reconstruct what it 'should' have been. Zero formula rewrites needed: Returns (Calc)'s formulas already wrap every Price History reference in ISNUMBER checks, so a blank row 163 correctly computes as blank rather than erroring, and the tab's own week-count footer (Price History!A165, =COUNT(A3:A163)) self-corrected from 161 to 160 with no manual fix -- already matching Schema Reference's existing 'Rows 3-162' documentation, which (unusually for this project) was already correct and didn't need updating.
Also fixed the code-level bug this surfaced: landry/xlsx_io.py's read_price_history (db-migration-prep branch) had no row bound at all and choked on the tab's 'NN Weeks' footer row -- the fifth occurrence of the same unbounded-reader-treats-a-footer-as-data class already hit in read_market_data, read_performance_tracking, read_entry_checklist, read_monitor_notes, and read_scoring_tab. Fixed with a content-based guard (real rows have a datetime in col A; the footer has a bare int) rather than a hardcoded max_row, consistent with how the others were fixed for real. Full migration re-run clean afterward: 48 tickers, 3,190 price_history rows, matches expectations.
DB sequencing decision (C-only vs. minimal-B) and Turso provisioning are still open -- this pass was explicitly just the re-validation step, not the cutover conversation.</t>
  </si>
  <si>
    <t>AZN,OKE,INTU</t>
  </si>
  <si>
    <t>Screened AZN, OKE, and INTU off Darryl's list to close out the day (17 remaining before this round, 14 after).
OKE: clean Rule 3 auto-Avoid -- two Tier 1 indicators at 2.0 (revenue growth consistency, inconsistent despite a decent headline CAGR; FCF margin trend, genuinely contracting). A real, rule-driven floor failure, same territory as GXO/PFE/UPS. No Fidelity scan needed.
AZN and INTU both triggered the new Rule 5 (Technical/Momentum Floor Review, added yesterday) -- the first live candidates to hit it since it was created, not a held position or an existing score like ADBE/NFLX. AZN: relative_strength=1 (-29.0% blended vs SPY) against otherwise solid fundamentals. INTU: relative_strength=1 AND technical_trend=1 simultaneously -- the first candidate to trip both Rule 5 indicators at once -- against genuinely excellent fundamentals (FCF yield 5, FCF margin 5, valuation 5, ROIC 5).
Pulled the Fidelity review for both, but the session logged out partway through (not a caching glitch this time -- a real session expiry) and wasn't re-authenticated, since that's Alan's login, not something to do unprompted. Equity Summary Score and Analyst Ratings weren't available for either as a result; price history, news, and earnings dates still were.
What that did surface: AZN's weakness looks genuinely milder on inspection -- still up +5.48% absolute over 1yr, badly lagging SPY rather than collapsing outright, with the real decline concentrated in the last two quarters (-16.83% 3mo, -20.04% 6mo) alongside a real sector headwind (weight-loss-drug competition heating up) and at least one offsetting positive analyst take (UBS on the Summit Therapeutics deal). INTU is a different order of concern entirely -- not a recent pullback, a sustained multi-year decline (YTD -57.31%, 1yr -58.59%, 2yr -54.46%, 5yr -47.59%), sitting just above its 52-week low against a high nearly 2.5x the current price, with a P/E of only 16.71 despite the pristine quant scores. The most severe fundamentals-vs-price divergence found all engagement -- more alarming than ADBE, NFLX, ACN, or SPOT, and explicitly not cleared the way SPOT was. Both held at Watch pending a fuller review once full Fidelity access is back. CANDIDATES LIST.xlsx Screen_Candidates updated for all three; Open Items #17 (AZN) and #18 (INTU) opened.</t>
  </si>
  <si>
    <t>AZN,INTU</t>
  </si>
  <si>
    <t>Follow-up to row 73: Alan logged back in (Fidelity's own 15-min post-close idle logout, not a bug) -- completed the AZN/INTU reviews that were partial.
AZN: confirmed it simply has no Equity Summary Score / analyst coverage on Fidelity at all -- not a gap from the earlier logout, a real absence of coverage for this ticker. Nothing changes from the partial read; held at Watch.
INTU: Equity Summary Score is a decisive Bearish 1.6/10, not neutral -- individual firms split 2 Sell/3 Neutral/3 Buy but the aggregate is clearly bearish. This confirms rather than just leaves unexplained the severe multi-year price divergence already found -- professional sentiment agreeing with the price action is materially stronger signal than price action alone. Still held at Watch, not escalated to anything firmer -- per Rule 5's own text this is a review requirement, not an automatic reclassification, so whether this should move beyond Watch is explicitly a call for Alan, not decided here. CANDIDATES LIST.xlsx updated for both.</t>
  </si>
  <si>
    <t>CANDIDATE-SCREENING-PRIORITY</t>
  </si>
  <si>
    <t>Standing policy for OPEN candidate screening (Alan, 10/2/26), replacing a simple sequence down the candidates list.
(1) Fill open spots first: choose the sector to screen next by how well it fills gaps in the portfolio -- sectors with little or no overlap with current holdings -- using the Sector Cap Headroom column already on CANDIDATES LIST.xlsx's Screen_Candidates tab (25% cap minus the sector's current weight), not list order.
(2) Sector search priority: before an open screen, first examine which sectors have delivered greater gains than the S&amp;P 500 (SPX) over roughly the last 30 years, and weight search effort toward them -- spend less time on sectors that are less inclined to beat the S&amp;P.
Exception: Darryl-list candidates are not subject to this and continue to be worked as before.
Not yet built: the 30-year sector-vs-SPX ranking (Open Items #19). Treat that ranking as a search-priority weighting only, not a sector verdict -- the Tier 1 gates and Hard Rules still decide every individual name.</t>
  </si>
  <si>
    <t>Observation (Alan, 10/2/26): NFLX bounced back up and turned positive just before the 10/1 close, after the post-purchase dip that prompted the Rule 5 work (row 71). The position (300 shares, bought 9/30) was held throughout: Rule 5 is a review requirement, not an exit trigger, and a price decline alone stays governed by Hold Through. Alan's read: the rules keep working as designed. First live Rule 5 case, so one data point only -- calibrate any change to the rule from a multi-case pattern, not from this one.</t>
  </si>
  <si>
    <t>DB-PHASE-C-SWITCH-ON</t>
  </si>
  <si>
    <t>Switched on (Alan, 10/2/26): the Journal and the Portfolio Drawdown Log are now generated from landry.db (LANDRY_DATABASE_DESIGN.md, Phase C steps 1-3). Entries for these two tabs are written ONLY with `python -m landry journal add|edit` and `drawdown add|edit` -- never by editing the tab. Each write refuses if Excel has the workbook open or if the database and the tab disagree (`python -m landry db status`; resolve with `db pull` when the workbook is right, `db regenerate` when the database is). Until Turso the committed workbook stays the source of truth and landry.db is a local, rebuildable cache.
This entry was the first write. Regenerating normalized the existing Journal rows: column-B wrap is on for every row and row heights are re-fit, so the compact one-line view on rows 54-74 is gone. The Drawdown Log's formulas, including the Part 7 band thresholds, now live in landry/generate.py -- change them there, not in the sheet. Every other tab is unchanged and is still edited directly.
Validated before switching on: a dry run on a scratch copy of the live workbook changed exactly the cells written (19 of 21 sheets identical, print setup identical on all 21) and the audit baseline did not move.</t>
  </si>
  <si>
    <t>BSX,MIR,SUNB</t>
  </si>
  <si>
    <t>Screened BSX, MIR, and SUNB off Darryl's list (14 remaining before this round, 11 after). Quant drafts first (pending in landry_scores.json, none approved), then the Fidelity info-tab scan on all three and a web check on why BSX and MIR fell. Dispositions were Claude's recommendation; Alan, shown the findings, asked for the write to go ahead and changed none of them.
BSX (Healthcare): quant-only Tier 1 ~4.33 (revenue CAGR 16.5%, FCF margin 15.5% and expanding, FCF yield 5.0%; max correlation +0.33 vs NFLX) but relative_strength=1 (-59.6% vs SPY) AND technical_trend=1 -- the second candidate after INTU to trip both Rule 5 indicators, and the first where the review found a concrete fundamental cause, not sentiment alone: U.S. electrophysiology stalled (+3% in Q2 vs +23% intl; Medtronic Sphere-9 taking share), Watchman stand-alone procedures fell low-teens after new clinical evidence, FY26 organic growth guide cut to 5-6% ('limited adjusted EPS growth in 2027'), and an 8/25/26 cyber incident disrupted manufacturing and shipping, after which Q3/FY26 guidance was reportedly pulled (hit unquantified). Secondary sources only (Yahoo Finance, TIKR, Motley Fool); Fidelity lists 8-Ks dated 8/26, 9/8 and 9/23, none read yet. Offsetting: Equity Summary Score Bullish 7.5/10 (mixed panel, not INTU's decisive 1.6), P/E 17.5 vs industry 39.8 (own 5-yr avg 64.9), TTM EPS +47% vs +10.5%, short interest 3.2%. Disposition: Watch - Pending Earnings -- Revenue Visibility can't be scored while guidance is withdrawn, so no judgment-indicator work until the 10/28/26 print (confirmed). Open Items #21.
MIR: quant-only ~3.44 (thin) with relative_strength=1 (-47.0% vs SPY, Rule 5) and roic_vs_wacc=1 (2.5% vs 9.7%). Fidelity confirms the weak price: independent-firm Equity Summary Score Bearish 1.4-1.6/10 against a 91% buy-equivalent sell-side; TTM EPS $0.10, last-quarter EPS growth 0.00% vs industry +86.5%; 1-yr -38% vs industry +63%; short interest 16.9% and rising. Growth is acquisition-led, ~$20M net insider selling. Rejected. SUNB: quant-only ~3.11, marginal (revenue flat $10.86B -&gt; $10.79B -&gt; $11.15B over FY24-26); Rule 5 couldn't be evaluated (NYSE-listed only since 3/2/26, ~150 price rows); Fidelity shows no sell-side coverage, a fair valuation (P/E 22.6 vs 23.5) and in-line EPS growth. Rejected; re-screen only if wanted after ~52 weeks of U.S. history (~Mar 2027) or via the AHT.L UK listing (GBP -- FX distorts relative strength).
CANDIDATES LIST.xlsx Screen_Candidates updated for all three; tab 2 rank/colors left for Alan. The quant drafts stay pending in landry_scores.json -- nothing approved or added to the Scoring tab.</t>
  </si>
  <si>
    <t>BAX,SWK,QXO,COLD,BE,SMR,CBRS,UBER,NTRA,VEEV,ICLR</t>
  </si>
  <si>
    <t>Finished the Darryl list: screened the last 11 names (BAX, SWK, QXO, COLD, BE, SMR, CBRS, UBER, NTRA, VEEV, ICLR) in one session. Quant drafts first (pending in landry_scores.json); Fidelity scan only for names clearing the floor. Dispositions approved by Alan 10/2 -- he downgraded ICLR from Ready to Rejected and decided UBER's sector. No Darryl names remain 'Needs Initial Screen'.
Tool bug found and fixed on the way: VEEV's draft silently lacked FCF yield, FCF margin and valuation (its yfinance cash-flow statement has a reported Free Cash Flow row but no Capital Expenditure row, and nothing warned). Now derives capex as CFO minus reported FCF, warns when no FCF series exists, and `landry draft` prints the warnings; 3 tests. Only PLD (a REIT) had the same gap among 46 scored tickers.
Rejected (8): BAX (Rule 3, three Tier 1 at 2, ~2.00); SWK (Rules 2+3, revenue CAGR -3.7%, ~2.56); QXO (Rule 3, revenue base reset by an acquisition, RS and trend both 1, ~2.44); COLD (three Tier 1 at 1, ~1.00; REIT with no AFFO adaptation, but revenue shrinking regardless); BE (~2.78, below the floor, FCF negative, RS +140% is momentum not fundamentals); SMR (pre-revenue, Rule 3, ~1.56); CBRS (~3.11 marginal, FCF margin -87%, no price history so Rule 5 untestable); ICLR (~3.89 only on a 6.1% FCF yield: revenue CAGR 2.1%, ROIC 3.3% vs 9.5% WACC, GAAP EPS -94%, a 60% Jan-Feb 2026 drop two-thirds retraced -- Alan: too weak).
Watch - Pending Earnings (2): UBER (~4.33, but relative_strength=1 at -33.9% vs SPY triggers Rule 5; Fidelity score Neutral, not bearish; robotaxi and driver-wage-litigation narrative; Q3 11/2). Alan ruled it counts as Industrials, not the Technology yfinance assigns, so headroom is +23.8% instead of -0.9%; if ever scored, set the Scoring tab's sector by hand. Open Items #22. NTRA (~3.44, +154% in a year, but independent-firm score Bearish 1.5, normalized FCF -$278M after SBC, no valuation anchor -- the INTU pattern; Q3 11/4). Open Items #23.
Ready for Tier 1 (1): VEEV (~4.22, no Rule 5 trigger, Fidelity score Bullish 8.2 with no bears, EPS growth ahead of industry; +0.51 correlation with ADBE despite the Healthcare bucket). Alan OK'd full Part 12 research. CANDIDATES LIST.xlsx updated for all 11, UBER's Sector/Industry corrected; tab 2 is Alan's. Darryl list totals: 33 Rejected, 15 Ready for Tier 1, 6 Watch - Pending Earnings, 1 Watch - Pending Litigation.</t>
  </si>
  <si>
    <t>VEEV fully scored (Part 12), the last Darryl name cleared for it: Composite 81.6, STRONG BUY, all hard rules OK. Judgment scores approved by Alan 10/2: Moat 4/M, Revenue Visibility 5/M, Management 4/M, plus the nine quant drafts (the three FCF-based ones carry an adaptation note: capex derived, since VEEV's statement has no capex row). Rationales with sources are in landry_scores.json.
Evidence in brief: subscription is 82.6% of Q2 FY27 revenue and 84.0% of FY26 (over the 80% line for a 5, narrowly); 12 of the top-20 biopharmas committed to Vault CRM, gross margin 75.5% and rising, top-10 customers a steady 28% of revenue; against that, Salesforce's competing life-sciences CRM has signed Novartis, AstraZeneca, Takeda, Pfizer and Chiesi, and management's own CRM share claim is 'over 70%'. Management: founder-CEO, no cash bonus, dual-class collapsed, independent chair, first buybacks ($170M FY26, $473M in H1 FY27), no named successor.
Alan leans conservative on Moat (3 -&gt; 78.6, BUY) and approved 4 on the explicit basis that it is re-evaluated at the purchase decision. The cross-check rule (2 of 4 evidenced) is only met if gross margin counts, which the rubric labels support-only; retention and pricing power aren't disclosed. STRONG BUY is knife-edge: it needs both Moat 4 and Visibility 5, and any single downgrade makes it BUY (all variants still clear the 65 entry floor). Open Items #24.
Mechanics: Scoring row 51 (pre-built formulas; company/sector/industry filled by hand, sector Healthcare per the candidates sheet), Dashboard mirror row 50, DashboardTable A1:J50, and the Dashboard colour rules carried from row 46 to row 50 (they had stopped at 46, so KGS/NFLX/ABT/SLB were uncoloured). Written with a VEEV-only call to export_workbook rather than `landry export --scores`, which would have re-stamped every approved ticker's Date Scored, rewritten other rows from the store, and overwritten Market Data from the 9/29 snapshot. The audit's bulk_import check was tightened to also require an empty or duplicated rationale (VEEV's three same-second manual approvals each have their own text and tripped the timestamp-only version; V's identical 'BACKFILLED' notes still flag). CANDIDATES LIST.xlsx updated.</t>
  </si>
  <si>
    <t>QTR-REVIEW-1,STATEMENTS</t>
  </si>
  <si>
    <t>Q3 month-end statements (9/30/26) reconciled against the workbook -- QTR-REVIEW-1 step 1. Fidelity X64-063711 $406,372.50 + Chase 735-43693 $315,412.66 = $721,785.16; the workbook and the 9/30 Drawdown Log entry said $776,662.72 (+$54,877.56).
Positions and cost basis: every share count and every cost basis matched the statements exactly (fractional-share rounding aside) -- no missing trades. The whole gap was cash and prices. Fidelity cash was never reduced for September's outflows ($36,519.99 of withdrawals, $18,448.63 of Visa buys, less income): the workbook carried $92.8K of FZDXX against $83.9K on the statement, which itself still held the $44,541.75 that paid for GE/NFLX (bought 9/30, settled 10/1, so not on the statement). Chase's sweep was $8,995.82 low (the 9/8 $16,500 deposit net of the VRTX buy). Prices were $10.4K stale against the 9/30 closes.
Why it mattered: the wrong 9/30 value had become the running peak in the Drawdown Log and would have overstated every later drawdown.
Decision (Alan, 10/4): Drawdown Log 9/30 = $741,557.65 = statements $721,785.16 - $247.50 (GE/NFLX closed 9/30 below their fills, unsettled) + $20,019.99 net external withdrawals added back, because Part 7 measures drawdown net of external deposits and withdrawals. External: $36,500 EFT'd from Fidelity to Chase bank ****7447 (9/9 $16,500, 9/14 $20,000) plus $19.99 PayPal; the $16,500 that came into Chase brokerage on 9/8 (ACH from the same bank) nets against them. Alan confirmed 7447 is outside the System. Result: -1.3% from the 9/4 peak of $751,223.12, regime Normal (the raw statement basis would have been -3.9%, also Normal). Whether the 8/11 and 9/4 entries handled flows the same way cannot be told from these two statements -- the August ones would be needed.
Current Positions: FZDXX 92,777.34 -&gt; 38,154.18, FZFXX 0 -&gt; 1,174.01, QACDS 1,853.89 -&gt; 10,849.71, cash cost basis set equal to value (also clears the understated combined unrealized G/L noted 10/2: now $59,880). Prices left as the workbook's own, so the combined total reads $732,209.39, about $10.4K above the statements until Excel refreshes them. QTR-REVIEW-1 step 1 ticked; steps 2-4 still wait on the Price History week-close update.</t>
  </si>
  <si>
    <t>PRICE-HISTORY-REPAIR</t>
  </si>
  <si>
    <t>Price History repaired and made one-command. Alan asked for the most efficient way to record week-end closes; looking at the tab showed it was itself broken.
Found: (1) the 10/2 row held interim prices up to 9% off the real Friday closes (KLAC +9.4%, VFLO -6.9%, ASML +5.4%). (2) Around 10/1, `landry export`'s Price History block -- which writes only the first 16 tickers alphabetically -- had rewritten the header: SPMO and V each appeared twice, VRT/VRTX/HELO lost their columns, JEPQ/VFLO and the duplicate SPMO/V columns were left five weeks out of alignment (their correlations with everything read ~0), eight held positions (GE, HELO, JEPI, MLPI, NFLX, VRT, VRTX, VYM) had no column at all, and the 19 charts on Returns (Calc) -- titled by ticker, reading columns by position -- plotted the wrong instruments (the CRWD chart showed AVUV). Rule 38's matrix was partly blind to the ETFs.
Repair: restored the documented layout (B-V = the original 19 tickers, with DVY and SCHD in the two free slots P and U), rebuilt every close from one dividend-adjusted pull (which also replaces the 10/2 row with the true closes), and added VYM, MLPI, JEPI, GE and NFLX at W-AA, extending Returns (Calc) (cols AP-AT, since its W-AO hold the chart trend block) and the Correlation Matrix to 26x26. Verified: Returns (Calc) matches an independent recomputation to 5e-16, all 676 matrix cells match a pandas CORREL, and all 19 charts title the ticker they plot again.
Tooling: new `python -m landry prices status|append|rebuild|add` (landry/prices.py, 24 tests). It appends only completed Fridays; refuses unfinished weeks, moves over 35% and provider gaps; extends Returns (Calc) one row ahead, moves the footer and the charts; never reorders or drops a column. Basis is dividend-adjusted (weekly total returns, per Rule 38): append weekly, `rebuild` each quarter to restate for dividends. `landry export`'s Price History block is retired. New audit check `price_history` (duplicate/missing header tickers, holdings with no column, a blank newest row, chart title vs the column it reads). fetch_daily takes min_bars (MLPI only listed 12/18/25).
Effect on Rule 38: the matrix now reports 11 positions over the 0.70 cap (4 on the broken one): NVDA and AVGO via SPMO/JEPQ (0.73-0.75), the ETF sleeve AVUV/DVY/SCHD/VFLO/VYM plus JEPI and HELO, and KLAC/ASML at 0.77 -- consistent with Open Items #13 and the SPMO-first funding rule, now visible in the workbook. Open Items #25-27. Not done: charts for the 7 tickers added since; the 160-week history exceeds the 36-month cap because the matrix ranges do not roll.</t>
  </si>
  <si>
    <t>Follow-up to row 82: the 19 chart trend lines were wrong long before the header was clobbered. Their formulas find Price History's last row with MATCH(9.99E+307, 'Price History'!A:A), but the 'NN Weeks' footer's COUNT in column A is the last number in that column, so they read the footer row: every trend line ran from its first price down to 0 at the end, and ADBE's was an error (the text 'Weeks' sits in the footer's column B). Fixed by finding the last row from Returns (Calc) column A (it has no footer) plus one; all 19 verified to start at the first price and end at the last (HELO starts at 0 only because it listed 9/29/23).
`prices append` copies the trend formulas verbatim -- they are identical in every row, anchored to Price History row 3 -- and translates only the row-relative return and date formulas. A rehearsal of the weekly append on a scratch copy of the live workbook (simulated 10/9 data, LibreOffice recalc) caught it shifting that anchor before it ever touched the real file; the rehearsal also confirmed the footer moves to row 166 with the right count, the charts move down a row, Returns (Calc) stays one row ahead, and the price_history audit stays green.</t>
  </si>
  <si>
    <t>WEEKLY-ROUTINE</t>
  </si>
  <si>
    <t>WEEKLY-ROUTINE (10/4/26). Alan approved ("yes to both"): Claude runs the Friday-close routine every Saturday, with the Market Data refresh folded in. Follows his "from now on you handle all price updating/tracking after Friday close" and Journal row 82 (the Price History repair and `landry prices`).
WHAT: `python -m landry weekly` -- (1) `prices append` any completed Friday not yet in Price History (Returns (Calc), footer and charts follow); (2) refresh Market Data C:I and the Monitor tab's Next/Last Earnings Date (col J) for every ticker already listed, in place, from yfinance; (3) one LibreOffice recalc; (4) read Rule 38's status back and run `landry audit`. `landry market` is the same minus Price History. Code: landry/market.py, landry/weekly.py, with tests.
WHEN AND HOW: scheduled Claude task landry-weekly-friday-close, Saturdays 8:00 local (the app staggers it to ~8:14); it runs only while the Claude app is open (else on next launch). It refuses to touch the workbook while Excel has it open (reports instead; any later run catches up every missed Friday). It NEVER commits or pushes: a modified workbook on a weekend is its output, committed only when Alan says so.
GUARDS: never adds, removes or reorders rows (what the tabs cover stays Alan's call); never blanks a cell the provider has no figure for (JEPQ/SPMO market caps came from another source); never replaces a future earnings date with a past one; checks each column's header before writing. It flags a quote &gt;3% from the Friday close just appended (weekend runs), a price &gt;30% from the prior entry, and a dividend-yield unit change. Audit findings from scoring_verification (the known provenance backlog: V's bulk import, 25 tickers with no landry_scores.json trail) are reported but do not make a run "need attention" -- this routine never touches Scoring; any other audit failure does.
FIRST RUN (10/4, after the 10/2 close): 36 of 36 tickers refreshed, 163 cells changed (NVDA 227.21 -&gt; 233.95; NFLX 76.77 -&gt; 67.06, a 12.6% fall from the 9/29 figures, matching Price History's 10/2 close). Nine stale earnings dates updated (ADBE -&gt; 12/9, MU -&gt; 12/23, AVGO -&gt; 12/9, COST -&gt; 12/10, NKE -&gt; 12/17, four small revisions). Four stale yields CLEARED -- ETSY 0.54, NFLX 0.79, PLTR 0.70, MLPI 0.47: the provider reports no dividend paid in 12 months for all four, and they had sat unchanged across six commits. `landry export` no longer fills Market Data (its only source, landry_snapshot.json, was five days stale).
NOT DONE (Open Items #28): ABT, SLB and VEEV are in neither Market Data nor Monitor, and KGS is in Monitor only; the Instructions' scope rule puts all four in both. Adding Monitor rows is Table surgery, so it waits for Alan.</t>
  </si>
  <si>
    <t>MARKET-DATA-MEMBERSHIP</t>
  </si>
  <si>
    <t>MARKET-DATA-MEMBERSHIP (10/4/26). Alan approved adding the four names flagged in Open Items #28 to Market Data: ABT, SLB and VEEV (scored, on the bench) and KGS (Watch List; already in Monitor). They went in at their alphabetical places (the tab is alphabetical, nothing references it by row, and its autofilter A2:I44 already covered the extra rows); company names come from the Scoring tab and the figures were filled by `landry market` from yfinance, so all four now join the Saturday refresh. Market Data is 40 tickers, rows 3-42 (Schema Reference C38 updated). Two other rows moved only because yfinance revised their trailing P/E over the weekend (AVGO 43.8 -&gt; 45.2, VRTX 29.5 -&gt; 29.4).
The audit's reader_bound check caught a stale hardcoded `max_row=38` in xlsx_io.read_market_data the moment the rows went in (the same bound class as the earlier 27 and the Scoring/Price History readers); it now reads every row whose column A holds a ticker-shaped string, with no row bound.
Still open under #28, now Monitor only: ABT, SLB and VEEV have no row in Monitor &amp; Recheck Triggers (its own header says it covers every name that has been scored). It is a Table with array formulas that Current Positions reads by ticker, so adding rows is structural and waits for a deliberate pass with Excel closed and a check in Excel afterwards.</t>
  </si>
  <si>
    <t>TEST-REPAIR</t>
  </si>
  <si>
    <t>TEST-REPAIR (10/4/26). Alan asked for the six failing tests to be fixed. Four were rot; two turned out to be a real finding.
ROT: test_fresh_cache_not_stale read this machine's real data_cache/ (SPY's meta sidecar says "built from 2020-10-02"), so it failed here and passed on a fresh checkout -- every test in that module now gets an empty cache directory. test_read_positions_from_workbook pinned equities at 25-60% of the portfolio (75% now that the cash is deployed) -- now 0 &lt; share &lt;= 1 plus a summed-across-accounts check, and a synthetic equity_weights test. test_import_seeds_store pinned NVDA's composite at 93.2 (89.2 today) -- now compared with the workbook's own composite. test_read_performance_tab_empty_is_ok read the live tab, which holds six entries now -- now a synthetic empty tab, a synthetic populated row, and structural checks on the live entries. None of the four pins a live workbook value any more.
FINDING (Open Items #29): the other two, the engine-versus-workbook round trip and the web dashboard cross-check, were failing on three HELD positions. Scoring!Decision is a plain composite-to-band lookup and does not apply the Tier 1 gate. AVGO, VRTX and CRWD each have FCF yield and FCF margin scored 2, so their Rule 3 column reads AVOID (Part 3: two or more Tier 1 indicators at 2.0 or below "shall automatically classify the stock as Avoid"), yet Decision reads BUY, BUY and WATCH LIST, while landry.scoring and the dashboard (which flags them as mismatches) say AVOID. Part 6 maps only composite bands to Probationary Hold / Exit Review for holdings, so the rulebook does not say what Rule 3 does to a position already held. The tests now NAME the gap (KNOWN_GATE_BYPASS = AVGO, VRTX, CRWD: their numbers and flags must still agree, and the set must not change) instead of staying red or being loosened; the decision -- fix the formula, amend the rule, or document the exception -- is Alan's.
Also found: both tests assumed every scored row is complete, but the workbook now holds several part-scored candidates; they handle those explicitly now.</t>
  </si>
  <si>
    <t>MONITOR-MEMBERSHIP</t>
  </si>
  <si>
    <t>MONITOR-MEMBERSHIP (10/4/26). Alan approved adding the three remaining names from Open Items #28 to the Monitor &amp; Recheck Triggers tab ("yes to both"). ABT, SLB and VEEV are now rows 49-51 of MonitorTable (A2:Q51), category Watch List, built from KGS's row (the last one added by hand): Last Score Date is the true scoring date (ABT and SLB 9/13, VEEV 10/2 -- the Scoring tab's Date Scored reads 9/30 for ABT and SLB, the export re-stamp quirk in CLAUDE.md), composite / Tier 1 average / decision come from Scoring, and Price at Last Score is the Friday close on or before that date (ABT 101.95, SLB 56.06, VEEV 273.33). Insider flag: VEEV Y (9/16 sale by its Pres. &amp; Chief Customer Officer, $265,200); ABT and SLB N. Analyst-shift N for all three. Earnings dates came from `landry market`: ABT 10/21, SLB 10/23, VEEV 11/25 -- VEEV's Watch re-look date is 11/18, so check which is right.
Side effects handled in the same pass: the conditional-format and validation ranges had stopped at rows 47 and 42, so KGS was uncoloured and unvalidated -- they now run to row 51; and the 37 Current Positions price lookups that read Monitor A3:A48 / H3:H48 now read to row 51 (the audit's xref_range check flagged them the moment the table grew). The portfolio total is unchanged, the audit is back to its baseline, and Open Items #28 is closed. Adding rows to a Table is the structural edit CLAUDE.md warns about, so the workbook should be opened in Excel once.</t>
  </si>
  <si>
    <t>RULE-3-HOLDINGS-CORRECTION</t>
  </si>
  <si>
    <t>RULE-3-HOLDINGS-CORRECTION (10/4/26). CORRECTION to Journal row 86 and to what Alan was told before he approved a rulebook clarification: both said the rulebook does not say what Rule 3 does to a position already held. That was wrong. Part 3's decision table gives the Avoid classification an Existing Holding Action -- "Exit Review; sell within 30 days unless a dated 90-day remediation plan is approved" -- and Rule 3 says two or more Tier 1 indicators at 2.0 or below "shall automatically classify the stock as Avoid". Read literally, AVGO, VRTX and CRWD have been in Exit Review since their 9/13 re-score. That also matches the first use of Rule 3 on holdings (8/7: SFM, TSLA and ONON sold), while the 8/12 workflow policy in the Instructions tab says an owned position's Rule 3 trigger is flagged by Claude and the analyst confirms the classification and any remediation decision -- which nobody did on 9/13, because the Scoring tab's Decision column showed Buy, Buy and Watch List and the tests that would have flagged it were written off as stale.
Alan's "yes" was to a v1.05 clarification making Rule 3 a mandatory review (no additions until reviewed; classification follows the composite) on holdings, and it rested on that mistaken premise, so nothing was adopted: a v1.05 draft was built and validated in a scratch folder only, and the engine, dashboard and tests were left as they are (the tests still name the gap, KNOWN_GATE_BYPASS). The decision is back with Alan, in Open Items #29 (rewritten): (A) apply the rule as written -- the three go to the Watch List Tracker as Exit Review and are sold within 30 days (counted from the 9/13 re-score that is 10/13; or from the day Alan confirms the classification) unless he approves a dated 90-day remediation plan for each; or (B) adopt the clarification, a deliberate softening of a Hard Rule. My earlier remark that neither open item had a deadline is superseded: under (A) there may be one.</t>
  </si>
  <si>
    <t>RULE-3-HOLDINGS</t>
  </si>
  <si>
    <t>RULE-3-HOLDINGS (10/4/26). Alan chose option A on the Rule 3 question (Open Items #29; correction in row 88): "stick with the rules as written, for the reasons they were written." Rule 3 -- two or more Tier 1 indicators at 2.0 or below "shall automatically classify the stock as Avoid" -- now applies to holdings exactly as the rulebook's decision table has it: Avoid on an existing holding is Exit Review, sell within 30 days unless a dated 90-day remediation plan with a credible, documented path is approved. The v1.05 clarification (Rule 3 as a mere review trigger on holdings) was drafted and validated in a scratch folder and is NOT adopted; the rulebook stays at v1.04.
WHAT CHANGED. (1) Scoring!AG (Decision), all 58 formula rows, now applies the gates in landry.scoring.classify's order: Rule 3 first, then the composite band with Rule 1 capping Buy / Strong Buy at Watch List and Rule 4 capping Strong Buy at Buy. landry.scoring.decision_formula is the canonical text; a test pins every row to it and a grid test checks it against classify(), and LibreOffice agrees on all 88 cases. Only three Decision cells moved: AVGO Buy -&gt; Avoid, VRTX Buy -&gt; Avoid, CRWD Watch List -&gt; Avoid. (2) Watch List Tracker: CRWD moves from Probationary Hold to Exit Review (Rule 34's Early Partial Trim covers Probationary Hold only; Trims Taken stays 0), AVGO and VRTX are added as Exit Review, entry date 9/13/26 (the re-score that tripped the rule), Credible Remediation Plan = N, so each reads "NO CREDIBLE PLAN -- SELL WITHIN 30 DAYS" and Action Items E5 counts 3. The tracker's status formula also gained a Rule 3 guard: that formula treats recovery as the composite climbing back to 50, so without it a Rule 3 Exit Review (composite already 50+) would have read RECOVERED the moment a remediation plan was approved; with it a plan reads ON TRACK. (3) New audit check held_positions_tracked: every held scored position classified Watch List, Avoid or Pass must be in the tracker with the matching status -- the check that would have caught this on 9/13. (4) The engine needed no change; the tests are strict again and the KNOWN_GATE_BYPASS set is gone.
THE CLOCK. The 30 days run to 10/13/26 if counted from the 9/13 re-score (what the tracker rows say) or to 11/3/26 if counted from today's confirmation; the rulebook does not say which. Alan to confirm (Open Items #30, due 10/13). No additions to AVGO, VRTX or CRWD meanwhile -- relevant to DCA-CATCHUP-2 on Wed 10/7: Exit Review is a no-add status, and the Entry Checklist now shows FAIL for the three.</t>
  </si>
  <si>
    <t>FALLBACK-PRICES</t>
  </si>
  <si>
    <t>FALLBACK-PRICES (10/5/26). Alan approved ("yes - update the fallback prices weekly") keeping Current Positions' price fallbacks current. The mechanism: Current Positions!F is =IF(IFERROR(INDEX(Monitor!H...),"")="", &lt;a hardcoded number&gt;, INDEX(...)) -- the live STOCKHISTORY price when real Excel has resolved it, otherwise that number. Python and LibreOffice cannot resolve STOCKHISTORY, so after every tool write F showed the number, which had been typed in weeks earlier; and the ten ETFs have no Monitor row for STOCKHISTORY to live in, so for them F showed the number even inside Excel.
`landry weekly` (and `landry market`, or `landry market --positions-only`, which needs no network) now sets that number, in each held row's formula, to Market Data's price (landry.market.sync_fallbacks). Only the number inside the formula changes. Rows with no shares, cash sweeps (a plain 1), rows with no Market Data price and any formula of an unexpected shape are left alone and reported; a moved column is refused before anything is written; a second run over unchanged prices writes nothing.
FIRST RUN (10/5/26, from the Friday 10/2 closes in Market Data): 32 price formulas across 26 tickers. The ETFs had been stale on the high side -- MLPI 54.63 -&gt; 51.17, VFLO 55.29 -&gt; 51.82, DVY 164.25 -&gt; 153.05, SCHD 34.80 -&gt; 32.72, AVUV 126.93 -&gt; 120.03, VYM 164.23 -&gt; 156.46 (JEPQ and SPMO up about 2%) -- and the sheet's total fell from $738,455 (the Excel-saved file: live stock prices, stale ETF fallbacks) to $726,938, removing an $11.5K overstatement. The Drawdown Log is unaffected: its values are logged from statements. Monitor H and I (STOCKHISTORY) read blank after any tool write and fill when the workbook is opened in Excel, as before. Schema Reference (Current Positions F; Dashboard's now-unhidden rows) updated in the same pass.</t>
  </si>
  <si>
    <t>DATE-SCORED,RULE-CITATIONS</t>
  </si>
  <si>
    <t>Housekeeping from the DCA-CATCHUP-2 prep (10/5/26), approved by Alan.
(1) Scoring's Date Scored was re-stamped 9/30 for 21 tickers by the export that wrote the ADBE/PLD/VRTX Tier 1 reconfirmation (commit 2c658fa) -- the known `export --scores` global re-stamp, not reverted that day. Only VRTX, PLD and ADBE were actually re-approved on 9/30 (landry_scores.json approved_at); the other 18 (MU, AVGO, PLTR, NVDA, ANET, ASML, CRWD, KLAC, TSM, VRT, V, PG, DPZ, YUM, GE, NFLX, ABT, SLB) were last approved 9/13 and are set back to 9/13. Effect: the 9/30 stamp made 22-day-old scores read as 5 days old to the 30-day staleness step in the DCA prep; nothing else reads the column. CLAUDE.md records the method (compare each row's date with its latest approved_at).
(2) Stale rule numbers corrected by meaning against the v1.04 text: Entry Checklist A1/H2, Action Items A27/A29, Instructions A44, Schema Reference C58, Open Items #4/#24 (Part 4 is Rules 6-14; the implied-return gate is 12-14), Implied-Return Calculator S2 (now RULE 12 / 13 CHECKS), and Process Checklist B7/B21 (the 90-day Watch List deadlines are Rules 32-33, not 34). Journal rows citing old numbers stay as written.
(3) The Monitor note for VEEV no longer says 'Watch - Pending Earnings': CANDIDATES LIST and Journal rows 79-80 have it Ready / fully scored, and Q3 earnings (Fidelity 11/18, unconfirmed; yfinance 11/25) is a re-check point, not a hold-off.
Verified: a formula/constant diff against the pre-edit file shows only these cells; recalc clean; audit 60/62 (the two standing scoring_verification findings); `db status` in sync; 632 tests pass. As with any tool write, the recalc strips Excel's live STOCKHISTORY prices from Monitor columns H/I; they return when Alan opens the file in Excel.</t>
  </si>
  <si>
    <t>AVGO,VRTX-RESCORE</t>
  </si>
  <si>
    <t>AVGO and VRTX re-scored on the latest 10-Q figures (10/5/26), at Alan's direction (Open Items #30). CRWD is unchanged and still due 10/13.
WHY. The 9/13 scores came from fiscal-year statements, 11 months (AVGO, FY ended 11/2/25) and 9 months (VRTX, FY ended 12/31/25) behind the filings. Fresh drafts reproduced FCF Yield &amp; Trend 2 and FCF Margin Trend 2 for both, and SEC XBRL reproduces them exactly under Part 10's FCF (CFO - capex - stock comp), so they were right on the data they used. The latest 10-Qs show after-comp FCF of $30.9B for AVGO (+60% on FY25) and $3.1B for VRTX (+24%).
METHOD (landry/sec_ttm.py, tests/test_landry_sec_ttm.py; python -m landry.sec_ttm TICKER [--add-back DATE:USD]). Five non-overlapping 12-month windows ending at the newest 10-Q quarter-end (AVGO 8/2/26, VRTX 6/30/26) and its four anniversaries, through the same rubric functions `landry draft` uses. Five because Part 2 says five years where available (the pipeline's four is a yfinance limit); chosen before the results. Only the three Tier 1 quant indicators were refreshed; everything else stays as recorded (the 9/13 policy). VRTX's window ending 6/30/24 has the $4.4B Alpine payment added back: Part 10 adjusts FCF for acquisitions, and the FY24 10-K books it as acquired IPR&amp;D through operating cash flow (net loss that year). Unadjusted, VRTX would score 4/4/4 and 78.6.
RESULT. AVGO: FCF Yield &amp; Trend 2 -&gt; 3 (yield 1.8%, trend expanding +72%), Revenue Growth 3 -&gt; 4 (CAGR 29.5%, CV 0.43), FCF Margin Trend stays 2 (34.7%, but 'contracting' against the 43% windows, -16% on a 10% tolerance). Composite 67.8 -&gt; 74.8, BUY. VRTX: FCF Yield &amp; Trend 2 -&gt; 3 (yield 2.4%, trend stable), Revenue Growth stays 4, FCF Margin Trend stays 2 (24.7% against 36-40% windows). Composite 66.6 -&gt; 70.6, BUY; Tier 1 average 3.43, only 0.43 over the floor. Rule 3 clears for both: one Tier 1 indicator is now above 2. In every variant tried (4 or 5 windows, adjusted or not, overlapping fiscal-year-plus-TTM) FCF Yield &amp; Trend is 3 or more for both; composite ranges AVGO 74.8-83.8, VRTX 67.6-78.6.
BOOKKEEPING. Six approvals in landry_scores.json (quant_draft, approved_by Alan; VRTX with a Part 10 adaptation note); Scoring rows 4 and 7 re-dated 10/5; Monitor columns C-G stamped; both rows removed from the Watch List Tracker (row 89's Exit Review entries for them are closed). CRWD stays: on the same method it is still 2/2 (TTM after-comp FCF $282M, 5.2% margin, yield 0.1%). Whether other holdings get the same refresh: Open Items #31.</t>
  </si>
  <si>
    <t>CRWD-SELL-BY,RESCORE-DECISIONS</t>
  </si>
  <si>
    <t>Alan's answers on the AVGO / VRTX / CRWD follow-up (10/5/26), after the re-score in row 92.
(1) VRTX: keep the Part 10 adjustment (the $4.4B Alpine payment added back to the window ending 6/30/24). The recorded scores stand: FCF Yield &amp; Trend 3, Revenue Growth 4, FCF Margin Trend 2, composite 70.6 BUY.
(2) CRWD: sell, by 11/3/26. No remediation plan: on the latest-10-Q method it is still 2/2 (trailing after-comp FCF $282M, 5.2% margin, yield 0.1%, stock comp 23% of revenue) and no credible path to 3 exists inside 90 days. The 30 days are counted from the 10/4 confirmation, the later of the two readings in Open Items #30, so the sell-by date is 11/3, not 10/13. Alan's reason for the later date: Fidelity's charts look very strong (up 132% YTD, within 1% of its 52-week high). The rule does not turn on price, but which clock to use is his call. No filing arrives before 11/3 (Q3 is expected 11/30), so there is nothing further to re-score. Position: JT ULTRA/Fidelity 40 sh (cost $124.78, +118%) and Chase 45 sh (cost $157.76, +71%), $22,950 at market and about $10,860 of gain. Part 8 does not extend a fundamental sell's window (Rule 40); lot choice is Rule 42's, and Alan picks the lots and the day inside the window. Tracker row 3 and Open Items #30 now say 11/3.
(3) Open Items #31 (fiscal-year versus latest-10-Q basis): Alan asked for a recommendation. A read-only scan of the 16 held stocks (mechanical, unreviewed) computes 11 (NVDA, GE and PLD hit missing-tag gaps; ASML and TSM file 20-F, so have no 10-Qs). On trailing windows two bands would change, ANET STRONG BUY -&gt; BUY and VRT BUY -&gt; STRONG BUY; no new Rule 3 trips; composites move 3-7 points either way. Recommendation: keep fiscal-year scores as the record; compare against the latest 10-Q for every US-filer holding at each quarterly review and before any rule-forced action; re-score on trailing windows only where the comparison changes a hard-rule outcome or band, in either direction. Awaiting Alan's call.</t>
  </si>
  <si>
    <t>OPEN-ITEMS-31,TTM-POLICY</t>
  </si>
  <si>
    <t>Alan's "go" on Open Items #31 (10/5/26): the fiscal-year versus latest-10-Q basis is settled as Claude recommended.
POLICY. Fiscal-year scores stay the record (the rulebook's basis; comparable across names and quarters; no Hard Rule change). The latest 10-Q is a second opinion: at each quarterly review, and before acting on any Rule 1 / Rule 3 trip, Watch List or Exit Review deadline or Part 6 sell trigger, every US-filer holding is compared with its trailing 12-month windows. A re-score on trailing windows happens only where a hard-rule outcome or Decision band differs, in either direction, and then with any Part 10 adjustment written down. Why not the standard for everything: it cannot cover every holding (ASML and TSM file 20-Fs), it moves each composite 3-7 points a quarter on knife-edge cliffs, and the rulebook's basis is fiscal years. Why not Rule 3 cases only: it would only ever rescue a name facing a sale and never show a downgrade like ANET's.
BUILT. python -m landry.sec_ttm --holdings (exit 2 on a robust divergence; 25 tests): every held, scored stock's three Tier 1 quant scores against five anniversary windows, with the newest four as a second opinion -- a divergence that shows on one count and not the other is reported as knife-edge, not a trigger. Also: old windows with patchy XBRL tags are dropped (down to four) instead of failing; a warning when EDGAR lists a newer 10-Q than SEC's company facts (Visa's June 10-Q is missing from them); landry_addbacks.json records Part 10 add-backs (VRTX/Alpine $4.4B, approved 10/5) so the check does not re-flag it each quarter. Process Checklist: a step in QTR-REVIEW-1/2 and FUND-REFRESH-1/2; Instructions: a paragraph; CLAUDE.md.
FIRST RUN (11 of 16 holdings computable). Robust divergence: VRT BUY 76.8 -&gt; STRONG BUY 82.8 (after-comp FCF $2.9B over 12 months against $1.2B a year earlier). Knife-edge: ANET STRONG BUY 81.0 -&gt; BUY 78.0 on five windows only (revenue-growth variability 0.3501 against the 0.35 line; unchanged on four). Same: AVGO, VRTX (add-back applied), CRWD, ADBE, NFLX; moved inside a band: MU, PLTR, KLAC, V. By hand: NVDA (capex tags missing before 2023-07), GE (no quarterly stock-comp facts), ASML and TSM (20-F), PLD (REIT). V's SEC facts stop at March 2026. Open Items #32 holds the follow-ups; #31 is Done.</t>
  </si>
  <si>
    <t>PERFORMANCE-TRACKING-ALL-POSITIONS</t>
  </si>
  <si>
    <t>Performance Tracking now lists every current holding (Alan, 10/5/26: "update the Performance Tracking tab to include all positions. For cash/cash equiv holdings, let's color the Ticker cell light grn/drk grn text").
WHAT CHANGED. 30 rows, one per ticker across both accounts. The six System entries (ADBE, VRTX, PLD, V, GE, NFLX) keep their entry records; only their Current Price and SPY were refreshed to the 10/2/26 close (Market Data / yfinance; ADBE had read $259.32, now $237.69). Then 10 legacy stocks (ANET, ASML, AVGO, CRWD, KLAC, MU, NVDA, PLTR, TSM, VRT), 10 dry-powder ETFs (AVUV, DVY, HELO, JEPI, JEPQ, MLPI, SCHD, SPMO, VFLO, VYM) and 4 cash / money-market funds (FZDXX, FZFXX, QACDS, VMFXX). For those 24: Entry Price = average cost per share across both accounts (Current Positions cost basis / quantity; $1.00 for the cash funds, so their price return reads 0% and interest is not captured); Entry Date, Entry Score, Confidence, Decision Band and SPY at Entry stay BLANK, as agreed 8/26 (no fabricated history). Total Return on those rows is therefore a return on cost, there is no SPY comparison, and none of them can reach the Rule-46 cohort.
GREEN. The 14 Ticker cells for the ETFs and cash funds are light green (C6EFCE) with dark-green text (006100). That is the set Current Positions' own "Cash / Cash Equivalents" row sums (the four money-market / sweep funds plus the ten dry-powder ETFs, per Alan's 9/7/26 "treat cash/equivalents as CASH/DRY POWDER"). My reading of "cash/cash equiv"; if Alan meant only the four money-market funds, clear the ten ETF cells.
LIMITS. (1) The ADBE, VRTX and PLD rows measure only the System-selected 8/7/26 purchase, not the shares held before it (ADBE: -10.8% on that tranche vs -19.4% on the position's $294.83 average cost). (2) Prices are a snapshot of the 10/2 close and nothing refreshes them; refresh at each review or when a position changes (noted on Open Items #20). (3) Sold legacy names (SFM, TSLA, ONON, VGT, CALF) are not listed.
STRUCTURE. PerformanceTrackingTable A2:Q33 -&gt; A2:Q47 (15 spare pre-built rows, so the next buys need no row surgery); footnote moved to row 48; validations and colour rules extended to row 47; only rows 1-2 frozen (15 rows had been frozen since the tab was built and would have trapped the new rows). Updated: the A1 note, the footnote, Schema Reference (Performance Tracking C66/D66), Open Items #20.
CODE. read_performance_tab also skips a dated row with neither a score nor a band (what the A1 note already promised); read_performance_tracking has no row bound (a ticker-shaped column A); new audit check performance_tracking_coverage fails when any Current Positions holding has no row (Instructions: populated the same moment a confirmed trade updates Current Positions); tests added, including one that pins the green set to Current Positions' aggregate row.</t>
  </si>
  <si>
    <t>PERFORMANCE-TRACKING-SUMMARY</t>
  </si>
  <si>
    <t>Performance Tracking rebuilt as a lot ledger with a summary block (Alan, 10/5/26: hook the current-price and SPY columns into the weekly run; list the sold names; give the legacy rows a SPY comparison from a common 8/5 baseline; then add Subtotal / TOTAL, YTD, Cumulative since 8/5 and Avg Annual Gain/(Loss) under the active rows).
LOTS. 39 rows, one per purchase lot: 7 System lots (ADBE 20 sh; VRTX 25 on 8/7 and 15 on 9/8; PLD 64; V 50; GE 75; NFLX 300 -- Journal rows 10, 35, 64), the 3 pre-System remainders (ADBE 45, VRTX 25, PLD 61.45 sh), 10 legacy stocks, 10 dry-powder ETFs, 4 cash funds, and the 5 names sold 8/7/26 (CALF, ONON, SFM, TSLA, VGT; exit price = proceeds / shares, rows 7-9). Baseline lots -- everything held at the 8/5/26 snapshot, the sold names included -- are measured as if held since the 8/5 close against SPY's 8/5 close (769.79): Entry Date 8/5/26, Entry Price the unadjusted 8/5 close ($1.00 for cash), Score / Confidence / Band blank. That replaces the average-cost Entry Price of row 95; the return on cost stays on Current Positions.
COLUMNS R:AC: Type (Stock / ETF / Cash), Basis (System / Baseline), Lot Shares, Shares, Entry Value, Current / Exit Value, Gain (Loss), YTD Base Price (12/31/25 close; entry price for System lots), YTD Base Value, YTD Gain (Loss), YTD Return, SPY Gain. A held baseline lot's Shares follow Current Positions (its quantity less the ticker's System lots); its typed Lot Shares is the 8/5 snapshot, which the audit compares with Shares so a purchase recorded only on Current Positions cannot be silently measured from the 8/5 close.
SUMMARY (a generated block under the Table). My reading, a judgment call: Subtotal = stocks only (without the green cash and cash-equivalent rows, i.e. the ETFs and cash funds); TOTAL = every position held now (Value $726,938 = Current Positions' combined total, checked by the audit). YTD and Cumulative lines include the sold names (realized + unrealized); YTD runs from the 12/31/25 close, Cumulative from 8/5, System lots from their entry, each against SPY over the same span. Avg Annual = Cumulative TOTAL / years since 8/5, simple, extrapolated from eight weeks -- not a forecast. Holdings-based price return of today's holdings: no dividends, interest, deposits or withdrawals. On the 10/2 close: Subtotal +3.5%, TOTAL +0.7%, YTD TOTAL +13.4% vs SPY +12.9%, Cumulative TOTAL +0.7% vs SPY 0.0%. If Alan meant active vs active + sold, that is a one-formula change.
WEEKLY. A held stock's or ETF's Current Price is an INDEX/MATCH into Market Data, so it follows every refresh with nothing written; `landry weekly` writes only SPY now and the as-of date (names PT_SPY_Now, PT_AsOf) and reports them on a Performance line (rehearsed 10/5 on a scratch copy with live quotes). Grow the tab with landry.perf_tab.add_lot / close_lot / extend_table / rebase_baseline, never insert_rows.
CODE. landry/perf_tab.py; market.sync_performance; the readers stop at the Table; audit performance_tracking_ties (5 checks); tests/test_landry_perf_tab.py. Schema Reference, Instructions and Open Items #20 updated.</t>
  </si>
  <si>
    <t>CRWD-ENTRY-DATE</t>
  </si>
  <si>
    <t>CRWD's Watch List Tracker Entry Date moved from 9/13/26 to 10/4/26 (Alan, 10/5/26: "we agreed to move CRWD from last month (+30 days) to this month"; he first wrote 10/2 -- the Friday -- and confirmed he meant 10/4, the day the Rule 3 classification was confirmed, row 89). That is the date the 30-day Exit Review clock counts from (row 93: sell by 11/3/26), so the tracker now agrees with the note, Open Items #30 and row 93. Until now only the note said 11/3: the Entry Date still carried the 9/13 re-score that row 89 used before the clock was decided.
UNCHANGED: Entry Score and Current Score 63.4 and Current Score Date 9/13/26 -- the score of record is still the 9/13 approval (the 10/5 trailing-12-month recheck, row 92, confirmed it without re-scoring), as on Scoring and Dashboard. SIDE EFFECT: the 90-Day Deadline (Entry Date + 90) now reads 1/2/27 and Days Remaining 89 -- that is the clock a remediation plan would start, and there is none; Action Status stays NO CREDIBLE PLAN -- SELL WITHIN 30 DAYS. The sell-by date (11/3/26) is Entry Date + 30 and no column shows it yet (Action Status could say SELL BY 11/3, which would also mean changing Action Items E5's count pattern). Row 89's wording ("entry date 9/13/26") stays as the record of what was true on 10/4.</t>
  </si>
  <si>
    <t>MONITOR-STAMP</t>
  </si>
  <si>
    <t>MONITOR-STAMP (10/5/26). Alan asked why the Monitor tab looked stale ("don't we update the scoring dates at the end of each month or quarter?"). Answer: no -- Instructions A52 says the Last Score columns (C-G) are stamped every time a ticker is re-scored on the Scoring tab, not on a calendar (VRTX 8/7, ET 9/11 and AVGO / VRTX 10/5 followed it); month- and quarter-end drive other things (the Drawdown Log, QTR-REVIEW 9/30 and 12/31, the FUND-REFRESH re-scores 10/25 and 1/25/27, Rules 45-46). Nothing in the code did the stamping, so the 9/13 held-position re-score of 14 names and the 9/30 ADBE / PLD reconfirmation were never stamped: CRWD still read 70.4 BUY, 8/6/26, against 63.4 AVOID. Alan, 10/5/26: "yes - stamp them and add the audit check; we'll definitely want to keep Monitoring tab monthly-current for held positions."
DONE. (1) Stamped C-G for the 14 (ADBE and PLD 9/30; ANET, ASML, CRWD, KLAC, MU, NVDA, PLTR, TSM, VRT, GE, NFLX, V 9/13) from their Scoring rows: date scored, composite, Tier 1 average, decision, and Price at Last Score = the last close on or before the date scored (the 9/11 Friday close for Sunday 9/13), the convention the V / GE / NFLX / ABT / VEEV stamps already used; AVGO and VRTX were already right. (2) Refreshed the insider / analyst signals (K-N) for all 16 held names from SEC Form 4 (30-day lookback) and yfinance; they dated from about 9/4. Flags moved ADBE N-&gt;Y, AVGO N-&gt;Y, MU Y-&gt;N, VRT Y-&gt;N, GE Y-&gt;N and the notes of the rest were updated. yfinance had no 3-month-ago consensus breakdown today for VRTX, PLD, V, ANET, KLAC and TSM, so those analyst cells keep their values (data_auto.analyst_shift_detail now separates that from an error). (3) New: landry/monitor_tab.py and `python -m landry monitor status|stamp|refresh`; Q1 holds the day of the last complete signal refresh (P1:Q1, defined name MON_SignalsAsOf; the title note narrowed from A1:Q1 to A1:O1); two audit checks -- monitor_last_score (every held scored position's Monitor row mirrors its Scoring row: date, composite, Tier 1 average, decision, a price) and monitor_signals (refreshed within 35 days). A re-score or a Decision change that reaches Scoring without the Monitor, or a month without a signal refresh, now fails `landry audit` and shows in every Saturday's weekly report. Instructions A53 and the Schema Reference were updated.
EFFECT. Stamping alone barely moves Recheck Status (only MU's price-move flag would have changed); the signal refresh moves it more. With live prices Excel will read DUE for ADBE, ANET, AVGO, KLAC, NFLX, NVDA, PLTR, TSM and V (insider activity) and CRWD (price +30.6% since 9/11), and Monitor Only for ASML, GE, MU, PLD, VRT and VRTX -- relevant to DCA-CATCHUP-2's "scan Recheck Status" step on 10/7. Not automated: the signal refresh is a monthly command run by hand (about 90 seconds) and the weekly run neither stamps nor refreshes; its audit says so when either lapses.</t>
  </si>
  <si>
    <t>PERFORMANCE-TRACKING-SOURCES</t>
  </si>
  <si>
    <t>Alan, 10/5/26, before the 10/7 DCA: took another look at ADBE / VRTX / PLD (the diversifier trio; each carries pre-8/5 "legacy" shares as well as System lots) and floated selling the pre-8/5 lots to make tracking under the System clean and complete from 8/5. DECISION: keep them -- "stick with the System" -- and make the tracker show the System-only record instead.
What the look found (10/2 closes, portfolio $726,938). Nothing I could see trips a Part 6 sell trigger (the Holding Monitor has no rows for the three, so Rules 22-31 were not formally run). Part 3 rates ADBE 85.8 STRONG BUY (Core Hold / Add), VRTX 70.6 BUY and PLD 76.0 BUY (Hold); Hold Through says a price decline alone is not a reason to sell; Rule 36 (replacement) needs a 15-point gap across two quarterly re-scores plus a capital constraint, and cash is not constrained; Rule 44: tax never triggers a trade. So a sale would have been a discretionary override. Since 8/5 (or entry) the laggards were AVGO -15.1%, VRT -9.3%, ADBE -9.1%, PLD -8.1%; VRTX is +1.7%. The three are the book's lowest-correlation stocks (average 0.14 VRTX / 0.17 ADBE / 0.21 PLD against 0.22-0.43 for the rest; none sits in a pair above 0.70). Selling the three pre-8/5 remainders (ADBE 45 sh, VRTX 25, PLD 61.45; $31.2K, net realized about -$1.6K) would have touched 4% of a book that is 87% baseline-measured, left the lots on the ledger as Exited baseline rows (the Cumulative lines need them), cut ADBE from 2.1% to 0.65% of the portfolio while rated STRONG BUY, taken cash to 16.3% against the 15% ceiling, and chosen lots by date rather than after-tax cost (Rule 42). The ledger already measured every lot from 8/5 (Basis = Baseline) and only System lots feed the Rule-46 cohort, so the tracking was already complete from 8/5. Side finding: Technology is 26.9% of the portfolio at market (20.9% at cost) against the 25% sector cap; the CRWD sale due 11/3 alone takes it to 23.8%.
BUILT: Performance Tracking's summary block has a second section, "By source (since 8/5; held + sold)": System lots only (from entry), Legacy stocks (from the 8/5 close), Dry-powder ETFs (from the 8/5 close), Cash &amp; money funds, and an All sources line built as their sum. Every ledger row is in exactly one line (perf_tab.source_of), so the four add up to the Cumulative TOTAL; the All-sources note flips to "DOES NOT add up" and the audit's new performance_tracking_ties:sources check fails if a lot has no Basis or Type. SPY on these lines is the same dollars over each lot's own period, so it can differ a little from the Cumulative TOTAL line's 8/5 -&gt; now. perf_tab.BLOCK_ROWS went 17 -&gt; 24 and the benchmark cells (PT_* names) moved down; Schema Reference D66, the tab's A1 note and Open Items #20 were updated; 3 new tests, 716 pass; audit 71 checks, only the two standing scoring_verification findings fail.
FIRST READING (10/2 closes, held + sold): System lots (7), $97.4K at entry, -$2.8K (-2.9%) against SPY +0.1% over the same periods (excess -3.1%); Legacy stocks +$13.5K (+6.1%); Dry-powder ETFs -$5.1K (-1.4%); Cash $0; all sources +$5.5K (+0.7%). Seven lots over 2-8 weeks is too early to read, and the three legacy remainders (-3.7%) did about what the System lots of the same names did (-3.6%).
STILL OPEN: the Holding Monitor has no rows for ADBE / VRTX / PLD; ADBE's Rule 5 (RS = 1) review is not written up as such (Open Items #14 holds the Moat revisit for the 12/9 earnings); VRTX's Rule 3 result rests on trailing figures and it reports 11/2.</t>
  </si>
  <si>
    <t>Checklist, not prose -- one row per required step for every recurring event (tranches, quarterly reviews, fundamental refreshes). Mark Done=Y when a step is actually complete; Status auto-flags OVERDUE once the event's Journal date has passed with any step still unchecked. Event Due Date is looked up live from the Journal tab (matches this tab's Event value against Journal col B) -- don't hand-type it, it'll drift.</t>
  </si>
  <si>
    <t>Steps currently overdue (event date passed, not marked Done):</t>
  </si>
  <si>
    <t>Event</t>
  </si>
  <si>
    <t>Step</t>
  </si>
  <si>
    <t>Done (Y/N)</t>
  </si>
  <si>
    <t>Date Done</t>
  </si>
  <si>
    <t>Event Due Date</t>
  </si>
  <si>
    <t>Portfolio Drawdown Log -- log quarter-end portfolio value, confirm regime</t>
  </si>
  <si>
    <t>Correlation Matrix -- `python -m landry prices rebuild` (restates every close for dividends; `prices status` first), then confirm Rule 38 status</t>
  </si>
  <si>
    <t>Watch List Tracker -- check all 90-day deadlines (Rules 32-33), flag any DEADLINE PASSED / APPROACHING</t>
  </si>
  <si>
    <t>Scan Fidelity's info tabs (Overview, Dividends &amp; Earnings, Analyst Ratings, Statistics/Comparisons) for each held position -- confirmed earnings date, valuation-vs-industry, analyst sentiment split, multi-period price performance. Context the yfinance-backed Tier 1 pipeline doesn't capture. Scope still being proven out (added 9/30/26, see ADBE Moat Quality case, Journal row 66) -- err inclusive rather than narrow for now.</t>
  </si>
  <si>
    <t>Before acting on any Watch List / Exit Review deadline or Rule 1 / Rule 3 trip: `python -m landry.sec_ttm --holdings` compares every US-filer holding's fiscal-year scores with its latest 10-Q. Re-score on trailing windows only where a hard-rule outcome or Decision band differs on both the full window count and the newest four (either direction); look at any knife-edge; check the BY HAND names (ASML, TSM, REITs, tag gaps) from the filings. Policy 10/5/26 -- Open Items #31, Journal row 94.</t>
  </si>
  <si>
    <t>Log any conversational (non-CLI-draft) scoring to landry_scores.json (source=manual, approved_by=Alan)</t>
  </si>
  <si>
    <t>Run `python -m landry audit`, confirm clean or explain any failures</t>
  </si>
  <si>
    <t>Run `python -m landry.xlsx_recalc` after any workbook edit</t>
  </si>
  <si>
    <t>Re-score Tier 1 indicators (FCF Yield, Revenue Growth, Moat, Rev Visibility, FCF Margin) for existing holdings using new Q3 results -- update Scoring tab for anything material</t>
  </si>
  <si>
    <t>Complete COST/Visa Entry Checklist work if not finished at 9/30 review</t>
  </si>
  <si>
    <t>Holding Monitor -- snapshot pre-refresh Tier 1 sub-scores into Prior columns, then populate Current columns with post-refresh values; also populate Position Pct, Max Full Pct, Debt/FCF, P/FCF, FCF Growth%, Implied Return, Current/Prior Tier</t>
  </si>
  <si>
    <t>After the new 10-Qs land and before approving the Tier 1 re-scores: `python -m landry.sec_ttm --holdings` (fiscal-year scores of record against the latest 10-Q). Re-score on trailing windows only where a hard-rule outcome or Decision band differs on both the full window count and the newest four (either direction); BY HAND names from the filings; Part 10 add-backs go in landry_addbacks.json and the score's adaptation field. Policy 10/5/26 -- Open Items #31, Journal row 94.</t>
  </si>
  <si>
    <t>Re-score Tier 1 indicators using Q4/FY results</t>
  </si>
  <si>
    <t>Holding Monitor -- shift each held ticker's Current columns into Prior, then populate Current with newly re-scored Tier 1 sub-scores and refreshed valuation/sizing metrics; review any TRIGGER/ACTION REQUIRED flags</t>
  </si>
  <si>
    <t>Pull fresh prices for all held positions -- update Current Positions col F</t>
  </si>
  <si>
    <t>Log this month's total portfolio value into Portfolio Drawdown Log -- note the resulting regime (Normal/Elevated/Severe/Critical)</t>
  </si>
  <si>
    <t>Check S&amp;P 500 % from ATH and apply the DCA acceleration tier to this tranche's size: Routine(-5 to -9%)=baseline, Correction(-10 to -14%)=+25%, Severe Correction(-15 to -19%)=+50%, Bear(-20%+)=+100%. Portfolio regime from the step above overrides: Severe/Critical=skip this tranche regardless of S&amp;P tier; Elevated=Strong-Buy-quality entries only, multiplier still applies. See Journal 9/11/26 for full reasoning</t>
  </si>
  <si>
    <t>Scan Monitor &amp; Recheck Triggers Recheck Status -- re-score whatever's DUE before adding to it, not after</t>
  </si>
  <si>
    <t>Check remaining diversifier headroom (VRTX/PLD/ADBE, or COST/Visa once active) against tranche size. When liquidating dry-powder ETFs to fund this tranche, draw from SPMO first -- it correlates 0.74-0.88 with NVDA/AVGO/JEPQ (2 exceed Rule 38's 0.70 cap), the least diversifying of the 10 ETF positions. See Journal 9/13/26.</t>
  </si>
  <si>
    <t>Confirm Correlation Matrix status hasn't moved unfavorably before buying</t>
  </si>
  <si>
    <t>Before finalizing this tranche's buy target(s), run a fresh Tier 1 quant reread (`landry draft &lt;TICKER&gt;`) for every candidate under consideration -- not just the usual diversifier names -- and deprioritize any showing new price-trend weakness or a stale (30+ days, or pre-8/18/26) Date Scored. See Journal 9/29/26 -- VRTX/PLD/ADBE all showed unflagged weakness that week; GE/NFLX proved stronger on a fresh check.</t>
  </si>
  <si>
    <t>Before finalizing this tranche's buy target(s), scan Fidelity's info tabs (Overview, Dividends &amp; Earnings, Analyst Ratings, Statistics/Comparisons) for the leading candidate(s) -- confirmed earnings date, valuation-vs-industry, analyst sentiment split, multi-period price performance -- alongside the fresh Tier 1 reread above. Scope still being proven out (added 9/30/26) -- err inclusive rather than narrow for now.</t>
  </si>
  <si>
    <t>Open items backlog -- especially non-critical ones that don't have a natural home in a recurring checklist. Numbered in priority order (1 = highest) -- renumber freely as priorities shift, this list is short enough that it's a non-issue. Mark Done=Y and fill Date Resolved when closed; resolved rows stay in place as a record rather than being deleted. Full reasoning behind any entry lives in Journal -- Notes here just points to it.</t>
  </si>
  <si>
    <t>Open (unresolved) items:</t>
  </si>
  <si>
    <t>#</t>
  </si>
  <si>
    <t>Item</t>
  </si>
  <si>
    <t>Date Raised</t>
  </si>
  <si>
    <t>Date Resolved</t>
  </si>
  <si>
    <t>Piotroski: add 1-2 currently-held, Management-Quality-scored tickers to the diagnostic batch, specifically to make the Leverage Trajectory check testable (0 of the first 4 tickers had a Mgmt Quality score on record to compare against).</t>
  </si>
  <si>
    <t>Added MU and VRT -- both now testable, both agree with existing Mgmt Quality (no divergence). See Journal row 40.</t>
  </si>
  <si>
    <t>Piotroski: diagnose why VRTX's FY2025 CFO ($3.63B) came in under Net Income ($3.95B) -- one-time item vs. a genuine earnings-quality concern -- before treating that divergence as conclusive on its own.</t>
  </si>
  <si>
    <t>Growth/launch-driven working-capital build (Journavx launch), not an earnings-quality concern. See Journal row 41.</t>
  </si>
  <si>
    <t>Scoring completion queue: LIN, NFLX, DPZ, PG, GE cleared Tier 1 months ago. GE and NFLX fully completed (STRONG BUY); LIN, ET(added), DPZ, and PG all rechecked and parked below/at the 4.0 bar.</t>
  </si>
  <si>
    <t>See Journal rows 53-55.</t>
  </si>
  <si>
    <t>Implied-Return backfill: 16 pre-existing holdings (13 held, 3 sold) entered the portfolio before the Rules 12-14 gate existed and have never been run through it.</t>
  </si>
  <si>
    <t>Action Items E25/E26: same truncated-range bug already fixed in E28/E29 (Entry Authorization tallies) also exists here (Rule 2/4 candidate-flag tallies against Scoring, still capped at row 27).</t>
  </si>
  <si>
    <t>Holding Monitor's template caps at 20 tickers; Implied-Return Calculator extends to the full 45-ticker universe. Not urgent today (14 non-ETF holdings), but a real ceiling if holdings keep growing.</t>
  </si>
  <si>
    <t>Formalize how ETFs should be treated as portfolio positions. Current holdings are being treated as dry powder for now (a tactical decision), but the general policy question is still genuinely undecided.</t>
  </si>
  <si>
    <t>DPZ and PG both showed real deterioration (parked, same as LIN/ET); GE improved and was advanced to full Tier 2/3 (Composite 84.2, STRONG BUY). See Journal row 54.</t>
  </si>
  <si>
    <t>Database migration: Phase A shipped 8/18/26; Phases B/C (cutting the CLI/webapp over to the DB, generated-report export) were paused pending Tranche 2. That gate cleared 9/8/26 but resuming hasn't been asked for.</t>
  </si>
  <si>
    <t>Consider a 5-10% "wild card" portfolio allocation -- rule-disregarding, or governed by a new/separate rule set -- for exceptional opportunities outside the current Landry Strategy's normal gates. Genuinely undefined, discussion-only for now.</t>
  </si>
  <si>
    <t>See Journal row 38.</t>
  </si>
  <si>
    <t>Reconcile the Instructions tab's print layout with Alan's separately reformatted _copy version (one page wide). Recommended Alan do this directly on the live file to avoid cross-contamination from a _copy file.</t>
  </si>
  <si>
    <t>Recheck DPZ, PG, and GE (same 8/11-13 Scoring batch as LIN/ET) before trusting their recorded Tier 1 scores. LIN and ET both showed real deterioration on rescore (Tier 1 Wtd Avg ~4.5/4.0 -&gt; 3.07 for both) once run through the current, more rigorous auto-draft pipeline -- which matured after 8/11/26. May not be company-specific weakening so much as the whole batch having been scored with something less rigorous than what's available now.</t>
  </si>
  <si>
    <t>See Journal row 53.</t>
  </si>
  <si>
    <t>CMG, ETSY, PH, and ETN are the remaining names from the same stale 8/11-13 PENDING batch as the scoring completion queue (LIN/ET/DPZ/PG/GE/YUM). Deliberately not rechecked -- Alan's call, 9/13/26: 'only YUM worth a revisit at this point.' Not an oversight; revisit only if Alan raises it.</t>
  </si>
  <si>
    <t>Traced provenance: CMG and ETSY ARE Darryl-sourced and still unverified; PH/ETN are not Darryl-sourced. V (held position) also Darryl-sourced -- rechecked, fell to BUY from STRONG BUY. See Journal row 56.</t>
  </si>
  <si>
    <t>Rule 38 cluster-exposure cap breach: AVUV/DVY/SCHD/VFLO/VYM (5 of the 10 ETF sleeve positions) correlate 0.73-0.89 with each other and sum to 20.76% of the portfolio, over the docx's 20% cluster cap. Per the rule itself this needs a documented shared-risk-driver writeup (looks like a common Value-factor tilt) and written approval to continue above 20%, or a trim. Tied to the still-paused ETF-sleeve design conversation -- don't resolve unilaterally.</t>
  </si>
  <si>
    <t>ADBE Moat Quality: holding at 4, flagged for revisit at next earnings (not before).</t>
  </si>
  <si>
    <t>ADBE Moat Quality (currently 4/M, Scoring row 12) -- holding pending next earnings. Deep-dive research found decelerating net-new-ARR and declining RPO (leading indicators, Canva/Figma competitive pressure) plus a chart-based signal (sustained underperformance vs. SPY, confirmed MACD bearish dive) suggesting possible real erosion; Alan's read is this leans more Wall Street narrative than confirmed real-world usage loss. Don't move the score on price action/technicals alone -- revisit specifically when ADBE's next earnings report gives real ARR/RPO data. See Journal row 66. Confirmed earnings date (Fidelity, checked 9/30/26): Dec-09-2026 Q4 earnings.</t>
  </si>
  <si>
    <t>UNH: quant screen clears (~3.33) but Fidelity scan found active CalPERS litigation (motion to dismiss denied in part 9/30/26) and a genuinely Bearish 1.5/10 analyst consensus -- flagged to score further only after the situation settles, not scored now.</t>
  </si>
  <si>
    <t>See Journal row 69. Revisit on a clearer CalPERS resolution or after Q3 earnings (10/13/26).</t>
  </si>
  <si>
    <t>ACN: quant screen marginal (~2.875, driven almost entirely by severe relative-strength weakness) but Fidelity scan found a Very Bullish 9.4/10 analyst consensus and a cheap relative valuation -- held open, no score until after Q4 earnings.</t>
  </si>
  <si>
    <t>See Journal row 69. Revisit after the 10/1/26 earnings print.</t>
  </si>
  <si>
    <t>AZN: quant screen solid (~3.44) but relative_strength=1 triggers the new Rule 5 review. Fidelity check (partial -- session logged out mid-review) found milder weakness than feared: still up +5.48% absolute over 1yr, real decline concentrated in the last 2 quarters, a real sector headwind (weight-loss-drug competition) plus one offsetting positive analyst take. Held at Watch, not scored.</t>
  </si>
  <si>
    <t>See Journal row 73. Revisit with full Fidelity access (Equity Summary Score/Analyst Ratings weren't available this pass) or at the ~10/30/26 earnings print. UPDATE 10/1: full review done -- AZN has no ESS/analyst coverage at all on Fidelity, confirmed. No change to the Watch read. See Journal row 74.</t>
  </si>
  <si>
    <t>INTU: quant screen strong (~3.56, excellent fundamentals across the board) but relative_strength=1 AND technical_trend=1 BOTH hit the floor simultaneously -- the first candidate to trip both Rule 5 indicators at once. Fidelity check (partial, same session-logout limitation) found the most severe fundamentals-vs-price divergence seen all engagement: a sustained multi-year decline (-57% YTD, -59% 1yr, -54% 2yr, -48% 5yr), not a recent pullback. Held at Watch, explicitly not cleared the way SPOT was -- needs the full sentiment picture before any further consideration.</t>
  </si>
  <si>
    <t>See Journal row 73. Revisit with full Fidelity access first (Equity Summary Score/Analyst Ratings critical here given the severity), or at the ~11/18/26 earnings print. UPDATE 10/1: full review done -- ESS is a decisive Bearish 1.6/10, confirming (not just leaving unexplained) the severe divergence. Still held at Watch pending Alan's call on whether this warrants more than that. See Journal row 74.</t>
  </si>
  <si>
    <t>Candidate-screening sector priority: before the next OPEN (non-Darryl) screen, rank sectors by gains vs the S&amp;P 500 (SPX) over roughly the last 30 years, then combine that with the portfolio-overlap view (Sector Cap Headroom on CANDIDATES LIST.xlsx) to choose which sector to screen next. Not built yet.</t>
  </si>
  <si>
    <t>Policy recorded 10/2/26 (Journal row 75, CLAUDE.md). Darryl-list names are the exception and keep their own order. Approach and data source still to decide -- e.g. the SPDR sector ETFs only go back to Dec 1998 (~27 years), so a true 30+ year view needs S&amp;P sector index history or industry-portfolio data (Fama-French). Use as a search-priority weighting only, not a sector verdict; the Tier 1 gates still decide every name. Refresh periodically.</t>
  </si>
  <si>
    <t>Portfolio Performance snapshot (simple): track in detail ONLY the System-selected equities in the portfolio over time -- excluding cash and cash equivalents.</t>
  </si>
  <si>
    <t>Raised 10/2/26 (Alan); keep it simple. Settle when building: (a) what 'System-selected' covers -- positions initiated through the System (what Performance Tracking already tracks: entry-dated, scored) vs. also the legacy stocks retained because they conform (that tab deliberately does not backfill those); the dry-powder ETFs and the cash-sweep funds (FZDXX/FZFXX/VMFXX/QACDS) are presumably out -- confirm. Current Positions' Asset Class column will not isolate the set (the ETFs are tagged Equity), so key off the Scoring tab / Performance Tracking. (b) Cadence -- e.g. month-end/tranche dates alongside the Drawdown Log. (c) What 'in detail' means (per-position value, cost basis, gain/loss, weight, return vs SPY?). Check the existing Performance Tracking tab first (entry-to-date return vs SPY per position, feeds the cohort review) and extend it rather than duplicate. Guardrails: aggregate with landry.xlsx_io.total_portfolio_value(read_positions(wb)), never by hand (CLAUDE.md, 9/29 incident); take prices from Market Data (yfinance), not Current Positions' stale Price column. Update 10/5/26: Performance Tracking now lists every current holding (one row per ticker; legacy, ETF and cash rows carry average cost as Entry Price and no entry date, so they sit outside the cohort review; current prices are a 10/2/26-close snapshot, not auto-refreshed). That answers 'extend it rather than duplicate' for the current-state view; the over-time snapshot above is still open (Journal: PERFORMANCE-TRACKING-ALL-POSITIONS). Later 10/5/26: Performance Tracking is now a lot ledger with a summary block (Subtotal / TOTAL, YTD, Cumulative since 8/5, Avg Annual -- stocks vs everything), the sold names and an 8/5 baseline for SPY comparison on the legacy rows, and its prices refresh every weekly run (Journal: PERFORMANCE-TRACKING-SUMMARY). The over-time snapshot above is still open. Later 10/5/26 (Alan kept the legacy lots of ADBE / VRTX / PLD -- "stick with the System" -- instead of selling them to tidy the tracking): the summary now has a by-source section (System lots only, Legacy stocks, Dry-powder ETFs, Cash; Journal: PERFORMANCE-TRACKING-SOURCES), so the System-only current-state view exists at any time. The over-time snapshot is still open.</t>
  </si>
  <si>
    <t>BSX: quant screen strong (~4.33) but relative_strength=1 AND technical_trend=1 both sit at the floor, triggering Rule 5. Fidelity scan + web check found a concrete fundamental cause (U.S. electrophysiology and Watchman growth stall; 8/25/26 cyber incident with Q3/FY26 guidance reportedly pulled), not sentiment alone. Held at Watch - Pending Earnings; Revenue Visibility can't be scored while guidance is withdrawn.</t>
  </si>
  <si>
    <t>See Journal row 78. Revisit after Q3 earnings 10/28/26 (confirmed): read the 8-Ks first (Fidelity lists 8/26, 9/8, 9/23) for primary-source confirmation of the guidance status and cyber impact, run a fresh `landry draft BSX`, then score the judgment indicators with --evidence only if guidance is restored. Healthcare headroom 21.6%; max correlation +0.33 (NFLX).</t>
  </si>
  <si>
    <t>UBER: quant screen strong (~4.33) but relative_strength=1 (-33.9% vs SPY) triggers Rule 5. Fidelity scan: Equity Summary Score Neutral (not decisively bearish); weakness is narrative-driven (robotaxi disruption, driver-wage litigation) rather than a fundamental break so far. Alan ruled 10/2/26 that UBER counts as Industrials, not Technology. Held at Watch - Pending Earnings.</t>
  </si>
  <si>
    <t>See Journal row 79. Revisit after Q3 earnings 11/2/26 (unconfirmed): fresh `landry draft UBER`, then the judgment indicators (Moat vs AV disintermediation, Revenue Visibility) with --evidence if the print holds. When scored, set the Scoring tab's Sector to Industrials by hand (yfinance labels it Technology).</t>
  </si>
  <si>
    <t>NTRA: quant screen clears the floor (~3.44) with no Rule 5 trigger, but Fidelity shows the INTU pattern: independent-firm Equity Summary Score Bearish 1.5 vs a 91% buy sell-side, +154% in a year, normalized FCF negative after SBC, no valuation anchor. Held at Watch - Pending Earnings.</t>
  </si>
  <si>
    <t>See Journal row 79. Revisit after Q3 earnings 11/4/26 (unconfirmed): look for normalized FCF (CFO - capex - SBC) turning positive and whether the bearish score eases before any Part 12 spend.</t>
  </si>
  <si>
    <t>VEEV: fully scored 10/2/26 -- Composite 81.6, STRONG BUY (Moat 4/M, Revenue Visibility 5/M, Management 4/M). Alan leans conservative on Moat (3 -&gt; 78.6, BUY) and approved 4 only on the basis of re-evaluating at the purchase decision. Before any buy: re-check the Moat evidence, whether subscription share is still over the 80% Visibility line, the Implied-Return entry gates (Rules 12-14), and the +0.51 correlation with ADBE (Rule 38 cap is 0.70).</t>
  </si>
  <si>
    <t>See Journal row 80. Moat 3 would give 78.6 (BUY); Moat 4 with Visibility 4 gives 79.6 (BUY) -- STRONG BUY needs both. Natural checkpoint: Q3 earnings 11/18/26 (unconfirmed) -- subscription share, Vault CRM top-20 commitments (12 at Q2), further Salesforce Life Sciences Cloud wins, any retention/pricing disclosure. Scoring row 51; Dashboard row 50.</t>
  </si>
  <si>
    <t>Rule 38 after the Price History repair (10/4/26): the Correlation Matrix now sees all 26 holdings and reports 11 positions over the 0.70 cap (4 on the broken matrix). NVDA and AVGO exceed it via SPMO and JEPQ (0.73-0.75); the ETF sleeve AVUV/DVY/SCHD/VFLO/VYM plus JEPI and HELO form a cluster at 0.73-0.90; KLAC/ASML 0.77. Decide what, if anything, to do beyond the standing 'ETFs are dry powder' treatment.</t>
  </si>
  <si>
    <t>See Journal row 82. Extends #13 (the ETF cluster) and the SPMO-first funding rule. The matrix is the source of record from 10/4/26; detail is the Correlation Matrix tab's AG column.</t>
  </si>
  <si>
    <t>Charts and trend columns for the seven tickers added to Price History after the original 19 (DVY, SCHD, VYM, MLPI, JEPI, GE, NFLX): none exist, so those names appear on the Correlation Matrix but not in Returns (Calc)'s chart block. Optional.</t>
  </si>
  <si>
    <t>See Journal row 82 and Schema Reference (Returns (Calc)). Needs new trend columns plus charts keyed to the new tickers' columns; the existing 19 are correct again.</t>
  </si>
  <si>
    <t>Price History holds 160 weeks, over Rule 38's 36-month (~156-week) maximum, and the Correlation Matrix ranges (rows 3-500) never roll, so the window only grows (~52 rows a year). Decide: roll it (drop the oldest row or use OFFSET-based ranges) or accept 3 years plus growth.</t>
  </si>
  <si>
    <t>See Journal row 82. Low urgency; `landry prices append` never deletes a row.</t>
  </si>
  <si>
    <t>Monitor tab membership: ABT, SLB and VEEV (scored, on the bench) have no row in Monitor &amp; Recheck Triggers; KGS already does. The tab's own header says it covers every name that has been scored. Market Data got all four on 10/4 (Journal row 85). Monitor is a Table with array formulas that Current Positions reads by ticker, so adding rows there is structural -- do it with Excel closed and open the result in Excel once (CLAUDE.md, row surgery). Decide: add them, or leave Monitor as the narrower list.</t>
  </si>
  <si>
    <t>Done 10/4/26: Market Data got ABT, SLB, VEEV and KGS (Journal row 85); Monitor got ABT, SLB and VEEV as rows 49-51 (Journal row 87). The weekly routine now refreshes all four in both tabs.</t>
  </si>
  <si>
    <t>Rule 3 and the three held names. AVGO (BUY 67.8), VRTX (BUY 66.6) and CRWD (WATCH LIST 63.4) each score 2 on FCF yield and FCF margin, so Rule 3 (Part 3: two or more Tier 1 indicators at 2.0 or below "shall automatically classify the stock as Avoid") flags them AVOID, but the Scoring tab's Decision column only bands the composite, so they read BUY / BUY / WATCH LIST. CORRECTION 10/4/26: the rulebook is NOT silent on holdings -- Part 3's decision table gives the AVOID classification an Existing Holding Action of "Exit Review; sell within 30 days unless a dated 90-day remediation plan is approved", and Rule 3 was applied that way on 8/7 (SFM, TSLA, ONON sold). Read literally, the three have been in Exit Review since their 9/13 re-score (30 days from then is 10/13; or 30 days from the day the classification is confirmed -- the 8/12 workflow policy has the analyst confirm). The scoring engine and the web dashboard already treat Rule 3 as an outright Avoid. DECISION NEEDED: (A) apply the rule as written -- Watch List Tracker entries as Exit Review, sell within 30 days unless a dated 90-day remediation plan with a credible path back to 50+ is approved for each; or (B) adopt a v1.05 clarification making Rule 3 a mandatory review on holdings (no additions until reviewed; classification follows the composite) -- a deliberate softening of a Hard Rule, drafted but NOT adopted. Either way it applies from now on, not retroactively.</t>
  </si>
  <si>
    <t>Done 10/4/26: Alan chose to apply Rule 3 as written. Decision column now applies the Rule 3/1/4 gates; AVGO, VRTX and CRWD are in Exit Review (Journal row 89); the v1.05 clarification was drafted but not adopted. The follow-up with a date is #30.</t>
  </si>
  <si>
    <t>DUE 11/3/26: sell CRWD. It is in Exit Review under Rule 3 (applied as written 10/4/26). Alan, 10/5/26: no remediation plan; the 30 days count from the 10/4 confirmation, so sell by 11/3/26 (not 10/13). Pick the lots by Part 8 (Rule 42), JT ULTRA/Fidelity 40 sh and Chase 45 sh, and log the fills in Journal, Current Positions and Performance Tracking. No additions meanwhile. (AVGO and VRTX were re-scored on the latest 10-Q figures on 10/5 and cleared Rule 3 -- Journal row 92.)</t>
  </si>
  <si>
    <t>See Journal row 89 and Watch List Tracker rows 3-5; Action Items E5 counts them. Replaces the decision part of #29. UPDATE 10/5/26: AVGO and VRTX re-scored on the latest 10-Q figures (Journal row 92) -- Rule 3 cleared for both and their tracker rows removed. CRWD alone is still due 10/13: sell, or an approved dated plan. DECIDED 10/5/26: CRWD sell-by 11/3/26, no plan (Journal row 93). Mark Done when the sale is executed.</t>
  </si>
  <si>
    <t>Rule 3 evidence basis -- fiscal-year versus latest-10-Q figures. The Tier 1 FCF indicators are drafted from fiscal-year statements, so a Rule 3 trip can rest on figures up to a year old: AVGO and VRTX were in Exit Review on FY2025 numbers while their latest 10-Qs scored higher (re-scored 10/5/26 on trailing-12-month windows, Journal row 92). DECISION NEEDED: refresh the Tier 1 quant indicators on the latest 10-Q for every holding (and candidate), or only for Rule 3 cases? CRWD (still 2/2 on the same method) and the other holdings need the same treatment for consistency.</t>
  </si>
  <si>
    <t>landry/sec_ttm.py builds the windows (`python -m landry.sec_ttm TICKER [--add-back DATE:USD]`); method and data are in Journal row 92. Natural checkpoints: CRWD's 10/13 decision, then QTR-REVIEW-1's held-position pass. Related judgment: Part 10 acquisition add-backs (VRTX's $4.4B Alpine payment) -- recorded in the score store's adaptation field. 10/5/26 read-only scan of the 16 held stocks (mechanical, unreviewed): the tool computes 11 (NVDA, GE and PLD hit missing-tag gaps; ASML and TSM file 20-F, so no 10-Qs); on trailing windows two bands would change (ANET STRONG BUY -&gt; BUY, VRT BUY -&gt; STRONG BUY), no new Rule 3 trips, and composites move 3-7 points. Claude's recommendation: keep fiscal-year scores as the record, compare against the latest 10-Q for every US-filer holding at each quarterly review and before any rule-forced action, and re-score on trailing windows only where it changes a hard-rule outcome or band, in either direction. DECIDED 10/5/26 (Alan: go): adopted as recommended (Journal row 94). `python -m landry.sec_ttm --holdings` is the comparison (exit 2 when a robust divergence exists); steps added to QTR-REVIEW-1/2 and FUND-REFRESH-1/2 in Process Checklist, a paragraph in Instructions, a registry for Part 10 add-backs (landry_addbacks.json: VRTX/Alpine). Follow-ups from the first run: #32.</t>
  </si>
  <si>
    <t>First trailing-window comparison (10/5/26, `python -m landry.sec_ttm --holdings`): VRT and ANET. VRT -- BUY 76.8 -&gt; STRONG BUY 82.8 on both 5 and 4 windows (after-comp FCF $2.9B over the last 12 months against $1.2B a year earlier; margin 25.0% against 13.2%): decide whether to re-score; check Part 10 first, i.e. whether the jump is working-capital timing. ANET -- STRONG BUY 81.0 -&gt; BUY 78.0 on five windows only (revenue-growth variability 0.3501 against the 0.35 line; unchanged on four): knife-edge, no re-score unless you want one. By hand: NVDA (capex tag gaps before 2023-07), GE (no quarterly stock-comp facts), ASML and TSM (20-F filers), PLD (REIT); V's SEC facts stop at the March quarter although EDGAR lists the June 10-Q.</t>
  </si>
  <si>
    <t>See Journal row 94 (policy and first-run results). Re-run the command after FUND-REFRESH-1 (10/25) once Q3 10-Qs land.</t>
  </si>
  <si>
    <t>SCHEMA REFERENCE — for future programmatic access (Claude Code or otherwise)</t>
  </si>
  <si>
    <t>Every tab's structure documented in one place, so an agent reading this workbook doesn't have to reverse-engineer it. Tabs marked 'Table' below are registered Excel Tables (structured references, e.g. =CurrentPositionsTable[Ticker] work directly). Tabs marked 'Fixed range' have stable column positions but a merged multi-row header, so address by column letter + row number instead.</t>
  </si>
  <si>
    <t>Instructions</t>
  </si>
  <si>
    <t>Structure Type</t>
  </si>
  <si>
    <t>Table/Range Name</t>
  </si>
  <si>
    <t>Data Rows</t>
  </si>
  <si>
    <t>Key Reference</t>
  </si>
  <si>
    <t>Reference text (no data)</t>
  </si>
  <si>
    <t>n/a</t>
  </si>
  <si>
    <t>How-to and rule reference. No structured data.</t>
  </si>
  <si>
    <t>Action Items</t>
  </si>
  <si>
    <t>Formulas pulling from other tabs</t>
  </si>
  <si>
    <t>Rows 4-31, sections by row</t>
  </si>
  <si>
    <t>Read-only summary; do not write here, it recalculates from source tabs.</t>
  </si>
  <si>
    <t>Current Positions</t>
  </si>
  <si>
    <t>Table</t>
  </si>
  <si>
    <t>CurrentPositionsTable</t>
  </si>
  <si>
    <t>A2:M51 as of 2026-09-30. JT ULTRA rows 3-23 (21 positions, incl. GE/NFLX added 9/30/26), subtotal row 24, 'Excluding Cash' % in J25. Self-Directed/Chase rows 27-46 (20 positions), subtotal row 47. No separate Combined-Total or Cash-Equivalents row currently exists within the table (an earlier version of this note described rows 48-49 that way -- stale by the time this was corrected, predating 9/30/26; the combined total is JT ULTRA G24 + Chase G47, not a dedicated row). Rows 48-51 blank padding. These row numbers shift every time a position is added/removed -- re-verify against the live Table ref before relying on them, don't hardcode downstream references to specific rows.</t>
  </si>
  <si>
    <t>A=Account,B=Ticker,C=Description,D=AssetClass,E=Quantity,F=Price (STOCKHISTORY via Monitor!H when real Excel resolves it, else a hardcoded fallback that `landry weekly` / `landry market --positions-only` keeps equal to Market Data's price -- ETFs have no Monitor row, so for them it is always the fallback),G=MarketValue,H=CostBasis,I=UnrealizedGL$,J=UnrealizedGL%,K=%ofAccount,L=%ofCombined,M=Classification. Tax-loss carryforward reference cells at O2/P2 (Short-term), O3/P3 (Long-term) -- outside the table. Notes row (50) also outside the table, freeform.</t>
  </si>
  <si>
    <t>Monitor &amp; Recheck Triggers</t>
  </si>
  <si>
    <t>MonitorTable</t>
  </si>
  <si>
    <t>A2:Q51 (col N=Analyst Shift Note, mirrors K/L; RecheckStatus now P, Notes now Q; row 48 added 2026-09-11 for KGS and rows 49-51 on 2026-10-04 for ABT, SLB and VEEV, tracked non-owned candidates)</t>
  </si>
  <si>
    <t>A=Ticker,B=Category,C=LastScoreDate,D=LastComposite,E=LastT1WtdAvg,F=LastDecision,G=PriceAtLastScore,H=CurrentPrice,I=%PriceChange,J=EarningsDate,K=InsiderY/N,L=InsiderNote,M=AnalystShiftY/N,N=AnalystShiftNote,O=DaysSinceScore,P=RecheckStatus,Q=Notes. Category values: Owned / Owned - Tier1 AVOID / Watch List / Tier-1 Avoid (external) / Near-Miss. P1:Q1 = the date the insider / analyst signals (K-N) were last refreshed for held positions (defined name MON_SignalsAsOf), set by `python -m landry monitor refresh`; C-G mirror Scoring for held positions (`landry monitor stamp`).</t>
  </si>
  <si>
    <t>Price History</t>
  </si>
  <si>
    <t>Fixed range, single header</t>
  </si>
  <si>
    <t>Rows 3-162 (160 consecutive Fridays), cols A + B-AA (26 ticker columns: B-V the original 21-slot layout, W-AA appended 2026-10-04). One column per held position (ex-cash sweeps). Dividend-adjusted weekly closes, week-ending Friday (Rule 38). Maintained by `python -m landry prices` (append weekly, rebuild quarterly, add TICKER) -- not by hand, and NOT by `landry export`: its old Price History block rewrote A3:Q162 from the first 16 tickers alphabetically and destroyed this layout around 2026-10-01 (retired 10/4). The 'NN Weeks' footer sits two rows under the data and moves with each append. 24-month target ~104 rows, 12-month minimum ~52 rows, 36-month max ~156 rows (the tab holds 160; the Correlation Matrix ranges do not roll).</t>
  </si>
  <si>
    <t>A=Week Ending, B onward=one column per tracked ticker (order matches Returns (Calc) and Correlation Matrix): B-V = ADBE, ANET, ASML, AVGO, CRWD, KLAC, MU, NVDA, PLD, PLTR, TSM, VRT, VRTX, AVUV, DVY, HELO, JEPQ, SPMO, VFLO, SCHD, V (the 19 original tickers, with DVY and SCHD in the two former free slots P and U); W-AA = VYM, MLPI, JEPI, GE, NFLX. A ticker is never listed twice and a holding never goes without a column -- `landry prices status` checks both.</t>
  </si>
  <si>
    <t>Dashboard</t>
  </si>
  <si>
    <t>DashboardTable</t>
  </si>
  <si>
    <t>A1:J50 (header is row 1 here, not row 2 like most other tabs)</t>
  </si>
  <si>
    <t>A=Ticker,B=Company,C=DateScored,D=Tier1WtdAvg,E=Composite,F=Decision,G=Rule1,H=Rule2,I=Rule3,J=Rule4. Formula-mirrors Scoring row-for-row (=IF(Scoring!A3="","",Scoring!A3) pattern) -- read-only, do not edit directly. All rows visible as of 2026-10-05 (Alan unhid the 19 Rule-3-Avoid rows); the ticker-count footnote uses SUBTOTAL(103,...) so it counts visible (non-hidden) rows only.</t>
  </si>
  <si>
    <t>Scoring</t>
  </si>
  <si>
    <t>Fixed range, 2-row merged header</t>
  </si>
  <si>
    <t>n/a (not a Table -- Tier1/2/3 group headers span multiple columns in row 1)</t>
  </si>
  <si>
    <t>Rows 3-47 populated (45 tickers), formulas/formatting run through row 60 for headroom; row 62 holds a visible-ticker-count subtotal (SUBTOTAL 103, respects collapsed groups).</t>
  </si>
  <si>
    <t>A=Ticker,B=Company,C=Date. D-M=Tier1 (5 indicators x [Score,Conf]). N=Tier1WtdAvg,O=Tier1Contrib. P-W=Tier2 (4 x [Score,Conf]). X=Tier2Contrib. Y-AD=Tier3 (3 x [Score,Conf]). AE=Tier3Contrib. AF=Composite,AG=Decision (applies the Rule 3 / Rule 1 / Rule 4 gates in landry.scoring.classify's order since 2026-10-04). AH=Rule1,AI=Rule2,AJ=Rule3,AK=Rule4 flags. AL=Sector,AM=Industry (added 2026-08-18; yfinance sector/industry, refined sub-class e.g. "Utilities - Independent Power Producers" not just "Utilities" -- reference/diversification-screening field, not a Hard Rule input or part of the Composite calc) AN-AS=Piotroski-derived cross-checks (added 2026-08-25, confidence-tagging inputs only, do NOT feed Composite Score): AN=CFO,AO=NetIncome,AP=AccrualsCheck(OK/LOW CONF, feeds FCF Yield &amp; Trend confidence tag),AQ=Debt/FCF current,AR=Debt/FCF prior year,AS=LeverageTrajectory(Decreased/Flat/Increased, feeds Management Quality confidence tag and score per System v1.02 Part 2). Indicator key names used by landry.scoring.INDICATORS (for programmatic access) don't match these column letters 1:1 -- see landry/scoring.py if writing code against this tab rather than reading it.</t>
  </si>
  <si>
    <t>Entry Checklist</t>
  </si>
  <si>
    <t>EntryChecklistTable</t>
  </si>
  <si>
    <t>A2:S47</t>
  </si>
  <si>
    <t>A=Ticker,B=Company (both formula-mirror Scoring, same =IF(Scoring!A3="","",Scoring!A3) pattern as Dashboard). C=Rule6(Composite&gt;=65),D=Rule7(Tier1&gt;=3.0),E=Rule8(NoTier1=1),F=Rule9(200wkMA Y/N),G=Rule10(MonthlyMACD Y/N),H=StagingResult(Rules9-10). I=Rule11(BinaryEventRiskPresent Y/N),J=RiskIncludedInThesis(Y/N),K=Rule11Result. L=BaseCase&gt;10%check (added 2026-09-08; mirrors 'Implied-Return Calculator'!S with a +1 row offset -- Entry Checklist row 3 = that tab's row 4, same ticker). M=Rule12-BearCase&gt;=0%check (mirrors ...!T, same +1 offset), N=Rule13-ScenarioTagsOK (mirrors ...!U, same +1 offset). O=P/FCF(current),P=ConsensusFCFgrowth(2-yr annualized),Q=Rule14-ValuationCeiling. R=ENTRYAUTHORIZED (aggregates C,D,E,K,L,M,N,Q -- YES only if all pass), S=RecommendedAction (reads R).</t>
  </si>
  <si>
    <t>Market Data</t>
  </si>
  <si>
    <t>Rows 3-42 (40 tickers: held equities/ETFs ex-cash + Tier-1-passed bench candidates), cols A-I. Refreshed in place each Saturday by `python -m landry weekly` (landry/market.py) -- not a live formula.</t>
  </si>
  <si>
    <t>A=Ticker,B=Company,C=Price,D=Volume,E=MarketCap,F=P/E,G=52wkLow,H=52wkHigh,I=DivYield. The tool never adds or removes rows; a provider gap keeps the cell (ETF market caps), except a yield the provider reports as nothing paid, which is cleared.</t>
  </si>
  <si>
    <t>Returns (Calc)</t>
  </si>
  <si>
    <t>Fixed range, formula-derived</t>
  </si>
  <si>
    <t>Rows 3-161, cols A-V and W-AO</t>
  </si>
  <si>
    <t>Cols A-V mirror Price History B-V (same column order; the two former gap columns P and U now hold DVY and SCHD) -- every cell there is a formula computing week-over-week %% return off Price History; do not edit directly. Cols W-AO (23-41) are a SEPARATE block: one 'trend' column per ORIGINAL ticker (19, packed contiguously; DVY, SCHD and the five tickers added 2026-10-04 have no trend column or chart yet), each an IFERROR(...+INDEX/MATCH(9.99E+307,...)...) formula that finds Price History's actual last row (from Returns (Calc) column A's last date + 1 -- NOT from Price History column A, whose 'NN Weeks' footer holds the last number and sent every trend line to 0, and ADBE's to an error, until 2026-10-04) and computes that chart's dynamic trendline endpoint -- this is what lets each trendline auto-extend as new weekly closes are added, without FILTER/UNIQUE (this environment's LibreOffice recalc can't evaluate those). Feeds charts 1-19 directly; not a return calculation. Don't assume cols 23+ are unused placeholders -- they're live and load-bearing (a past session assumed exactly that from a shallow check and had to self-correct). Cols AP-AT (42-46) hold the returns for Price History W-AA (VYM, MLPI, JEPI, GE, NFLX) -- they could not go in W-AA because the trend block sits there; the mapping is Price History column 23+n -&gt; Returns column 42+n (landry/prices.py returns_col). Returns (Calc) runs ONE ROW AHEAD of Price History (row n = the return of Price History row n+1 over row n), so `prices append` extends it, moves the charts below it and the Price History footer down, all in one pass. The 19 charts are keyed to the ORIGINAL tickers' columns B-V; from ~10/1 to 10/4/26, while the header was clobbered, they plotted the wrong tickers.</t>
  </si>
  <si>
    <t>Correlation Matrix</t>
  </si>
  <si>
    <t>Fixed range, formula-derived headers</t>
  </si>
  <si>
    <t>Rows 1-27, cols A-AG</t>
  </si>
  <si>
    <t>Restructured 2026-09-08 (Alan's 4-point spec). Row1=banner (merged A1:AG1). Rows2-3=summary, moved above the grid: A2/A3=labels, J2=violation count (COUNTIF of the count-col &gt;1), J3=Rule 38 status (OK/REVIEW REQUIRED, conditionally formatted red/green). Row4=blank spacer. Row5=header: A='Ticker', B-AA=26 ticker columns (mirrors Price History's column order; W-AA read Returns (Calc) AP-AT). Rows6-31=26 ticker rows (same tickers, same order, as Price History). Cols AB-AF (28-32)=5 blank buffer columns (W-AA, formerly 5 of the 10, now hold tickers), reserved so new tickers don't force the count column to keep moving -- see the cell comment on AG5 before using up the last one. Col AG(33)='Positions &gt;0.70 with' -- per-row COUNTIF of that ticker's pairwise correlations &gt;0.7, conditionally formatted red if &gt;1 (that's the actual Rule 38 violation, tallied into J2).</t>
  </si>
  <si>
    <t>Portfolio Drawdown Log</t>
  </si>
  <si>
    <t>DrawdownLogTable</t>
  </si>
  <si>
    <t>A2:H42 as of 2026-09-08; grows one row per quarterly review, re-verify against the live Table ref</t>
  </si>
  <si>
    <t>A=Date,B=PortfolioValue,C=RunningPeak,D=Drawdown%,E=Status,F=RequiredCashFloor,G=NewPositionInitiation,H=Notes. Enter Date + PortfolioValue only; C-G calculate automatically (Part 7, Rules 38-39 drawdown-response tiers).</t>
  </si>
  <si>
    <t>Watch List Tracker</t>
  </si>
  <si>
    <t>WatchListTable</t>
  </si>
  <si>
    <t>A2:M22</t>
  </si>
  <si>
    <t>A=Ticker,B=Company,C=Status,D=EntryDate,E=EntryScore,F=CurrentScore,G=CurrentScoreDate,H=CredibleRemediationPlan(Y/N),I=90DayDeadline,J=DaysRemaining,K=ActionStatus,L=Notes,M=TrimsTaken(0-3, Rule 34). Rows 4-5 emptied 2026-10-05 when AVGO/VRTX cleared Rule 3 (rows are pre-built blanks with the formulas in I-K).</t>
  </si>
  <si>
    <t>Implied-Return Calculator</t>
  </si>
  <si>
    <t>n/a (Base/Bear/Bull scenario groups span multiple columns in row 2)</t>
  </si>
  <si>
    <t>Template exists for the full 45-ticker universe, rows 4-48 (same row as Entry Checklist +1 -- Entry Checklist row 3 = this tab's row 4, same ticker, all the way through row 47/48). Only rows 20-21 (COST, V) currently have real data; the rest are genuinely empty (no data AND no stray formulas) -- populated on demand when a candidate moves toward actual entry (Rules 12-14 prep), not for the whole universe up front.</t>
  </si>
  <si>
    <t>A=Ticker,B=Company,C=Price. D-H=Base[FCF5,Mult,Dist,Return,Tag]. I-M=Bear[same]. N-R=Bull[same]. S=Base&gt;10%check,T=Bear&gt;=0%check,U=ExactlyOneLikelyCheck.</t>
  </si>
  <si>
    <t>Holding Monitor</t>
  </si>
  <si>
    <t>n/a (Fundamental-trigger group header spans multiple columns in row 2)</t>
  </si>
  <si>
    <t>Template only covers rows 4-23 (20 tickers) -- unlike Implied-Return Calculator, this does NOT extend to the full 45-ticker universe; sheet max_row is genuinely 23. Currently 14 non-ETF holdings, so there's headroom for now, but extending the template is a real to-do before holdings count gets much closer to 20. 100%% empty as of 2026-09-08 -- correct, not a gap: only populates during scheduled quarterly reviews/fundamental refreshes (see Journal's FUND-REFRESH entries), and the first one hadn't happened yet as of that date. All input columns (Ticker, Company, Position Pct, Max Full Pct, every Prior/Current metric) are pure manual entry, no formulas at all except the Flag/Valuation-Flags/Action-Status columns below.</t>
  </si>
  <si>
    <t>A=Ticker,B=Company,C=PositionPct,D=MaxFullPct. E-S=5 fundamental indicators x [Prior,Current,Flag]. T=Debt/FCF,U=P/FCF,V=FCFGrowth,W=ImpliedReturn,X=CurrentTier,Y=PriorTier,Z=ValuationFlags,AA=HoldThroughY/N,AB=ActionStatus.</t>
  </si>
  <si>
    <t>Performance Tracking</t>
  </si>
  <si>
    <t>PerformanceTrackingTable</t>
  </si>
  <si>
    <t>A2:AC44</t>
  </si>
  <si>
    <t>A=Ticker,B=Company,C=EntryDate,D=EntryPrice,E=EntryScore,F=EntryConfidence,G=EntryBand,H=SPYatEntry,I=Status,J=ExitDate,K=ExitPrice,L=ExitReason,M=CurrentOrExitPrice,N=SPYcurrentOrExit,O=TotalReturn,P=SPYReturnSamePeriod,Q=ExcessReturn,R=Type(Stock/ETF/Cash),S=Basis(System/Baseline),T=LotShares,U=Shares,V=EntryValue,W=CurrentOrExitValue,X=Gain,Y=YTDBasePrice,Z=YTDBaseValue,AA=YTDGain,AB=YTDReturn,AC=SPYGain. One row per purchase lot (since 2026-10-05), held and sold: System lots carry the full Part 9 record and alone feed the Rule-46 cohort; Baseline lots (legacy stocks, dry-powder ETFs, cash funds, the pre-System shares of ADBE/VRTX/PLD, the names sold 8/7/26) are measured from the 8/5/26 close against SPY's 8/5/26 close and leave Score/Confidence/Band blank, never a fabricated entry score. Shares = Lot Shares for a System or sold lot; for a held baseline lot Current Positions' quantity less the ticker's held System lots (its typed Lot Shares is the 8/5/26 snapshot the audit compares with); M is a Market Data lookup for held stocks and ETFs (cash $1.00, sold lots their sale price); the weekly run writes only the benchmark cells (defined names PT_SPY_Now, PT_AsOf). A generated summary block (Subtotal, TOTAL, YTD, Cumulative, Avg Annual, then a by-source section -- System lots only / Legacy stocks / Dry-powder ETFs / Cash -- that adds up to the Cumulative TOTAL) and the benchmark cells sit below the Table: grow the Table only with landry.perf_tab.add_lot / extend_table.</t>
  </si>
  <si>
    <t>Journal</t>
  </si>
  <si>
    <t>JournalTable</t>
  </si>
  <si>
    <t>A2:C302</t>
  </si>
  <si>
    <t>A=Date,B=Ticker,C=Notes. Freeform; filter/sort via the Table's built-in header dropdowns.</t>
  </si>
  <si>
    <t>Process Checklist</t>
  </si>
  <si>
    <t>ProcessChecklistTable</t>
  </si>
  <si>
    <t>A4:F121 as of 2026-10-05 (12 events x their own step count; QTR-REVIEW-1/2, FUND-REFRESH-1/2, and DCA-CATCHUP-2..8 all gained a new Fidelity info-tab scan step -- DCA-CATCHUP-1 stayed as-is since it was already past prep, same reasoning as the 9/29 fresh-check-step addition, see Journal row 67) -- grows or shrinks whenever a recurring event is added/removed from the Journal calendar or an existing event's step list changes</t>
  </si>
  <si>
    <t>A=Event (must match Journal col B exactly), B=Step, C=Done(Y/N, manual), D=DateDone(manual), E=EventDueDate (live lookup into Journal, do not hand-type), F=Status (Done/OVERDUE/Pending, formula). Added 2026-09-08 -- built to make "missed a checklist step" structurally visible (Status flips OVERDUE) rather than something you have to remember to check.</t>
  </si>
  <si>
    <t>Open Items</t>
  </si>
  <si>
    <t>OpenItemsTable</t>
  </si>
  <si>
    <t>A4:F36 as of 2026-10-05 (32 items) -- grows as new open items get added, shrinks only if a row is deliberately removed (resolved items stay, marked Done, not deleted)</t>
  </si>
  <si>
    <t>A=# (priority order, renumber freely), B=Item, C=Done(Y/N, manual), D=DateRaised, E=DateResolved, F=Notes (points to the Journal entry with full reasoning, doesn't duplicate it). Added 2026-09-11 -- ad hoc/one-off open items backlog, complements Process Checklist (which is for recurring scheduled events only).</t>
  </si>
  <si>
    <t>52-Wk Lo</t>
  </si>
  <si>
    <t>52-Wk Hi</t>
  </si>
  <si>
    <t>% of Acct</t>
  </si>
  <si>
    <t>% of Comb. Portfolio</t>
  </si>
  <si>
    <t>Alt.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</si>
</sst>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000"/>
    <numFmt numFmtId="166" formatCode="_(* #,##0.00_);_(* \(#,##0.00\);_(* \-??_);_(@_)"/>
    <numFmt numFmtId="167" formatCode="\$#,##0.00"/>
    <numFmt numFmtId="168" formatCode="mm/dd/yyyy"/>
    <numFmt numFmtId="169" formatCode="yyyy\-mm\-dd"/>
    <numFmt numFmtId="170" formatCode="0.0"/>
    <numFmt numFmtId="171" formatCode="0.000"/>
    <numFmt numFmtId="172" formatCode="\$#,##0"/>
    <numFmt numFmtId="173" formatCode="0.0\x"/>
    <numFmt numFmtId="174" formatCode="\$#,##0_);&quot;($&quot;#,##0\)"/>
    <numFmt numFmtId="175" formatCode="0.0%_);\(0.0%\)"/>
    <numFmt numFmtId="176" formatCode="yyyy\-mm\-dd\ h:mm:ss"/>
  </numFmts>
  <fonts count="79" x14ac:knownFonts="1">
    <font>
      <sz val="11"/>
      <color theme="1"/>
      <name val="Calibri"/>
      <family val="2"/>
      <charset val="1"/>
    </font>
    <font>
      <sz val="10"/>
      <name val="Arial"/>
      <family val="2"/>
    </font>
    <font>
      <b/>
      <sz val="13"/>
      <color rgb="FF1F3864"/>
      <name val="Arial"/>
      <family val="2"/>
      <charset val="1"/>
    </font>
    <font>
      <sz val="9"/>
      <color rgb="FF000000"/>
      <name val="Arial"/>
      <family val="2"/>
      <charset val="1"/>
    </font>
    <font>
      <i/>
      <sz val="9"/>
      <color rgb="FF000000"/>
      <name val="Arial"/>
      <family val="2"/>
      <charset val="1"/>
    </font>
    <font>
      <b/>
      <sz val="10"/>
      <color rgb="FF1F3864"/>
      <name val="Arial"/>
      <family val="2"/>
      <charset val="1"/>
    </font>
    <font>
      <sz val="9"/>
      <name val="Arial"/>
      <family val="2"/>
      <charset val="1"/>
    </font>
    <font>
      <b/>
      <sz val="14"/>
      <color rgb="FF1F3864"/>
      <name val="Arial"/>
      <family val="2"/>
      <charset val="1"/>
    </font>
    <font>
      <sz val="14"/>
      <color theme="1"/>
      <name val="Calibri"/>
      <family val="2"/>
      <charset val="1"/>
    </font>
    <font>
      <i/>
      <sz val="10"/>
      <color rgb="FF808080"/>
      <name val="Arial"/>
      <family val="2"/>
      <charset val="1"/>
    </font>
    <font>
      <b/>
      <sz val="11"/>
      <color rgb="FFFFFFFF"/>
      <name val="Arial"/>
      <family val="2"/>
      <charset val="1"/>
    </font>
    <font>
      <sz val="10"/>
      <color rgb="FF000000"/>
      <name val="Arial"/>
      <family val="2"/>
      <charset val="1"/>
    </font>
    <font>
      <b/>
      <sz val="10"/>
      <color rgb="FF000000"/>
      <name val="Arial"/>
      <family val="2"/>
      <charset val="1"/>
    </font>
    <font>
      <sz val="10"/>
      <color theme="1"/>
      <name val="Calibri"/>
      <family val="2"/>
      <charset val="1"/>
    </font>
    <font>
      <sz val="11"/>
      <color theme="1"/>
      <name val="Arial Narrow"/>
      <family val="2"/>
      <charset val="1"/>
    </font>
    <font>
      <i/>
      <sz val="10"/>
      <color rgb="FF000000"/>
      <name val="Arial Narrow"/>
      <family val="2"/>
      <charset val="1"/>
    </font>
    <font>
      <b/>
      <sz val="11"/>
      <color rgb="FFFFFFFF"/>
      <name val="Arial Narrow"/>
      <family val="2"/>
      <charset val="1"/>
    </font>
    <font>
      <sz val="8"/>
      <color rgb="FF002060"/>
      <name val="Arial Narrow"/>
      <family val="2"/>
      <charset val="1"/>
    </font>
    <font>
      <b/>
      <sz val="10"/>
      <color rgb="FF002060"/>
      <name val="Arial Narrow"/>
      <family val="2"/>
      <charset val="1"/>
    </font>
    <font>
      <sz val="10"/>
      <color rgb="FF002060"/>
      <name val="Arial Narrow"/>
      <family val="2"/>
      <charset val="1"/>
    </font>
    <font>
      <sz val="10"/>
      <name val="Arial Narrow"/>
      <family val="2"/>
      <charset val="1"/>
    </font>
    <font>
      <b/>
      <sz val="10"/>
      <color rgb="FF000000"/>
      <name val="Arial Narrow"/>
      <family val="2"/>
      <charset val="1"/>
    </font>
    <font>
      <sz val="10"/>
      <color rgb="FF000000"/>
      <name val="Arial Narrow"/>
      <family val="2"/>
      <charset val="1"/>
    </font>
    <font>
      <sz val="9"/>
      <color rgb="FF002060"/>
      <name val="Arial Narrow"/>
      <family val="2"/>
      <charset val="1"/>
    </font>
    <font>
      <i/>
      <sz val="11"/>
      <color rgb="FF808080"/>
      <name val="Arial Narrow"/>
      <family val="2"/>
      <charset val="1"/>
    </font>
    <font>
      <b/>
      <sz val="11"/>
      <color theme="1"/>
      <name val="Calibri"/>
      <family val="2"/>
      <charset val="1"/>
    </font>
    <font>
      <i/>
      <sz val="11"/>
      <color rgb="FF000000"/>
      <name val="Arial Narrow"/>
      <family val="2"/>
      <charset val="1"/>
    </font>
    <font>
      <b/>
      <sz val="9"/>
      <color rgb="FF002060"/>
      <name val="Arial Narrow"/>
      <family val="2"/>
    </font>
    <font>
      <sz val="9"/>
      <color rgb="FF002060"/>
      <name val="Arial Narrow"/>
      <family val="2"/>
    </font>
    <font>
      <b/>
      <sz val="11"/>
      <color rgb="FF002060"/>
      <name val="Arial Narrow"/>
      <family val="2"/>
      <charset val="1"/>
    </font>
    <font>
      <sz val="11"/>
      <color rgb="FF000000"/>
      <name val="Arial Narrow"/>
      <family val="2"/>
      <charset val="1"/>
    </font>
    <font>
      <b/>
      <sz val="11"/>
      <color rgb="FF002060"/>
      <name val="Arial"/>
      <family val="2"/>
      <charset val="1"/>
    </font>
    <font>
      <sz val="10"/>
      <color rgb="FF002060"/>
      <name val="Arial"/>
      <family val="2"/>
      <charset val="1"/>
    </font>
    <font>
      <sz val="10"/>
      <color theme="1"/>
      <name val="Arial Narrow"/>
      <family val="2"/>
      <charset val="1"/>
    </font>
    <font>
      <i/>
      <sz val="12"/>
      <color rgb="FF000000"/>
      <name val="Arial Narrow"/>
      <family val="2"/>
      <charset val="1"/>
    </font>
    <font>
      <b/>
      <sz val="12"/>
      <color theme="1"/>
      <name val="Arial Narrow"/>
      <family val="2"/>
      <charset val="1"/>
    </font>
    <font>
      <b/>
      <sz val="12"/>
      <color rgb="FFFFFFFF"/>
      <name val="Arial Narrow"/>
      <family val="2"/>
      <charset val="1"/>
    </font>
    <font>
      <b/>
      <sz val="11"/>
      <color rgb="FF000000"/>
      <name val="Arial Narrow"/>
      <family val="2"/>
      <charset val="1"/>
    </font>
    <font>
      <b/>
      <sz val="11"/>
      <color theme="1"/>
      <name val="Arial Narrow"/>
      <family val="2"/>
      <charset val="1"/>
    </font>
    <font>
      <b/>
      <sz val="10"/>
      <color rgb="FFFFFFFF"/>
      <name val="Arial Narrow"/>
      <family val="2"/>
      <charset val="1"/>
    </font>
    <font>
      <b/>
      <sz val="9"/>
      <color rgb="FFFFFFFF"/>
      <name val="Arial Narrow"/>
      <family val="2"/>
      <charset val="1"/>
    </font>
    <font>
      <sz val="11"/>
      <color rgb="FF002060"/>
      <name val="Arial Narrow"/>
      <family val="2"/>
      <charset val="1"/>
    </font>
    <font>
      <b/>
      <sz val="8"/>
      <color rgb="FF000000"/>
      <name val="Arial Narrow"/>
      <family val="2"/>
      <charset val="1"/>
    </font>
    <font>
      <b/>
      <sz val="9"/>
      <color rgb="FF000000"/>
      <name val="Arial Narrow"/>
      <family val="2"/>
      <charset val="1"/>
    </font>
    <font>
      <sz val="9"/>
      <color theme="1"/>
      <name val="Arial Narrow"/>
      <family val="2"/>
      <charset val="1"/>
    </font>
    <font>
      <sz val="9"/>
      <color rgb="FF000000"/>
      <name val="Arial Narrow"/>
      <family val="2"/>
      <charset val="1"/>
    </font>
    <font>
      <sz val="8"/>
      <color rgb="FF000000"/>
      <name val="Arial Narrow"/>
      <family val="2"/>
      <charset val="1"/>
    </font>
    <font>
      <b/>
      <sz val="10"/>
      <name val="Arial Narrow"/>
      <family val="2"/>
      <charset val="1"/>
    </font>
    <font>
      <b/>
      <sz val="12"/>
      <color rgb="FF1F3864"/>
      <name val="Arial Narrow"/>
      <family val="2"/>
      <charset val="1"/>
    </font>
    <font>
      <b/>
      <i/>
      <sz val="11"/>
      <color rgb="FF000000"/>
      <name val="Arial Narrow"/>
      <family val="2"/>
      <charset val="1"/>
    </font>
    <font>
      <b/>
      <sz val="8"/>
      <color rgb="FF002060"/>
      <name val="Arial"/>
      <family val="2"/>
      <charset val="1"/>
    </font>
    <font>
      <sz val="8"/>
      <color rgb="FF002060"/>
      <name val="Arial"/>
      <family val="2"/>
      <charset val="1"/>
    </font>
    <font>
      <b/>
      <sz val="8"/>
      <color rgb="FF000000"/>
      <name val="Arial"/>
      <family val="2"/>
      <charset val="1"/>
    </font>
    <font>
      <b/>
      <sz val="8"/>
      <color rgb="FF002060"/>
      <name val="Arial Narrow"/>
      <family val="2"/>
      <charset val="1"/>
    </font>
    <font>
      <b/>
      <sz val="8"/>
      <color rgb="FF006100"/>
      <name val="Arial Narrow"/>
      <family val="2"/>
    </font>
    <font>
      <b/>
      <sz val="9"/>
      <color rgb="FFFFFFFF"/>
      <name val="Arial Narrow"/>
      <family val="2"/>
    </font>
    <font>
      <sz val="11"/>
      <name val="Cambria"/>
      <family val="1"/>
    </font>
    <font>
      <sz val="9"/>
      <name val="Arial Narrow"/>
      <family val="2"/>
    </font>
    <font>
      <i/>
      <sz val="8"/>
      <color rgb="FF808080"/>
      <name val="Arial Narrow"/>
      <family val="2"/>
    </font>
    <font>
      <b/>
      <sz val="9"/>
      <name val="Arial Narrow"/>
      <family val="2"/>
    </font>
    <font>
      <i/>
      <sz val="11"/>
      <color rgb="FF808080"/>
      <name val="Arial Narrow"/>
      <family val="2"/>
    </font>
    <font>
      <sz val="10"/>
      <color rgb="FF002060"/>
      <name val="Arial Narrow"/>
      <family val="2"/>
    </font>
    <font>
      <sz val="11"/>
      <color rgb="FF002060"/>
      <name val="Arial Narrow"/>
      <family val="2"/>
    </font>
    <font>
      <b/>
      <sz val="12"/>
      <color rgb="FF1F3864"/>
      <name val="Arial"/>
      <family val="2"/>
      <charset val="1"/>
    </font>
    <font>
      <b/>
      <sz val="10"/>
      <color rgb="FFFFFFFF"/>
      <name val="Arial"/>
      <family val="2"/>
      <charset val="1"/>
    </font>
    <font>
      <b/>
      <sz val="9"/>
      <color rgb="FFFFFFFF"/>
      <name val="Arial"/>
      <family val="2"/>
      <charset val="1"/>
    </font>
    <font>
      <sz val="8"/>
      <color rgb="FF000000"/>
      <name val="Arial"/>
      <family val="2"/>
      <charset val="1"/>
    </font>
    <font>
      <sz val="11"/>
      <color theme="1"/>
      <name val="Arial Narrow"/>
      <family val="2"/>
    </font>
    <font>
      <b/>
      <sz val="11"/>
      <color rgb="FFFFFFFF"/>
      <name val="Arial Narrow"/>
      <family val="2"/>
    </font>
    <font>
      <b/>
      <sz val="16"/>
      <color rgb="FFFFFFFF"/>
      <name val="Arial Narrow"/>
      <family val="2"/>
    </font>
    <font>
      <b/>
      <sz val="12"/>
      <color rgb="FFFFFFFF"/>
      <name val="Arial Narrow"/>
      <family val="2"/>
    </font>
    <font>
      <b/>
      <sz val="10"/>
      <color rgb="FFFFFFFF"/>
      <name val="Arial Narrow"/>
      <family val="2"/>
    </font>
    <font>
      <b/>
      <sz val="11"/>
      <color rgb="FF002060"/>
      <name val="Arial Narrow"/>
      <family val="2"/>
    </font>
    <font>
      <sz val="11"/>
      <color rgb="FF000000"/>
      <name val="Arial Narrow"/>
      <family val="2"/>
    </font>
    <font>
      <b/>
      <sz val="11"/>
      <color rgb="FF000000"/>
      <name val="Arial Narrow"/>
      <family val="2"/>
    </font>
    <font>
      <sz val="8"/>
      <color rgb="FF002060"/>
      <name val="Arial Narrow"/>
      <family val="2"/>
    </font>
    <font>
      <b/>
      <sz val="12"/>
      <color theme="1"/>
      <name val="Arial Narrow"/>
      <family val="2"/>
    </font>
    <font>
      <sz val="11"/>
      <color theme="6" tint="-0.249977111117893"/>
      <name val="Arial Narrow"/>
      <family val="2"/>
      <charset val="1"/>
    </font>
    <font>
      <sz val="11"/>
      <color theme="6" tint="-0.249977111117893"/>
      <name val="Calibri"/>
      <family val="2"/>
      <charset val="1"/>
    </font>
  </fonts>
  <fills count="14">
    <fill>
      <patternFill patternType="none"/>
    </fill>
    <fill>
      <patternFill patternType="gray125"/>
    </fill>
    <fill>
      <patternFill patternType="solid">
        <fgColor rgb="FF2E5090"/>
        <bgColor rgb="FF1F3864"/>
      </patternFill>
    </fill>
    <fill>
      <patternFill patternType="solid">
        <fgColor rgb="FF1F3864"/>
        <bgColor rgb="FF2E5090"/>
      </patternFill>
    </fill>
    <fill>
      <patternFill patternType="solid">
        <fgColor theme="6" tint="0.79979857783745845"/>
        <bgColor rgb="FFE2EFDA"/>
      </patternFill>
    </fill>
    <fill>
      <patternFill patternType="solid">
        <fgColor rgb="FFDDEBF7"/>
        <bgColor rgb="FFDCE6F1"/>
      </patternFill>
    </fill>
    <fill>
      <patternFill patternType="solid">
        <fgColor theme="2" tint="-9.9978637043366805E-2"/>
        <bgColor rgb="FFD9D9D9"/>
      </patternFill>
    </fill>
    <fill>
      <patternFill patternType="solid">
        <fgColor rgb="FF833C0C"/>
        <bgColor rgb="FF632423"/>
      </patternFill>
    </fill>
    <fill>
      <patternFill patternType="solid">
        <fgColor rgb="FFDCE6F1"/>
        <bgColor rgb="FFDDEBF7"/>
      </patternFill>
    </fill>
    <fill>
      <patternFill patternType="solid">
        <fgColor rgb="FF375623"/>
        <bgColor rgb="FF006100"/>
      </patternFill>
    </fill>
    <fill>
      <patternFill patternType="solid">
        <fgColor rgb="FF632423"/>
        <bgColor rgb="FF833C0C"/>
      </patternFill>
    </fill>
    <fill>
      <patternFill patternType="solid">
        <fgColor rgb="FFC6EFCE"/>
        <bgColor rgb="FFE2EFDA"/>
      </patternFill>
    </fill>
    <fill>
      <patternFill patternType="solid">
        <fgColor rgb="FFF2F2F2"/>
        <bgColor rgb="FFECF4FA"/>
      </patternFill>
    </fill>
    <fill>
      <patternFill patternType="solid">
        <fgColor rgb="FFECF4FA"/>
        <bgColor rgb="FFF2F2F2"/>
      </patternFill>
    </fill>
  </fills>
  <borders count="14">
    <border>
      <left/>
      <right/>
      <top/>
      <bottom/>
      <diagonal/>
    </border>
    <border>
      <left style="thin">
        <color rgb="FF999999"/>
      </left>
      <right style="thin">
        <color rgb="FF999999"/>
      </right>
      <top style="thin">
        <color rgb="FF999999"/>
      </top>
      <bottom style="thin">
        <color rgb="FF999999"/>
      </bottom>
      <diagonal/>
    </border>
    <border>
      <left/>
      <right/>
      <top style="medium">
        <color auto="1"/>
      </top>
      <bottom/>
      <diagonal/>
    </border>
    <border>
      <left style="thin">
        <color rgb="FFA6A6A6"/>
      </left>
      <right style="thin">
        <color rgb="FFA6A6A6"/>
      </right>
      <top style="thin">
        <color rgb="FFA6A6A6"/>
      </top>
      <bottom style="thin">
        <color rgb="FFA6A6A6"/>
      </bottom>
      <diagonal/>
    </border>
    <border>
      <left style="thin">
        <color rgb="FF999999"/>
      </left>
      <right style="thin">
        <color rgb="FF999999"/>
      </right>
      <top style="thin">
        <color rgb="FF999999"/>
      </top>
      <bottom style="medium">
        <color auto="1"/>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diagonal/>
    </border>
    <border>
      <left style="thin">
        <color auto="1"/>
      </left>
      <right style="thin">
        <color auto="1"/>
      </right>
      <top style="thin">
        <color auto="1"/>
      </top>
      <bottom style="thin">
        <color auto="1"/>
      </bottom>
      <diagonal/>
    </border>
    <border>
      <left style="thin">
        <color auto="1"/>
      </left>
      <right style="thin">
        <color rgb="FF999999"/>
      </right>
      <top style="thin">
        <color rgb="FF999999"/>
      </top>
      <bottom style="thin">
        <color auto="1"/>
      </bottom>
      <diagonal/>
    </border>
    <border>
      <left style="thin">
        <color rgb="FF999999"/>
      </left>
      <right style="thin">
        <color rgb="FF999999"/>
      </right>
      <top style="thin">
        <color rgb="FF999999"/>
      </top>
      <bottom style="thin">
        <color auto="1"/>
      </bottom>
      <diagonal/>
    </border>
    <border>
      <left/>
      <right/>
      <top style="thin">
        <color rgb="FF999999"/>
      </top>
      <bottom style="thin">
        <color rgb="FF999999"/>
      </bottom>
      <diagonal/>
    </border>
    <border>
      <left/>
      <right/>
      <top/>
      <bottom style="thin">
        <color rgb="FF999999"/>
      </bottom>
      <diagonal/>
    </border>
    <border>
      <left style="thin">
        <color rgb="FF999999"/>
      </left>
      <right/>
      <top style="thin">
        <color rgb="FF999999"/>
      </top>
      <bottom style="thin">
        <color rgb="FF999999"/>
      </bottom>
      <diagonal/>
    </border>
    <border>
      <left/>
      <right/>
      <top style="dashed">
        <color auto="1"/>
      </top>
      <bottom style="dashed">
        <color auto="1"/>
      </bottom>
      <diagonal/>
    </border>
  </borders>
  <cellStyleXfs count="1">
    <xf numFmtId="0" fontId="0" fillId="0" borderId="0"/>
  </cellStyleXfs>
  <cellXfs count="277">
    <xf numFmtId="0" fontId="0" fillId="0" borderId="0" xfId="0"/>
    <xf numFmtId="0" fontId="24" fillId="0" borderId="0" xfId="0" applyFont="1" applyAlignment="1">
      <alignment horizontal="left" vertical="center" wrapText="1"/>
    </xf>
    <xf numFmtId="0" fontId="0" fillId="0" borderId="0" xfId="0"/>
    <xf numFmtId="0" fontId="15" fillId="0" borderId="0" xfId="0" applyFont="1" applyAlignment="1">
      <alignment horizontal="left" vertical="center" wrapText="1"/>
    </xf>
    <xf numFmtId="0" fontId="11" fillId="0" borderId="0" xfId="0" applyFont="1" applyAlignment="1">
      <alignment horizontal="right" vertical="center" wrapText="1"/>
    </xf>
    <xf numFmtId="0" fontId="10" fillId="2" borderId="0" xfId="0" applyFont="1" applyFill="1" applyAlignment="1">
      <alignment wrapText="1"/>
    </xf>
    <xf numFmtId="0" fontId="11" fillId="0" borderId="0" xfId="0" applyFont="1" applyAlignment="1">
      <alignment horizontal="left" vertical="center"/>
    </xf>
    <xf numFmtId="164" fontId="12" fillId="0" borderId="1" xfId="0" applyNumberFormat="1" applyFont="1" applyBorder="1" applyAlignment="1">
      <alignment horizontal="center" vertical="center"/>
    </xf>
    <xf numFmtId="1"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0" fontId="12" fillId="0" borderId="1" xfId="0" applyFont="1" applyBorder="1" applyAlignment="1">
      <alignment horizontal="center" vertical="center"/>
    </xf>
    <xf numFmtId="0" fontId="11" fillId="0" borderId="0" xfId="0" applyFont="1" applyAlignment="1">
      <alignment horizontal="right" vertical="center"/>
    </xf>
    <xf numFmtId="0" fontId="10" fillId="2" borderId="0" xfId="0" applyFont="1" applyFill="1"/>
    <xf numFmtId="0" fontId="9" fillId="0" borderId="0" xfId="0" applyFont="1"/>
    <xf numFmtId="0" fontId="7" fillId="0" borderId="0" xfId="0" applyFont="1" applyAlignment="1">
      <alignment wrapText="1"/>
    </xf>
    <xf numFmtId="0" fontId="2" fillId="0" borderId="0" xfId="0" applyFont="1" applyAlignment="1">
      <alignment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3" fillId="0" borderId="0" xfId="0" applyFont="1"/>
    <xf numFmtId="0" fontId="5" fillId="0" borderId="0" xfId="0" applyFont="1"/>
    <xf numFmtId="0" fontId="6" fillId="0" borderId="0" xfId="0" applyFont="1" applyAlignment="1">
      <alignment wrapText="1"/>
    </xf>
    <xf numFmtId="0" fontId="0" fillId="0" borderId="0" xfId="0" applyAlignment="1">
      <alignment wrapText="1"/>
    </xf>
    <xf numFmtId="0" fontId="8" fillId="0" borderId="0" xfId="0" applyFont="1"/>
    <xf numFmtId="0" fontId="12" fillId="0" borderId="1" xfId="0" applyFont="1" applyBorder="1" applyAlignment="1">
      <alignment horizontal="center" vertical="center"/>
    </xf>
    <xf numFmtId="0" fontId="13" fillId="0" borderId="0" xfId="0" applyFont="1"/>
    <xf numFmtId="164" fontId="12" fillId="0" borderId="1" xfId="0" applyNumberFormat="1" applyFont="1" applyBorder="1" applyAlignment="1">
      <alignment horizontal="center" vertical="center"/>
    </xf>
    <xf numFmtId="0" fontId="0" fillId="0" borderId="0" xfId="0" applyAlignment="1">
      <alignment horizontal="center"/>
    </xf>
    <xf numFmtId="0" fontId="14" fillId="0" borderId="0" xfId="0" applyFont="1"/>
    <xf numFmtId="0" fontId="16" fillId="3" borderId="0" xfId="0" applyFont="1" applyFill="1" applyAlignment="1">
      <alignment horizontal="center" vertical="top" wrapText="1"/>
    </xf>
    <xf numFmtId="0" fontId="17" fillId="0" borderId="0" xfId="0" applyFont="1"/>
    <xf numFmtId="0" fontId="18" fillId="0" borderId="0" xfId="0" applyFont="1" applyAlignment="1">
      <alignment horizontal="center"/>
    </xf>
    <xf numFmtId="0" fontId="19" fillId="0" borderId="0" xfId="0" applyFont="1"/>
    <xf numFmtId="0" fontId="19" fillId="0" borderId="0" xfId="0" applyFont="1" applyAlignment="1">
      <alignment horizontal="center"/>
    </xf>
    <xf numFmtId="166" fontId="20" fillId="0" borderId="0" xfId="0" applyNumberFormat="1" applyFont="1"/>
    <xf numFmtId="167" fontId="21" fillId="0" borderId="0" xfId="0" applyNumberFormat="1" applyFont="1"/>
    <xf numFmtId="4" fontId="19" fillId="0" borderId="0" xfId="0" applyNumberFormat="1" applyFont="1"/>
    <xf numFmtId="167" fontId="19" fillId="0" borderId="0" xfId="0" applyNumberFormat="1" applyFont="1"/>
    <xf numFmtId="164" fontId="22" fillId="0" borderId="0" xfId="0" applyNumberFormat="1" applyFont="1" applyAlignment="1">
      <alignment horizontal="center"/>
    </xf>
    <xf numFmtId="0" fontId="18" fillId="4" borderId="0" xfId="0" applyFont="1" applyFill="1" applyAlignment="1">
      <alignment horizontal="center"/>
    </xf>
    <xf numFmtId="0" fontId="23" fillId="0" borderId="2" xfId="0" applyFont="1" applyBorder="1" applyAlignment="1">
      <alignment horizontal="right"/>
    </xf>
    <xf numFmtId="0" fontId="18" fillId="0" borderId="2" xfId="0" applyFont="1" applyBorder="1" applyAlignment="1">
      <alignment horizontal="center"/>
    </xf>
    <xf numFmtId="0" fontId="18" fillId="0" borderId="2" xfId="0" applyFont="1" applyBorder="1" applyAlignment="1">
      <alignment horizontal="right"/>
    </xf>
    <xf numFmtId="0" fontId="19" fillId="0" borderId="2" xfId="0" applyFont="1" applyBorder="1" applyAlignment="1">
      <alignment horizontal="center"/>
    </xf>
    <xf numFmtId="166" fontId="20" fillId="0" borderId="2" xfId="0" applyNumberFormat="1" applyFont="1" applyBorder="1"/>
    <xf numFmtId="167" fontId="21" fillId="0" borderId="2" xfId="0" applyNumberFormat="1" applyFont="1" applyBorder="1"/>
    <xf numFmtId="4" fontId="18" fillId="0" borderId="2" xfId="0" applyNumberFormat="1" applyFont="1" applyBorder="1"/>
    <xf numFmtId="167" fontId="18" fillId="0" borderId="2" xfId="0" applyNumberFormat="1" applyFont="1" applyBorder="1"/>
    <xf numFmtId="164" fontId="21" fillId="0" borderId="2" xfId="0" applyNumberFormat="1" applyFont="1" applyBorder="1" applyAlignment="1">
      <alignment horizontal="center"/>
    </xf>
    <xf numFmtId="0" fontId="17" fillId="0" borderId="2" xfId="0" applyFont="1" applyBorder="1"/>
    <xf numFmtId="0" fontId="0" fillId="0" borderId="2" xfId="0" applyBorder="1"/>
    <xf numFmtId="0" fontId="20" fillId="0" borderId="0" xfId="0" applyFont="1" applyAlignment="1">
      <alignment horizontal="right"/>
    </xf>
    <xf numFmtId="164" fontId="20" fillId="0" borderId="0" xfId="0" applyNumberFormat="1" applyFont="1" applyAlignment="1">
      <alignment horizontal="center"/>
    </xf>
    <xf numFmtId="0" fontId="25" fillId="0" borderId="0" xfId="0" applyFont="1" applyAlignment="1">
      <alignment horizontal="center"/>
    </xf>
    <xf numFmtId="4" fontId="0" fillId="0" borderId="0" xfId="0" applyNumberFormat="1"/>
    <xf numFmtId="0" fontId="26" fillId="0" borderId="0" xfId="0" applyFont="1" applyAlignment="1">
      <alignment vertical="center" wrapText="1"/>
    </xf>
    <xf numFmtId="0" fontId="27" fillId="0" borderId="3" xfId="0" applyFont="1" applyBorder="1" applyAlignment="1">
      <alignment horizontal="right" vertical="center" wrapText="1"/>
    </xf>
    <xf numFmtId="168" fontId="28" fillId="5" borderId="3" xfId="0" applyNumberFormat="1" applyFont="1" applyFill="1" applyBorder="1" applyAlignment="1">
      <alignment horizontal="center" vertical="center" wrapText="1"/>
    </xf>
    <xf numFmtId="0" fontId="16" fillId="3" borderId="1" xfId="0" applyFont="1" applyFill="1" applyBorder="1" applyAlignment="1">
      <alignment horizontal="center" vertical="top" wrapText="1"/>
    </xf>
    <xf numFmtId="4" fontId="16" fillId="3" borderId="1" xfId="0" applyNumberFormat="1" applyFont="1" applyFill="1" applyBorder="1" applyAlignment="1">
      <alignment horizontal="center" vertical="top" wrapText="1"/>
    </xf>
    <xf numFmtId="0" fontId="0" fillId="0" borderId="0" xfId="0" applyAlignment="1">
      <alignment vertical="top"/>
    </xf>
    <xf numFmtId="0" fontId="29" fillId="5" borderId="1" xfId="0" applyFont="1" applyFill="1" applyBorder="1" applyAlignment="1">
      <alignment horizontal="center" vertical="center"/>
    </xf>
    <xf numFmtId="0" fontId="19" fillId="5" borderId="1" xfId="0" applyFont="1" applyFill="1" applyBorder="1" applyAlignment="1">
      <alignment horizontal="center" vertical="center"/>
    </xf>
    <xf numFmtId="169" fontId="19" fillId="5" borderId="1" xfId="0" applyNumberFormat="1" applyFont="1" applyFill="1" applyBorder="1" applyAlignment="1">
      <alignment horizontal="center" vertical="center"/>
    </xf>
    <xf numFmtId="0" fontId="30" fillId="0" borderId="1" xfId="0" applyFont="1" applyBorder="1" applyAlignment="1">
      <alignment horizontal="center" vertical="center"/>
    </xf>
    <xf numFmtId="4" fontId="19" fillId="5" borderId="1" xfId="0" applyNumberFormat="1" applyFont="1" applyFill="1" applyBorder="1" applyAlignment="1">
      <alignment horizontal="center" vertical="center"/>
    </xf>
    <xf numFmtId="167" fontId="19" fillId="5" borderId="1" xfId="0" applyNumberFormat="1" applyFont="1" applyFill="1" applyBorder="1" applyAlignment="1">
      <alignment horizontal="center" vertical="center"/>
    </xf>
    <xf numFmtId="164" fontId="21" fillId="0" borderId="1" xfId="0" applyNumberFormat="1" applyFont="1" applyBorder="1" applyAlignment="1">
      <alignment horizontal="center" vertical="center"/>
    </xf>
    <xf numFmtId="168" fontId="19" fillId="5" borderId="1" xfId="0" applyNumberFormat="1" applyFont="1" applyFill="1" applyBorder="1" applyAlignment="1">
      <alignment horizontal="center" vertical="center"/>
    </xf>
    <xf numFmtId="0" fontId="19" fillId="5" borderId="1" xfId="0" applyFont="1" applyFill="1" applyBorder="1" applyAlignment="1">
      <alignment horizontal="left" vertical="center"/>
    </xf>
    <xf numFmtId="1" fontId="22" fillId="0" borderId="1" xfId="0" applyNumberFormat="1" applyFont="1" applyBorder="1" applyAlignment="1">
      <alignment horizontal="center" vertical="center"/>
    </xf>
    <xf numFmtId="0" fontId="21" fillId="0" borderId="1" xfId="0" applyFont="1" applyBorder="1" applyAlignment="1">
      <alignment horizontal="center" vertical="center"/>
    </xf>
    <xf numFmtId="0" fontId="19" fillId="6" borderId="1" xfId="0" applyFont="1" applyFill="1" applyBorder="1" applyAlignment="1">
      <alignment horizontal="center" vertical="center"/>
    </xf>
    <xf numFmtId="0" fontId="19" fillId="6" borderId="1" xfId="0" applyFont="1" applyFill="1" applyBorder="1" applyAlignment="1">
      <alignment horizontal="left" vertical="center"/>
    </xf>
    <xf numFmtId="0" fontId="31" fillId="5" borderId="1" xfId="0" applyFont="1" applyFill="1" applyBorder="1" applyAlignment="1">
      <alignment horizontal="center" vertical="center"/>
    </xf>
    <xf numFmtId="0" fontId="32" fillId="5" borderId="1" xfId="0" applyFont="1" applyFill="1" applyBorder="1" applyAlignment="1">
      <alignment horizontal="left" vertical="center"/>
    </xf>
    <xf numFmtId="169" fontId="32" fillId="5" borderId="1" xfId="0" applyNumberFormat="1" applyFont="1" applyFill="1" applyBorder="1" applyAlignment="1">
      <alignment horizontal="center" vertical="center"/>
    </xf>
    <xf numFmtId="0" fontId="32" fillId="5" borderId="1" xfId="0" applyFont="1" applyFill="1" applyBorder="1" applyAlignment="1">
      <alignment horizontal="center" vertical="center"/>
    </xf>
    <xf numFmtId="4" fontId="32" fillId="5" borderId="1" xfId="0" applyNumberFormat="1" applyFont="1" applyFill="1" applyBorder="1" applyAlignment="1">
      <alignment horizontal="center" vertical="center"/>
    </xf>
    <xf numFmtId="167" fontId="32" fillId="5" borderId="1" xfId="0" applyNumberFormat="1" applyFont="1" applyFill="1" applyBorder="1" applyAlignment="1">
      <alignment horizontal="center" vertical="center"/>
    </xf>
    <xf numFmtId="168" fontId="32" fillId="5" borderId="1" xfId="0" applyNumberFormat="1" applyFont="1" applyFill="1" applyBorder="1" applyAlignment="1">
      <alignment horizontal="center" vertical="center"/>
    </xf>
    <xf numFmtId="1" fontId="11" fillId="0" borderId="1" xfId="0" applyNumberFormat="1" applyFont="1" applyBorder="1" applyAlignment="1">
      <alignment horizontal="center" vertical="center"/>
    </xf>
    <xf numFmtId="0" fontId="33" fillId="0" borderId="0" xfId="0" applyFont="1"/>
    <xf numFmtId="0" fontId="34" fillId="0" borderId="0" xfId="0" applyFont="1" applyAlignment="1">
      <alignment vertical="center"/>
    </xf>
    <xf numFmtId="0" fontId="15" fillId="0" borderId="0" xfId="0" applyFont="1" applyAlignment="1">
      <alignment vertical="center"/>
    </xf>
    <xf numFmtId="0" fontId="18" fillId="5" borderId="4" xfId="0" applyFont="1" applyFill="1" applyBorder="1" applyAlignment="1">
      <alignment horizontal="center" vertical="center" wrapText="1"/>
    </xf>
    <xf numFmtId="168" fontId="19" fillId="5" borderId="5" xfId="0" applyNumberFormat="1" applyFont="1" applyFill="1" applyBorder="1" applyAlignment="1">
      <alignment horizontal="center" vertical="center"/>
    </xf>
    <xf numFmtId="4" fontId="19" fillId="5" borderId="5" xfId="0" applyNumberFormat="1" applyFont="1" applyFill="1" applyBorder="1" applyAlignment="1">
      <alignment horizontal="center" vertical="center"/>
    </xf>
    <xf numFmtId="2" fontId="19" fillId="5" borderId="1" xfId="0" applyNumberFormat="1" applyFont="1" applyFill="1" applyBorder="1" applyAlignment="1">
      <alignment horizontal="center" vertical="center"/>
    </xf>
    <xf numFmtId="0" fontId="35" fillId="0" borderId="2" xfId="0" applyFont="1" applyBorder="1" applyAlignment="1">
      <alignment horizontal="center"/>
    </xf>
    <xf numFmtId="0" fontId="36" fillId="3" borderId="1" xfId="0" applyFont="1" applyFill="1" applyBorder="1" applyAlignment="1">
      <alignment horizontal="center" vertical="top" wrapText="1"/>
    </xf>
    <xf numFmtId="0" fontId="36" fillId="3" borderId="1" xfId="0" applyFont="1" applyFill="1" applyBorder="1" applyAlignment="1">
      <alignment horizontal="center" vertical="center" wrapText="1"/>
    </xf>
    <xf numFmtId="0" fontId="37" fillId="0" borderId="1" xfId="0" applyFont="1" applyBorder="1" applyAlignment="1">
      <alignment horizontal="center" vertical="center"/>
    </xf>
    <xf numFmtId="0" fontId="30" fillId="0" borderId="1" xfId="0" applyFont="1" applyBorder="1" applyAlignment="1">
      <alignment horizontal="left" vertical="center"/>
    </xf>
    <xf numFmtId="168" fontId="30" fillId="0" borderId="1" xfId="0" applyNumberFormat="1" applyFont="1" applyBorder="1" applyAlignment="1">
      <alignment horizontal="center" vertical="center"/>
    </xf>
    <xf numFmtId="2" fontId="30" fillId="0" borderId="1" xfId="0" applyNumberFormat="1" applyFont="1" applyBorder="1" applyAlignment="1">
      <alignment horizontal="center" vertical="center"/>
    </xf>
    <xf numFmtId="170" fontId="37" fillId="0" borderId="1" xfId="0" applyNumberFormat="1" applyFont="1" applyBorder="1" applyAlignment="1">
      <alignment horizontal="center" vertical="center"/>
    </xf>
    <xf numFmtId="0" fontId="37" fillId="0" borderId="6" xfId="0" applyFont="1" applyBorder="1" applyAlignment="1">
      <alignment horizontal="center" vertical="center"/>
    </xf>
    <xf numFmtId="0" fontId="30" fillId="0" borderId="6" xfId="0" applyFont="1" applyBorder="1" applyAlignment="1">
      <alignment horizontal="left" vertical="center"/>
    </xf>
    <xf numFmtId="168" fontId="30" fillId="0" borderId="6" xfId="0" applyNumberFormat="1" applyFont="1" applyBorder="1" applyAlignment="1">
      <alignment horizontal="center" vertical="center"/>
    </xf>
    <xf numFmtId="2" fontId="30" fillId="0" borderId="6" xfId="0" applyNumberFormat="1" applyFont="1" applyBorder="1" applyAlignment="1">
      <alignment horizontal="center" vertical="center"/>
    </xf>
    <xf numFmtId="170" fontId="37" fillId="0" borderId="6" xfId="0" applyNumberFormat="1" applyFont="1" applyBorder="1" applyAlignment="1">
      <alignment horizontal="center" vertical="center"/>
    </xf>
    <xf numFmtId="0" fontId="30" fillId="0" borderId="6" xfId="0" applyFont="1" applyBorder="1" applyAlignment="1">
      <alignment horizontal="center" vertical="center"/>
    </xf>
    <xf numFmtId="0" fontId="37" fillId="0" borderId="7" xfId="0" applyFont="1" applyBorder="1" applyAlignment="1">
      <alignment horizontal="center"/>
    </xf>
    <xf numFmtId="0" fontId="30" fillId="0" borderId="7" xfId="0" applyFont="1" applyBorder="1"/>
    <xf numFmtId="0" fontId="30" fillId="0" borderId="7" xfId="0" applyFont="1" applyBorder="1" applyAlignment="1">
      <alignment horizontal="left"/>
    </xf>
    <xf numFmtId="168" fontId="30" fillId="0" borderId="8" xfId="0" applyNumberFormat="1" applyFont="1" applyBorder="1" applyAlignment="1">
      <alignment horizontal="center" vertical="center"/>
    </xf>
    <xf numFmtId="2" fontId="30" fillId="0" borderId="9" xfId="0" applyNumberFormat="1" applyFont="1" applyBorder="1" applyAlignment="1">
      <alignment horizontal="center" vertical="center"/>
    </xf>
    <xf numFmtId="170" fontId="37" fillId="0" borderId="9" xfId="0" applyNumberFormat="1" applyFont="1" applyBorder="1" applyAlignment="1">
      <alignment horizontal="center" vertical="center"/>
    </xf>
    <xf numFmtId="0" fontId="30" fillId="0" borderId="9" xfId="0" applyFont="1" applyBorder="1" applyAlignment="1">
      <alignment horizontal="center" vertical="center"/>
    </xf>
    <xf numFmtId="0" fontId="35" fillId="0" borderId="0" xfId="0" applyFont="1"/>
    <xf numFmtId="0" fontId="39" fillId="3" borderId="1" xfId="0" applyFont="1" applyFill="1" applyBorder="1" applyAlignment="1">
      <alignment horizontal="center" vertical="top" wrapText="1"/>
    </xf>
    <xf numFmtId="0" fontId="16" fillId="3" borderId="1"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41" fillId="5" borderId="1" xfId="0" applyFont="1" applyFill="1" applyBorder="1" applyAlignment="1">
      <alignment horizontal="left" vertical="center"/>
    </xf>
    <xf numFmtId="168" fontId="41" fillId="5" borderId="1" xfId="0" applyNumberFormat="1" applyFont="1" applyFill="1" applyBorder="1" applyAlignment="1">
      <alignment horizontal="center" vertical="center"/>
    </xf>
    <xf numFmtId="0" fontId="41" fillId="5" borderId="1" xfId="0" applyFont="1" applyFill="1" applyBorder="1" applyAlignment="1">
      <alignment horizontal="center" vertical="center"/>
    </xf>
    <xf numFmtId="171" fontId="30" fillId="0" borderId="1" xfId="0" applyNumberFormat="1" applyFont="1" applyBorder="1" applyAlignment="1">
      <alignment horizontal="center" vertical="center"/>
    </xf>
    <xf numFmtId="2" fontId="37" fillId="0" borderId="1" xfId="0" applyNumberFormat="1" applyFont="1" applyBorder="1" applyAlignment="1">
      <alignment horizontal="center" vertical="center"/>
    </xf>
    <xf numFmtId="0" fontId="17" fillId="5" borderId="1" xfId="0" applyFont="1" applyFill="1" applyBorder="1" applyAlignment="1">
      <alignment horizontal="center" vertical="center"/>
    </xf>
    <xf numFmtId="0" fontId="23" fillId="5" borderId="1" xfId="0" applyFont="1" applyFill="1" applyBorder="1" applyAlignment="1">
      <alignment horizontal="center" vertical="center"/>
    </xf>
    <xf numFmtId="3" fontId="41" fillId="5" borderId="1" xfId="0" applyNumberFormat="1" applyFont="1" applyFill="1" applyBorder="1" applyAlignment="1">
      <alignment horizontal="center" vertical="center"/>
    </xf>
    <xf numFmtId="3" fontId="37" fillId="0" borderId="1" xfId="0" applyNumberFormat="1" applyFont="1" applyBorder="1" applyAlignment="1">
      <alignment horizontal="center" vertical="center"/>
    </xf>
    <xf numFmtId="2" fontId="41" fillId="5" borderId="1" xfId="0" applyNumberFormat="1" applyFont="1" applyFill="1" applyBorder="1" applyAlignment="1">
      <alignment horizontal="center" vertical="center"/>
    </xf>
    <xf numFmtId="0" fontId="42" fillId="0" borderId="1" xfId="0" applyFont="1" applyBorder="1" applyAlignment="1">
      <alignment horizontal="center" vertical="center"/>
    </xf>
    <xf numFmtId="0" fontId="43" fillId="0" borderId="1" xfId="0" applyFont="1" applyBorder="1" applyAlignment="1">
      <alignment horizontal="center" vertical="center"/>
    </xf>
    <xf numFmtId="0" fontId="44" fillId="0" borderId="0" xfId="0" applyFont="1"/>
    <xf numFmtId="0" fontId="15" fillId="0" borderId="0" xfId="0" applyFont="1"/>
    <xf numFmtId="0" fontId="15" fillId="0" borderId="0" xfId="0" applyFont="1" applyAlignment="1">
      <alignment horizontal="center"/>
    </xf>
    <xf numFmtId="0" fontId="39" fillId="3" borderId="0" xfId="0" applyFont="1" applyFill="1" applyAlignment="1">
      <alignment horizontal="center" vertical="top" wrapText="1"/>
    </xf>
    <xf numFmtId="0" fontId="21" fillId="0" borderId="0" xfId="0" applyFont="1" applyAlignment="1">
      <alignment horizontal="center"/>
    </xf>
    <xf numFmtId="0" fontId="21" fillId="0" borderId="0" xfId="0" applyFont="1"/>
    <xf numFmtId="0" fontId="21" fillId="0" borderId="0" xfId="0" applyFont="1" applyAlignment="1">
      <alignment horizontal="left"/>
    </xf>
    <xf numFmtId="0" fontId="0" fillId="0" borderId="0" xfId="0" applyAlignment="1">
      <alignment horizontal="left"/>
    </xf>
    <xf numFmtId="167" fontId="41" fillId="5" borderId="1" xfId="0" applyNumberFormat="1" applyFont="1" applyFill="1" applyBorder="1" applyAlignment="1">
      <alignment horizontal="center" vertical="center"/>
    </xf>
    <xf numFmtId="172" fontId="41" fillId="5" borderId="1" xfId="0" applyNumberFormat="1" applyFont="1" applyFill="1" applyBorder="1" applyAlignment="1">
      <alignment horizontal="center" vertical="center"/>
    </xf>
    <xf numFmtId="170" fontId="41" fillId="5" borderId="1" xfId="0" applyNumberFormat="1" applyFont="1" applyFill="1" applyBorder="1" applyAlignment="1">
      <alignment horizontal="center" vertical="center"/>
    </xf>
    <xf numFmtId="0" fontId="26" fillId="0" borderId="0" xfId="0" applyFont="1" applyAlignment="1">
      <alignment vertical="center"/>
    </xf>
    <xf numFmtId="0" fontId="16" fillId="0" borderId="0" xfId="0" applyFont="1"/>
    <xf numFmtId="0" fontId="16" fillId="3" borderId="1" xfId="0" applyFont="1" applyFill="1" applyBorder="1" applyAlignment="1">
      <alignment horizontal="center" vertical="center"/>
    </xf>
    <xf numFmtId="168" fontId="45" fillId="0" borderId="1" xfId="0" applyNumberFormat="1" applyFont="1" applyBorder="1" applyAlignment="1">
      <alignment horizontal="center" vertical="center"/>
    </xf>
    <xf numFmtId="164" fontId="45" fillId="0" borderId="1" xfId="0" applyNumberFormat="1" applyFont="1" applyBorder="1" applyAlignment="1">
      <alignment horizontal="center" vertical="center"/>
    </xf>
    <xf numFmtId="164" fontId="45" fillId="0" borderId="0" xfId="0" applyNumberFormat="1" applyFont="1"/>
    <xf numFmtId="4" fontId="46" fillId="0" borderId="1" xfId="0" applyNumberFormat="1" applyFont="1" applyBorder="1" applyAlignment="1">
      <alignment horizontal="center" vertical="center"/>
    </xf>
    <xf numFmtId="4" fontId="46" fillId="0" borderId="0" xfId="0" applyNumberFormat="1" applyFont="1"/>
    <xf numFmtId="0" fontId="20" fillId="0" borderId="0" xfId="0" applyFont="1"/>
    <xf numFmtId="0" fontId="47" fillId="0" borderId="0" xfId="0" applyFont="1" applyAlignment="1">
      <alignment horizontal="center"/>
    </xf>
    <xf numFmtId="0" fontId="36" fillId="3" borderId="0" xfId="0" applyFont="1" applyFill="1" applyAlignment="1">
      <alignment horizontal="center" vertical="center" wrapText="1"/>
    </xf>
    <xf numFmtId="0" fontId="0" fillId="3" borderId="0" xfId="0" applyFill="1"/>
    <xf numFmtId="0" fontId="48" fillId="8" borderId="0" xfId="0" applyFont="1" applyFill="1"/>
    <xf numFmtId="2" fontId="22" fillId="0" borderId="0" xfId="0" applyNumberFormat="1" applyFont="1" applyAlignment="1">
      <alignment horizontal="center"/>
    </xf>
    <xf numFmtId="0" fontId="22" fillId="0" borderId="0" xfId="0" applyFont="1"/>
    <xf numFmtId="172" fontId="30" fillId="0" borderId="1" xfId="0" applyNumberFormat="1" applyFont="1" applyBorder="1" applyAlignment="1">
      <alignment horizontal="center" vertical="center"/>
    </xf>
    <xf numFmtId="164" fontId="37" fillId="0" borderId="1" xfId="0" applyNumberFormat="1" applyFont="1" applyBorder="1" applyAlignment="1">
      <alignment horizontal="center" vertical="center"/>
    </xf>
    <xf numFmtId="0" fontId="25" fillId="0" borderId="0" xfId="0" applyFont="1"/>
    <xf numFmtId="0" fontId="49" fillId="0" borderId="0" xfId="0" applyFont="1" applyAlignment="1">
      <alignment vertical="center"/>
    </xf>
    <xf numFmtId="168" fontId="23" fillId="5" borderId="1" xfId="0" applyNumberFormat="1" applyFont="1" applyFill="1" applyBorder="1" applyAlignment="1">
      <alignment horizontal="center" vertical="center"/>
    </xf>
    <xf numFmtId="168" fontId="43" fillId="0" borderId="1" xfId="0" applyNumberFormat="1" applyFont="1" applyBorder="1" applyAlignment="1">
      <alignment horizontal="center" vertical="center"/>
    </xf>
    <xf numFmtId="1" fontId="45" fillId="0" borderId="1" xfId="0" applyNumberFormat="1" applyFont="1" applyBorder="1" applyAlignment="1">
      <alignment horizontal="center" vertical="center"/>
    </xf>
    <xf numFmtId="0" fontId="43" fillId="0" borderId="1" xfId="0" applyFont="1" applyBorder="1" applyAlignment="1">
      <alignment horizontal="center" vertical="center" wrapText="1"/>
    </xf>
    <xf numFmtId="0" fontId="23" fillId="5" borderId="12" xfId="0" applyFont="1" applyFill="1" applyBorder="1" applyAlignment="1">
      <alignment horizontal="left" vertical="center" wrapText="1"/>
    </xf>
    <xf numFmtId="0" fontId="23" fillId="0" borderId="7" xfId="0" applyFont="1" applyBorder="1" applyAlignment="1">
      <alignment horizontal="center" vertical="center"/>
    </xf>
    <xf numFmtId="0" fontId="0" fillId="0" borderId="7" xfId="0" applyBorder="1"/>
    <xf numFmtId="0" fontId="23" fillId="5" borderId="12" xfId="0" applyFont="1" applyFill="1" applyBorder="1" applyAlignment="1">
      <alignment horizontal="center" vertical="center"/>
    </xf>
    <xf numFmtId="173" fontId="19" fillId="5" borderId="1" xfId="0" applyNumberFormat="1" applyFont="1" applyFill="1" applyBorder="1" applyAlignment="1">
      <alignment horizontal="center" vertical="center"/>
    </xf>
    <xf numFmtId="0" fontId="50" fillId="5" borderId="1" xfId="0" applyFont="1" applyFill="1" applyBorder="1" applyAlignment="1">
      <alignment horizontal="center" vertical="center"/>
    </xf>
    <xf numFmtId="0" fontId="51" fillId="5" borderId="1" xfId="0" applyFont="1" applyFill="1" applyBorder="1" applyAlignment="1">
      <alignment horizontal="left" vertical="center"/>
    </xf>
    <xf numFmtId="167" fontId="51" fillId="5" borderId="1" xfId="0" applyNumberFormat="1" applyFont="1" applyFill="1" applyBorder="1" applyAlignment="1">
      <alignment horizontal="center" vertical="center"/>
    </xf>
    <xf numFmtId="173" fontId="51" fillId="5" borderId="1" xfId="0" applyNumberFormat="1" applyFont="1" applyFill="1" applyBorder="1" applyAlignment="1">
      <alignment horizontal="center" vertical="center"/>
    </xf>
    <xf numFmtId="164" fontId="52" fillId="0" borderId="1" xfId="0" applyNumberFormat="1" applyFont="1" applyBorder="1" applyAlignment="1">
      <alignment horizontal="center" vertical="center"/>
    </xf>
    <xf numFmtId="0" fontId="51" fillId="5" borderId="1" xfId="0" applyFont="1" applyFill="1" applyBorder="1" applyAlignment="1">
      <alignment horizontal="center" vertical="center"/>
    </xf>
    <xf numFmtId="0" fontId="51" fillId="5" borderId="12" xfId="0" applyFont="1" applyFill="1" applyBorder="1" applyAlignment="1">
      <alignment horizontal="center" vertical="center"/>
    </xf>
    <xf numFmtId="0" fontId="53" fillId="5" borderId="1" xfId="0" applyFont="1" applyFill="1" applyBorder="1" applyAlignment="1">
      <alignment horizontal="center" vertical="center"/>
    </xf>
    <xf numFmtId="164" fontId="17" fillId="5" borderId="1" xfId="0" applyNumberFormat="1" applyFont="1" applyFill="1" applyBorder="1" applyAlignment="1">
      <alignment horizontal="center" vertical="center"/>
    </xf>
    <xf numFmtId="0" fontId="46" fillId="0" borderId="1" xfId="0" applyFont="1" applyBorder="1" applyAlignment="1">
      <alignment horizontal="center" vertical="center"/>
    </xf>
    <xf numFmtId="173" fontId="17" fillId="5" borderId="1" xfId="0" applyNumberFormat="1" applyFont="1" applyFill="1" applyBorder="1" applyAlignment="1">
      <alignment horizontal="center" vertical="center"/>
    </xf>
    <xf numFmtId="168" fontId="17" fillId="5" borderId="1" xfId="0" applyNumberFormat="1" applyFont="1" applyFill="1" applyBorder="1" applyAlignment="1">
      <alignment horizontal="center" vertical="center"/>
    </xf>
    <xf numFmtId="167" fontId="17" fillId="5" borderId="1" xfId="0" applyNumberFormat="1" applyFont="1" applyFill="1" applyBorder="1" applyAlignment="1">
      <alignment horizontal="center" vertical="center"/>
    </xf>
    <xf numFmtId="170" fontId="17" fillId="5" borderId="1" xfId="0" applyNumberFormat="1" applyFont="1" applyFill="1" applyBorder="1" applyAlignment="1">
      <alignment horizontal="center" vertical="center"/>
    </xf>
    <xf numFmtId="164" fontId="42" fillId="0" borderId="1" xfId="0" applyNumberFormat="1" applyFont="1" applyBorder="1" applyAlignment="1">
      <alignment horizontal="center" vertical="center"/>
    </xf>
    <xf numFmtId="4" fontId="17" fillId="5" borderId="1" xfId="0" applyNumberFormat="1" applyFont="1" applyFill="1" applyBorder="1" applyAlignment="1">
      <alignment horizontal="center" vertical="center"/>
    </xf>
    <xf numFmtId="4" fontId="42" fillId="0" borderId="1" xfId="0" applyNumberFormat="1" applyFont="1" applyBorder="1" applyAlignment="1">
      <alignment horizontal="center" vertical="center"/>
    </xf>
    <xf numFmtId="172" fontId="42" fillId="0" borderId="1" xfId="0" applyNumberFormat="1" applyFont="1" applyBorder="1" applyAlignment="1">
      <alignment horizontal="center" vertical="center"/>
    </xf>
    <xf numFmtId="174" fontId="42" fillId="0" borderId="1" xfId="0" applyNumberFormat="1" applyFont="1" applyBorder="1" applyAlignment="1">
      <alignment horizontal="center" vertical="center"/>
    </xf>
    <xf numFmtId="0" fontId="54" fillId="11" borderId="1" xfId="0" applyFont="1" applyFill="1" applyBorder="1" applyAlignment="1">
      <alignment horizontal="center" vertical="center"/>
    </xf>
    <xf numFmtId="0" fontId="55" fillId="3" borderId="0" xfId="0" applyFont="1" applyFill="1" applyAlignment="1">
      <alignment horizontal="left" vertical="center"/>
    </xf>
    <xf numFmtId="0" fontId="55" fillId="3" borderId="0" xfId="0" applyFont="1" applyFill="1" applyAlignment="1">
      <alignment horizontal="center" vertical="center"/>
    </xf>
    <xf numFmtId="0" fontId="56" fillId="0" borderId="0" xfId="0" applyFont="1"/>
    <xf numFmtId="174" fontId="57" fillId="12" borderId="3" xfId="0" applyNumberFormat="1" applyFont="1" applyFill="1" applyBorder="1" applyAlignment="1">
      <alignment horizontal="center" vertical="center"/>
    </xf>
    <xf numFmtId="175" fontId="57" fillId="12" borderId="3" xfId="0" applyNumberFormat="1" applyFont="1" applyFill="1" applyBorder="1" applyAlignment="1">
      <alignment horizontal="center" vertical="center"/>
    </xf>
    <xf numFmtId="0" fontId="58" fillId="0" borderId="0" xfId="0" applyFont="1" applyAlignment="1">
      <alignment horizontal="left" vertical="center"/>
    </xf>
    <xf numFmtId="174" fontId="59" fillId="5" borderId="3" xfId="0" applyNumberFormat="1" applyFont="1" applyFill="1" applyBorder="1" applyAlignment="1">
      <alignment horizontal="center" vertical="center"/>
    </xf>
    <xf numFmtId="175" fontId="59" fillId="5" borderId="3" xfId="0" applyNumberFormat="1" applyFont="1" applyFill="1" applyBorder="1" applyAlignment="1">
      <alignment horizontal="center" vertical="center"/>
    </xf>
    <xf numFmtId="168" fontId="28" fillId="5" borderId="3" xfId="0" applyNumberFormat="1" applyFont="1" applyFill="1" applyBorder="1" applyAlignment="1">
      <alignment horizontal="center" vertical="center"/>
    </xf>
    <xf numFmtId="167" fontId="28" fillId="5" borderId="3" xfId="0" applyNumberFormat="1" applyFont="1" applyFill="1" applyBorder="1" applyAlignment="1">
      <alignment horizontal="center" vertical="center"/>
    </xf>
    <xf numFmtId="0" fontId="0" fillId="0" borderId="0" xfId="0" applyAlignment="1">
      <alignment vertical="center"/>
    </xf>
    <xf numFmtId="168" fontId="61" fillId="13" borderId="1" xfId="0" applyNumberFormat="1" applyFont="1" applyFill="1" applyBorder="1" applyAlignment="1">
      <alignment horizontal="center" vertical="center"/>
    </xf>
    <xf numFmtId="0" fontId="62" fillId="13" borderId="1" xfId="0" applyFont="1" applyFill="1" applyBorder="1" applyAlignment="1">
      <alignment horizontal="center" vertical="center" wrapText="1"/>
    </xf>
    <xf numFmtId="0" fontId="61" fillId="13" borderId="1" xfId="0" applyFont="1" applyFill="1" applyBorder="1" applyAlignment="1">
      <alignment horizontal="left" vertical="top" wrapText="1"/>
    </xf>
    <xf numFmtId="0" fontId="47" fillId="0" borderId="0" xfId="0" applyFont="1"/>
    <xf numFmtId="0" fontId="22" fillId="0" borderId="0" xfId="0" applyFont="1" applyAlignment="1">
      <alignment vertical="top" wrapText="1"/>
    </xf>
    <xf numFmtId="176" fontId="22" fillId="0" borderId="0" xfId="0" applyNumberFormat="1" applyFont="1"/>
    <xf numFmtId="168" fontId="22" fillId="0" borderId="0" xfId="0" applyNumberFormat="1" applyFont="1"/>
    <xf numFmtId="0" fontId="14" fillId="0" borderId="0" xfId="0" applyFont="1" applyAlignment="1">
      <alignment horizontal="center"/>
    </xf>
    <xf numFmtId="0" fontId="14" fillId="0" borderId="0" xfId="0" applyFont="1" applyAlignment="1">
      <alignment wrapText="1"/>
    </xf>
    <xf numFmtId="0" fontId="20" fillId="0" borderId="0" xfId="0" applyFont="1" applyAlignment="1">
      <alignment horizontal="left"/>
    </xf>
    <xf numFmtId="0" fontId="14" fillId="0" borderId="0" xfId="0" applyFont="1" applyAlignment="1">
      <alignment horizontal="left"/>
    </xf>
    <xf numFmtId="0" fontId="47" fillId="0" borderId="0" xfId="0" applyFont="1" applyAlignment="1">
      <alignment horizontal="left"/>
    </xf>
    <xf numFmtId="0" fontId="14" fillId="0" borderId="0" xfId="0" applyFont="1" applyAlignment="1">
      <alignment horizontal="left" wrapText="1"/>
    </xf>
    <xf numFmtId="0" fontId="22" fillId="0" borderId="13" xfId="0" applyFont="1" applyBorder="1" applyAlignment="1">
      <alignment horizontal="center" vertical="center"/>
    </xf>
    <xf numFmtId="0" fontId="22" fillId="0" borderId="13" xfId="0" applyFont="1" applyBorder="1" applyAlignment="1">
      <alignment vertical="center" wrapText="1"/>
    </xf>
    <xf numFmtId="168" fontId="22" fillId="0" borderId="13" xfId="0" applyNumberFormat="1" applyFont="1" applyBorder="1" applyAlignment="1">
      <alignment horizontal="center" vertical="center"/>
    </xf>
    <xf numFmtId="0" fontId="14" fillId="0" borderId="13" xfId="0" applyFont="1" applyBorder="1" applyAlignment="1">
      <alignment vertical="center"/>
    </xf>
    <xf numFmtId="168" fontId="22" fillId="0" borderId="13" xfId="0" applyNumberFormat="1" applyFont="1" applyBorder="1" applyAlignment="1">
      <alignment vertical="center"/>
    </xf>
    <xf numFmtId="176" fontId="14" fillId="0" borderId="13" xfId="0" applyNumberFormat="1" applyFont="1" applyBorder="1" applyAlignment="1">
      <alignment horizontal="center" vertical="center"/>
    </xf>
    <xf numFmtId="0" fontId="14" fillId="0" borderId="13" xfId="0" applyFont="1" applyBorder="1" applyAlignment="1">
      <alignment vertical="center" wrapText="1"/>
    </xf>
    <xf numFmtId="0" fontId="14" fillId="0" borderId="13" xfId="0" applyFont="1" applyBorder="1" applyAlignment="1">
      <alignment horizontal="center" vertical="center"/>
    </xf>
    <xf numFmtId="0" fontId="65" fillId="3" borderId="0" xfId="0" applyFont="1" applyFill="1" applyAlignment="1">
      <alignment horizontal="center" vertical="center" wrapText="1"/>
    </xf>
    <xf numFmtId="0" fontId="66" fillId="0" borderId="0" xfId="0" applyFont="1" applyAlignment="1">
      <alignment horizontal="left" vertical="top" wrapText="1"/>
    </xf>
    <xf numFmtId="0" fontId="26" fillId="0" borderId="0" xfId="0" applyFont="1" applyAlignment="1">
      <alignment vertical="center" wrapText="1"/>
    </xf>
    <xf numFmtId="0" fontId="36" fillId="7" borderId="1" xfId="0" applyFont="1" applyFill="1" applyBorder="1" applyAlignment="1">
      <alignment horizontal="center" vertical="center" wrapText="1"/>
    </xf>
    <xf numFmtId="0" fontId="38" fillId="0" borderId="10" xfId="0" applyFont="1" applyBorder="1" applyAlignment="1">
      <alignment vertical="center" wrapText="1"/>
    </xf>
    <xf numFmtId="0" fontId="26" fillId="0" borderId="11" xfId="0" applyFont="1" applyBorder="1" applyAlignment="1">
      <alignment horizontal="left" vertical="top" wrapText="1"/>
    </xf>
    <xf numFmtId="0" fontId="26" fillId="0" borderId="0" xfId="0" applyFont="1" applyAlignment="1">
      <alignment vertical="center"/>
    </xf>
    <xf numFmtId="0" fontId="15" fillId="0" borderId="0" xfId="0" applyFont="1"/>
    <xf numFmtId="0" fontId="34" fillId="0" borderId="0" xfId="0" applyFont="1" applyAlignment="1">
      <alignment vertical="center"/>
    </xf>
    <xf numFmtId="0" fontId="39" fillId="2" borderId="1" xfId="0" applyFont="1" applyFill="1" applyBorder="1" applyAlignment="1">
      <alignment horizontal="center" vertical="center" wrapText="1"/>
    </xf>
    <xf numFmtId="0" fontId="39" fillId="7" borderId="1" xfId="0" applyFont="1" applyFill="1" applyBorder="1" applyAlignment="1">
      <alignment horizontal="center" vertical="center" wrapText="1"/>
    </xf>
    <xf numFmtId="0" fontId="39" fillId="9" borderId="1" xfId="0" applyFont="1" applyFill="1" applyBorder="1" applyAlignment="1">
      <alignment horizontal="center" vertical="center" wrapText="1"/>
    </xf>
    <xf numFmtId="0" fontId="39" fillId="10" borderId="1" xfId="0" applyFont="1" applyFill="1" applyBorder="1" applyAlignment="1">
      <alignment horizontal="center" vertical="center" wrapText="1"/>
    </xf>
    <xf numFmtId="0" fontId="26" fillId="0" borderId="0" xfId="0" applyFont="1" applyAlignment="1">
      <alignment horizontal="left" vertical="center" wrapText="1"/>
    </xf>
    <xf numFmtId="0" fontId="36" fillId="10" borderId="1" xfId="0" applyFont="1" applyFill="1" applyBorder="1" applyAlignment="1">
      <alignment horizontal="center" vertical="center" wrapText="1"/>
    </xf>
    <xf numFmtId="0" fontId="26" fillId="0" borderId="11" xfId="0" applyFont="1" applyBorder="1" applyAlignment="1">
      <alignment horizontal="left" vertical="center" wrapText="1"/>
    </xf>
    <xf numFmtId="0" fontId="57" fillId="12" borderId="3" xfId="0" applyFont="1" applyFill="1" applyBorder="1" applyAlignment="1">
      <alignment horizontal="left" vertical="center"/>
    </xf>
    <xf numFmtId="0" fontId="59" fillId="5" borderId="3" xfId="0" applyFont="1" applyFill="1" applyBorder="1" applyAlignment="1">
      <alignment horizontal="left" vertical="center"/>
    </xf>
    <xf numFmtId="0" fontId="57" fillId="0" borderId="3" xfId="0" applyFont="1" applyBorder="1" applyAlignment="1">
      <alignment horizontal="left" vertical="center"/>
    </xf>
    <xf numFmtId="0" fontId="60" fillId="0" borderId="0" xfId="0" applyFont="1" applyAlignment="1">
      <alignment horizontal="left" vertical="center" wrapText="1"/>
    </xf>
    <xf numFmtId="0" fontId="26" fillId="0" borderId="0" xfId="0" applyFont="1" applyAlignment="1">
      <alignment wrapText="1"/>
    </xf>
    <xf numFmtId="0" fontId="15" fillId="0" borderId="0" xfId="0" applyFont="1" applyAlignment="1">
      <alignment vertical="top" wrapText="1"/>
    </xf>
    <xf numFmtId="0" fontId="15" fillId="0" borderId="0" xfId="0" applyFont="1" applyAlignment="1">
      <alignment horizontal="left" vertical="top" wrapText="1"/>
    </xf>
    <xf numFmtId="0" fontId="63" fillId="0" borderId="0" xfId="0" applyFont="1"/>
    <xf numFmtId="0" fontId="4" fillId="0" borderId="0" xfId="0" applyFont="1"/>
    <xf numFmtId="0" fontId="64" fillId="2" borderId="0" xfId="0" applyFont="1" applyFill="1"/>
    <xf numFmtId="0" fontId="66" fillId="0" borderId="0" xfId="0" applyFont="1" applyAlignment="1">
      <alignment horizontal="left" vertical="top" wrapText="1"/>
    </xf>
    <xf numFmtId="0" fontId="67" fillId="0" borderId="0" xfId="0" applyFont="1"/>
    <xf numFmtId="0" fontId="68" fillId="2" borderId="1" xfId="0" applyFont="1" applyFill="1" applyBorder="1" applyAlignment="1">
      <alignment horizontal="center" vertical="center" wrapText="1"/>
    </xf>
    <xf numFmtId="0" fontId="69" fillId="2" borderId="1" xfId="0" applyFont="1" applyFill="1" applyBorder="1" applyAlignment="1">
      <alignment horizontal="center" vertical="center" wrapText="1"/>
    </xf>
    <xf numFmtId="0" fontId="70" fillId="7" borderId="1" xfId="0" applyFont="1" applyFill="1" applyBorder="1" applyAlignment="1">
      <alignment horizontal="center" vertical="center" wrapText="1"/>
    </xf>
    <xf numFmtId="0" fontId="71" fillId="3" borderId="1" xfId="0" applyFont="1" applyFill="1" applyBorder="1" applyAlignment="1">
      <alignment horizontal="center" vertical="top" wrapText="1"/>
    </xf>
    <xf numFmtId="0" fontId="68" fillId="7" borderId="1" xfId="0" applyFont="1" applyFill="1" applyBorder="1" applyAlignment="1">
      <alignment horizontal="center" vertical="top" wrapText="1"/>
    </xf>
    <xf numFmtId="0" fontId="70" fillId="7" borderId="1" xfId="0" applyFont="1" applyFill="1" applyBorder="1" applyAlignment="1">
      <alignment horizontal="center" vertical="center" wrapText="1"/>
    </xf>
    <xf numFmtId="0" fontId="70" fillId="3" borderId="1" xfId="0" applyFont="1" applyFill="1" applyBorder="1" applyAlignment="1">
      <alignment horizontal="center" vertical="center" wrapText="1"/>
    </xf>
    <xf numFmtId="0" fontId="72" fillId="5" borderId="1" xfId="0" applyFont="1" applyFill="1" applyBorder="1" applyAlignment="1">
      <alignment horizontal="center" vertical="center"/>
    </xf>
    <xf numFmtId="0" fontId="62" fillId="5" borderId="1" xfId="0" applyFont="1" applyFill="1" applyBorder="1" applyAlignment="1">
      <alignment horizontal="left" vertical="center"/>
    </xf>
    <xf numFmtId="168" fontId="62" fillId="5" borderId="1" xfId="0" applyNumberFormat="1" applyFont="1" applyFill="1" applyBorder="1" applyAlignment="1">
      <alignment horizontal="center" vertical="center"/>
    </xf>
    <xf numFmtId="0" fontId="62" fillId="5" borderId="1" xfId="0" applyFont="1" applyFill="1" applyBorder="1" applyAlignment="1">
      <alignment horizontal="center" vertical="center"/>
    </xf>
    <xf numFmtId="171" fontId="73" fillId="0" borderId="1" xfId="0" applyNumberFormat="1" applyFont="1" applyBorder="1" applyAlignment="1">
      <alignment horizontal="center" vertical="center"/>
    </xf>
    <xf numFmtId="2" fontId="74" fillId="0" borderId="1" xfId="0" applyNumberFormat="1" applyFont="1" applyBorder="1" applyAlignment="1">
      <alignment horizontal="center" vertical="center"/>
    </xf>
    <xf numFmtId="170" fontId="74" fillId="0" borderId="1" xfId="0" applyNumberFormat="1" applyFont="1" applyBorder="1" applyAlignment="1">
      <alignment horizontal="center" vertical="center"/>
    </xf>
    <xf numFmtId="0" fontId="74" fillId="0" borderId="1" xfId="0" applyFont="1" applyBorder="1" applyAlignment="1">
      <alignment horizontal="center" vertical="center"/>
    </xf>
    <xf numFmtId="0" fontId="75" fillId="5" borderId="1" xfId="0" applyFont="1" applyFill="1" applyBorder="1" applyAlignment="1">
      <alignment horizontal="center" vertical="center"/>
    </xf>
    <xf numFmtId="0" fontId="28" fillId="5" borderId="1" xfId="0" applyFont="1" applyFill="1" applyBorder="1" applyAlignment="1">
      <alignment horizontal="center" vertical="center"/>
    </xf>
    <xf numFmtId="0" fontId="73" fillId="0" borderId="1" xfId="0" applyFont="1" applyBorder="1" applyAlignment="1">
      <alignment horizontal="center" vertical="center"/>
    </xf>
    <xf numFmtId="0" fontId="76" fillId="0" borderId="0" xfId="0" applyFont="1" applyAlignment="1">
      <alignment horizontal="center"/>
    </xf>
    <xf numFmtId="0" fontId="76" fillId="0" borderId="0" xfId="0" applyFont="1"/>
    <xf numFmtId="169" fontId="67" fillId="0" borderId="0" xfId="0" applyNumberFormat="1" applyFont="1"/>
    <xf numFmtId="0" fontId="77" fillId="5" borderId="1" xfId="0" applyFont="1" applyFill="1" applyBorder="1" applyAlignment="1">
      <alignment horizontal="center" vertical="center"/>
    </xf>
    <xf numFmtId="0" fontId="77" fillId="5" borderId="1" xfId="0" applyFont="1" applyFill="1" applyBorder="1" applyAlignment="1">
      <alignment horizontal="left" vertical="center"/>
    </xf>
    <xf numFmtId="167" fontId="77" fillId="5" borderId="1" xfId="0" applyNumberFormat="1" applyFont="1" applyFill="1" applyBorder="1" applyAlignment="1">
      <alignment horizontal="center" vertical="center"/>
    </xf>
    <xf numFmtId="3" fontId="77" fillId="5" borderId="1" xfId="0" applyNumberFormat="1" applyFont="1" applyFill="1" applyBorder="1" applyAlignment="1">
      <alignment horizontal="center" vertical="center"/>
    </xf>
    <xf numFmtId="172" fontId="77" fillId="5" borderId="1" xfId="0" applyNumberFormat="1" applyFont="1" applyFill="1" applyBorder="1" applyAlignment="1">
      <alignment horizontal="center" vertical="center"/>
    </xf>
    <xf numFmtId="170" fontId="77" fillId="5" borderId="1" xfId="0" applyNumberFormat="1" applyFont="1" applyFill="1" applyBorder="1" applyAlignment="1">
      <alignment horizontal="center" vertical="center"/>
    </xf>
    <xf numFmtId="2" fontId="77" fillId="5" borderId="1" xfId="0" applyNumberFormat="1" applyFont="1" applyFill="1" applyBorder="1" applyAlignment="1">
      <alignment horizontal="center" vertical="center"/>
    </xf>
    <xf numFmtId="0" fontId="78" fillId="0" borderId="0" xfId="0" applyFont="1"/>
    <xf numFmtId="165" fontId="19" fillId="0" borderId="0" xfId="0" applyNumberFormat="1" applyFont="1" applyAlignment="1">
      <alignment horizontal="center"/>
    </xf>
    <xf numFmtId="165" fontId="19" fillId="0" borderId="2" xfId="0" applyNumberFormat="1" applyFont="1" applyBorder="1" applyAlignment="1">
      <alignment horizontal="center"/>
    </xf>
    <xf numFmtId="165" fontId="0" fillId="0" borderId="0" xfId="0" applyNumberFormat="1" applyAlignment="1">
      <alignment horizontal="center"/>
    </xf>
  </cellXfs>
  <cellStyles count="1">
    <cellStyle name="Normal" xfId="0" builtinId="0"/>
  </cellStyles>
  <dxfs count="121">
    <dxf>
      <font>
        <color theme="6" tint="-0.499984740745262"/>
      </font>
      <fill>
        <patternFill>
          <bgColor theme="6" tint="0.79998168889431442"/>
        </patternFill>
      </fill>
    </dxf>
    <dxf>
      <font>
        <color rgb="FF9C0006"/>
      </font>
    </dxf>
    <dxf>
      <font>
        <color theme="6" tint="-0.499984740745262"/>
      </font>
      <fill>
        <patternFill>
          <bgColor theme="6" tint="0.79998168889431442"/>
        </patternFill>
      </fill>
    </dxf>
    <dxf>
      <font>
        <color theme="6" tint="-0.499984740745262"/>
      </font>
      <fill>
        <patternFill>
          <bgColor theme="6" tint="0.79998168889431442"/>
        </patternFill>
      </fill>
    </dxf>
    <dxf>
      <font>
        <color rgb="FF9C0006"/>
      </font>
    </dxf>
    <dxf>
      <font>
        <color rgb="FF006100"/>
      </font>
      <fill>
        <patternFill>
          <bgColor rgb="FFC6EFCE"/>
        </patternFill>
      </fill>
    </dxf>
    <dxf>
      <font>
        <color rgb="FF9C0006"/>
      </font>
    </dxf>
    <dxf>
      <font>
        <color rgb="FF9C0006"/>
      </font>
    </dxf>
    <dxf>
      <alignment horizontal="center" textRotation="0" indent="0" justifyLastLine="0" shrinkToFit="0" readingOrder="0"/>
    </dxf>
    <dxf>
      <font>
        <color rgb="FF006100"/>
      </font>
      <fill>
        <patternFill>
          <bgColor rgb="FFC6EFCE"/>
        </patternFill>
      </fill>
    </dxf>
    <dxf>
      <font>
        <b/>
        <color rgb="FF9C6500"/>
      </font>
      <fill>
        <patternFill>
          <bgColor rgb="FFFFEB9C"/>
        </patternFill>
      </fill>
    </dxf>
    <dxf>
      <font>
        <color rgb="FF006100"/>
      </font>
      <fill>
        <patternFill>
          <bgColor rgb="FFC6EFCE"/>
        </patternFill>
      </fill>
    </dxf>
    <dxf>
      <font>
        <b/>
        <color rgb="FF9C6500"/>
      </font>
      <fill>
        <patternFill>
          <bgColor rgb="FFFFEB9C"/>
        </patternFill>
      </fill>
    </dxf>
    <dxf>
      <font>
        <b/>
        <color rgb="FF9C6500"/>
      </font>
      <fill>
        <patternFill>
          <bgColor rgb="FFFFEB9C"/>
        </patternFill>
      </fill>
    </dxf>
    <dxf>
      <font>
        <color rgb="FF006100"/>
      </font>
      <fill>
        <patternFill>
          <bgColor rgb="FFC6EFCE"/>
        </patternFill>
      </fill>
    </dxf>
    <dxf>
      <font>
        <b/>
        <color rgb="FF9C0006"/>
      </font>
      <fill>
        <patternFill>
          <bgColor rgb="FFFFC7CE"/>
        </patternFill>
      </fill>
    </dxf>
    <dxf>
      <font>
        <b/>
        <color rgb="FF9C6500"/>
      </font>
      <fill>
        <patternFill>
          <bgColor rgb="FFFFEB9C"/>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C65911"/>
      </font>
      <fill>
        <patternFill>
          <bgColor rgb="FFFCE4D6"/>
        </patternFill>
      </fill>
    </dxf>
    <dxf>
      <font>
        <b/>
        <color rgb="FF9C6500"/>
      </font>
      <fill>
        <patternFill>
          <bgColor rgb="FFFFEB9C"/>
        </patternFill>
      </fill>
    </dxf>
    <dxf>
      <font>
        <b/>
        <color rgb="FF375623"/>
      </font>
      <fill>
        <patternFill>
          <bgColor rgb="FFE2EFDA"/>
        </patternFill>
      </fill>
    </dxf>
    <dxf>
      <font>
        <b/>
        <color rgb="FF006100"/>
      </font>
      <fill>
        <patternFill>
          <bgColor rgb="FFC6EFCE"/>
        </patternFill>
      </fill>
    </dxf>
    <dxf>
      <font>
        <color rgb="FF006100"/>
      </font>
      <fill>
        <patternFill>
          <bgColor rgb="FFC6EFCE"/>
        </patternFill>
      </fill>
    </dxf>
    <dxf>
      <font>
        <b/>
        <i val="0"/>
        <color rgb="FF006100"/>
      </font>
      <fill>
        <patternFill>
          <bgColor rgb="FFC6EFCE"/>
        </patternFill>
      </fill>
    </dxf>
    <dxf>
      <font>
        <color rgb="FF006100"/>
      </font>
      <fill>
        <patternFill>
          <bgColor rgb="FFC6EFCE"/>
        </patternFill>
      </fill>
    </dxf>
    <dxf>
      <font>
        <color rgb="FF006100"/>
      </font>
      <fill>
        <patternFill>
          <bgColor rgb="FFC6EFCE"/>
        </patternFill>
      </fill>
    </dxf>
    <dxf>
      <font>
        <b/>
        <color rgb="FF9C6500"/>
      </font>
      <fill>
        <patternFill>
          <bgColor rgb="FFFFEB9C"/>
        </patternFill>
      </fill>
    </dxf>
    <dxf>
      <font>
        <color rgb="FF006100"/>
      </font>
      <fill>
        <patternFill>
          <bgColor rgb="FFC6EFCE"/>
        </patternFill>
      </fill>
    </dxf>
    <dxf>
      <font>
        <b/>
        <color rgb="FF9C6500"/>
      </font>
      <fill>
        <patternFill>
          <bgColor rgb="FFFFEB9C"/>
        </patternFill>
      </fill>
    </dxf>
    <dxf>
      <font>
        <b/>
        <color rgb="FF9C6500"/>
      </font>
      <fill>
        <patternFill>
          <bgColor rgb="FFFFEB9C"/>
        </patternFill>
      </fill>
    </dxf>
    <dxf>
      <font>
        <color rgb="FF006100"/>
      </font>
      <fill>
        <patternFill>
          <bgColor rgb="FFC6EFCE"/>
        </patternFill>
      </fill>
    </dxf>
    <dxf>
      <font>
        <b/>
        <color rgb="FF9C0006"/>
      </font>
      <fill>
        <patternFill>
          <bgColor rgb="FFFFC7CE"/>
        </patternFill>
      </fill>
    </dxf>
    <dxf>
      <font>
        <b/>
        <color rgb="FF9C6500"/>
      </font>
      <fill>
        <patternFill>
          <bgColor rgb="FFFFEB9C"/>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C65911"/>
      </font>
      <fill>
        <patternFill>
          <bgColor rgb="FFFCE4D6"/>
        </patternFill>
      </fill>
    </dxf>
    <dxf>
      <font>
        <b/>
        <color rgb="FF9C6500"/>
      </font>
      <fill>
        <patternFill>
          <bgColor rgb="FFFFEB9C"/>
        </patternFill>
      </fill>
    </dxf>
    <dxf>
      <font>
        <b/>
        <color rgb="FF375623"/>
      </font>
      <fill>
        <patternFill>
          <bgColor rgb="FFE2EFDA"/>
        </patternFill>
      </fill>
    </dxf>
    <dxf>
      <font>
        <b/>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C65911"/>
      </font>
      <fill>
        <patternFill>
          <bgColor rgb="FFFCE4D6"/>
        </patternFill>
      </fill>
    </dxf>
    <dxf>
      <font>
        <b/>
        <color rgb="FF7F6000"/>
      </font>
      <fill>
        <patternFill>
          <bgColor rgb="FFFFF2CC"/>
        </patternFill>
      </fill>
    </dxf>
    <dxf>
      <font>
        <b/>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9C6500"/>
      </font>
      <fill>
        <patternFill>
          <bgColor rgb="FFFFEB9C"/>
        </patternFill>
      </fill>
    </dxf>
    <dxf>
      <font>
        <b/>
        <color rgb="FF9C0006"/>
      </font>
      <fill>
        <patternFill>
          <bgColor rgb="FFFFC7CE"/>
        </patternFill>
      </fill>
    </dxf>
    <dxf>
      <font>
        <b/>
        <color rgb="FF9C0006"/>
      </font>
      <fill>
        <patternFill>
          <bgColor rgb="FFFFC7CE"/>
        </patternFill>
      </fill>
    </dxf>
    <dxf>
      <font>
        <b/>
        <color rgb="FFC65911"/>
      </font>
      <fill>
        <patternFill>
          <bgColor rgb="FFFCE4D6"/>
        </patternFill>
      </fill>
    </dxf>
    <dxf>
      <font>
        <b/>
        <color rgb="FF9C6500"/>
      </font>
      <fill>
        <patternFill>
          <bgColor rgb="FFFFEB9C"/>
        </patternFill>
      </fill>
    </dxf>
    <dxf>
      <font>
        <b/>
        <color rgb="FF375623"/>
      </font>
      <fill>
        <patternFill>
          <bgColor rgb="FFE2EFDA"/>
        </patternFill>
      </fill>
    </dxf>
    <dxf>
      <font>
        <b/>
        <color rgb="FF006100"/>
      </font>
      <fill>
        <patternFill>
          <bgColor rgb="FFC6EFCE"/>
        </patternFill>
      </fill>
    </dxf>
    <dxf>
      <font>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9C0006"/>
      </font>
      <fill>
        <patternFill>
          <bgColor rgb="FFFFC7CE"/>
        </patternFill>
      </fill>
    </dxf>
    <dxf>
      <font>
        <b/>
        <color rgb="FFC65911"/>
      </font>
      <fill>
        <patternFill>
          <bgColor rgb="FFFCE4D6"/>
        </patternFill>
      </fill>
    </dxf>
    <dxf>
      <font>
        <b/>
        <color rgb="FF9C6500"/>
      </font>
      <fill>
        <patternFill>
          <bgColor rgb="FFFFEB9C"/>
        </patternFill>
      </fill>
    </dxf>
    <dxf>
      <font>
        <b/>
        <color rgb="FF375623"/>
      </font>
      <fill>
        <patternFill>
          <bgColor rgb="FFE2EFDA"/>
        </patternFill>
      </fill>
    </dxf>
    <dxf>
      <font>
        <b/>
        <color rgb="FF006100"/>
      </font>
      <fill>
        <patternFill>
          <bgColor rgb="FFC6EFCE"/>
        </patternFill>
      </fill>
    </dxf>
    <dxf>
      <font>
        <b/>
        <color rgb="FFC65911"/>
      </font>
      <fill>
        <patternFill>
          <bgColor rgb="FFFCE4D6"/>
        </patternFill>
      </fill>
    </dxf>
    <dxf>
      <font>
        <b/>
        <color rgb="FF9C0006"/>
      </font>
      <fill>
        <patternFill>
          <bgColor rgb="FFFFC7CE"/>
        </patternFill>
      </fill>
    </dxf>
    <dxf>
      <font>
        <b/>
        <color rgb="FF9C0006"/>
      </font>
      <fill>
        <patternFill>
          <bgColor rgb="FFFFC7CE"/>
        </patternFill>
      </fill>
    </dxf>
    <dxf>
      <font>
        <b/>
        <color rgb="FF9C0006"/>
      </font>
      <fill>
        <patternFill>
          <bgColor rgb="FFFFC7CE"/>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E2EFDA"/>
      <rgbColor rgb="FFFF00FF"/>
      <rgbColor rgb="FF00FFFF"/>
      <rgbColor rgb="FF9C0006"/>
      <rgbColor rgb="FF006100"/>
      <rgbColor rgb="FF000080"/>
      <rgbColor rgb="FF7F6000"/>
      <rgbColor rgb="FF800080"/>
      <rgbColor rgb="FF008080"/>
      <rgbColor rgb="FFB3B3B3"/>
      <rgbColor rgb="FF808080"/>
      <rgbColor rgb="FFA6A6A6"/>
      <rgbColor rgb="FF9C6500"/>
      <rgbColor rgb="FFFFF2CC"/>
      <rgbColor rgb="FFDDEBF7"/>
      <rgbColor rgb="FF660066"/>
      <rgbColor rgb="FFFF8080"/>
      <rgbColor rgb="FF0066CC"/>
      <rgbColor rgb="FFD9D9D9"/>
      <rgbColor rgb="FF000080"/>
      <rgbColor rgb="FFFF00FF"/>
      <rgbColor rgb="FFEBF1DE"/>
      <rgbColor rgb="FF00FFFF"/>
      <rgbColor rgb="FF800080"/>
      <rgbColor rgb="FF632423"/>
      <rgbColor rgb="FF008080"/>
      <rgbColor rgb="FF0000FF"/>
      <rgbColor rgb="FF00CCFF"/>
      <rgbColor rgb="FFECF4FA"/>
      <rgbColor rgb="FFC6EFCE"/>
      <rgbColor rgb="FFFFEB9C"/>
      <rgbColor rgb="FFDCE6F1"/>
      <rgbColor rgb="FFDDD9C3"/>
      <rgbColor rgb="FFFCE4D6"/>
      <rgbColor rgb="FFFFC7CE"/>
      <rgbColor rgb="FF3366FF"/>
      <rgbColor rgb="FF33CCCC"/>
      <rgbColor rgb="FF99CC00"/>
      <rgbColor rgb="FFF2F2F2"/>
      <rgbColor rgb="FFFF9900"/>
      <rgbColor rgb="FFC65911"/>
      <rgbColor rgb="FF4F81BD"/>
      <rgbColor rgb="FF999999"/>
      <rgbColor rgb="FF002060"/>
      <rgbColor rgb="FF339966"/>
      <rgbColor rgb="FF003300"/>
      <rgbColor rgb="FF375623"/>
      <rgbColor rgb="FF833C0C"/>
      <rgbColor rgb="FF993366"/>
      <rgbColor rgb="FF2E5090"/>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Array" Target="richData/rdarray.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 Id="rId30" Type="http://schemas.microsoft.com/office/2017/06/relationships/rdSupportingPropertyBagStructure" Target="richData/rdsupportingpropertybagstructure.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ADBE</a:t>
            </a:r>
          </a:p>
        </c:rich>
      </c:tx>
      <c:overlay val="0"/>
      <c:spPr>
        <a:noFill/>
        <a:ln w="0">
          <a:noFill/>
        </a:ln>
      </c:spPr>
    </c:title>
    <c:autoTitleDeleted val="0"/>
    <c:plotArea>
      <c:layout/>
      <c:barChart>
        <c:barDir val="col"/>
        <c:grouping val="clustered"/>
        <c:varyColors val="0"/>
        <c:ser>
          <c:idx val="0"/>
          <c:order val="0"/>
          <c:tx>
            <c:strRef>
              <c:f>'Returns (Calc)'!$B$2</c:f>
              <c:strCache>
                <c:ptCount val="1"/>
                <c:pt idx="0">
                  <c:v>ADBE</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(Calc)'!$B$3:$B$500</c:f>
              <c:numCache>
                <c:formatCode>0.0%</c:formatCode>
                <c:ptCount val="498"/>
                <c:pt idx="0">
                  <c:v>-3.02331297623325E-2</c:v>
                </c:pt>
                <c:pt idx="1">
                  <c:v>-5.849093390524418E-3</c:v>
                </c:pt>
                <c:pt idx="2">
                  <c:v>3.2908413414394877E-2</c:v>
                </c:pt>
                <c:pt idx="3">
                  <c:v>4.1922989291410362E-2</c:v>
                </c:pt>
                <c:pt idx="4">
                  <c:v>-1.4213863984255282E-2</c:v>
                </c:pt>
                <c:pt idx="5">
                  <c:v>-6.0706891452233069E-2</c:v>
                </c:pt>
                <c:pt idx="6">
                  <c:v>0.10930488860899001</c:v>
                </c:pt>
                <c:pt idx="7">
                  <c:v>5.953943866870115E-2</c:v>
                </c:pt>
                <c:pt idx="8">
                  <c:v>9.1088711027760283E-3</c:v>
                </c:pt>
                <c:pt idx="9">
                  <c:v>2.7826635250389975E-2</c:v>
                </c:pt>
                <c:pt idx="10">
                  <c:v>-1.1236136448024681E-2</c:v>
                </c:pt>
                <c:pt idx="11">
                  <c:v>-4.0165232582820565E-3</c:v>
                </c:pt>
                <c:pt idx="12">
                  <c:v>-4.1523909444107554E-2</c:v>
                </c:pt>
                <c:pt idx="13">
                  <c:v>2.4064445508654497E-2</c:v>
                </c:pt>
                <c:pt idx="14">
                  <c:v>-3.5908141962421869E-3</c:v>
                </c:pt>
                <c:pt idx="15">
                  <c:v>-5.3637277908146208E-2</c:v>
                </c:pt>
                <c:pt idx="16">
                  <c:v>5.6571023733616554E-2</c:v>
                </c:pt>
                <c:pt idx="17">
                  <c:v>2.5161766185000101E-2</c:v>
                </c:pt>
                <c:pt idx="18">
                  <c:v>3.891750470116806E-3</c:v>
                </c:pt>
                <c:pt idx="19">
                  <c:v>3.3928949554509646E-2</c:v>
                </c:pt>
                <c:pt idx="20">
                  <c:v>-1.1894259247589578E-2</c:v>
                </c:pt>
                <c:pt idx="21">
                  <c:v>-0.12842588606686767</c:v>
                </c:pt>
                <c:pt idx="22">
                  <c:v>1.2402590275491399E-2</c:v>
                </c:pt>
                <c:pt idx="23">
                  <c:v>3.1602341717259064E-2</c:v>
                </c:pt>
                <c:pt idx="24">
                  <c:v>-3.3699402728880723E-2</c:v>
                </c:pt>
                <c:pt idx="25">
                  <c:v>-0.10736101796298658</c:v>
                </c:pt>
                <c:pt idx="26">
                  <c:v>1.4336189741298799E-2</c:v>
                </c:pt>
                <c:pt idx="27">
                  <c:v>1.0169762972453533E-2</c:v>
                </c:pt>
                <c:pt idx="28">
                  <c:v>-3.8604835513277869E-2</c:v>
                </c:pt>
                <c:pt idx="29">
                  <c:v>-2.2736642480211122E-2</c:v>
                </c:pt>
                <c:pt idx="30">
                  <c:v>-1.9131388554915696E-2</c:v>
                </c:pt>
                <c:pt idx="31">
                  <c:v>2.6966582082491142E-2</c:v>
                </c:pt>
                <c:pt idx="32">
                  <c:v>1.8050087947064197E-2</c:v>
                </c:pt>
                <c:pt idx="33">
                  <c:v>-8.0011518367681944E-3</c:v>
                </c:pt>
                <c:pt idx="34">
                  <c:v>2.3637230711812673E-3</c:v>
                </c:pt>
                <c:pt idx="35">
                  <c:v>-1.6548414455040072E-2</c:v>
                </c:pt>
                <c:pt idx="36">
                  <c:v>-6.4510022505942066E-2</c:v>
                </c:pt>
                <c:pt idx="37">
                  <c:v>4.6474503102797105E-2</c:v>
                </c:pt>
                <c:pt idx="38">
                  <c:v>0.12865522205272528</c:v>
                </c:pt>
                <c:pt idx="39">
                  <c:v>1.5476575736232068E-2</c:v>
                </c:pt>
                <c:pt idx="40">
                  <c:v>4.1429214157168381E-2</c:v>
                </c:pt>
                <c:pt idx="41">
                  <c:v>4.1041149152176493E-2</c:v>
                </c:pt>
                <c:pt idx="42">
                  <c:v>-3.3354082373690308E-2</c:v>
                </c:pt>
                <c:pt idx="43">
                  <c:v>-1.4399427600393477E-2</c:v>
                </c:pt>
                <c:pt idx="44">
                  <c:v>-1.55353901996369E-2</c:v>
                </c:pt>
                <c:pt idx="45">
                  <c:v>-2.9994100730034834E-2</c:v>
                </c:pt>
                <c:pt idx="46">
                  <c:v>1.9252332896212199E-2</c:v>
                </c:pt>
                <c:pt idx="47">
                  <c:v>3.1997016595189498E-2</c:v>
                </c:pt>
                <c:pt idx="48">
                  <c:v>8.7449860875219443E-3</c:v>
                </c:pt>
                <c:pt idx="49">
                  <c:v>2.8855454056958552E-2</c:v>
                </c:pt>
                <c:pt idx="50">
                  <c:v>-1.9150084434463199E-2</c:v>
                </c:pt>
                <c:pt idx="51">
                  <c:v>-4.7106015157700409E-2</c:v>
                </c:pt>
                <c:pt idx="52">
                  <c:v>-2.7138785925829412E-2</c:v>
                </c:pt>
                <c:pt idx="53">
                  <c:v>-1.305762971472324E-2</c:v>
                </c:pt>
                <c:pt idx="54">
                  <c:v>-1.6023900054318307E-2</c:v>
                </c:pt>
                <c:pt idx="55">
                  <c:v>-2.3264066874334577E-2</c:v>
                </c:pt>
                <c:pt idx="56">
                  <c:v>-1.049614468531801E-3</c:v>
                </c:pt>
                <c:pt idx="57">
                  <c:v>-2.2590422307536828E-2</c:v>
                </c:pt>
                <c:pt idx="58">
                  <c:v>-1.901926734474535E-3</c:v>
                </c:pt>
                <c:pt idx="59">
                  <c:v>2.4606462303231158E-2</c:v>
                </c:pt>
                <c:pt idx="60">
                  <c:v>1.7566911943074359E-2</c:v>
                </c:pt>
                <c:pt idx="61">
                  <c:v>1.7442437968095081E-2</c:v>
                </c:pt>
                <c:pt idx="62">
                  <c:v>7.3806502001365626E-3</c:v>
                </c:pt>
                <c:pt idx="63">
                  <c:v>7.1773302579807519E-2</c:v>
                </c:pt>
                <c:pt idx="64">
                  <c:v>-0.15782335069444453</c:v>
                </c:pt>
                <c:pt idx="65">
                  <c:v>-3.9768945006334655E-2</c:v>
                </c:pt>
                <c:pt idx="66">
                  <c:v>-1.5430373236129391E-3</c:v>
                </c:pt>
                <c:pt idx="67">
                  <c:v>-3.5634294929224208E-2</c:v>
                </c:pt>
                <c:pt idx="68">
                  <c:v>-5.7249692268388386E-2</c:v>
                </c:pt>
                <c:pt idx="69">
                  <c:v>5.9297398502167864E-2</c:v>
                </c:pt>
                <c:pt idx="70">
                  <c:v>1.2535175236633389E-2</c:v>
                </c:pt>
                <c:pt idx="71">
                  <c:v>4.7544673618447053E-3</c:v>
                </c:pt>
                <c:pt idx="72">
                  <c:v>-1.0012572865470304E-2</c:v>
                </c:pt>
                <c:pt idx="73">
                  <c:v>6.2553397834068436E-2</c:v>
                </c:pt>
                <c:pt idx="74">
                  <c:v>-3.4422809457580028E-2</c:v>
                </c:pt>
                <c:pt idx="75">
                  <c:v>-1.2963629816348576E-2</c:v>
                </c:pt>
                <c:pt idx="76">
                  <c:v>2.4717256475738747E-2</c:v>
                </c:pt>
                <c:pt idx="77">
                  <c:v>-0.12162883845126826</c:v>
                </c:pt>
                <c:pt idx="78">
                  <c:v>-1.8949181739879473E-2</c:v>
                </c:pt>
                <c:pt idx="79">
                  <c:v>-4.0024789547075112E-3</c:v>
                </c:pt>
                <c:pt idx="80">
                  <c:v>-9.4993648077571158E-2</c:v>
                </c:pt>
                <c:pt idx="81">
                  <c:v>9.7401667287364546E-3</c:v>
                </c:pt>
                <c:pt idx="82">
                  <c:v>-1.0412233665276549E-2</c:v>
                </c:pt>
                <c:pt idx="83">
                  <c:v>5.4243119266055073E-2</c:v>
                </c:pt>
                <c:pt idx="84">
                  <c:v>3.5760905036440693E-2</c:v>
                </c:pt>
                <c:pt idx="85">
                  <c:v>6.3276183474676451E-3</c:v>
                </c:pt>
                <c:pt idx="86">
                  <c:v>8.8316635357962969E-2</c:v>
                </c:pt>
                <c:pt idx="87">
                  <c:v>-2.2630834512022635E-2</c:v>
                </c:pt>
                <c:pt idx="88">
                  <c:v>1.8151046137997007E-2</c:v>
                </c:pt>
                <c:pt idx="89">
                  <c:v>4.4086824544076197E-3</c:v>
                </c:pt>
                <c:pt idx="90">
                  <c:v>-6.0539192171159995E-2</c:v>
                </c:pt>
                <c:pt idx="91">
                  <c:v>-3.7683823529411686E-2</c:v>
                </c:pt>
                <c:pt idx="92">
                  <c:v>2.3638968481375366E-2</c:v>
                </c:pt>
                <c:pt idx="93">
                  <c:v>-1.6898634113469591E-2</c:v>
                </c:pt>
                <c:pt idx="94">
                  <c:v>-4.207640188763806E-2</c:v>
                </c:pt>
                <c:pt idx="95">
                  <c:v>6.7152882895280541E-3</c:v>
                </c:pt>
                <c:pt idx="96">
                  <c:v>1.3532354629705479E-2</c:v>
                </c:pt>
                <c:pt idx="97">
                  <c:v>-6.187624750498999E-2</c:v>
                </c:pt>
                <c:pt idx="98">
                  <c:v>-1.9407705577918377E-2</c:v>
                </c:pt>
                <c:pt idx="99">
                  <c:v>4.0463275179592362E-2</c:v>
                </c:pt>
                <c:pt idx="100">
                  <c:v>2.0402987177680521E-2</c:v>
                </c:pt>
                <c:pt idx="101">
                  <c:v>-1.4885801872462578E-2</c:v>
                </c:pt>
                <c:pt idx="102">
                  <c:v>-2.1670871881132481E-2</c:v>
                </c:pt>
                <c:pt idx="103">
                  <c:v>1.1175745766112133E-3</c:v>
                </c:pt>
                <c:pt idx="104">
                  <c:v>4.734371422028838E-2</c:v>
                </c:pt>
                <c:pt idx="105">
                  <c:v>-1.5113418966930747E-2</c:v>
                </c:pt>
                <c:pt idx="106">
                  <c:v>-3.782223825512665E-2</c:v>
                </c:pt>
                <c:pt idx="107">
                  <c:v>-2.6619368979639013E-2</c:v>
                </c:pt>
                <c:pt idx="108">
                  <c:v>-1.2592219489792944E-2</c:v>
                </c:pt>
                <c:pt idx="109">
                  <c:v>6.0793374542399192E-2</c:v>
                </c:pt>
                <c:pt idx="110">
                  <c:v>-3.7367051369088022E-2</c:v>
                </c:pt>
                <c:pt idx="111">
                  <c:v>-3.9258323293467789E-2</c:v>
                </c:pt>
                <c:pt idx="112">
                  <c:v>1.2723658051689846E-2</c:v>
                </c:pt>
                <c:pt idx="113">
                  <c:v>-2.08993989912718E-2</c:v>
                </c:pt>
                <c:pt idx="114">
                  <c:v>-1.2523520157932122E-2</c:v>
                </c:pt>
                <c:pt idx="115">
                  <c:v>8.1623090619435734E-2</c:v>
                </c:pt>
                <c:pt idx="116">
                  <c:v>2.9370992895512149E-2</c:v>
                </c:pt>
                <c:pt idx="117">
                  <c:v>-1.599191987206483E-3</c:v>
                </c:pt>
                <c:pt idx="118">
                  <c:v>-5.788793345697707E-3</c:v>
                </c:pt>
                <c:pt idx="119">
                  <c:v>-5.7942340305257245E-2</c:v>
                </c:pt>
                <c:pt idx="120">
                  <c:v>1.950195019501777E-3</c:v>
                </c:pt>
                <c:pt idx="121">
                  <c:v>-0.11328043120227571</c:v>
                </c:pt>
                <c:pt idx="122">
                  <c:v>1.6716196136701278E-2</c:v>
                </c:pt>
                <c:pt idx="123">
                  <c:v>-2.5974025974025983E-2</c:v>
                </c:pt>
                <c:pt idx="124">
                  <c:v>-8.4808184143222554E-2</c:v>
                </c:pt>
                <c:pt idx="125">
                  <c:v>-1.6431924882629012E-2</c:v>
                </c:pt>
                <c:pt idx="126">
                  <c:v>-2.0305337727772099E-2</c:v>
                </c:pt>
                <c:pt idx="127">
                  <c:v>1.4693940682881657E-2</c:v>
                </c:pt>
                <c:pt idx="128">
                  <c:v>8.0827712358522819E-2</c:v>
                </c:pt>
                <c:pt idx="129">
                  <c:v>-0.12093646428319582</c:v>
                </c:pt>
                <c:pt idx="130">
                  <c:v>-4.6927643189474955E-3</c:v>
                </c:pt>
                <c:pt idx="131">
                  <c:v>-5.3636913157364519E-2</c:v>
                </c:pt>
                <c:pt idx="132">
                  <c:v>3.4406404360415532E-2</c:v>
                </c:pt>
                <c:pt idx="133">
                  <c:v>-7.2328338547669957E-2</c:v>
                </c:pt>
                <c:pt idx="134">
                  <c:v>8.4757044597293163E-2</c:v>
                </c:pt>
                <c:pt idx="135">
                  <c:v>4.0499079566373997E-3</c:v>
                </c:pt>
                <c:pt idx="136">
                  <c:v>2.1471642764015586E-2</c:v>
                </c:pt>
                <c:pt idx="137">
                  <c:v>9.2936061585098262E-3</c:v>
                </c:pt>
                <c:pt idx="138">
                  <c:v>-2.1498577300031574E-2</c:v>
                </c:pt>
                <c:pt idx="139">
                  <c:v>-1.1470113085621958E-2</c:v>
                </c:pt>
                <c:pt idx="140">
                  <c:v>5.9037424415754103E-2</c:v>
                </c:pt>
                <c:pt idx="141">
                  <c:v>-2.9975695382122525E-2</c:v>
                </c:pt>
                <c:pt idx="142">
                  <c:v>-0.18859370028635059</c:v>
                </c:pt>
                <c:pt idx="143">
                  <c:v>-4.3427114988726645E-2</c:v>
                </c:pt>
                <c:pt idx="144">
                  <c:v>3.8788686206189693E-2</c:v>
                </c:pt>
                <c:pt idx="145">
                  <c:v>8.3806047452276378E-2</c:v>
                </c:pt>
                <c:pt idx="146">
                  <c:v>1.7840888403422461E-2</c:v>
                </c:pt>
                <c:pt idx="147">
                  <c:v>6.0856734036844884E-2</c:v>
                </c:pt>
                <c:pt idx="148">
                  <c:v>-5.1169652265542598E-2</c:v>
                </c:pt>
                <c:pt idx="149">
                  <c:v>0.11238949846741586</c:v>
                </c:pt>
                <c:pt idx="150">
                  <c:v>5.9103070963619553E-2</c:v>
                </c:pt>
                <c:pt idx="151">
                  <c:v>-4.4870102937294432E-3</c:v>
                </c:pt>
                <c:pt idx="152">
                  <c:v>4.2724036057874448E-2</c:v>
                </c:pt>
                <c:pt idx="153">
                  <c:v>5.8917544496912333E-2</c:v>
                </c:pt>
                <c:pt idx="154">
                  <c:v>-8.579171240395167E-2</c:v>
                </c:pt>
                <c:pt idx="155">
                  <c:v>-5.3581479118982367E-2</c:v>
                </c:pt>
                <c:pt idx="156">
                  <c:v>-1.312294334535935E-2</c:v>
                </c:pt>
                <c:pt idx="157">
                  <c:v>-5.4033424393379326E-2</c:v>
                </c:pt>
                <c:pt idx="158">
                  <c:v>9.4279526054275031E-3</c:v>
                </c:pt>
                <c:pt idx="159">
                  <c:v>0</c:v>
                </c:pt>
              </c:numCache>
            </c:numRef>
          </c:val>
          <c:extLst>
            <c:ext xmlns:c16="http://schemas.microsoft.com/office/drawing/2014/chart" uri="{C3380CC4-5D6E-409C-BE32-E72D297353CC}">
              <c16:uniqueId val="{00000000-C72E-4AC2-B68F-566A4588F7F0}"/>
            </c:ext>
          </c:extLst>
        </c:ser>
        <c:dLbls>
          <c:showLegendKey val="0"/>
          <c:showVal val="0"/>
          <c:showCatName val="0"/>
          <c:showSerName val="0"/>
          <c:showPercent val="0"/>
          <c:showBubbleSize val="0"/>
        </c:dLbls>
        <c:gapWidth val="150"/>
        <c:axId val="56867489"/>
        <c:axId val="70115536"/>
      </c:barChart>
      <c:lineChart>
        <c:grouping val="standard"/>
        <c:varyColors val="0"/>
        <c:ser>
          <c:idx val="1"/>
          <c:order val="1"/>
          <c:tx>
            <c:strRef>
              <c:f>'Returns (Calc)'!$W$2</c:f>
              <c:strCache>
                <c:ptCount val="1"/>
                <c:pt idx="0">
                  <c:v>ADBE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(Calc)'!$W$3:$W$500</c:f>
              <c:numCache>
                <c:formatCode>#,##0.00</c:formatCode>
                <c:ptCount val="498"/>
                <c:pt idx="0">
                  <c:v>528.89</c:v>
                </c:pt>
                <c:pt idx="1">
                  <c:v>527.04696202531647</c:v>
                </c:pt>
                <c:pt idx="2">
                  <c:v>525.20392405063285</c:v>
                </c:pt>
                <c:pt idx="3">
                  <c:v>523.36088607594934</c:v>
                </c:pt>
                <c:pt idx="4">
                  <c:v>521.51784810126583</c:v>
                </c:pt>
                <c:pt idx="5">
                  <c:v>519.67481012658232</c:v>
                </c:pt>
                <c:pt idx="6">
                  <c:v>517.83177215189869</c:v>
                </c:pt>
                <c:pt idx="7">
                  <c:v>515.98873417721518</c:v>
                </c:pt>
                <c:pt idx="8">
                  <c:v>514.14569620253167</c:v>
                </c:pt>
                <c:pt idx="9">
                  <c:v>512.30265822784804</c:v>
                </c:pt>
                <c:pt idx="10">
                  <c:v>510.45962025316453</c:v>
                </c:pt>
                <c:pt idx="11">
                  <c:v>508.61658227848102</c:v>
                </c:pt>
                <c:pt idx="12">
                  <c:v>506.77354430379745</c:v>
                </c:pt>
                <c:pt idx="13">
                  <c:v>504.93050632911388</c:v>
                </c:pt>
                <c:pt idx="14">
                  <c:v>503.08746835443037</c:v>
                </c:pt>
                <c:pt idx="15">
                  <c:v>501.2444303797468</c:v>
                </c:pt>
                <c:pt idx="16">
                  <c:v>499.40139240506329</c:v>
                </c:pt>
                <c:pt idx="17">
                  <c:v>497.55835443037972</c:v>
                </c:pt>
                <c:pt idx="18">
                  <c:v>495.71531645569621</c:v>
                </c:pt>
                <c:pt idx="19">
                  <c:v>493.87227848101264</c:v>
                </c:pt>
                <c:pt idx="20">
                  <c:v>492.02924050632907</c:v>
                </c:pt>
                <c:pt idx="21">
                  <c:v>490.18620253164556</c:v>
                </c:pt>
                <c:pt idx="22">
                  <c:v>488.34316455696199</c:v>
                </c:pt>
                <c:pt idx="23">
                  <c:v>486.50012658227848</c:v>
                </c:pt>
                <c:pt idx="24">
                  <c:v>484.65708860759491</c:v>
                </c:pt>
                <c:pt idx="25">
                  <c:v>482.8140506329114</c:v>
                </c:pt>
                <c:pt idx="26">
                  <c:v>480.97101265822783</c:v>
                </c:pt>
                <c:pt idx="27">
                  <c:v>479.12797468354427</c:v>
                </c:pt>
                <c:pt idx="28">
                  <c:v>477.28493670886076</c:v>
                </c:pt>
                <c:pt idx="29">
                  <c:v>475.44189873417719</c:v>
                </c:pt>
                <c:pt idx="30">
                  <c:v>473.59886075949368</c:v>
                </c:pt>
                <c:pt idx="31">
                  <c:v>471.75582278481011</c:v>
                </c:pt>
                <c:pt idx="32">
                  <c:v>469.9127848101266</c:v>
                </c:pt>
                <c:pt idx="33">
                  <c:v>468.06974683544303</c:v>
                </c:pt>
                <c:pt idx="34">
                  <c:v>466.22670886075946</c:v>
                </c:pt>
                <c:pt idx="35">
                  <c:v>464.38367088607595</c:v>
                </c:pt>
                <c:pt idx="36">
                  <c:v>462.54063291139238</c:v>
                </c:pt>
                <c:pt idx="37">
                  <c:v>460.69759493670887</c:v>
                </c:pt>
                <c:pt idx="38">
                  <c:v>458.8545569620253</c:v>
                </c:pt>
                <c:pt idx="39">
                  <c:v>457.01151898734179</c:v>
                </c:pt>
                <c:pt idx="40">
                  <c:v>455.16848101265822</c:v>
                </c:pt>
                <c:pt idx="41">
                  <c:v>453.32544303797465</c:v>
                </c:pt>
                <c:pt idx="42">
                  <c:v>451.48240506329114</c:v>
                </c:pt>
                <c:pt idx="43">
                  <c:v>449.63936708860757</c:v>
                </c:pt>
                <c:pt idx="44">
                  <c:v>447.79632911392406</c:v>
                </c:pt>
                <c:pt idx="45">
                  <c:v>445.95329113924049</c:v>
                </c:pt>
                <c:pt idx="46">
                  <c:v>444.11025316455698</c:v>
                </c:pt>
                <c:pt idx="47">
                  <c:v>442.26721518987341</c:v>
                </c:pt>
                <c:pt idx="48">
                  <c:v>440.42417721518984</c:v>
                </c:pt>
                <c:pt idx="49">
                  <c:v>438.58113924050633</c:v>
                </c:pt>
                <c:pt idx="50">
                  <c:v>436.73810126582276</c:v>
                </c:pt>
                <c:pt idx="51">
                  <c:v>434.89506329113925</c:v>
                </c:pt>
                <c:pt idx="52">
                  <c:v>433.05202531645568</c:v>
                </c:pt>
                <c:pt idx="53">
                  <c:v>431.20898734177217</c:v>
                </c:pt>
                <c:pt idx="54">
                  <c:v>429.3659493670886</c:v>
                </c:pt>
                <c:pt idx="55">
                  <c:v>427.52291139240504</c:v>
                </c:pt>
                <c:pt idx="56">
                  <c:v>425.67987341772152</c:v>
                </c:pt>
                <c:pt idx="57">
                  <c:v>423.83683544303796</c:v>
                </c:pt>
                <c:pt idx="58">
                  <c:v>421.99379746835444</c:v>
                </c:pt>
                <c:pt idx="59">
                  <c:v>420.15075949367088</c:v>
                </c:pt>
                <c:pt idx="60">
                  <c:v>418.30772151898731</c:v>
                </c:pt>
                <c:pt idx="61">
                  <c:v>416.4646835443038</c:v>
                </c:pt>
                <c:pt idx="62">
                  <c:v>414.62164556962023</c:v>
                </c:pt>
                <c:pt idx="63">
                  <c:v>412.77860759493672</c:v>
                </c:pt>
                <c:pt idx="64">
                  <c:v>410.93556962025315</c:v>
                </c:pt>
                <c:pt idx="65">
                  <c:v>409.09253164556958</c:v>
                </c:pt>
                <c:pt idx="66">
                  <c:v>407.24949367088607</c:v>
                </c:pt>
                <c:pt idx="67">
                  <c:v>405.40645569620256</c:v>
                </c:pt>
                <c:pt idx="68">
                  <c:v>403.56341772151899</c:v>
                </c:pt>
                <c:pt idx="69">
                  <c:v>401.72037974683542</c:v>
                </c:pt>
                <c:pt idx="70">
                  <c:v>399.87734177215191</c:v>
                </c:pt>
                <c:pt idx="71">
                  <c:v>398.03430379746834</c:v>
                </c:pt>
                <c:pt idx="72">
                  <c:v>396.19126582278477</c:v>
                </c:pt>
                <c:pt idx="73">
                  <c:v>394.34822784810126</c:v>
                </c:pt>
                <c:pt idx="74">
                  <c:v>392.50518987341775</c:v>
                </c:pt>
                <c:pt idx="75">
                  <c:v>390.66215189873412</c:v>
                </c:pt>
                <c:pt idx="76">
                  <c:v>388.81911392405061</c:v>
                </c:pt>
                <c:pt idx="77">
                  <c:v>386.9760759493671</c:v>
                </c:pt>
                <c:pt idx="78">
                  <c:v>385.13303797468353</c:v>
                </c:pt>
                <c:pt idx="79">
                  <c:v>383.28999999999996</c:v>
                </c:pt>
                <c:pt idx="80">
                  <c:v>381.44696202531645</c:v>
                </c:pt>
                <c:pt idx="81">
                  <c:v>379.60392405063288</c:v>
                </c:pt>
                <c:pt idx="82">
                  <c:v>377.76088607594937</c:v>
                </c:pt>
                <c:pt idx="83">
                  <c:v>375.9178481012658</c:v>
                </c:pt>
                <c:pt idx="84">
                  <c:v>374.07481012658229</c:v>
                </c:pt>
                <c:pt idx="85">
                  <c:v>372.23177215189872</c:v>
                </c:pt>
                <c:pt idx="86">
                  <c:v>370.38873417721516</c:v>
                </c:pt>
                <c:pt idx="87">
                  <c:v>368.54569620253164</c:v>
                </c:pt>
                <c:pt idx="88">
                  <c:v>366.70265822784813</c:v>
                </c:pt>
                <c:pt idx="89">
                  <c:v>364.85962025316451</c:v>
                </c:pt>
                <c:pt idx="90">
                  <c:v>363.016582278481</c:v>
                </c:pt>
                <c:pt idx="91">
                  <c:v>361.17354430379748</c:v>
                </c:pt>
                <c:pt idx="92">
                  <c:v>359.33050632911392</c:v>
                </c:pt>
                <c:pt idx="93">
                  <c:v>357.48746835443035</c:v>
                </c:pt>
                <c:pt idx="94">
                  <c:v>355.64443037974684</c:v>
                </c:pt>
                <c:pt idx="95">
                  <c:v>353.80139240506327</c:v>
                </c:pt>
                <c:pt idx="96">
                  <c:v>351.95835443037976</c:v>
                </c:pt>
                <c:pt idx="97">
                  <c:v>350.11531645569619</c:v>
                </c:pt>
                <c:pt idx="98">
                  <c:v>348.27227848101268</c:v>
                </c:pt>
                <c:pt idx="99">
                  <c:v>346.42924050632911</c:v>
                </c:pt>
                <c:pt idx="100">
                  <c:v>344.58620253164554</c:v>
                </c:pt>
                <c:pt idx="101">
                  <c:v>342.74316455696203</c:v>
                </c:pt>
                <c:pt idx="102">
                  <c:v>340.90012658227852</c:v>
                </c:pt>
                <c:pt idx="103">
                  <c:v>339.05708860759489</c:v>
                </c:pt>
                <c:pt idx="104">
                  <c:v>337.21405063291138</c:v>
                </c:pt>
                <c:pt idx="105">
                  <c:v>335.37101265822787</c:v>
                </c:pt>
                <c:pt idx="106">
                  <c:v>333.5279746835443</c:v>
                </c:pt>
                <c:pt idx="107">
                  <c:v>331.68493670886073</c:v>
                </c:pt>
                <c:pt idx="108">
                  <c:v>329.84189873417722</c:v>
                </c:pt>
                <c:pt idx="109">
                  <c:v>327.99886075949365</c:v>
                </c:pt>
                <c:pt idx="110">
                  <c:v>326.15582278481008</c:v>
                </c:pt>
                <c:pt idx="111">
                  <c:v>324.31278481012657</c:v>
                </c:pt>
                <c:pt idx="112">
                  <c:v>322.46974683544306</c:v>
                </c:pt>
                <c:pt idx="113">
                  <c:v>320.62670886075949</c:v>
                </c:pt>
                <c:pt idx="114">
                  <c:v>318.78367088607592</c:v>
                </c:pt>
                <c:pt idx="115">
                  <c:v>316.94063291139241</c:v>
                </c:pt>
                <c:pt idx="116">
                  <c:v>315.0975949367089</c:v>
                </c:pt>
                <c:pt idx="117">
                  <c:v>313.25455696202528</c:v>
                </c:pt>
                <c:pt idx="118">
                  <c:v>311.41151898734176</c:v>
                </c:pt>
                <c:pt idx="119">
                  <c:v>309.56848101265825</c:v>
                </c:pt>
                <c:pt idx="120">
                  <c:v>307.72544303797463</c:v>
                </c:pt>
                <c:pt idx="121">
                  <c:v>305.88240506329112</c:v>
                </c:pt>
                <c:pt idx="122">
                  <c:v>304.03936708860761</c:v>
                </c:pt>
                <c:pt idx="123">
                  <c:v>302.19632911392404</c:v>
                </c:pt>
                <c:pt idx="124">
                  <c:v>300.35329113924053</c:v>
                </c:pt>
                <c:pt idx="125">
                  <c:v>298.51025316455696</c:v>
                </c:pt>
                <c:pt idx="126">
                  <c:v>296.66721518987345</c:v>
                </c:pt>
                <c:pt idx="127">
                  <c:v>294.82417721518982</c:v>
                </c:pt>
                <c:pt idx="128">
                  <c:v>292.98113924050631</c:v>
                </c:pt>
                <c:pt idx="129">
                  <c:v>291.1381012658228</c:v>
                </c:pt>
                <c:pt idx="130">
                  <c:v>289.29506329113923</c:v>
                </c:pt>
                <c:pt idx="131">
                  <c:v>287.45202531645566</c:v>
                </c:pt>
                <c:pt idx="132">
                  <c:v>285.60898734177215</c:v>
                </c:pt>
                <c:pt idx="133">
                  <c:v>283.76594936708864</c:v>
                </c:pt>
                <c:pt idx="134">
                  <c:v>281.92291139240507</c:v>
                </c:pt>
                <c:pt idx="135">
                  <c:v>280.0798734177215</c:v>
                </c:pt>
                <c:pt idx="136">
                  <c:v>278.23683544303799</c:v>
                </c:pt>
                <c:pt idx="137">
                  <c:v>276.39379746835442</c:v>
                </c:pt>
                <c:pt idx="138">
                  <c:v>274.55075949367085</c:v>
                </c:pt>
                <c:pt idx="139">
                  <c:v>272.70772151898734</c:v>
                </c:pt>
                <c:pt idx="140">
                  <c:v>270.86468354430377</c:v>
                </c:pt>
                <c:pt idx="141">
                  <c:v>269.02164556962026</c:v>
                </c:pt>
                <c:pt idx="142">
                  <c:v>267.17860759493669</c:v>
                </c:pt>
                <c:pt idx="143">
                  <c:v>265.33556962025318</c:v>
                </c:pt>
                <c:pt idx="144">
                  <c:v>263.49253164556961</c:v>
                </c:pt>
                <c:pt idx="145">
                  <c:v>261.64949367088605</c:v>
                </c:pt>
                <c:pt idx="146">
                  <c:v>259.80645569620253</c:v>
                </c:pt>
                <c:pt idx="147">
                  <c:v>257.96341772151897</c:v>
                </c:pt>
                <c:pt idx="148">
                  <c:v>256.12037974683545</c:v>
                </c:pt>
                <c:pt idx="149">
                  <c:v>254.27734177215189</c:v>
                </c:pt>
                <c:pt idx="150">
                  <c:v>252.43430379746832</c:v>
                </c:pt>
                <c:pt idx="151">
                  <c:v>250.59126582278481</c:v>
                </c:pt>
                <c:pt idx="152">
                  <c:v>248.74822784810124</c:v>
                </c:pt>
                <c:pt idx="153">
                  <c:v>246.90518987341773</c:v>
                </c:pt>
                <c:pt idx="154">
                  <c:v>245.06215189873421</c:v>
                </c:pt>
                <c:pt idx="155">
                  <c:v>243.21911392405065</c:v>
                </c:pt>
                <c:pt idx="156">
                  <c:v>241.37607594936708</c:v>
                </c:pt>
                <c:pt idx="157">
                  <c:v>239.53303797468351</c:v>
                </c:pt>
                <c:pt idx="158">
                  <c:v>237.69</c:v>
                </c:pt>
                <c:pt idx="159">
                  <c:v>235.84696202531649</c:v>
                </c:pt>
              </c:numCache>
            </c:numRef>
          </c:val>
          <c:smooth val="0"/>
          <c:extLst>
            <c:ext xmlns:c16="http://schemas.microsoft.com/office/drawing/2014/chart" uri="{C3380CC4-5D6E-409C-BE32-E72D297353CC}">
              <c16:uniqueId val="{00000001-C72E-4AC2-B68F-566A4588F7F0}"/>
            </c:ext>
          </c:extLst>
        </c:ser>
        <c:dLbls>
          <c:showLegendKey val="0"/>
          <c:showVal val="0"/>
          <c:showCatName val="0"/>
          <c:showSerName val="0"/>
          <c:showPercent val="0"/>
          <c:showBubbleSize val="0"/>
        </c:dLbls>
        <c:hiLowLines>
          <c:spPr>
            <a:ln w="0">
              <a:noFill/>
            </a:ln>
          </c:spPr>
        </c:hiLowLines>
        <c:marker val="1"/>
        <c:smooth val="0"/>
        <c:axId val="95401361"/>
        <c:axId val="73527855"/>
      </c:lineChart>
      <c:dateAx>
        <c:axId val="56867489"/>
        <c:scaling>
          <c:orientation val="minMax"/>
        </c:scaling>
        <c:delete val="1"/>
        <c:axPos val="b"/>
        <c:numFmt formatCode="mm/dd/yyyy" sourceLinked="1"/>
        <c:majorTickMark val="none"/>
        <c:minorTickMark val="none"/>
        <c:tickLblPos val="nextTo"/>
        <c:crossAx val="70115536"/>
        <c:crosses val="autoZero"/>
        <c:auto val="1"/>
        <c:lblOffset val="100"/>
        <c:baseTimeUnit val="days"/>
      </c:dateAx>
      <c:valAx>
        <c:axId val="7011553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6867489"/>
        <c:crosses val="autoZero"/>
        <c:crossBetween val="between"/>
      </c:valAx>
      <c:dateAx>
        <c:axId val="95401361"/>
        <c:scaling>
          <c:orientation val="minMax"/>
        </c:scaling>
        <c:delete val="1"/>
        <c:axPos val="b"/>
        <c:numFmt formatCode="mm/dd/yyyy" sourceLinked="1"/>
        <c:majorTickMark val="none"/>
        <c:minorTickMark val="none"/>
        <c:tickLblPos val="nextTo"/>
        <c:crossAx val="73527855"/>
        <c:crosses val="autoZero"/>
        <c:auto val="1"/>
        <c:lblOffset val="100"/>
        <c:baseTimeUnit val="days"/>
      </c:dateAx>
      <c:valAx>
        <c:axId val="73527855"/>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95401361"/>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ANET</a:t>
            </a:r>
          </a:p>
        </c:rich>
      </c:tx>
      <c:overlay val="0"/>
      <c:spPr>
        <a:noFill/>
        <a:ln w="0">
          <a:noFill/>
        </a:ln>
      </c:spPr>
    </c:title>
    <c:autoTitleDeleted val="0"/>
    <c:plotArea>
      <c:layout/>
      <c:barChart>
        <c:barDir val="col"/>
        <c:grouping val="clustered"/>
        <c:varyColors val="0"/>
        <c:ser>
          <c:idx val="0"/>
          <c:order val="0"/>
          <c:tx>
            <c:strRef>
              <c:f>'Returns (Calc)'!$C$2</c:f>
              <c:strCache>
                <c:ptCount val="1"/>
                <c:pt idx="0">
                  <c:v>ANET</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(Calc)'!$C$3:$C$500</c:f>
              <c:numCache>
                <c:formatCode>0.0%</c:formatCode>
                <c:ptCount val="498"/>
                <c:pt idx="0">
                  <c:v>-2.3819835426591607E-2</c:v>
                </c:pt>
                <c:pt idx="1">
                  <c:v>1.9964507542147292E-2</c:v>
                </c:pt>
                <c:pt idx="2">
                  <c:v>5.5023923444976086E-2</c:v>
                </c:pt>
                <c:pt idx="3">
                  <c:v>-2.1645021645021578E-2</c:v>
                </c:pt>
                <c:pt idx="4">
                  <c:v>-1.9595448798988668E-2</c:v>
                </c:pt>
                <c:pt idx="5">
                  <c:v>-5.3298946915968259E-2</c:v>
                </c:pt>
                <c:pt idx="6">
                  <c:v>0.20590238365493763</c:v>
                </c:pt>
                <c:pt idx="7">
                  <c:v>-2.654367469879515E-2</c:v>
                </c:pt>
                <c:pt idx="8">
                  <c:v>3.7710307484045469E-2</c:v>
                </c:pt>
                <c:pt idx="9">
                  <c:v>1.7517704062616657E-2</c:v>
                </c:pt>
                <c:pt idx="10">
                  <c:v>-8.058608058608141E-3</c:v>
                </c:pt>
                <c:pt idx="11">
                  <c:v>3.4158050221565706E-2</c:v>
                </c:pt>
                <c:pt idx="12">
                  <c:v>5.1597928941260474E-2</c:v>
                </c:pt>
                <c:pt idx="13">
                  <c:v>1.1205432937181792E-2</c:v>
                </c:pt>
                <c:pt idx="14">
                  <c:v>-1.1417058428475513E-2</c:v>
                </c:pt>
                <c:pt idx="15">
                  <c:v>-1.9531250000000111E-2</c:v>
                </c:pt>
                <c:pt idx="16">
                  <c:v>9.1460245972631249E-2</c:v>
                </c:pt>
                <c:pt idx="17">
                  <c:v>4.5548325662593259E-2</c:v>
                </c:pt>
                <c:pt idx="18">
                  <c:v>3.3394049787491831E-3</c:v>
                </c:pt>
                <c:pt idx="19">
                  <c:v>3.2980332829046999E-2</c:v>
                </c:pt>
                <c:pt idx="20">
                  <c:v>3.4124194493263094E-2</c:v>
                </c:pt>
                <c:pt idx="21">
                  <c:v>-7.3219090780342722E-2</c:v>
                </c:pt>
                <c:pt idx="22">
                  <c:v>2.261613691931541E-2</c:v>
                </c:pt>
                <c:pt idx="23">
                  <c:v>7.4865511057979672E-2</c:v>
                </c:pt>
                <c:pt idx="24">
                  <c:v>-5.0743778673710604E-2</c:v>
                </c:pt>
                <c:pt idx="25">
                  <c:v>1.6842413591095617E-2</c:v>
                </c:pt>
                <c:pt idx="26">
                  <c:v>0.10341351001008192</c:v>
                </c:pt>
                <c:pt idx="27">
                  <c:v>-5.3648348779532729E-2</c:v>
                </c:pt>
                <c:pt idx="28">
                  <c:v>2.6206896551724146E-2</c:v>
                </c:pt>
                <c:pt idx="29">
                  <c:v>-8.8575268817204345E-2</c:v>
                </c:pt>
                <c:pt idx="30">
                  <c:v>-9.2759180061937729E-2</c:v>
                </c:pt>
                <c:pt idx="31">
                  <c:v>7.5747724317295262E-2</c:v>
                </c:pt>
                <c:pt idx="32">
                  <c:v>3.6566938652160541E-2</c:v>
                </c:pt>
                <c:pt idx="33">
                  <c:v>0.14446064139941717</c:v>
                </c:pt>
                <c:pt idx="34">
                  <c:v>1.8596357151955178E-2</c:v>
                </c:pt>
                <c:pt idx="35">
                  <c:v>-4.1640615230711497E-2</c:v>
                </c:pt>
                <c:pt idx="36">
                  <c:v>-2.9097077244258918E-2</c:v>
                </c:pt>
                <c:pt idx="37">
                  <c:v>-2.8222013170271509E-3</c:v>
                </c:pt>
                <c:pt idx="38">
                  <c:v>0.10673854447439357</c:v>
                </c:pt>
                <c:pt idx="39">
                  <c:v>2.7033609352167476E-2</c:v>
                </c:pt>
                <c:pt idx="40">
                  <c:v>3.8890206307801822E-2</c:v>
                </c:pt>
                <c:pt idx="41">
                  <c:v>4.4738644145172257E-2</c:v>
                </c:pt>
                <c:pt idx="42">
                  <c:v>-1.1688879178501255E-2</c:v>
                </c:pt>
                <c:pt idx="43">
                  <c:v>-8.6548026970266423E-2</c:v>
                </c:pt>
                <c:pt idx="44">
                  <c:v>-3.436592449177156E-2</c:v>
                </c:pt>
                <c:pt idx="45">
                  <c:v>3.7593984962414062E-4</c:v>
                </c:pt>
                <c:pt idx="46">
                  <c:v>5.1609670549918718E-2</c:v>
                </c:pt>
                <c:pt idx="47">
                  <c:v>5.384157236450271E-2</c:v>
                </c:pt>
                <c:pt idx="48">
                  <c:v>3.5040126596586063E-3</c:v>
                </c:pt>
                <c:pt idx="49">
                  <c:v>-4.8434332056770391E-3</c:v>
                </c:pt>
                <c:pt idx="50">
                  <c:v>-0.11058290888511602</c:v>
                </c:pt>
                <c:pt idx="51">
                  <c:v>0.1445660473402901</c:v>
                </c:pt>
                <c:pt idx="52">
                  <c:v>6.8601289748721372E-2</c:v>
                </c:pt>
                <c:pt idx="53">
                  <c:v>-1.0820934346061906E-2</c:v>
                </c:pt>
                <c:pt idx="54">
                  <c:v>4.1232775849374237E-2</c:v>
                </c:pt>
                <c:pt idx="55">
                  <c:v>5.2934639862612487E-2</c:v>
                </c:pt>
                <c:pt idx="56">
                  <c:v>-3.5786241964885335E-2</c:v>
                </c:pt>
                <c:pt idx="57">
                  <c:v>-1.9701492537313459E-2</c:v>
                </c:pt>
                <c:pt idx="58">
                  <c:v>2.0300446609833322E-4</c:v>
                </c:pt>
                <c:pt idx="59">
                  <c:v>1.5932616196468352E-2</c:v>
                </c:pt>
                <c:pt idx="60">
                  <c:v>-6.5028468684447116E-2</c:v>
                </c:pt>
                <c:pt idx="61">
                  <c:v>8.5683760683760823E-2</c:v>
                </c:pt>
                <c:pt idx="62">
                  <c:v>-1.5744932099981401E-3</c:v>
                </c:pt>
                <c:pt idx="63">
                  <c:v>6.6922925290755053E-2</c:v>
                </c:pt>
                <c:pt idx="64">
                  <c:v>3.8060046189376529E-2</c:v>
                </c:pt>
                <c:pt idx="65">
                  <c:v>3.9156358458662943E-3</c:v>
                </c:pt>
                <c:pt idx="66">
                  <c:v>1.9501817214786499E-3</c:v>
                </c:pt>
                <c:pt idx="67">
                  <c:v>1.9198442891267931E-2</c:v>
                </c:pt>
                <c:pt idx="68">
                  <c:v>-7.4652777777777235E-3</c:v>
                </c:pt>
                <c:pt idx="69">
                  <c:v>4.9064194507608905E-2</c:v>
                </c:pt>
                <c:pt idx="70">
                  <c:v>7.6865360566902741E-2</c:v>
                </c:pt>
                <c:pt idx="71">
                  <c:v>-0.10791979561817744</c:v>
                </c:pt>
                <c:pt idx="72">
                  <c:v>2.8117677688102027E-2</c:v>
                </c:pt>
                <c:pt idx="73">
                  <c:v>-9.7915083987507368E-2</c:v>
                </c:pt>
                <c:pt idx="74">
                  <c:v>-8.0190886123327476E-2</c:v>
                </c:pt>
                <c:pt idx="75">
                  <c:v>-5.3407934893184184E-2</c:v>
                </c:pt>
                <c:pt idx="76">
                  <c:v>-0.10413756045137024</c:v>
                </c:pt>
                <c:pt idx="77">
                  <c:v>1.7994241842611558E-3</c:v>
                </c:pt>
                <c:pt idx="78">
                  <c:v>-4.5503532511077527E-3</c:v>
                </c:pt>
                <c:pt idx="79">
                  <c:v>-6.2432334897149055E-2</c:v>
                </c:pt>
                <c:pt idx="80">
                  <c:v>-0.17410828842699499</c:v>
                </c:pt>
                <c:pt idx="81">
                  <c:v>0.12894205375174761</c:v>
                </c:pt>
                <c:pt idx="82">
                  <c:v>-2.0228429888537236E-2</c:v>
                </c:pt>
                <c:pt idx="83">
                  <c:v>9.4241573033707837E-2</c:v>
                </c:pt>
                <c:pt idx="84">
                  <c:v>0.16827108201771268</c:v>
                </c:pt>
                <c:pt idx="85">
                  <c:v>-4.9439683586025018E-2</c:v>
                </c:pt>
                <c:pt idx="86">
                  <c:v>0.11442441054091557</c:v>
                </c:pt>
                <c:pt idx="87">
                  <c:v>-5.4138145612943389E-2</c:v>
                </c:pt>
                <c:pt idx="88">
                  <c:v>-5.0000000000000044E-2</c:v>
                </c:pt>
                <c:pt idx="89">
                  <c:v>0.12246075715604809</c:v>
                </c:pt>
                <c:pt idx="90">
                  <c:v>-5.0385604113110549E-2</c:v>
                </c:pt>
                <c:pt idx="91">
                  <c:v>-6.6053059014618221E-2</c:v>
                </c:pt>
                <c:pt idx="92">
                  <c:v>0.15234782608695663</c:v>
                </c:pt>
                <c:pt idx="93">
                  <c:v>3.1492101821108731E-2</c:v>
                </c:pt>
                <c:pt idx="94">
                  <c:v>5.9012875536480713E-2</c:v>
                </c:pt>
                <c:pt idx="95">
                  <c:v>2.9566178502348883E-2</c:v>
                </c:pt>
                <c:pt idx="96">
                  <c:v>2.2365360529611689E-2</c:v>
                </c:pt>
                <c:pt idx="97">
                  <c:v>2.878893944697225E-2</c:v>
                </c:pt>
                <c:pt idx="98">
                  <c:v>0.18380539253210859</c:v>
                </c:pt>
                <c:pt idx="99">
                  <c:v>-1.35076878861905E-2</c:v>
                </c:pt>
                <c:pt idx="100">
                  <c:v>-2.949745083758204E-2</c:v>
                </c:pt>
                <c:pt idx="101">
                  <c:v>2.4765478424014997E-2</c:v>
                </c:pt>
                <c:pt idx="102">
                  <c:v>4.6136946173562565E-2</c:v>
                </c:pt>
                <c:pt idx="103">
                  <c:v>-2.4221211060553083E-2</c:v>
                </c:pt>
                <c:pt idx="104">
                  <c:v>7.3319463376139149E-2</c:v>
                </c:pt>
                <c:pt idx="105">
                  <c:v>-4.752356125927415E-2</c:v>
                </c:pt>
                <c:pt idx="106">
                  <c:v>2.1052631578947434E-2</c:v>
                </c:pt>
                <c:pt idx="107">
                  <c:v>5.9106529209622005E-2</c:v>
                </c:pt>
                <c:pt idx="108">
                  <c:v>-7.138221933809219E-2</c:v>
                </c:pt>
                <c:pt idx="109">
                  <c:v>7.4912648497554191E-2</c:v>
                </c:pt>
                <c:pt idx="110">
                  <c:v>2.5159277077103193E-2</c:v>
                </c:pt>
                <c:pt idx="111">
                  <c:v>-0.14610945526032082</c:v>
                </c:pt>
                <c:pt idx="112">
                  <c:v>-2.4359450427033025E-2</c:v>
                </c:pt>
                <c:pt idx="113">
                  <c:v>-0.10611250666057692</c:v>
                </c:pt>
                <c:pt idx="114">
                  <c:v>0.11283317721195596</c:v>
                </c:pt>
                <c:pt idx="115">
                  <c:v>-1.5993265993266004E-2</c:v>
                </c:pt>
                <c:pt idx="116">
                  <c:v>-2.9784586670814184E-2</c:v>
                </c:pt>
                <c:pt idx="117">
                  <c:v>5.0977877524847726E-2</c:v>
                </c:pt>
                <c:pt idx="118">
                  <c:v>5.4911531421597548E-3</c:v>
                </c:pt>
                <c:pt idx="119">
                  <c:v>1.3349514563106624E-2</c:v>
                </c:pt>
                <c:pt idx="120">
                  <c:v>-8.0164670658682602E-2</c:v>
                </c:pt>
                <c:pt idx="121">
                  <c:v>5.6473268776955132E-2</c:v>
                </c:pt>
                <c:pt idx="122">
                  <c:v>5.0142494030655405E-2</c:v>
                </c:pt>
                <c:pt idx="123">
                  <c:v>3.9606865189966367E-2</c:v>
                </c:pt>
                <c:pt idx="124">
                  <c:v>-2.998447862283049E-2</c:v>
                </c:pt>
                <c:pt idx="125">
                  <c:v>2.9820350570950671E-2</c:v>
                </c:pt>
                <c:pt idx="126">
                  <c:v>-6.2151281870188702E-2</c:v>
                </c:pt>
                <c:pt idx="127">
                  <c:v>5.3467881617592639E-3</c:v>
                </c:pt>
                <c:pt idx="128">
                  <c:v>-4.5692883895132042E-3</c:v>
                </c:pt>
                <c:pt idx="129">
                  <c:v>5.1170140717886614E-3</c:v>
                </c:pt>
                <c:pt idx="130">
                  <c:v>-1.7593771056374941E-2</c:v>
                </c:pt>
                <c:pt idx="131">
                  <c:v>-7.963725041914349E-2</c:v>
                </c:pt>
                <c:pt idx="132">
                  <c:v>4.8935994038254549E-2</c:v>
                </c:pt>
                <c:pt idx="133">
                  <c:v>0.16316703504894203</c:v>
                </c:pt>
                <c:pt idx="134">
                  <c:v>0.11455717678995581</c:v>
                </c:pt>
                <c:pt idx="135">
                  <c:v>7.7208792547037719E-2</c:v>
                </c:pt>
                <c:pt idx="136">
                  <c:v>-2.3797411112995381E-2</c:v>
                </c:pt>
                <c:pt idx="137">
                  <c:v>-0.17909669947886497</c:v>
                </c:pt>
                <c:pt idx="138">
                  <c:v>1.4107356986667874E-3</c:v>
                </c:pt>
                <c:pt idx="139">
                  <c:v>8.494752412481521E-2</c:v>
                </c:pt>
                <c:pt idx="140">
                  <c:v>3.5317795234694582E-2</c:v>
                </c:pt>
                <c:pt idx="141">
                  <c:v>-3.2608014046529021E-2</c:v>
                </c:pt>
                <c:pt idx="142">
                  <c:v>5.8144811045569345E-2</c:v>
                </c:pt>
                <c:pt idx="143">
                  <c:v>3.9389855427591103E-2</c:v>
                </c:pt>
                <c:pt idx="144">
                  <c:v>-7.1138091589556196E-2</c:v>
                </c:pt>
                <c:pt idx="145">
                  <c:v>1.5164974619289451E-2</c:v>
                </c:pt>
                <c:pt idx="146">
                  <c:v>0.16857303581473837</c:v>
                </c:pt>
                <c:pt idx="147">
                  <c:v>-9.8149336756525374E-2</c:v>
                </c:pt>
                <c:pt idx="148">
                  <c:v>3.1907953264930899E-2</c:v>
                </c:pt>
                <c:pt idx="149">
                  <c:v>3.6553824932467283E-2</c:v>
                </c:pt>
                <c:pt idx="150">
                  <c:v>4.6132520099805951E-2</c:v>
                </c:pt>
                <c:pt idx="151">
                  <c:v>5.3797636084168099E-2</c:v>
                </c:pt>
                <c:pt idx="152">
                  <c:v>-5.1151795594004512E-2</c:v>
                </c:pt>
                <c:pt idx="153">
                  <c:v>3.5674529552080614E-2</c:v>
                </c:pt>
                <c:pt idx="154">
                  <c:v>-8.1891698229091814E-3</c:v>
                </c:pt>
                <c:pt idx="155">
                  <c:v>2.9982454329652297E-2</c:v>
                </c:pt>
                <c:pt idx="156">
                  <c:v>-1.0020542111328634E-3</c:v>
                </c:pt>
                <c:pt idx="157">
                  <c:v>3.5909524048347574E-2</c:v>
                </c:pt>
                <c:pt idx="158">
                  <c:v>3.8731541999514896E-3</c:v>
                </c:pt>
                <c:pt idx="159">
                  <c:v>0</c:v>
                </c:pt>
              </c:numCache>
            </c:numRef>
          </c:val>
          <c:extLst>
            <c:ext xmlns:c16="http://schemas.microsoft.com/office/drawing/2014/chart" uri="{C3380CC4-5D6E-409C-BE32-E72D297353CC}">
              <c16:uniqueId val="{00000000-528E-4DF8-B8C0-3958A40F36F5}"/>
            </c:ext>
          </c:extLst>
        </c:ser>
        <c:dLbls>
          <c:showLegendKey val="0"/>
          <c:showVal val="0"/>
          <c:showCatName val="0"/>
          <c:showSerName val="0"/>
          <c:showPercent val="0"/>
          <c:showBubbleSize val="0"/>
        </c:dLbls>
        <c:gapWidth val="150"/>
        <c:axId val="80129010"/>
        <c:axId val="56797587"/>
      </c:barChart>
      <c:lineChart>
        <c:grouping val="standard"/>
        <c:varyColors val="0"/>
        <c:ser>
          <c:idx val="1"/>
          <c:order val="1"/>
          <c:tx>
            <c:strRef>
              <c:f>'Returns (Calc)'!$X$2</c:f>
              <c:strCache>
                <c:ptCount val="1"/>
                <c:pt idx="0">
                  <c:v>ANET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(Calc)'!$X$3:$X$500</c:f>
              <c:numCache>
                <c:formatCode>#,##0.00</c:formatCode>
                <c:ptCount val="498"/>
                <c:pt idx="0">
                  <c:v>46.18</c:v>
                </c:pt>
                <c:pt idx="1">
                  <c:v>47.200063291139237</c:v>
                </c:pt>
                <c:pt idx="2">
                  <c:v>48.220126582278482</c:v>
                </c:pt>
                <c:pt idx="3">
                  <c:v>49.240189873417719</c:v>
                </c:pt>
                <c:pt idx="4">
                  <c:v>50.260253164556964</c:v>
                </c:pt>
                <c:pt idx="5">
                  <c:v>51.280316455696202</c:v>
                </c:pt>
                <c:pt idx="6">
                  <c:v>52.300379746835446</c:v>
                </c:pt>
                <c:pt idx="7">
                  <c:v>53.320443037974684</c:v>
                </c:pt>
                <c:pt idx="8">
                  <c:v>54.340506329113921</c:v>
                </c:pt>
                <c:pt idx="9">
                  <c:v>55.360569620253166</c:v>
                </c:pt>
                <c:pt idx="10">
                  <c:v>56.380632911392404</c:v>
                </c:pt>
                <c:pt idx="11">
                  <c:v>57.400696202531648</c:v>
                </c:pt>
                <c:pt idx="12">
                  <c:v>58.420759493670886</c:v>
                </c:pt>
                <c:pt idx="13">
                  <c:v>59.440822784810123</c:v>
                </c:pt>
                <c:pt idx="14">
                  <c:v>60.460886075949361</c:v>
                </c:pt>
                <c:pt idx="15">
                  <c:v>61.480949367088606</c:v>
                </c:pt>
                <c:pt idx="16">
                  <c:v>62.50101265822785</c:v>
                </c:pt>
                <c:pt idx="17">
                  <c:v>63.521075949367088</c:v>
                </c:pt>
                <c:pt idx="18">
                  <c:v>64.541139240506325</c:v>
                </c:pt>
                <c:pt idx="19">
                  <c:v>65.561202531645563</c:v>
                </c:pt>
                <c:pt idx="20">
                  <c:v>66.581265822784815</c:v>
                </c:pt>
                <c:pt idx="21">
                  <c:v>67.601329113924052</c:v>
                </c:pt>
                <c:pt idx="22">
                  <c:v>68.62139240506329</c:v>
                </c:pt>
                <c:pt idx="23">
                  <c:v>69.641455696202527</c:v>
                </c:pt>
                <c:pt idx="24">
                  <c:v>70.661518987341765</c:v>
                </c:pt>
                <c:pt idx="25">
                  <c:v>71.681582278481017</c:v>
                </c:pt>
                <c:pt idx="26">
                  <c:v>72.701645569620254</c:v>
                </c:pt>
                <c:pt idx="27">
                  <c:v>73.721708860759492</c:v>
                </c:pt>
                <c:pt idx="28">
                  <c:v>74.741772151898729</c:v>
                </c:pt>
                <c:pt idx="29">
                  <c:v>75.761835443037967</c:v>
                </c:pt>
                <c:pt idx="30">
                  <c:v>76.781898734177219</c:v>
                </c:pt>
                <c:pt idx="31">
                  <c:v>77.801962025316456</c:v>
                </c:pt>
                <c:pt idx="32">
                  <c:v>78.822025316455694</c:v>
                </c:pt>
                <c:pt idx="33">
                  <c:v>79.842088607594931</c:v>
                </c:pt>
                <c:pt idx="34">
                  <c:v>80.862151898734169</c:v>
                </c:pt>
                <c:pt idx="35">
                  <c:v>81.882215189873421</c:v>
                </c:pt>
                <c:pt idx="36">
                  <c:v>82.902278481012658</c:v>
                </c:pt>
                <c:pt idx="37">
                  <c:v>83.922341772151896</c:v>
                </c:pt>
                <c:pt idx="38">
                  <c:v>84.942405063291133</c:v>
                </c:pt>
                <c:pt idx="39">
                  <c:v>85.962468354430371</c:v>
                </c:pt>
                <c:pt idx="40">
                  <c:v>86.982531645569622</c:v>
                </c:pt>
                <c:pt idx="41">
                  <c:v>88.002594936708846</c:v>
                </c:pt>
                <c:pt idx="42">
                  <c:v>89.022658227848098</c:v>
                </c:pt>
                <c:pt idx="43">
                  <c:v>90.042721518987335</c:v>
                </c:pt>
                <c:pt idx="44">
                  <c:v>91.062784810126573</c:v>
                </c:pt>
                <c:pt idx="45">
                  <c:v>92.082848101265824</c:v>
                </c:pt>
                <c:pt idx="46">
                  <c:v>93.102911392405062</c:v>
                </c:pt>
                <c:pt idx="47">
                  <c:v>94.1229746835443</c:v>
                </c:pt>
                <c:pt idx="48">
                  <c:v>95.143037974683551</c:v>
                </c:pt>
                <c:pt idx="49">
                  <c:v>96.163101265822775</c:v>
                </c:pt>
                <c:pt idx="50">
                  <c:v>97.183164556962026</c:v>
                </c:pt>
                <c:pt idx="51">
                  <c:v>98.203227848101264</c:v>
                </c:pt>
                <c:pt idx="52">
                  <c:v>99.223291139240501</c:v>
                </c:pt>
                <c:pt idx="53">
                  <c:v>100.24335443037975</c:v>
                </c:pt>
                <c:pt idx="54">
                  <c:v>101.26341772151898</c:v>
                </c:pt>
                <c:pt idx="55">
                  <c:v>102.28348101265823</c:v>
                </c:pt>
                <c:pt idx="56">
                  <c:v>103.30354430379745</c:v>
                </c:pt>
                <c:pt idx="57">
                  <c:v>104.3236075949367</c:v>
                </c:pt>
                <c:pt idx="58">
                  <c:v>105.34367088607594</c:v>
                </c:pt>
                <c:pt idx="59">
                  <c:v>106.36373417721518</c:v>
                </c:pt>
                <c:pt idx="60">
                  <c:v>107.38379746835443</c:v>
                </c:pt>
                <c:pt idx="61">
                  <c:v>108.40386075949365</c:v>
                </c:pt>
                <c:pt idx="62">
                  <c:v>109.42392405063291</c:v>
                </c:pt>
                <c:pt idx="63">
                  <c:v>110.44398734177216</c:v>
                </c:pt>
                <c:pt idx="64">
                  <c:v>111.46405063291138</c:v>
                </c:pt>
                <c:pt idx="65">
                  <c:v>112.48411392405063</c:v>
                </c:pt>
                <c:pt idx="66">
                  <c:v>113.50417721518986</c:v>
                </c:pt>
                <c:pt idx="67">
                  <c:v>114.52424050632911</c:v>
                </c:pt>
                <c:pt idx="68">
                  <c:v>115.54430379746836</c:v>
                </c:pt>
                <c:pt idx="69">
                  <c:v>116.56436708860758</c:v>
                </c:pt>
                <c:pt idx="70">
                  <c:v>117.58443037974683</c:v>
                </c:pt>
                <c:pt idx="71">
                  <c:v>118.60449367088609</c:v>
                </c:pt>
                <c:pt idx="72">
                  <c:v>119.62455696202531</c:v>
                </c:pt>
                <c:pt idx="73">
                  <c:v>120.64462025316456</c:v>
                </c:pt>
                <c:pt idx="74">
                  <c:v>121.66468354430378</c:v>
                </c:pt>
                <c:pt idx="75">
                  <c:v>122.68474683544304</c:v>
                </c:pt>
                <c:pt idx="76">
                  <c:v>123.70481012658226</c:v>
                </c:pt>
                <c:pt idx="77">
                  <c:v>124.72487341772151</c:v>
                </c:pt>
                <c:pt idx="78">
                  <c:v>125.74493670886076</c:v>
                </c:pt>
                <c:pt idx="79">
                  <c:v>126.76499999999999</c:v>
                </c:pt>
                <c:pt idx="80">
                  <c:v>127.78506329113924</c:v>
                </c:pt>
                <c:pt idx="81">
                  <c:v>128.80512658227846</c:v>
                </c:pt>
                <c:pt idx="82">
                  <c:v>129.82518987341771</c:v>
                </c:pt>
                <c:pt idx="83">
                  <c:v>130.84525316455696</c:v>
                </c:pt>
                <c:pt idx="84">
                  <c:v>131.86531645569619</c:v>
                </c:pt>
                <c:pt idx="85">
                  <c:v>132.88537974683544</c:v>
                </c:pt>
                <c:pt idx="86">
                  <c:v>133.90544303797466</c:v>
                </c:pt>
                <c:pt idx="87">
                  <c:v>134.92550632911392</c:v>
                </c:pt>
                <c:pt idx="88">
                  <c:v>135.94556962025317</c:v>
                </c:pt>
                <c:pt idx="89">
                  <c:v>136.96563291139239</c:v>
                </c:pt>
                <c:pt idx="90">
                  <c:v>137.98569620253164</c:v>
                </c:pt>
                <c:pt idx="91">
                  <c:v>139.00575949367089</c:v>
                </c:pt>
                <c:pt idx="92">
                  <c:v>140.02582278481012</c:v>
                </c:pt>
                <c:pt idx="93">
                  <c:v>141.04588607594937</c:v>
                </c:pt>
                <c:pt idx="94">
                  <c:v>142.06594936708859</c:v>
                </c:pt>
                <c:pt idx="95">
                  <c:v>143.08601265822784</c:v>
                </c:pt>
                <c:pt idx="96">
                  <c:v>144.1060759493671</c:v>
                </c:pt>
                <c:pt idx="97">
                  <c:v>145.12613924050632</c:v>
                </c:pt>
                <c:pt idx="98">
                  <c:v>146.14620253164557</c:v>
                </c:pt>
                <c:pt idx="99">
                  <c:v>147.16626582278479</c:v>
                </c:pt>
                <c:pt idx="100">
                  <c:v>148.18632911392405</c:v>
                </c:pt>
                <c:pt idx="101">
                  <c:v>149.20639240506327</c:v>
                </c:pt>
                <c:pt idx="102">
                  <c:v>150.22645569620252</c:v>
                </c:pt>
                <c:pt idx="103">
                  <c:v>151.24651898734177</c:v>
                </c:pt>
                <c:pt idx="104">
                  <c:v>152.26658227848102</c:v>
                </c:pt>
                <c:pt idx="105">
                  <c:v>153.28664556962025</c:v>
                </c:pt>
                <c:pt idx="106">
                  <c:v>154.3067088607595</c:v>
                </c:pt>
                <c:pt idx="107">
                  <c:v>155.32677215189872</c:v>
                </c:pt>
                <c:pt idx="108">
                  <c:v>156.34683544303795</c:v>
                </c:pt>
                <c:pt idx="109">
                  <c:v>157.3668987341772</c:v>
                </c:pt>
                <c:pt idx="110">
                  <c:v>158.38696202531645</c:v>
                </c:pt>
                <c:pt idx="111">
                  <c:v>159.4070253164557</c:v>
                </c:pt>
                <c:pt idx="112">
                  <c:v>160.42708860759492</c:v>
                </c:pt>
                <c:pt idx="113">
                  <c:v>161.44715189873418</c:v>
                </c:pt>
                <c:pt idx="114">
                  <c:v>162.4672151898734</c:v>
                </c:pt>
                <c:pt idx="115">
                  <c:v>163.48727848101265</c:v>
                </c:pt>
                <c:pt idx="116">
                  <c:v>164.50734177215188</c:v>
                </c:pt>
                <c:pt idx="117">
                  <c:v>165.52740506329113</c:v>
                </c:pt>
                <c:pt idx="118">
                  <c:v>166.54746835443038</c:v>
                </c:pt>
                <c:pt idx="119">
                  <c:v>167.56753164556963</c:v>
                </c:pt>
                <c:pt idx="120">
                  <c:v>168.58759493670885</c:v>
                </c:pt>
                <c:pt idx="121">
                  <c:v>169.60765822784811</c:v>
                </c:pt>
                <c:pt idx="122">
                  <c:v>170.62772151898733</c:v>
                </c:pt>
                <c:pt idx="123">
                  <c:v>171.64778481012658</c:v>
                </c:pt>
                <c:pt idx="124">
                  <c:v>172.6678481012658</c:v>
                </c:pt>
                <c:pt idx="125">
                  <c:v>173.68791139240506</c:v>
                </c:pt>
                <c:pt idx="126">
                  <c:v>174.70797468354431</c:v>
                </c:pt>
                <c:pt idx="127">
                  <c:v>175.72803797468356</c:v>
                </c:pt>
                <c:pt idx="128">
                  <c:v>176.74810126582278</c:v>
                </c:pt>
                <c:pt idx="129">
                  <c:v>177.76816455696201</c:v>
                </c:pt>
                <c:pt idx="130">
                  <c:v>178.78822784810126</c:v>
                </c:pt>
                <c:pt idx="131">
                  <c:v>179.80829113924048</c:v>
                </c:pt>
                <c:pt idx="132">
                  <c:v>180.82835443037973</c:v>
                </c:pt>
                <c:pt idx="133">
                  <c:v>181.84841772151898</c:v>
                </c:pt>
                <c:pt idx="134">
                  <c:v>182.86848101265824</c:v>
                </c:pt>
                <c:pt idx="135">
                  <c:v>183.88854430379746</c:v>
                </c:pt>
                <c:pt idx="136">
                  <c:v>184.90860759493671</c:v>
                </c:pt>
                <c:pt idx="137">
                  <c:v>185.92867088607593</c:v>
                </c:pt>
                <c:pt idx="138">
                  <c:v>186.94873417721519</c:v>
                </c:pt>
                <c:pt idx="139">
                  <c:v>187.96879746835441</c:v>
                </c:pt>
                <c:pt idx="140">
                  <c:v>188.98886075949366</c:v>
                </c:pt>
                <c:pt idx="141">
                  <c:v>190.00892405063291</c:v>
                </c:pt>
                <c:pt idx="142">
                  <c:v>191.02898734177217</c:v>
                </c:pt>
                <c:pt idx="143">
                  <c:v>192.04905063291139</c:v>
                </c:pt>
                <c:pt idx="144">
                  <c:v>193.06911392405064</c:v>
                </c:pt>
                <c:pt idx="145">
                  <c:v>194.08917721518986</c:v>
                </c:pt>
                <c:pt idx="146">
                  <c:v>195.10924050632912</c:v>
                </c:pt>
                <c:pt idx="147">
                  <c:v>196.12930379746834</c:v>
                </c:pt>
                <c:pt idx="148">
                  <c:v>197.14936708860759</c:v>
                </c:pt>
                <c:pt idx="149">
                  <c:v>198.16943037974684</c:v>
                </c:pt>
                <c:pt idx="150">
                  <c:v>199.18949367088607</c:v>
                </c:pt>
                <c:pt idx="151">
                  <c:v>200.20955696202532</c:v>
                </c:pt>
                <c:pt idx="152">
                  <c:v>201.22962025316454</c:v>
                </c:pt>
                <c:pt idx="153">
                  <c:v>202.24968354430379</c:v>
                </c:pt>
                <c:pt idx="154">
                  <c:v>203.26974683544302</c:v>
                </c:pt>
                <c:pt idx="155">
                  <c:v>204.28981012658227</c:v>
                </c:pt>
                <c:pt idx="156">
                  <c:v>205.30987341772152</c:v>
                </c:pt>
                <c:pt idx="157">
                  <c:v>206.32993670886077</c:v>
                </c:pt>
                <c:pt idx="158">
                  <c:v>207.35</c:v>
                </c:pt>
                <c:pt idx="159">
                  <c:v>208.37006329113925</c:v>
                </c:pt>
              </c:numCache>
            </c:numRef>
          </c:val>
          <c:smooth val="0"/>
          <c:extLst>
            <c:ext xmlns:c16="http://schemas.microsoft.com/office/drawing/2014/chart" uri="{C3380CC4-5D6E-409C-BE32-E72D297353CC}">
              <c16:uniqueId val="{00000001-528E-4DF8-B8C0-3958A40F36F5}"/>
            </c:ext>
          </c:extLst>
        </c:ser>
        <c:dLbls>
          <c:showLegendKey val="0"/>
          <c:showVal val="0"/>
          <c:showCatName val="0"/>
          <c:showSerName val="0"/>
          <c:showPercent val="0"/>
          <c:showBubbleSize val="0"/>
        </c:dLbls>
        <c:hiLowLines>
          <c:spPr>
            <a:ln w="0">
              <a:noFill/>
            </a:ln>
          </c:spPr>
        </c:hiLowLines>
        <c:marker val="1"/>
        <c:smooth val="0"/>
        <c:axId val="46788844"/>
        <c:axId val="82822258"/>
      </c:lineChart>
      <c:dateAx>
        <c:axId val="80129010"/>
        <c:scaling>
          <c:orientation val="minMax"/>
        </c:scaling>
        <c:delete val="1"/>
        <c:axPos val="b"/>
        <c:numFmt formatCode="mm/dd/yyyy" sourceLinked="1"/>
        <c:majorTickMark val="none"/>
        <c:minorTickMark val="none"/>
        <c:tickLblPos val="nextTo"/>
        <c:crossAx val="56797587"/>
        <c:crosses val="autoZero"/>
        <c:auto val="1"/>
        <c:lblOffset val="100"/>
        <c:baseTimeUnit val="days"/>
      </c:dateAx>
      <c:valAx>
        <c:axId val="5679758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0129010"/>
        <c:crosses val="autoZero"/>
        <c:crossBetween val="between"/>
      </c:valAx>
      <c:dateAx>
        <c:axId val="46788844"/>
        <c:scaling>
          <c:orientation val="minMax"/>
        </c:scaling>
        <c:delete val="1"/>
        <c:axPos val="b"/>
        <c:numFmt formatCode="mm/dd/yyyy" sourceLinked="1"/>
        <c:majorTickMark val="none"/>
        <c:minorTickMark val="none"/>
        <c:tickLblPos val="nextTo"/>
        <c:crossAx val="82822258"/>
        <c:crosses val="autoZero"/>
        <c:auto val="1"/>
        <c:lblOffset val="100"/>
        <c:baseTimeUnit val="days"/>
      </c:dateAx>
      <c:valAx>
        <c:axId val="82822258"/>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6788844"/>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ASML</a:t>
            </a:r>
          </a:p>
        </c:rich>
      </c:tx>
      <c:overlay val="0"/>
      <c:spPr>
        <a:noFill/>
        <a:ln w="0">
          <a:noFill/>
        </a:ln>
      </c:spPr>
    </c:title>
    <c:autoTitleDeleted val="0"/>
    <c:plotArea>
      <c:layout/>
      <c:barChart>
        <c:barDir val="col"/>
        <c:grouping val="clustered"/>
        <c:varyColors val="0"/>
        <c:ser>
          <c:idx val="0"/>
          <c:order val="0"/>
          <c:tx>
            <c:strRef>
              <c:f>'Returns (Calc)'!$D$2</c:f>
              <c:strCache>
                <c:ptCount val="1"/>
                <c:pt idx="0">
                  <c:v>ASML</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(Calc)'!$D$3:$D$500</c:f>
              <c:numCache>
                <c:formatCode>0.0%</c:formatCode>
                <c:ptCount val="498"/>
                <c:pt idx="0">
                  <c:v>-1.6013470558924991E-2</c:v>
                </c:pt>
                <c:pt idx="1">
                  <c:v>2.6541409837783636E-3</c:v>
                </c:pt>
                <c:pt idx="2">
                  <c:v>1.4768116194423753E-2</c:v>
                </c:pt>
                <c:pt idx="3">
                  <c:v>4.0158574885442722E-3</c:v>
                </c:pt>
                <c:pt idx="4">
                  <c:v>-3.2767550382031607E-2</c:v>
                </c:pt>
                <c:pt idx="5">
                  <c:v>1.7071360407167724E-2</c:v>
                </c:pt>
                <c:pt idx="6">
                  <c:v>9.1604114539894477E-2</c:v>
                </c:pt>
                <c:pt idx="7">
                  <c:v>2.9383675028651579E-2</c:v>
                </c:pt>
                <c:pt idx="8">
                  <c:v>3.7513530230400383E-2</c:v>
                </c:pt>
                <c:pt idx="9">
                  <c:v>7.4222010253963688E-3</c:v>
                </c:pt>
                <c:pt idx="10">
                  <c:v>1.4794212504067872E-3</c:v>
                </c:pt>
                <c:pt idx="11">
                  <c:v>6.1009838390404525E-3</c:v>
                </c:pt>
                <c:pt idx="12">
                  <c:v>8.1181082708091656E-2</c:v>
                </c:pt>
                <c:pt idx="13">
                  <c:v>-5.7037318702801709E-4</c:v>
                </c:pt>
                <c:pt idx="14">
                  <c:v>5.8292795608336778E-3</c:v>
                </c:pt>
                <c:pt idx="15">
                  <c:v>-7.0788808883725296E-2</c:v>
                </c:pt>
                <c:pt idx="16">
                  <c:v>1.4044167890321591E-2</c:v>
                </c:pt>
                <c:pt idx="17">
                  <c:v>6.2552868141478646E-2</c:v>
                </c:pt>
                <c:pt idx="18">
                  <c:v>0.14503724093264259</c:v>
                </c:pt>
                <c:pt idx="19">
                  <c:v>2.6407890550429469E-2</c:v>
                </c:pt>
                <c:pt idx="20">
                  <c:v>6.8046657941264188E-2</c:v>
                </c:pt>
                <c:pt idx="21">
                  <c:v>-2.1756656526459528E-2</c:v>
                </c:pt>
                <c:pt idx="22">
                  <c:v>4.6371078512170705E-3</c:v>
                </c:pt>
                <c:pt idx="23">
                  <c:v>6.1808874840036276E-2</c:v>
                </c:pt>
                <c:pt idx="24">
                  <c:v>3.4302313603493673E-3</c:v>
                </c:pt>
                <c:pt idx="25">
                  <c:v>-5.4429171243494001E-2</c:v>
                </c:pt>
                <c:pt idx="26">
                  <c:v>4.2275999088037031E-2</c:v>
                </c:pt>
                <c:pt idx="27">
                  <c:v>-9.6871972750851576E-3</c:v>
                </c:pt>
                <c:pt idx="28">
                  <c:v>9.36122768819736E-3</c:v>
                </c:pt>
                <c:pt idx="29">
                  <c:v>-1.8079884955660042E-2</c:v>
                </c:pt>
                <c:pt idx="30">
                  <c:v>-0.10635904402088558</c:v>
                </c:pt>
                <c:pt idx="31">
                  <c:v>7.1360710638196823E-2</c:v>
                </c:pt>
                <c:pt idx="32">
                  <c:v>-1.8866042232444702E-2</c:v>
                </c:pt>
                <c:pt idx="33">
                  <c:v>3.1780642391513014E-2</c:v>
                </c:pt>
                <c:pt idx="34">
                  <c:v>-5.715787398988259E-3</c:v>
                </c:pt>
                <c:pt idx="35">
                  <c:v>3.3787057838861712E-2</c:v>
                </c:pt>
                <c:pt idx="36">
                  <c:v>4.314385546275723E-3</c:v>
                </c:pt>
                <c:pt idx="37">
                  <c:v>7.0886854694146129E-2</c:v>
                </c:pt>
                <c:pt idx="38">
                  <c:v>-5.0515055467514891E-4</c:v>
                </c:pt>
                <c:pt idx="39">
                  <c:v>8.463070687451113E-3</c:v>
                </c:pt>
                <c:pt idx="40">
                  <c:v>-1.3384039385631374E-2</c:v>
                </c:pt>
                <c:pt idx="41">
                  <c:v>5.0597105606517756E-2</c:v>
                </c:pt>
                <c:pt idx="42">
                  <c:v>1.0039722793678596E-2</c:v>
                </c:pt>
                <c:pt idx="43">
                  <c:v>-0.17497653463487894</c:v>
                </c:pt>
                <c:pt idx="44">
                  <c:v>-7.7931238480967169E-3</c:v>
                </c:pt>
                <c:pt idx="45">
                  <c:v>-8.7280565970669466E-2</c:v>
                </c:pt>
                <c:pt idx="46">
                  <c:v>6.3252974208866775E-2</c:v>
                </c:pt>
                <c:pt idx="47">
                  <c:v>6.75362729807647E-2</c:v>
                </c:pt>
                <c:pt idx="48">
                  <c:v>-1.241809810518868E-2</c:v>
                </c:pt>
                <c:pt idx="49">
                  <c:v>-3.7319287235233478E-3</c:v>
                </c:pt>
                <c:pt idx="50">
                  <c:v>-0.16714849769958495</c:v>
                </c:pt>
                <c:pt idx="51">
                  <c:v>8.4443123801291264E-2</c:v>
                </c:pt>
                <c:pt idx="52">
                  <c:v>-2.5818906464067815E-2</c:v>
                </c:pt>
                <c:pt idx="53">
                  <c:v>5.8171497244844383E-2</c:v>
                </c:pt>
                <c:pt idx="54">
                  <c:v>-1.0148972416542779E-2</c:v>
                </c:pt>
                <c:pt idx="55">
                  <c:v>9.2277271229266322E-3</c:v>
                </c:pt>
                <c:pt idx="56">
                  <c:v>-0.13967804748255386</c:v>
                </c:pt>
                <c:pt idx="57">
                  <c:v>-1.5983917676497872E-2</c:v>
                </c:pt>
                <c:pt idx="58">
                  <c:v>-4.9744989070960255E-2</c:v>
                </c:pt>
                <c:pt idx="59">
                  <c:v>-7.8027512591144488E-3</c:v>
                </c:pt>
                <c:pt idx="60">
                  <c:v>-1.6182798957512623E-2</c:v>
                </c:pt>
                <c:pt idx="61">
                  <c:v>2.1623952686052439E-2</c:v>
                </c:pt>
                <c:pt idx="62">
                  <c:v>2.0412470602424015E-2</c:v>
                </c:pt>
                <c:pt idx="63">
                  <c:v>3.2576899211062882E-2</c:v>
                </c:pt>
                <c:pt idx="64">
                  <c:v>1.354967020074116E-2</c:v>
                </c:pt>
                <c:pt idx="65">
                  <c:v>-1.7956464044721843E-2</c:v>
                </c:pt>
                <c:pt idx="66">
                  <c:v>1.12123738607941E-2</c:v>
                </c:pt>
                <c:pt idx="67">
                  <c:v>1.0803741506268949E-3</c:v>
                </c:pt>
                <c:pt idx="68">
                  <c:v>3.4506262247593122E-2</c:v>
                </c:pt>
                <c:pt idx="69">
                  <c:v>2.343106572228626E-2</c:v>
                </c:pt>
                <c:pt idx="70">
                  <c:v>-3.1840555801445847E-2</c:v>
                </c:pt>
                <c:pt idx="71">
                  <c:v>9.6418923599084216E-3</c:v>
                </c:pt>
                <c:pt idx="72">
                  <c:v>-1.5696820844938952E-2</c:v>
                </c:pt>
                <c:pt idx="73">
                  <c:v>3.4947098428983692E-2</c:v>
                </c:pt>
                <c:pt idx="74">
                  <c:v>-1.9072248262485991E-2</c:v>
                </c:pt>
                <c:pt idx="75">
                  <c:v>-3.8158400615147969E-2</c:v>
                </c:pt>
                <c:pt idx="76">
                  <c:v>3.2634298847949328E-2</c:v>
                </c:pt>
                <c:pt idx="77">
                  <c:v>-2.4884219257620743E-2</c:v>
                </c:pt>
                <c:pt idx="78">
                  <c:v>3.1048415680157149E-3</c:v>
                </c:pt>
                <c:pt idx="79">
                  <c:v>-5.8130989060689142E-2</c:v>
                </c:pt>
                <c:pt idx="80">
                  <c:v>-0.10233940066925762</c:v>
                </c:pt>
                <c:pt idx="81">
                  <c:v>0.10447836044198522</c:v>
                </c:pt>
                <c:pt idx="82">
                  <c:v>-4.2847845499538462E-2</c:v>
                </c:pt>
                <c:pt idx="83">
                  <c:v>5.7969639468690604E-2</c:v>
                </c:pt>
                <c:pt idx="84">
                  <c:v>2.2449406630197677E-2</c:v>
                </c:pt>
                <c:pt idx="85">
                  <c:v>2.2994386621447704E-2</c:v>
                </c:pt>
                <c:pt idx="86">
                  <c:v>5.9316100084308765E-2</c:v>
                </c:pt>
                <c:pt idx="87">
                  <c:v>-2.0854691631144506E-2</c:v>
                </c:pt>
                <c:pt idx="88">
                  <c:v>5.8413468161904181E-3</c:v>
                </c:pt>
                <c:pt idx="89">
                  <c:v>2.205177372962619E-2</c:v>
                </c:pt>
                <c:pt idx="90">
                  <c:v>1.060037523452162E-2</c:v>
                </c:pt>
                <c:pt idx="91">
                  <c:v>-5.8744745461538628E-3</c:v>
                </c:pt>
                <c:pt idx="92">
                  <c:v>5.2102230284921669E-2</c:v>
                </c:pt>
                <c:pt idx="93">
                  <c:v>-1.8256966807820296E-3</c:v>
                </c:pt>
                <c:pt idx="94">
                  <c:v>9.3611075828781143E-3</c:v>
                </c:pt>
                <c:pt idx="95">
                  <c:v>-8.3984547044685276E-2</c:v>
                </c:pt>
                <c:pt idx="96">
                  <c:v>-3.1761295728984895E-2</c:v>
                </c:pt>
                <c:pt idx="97">
                  <c:v>-2.766703083100408E-2</c:v>
                </c:pt>
                <c:pt idx="98">
                  <c:v>4.7102771008740607E-2</c:v>
                </c:pt>
                <c:pt idx="99">
                  <c:v>2.746693794506605E-2</c:v>
                </c:pt>
                <c:pt idx="100">
                  <c:v>1.7157195171572104E-2</c:v>
                </c:pt>
                <c:pt idx="101">
                  <c:v>-1.6254416961130835E-2</c:v>
                </c:pt>
                <c:pt idx="102">
                  <c:v>5.2618737800910864E-2</c:v>
                </c:pt>
                <c:pt idx="103">
                  <c:v>4.1154806974168734E-2</c:v>
                </c:pt>
                <c:pt idx="104">
                  <c:v>0.14533603779652204</c:v>
                </c:pt>
                <c:pt idx="105">
                  <c:v>2.0776415960261252E-2</c:v>
                </c:pt>
                <c:pt idx="106">
                  <c:v>8.482053126553768E-2</c:v>
                </c:pt>
                <c:pt idx="107">
                  <c:v>-9.304026446409952E-2</c:v>
                </c:pt>
                <c:pt idx="108">
                  <c:v>9.9423693095069154E-2</c:v>
                </c:pt>
                <c:pt idx="109">
                  <c:v>3.72605204737253E-3</c:v>
                </c:pt>
                <c:pt idx="110">
                  <c:v>2.711577060233461E-2</c:v>
                </c:pt>
                <c:pt idx="111">
                  <c:v>-3.9908174203401758E-2</c:v>
                </c:pt>
                <c:pt idx="112">
                  <c:v>-9.8112834700129214E-3</c:v>
                </c:pt>
                <c:pt idx="113">
                  <c:v>-4.013291158186727E-2</c:v>
                </c:pt>
                <c:pt idx="114">
                  <c:v>9.6657830448568127E-2</c:v>
                </c:pt>
                <c:pt idx="115">
                  <c:v>3.7234698036836544E-2</c:v>
                </c:pt>
                <c:pt idx="116">
                  <c:v>-1.6934592080130817E-2</c:v>
                </c:pt>
                <c:pt idx="117">
                  <c:v>-2.2971515692399302E-2</c:v>
                </c:pt>
                <c:pt idx="118">
                  <c:v>1.5842507397927585E-2</c:v>
                </c:pt>
                <c:pt idx="119">
                  <c:v>8.4861654895936889E-2</c:v>
                </c:pt>
                <c:pt idx="120">
                  <c:v>9.4602061784462288E-2</c:v>
                </c:pt>
                <c:pt idx="121">
                  <c:v>6.647788671625432E-2</c:v>
                </c:pt>
                <c:pt idx="122">
                  <c:v>2.2432270518538466E-2</c:v>
                </c:pt>
                <c:pt idx="123">
                  <c:v>2.4450231481481399E-2</c:v>
                </c:pt>
                <c:pt idx="124">
                  <c:v>-7.0258438073719232E-3</c:v>
                </c:pt>
                <c:pt idx="125">
                  <c:v>-3.2142222222222294E-3</c:v>
                </c:pt>
                <c:pt idx="126">
                  <c:v>4.4773244490736497E-2</c:v>
                </c:pt>
                <c:pt idx="127">
                  <c:v>-1.2946486490177489E-2</c:v>
                </c:pt>
                <c:pt idx="128">
                  <c:v>-0.10875595802231708</c:v>
                </c:pt>
                <c:pt idx="129">
                  <c:v>4.0905986090412405E-2</c:v>
                </c:pt>
                <c:pt idx="130">
                  <c:v>-2.1133167290569799E-2</c:v>
                </c:pt>
                <c:pt idx="131">
                  <c:v>-1.1221318219215681E-2</c:v>
                </c:pt>
                <c:pt idx="132">
                  <c:v>1.1333256288763138E-2</c:v>
                </c:pt>
                <c:pt idx="133">
                  <c:v>0.12226319077293435</c:v>
                </c:pt>
                <c:pt idx="134">
                  <c:v>-1.2497030173437951E-2</c:v>
                </c:pt>
                <c:pt idx="135">
                  <c:v>-1.4435569242613466E-3</c:v>
                </c:pt>
                <c:pt idx="136">
                  <c:v>-1.8903513602819721E-2</c:v>
                </c:pt>
                <c:pt idx="137">
                  <c:v>0.11562048302670536</c:v>
                </c:pt>
                <c:pt idx="138">
                  <c:v>-5.6661802812649431E-2</c:v>
                </c:pt>
                <c:pt idx="139">
                  <c:v>8.7287564922293281E-2</c:v>
                </c:pt>
                <c:pt idx="140">
                  <c:v>-1.2331446722140704E-2</c:v>
                </c:pt>
                <c:pt idx="141">
                  <c:v>1.7967566493654719E-2</c:v>
                </c:pt>
                <c:pt idx="142">
                  <c:v>0.13510447542723325</c:v>
                </c:pt>
                <c:pt idx="143">
                  <c:v>3.5489001364754857E-2</c:v>
                </c:pt>
                <c:pt idx="144">
                  <c:v>-6.9993098760371408E-2</c:v>
                </c:pt>
                <c:pt idx="145">
                  <c:v>-1.409920214249849E-2</c:v>
                </c:pt>
                <c:pt idx="146">
                  <c:v>1.5828820110580955E-2</c:v>
                </c:pt>
                <c:pt idx="147">
                  <c:v>-2.7676880222841316E-2</c:v>
                </c:pt>
                <c:pt idx="148">
                  <c:v>5.4431279077762351E-3</c:v>
                </c:pt>
                <c:pt idx="149">
                  <c:v>-7.1699661503743961E-2</c:v>
                </c:pt>
                <c:pt idx="150">
                  <c:v>6.8747697974217425E-2</c:v>
                </c:pt>
                <c:pt idx="151">
                  <c:v>5.9213436033521027E-2</c:v>
                </c:pt>
                <c:pt idx="152">
                  <c:v>-4.3555594117391849E-2</c:v>
                </c:pt>
                <c:pt idx="153">
                  <c:v>-3.8327210051254057E-2</c:v>
                </c:pt>
                <c:pt idx="154">
                  <c:v>1.1036694651447965E-2</c:v>
                </c:pt>
                <c:pt idx="155">
                  <c:v>-9.6683149841388927E-3</c:v>
                </c:pt>
                <c:pt idx="156">
                  <c:v>-1.0822587293175423E-2</c:v>
                </c:pt>
                <c:pt idx="157">
                  <c:v>3.810895756940802E-2</c:v>
                </c:pt>
                <c:pt idx="158">
                  <c:v>7.0742112687363079E-2</c:v>
                </c:pt>
                <c:pt idx="159">
                  <c:v>0</c:v>
                </c:pt>
              </c:numCache>
            </c:numRef>
          </c:val>
          <c:extLst>
            <c:ext xmlns:c16="http://schemas.microsoft.com/office/drawing/2014/chart" uri="{C3380CC4-5D6E-409C-BE32-E72D297353CC}">
              <c16:uniqueId val="{00000000-DD53-4576-87BA-018E52FAA396}"/>
            </c:ext>
          </c:extLst>
        </c:ser>
        <c:dLbls>
          <c:showLegendKey val="0"/>
          <c:showVal val="0"/>
          <c:showCatName val="0"/>
          <c:showSerName val="0"/>
          <c:showPercent val="0"/>
          <c:showBubbleSize val="0"/>
        </c:dLbls>
        <c:gapWidth val="150"/>
        <c:axId val="89578584"/>
        <c:axId val="39315100"/>
      </c:barChart>
      <c:lineChart>
        <c:grouping val="standard"/>
        <c:varyColors val="0"/>
        <c:ser>
          <c:idx val="1"/>
          <c:order val="1"/>
          <c:tx>
            <c:strRef>
              <c:f>'Returns (Calc)'!$Y$2</c:f>
              <c:strCache>
                <c:ptCount val="1"/>
                <c:pt idx="0">
                  <c:v>ASML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(Calc)'!$Y$3:$Y$500</c:f>
              <c:numCache>
                <c:formatCode>#,##0.00</c:formatCode>
                <c:ptCount val="498"/>
                <c:pt idx="0">
                  <c:v>582.01</c:v>
                </c:pt>
                <c:pt idx="1">
                  <c:v>590.14481012658223</c:v>
                </c:pt>
                <c:pt idx="2">
                  <c:v>598.27962025316458</c:v>
                </c:pt>
                <c:pt idx="3">
                  <c:v>606.41443037974682</c:v>
                </c:pt>
                <c:pt idx="4">
                  <c:v>614.54924050632906</c:v>
                </c:pt>
                <c:pt idx="5">
                  <c:v>622.68405063291141</c:v>
                </c:pt>
                <c:pt idx="6">
                  <c:v>630.81886075949365</c:v>
                </c:pt>
                <c:pt idx="7">
                  <c:v>638.953670886076</c:v>
                </c:pt>
                <c:pt idx="8">
                  <c:v>647.08848101265824</c:v>
                </c:pt>
                <c:pt idx="9">
                  <c:v>655.22329113924047</c:v>
                </c:pt>
                <c:pt idx="10">
                  <c:v>663.35810126582282</c:v>
                </c:pt>
                <c:pt idx="11">
                  <c:v>671.49291139240506</c:v>
                </c:pt>
                <c:pt idx="12">
                  <c:v>679.6277215189873</c:v>
                </c:pt>
                <c:pt idx="13">
                  <c:v>687.76253164556965</c:v>
                </c:pt>
                <c:pt idx="14">
                  <c:v>695.89734177215189</c:v>
                </c:pt>
                <c:pt idx="15">
                  <c:v>704.03215189873413</c:v>
                </c:pt>
                <c:pt idx="16">
                  <c:v>712.16696202531648</c:v>
                </c:pt>
                <c:pt idx="17">
                  <c:v>720.30177215189872</c:v>
                </c:pt>
                <c:pt idx="18">
                  <c:v>728.43658227848096</c:v>
                </c:pt>
                <c:pt idx="19">
                  <c:v>736.57139240506331</c:v>
                </c:pt>
                <c:pt idx="20">
                  <c:v>744.70620253164554</c:v>
                </c:pt>
                <c:pt idx="21">
                  <c:v>752.84101265822778</c:v>
                </c:pt>
                <c:pt idx="22">
                  <c:v>760.97582278481013</c:v>
                </c:pt>
                <c:pt idx="23">
                  <c:v>769.11063291139237</c:v>
                </c:pt>
                <c:pt idx="24">
                  <c:v>777.24544303797461</c:v>
                </c:pt>
                <c:pt idx="25">
                  <c:v>785.38025316455696</c:v>
                </c:pt>
                <c:pt idx="26">
                  <c:v>793.5150632911392</c:v>
                </c:pt>
                <c:pt idx="27">
                  <c:v>801.64987341772144</c:v>
                </c:pt>
                <c:pt idx="28">
                  <c:v>809.78468354430379</c:v>
                </c:pt>
                <c:pt idx="29">
                  <c:v>817.91949367088603</c:v>
                </c:pt>
                <c:pt idx="30">
                  <c:v>826.05430379746838</c:v>
                </c:pt>
                <c:pt idx="31">
                  <c:v>834.18911392405062</c:v>
                </c:pt>
                <c:pt idx="32">
                  <c:v>842.32392405063297</c:v>
                </c:pt>
                <c:pt idx="33">
                  <c:v>850.45873417721521</c:v>
                </c:pt>
                <c:pt idx="34">
                  <c:v>858.59354430379744</c:v>
                </c:pt>
                <c:pt idx="35">
                  <c:v>866.7283544303798</c:v>
                </c:pt>
                <c:pt idx="36">
                  <c:v>874.86316455696192</c:v>
                </c:pt>
                <c:pt idx="37">
                  <c:v>882.99797468354427</c:v>
                </c:pt>
                <c:pt idx="38">
                  <c:v>891.13278481012662</c:v>
                </c:pt>
                <c:pt idx="39">
                  <c:v>899.26759493670886</c:v>
                </c:pt>
                <c:pt idx="40">
                  <c:v>907.4024050632911</c:v>
                </c:pt>
                <c:pt idx="41">
                  <c:v>915.53721518987345</c:v>
                </c:pt>
                <c:pt idx="42">
                  <c:v>923.67202531645569</c:v>
                </c:pt>
                <c:pt idx="43">
                  <c:v>931.80683544303793</c:v>
                </c:pt>
                <c:pt idx="44">
                  <c:v>939.94164556962028</c:v>
                </c:pt>
                <c:pt idx="45">
                  <c:v>948.07645569620252</c:v>
                </c:pt>
                <c:pt idx="46">
                  <c:v>956.21126582278475</c:v>
                </c:pt>
                <c:pt idx="47">
                  <c:v>964.3460759493671</c:v>
                </c:pt>
                <c:pt idx="48">
                  <c:v>972.48088607594934</c:v>
                </c:pt>
                <c:pt idx="49">
                  <c:v>980.61569620253158</c:v>
                </c:pt>
                <c:pt idx="50">
                  <c:v>988.75050632911393</c:v>
                </c:pt>
                <c:pt idx="51">
                  <c:v>996.88531645569628</c:v>
                </c:pt>
                <c:pt idx="52">
                  <c:v>1005.0201265822784</c:v>
                </c:pt>
                <c:pt idx="53">
                  <c:v>1013.1549367088608</c:v>
                </c:pt>
                <c:pt idx="54">
                  <c:v>1021.289746835443</c:v>
                </c:pt>
                <c:pt idx="55">
                  <c:v>1029.4245569620252</c:v>
                </c:pt>
                <c:pt idx="56">
                  <c:v>1037.5593670886076</c:v>
                </c:pt>
                <c:pt idx="57">
                  <c:v>1045.6941772151899</c:v>
                </c:pt>
                <c:pt idx="58">
                  <c:v>1053.8289873417721</c:v>
                </c:pt>
                <c:pt idx="59">
                  <c:v>1061.9637974683544</c:v>
                </c:pt>
                <c:pt idx="60">
                  <c:v>1070.0986075949368</c:v>
                </c:pt>
                <c:pt idx="61">
                  <c:v>1078.2334177215189</c:v>
                </c:pt>
                <c:pt idx="62">
                  <c:v>1086.3682278481012</c:v>
                </c:pt>
                <c:pt idx="63">
                  <c:v>1094.5030379746836</c:v>
                </c:pt>
                <c:pt idx="64">
                  <c:v>1102.6378481012657</c:v>
                </c:pt>
                <c:pt idx="65">
                  <c:v>1110.7726582278481</c:v>
                </c:pt>
                <c:pt idx="66">
                  <c:v>1118.9074683544304</c:v>
                </c:pt>
                <c:pt idx="67">
                  <c:v>1127.0422784810125</c:v>
                </c:pt>
                <c:pt idx="68">
                  <c:v>1135.1770886075949</c:v>
                </c:pt>
                <c:pt idx="69">
                  <c:v>1143.3118987341772</c:v>
                </c:pt>
                <c:pt idx="70">
                  <c:v>1151.4467088607594</c:v>
                </c:pt>
                <c:pt idx="71">
                  <c:v>1159.581518987342</c:v>
                </c:pt>
                <c:pt idx="72">
                  <c:v>1167.7163291139241</c:v>
                </c:pt>
                <c:pt idx="73">
                  <c:v>1175.8511392405062</c:v>
                </c:pt>
                <c:pt idx="74">
                  <c:v>1183.9859493670886</c:v>
                </c:pt>
                <c:pt idx="75">
                  <c:v>1192.1207594936709</c:v>
                </c:pt>
                <c:pt idx="76">
                  <c:v>1200.255569620253</c:v>
                </c:pt>
                <c:pt idx="77">
                  <c:v>1208.3903797468354</c:v>
                </c:pt>
                <c:pt idx="78">
                  <c:v>1216.5251898734177</c:v>
                </c:pt>
                <c:pt idx="79">
                  <c:v>1224.6599999999999</c:v>
                </c:pt>
                <c:pt idx="80">
                  <c:v>1232.7948101265824</c:v>
                </c:pt>
                <c:pt idx="81">
                  <c:v>1240.9296202531646</c:v>
                </c:pt>
                <c:pt idx="82">
                  <c:v>1249.0644303797467</c:v>
                </c:pt>
                <c:pt idx="83">
                  <c:v>1257.199240506329</c:v>
                </c:pt>
                <c:pt idx="84">
                  <c:v>1265.3340506329114</c:v>
                </c:pt>
                <c:pt idx="85">
                  <c:v>1273.4688607594935</c:v>
                </c:pt>
                <c:pt idx="86">
                  <c:v>1281.6036708860761</c:v>
                </c:pt>
                <c:pt idx="87">
                  <c:v>1289.7384810126582</c:v>
                </c:pt>
                <c:pt idx="88">
                  <c:v>1297.8732911392403</c:v>
                </c:pt>
                <c:pt idx="89">
                  <c:v>1306.0081012658229</c:v>
                </c:pt>
                <c:pt idx="90">
                  <c:v>1314.142911392405</c:v>
                </c:pt>
                <c:pt idx="91">
                  <c:v>1322.2777215189874</c:v>
                </c:pt>
                <c:pt idx="92">
                  <c:v>1330.4125316455695</c:v>
                </c:pt>
                <c:pt idx="93">
                  <c:v>1338.5473417721519</c:v>
                </c:pt>
                <c:pt idx="94">
                  <c:v>1346.682151898734</c:v>
                </c:pt>
                <c:pt idx="95">
                  <c:v>1354.8169620253166</c:v>
                </c:pt>
                <c:pt idx="96">
                  <c:v>1362.9517721518987</c:v>
                </c:pt>
                <c:pt idx="97">
                  <c:v>1371.0865822784808</c:v>
                </c:pt>
                <c:pt idx="98">
                  <c:v>1379.2213924050634</c:v>
                </c:pt>
                <c:pt idx="99">
                  <c:v>1387.3562025316455</c:v>
                </c:pt>
                <c:pt idx="100">
                  <c:v>1395.4910126582279</c:v>
                </c:pt>
                <c:pt idx="101">
                  <c:v>1403.62582278481</c:v>
                </c:pt>
                <c:pt idx="102">
                  <c:v>1411.7606329113923</c:v>
                </c:pt>
                <c:pt idx="103">
                  <c:v>1419.8954430379745</c:v>
                </c:pt>
                <c:pt idx="104">
                  <c:v>1428.0302531645568</c:v>
                </c:pt>
                <c:pt idx="105">
                  <c:v>1436.1650632911392</c:v>
                </c:pt>
                <c:pt idx="106">
                  <c:v>1444.2998734177213</c:v>
                </c:pt>
                <c:pt idx="107">
                  <c:v>1452.4346835443039</c:v>
                </c:pt>
                <c:pt idx="108">
                  <c:v>1460.569493670886</c:v>
                </c:pt>
                <c:pt idx="109">
                  <c:v>1468.7043037974681</c:v>
                </c:pt>
                <c:pt idx="110">
                  <c:v>1476.8391139240507</c:v>
                </c:pt>
                <c:pt idx="111">
                  <c:v>1484.9739240506328</c:v>
                </c:pt>
                <c:pt idx="112">
                  <c:v>1493.1087341772152</c:v>
                </c:pt>
                <c:pt idx="113">
                  <c:v>1501.2435443037975</c:v>
                </c:pt>
                <c:pt idx="114">
                  <c:v>1509.3783544303797</c:v>
                </c:pt>
                <c:pt idx="115">
                  <c:v>1517.513164556962</c:v>
                </c:pt>
                <c:pt idx="116">
                  <c:v>1525.6479746835444</c:v>
                </c:pt>
                <c:pt idx="117">
                  <c:v>1533.7827848101265</c:v>
                </c:pt>
                <c:pt idx="118">
                  <c:v>1541.9175949367088</c:v>
                </c:pt>
                <c:pt idx="119">
                  <c:v>1550.0524050632912</c:v>
                </c:pt>
                <c:pt idx="120">
                  <c:v>1558.1872151898733</c:v>
                </c:pt>
                <c:pt idx="121">
                  <c:v>1566.3220253164557</c:v>
                </c:pt>
                <c:pt idx="122">
                  <c:v>1574.456835443038</c:v>
                </c:pt>
                <c:pt idx="123">
                  <c:v>1582.5916455696201</c:v>
                </c:pt>
                <c:pt idx="124">
                  <c:v>1590.7264556962023</c:v>
                </c:pt>
                <c:pt idx="125">
                  <c:v>1598.8612658227848</c:v>
                </c:pt>
                <c:pt idx="126">
                  <c:v>1606.996075949367</c:v>
                </c:pt>
                <c:pt idx="127">
                  <c:v>1615.1308860759493</c:v>
                </c:pt>
                <c:pt idx="128">
                  <c:v>1623.2656962025317</c:v>
                </c:pt>
                <c:pt idx="129">
                  <c:v>1631.4005063291138</c:v>
                </c:pt>
                <c:pt idx="130">
                  <c:v>1639.5353164556961</c:v>
                </c:pt>
                <c:pt idx="131">
                  <c:v>1647.6701265822785</c:v>
                </c:pt>
                <c:pt idx="132">
                  <c:v>1655.8049367088609</c:v>
                </c:pt>
                <c:pt idx="133">
                  <c:v>1663.939746835443</c:v>
                </c:pt>
                <c:pt idx="134">
                  <c:v>1672.0745569620251</c:v>
                </c:pt>
                <c:pt idx="135">
                  <c:v>1680.2093670886077</c:v>
                </c:pt>
                <c:pt idx="136">
                  <c:v>1688.3441772151898</c:v>
                </c:pt>
                <c:pt idx="137">
                  <c:v>1696.4789873417722</c:v>
                </c:pt>
                <c:pt idx="138">
                  <c:v>1704.6137974683543</c:v>
                </c:pt>
                <c:pt idx="139">
                  <c:v>1712.7486075949366</c:v>
                </c:pt>
                <c:pt idx="140">
                  <c:v>1720.883417721519</c:v>
                </c:pt>
                <c:pt idx="141">
                  <c:v>1729.0182278481011</c:v>
                </c:pt>
                <c:pt idx="142">
                  <c:v>1737.1530379746837</c:v>
                </c:pt>
                <c:pt idx="143">
                  <c:v>1745.2878481012658</c:v>
                </c:pt>
                <c:pt idx="144">
                  <c:v>1753.4226582278479</c:v>
                </c:pt>
                <c:pt idx="145">
                  <c:v>1761.5574683544303</c:v>
                </c:pt>
                <c:pt idx="146">
                  <c:v>1769.6922784810126</c:v>
                </c:pt>
                <c:pt idx="147">
                  <c:v>1777.827088607595</c:v>
                </c:pt>
                <c:pt idx="148">
                  <c:v>1785.9618987341771</c:v>
                </c:pt>
                <c:pt idx="149">
                  <c:v>1794.0967088607595</c:v>
                </c:pt>
                <c:pt idx="150">
                  <c:v>1802.2315189873418</c:v>
                </c:pt>
                <c:pt idx="151">
                  <c:v>1810.3663291139239</c:v>
                </c:pt>
                <c:pt idx="152">
                  <c:v>1818.5011392405063</c:v>
                </c:pt>
                <c:pt idx="153">
                  <c:v>1826.6359493670886</c:v>
                </c:pt>
                <c:pt idx="154">
                  <c:v>1834.7707594936708</c:v>
                </c:pt>
                <c:pt idx="155">
                  <c:v>1842.9055696202531</c:v>
                </c:pt>
                <c:pt idx="156">
                  <c:v>1851.0403797468355</c:v>
                </c:pt>
                <c:pt idx="157">
                  <c:v>1859.1751898734178</c:v>
                </c:pt>
                <c:pt idx="158">
                  <c:v>1867.31</c:v>
                </c:pt>
                <c:pt idx="159">
                  <c:v>1875.4448101265821</c:v>
                </c:pt>
              </c:numCache>
            </c:numRef>
          </c:val>
          <c:smooth val="0"/>
          <c:extLst>
            <c:ext xmlns:c16="http://schemas.microsoft.com/office/drawing/2014/chart" uri="{C3380CC4-5D6E-409C-BE32-E72D297353CC}">
              <c16:uniqueId val="{00000001-DD53-4576-87BA-018E52FAA396}"/>
            </c:ext>
          </c:extLst>
        </c:ser>
        <c:dLbls>
          <c:showLegendKey val="0"/>
          <c:showVal val="0"/>
          <c:showCatName val="0"/>
          <c:showSerName val="0"/>
          <c:showPercent val="0"/>
          <c:showBubbleSize val="0"/>
        </c:dLbls>
        <c:hiLowLines>
          <c:spPr>
            <a:ln w="0">
              <a:noFill/>
            </a:ln>
          </c:spPr>
        </c:hiLowLines>
        <c:marker val="1"/>
        <c:smooth val="0"/>
        <c:axId val="56337729"/>
        <c:axId val="41035005"/>
      </c:lineChart>
      <c:dateAx>
        <c:axId val="89578584"/>
        <c:scaling>
          <c:orientation val="minMax"/>
        </c:scaling>
        <c:delete val="1"/>
        <c:axPos val="b"/>
        <c:numFmt formatCode="mm/dd/yyyy" sourceLinked="1"/>
        <c:majorTickMark val="none"/>
        <c:minorTickMark val="none"/>
        <c:tickLblPos val="nextTo"/>
        <c:crossAx val="39315100"/>
        <c:crosses val="autoZero"/>
        <c:auto val="1"/>
        <c:lblOffset val="100"/>
        <c:baseTimeUnit val="days"/>
      </c:dateAx>
      <c:valAx>
        <c:axId val="3931510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9578584"/>
        <c:crosses val="autoZero"/>
        <c:crossBetween val="between"/>
      </c:valAx>
      <c:dateAx>
        <c:axId val="56337729"/>
        <c:scaling>
          <c:orientation val="minMax"/>
        </c:scaling>
        <c:delete val="1"/>
        <c:axPos val="b"/>
        <c:numFmt formatCode="mm/dd/yyyy" sourceLinked="1"/>
        <c:majorTickMark val="none"/>
        <c:minorTickMark val="none"/>
        <c:tickLblPos val="nextTo"/>
        <c:crossAx val="41035005"/>
        <c:crosses val="autoZero"/>
        <c:auto val="1"/>
        <c:lblOffset val="100"/>
        <c:baseTimeUnit val="days"/>
      </c:dateAx>
      <c:valAx>
        <c:axId val="41035005"/>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6337729"/>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AVGO</a:t>
            </a:r>
          </a:p>
        </c:rich>
      </c:tx>
      <c:overlay val="0"/>
      <c:spPr>
        <a:noFill/>
        <a:ln w="0">
          <a:noFill/>
        </a:ln>
      </c:spPr>
    </c:title>
    <c:autoTitleDeleted val="0"/>
    <c:plotArea>
      <c:layout/>
      <c:barChart>
        <c:barDir val="col"/>
        <c:grouping val="clustered"/>
        <c:varyColors val="0"/>
        <c:ser>
          <c:idx val="0"/>
          <c:order val="0"/>
          <c:tx>
            <c:strRef>
              <c:f>'Returns (Calc)'!$E$2</c:f>
              <c:strCache>
                <c:ptCount val="1"/>
                <c:pt idx="0">
                  <c:v>AVGO</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(Calc)'!$E$3:$E$500</c:f>
              <c:numCache>
                <c:formatCode>0.0%</c:formatCode>
                <c:ptCount val="498"/>
                <c:pt idx="0">
                  <c:v>-2.1219512195121859E-2</c:v>
                </c:pt>
                <c:pt idx="1">
                  <c:v>1.8689259905306788E-3</c:v>
                </c:pt>
                <c:pt idx="2">
                  <c:v>1.7659495087675614E-2</c:v>
                </c:pt>
                <c:pt idx="3">
                  <c:v>4.4849077355493039E-2</c:v>
                </c:pt>
                <c:pt idx="4">
                  <c:v>-3.3450292397660841E-2</c:v>
                </c:pt>
                <c:pt idx="5">
                  <c:v>-1.7909002904162641E-2</c:v>
                </c:pt>
                <c:pt idx="6">
                  <c:v>5.2858551010350086E-2</c:v>
                </c:pt>
                <c:pt idx="7">
                  <c:v>8.4727911059098826E-2</c:v>
                </c:pt>
                <c:pt idx="8">
                  <c:v>2.1145754666091365E-2</c:v>
                </c:pt>
                <c:pt idx="9">
                  <c:v>1.1621764395139955E-3</c:v>
                </c:pt>
                <c:pt idx="10">
                  <c:v>-4.9915576192486322E-2</c:v>
                </c:pt>
                <c:pt idx="11">
                  <c:v>1.5328223925358264E-2</c:v>
                </c:pt>
                <c:pt idx="12">
                  <c:v>0.19647740947379955</c:v>
                </c:pt>
                <c:pt idx="13">
                  <c:v>-2.377251531498592E-3</c:v>
                </c:pt>
                <c:pt idx="14">
                  <c:v>-5.0407845293739539E-3</c:v>
                </c:pt>
                <c:pt idx="15">
                  <c:v>-6.0058953574060436E-2</c:v>
                </c:pt>
                <c:pt idx="16">
                  <c:v>5.5664445315562361E-2</c:v>
                </c:pt>
                <c:pt idx="17">
                  <c:v>9.3483104344597168E-2</c:v>
                </c:pt>
                <c:pt idx="18">
                  <c:v>-5.1787078699380151E-3</c:v>
                </c:pt>
                <c:pt idx="19">
                  <c:v>1.6129032258064502E-2</c:v>
                </c:pt>
                <c:pt idx="20">
                  <c:v>4.8290921306794354E-2</c:v>
                </c:pt>
                <c:pt idx="21">
                  <c:v>-2.9642685467072494E-2</c:v>
                </c:pt>
                <c:pt idx="22">
                  <c:v>4.0868560105680185E-2</c:v>
                </c:pt>
                <c:pt idx="23">
                  <c:v>7.9321012136114755E-2</c:v>
                </c:pt>
                <c:pt idx="24">
                  <c:v>-6.4672594987873921E-2</c:v>
                </c:pt>
                <c:pt idx="25">
                  <c:v>-5.5944055944055826E-2</c:v>
                </c:pt>
                <c:pt idx="26">
                  <c:v>0.10020807324178094</c:v>
                </c:pt>
                <c:pt idx="27">
                  <c:v>-2.0727740373704617E-2</c:v>
                </c:pt>
                <c:pt idx="28">
                  <c:v>1.0583236770953963E-2</c:v>
                </c:pt>
                <c:pt idx="29">
                  <c:v>3.4398410029048421E-3</c:v>
                </c:pt>
                <c:pt idx="30">
                  <c:v>-0.10367943932353174</c:v>
                </c:pt>
                <c:pt idx="31">
                  <c:v>0.1156722760496347</c:v>
                </c:pt>
                <c:pt idx="32">
                  <c:v>-4.9059190980422107E-2</c:v>
                </c:pt>
                <c:pt idx="33">
                  <c:v>4.2778178322518512E-2</c:v>
                </c:pt>
                <c:pt idx="34">
                  <c:v>4.6861796112775744E-2</c:v>
                </c:pt>
                <c:pt idx="35">
                  <c:v>9.0261979892858335E-3</c:v>
                </c:pt>
                <c:pt idx="36">
                  <c:v>-5.6363636363636394E-2</c:v>
                </c:pt>
                <c:pt idx="37">
                  <c:v>5.8805394990365967E-2</c:v>
                </c:pt>
                <c:pt idx="38">
                  <c:v>0.23344009317222292</c:v>
                </c:pt>
                <c:pt idx="39">
                  <c:v>-4.4024786072587641E-2</c:v>
                </c:pt>
                <c:pt idx="40">
                  <c:v>-2.8952404469411719E-2</c:v>
                </c:pt>
                <c:pt idx="41">
                  <c:v>6.0902733630006312E-2</c:v>
                </c:pt>
                <c:pt idx="42">
                  <c:v>-1.5580057526365376E-3</c:v>
                </c:pt>
                <c:pt idx="43">
                  <c:v>-7.4780938662825647E-2</c:v>
                </c:pt>
                <c:pt idx="44">
                  <c:v>-3.6325895173845324E-2</c:v>
                </c:pt>
                <c:pt idx="45">
                  <c:v>-5.1494345718901546E-2</c:v>
                </c:pt>
                <c:pt idx="46">
                  <c:v>3.0870768575686602E-2</c:v>
                </c:pt>
                <c:pt idx="47">
                  <c:v>0.11778879250998231</c:v>
                </c:pt>
                <c:pt idx="48">
                  <c:v>3.8184393668780903E-3</c:v>
                </c:pt>
                <c:pt idx="49">
                  <c:v>-2.1289649671758948E-2</c:v>
                </c:pt>
                <c:pt idx="50">
                  <c:v>-0.15853811434302922</c:v>
                </c:pt>
                <c:pt idx="51">
                  <c:v>0.22401847575057765</c:v>
                </c:pt>
                <c:pt idx="52">
                  <c:v>2.3676202069385255E-2</c:v>
                </c:pt>
                <c:pt idx="53">
                  <c:v>9.2752244485403423E-3</c:v>
                </c:pt>
                <c:pt idx="54">
                  <c:v>2.2857142857142909E-2</c:v>
                </c:pt>
                <c:pt idx="55">
                  <c:v>2.7414617289638787E-2</c:v>
                </c:pt>
                <c:pt idx="56">
                  <c:v>-8.7448848029596515E-3</c:v>
                </c:pt>
                <c:pt idx="57">
                  <c:v>-3.8285358819204918E-2</c:v>
                </c:pt>
                <c:pt idx="58">
                  <c:v>-2.3638715747383299E-2</c:v>
                </c:pt>
                <c:pt idx="59">
                  <c:v>8.7147675258973711E-2</c:v>
                </c:pt>
                <c:pt idx="60">
                  <c:v>-0.10237659963436918</c:v>
                </c:pt>
                <c:pt idx="61">
                  <c:v>-3.7030179596371227E-3</c:v>
                </c:pt>
                <c:pt idx="62">
                  <c:v>-1.3070680790435607E-2</c:v>
                </c:pt>
                <c:pt idx="63">
                  <c:v>0.10764499121265381</c:v>
                </c:pt>
                <c:pt idx="64">
                  <c:v>0.25216750722502401</c:v>
                </c:pt>
                <c:pt idx="65">
                  <c:v>-1.7830474725075818E-2</c:v>
                </c:pt>
                <c:pt idx="66">
                  <c:v>9.7866654379578977E-2</c:v>
                </c:pt>
                <c:pt idx="67">
                  <c:v>-3.8066059512318007E-2</c:v>
                </c:pt>
                <c:pt idx="68">
                  <c:v>-3.5427574171029597E-2</c:v>
                </c:pt>
                <c:pt idx="69">
                  <c:v>5.853084856160673E-2</c:v>
                </c:pt>
                <c:pt idx="70">
                  <c:v>3.0595675583283466E-2</c:v>
                </c:pt>
                <c:pt idx="71">
                  <c:v>-9.5737623351853429E-2</c:v>
                </c:pt>
                <c:pt idx="72">
                  <c:v>1.6231830895501842E-2</c:v>
                </c:pt>
                <c:pt idx="73">
                  <c:v>3.6366917836033075E-2</c:v>
                </c:pt>
                <c:pt idx="74">
                  <c:v>-6.1735382472027589E-2</c:v>
                </c:pt>
                <c:pt idx="75">
                  <c:v>-8.7930954480070489E-2</c:v>
                </c:pt>
                <c:pt idx="76">
                  <c:v>-2.238502238502238E-2</c:v>
                </c:pt>
                <c:pt idx="77">
                  <c:v>2.9662781015820094E-3</c:v>
                </c:pt>
                <c:pt idx="78">
                  <c:v>-1.6914854978467231E-2</c:v>
                </c:pt>
                <c:pt idx="79">
                  <c:v>-0.1175911753839658</c:v>
                </c:pt>
                <c:pt idx="80">
                  <c:v>-0.13499611220766783</c:v>
                </c:pt>
                <c:pt idx="81">
                  <c:v>0.24367307426358731</c:v>
                </c:pt>
                <c:pt idx="82">
                  <c:v>-6.0157900589347335E-2</c:v>
                </c:pt>
                <c:pt idx="83">
                  <c:v>0.12470421202082349</c:v>
                </c:pt>
                <c:pt idx="84">
                  <c:v>5.8910162002945521E-2</c:v>
                </c:pt>
                <c:pt idx="85">
                  <c:v>2.2402145837472798E-2</c:v>
                </c:pt>
                <c:pt idx="86">
                  <c:v>9.7993489773113618E-2</c:v>
                </c:pt>
                <c:pt idx="87">
                  <c:v>4.8672566371688042E-4</c:v>
                </c:pt>
                <c:pt idx="88">
                  <c:v>5.8378665251426209E-2</c:v>
                </c:pt>
                <c:pt idx="89">
                  <c:v>2.0057665789143808E-2</c:v>
                </c:pt>
                <c:pt idx="90">
                  <c:v>7.1688992667240381E-3</c:v>
                </c:pt>
                <c:pt idx="91">
                  <c:v>7.5652810542583548E-3</c:v>
                </c:pt>
                <c:pt idx="92">
                  <c:v>7.7426126271596951E-2</c:v>
                </c:pt>
                <c:pt idx="93">
                  <c:v>2.165605095541423E-2</c:v>
                </c:pt>
                <c:pt idx="94">
                  <c:v>-2.8971688425994957E-3</c:v>
                </c:pt>
                <c:pt idx="95">
                  <c:v>3.2660267019750666E-2</c:v>
                </c:pt>
                <c:pt idx="96">
                  <c:v>2.4147879046906739E-2</c:v>
                </c:pt>
                <c:pt idx="97">
                  <c:v>-5.3208137715180515E-3</c:v>
                </c:pt>
                <c:pt idx="98">
                  <c:v>5.6569470666387067E-2</c:v>
                </c:pt>
                <c:pt idx="99">
                  <c:v>4.5003309066844466E-3</c:v>
                </c:pt>
                <c:pt idx="100">
                  <c:v>-4.0288575569903839E-2</c:v>
                </c:pt>
                <c:pt idx="101">
                  <c:v>1.1533312738132073E-2</c:v>
                </c:pt>
                <c:pt idx="102">
                  <c:v>0.12609861210085183</c:v>
                </c:pt>
                <c:pt idx="103">
                  <c:v>7.4581889407864921E-2</c:v>
                </c:pt>
                <c:pt idx="104">
                  <c:v>-4.1475042063937262E-2</c:v>
                </c:pt>
                <c:pt idx="105">
                  <c:v>-2.8524618940346969E-2</c:v>
                </c:pt>
                <c:pt idx="106">
                  <c:v>1.1473830030717336E-2</c:v>
                </c:pt>
                <c:pt idx="107">
                  <c:v>-4.0610950665435963E-2</c:v>
                </c:pt>
                <c:pt idx="108">
                  <c:v>7.6094714955156295E-2</c:v>
                </c:pt>
                <c:pt idx="109">
                  <c:v>1.3756308579668364E-2</c:v>
                </c:pt>
                <c:pt idx="110">
                  <c:v>4.3752844788347733E-2</c:v>
                </c:pt>
                <c:pt idx="111">
                  <c:v>-5.4647042790951117E-2</c:v>
                </c:pt>
                <c:pt idx="112">
                  <c:v>-1.9950987458555614E-2</c:v>
                </c:pt>
                <c:pt idx="113">
                  <c:v>-6.5895919748183429E-3</c:v>
                </c:pt>
                <c:pt idx="114">
                  <c:v>0.18448873226924101</c:v>
                </c:pt>
                <c:pt idx="115">
                  <c:v>-3.1575789394734821E-2</c:v>
                </c:pt>
                <c:pt idx="116">
                  <c:v>-7.7679677819083137E-2</c:v>
                </c:pt>
                <c:pt idx="117">
                  <c:v>-5.4356649032944127E-2</c:v>
                </c:pt>
                <c:pt idx="118">
                  <c:v>3.6554684031374851E-2</c:v>
                </c:pt>
                <c:pt idx="119">
                  <c:v>-1.282124500285553E-2</c:v>
                </c:pt>
                <c:pt idx="120">
                  <c:v>-7.6075323247808413E-3</c:v>
                </c:pt>
                <c:pt idx="121">
                  <c:v>1.9528972834324421E-2</c:v>
                </c:pt>
                <c:pt idx="122">
                  <c:v>-8.9999428212018895E-2</c:v>
                </c:pt>
                <c:pt idx="123">
                  <c:v>3.5124096764059143E-2</c:v>
                </c:pt>
                <c:pt idx="124">
                  <c:v>4.916838654850153E-3</c:v>
                </c:pt>
                <c:pt idx="125">
                  <c:v>-2.3286016309272184E-2</c:v>
                </c:pt>
                <c:pt idx="126">
                  <c:v>2.3006277250378737E-2</c:v>
                </c:pt>
                <c:pt idx="127">
                  <c:v>-3.93857872623401E-2</c:v>
                </c:pt>
                <c:pt idx="128">
                  <c:v>3.4203901825047289E-2</c:v>
                </c:pt>
                <c:pt idx="129">
                  <c:v>-2.519244226731987E-2</c:v>
                </c:pt>
                <c:pt idx="130">
                  <c:v>-3.6143450170105118E-2</c:v>
                </c:pt>
                <c:pt idx="131">
                  <c:v>-2.962986949904467E-2</c:v>
                </c:pt>
                <c:pt idx="132">
                  <c:v>4.6118934792765076E-2</c:v>
                </c:pt>
                <c:pt idx="133">
                  <c:v>0.18122368253158094</c:v>
                </c:pt>
                <c:pt idx="134">
                  <c:v>9.4169434767344518E-2</c:v>
                </c:pt>
                <c:pt idx="135">
                  <c:v>3.9885477342284537E-2</c:v>
                </c:pt>
                <c:pt idx="136">
                  <c:v>-3.4890344631158809E-3</c:v>
                </c:pt>
                <c:pt idx="137">
                  <c:v>2.0697868286292609E-2</c:v>
                </c:pt>
                <c:pt idx="138">
                  <c:v>-1.1177486348998955E-2</c:v>
                </c:pt>
                <c:pt idx="139">
                  <c:v>-2.6005899705014657E-2</c:v>
                </c:pt>
                <c:pt idx="140">
                  <c:v>7.8792430887020481E-2</c:v>
                </c:pt>
                <c:pt idx="141">
                  <c:v>-0.13661987647389107</c:v>
                </c:pt>
                <c:pt idx="142">
                  <c:v>-9.4948233702721874E-3</c:v>
                </c:pt>
                <c:pt idx="143">
                  <c:v>7.6634188617800802E-2</c:v>
                </c:pt>
                <c:pt idx="144">
                  <c:v>-0.11120868398585193</c:v>
                </c:pt>
                <c:pt idx="145">
                  <c:v>-1.2542540344714026E-2</c:v>
                </c:pt>
                <c:pt idx="146">
                  <c:v>0.10964729425498199</c:v>
                </c:pt>
                <c:pt idx="147">
                  <c:v>-7.283839294659844E-2</c:v>
                </c:pt>
                <c:pt idx="148">
                  <c:v>2.9905986600389012E-2</c:v>
                </c:pt>
                <c:pt idx="149">
                  <c:v>1.9253469034441029E-2</c:v>
                </c:pt>
                <c:pt idx="150">
                  <c:v>9.8849628123632849E-2</c:v>
                </c:pt>
                <c:pt idx="151">
                  <c:v>-8.1268443486814501E-2</c:v>
                </c:pt>
                <c:pt idx="152">
                  <c:v>-6.2455389007851525E-2</c:v>
                </c:pt>
                <c:pt idx="153">
                  <c:v>9.2446571319815263E-4</c:v>
                </c:pt>
                <c:pt idx="154">
                  <c:v>-2.9528414647397638E-2</c:v>
                </c:pt>
                <c:pt idx="155">
                  <c:v>1.1420573827851666E-2</c:v>
                </c:pt>
                <c:pt idx="156">
                  <c:v>-1.2094207511139432E-2</c:v>
                </c:pt>
                <c:pt idx="157">
                  <c:v>-1.1625952487673619E-2</c:v>
                </c:pt>
                <c:pt idx="158">
                  <c:v>6.6041211983787207E-3</c:v>
                </c:pt>
                <c:pt idx="159">
                  <c:v>0</c:v>
                </c:pt>
              </c:numCache>
            </c:numRef>
          </c:val>
          <c:extLst>
            <c:ext xmlns:c16="http://schemas.microsoft.com/office/drawing/2014/chart" uri="{C3380CC4-5D6E-409C-BE32-E72D297353CC}">
              <c16:uniqueId val="{00000000-18A8-4ACB-B0F1-4D2DC1942A3A}"/>
            </c:ext>
          </c:extLst>
        </c:ser>
        <c:dLbls>
          <c:showLegendKey val="0"/>
          <c:showVal val="0"/>
          <c:showCatName val="0"/>
          <c:showSerName val="0"/>
          <c:showPercent val="0"/>
          <c:showBubbleSize val="0"/>
        </c:dLbls>
        <c:gapWidth val="150"/>
        <c:axId val="85845729"/>
        <c:axId val="98500284"/>
      </c:barChart>
      <c:lineChart>
        <c:grouping val="standard"/>
        <c:varyColors val="0"/>
        <c:ser>
          <c:idx val="1"/>
          <c:order val="1"/>
          <c:tx>
            <c:strRef>
              <c:f>'Returns (Calc)'!$Z$2</c:f>
              <c:strCache>
                <c:ptCount val="1"/>
                <c:pt idx="0">
                  <c:v>AVGO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(Calc)'!$Z$3:$Z$500</c:f>
              <c:numCache>
                <c:formatCode>#,##0.00</c:formatCode>
                <c:ptCount val="498"/>
                <c:pt idx="0">
                  <c:v>82</c:v>
                </c:pt>
                <c:pt idx="1">
                  <c:v>83.728734177215188</c:v>
                </c:pt>
                <c:pt idx="2">
                  <c:v>85.457468354430375</c:v>
                </c:pt>
                <c:pt idx="3">
                  <c:v>87.186202531645563</c:v>
                </c:pt>
                <c:pt idx="4">
                  <c:v>88.914936708860765</c:v>
                </c:pt>
                <c:pt idx="5">
                  <c:v>90.643670886075952</c:v>
                </c:pt>
                <c:pt idx="6">
                  <c:v>92.37240506329114</c:v>
                </c:pt>
                <c:pt idx="7">
                  <c:v>94.101139240506328</c:v>
                </c:pt>
                <c:pt idx="8">
                  <c:v>95.829873417721515</c:v>
                </c:pt>
                <c:pt idx="9">
                  <c:v>97.558607594936703</c:v>
                </c:pt>
                <c:pt idx="10">
                  <c:v>99.287341772151905</c:v>
                </c:pt>
                <c:pt idx="11">
                  <c:v>101.01607594936709</c:v>
                </c:pt>
                <c:pt idx="12">
                  <c:v>102.74481012658228</c:v>
                </c:pt>
                <c:pt idx="13">
                  <c:v>104.47354430379747</c:v>
                </c:pt>
                <c:pt idx="14">
                  <c:v>106.20227848101266</c:v>
                </c:pt>
                <c:pt idx="15">
                  <c:v>107.93101265822784</c:v>
                </c:pt>
                <c:pt idx="16">
                  <c:v>109.65974683544303</c:v>
                </c:pt>
                <c:pt idx="17">
                  <c:v>111.38848101265823</c:v>
                </c:pt>
                <c:pt idx="18">
                  <c:v>113.11721518987342</c:v>
                </c:pt>
                <c:pt idx="19">
                  <c:v>114.84594936708861</c:v>
                </c:pt>
                <c:pt idx="20">
                  <c:v>116.5746835443038</c:v>
                </c:pt>
                <c:pt idx="21">
                  <c:v>118.30341772151898</c:v>
                </c:pt>
                <c:pt idx="22">
                  <c:v>120.03215189873418</c:v>
                </c:pt>
                <c:pt idx="23">
                  <c:v>121.76088607594937</c:v>
                </c:pt>
                <c:pt idx="24">
                  <c:v>123.48962025316456</c:v>
                </c:pt>
                <c:pt idx="25">
                  <c:v>125.21835443037975</c:v>
                </c:pt>
                <c:pt idx="26">
                  <c:v>126.94708860759494</c:v>
                </c:pt>
                <c:pt idx="27">
                  <c:v>128.67582278481012</c:v>
                </c:pt>
                <c:pt idx="28">
                  <c:v>130.40455696202531</c:v>
                </c:pt>
                <c:pt idx="29">
                  <c:v>132.1332911392405</c:v>
                </c:pt>
                <c:pt idx="30">
                  <c:v>133.86202531645569</c:v>
                </c:pt>
                <c:pt idx="31">
                  <c:v>135.59075949367087</c:v>
                </c:pt>
                <c:pt idx="32">
                  <c:v>137.31949367088606</c:v>
                </c:pt>
                <c:pt idx="33">
                  <c:v>139.04822784810125</c:v>
                </c:pt>
                <c:pt idx="34">
                  <c:v>140.77696202531646</c:v>
                </c:pt>
                <c:pt idx="35">
                  <c:v>142.50569620253165</c:v>
                </c:pt>
                <c:pt idx="36">
                  <c:v>144.23443037974684</c:v>
                </c:pt>
                <c:pt idx="37">
                  <c:v>145.96316455696203</c:v>
                </c:pt>
                <c:pt idx="38">
                  <c:v>147.69189873417722</c:v>
                </c:pt>
                <c:pt idx="39">
                  <c:v>149.4206329113924</c:v>
                </c:pt>
                <c:pt idx="40">
                  <c:v>151.14936708860759</c:v>
                </c:pt>
                <c:pt idx="41">
                  <c:v>152.87810126582278</c:v>
                </c:pt>
                <c:pt idx="42">
                  <c:v>154.60683544303797</c:v>
                </c:pt>
                <c:pt idx="43">
                  <c:v>156.33556962025315</c:v>
                </c:pt>
                <c:pt idx="44">
                  <c:v>158.06430379746837</c:v>
                </c:pt>
                <c:pt idx="45">
                  <c:v>159.79303797468356</c:v>
                </c:pt>
                <c:pt idx="46">
                  <c:v>161.52177215189874</c:v>
                </c:pt>
                <c:pt idx="47">
                  <c:v>163.25050632911393</c:v>
                </c:pt>
                <c:pt idx="48">
                  <c:v>164.97924050632912</c:v>
                </c:pt>
                <c:pt idx="49">
                  <c:v>166.70797468354431</c:v>
                </c:pt>
                <c:pt idx="50">
                  <c:v>168.4367088607595</c:v>
                </c:pt>
                <c:pt idx="51">
                  <c:v>170.16544303797468</c:v>
                </c:pt>
                <c:pt idx="52">
                  <c:v>171.89417721518987</c:v>
                </c:pt>
                <c:pt idx="53">
                  <c:v>173.62291139240506</c:v>
                </c:pt>
                <c:pt idx="54">
                  <c:v>175.35164556962025</c:v>
                </c:pt>
                <c:pt idx="55">
                  <c:v>177.08037974683543</c:v>
                </c:pt>
                <c:pt idx="56">
                  <c:v>178.80911392405062</c:v>
                </c:pt>
                <c:pt idx="57">
                  <c:v>180.53784810126581</c:v>
                </c:pt>
                <c:pt idx="58">
                  <c:v>182.266582278481</c:v>
                </c:pt>
                <c:pt idx="59">
                  <c:v>183.99531645569618</c:v>
                </c:pt>
                <c:pt idx="60">
                  <c:v>185.72405063291137</c:v>
                </c:pt>
                <c:pt idx="61">
                  <c:v>187.45278481012659</c:v>
                </c:pt>
                <c:pt idx="62">
                  <c:v>189.18151898734178</c:v>
                </c:pt>
                <c:pt idx="63">
                  <c:v>190.91025316455696</c:v>
                </c:pt>
                <c:pt idx="64">
                  <c:v>192.63898734177215</c:v>
                </c:pt>
                <c:pt idx="65">
                  <c:v>194.36772151898734</c:v>
                </c:pt>
                <c:pt idx="66">
                  <c:v>196.09645569620253</c:v>
                </c:pt>
                <c:pt idx="67">
                  <c:v>197.82518987341768</c:v>
                </c:pt>
                <c:pt idx="68">
                  <c:v>199.55392405063293</c:v>
                </c:pt>
                <c:pt idx="69">
                  <c:v>201.28265822784812</c:v>
                </c:pt>
                <c:pt idx="70">
                  <c:v>203.0113924050633</c:v>
                </c:pt>
                <c:pt idx="71">
                  <c:v>204.74012658227849</c:v>
                </c:pt>
                <c:pt idx="72">
                  <c:v>206.46886075949368</c:v>
                </c:pt>
                <c:pt idx="73">
                  <c:v>208.19759493670884</c:v>
                </c:pt>
                <c:pt idx="74">
                  <c:v>209.92632911392406</c:v>
                </c:pt>
                <c:pt idx="75">
                  <c:v>211.65506329113924</c:v>
                </c:pt>
                <c:pt idx="76">
                  <c:v>213.38379746835443</c:v>
                </c:pt>
                <c:pt idx="77">
                  <c:v>215.11253164556962</c:v>
                </c:pt>
                <c:pt idx="78">
                  <c:v>216.84126582278481</c:v>
                </c:pt>
                <c:pt idx="79">
                  <c:v>218.57</c:v>
                </c:pt>
                <c:pt idx="80">
                  <c:v>220.29873417721518</c:v>
                </c:pt>
                <c:pt idx="81">
                  <c:v>222.02746835443037</c:v>
                </c:pt>
                <c:pt idx="82">
                  <c:v>223.75620253164556</c:v>
                </c:pt>
                <c:pt idx="83">
                  <c:v>225.48493670886074</c:v>
                </c:pt>
                <c:pt idx="84">
                  <c:v>227.21367088607593</c:v>
                </c:pt>
                <c:pt idx="85">
                  <c:v>228.94240506329112</c:v>
                </c:pt>
                <c:pt idx="86">
                  <c:v>230.67113924050631</c:v>
                </c:pt>
                <c:pt idx="87">
                  <c:v>232.39987341772152</c:v>
                </c:pt>
                <c:pt idx="88">
                  <c:v>234.12860759493671</c:v>
                </c:pt>
                <c:pt idx="89">
                  <c:v>235.8573417721519</c:v>
                </c:pt>
                <c:pt idx="90">
                  <c:v>237.58607594936709</c:v>
                </c:pt>
                <c:pt idx="91">
                  <c:v>239.31481012658227</c:v>
                </c:pt>
                <c:pt idx="92">
                  <c:v>241.04354430379746</c:v>
                </c:pt>
                <c:pt idx="93">
                  <c:v>242.77227848101265</c:v>
                </c:pt>
                <c:pt idx="94">
                  <c:v>244.50101265822784</c:v>
                </c:pt>
                <c:pt idx="95">
                  <c:v>246.22974683544302</c:v>
                </c:pt>
                <c:pt idx="96">
                  <c:v>247.95848101265821</c:v>
                </c:pt>
                <c:pt idx="97">
                  <c:v>249.6872151898734</c:v>
                </c:pt>
                <c:pt idx="98">
                  <c:v>251.41594936708859</c:v>
                </c:pt>
                <c:pt idx="99">
                  <c:v>253.14468354430377</c:v>
                </c:pt>
                <c:pt idx="100">
                  <c:v>254.87341772151899</c:v>
                </c:pt>
                <c:pt idx="101">
                  <c:v>256.60215189873418</c:v>
                </c:pt>
                <c:pt idx="102">
                  <c:v>258.33088607594937</c:v>
                </c:pt>
                <c:pt idx="103">
                  <c:v>260.05962025316455</c:v>
                </c:pt>
                <c:pt idx="104">
                  <c:v>261.78835443037974</c:v>
                </c:pt>
                <c:pt idx="105">
                  <c:v>263.51708860759493</c:v>
                </c:pt>
                <c:pt idx="106">
                  <c:v>265.24582278481012</c:v>
                </c:pt>
                <c:pt idx="107">
                  <c:v>266.9745569620253</c:v>
                </c:pt>
                <c:pt idx="108">
                  <c:v>268.70329113924049</c:v>
                </c:pt>
                <c:pt idx="109">
                  <c:v>270.43202531645568</c:v>
                </c:pt>
                <c:pt idx="110">
                  <c:v>272.16075949367087</c:v>
                </c:pt>
                <c:pt idx="111">
                  <c:v>273.88949367088605</c:v>
                </c:pt>
                <c:pt idx="112">
                  <c:v>275.61822784810124</c:v>
                </c:pt>
                <c:pt idx="113">
                  <c:v>277.34696202531643</c:v>
                </c:pt>
                <c:pt idx="114">
                  <c:v>279.07569620253162</c:v>
                </c:pt>
                <c:pt idx="115">
                  <c:v>280.8044303797468</c:v>
                </c:pt>
                <c:pt idx="116">
                  <c:v>282.53316455696199</c:v>
                </c:pt>
                <c:pt idx="117">
                  <c:v>284.26189873417718</c:v>
                </c:pt>
                <c:pt idx="118">
                  <c:v>285.99063291139237</c:v>
                </c:pt>
                <c:pt idx="119">
                  <c:v>287.71936708860756</c:v>
                </c:pt>
                <c:pt idx="120">
                  <c:v>289.44810126582274</c:v>
                </c:pt>
                <c:pt idx="121">
                  <c:v>291.17683544303793</c:v>
                </c:pt>
                <c:pt idx="122">
                  <c:v>292.90556962025317</c:v>
                </c:pt>
                <c:pt idx="123">
                  <c:v>294.63430379746836</c:v>
                </c:pt>
                <c:pt idx="124">
                  <c:v>296.36303797468355</c:v>
                </c:pt>
                <c:pt idx="125">
                  <c:v>298.09177215189874</c:v>
                </c:pt>
                <c:pt idx="126">
                  <c:v>299.82050632911393</c:v>
                </c:pt>
                <c:pt idx="127">
                  <c:v>301.54924050632911</c:v>
                </c:pt>
                <c:pt idx="128">
                  <c:v>303.2779746835443</c:v>
                </c:pt>
                <c:pt idx="129">
                  <c:v>305.00670886075949</c:v>
                </c:pt>
                <c:pt idx="130">
                  <c:v>306.73544303797468</c:v>
                </c:pt>
                <c:pt idx="131">
                  <c:v>308.46417721518986</c:v>
                </c:pt>
                <c:pt idx="132">
                  <c:v>310.19291139240505</c:v>
                </c:pt>
                <c:pt idx="133">
                  <c:v>311.92164556962018</c:v>
                </c:pt>
                <c:pt idx="134">
                  <c:v>313.65037974683537</c:v>
                </c:pt>
                <c:pt idx="135">
                  <c:v>315.37911392405067</c:v>
                </c:pt>
                <c:pt idx="136">
                  <c:v>317.10784810126586</c:v>
                </c:pt>
                <c:pt idx="137">
                  <c:v>318.83658227848105</c:v>
                </c:pt>
                <c:pt idx="138">
                  <c:v>320.56531645569623</c:v>
                </c:pt>
                <c:pt idx="139">
                  <c:v>322.29405063291142</c:v>
                </c:pt>
                <c:pt idx="140">
                  <c:v>324.02278481012661</c:v>
                </c:pt>
                <c:pt idx="141">
                  <c:v>325.7515189873418</c:v>
                </c:pt>
                <c:pt idx="142">
                  <c:v>327.48025316455698</c:v>
                </c:pt>
                <c:pt idx="143">
                  <c:v>329.20898734177217</c:v>
                </c:pt>
                <c:pt idx="144">
                  <c:v>330.93772151898736</c:v>
                </c:pt>
                <c:pt idx="145">
                  <c:v>332.66645569620249</c:v>
                </c:pt>
                <c:pt idx="146">
                  <c:v>334.39518987341768</c:v>
                </c:pt>
                <c:pt idx="147">
                  <c:v>336.12392405063287</c:v>
                </c:pt>
                <c:pt idx="148">
                  <c:v>337.85265822784811</c:v>
                </c:pt>
                <c:pt idx="149">
                  <c:v>339.5813924050633</c:v>
                </c:pt>
                <c:pt idx="150">
                  <c:v>341.31012658227849</c:v>
                </c:pt>
                <c:pt idx="151">
                  <c:v>343.03886075949367</c:v>
                </c:pt>
                <c:pt idx="152">
                  <c:v>344.76759493670886</c:v>
                </c:pt>
                <c:pt idx="153">
                  <c:v>346.49632911392405</c:v>
                </c:pt>
                <c:pt idx="154">
                  <c:v>348.22506329113924</c:v>
                </c:pt>
                <c:pt idx="155">
                  <c:v>349.95379746835442</c:v>
                </c:pt>
                <c:pt idx="156">
                  <c:v>351.68253164556961</c:v>
                </c:pt>
                <c:pt idx="157">
                  <c:v>353.4112658227848</c:v>
                </c:pt>
                <c:pt idx="158">
                  <c:v>355.14</c:v>
                </c:pt>
                <c:pt idx="159">
                  <c:v>356.86873417721517</c:v>
                </c:pt>
              </c:numCache>
            </c:numRef>
          </c:val>
          <c:smooth val="0"/>
          <c:extLst>
            <c:ext xmlns:c16="http://schemas.microsoft.com/office/drawing/2014/chart" uri="{C3380CC4-5D6E-409C-BE32-E72D297353CC}">
              <c16:uniqueId val="{00000001-18A8-4ACB-B0F1-4D2DC1942A3A}"/>
            </c:ext>
          </c:extLst>
        </c:ser>
        <c:dLbls>
          <c:showLegendKey val="0"/>
          <c:showVal val="0"/>
          <c:showCatName val="0"/>
          <c:showSerName val="0"/>
          <c:showPercent val="0"/>
          <c:showBubbleSize val="0"/>
        </c:dLbls>
        <c:hiLowLines>
          <c:spPr>
            <a:ln w="0">
              <a:noFill/>
            </a:ln>
          </c:spPr>
        </c:hiLowLines>
        <c:marker val="1"/>
        <c:smooth val="0"/>
        <c:axId val="88636255"/>
        <c:axId val="11587888"/>
      </c:lineChart>
      <c:dateAx>
        <c:axId val="85845729"/>
        <c:scaling>
          <c:orientation val="minMax"/>
        </c:scaling>
        <c:delete val="1"/>
        <c:axPos val="b"/>
        <c:numFmt formatCode="mm/dd/yyyy" sourceLinked="1"/>
        <c:majorTickMark val="none"/>
        <c:minorTickMark val="none"/>
        <c:tickLblPos val="nextTo"/>
        <c:crossAx val="98500284"/>
        <c:crosses val="autoZero"/>
        <c:auto val="1"/>
        <c:lblOffset val="100"/>
        <c:baseTimeUnit val="days"/>
      </c:dateAx>
      <c:valAx>
        <c:axId val="9850028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5845729"/>
        <c:crosses val="autoZero"/>
        <c:crossBetween val="between"/>
      </c:valAx>
      <c:dateAx>
        <c:axId val="88636255"/>
        <c:scaling>
          <c:orientation val="minMax"/>
        </c:scaling>
        <c:delete val="1"/>
        <c:axPos val="b"/>
        <c:numFmt formatCode="mm/dd/yyyy" sourceLinked="1"/>
        <c:majorTickMark val="none"/>
        <c:minorTickMark val="none"/>
        <c:tickLblPos val="nextTo"/>
        <c:crossAx val="11587888"/>
        <c:crosses val="autoZero"/>
        <c:auto val="1"/>
        <c:lblOffset val="100"/>
        <c:baseTimeUnit val="days"/>
      </c:dateAx>
      <c:valAx>
        <c:axId val="11587888"/>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8636255"/>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CRWD</a:t>
            </a:r>
          </a:p>
        </c:rich>
      </c:tx>
      <c:overlay val="0"/>
      <c:spPr>
        <a:noFill/>
        <a:ln w="0">
          <a:noFill/>
        </a:ln>
      </c:spPr>
    </c:title>
    <c:autoTitleDeleted val="0"/>
    <c:plotArea>
      <c:layout/>
      <c:barChart>
        <c:barDir val="col"/>
        <c:grouping val="clustered"/>
        <c:varyColors val="0"/>
        <c:ser>
          <c:idx val="0"/>
          <c:order val="0"/>
          <c:tx>
            <c:strRef>
              <c:f>'Returns (Calc)'!$F$2</c:f>
              <c:strCache>
                <c:ptCount val="1"/>
                <c:pt idx="0">
                  <c:v>CRWD</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(Calc)'!$F$3:$F$500</c:f>
              <c:numCache>
                <c:formatCode>0.0%</c:formatCode>
                <c:ptCount val="498"/>
                <c:pt idx="0">
                  <c:v>-1.7408123791102459E-2</c:v>
                </c:pt>
                <c:pt idx="1">
                  <c:v>2.9773622047244208E-2</c:v>
                </c:pt>
                <c:pt idx="2">
                  <c:v>5.5436081242532964E-2</c:v>
                </c:pt>
                <c:pt idx="3">
                  <c:v>5.1165949739642169E-2</c:v>
                </c:pt>
                <c:pt idx="4">
                  <c:v>-3.7475769976308415E-2</c:v>
                </c:pt>
                <c:pt idx="5">
                  <c:v>-3.3117028417990579E-2</c:v>
                </c:pt>
                <c:pt idx="6">
                  <c:v>8.9099745429298771E-2</c:v>
                </c:pt>
                <c:pt idx="7">
                  <c:v>4.2923926901827336E-2</c:v>
                </c:pt>
                <c:pt idx="8">
                  <c:v>5.4808475957620395E-2</c:v>
                </c:pt>
                <c:pt idx="9">
                  <c:v>1.7384585667374886E-2</c:v>
                </c:pt>
                <c:pt idx="10">
                  <c:v>0.11562559331687861</c:v>
                </c:pt>
                <c:pt idx="11">
                  <c:v>3.1994554118447871E-2</c:v>
                </c:pt>
                <c:pt idx="12">
                  <c:v>7.2229551451187257E-2</c:v>
                </c:pt>
                <c:pt idx="13">
                  <c:v>-1.7071670255306093E-2</c:v>
                </c:pt>
                <c:pt idx="14">
                  <c:v>-1.2517602879048573E-3</c:v>
                </c:pt>
                <c:pt idx="15">
                  <c:v>-3.0706564311452356E-2</c:v>
                </c:pt>
                <c:pt idx="16">
                  <c:v>0.14498141263940534</c:v>
                </c:pt>
                <c:pt idx="17">
                  <c:v>2.5409373235460109E-2</c:v>
                </c:pt>
                <c:pt idx="18">
                  <c:v>-8.2599118942738858E-4</c:v>
                </c:pt>
                <c:pt idx="19">
                  <c:v>4.5604849820887416E-2</c:v>
                </c:pt>
                <c:pt idx="20">
                  <c:v>8.485966530504685E-2</c:v>
                </c:pt>
                <c:pt idx="21">
                  <c:v>-2.4292481476972938E-4</c:v>
                </c:pt>
                <c:pt idx="22">
                  <c:v>-5.3942412829546815E-2</c:v>
                </c:pt>
                <c:pt idx="23">
                  <c:v>1.001669449081799E-2</c:v>
                </c:pt>
                <c:pt idx="24">
                  <c:v>2.6191989828353357E-2</c:v>
                </c:pt>
                <c:pt idx="25">
                  <c:v>-2.2302069136414304E-2</c:v>
                </c:pt>
                <c:pt idx="26">
                  <c:v>3.7764541883158032E-2</c:v>
                </c:pt>
                <c:pt idx="27">
                  <c:v>-2.1248015630724093E-2</c:v>
                </c:pt>
                <c:pt idx="28">
                  <c:v>-1.5845290081098029E-2</c:v>
                </c:pt>
                <c:pt idx="29">
                  <c:v>-2.0537525354969444E-2</c:v>
                </c:pt>
                <c:pt idx="30">
                  <c:v>-8.5425834843386061E-2</c:v>
                </c:pt>
                <c:pt idx="31">
                  <c:v>7.5856212850268889E-2</c:v>
                </c:pt>
                <c:pt idx="32">
                  <c:v>2.0126282557221709E-2</c:v>
                </c:pt>
                <c:pt idx="33">
                  <c:v>3.4042553191489411E-2</c:v>
                </c:pt>
                <c:pt idx="34">
                  <c:v>7.8438708068337748E-2</c:v>
                </c:pt>
                <c:pt idx="35">
                  <c:v>1.6073080481036062E-2</c:v>
                </c:pt>
                <c:pt idx="36">
                  <c:v>-0.10754523728234899</c:v>
                </c:pt>
                <c:pt idx="37">
                  <c:v>0.11298138230043353</c:v>
                </c:pt>
                <c:pt idx="38">
                  <c:v>0.10403299725022919</c:v>
                </c:pt>
                <c:pt idx="39">
                  <c:v>-1.2453300124533051E-2</c:v>
                </c:pt>
                <c:pt idx="40">
                  <c:v>6.7255149222362753E-3</c:v>
                </c:pt>
                <c:pt idx="41">
                  <c:v>1.6910229645094033E-2</c:v>
                </c:pt>
                <c:pt idx="42">
                  <c:v>-4.711558201601318E-2</c:v>
                </c:pt>
                <c:pt idx="43">
                  <c:v>-0.17871377787353226</c:v>
                </c:pt>
                <c:pt idx="44">
                  <c:v>-0.16002098635886663</c:v>
                </c:pt>
                <c:pt idx="45">
                  <c:v>-0.14943785134291077</c:v>
                </c:pt>
                <c:pt idx="46">
                  <c:v>0.10556269506150184</c:v>
                </c:pt>
                <c:pt idx="47">
                  <c:v>9.0003321155762261E-2</c:v>
                </c:pt>
                <c:pt idx="48">
                  <c:v>3.427787934186477E-2</c:v>
                </c:pt>
                <c:pt idx="49">
                  <c:v>2.1063485049344521E-2</c:v>
                </c:pt>
                <c:pt idx="50">
                  <c:v>-0.11136757068667036</c:v>
                </c:pt>
                <c:pt idx="51">
                  <c:v>5.1623376623376682E-2</c:v>
                </c:pt>
                <c:pt idx="52">
                  <c:v>0.15714726767520837</c:v>
                </c:pt>
                <c:pt idx="53">
                  <c:v>-4.6691568836712882E-2</c:v>
                </c:pt>
                <c:pt idx="54">
                  <c:v>2.2390148334732851E-2</c:v>
                </c:pt>
                <c:pt idx="55">
                  <c:v>9.5674787845606346E-2</c:v>
                </c:pt>
                <c:pt idx="56">
                  <c:v>-3.1355402873204152E-2</c:v>
                </c:pt>
                <c:pt idx="57">
                  <c:v>-3.0822801134898103E-2</c:v>
                </c:pt>
                <c:pt idx="58">
                  <c:v>8.3832335329341312E-3</c:v>
                </c:pt>
                <c:pt idx="59">
                  <c:v>8.8809712325151891E-2</c:v>
                </c:pt>
                <c:pt idx="60">
                  <c:v>2.0361168343230984E-2</c:v>
                </c:pt>
                <c:pt idx="61">
                  <c:v>0.10547570970424025</c:v>
                </c:pt>
                <c:pt idx="62">
                  <c:v>-7.0699473514558964E-2</c:v>
                </c:pt>
                <c:pt idx="63">
                  <c:v>5.6885189039195261E-2</c:v>
                </c:pt>
                <c:pt idx="64">
                  <c:v>6.4544360573242088E-3</c:v>
                </c:pt>
                <c:pt idx="65">
                  <c:v>-1.5543478260869659E-2</c:v>
                </c:pt>
                <c:pt idx="66">
                  <c:v>-2.0094954179087909E-2</c:v>
                </c:pt>
                <c:pt idx="67">
                  <c:v>1.1267605633802802E-2</c:v>
                </c:pt>
                <c:pt idx="68">
                  <c:v>-2.8300835654596179E-2</c:v>
                </c:pt>
                <c:pt idx="69">
                  <c:v>2.3391812865497075E-2</c:v>
                </c:pt>
                <c:pt idx="70">
                  <c:v>5.0196078431372637E-2</c:v>
                </c:pt>
                <c:pt idx="71">
                  <c:v>6.1773178278032637E-2</c:v>
                </c:pt>
                <c:pt idx="72">
                  <c:v>5.9083601286173737E-2</c:v>
                </c:pt>
                <c:pt idx="73">
                  <c:v>7.1442125237191734E-2</c:v>
                </c:pt>
                <c:pt idx="74">
                  <c:v>-9.9707783582750453E-2</c:v>
                </c:pt>
                <c:pt idx="75">
                  <c:v>-4.1801908134159516E-2</c:v>
                </c:pt>
                <c:pt idx="76">
                  <c:v>-0.14411825087251084</c:v>
                </c:pt>
                <c:pt idx="77">
                  <c:v>6.0566082993523729E-2</c:v>
                </c:pt>
                <c:pt idx="78">
                  <c:v>2.4086848354630819E-2</c:v>
                </c:pt>
                <c:pt idx="79">
                  <c:v>-1.4134275618374548E-2</c:v>
                </c:pt>
                <c:pt idx="80">
                  <c:v>-9.9350358422939156E-2</c:v>
                </c:pt>
                <c:pt idx="81">
                  <c:v>0.17485387389628149</c:v>
                </c:pt>
                <c:pt idx="82">
                  <c:v>-6.033661479834751E-3</c:v>
                </c:pt>
                <c:pt idx="83">
                  <c:v>0.13120340788072404</c:v>
                </c:pt>
                <c:pt idx="84">
                  <c:v>3.6904537751835775E-2</c:v>
                </c:pt>
                <c:pt idx="85">
                  <c:v>-6.8095151625204298E-2</c:v>
                </c:pt>
                <c:pt idx="86">
                  <c:v>6.9953234606391135E-2</c:v>
                </c:pt>
                <c:pt idx="87">
                  <c:v>3.7151702786377916E-2</c:v>
                </c:pt>
                <c:pt idx="88">
                  <c:v>3.4591747146619722E-2</c:v>
                </c:pt>
                <c:pt idx="89">
                  <c:v>-6.2797012898846427E-3</c:v>
                </c:pt>
                <c:pt idx="90">
                  <c:v>2.6046114432109357E-2</c:v>
                </c:pt>
                <c:pt idx="91">
                  <c:v>-8.9887640449439754E-3</c:v>
                </c:pt>
                <c:pt idx="92">
                  <c:v>4.837490551776269E-2</c:v>
                </c:pt>
                <c:pt idx="93">
                  <c:v>2.9560201874549552E-2</c:v>
                </c:pt>
                <c:pt idx="94">
                  <c:v>-6.9327731092437062E-2</c:v>
                </c:pt>
                <c:pt idx="95">
                  <c:v>-5.1835130841902943E-3</c:v>
                </c:pt>
                <c:pt idx="96">
                  <c:v>-1.6892175813093435E-2</c:v>
                </c:pt>
                <c:pt idx="97">
                  <c:v>-4.5392374764917087E-2</c:v>
                </c:pt>
                <c:pt idx="98">
                  <c:v>-4.970000895495652E-2</c:v>
                </c:pt>
                <c:pt idx="99">
                  <c:v>8.0098002261590473E-3</c:v>
                </c:pt>
                <c:pt idx="100">
                  <c:v>-1.7107600261755618E-2</c:v>
                </c:pt>
                <c:pt idx="101">
                  <c:v>7.5137911356286669E-3</c:v>
                </c:pt>
                <c:pt idx="102">
                  <c:v>-1.43490984612481E-2</c:v>
                </c:pt>
                <c:pt idx="103">
                  <c:v>4.4248635188200325E-2</c:v>
                </c:pt>
                <c:pt idx="104">
                  <c:v>0.15234339172704758</c:v>
                </c:pt>
                <c:pt idx="105">
                  <c:v>-4.2024832855778405E-2</c:v>
                </c:pt>
                <c:pt idx="106">
                  <c:v>1.7530741110003412E-2</c:v>
                </c:pt>
                <c:pt idx="107">
                  <c:v>7.7570017147057246E-3</c:v>
                </c:pt>
                <c:pt idx="108">
                  <c:v>-1.83114568141306E-2</c:v>
                </c:pt>
                <c:pt idx="109">
                  <c:v>8.8065368108286801E-2</c:v>
                </c:pt>
                <c:pt idx="110">
                  <c:v>2.9735265114162024E-2</c:v>
                </c:pt>
                <c:pt idx="111">
                  <c:v>-5.8931860036832706E-3</c:v>
                </c:pt>
                <c:pt idx="112">
                  <c:v>-4.1496850685439624E-3</c:v>
                </c:pt>
                <c:pt idx="113">
                  <c:v>-8.7208869707567471E-2</c:v>
                </c:pt>
                <c:pt idx="114">
                  <c:v>3.7662020053802925E-2</c:v>
                </c:pt>
                <c:pt idx="115">
                  <c:v>5.6563752062219752E-3</c:v>
                </c:pt>
                <c:pt idx="116">
                  <c:v>-1.4217639246933755E-2</c:v>
                </c:pt>
                <c:pt idx="117">
                  <c:v>-4.6517156668515747E-2</c:v>
                </c:pt>
                <c:pt idx="118">
                  <c:v>-1.6622340425531679E-4</c:v>
                </c:pt>
                <c:pt idx="119">
                  <c:v>-5.7439733998337461E-2</c:v>
                </c:pt>
                <c:pt idx="120">
                  <c:v>3.7569450568833318E-2</c:v>
                </c:pt>
                <c:pt idx="121">
                  <c:v>-3.5529111772205746E-2</c:v>
                </c:pt>
                <c:pt idx="122">
                  <c:v>-3.0845157310301907E-3</c:v>
                </c:pt>
                <c:pt idx="123">
                  <c:v>-2.4487270155587049E-2</c:v>
                </c:pt>
                <c:pt idx="124">
                  <c:v>-0.10394200271862253</c:v>
                </c:pt>
                <c:pt idx="125">
                  <c:v>8.6266181229773586E-2</c:v>
                </c:pt>
                <c:pt idx="126">
                  <c:v>-9.5521832231635684E-2</c:v>
                </c:pt>
                <c:pt idx="127">
                  <c:v>-4.2717447246526041E-2</c:v>
                </c:pt>
                <c:pt idx="128">
                  <c:v>0.15322580645161299</c:v>
                </c:pt>
                <c:pt idx="129">
                  <c:v>2.9743589743589816E-2</c:v>
                </c:pt>
                <c:pt idx="130">
                  <c:v>-7.4157913799347996E-2</c:v>
                </c:pt>
                <c:pt idx="131">
                  <c:v>-9.6430317848410718E-2</c:v>
                </c:pt>
                <c:pt idx="132">
                  <c:v>7.9987011581339917E-2</c:v>
                </c:pt>
                <c:pt idx="133">
                  <c:v>-5.0410903988775346E-2</c:v>
                </c:pt>
                <c:pt idx="134">
                  <c:v>0.11862796833773093</c:v>
                </c:pt>
                <c:pt idx="135">
                  <c:v>5.6986508161147365E-2</c:v>
                </c:pt>
                <c:pt idx="136">
                  <c:v>1.6781219316254425E-2</c:v>
                </c:pt>
                <c:pt idx="137">
                  <c:v>0.15828285488543581</c:v>
                </c:pt>
                <c:pt idx="138">
                  <c:v>0.12566318023343959</c:v>
                </c:pt>
                <c:pt idx="139">
                  <c:v>0.11681928359816851</c:v>
                </c:pt>
                <c:pt idx="140">
                  <c:v>0.10176644360040998</c:v>
                </c:pt>
                <c:pt idx="141">
                  <c:v>-8.2024623803009677E-2</c:v>
                </c:pt>
                <c:pt idx="142">
                  <c:v>1.7525035765379116E-2</c:v>
                </c:pt>
                <c:pt idx="143">
                  <c:v>2.9876977152900608E-3</c:v>
                </c:pt>
                <c:pt idx="144">
                  <c:v>2.3713568132702534E-2</c:v>
                </c:pt>
                <c:pt idx="145">
                  <c:v>0.10674958635248455</c:v>
                </c:pt>
                <c:pt idx="146">
                  <c:v>-3.5055160325806689E-2</c:v>
                </c:pt>
                <c:pt idx="147">
                  <c:v>8.4944972753499437E-2</c:v>
                </c:pt>
                <c:pt idx="148">
                  <c:v>-9.7498522749655314E-2</c:v>
                </c:pt>
                <c:pt idx="149">
                  <c:v>4.1357485814055073E-2</c:v>
                </c:pt>
                <c:pt idx="150">
                  <c:v>0.12344126584931359</c:v>
                </c:pt>
                <c:pt idx="151">
                  <c:v>1.1799272455927712E-2</c:v>
                </c:pt>
                <c:pt idx="152">
                  <c:v>-0.11523392486748096</c:v>
                </c:pt>
                <c:pt idx="153">
                  <c:v>0.13779630112008334</c:v>
                </c:pt>
                <c:pt idx="154">
                  <c:v>-2.4267399267399292E-2</c:v>
                </c:pt>
                <c:pt idx="155">
                  <c:v>-2.9845143125293183E-2</c:v>
                </c:pt>
                <c:pt idx="156">
                  <c:v>0.14951146367418011</c:v>
                </c:pt>
                <c:pt idx="157">
                  <c:v>6.0929938985903487E-2</c:v>
                </c:pt>
                <c:pt idx="158">
                  <c:v>7.103478364335869E-2</c:v>
                </c:pt>
                <c:pt idx="159">
                  <c:v>0</c:v>
                </c:pt>
              </c:numCache>
            </c:numRef>
          </c:val>
          <c:extLst>
            <c:ext xmlns:c16="http://schemas.microsoft.com/office/drawing/2014/chart" uri="{C3380CC4-5D6E-409C-BE32-E72D297353CC}">
              <c16:uniqueId val="{00000000-C93D-470F-AA42-C3EAD49FE5AE}"/>
            </c:ext>
          </c:extLst>
        </c:ser>
        <c:dLbls>
          <c:showLegendKey val="0"/>
          <c:showVal val="0"/>
          <c:showCatName val="0"/>
          <c:showSerName val="0"/>
          <c:showPercent val="0"/>
          <c:showBubbleSize val="0"/>
        </c:dLbls>
        <c:gapWidth val="150"/>
        <c:axId val="35281103"/>
        <c:axId val="32230491"/>
      </c:barChart>
      <c:lineChart>
        <c:grouping val="standard"/>
        <c:varyColors val="0"/>
        <c:ser>
          <c:idx val="1"/>
          <c:order val="1"/>
          <c:tx>
            <c:strRef>
              <c:f>'Returns (Calc)'!$AA$2</c:f>
              <c:strCache>
                <c:ptCount val="1"/>
                <c:pt idx="0">
                  <c:v>CRWD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(Calc)'!$AA$3:$AA$500</c:f>
              <c:numCache>
                <c:formatCode>#,##0.00</c:formatCode>
                <c:ptCount val="498"/>
                <c:pt idx="0">
                  <c:v>41.36</c:v>
                </c:pt>
                <c:pt idx="1">
                  <c:v>42.807341772151901</c:v>
                </c:pt>
                <c:pt idx="2">
                  <c:v>44.254683544303795</c:v>
                </c:pt>
                <c:pt idx="3">
                  <c:v>45.702025316455696</c:v>
                </c:pt>
                <c:pt idx="4">
                  <c:v>47.149367088607598</c:v>
                </c:pt>
                <c:pt idx="5">
                  <c:v>48.596708860759492</c:v>
                </c:pt>
                <c:pt idx="6">
                  <c:v>50.044050632911393</c:v>
                </c:pt>
                <c:pt idx="7">
                  <c:v>51.491392405063294</c:v>
                </c:pt>
                <c:pt idx="8">
                  <c:v>52.938734177215188</c:v>
                </c:pt>
                <c:pt idx="9">
                  <c:v>54.38607594936709</c:v>
                </c:pt>
                <c:pt idx="10">
                  <c:v>55.833417721518984</c:v>
                </c:pt>
                <c:pt idx="11">
                  <c:v>57.280759493670885</c:v>
                </c:pt>
                <c:pt idx="12">
                  <c:v>58.728101265822787</c:v>
                </c:pt>
                <c:pt idx="13">
                  <c:v>60.175443037974688</c:v>
                </c:pt>
                <c:pt idx="14">
                  <c:v>61.622784810126582</c:v>
                </c:pt>
                <c:pt idx="15">
                  <c:v>63.070126582278483</c:v>
                </c:pt>
                <c:pt idx="16">
                  <c:v>64.517468354430378</c:v>
                </c:pt>
                <c:pt idx="17">
                  <c:v>65.964810126582279</c:v>
                </c:pt>
                <c:pt idx="18">
                  <c:v>67.41215189873418</c:v>
                </c:pt>
                <c:pt idx="19">
                  <c:v>68.859493670886081</c:v>
                </c:pt>
                <c:pt idx="20">
                  <c:v>70.306835443037983</c:v>
                </c:pt>
                <c:pt idx="21">
                  <c:v>71.75417721518987</c:v>
                </c:pt>
                <c:pt idx="22">
                  <c:v>73.201518987341771</c:v>
                </c:pt>
                <c:pt idx="23">
                  <c:v>74.648860759493672</c:v>
                </c:pt>
                <c:pt idx="24">
                  <c:v>76.096202531645559</c:v>
                </c:pt>
                <c:pt idx="25">
                  <c:v>77.543544303797461</c:v>
                </c:pt>
                <c:pt idx="26">
                  <c:v>78.990886075949362</c:v>
                </c:pt>
                <c:pt idx="27">
                  <c:v>80.438227848101263</c:v>
                </c:pt>
                <c:pt idx="28">
                  <c:v>81.885569620253165</c:v>
                </c:pt>
                <c:pt idx="29">
                  <c:v>83.332911392405066</c:v>
                </c:pt>
                <c:pt idx="30">
                  <c:v>84.780253164556967</c:v>
                </c:pt>
                <c:pt idx="31">
                  <c:v>86.227594936708869</c:v>
                </c:pt>
                <c:pt idx="32">
                  <c:v>87.67493670886077</c:v>
                </c:pt>
                <c:pt idx="33">
                  <c:v>89.122278481012671</c:v>
                </c:pt>
                <c:pt idx="34">
                  <c:v>90.569620253164558</c:v>
                </c:pt>
                <c:pt idx="35">
                  <c:v>92.01696202531646</c:v>
                </c:pt>
                <c:pt idx="36">
                  <c:v>93.464303797468347</c:v>
                </c:pt>
                <c:pt idx="37">
                  <c:v>94.911645569620248</c:v>
                </c:pt>
                <c:pt idx="38">
                  <c:v>96.358987341772149</c:v>
                </c:pt>
                <c:pt idx="39">
                  <c:v>97.80632911392405</c:v>
                </c:pt>
                <c:pt idx="40">
                  <c:v>99.253670886075952</c:v>
                </c:pt>
                <c:pt idx="41">
                  <c:v>100.70101265822785</c:v>
                </c:pt>
                <c:pt idx="42">
                  <c:v>102.14835443037974</c:v>
                </c:pt>
                <c:pt idx="43">
                  <c:v>103.59569620253164</c:v>
                </c:pt>
                <c:pt idx="44">
                  <c:v>105.04303797468354</c:v>
                </c:pt>
                <c:pt idx="45">
                  <c:v>106.49037974683544</c:v>
                </c:pt>
                <c:pt idx="46">
                  <c:v>107.93772151898735</c:v>
                </c:pt>
                <c:pt idx="47">
                  <c:v>109.38506329113925</c:v>
                </c:pt>
                <c:pt idx="48">
                  <c:v>110.83240506329113</c:v>
                </c:pt>
                <c:pt idx="49">
                  <c:v>112.27974683544304</c:v>
                </c:pt>
                <c:pt idx="50">
                  <c:v>113.72708860759494</c:v>
                </c:pt>
                <c:pt idx="51">
                  <c:v>115.17443037974684</c:v>
                </c:pt>
                <c:pt idx="52">
                  <c:v>116.62177215189874</c:v>
                </c:pt>
                <c:pt idx="53">
                  <c:v>118.06911392405064</c:v>
                </c:pt>
                <c:pt idx="54">
                  <c:v>119.51645569620254</c:v>
                </c:pt>
                <c:pt idx="55">
                  <c:v>120.96379746835443</c:v>
                </c:pt>
                <c:pt idx="56">
                  <c:v>122.41113924050633</c:v>
                </c:pt>
                <c:pt idx="57">
                  <c:v>123.85848101265823</c:v>
                </c:pt>
                <c:pt idx="58">
                  <c:v>125.30582278481013</c:v>
                </c:pt>
                <c:pt idx="59">
                  <c:v>126.75316455696203</c:v>
                </c:pt>
                <c:pt idx="60">
                  <c:v>128.20050632911392</c:v>
                </c:pt>
                <c:pt idx="61">
                  <c:v>129.64784810126582</c:v>
                </c:pt>
                <c:pt idx="62">
                  <c:v>131.09518987341772</c:v>
                </c:pt>
                <c:pt idx="63">
                  <c:v>132.54253164556962</c:v>
                </c:pt>
                <c:pt idx="64">
                  <c:v>133.98987341772153</c:v>
                </c:pt>
                <c:pt idx="65">
                  <c:v>135.43721518987343</c:v>
                </c:pt>
                <c:pt idx="66">
                  <c:v>136.88455696202533</c:v>
                </c:pt>
                <c:pt idx="67">
                  <c:v>138.33189873417723</c:v>
                </c:pt>
                <c:pt idx="68">
                  <c:v>139.77924050632913</c:v>
                </c:pt>
                <c:pt idx="69">
                  <c:v>141.22658227848103</c:v>
                </c:pt>
                <c:pt idx="70">
                  <c:v>142.67392405063293</c:v>
                </c:pt>
                <c:pt idx="71">
                  <c:v>144.12126582278481</c:v>
                </c:pt>
                <c:pt idx="72">
                  <c:v>145.56860759493671</c:v>
                </c:pt>
                <c:pt idx="73">
                  <c:v>147.01594936708861</c:v>
                </c:pt>
                <c:pt idx="74">
                  <c:v>148.46329113924051</c:v>
                </c:pt>
                <c:pt idx="75">
                  <c:v>149.91063291139238</c:v>
                </c:pt>
                <c:pt idx="76">
                  <c:v>151.35797468354428</c:v>
                </c:pt>
                <c:pt idx="77">
                  <c:v>152.80531645569619</c:v>
                </c:pt>
                <c:pt idx="78">
                  <c:v>154.25265822784809</c:v>
                </c:pt>
                <c:pt idx="79">
                  <c:v>155.69999999999999</c:v>
                </c:pt>
                <c:pt idx="80">
                  <c:v>157.14734177215189</c:v>
                </c:pt>
                <c:pt idx="81">
                  <c:v>158.59468354430379</c:v>
                </c:pt>
                <c:pt idx="82">
                  <c:v>160.04202531645569</c:v>
                </c:pt>
                <c:pt idx="83">
                  <c:v>161.48936708860759</c:v>
                </c:pt>
                <c:pt idx="84">
                  <c:v>162.9367088607595</c:v>
                </c:pt>
                <c:pt idx="85">
                  <c:v>164.3840506329114</c:v>
                </c:pt>
                <c:pt idx="86">
                  <c:v>165.8313924050633</c:v>
                </c:pt>
                <c:pt idx="87">
                  <c:v>167.2787341772152</c:v>
                </c:pt>
                <c:pt idx="88">
                  <c:v>168.7260759493671</c:v>
                </c:pt>
                <c:pt idx="89">
                  <c:v>170.173417721519</c:v>
                </c:pt>
                <c:pt idx="90">
                  <c:v>171.6207594936709</c:v>
                </c:pt>
                <c:pt idx="91">
                  <c:v>173.0681012658228</c:v>
                </c:pt>
                <c:pt idx="92">
                  <c:v>174.51544303797471</c:v>
                </c:pt>
                <c:pt idx="93">
                  <c:v>175.96278481012661</c:v>
                </c:pt>
                <c:pt idx="94">
                  <c:v>177.41012658227851</c:v>
                </c:pt>
                <c:pt idx="95">
                  <c:v>178.85746835443041</c:v>
                </c:pt>
                <c:pt idx="96">
                  <c:v>180.30481012658225</c:v>
                </c:pt>
                <c:pt idx="97">
                  <c:v>181.75215189873416</c:v>
                </c:pt>
                <c:pt idx="98">
                  <c:v>183.19949367088606</c:v>
                </c:pt>
                <c:pt idx="99">
                  <c:v>184.64683544303796</c:v>
                </c:pt>
                <c:pt idx="100">
                  <c:v>186.09417721518986</c:v>
                </c:pt>
                <c:pt idx="101">
                  <c:v>187.54151898734176</c:v>
                </c:pt>
                <c:pt idx="102">
                  <c:v>188.98886075949366</c:v>
                </c:pt>
                <c:pt idx="103">
                  <c:v>190.43620253164556</c:v>
                </c:pt>
                <c:pt idx="104">
                  <c:v>191.88354430379746</c:v>
                </c:pt>
                <c:pt idx="105">
                  <c:v>193.33088607594937</c:v>
                </c:pt>
                <c:pt idx="106">
                  <c:v>194.77822784810127</c:v>
                </c:pt>
                <c:pt idx="107">
                  <c:v>196.22556962025317</c:v>
                </c:pt>
                <c:pt idx="108">
                  <c:v>197.67291139240507</c:v>
                </c:pt>
                <c:pt idx="109">
                  <c:v>199.12025316455697</c:v>
                </c:pt>
                <c:pt idx="110">
                  <c:v>200.56759493670887</c:v>
                </c:pt>
                <c:pt idx="111">
                  <c:v>202.01493670886077</c:v>
                </c:pt>
                <c:pt idx="112">
                  <c:v>203.46227848101267</c:v>
                </c:pt>
                <c:pt idx="113">
                  <c:v>204.90962025316458</c:v>
                </c:pt>
                <c:pt idx="114">
                  <c:v>206.35696202531648</c:v>
                </c:pt>
                <c:pt idx="115">
                  <c:v>207.80430379746838</c:v>
                </c:pt>
                <c:pt idx="116">
                  <c:v>209.25164556962028</c:v>
                </c:pt>
                <c:pt idx="117">
                  <c:v>210.69898734177218</c:v>
                </c:pt>
                <c:pt idx="118">
                  <c:v>212.14632911392408</c:v>
                </c:pt>
                <c:pt idx="119">
                  <c:v>213.59367088607598</c:v>
                </c:pt>
                <c:pt idx="120">
                  <c:v>215.04101265822788</c:v>
                </c:pt>
                <c:pt idx="121">
                  <c:v>216.48835443037979</c:v>
                </c:pt>
                <c:pt idx="122">
                  <c:v>217.93569620253163</c:v>
                </c:pt>
                <c:pt idx="123">
                  <c:v>219.38303797468353</c:v>
                </c:pt>
                <c:pt idx="124">
                  <c:v>220.83037974683543</c:v>
                </c:pt>
                <c:pt idx="125">
                  <c:v>222.27772151898733</c:v>
                </c:pt>
                <c:pt idx="126">
                  <c:v>223.72506329113924</c:v>
                </c:pt>
                <c:pt idx="127">
                  <c:v>225.17240506329114</c:v>
                </c:pt>
                <c:pt idx="128">
                  <c:v>226.61974683544304</c:v>
                </c:pt>
                <c:pt idx="129">
                  <c:v>228.06708860759494</c:v>
                </c:pt>
                <c:pt idx="130">
                  <c:v>229.51443037974684</c:v>
                </c:pt>
                <c:pt idx="131">
                  <c:v>230.96177215189874</c:v>
                </c:pt>
                <c:pt idx="132">
                  <c:v>232.40911392405064</c:v>
                </c:pt>
                <c:pt idx="133">
                  <c:v>233.85645569620254</c:v>
                </c:pt>
                <c:pt idx="134">
                  <c:v>235.30379746835445</c:v>
                </c:pt>
                <c:pt idx="135">
                  <c:v>236.75113924050635</c:v>
                </c:pt>
                <c:pt idx="136">
                  <c:v>238.19848101265825</c:v>
                </c:pt>
                <c:pt idx="137">
                  <c:v>239.64582278481015</c:v>
                </c:pt>
                <c:pt idx="138">
                  <c:v>241.09316455696205</c:v>
                </c:pt>
                <c:pt idx="139">
                  <c:v>242.54050632911395</c:v>
                </c:pt>
                <c:pt idx="140">
                  <c:v>243.98784810126585</c:v>
                </c:pt>
                <c:pt idx="141">
                  <c:v>245.43518987341776</c:v>
                </c:pt>
                <c:pt idx="142">
                  <c:v>246.8825316455696</c:v>
                </c:pt>
                <c:pt idx="143">
                  <c:v>248.3298734177215</c:v>
                </c:pt>
                <c:pt idx="144">
                  <c:v>249.7772151898734</c:v>
                </c:pt>
                <c:pt idx="145">
                  <c:v>251.2245569620253</c:v>
                </c:pt>
                <c:pt idx="146">
                  <c:v>252.6718987341772</c:v>
                </c:pt>
                <c:pt idx="147">
                  <c:v>254.11924050632911</c:v>
                </c:pt>
                <c:pt idx="148">
                  <c:v>255.56658227848101</c:v>
                </c:pt>
                <c:pt idx="149">
                  <c:v>257.01392405063291</c:v>
                </c:pt>
                <c:pt idx="150">
                  <c:v>258.46126582278481</c:v>
                </c:pt>
                <c:pt idx="151">
                  <c:v>259.90860759493671</c:v>
                </c:pt>
                <c:pt idx="152">
                  <c:v>261.35594936708861</c:v>
                </c:pt>
                <c:pt idx="153">
                  <c:v>262.80329113924051</c:v>
                </c:pt>
                <c:pt idx="154">
                  <c:v>264.25063291139242</c:v>
                </c:pt>
                <c:pt idx="155">
                  <c:v>265.69797468354432</c:v>
                </c:pt>
                <c:pt idx="156">
                  <c:v>267.14531645569622</c:v>
                </c:pt>
                <c:pt idx="157">
                  <c:v>268.59265822784812</c:v>
                </c:pt>
                <c:pt idx="158">
                  <c:v>270.04000000000002</c:v>
                </c:pt>
                <c:pt idx="159">
                  <c:v>271.48734177215192</c:v>
                </c:pt>
              </c:numCache>
            </c:numRef>
          </c:val>
          <c:smooth val="0"/>
          <c:extLst>
            <c:ext xmlns:c16="http://schemas.microsoft.com/office/drawing/2014/chart" uri="{C3380CC4-5D6E-409C-BE32-E72D297353CC}">
              <c16:uniqueId val="{00000001-C93D-470F-AA42-C3EAD49FE5AE}"/>
            </c:ext>
          </c:extLst>
        </c:ser>
        <c:dLbls>
          <c:showLegendKey val="0"/>
          <c:showVal val="0"/>
          <c:showCatName val="0"/>
          <c:showSerName val="0"/>
          <c:showPercent val="0"/>
          <c:showBubbleSize val="0"/>
        </c:dLbls>
        <c:hiLowLines>
          <c:spPr>
            <a:ln w="0">
              <a:noFill/>
            </a:ln>
          </c:spPr>
        </c:hiLowLines>
        <c:marker val="1"/>
        <c:smooth val="0"/>
        <c:axId val="51525111"/>
        <c:axId val="23361124"/>
      </c:lineChart>
      <c:dateAx>
        <c:axId val="35281103"/>
        <c:scaling>
          <c:orientation val="minMax"/>
        </c:scaling>
        <c:delete val="1"/>
        <c:axPos val="b"/>
        <c:numFmt formatCode="mm/dd/yyyy" sourceLinked="1"/>
        <c:majorTickMark val="none"/>
        <c:minorTickMark val="none"/>
        <c:tickLblPos val="nextTo"/>
        <c:crossAx val="32230491"/>
        <c:crosses val="autoZero"/>
        <c:auto val="1"/>
        <c:lblOffset val="100"/>
        <c:baseTimeUnit val="days"/>
      </c:dateAx>
      <c:valAx>
        <c:axId val="3223049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5281103"/>
        <c:crosses val="autoZero"/>
        <c:crossBetween val="between"/>
      </c:valAx>
      <c:dateAx>
        <c:axId val="51525111"/>
        <c:scaling>
          <c:orientation val="minMax"/>
        </c:scaling>
        <c:delete val="1"/>
        <c:axPos val="b"/>
        <c:numFmt formatCode="mm/dd/yyyy" sourceLinked="1"/>
        <c:majorTickMark val="none"/>
        <c:minorTickMark val="none"/>
        <c:tickLblPos val="nextTo"/>
        <c:crossAx val="23361124"/>
        <c:crosses val="autoZero"/>
        <c:auto val="1"/>
        <c:lblOffset val="100"/>
        <c:baseTimeUnit val="days"/>
      </c:dateAx>
      <c:valAx>
        <c:axId val="23361124"/>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1525111"/>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KLAC</a:t>
            </a:r>
          </a:p>
        </c:rich>
      </c:tx>
      <c:overlay val="0"/>
      <c:spPr>
        <a:noFill/>
        <a:ln w="0">
          <a:noFill/>
        </a:ln>
      </c:spPr>
    </c:title>
    <c:autoTitleDeleted val="0"/>
    <c:plotArea>
      <c:layout/>
      <c:barChart>
        <c:barDir val="col"/>
        <c:grouping val="clustered"/>
        <c:varyColors val="0"/>
        <c:ser>
          <c:idx val="0"/>
          <c:order val="0"/>
          <c:tx>
            <c:strRef>
              <c:f>'Returns (Calc)'!$G$2</c:f>
              <c:strCache>
                <c:ptCount val="1"/>
                <c:pt idx="0">
                  <c:v>KLAC</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(Calc)'!$G$3:$G$500</c:f>
              <c:numCache>
                <c:formatCode>0.0%</c:formatCode>
                <c:ptCount val="498"/>
                <c:pt idx="0">
                  <c:v>-5.1860202931229837E-3</c:v>
                </c:pt>
                <c:pt idx="1">
                  <c:v>1.5185856754306393E-2</c:v>
                </c:pt>
                <c:pt idx="2">
                  <c:v>2.031703505246707E-2</c:v>
                </c:pt>
                <c:pt idx="3">
                  <c:v>4.0262582056892704E-2</c:v>
                </c:pt>
                <c:pt idx="4">
                  <c:v>-5.006310475389153E-2</c:v>
                </c:pt>
                <c:pt idx="5">
                  <c:v>-9.7431355181576418E-3</c:v>
                </c:pt>
                <c:pt idx="6">
                  <c:v>9.1010733452594028E-2</c:v>
                </c:pt>
                <c:pt idx="7">
                  <c:v>6.9276491084238723E-2</c:v>
                </c:pt>
                <c:pt idx="8">
                  <c:v>2.204331991566022E-2</c:v>
                </c:pt>
                <c:pt idx="9">
                  <c:v>2.0442610652663173E-2</c:v>
                </c:pt>
                <c:pt idx="10">
                  <c:v>-1.1946333394596609E-2</c:v>
                </c:pt>
                <c:pt idx="11">
                  <c:v>-2.6599702380952328E-2</c:v>
                </c:pt>
                <c:pt idx="12">
                  <c:v>9.4783107204280626E-2</c:v>
                </c:pt>
                <c:pt idx="13">
                  <c:v>-4.1892127770990495E-3</c:v>
                </c:pt>
                <c:pt idx="14">
                  <c:v>-2.2787028921997798E-3</c:v>
                </c:pt>
                <c:pt idx="15">
                  <c:v>-6.3598032326071752E-2</c:v>
                </c:pt>
                <c:pt idx="16">
                  <c:v>2.9831144465290782E-2</c:v>
                </c:pt>
                <c:pt idx="17">
                  <c:v>9.3459646565859034E-2</c:v>
                </c:pt>
                <c:pt idx="18">
                  <c:v>-2.2159280239920087E-2</c:v>
                </c:pt>
                <c:pt idx="19">
                  <c:v>8.1785653433295025E-3</c:v>
                </c:pt>
                <c:pt idx="20">
                  <c:v>7.5376035152949106E-2</c:v>
                </c:pt>
                <c:pt idx="21">
                  <c:v>1.9959138771020069E-2</c:v>
                </c:pt>
                <c:pt idx="22">
                  <c:v>1.1248073959938099E-2</c:v>
                </c:pt>
                <c:pt idx="23">
                  <c:v>7.2984915435014619E-2</c:v>
                </c:pt>
                <c:pt idx="24">
                  <c:v>-2.5560920193126946E-2</c:v>
                </c:pt>
                <c:pt idx="25">
                  <c:v>-2.200524628388234E-2</c:v>
                </c:pt>
                <c:pt idx="26">
                  <c:v>3.904038146326938E-2</c:v>
                </c:pt>
                <c:pt idx="27">
                  <c:v>-1.6922415029399174E-2</c:v>
                </c:pt>
                <c:pt idx="28">
                  <c:v>-2.2465353756382034E-2</c:v>
                </c:pt>
                <c:pt idx="29">
                  <c:v>-2.9846291598268904E-3</c:v>
                </c:pt>
                <c:pt idx="30">
                  <c:v>-7.7383625205807549E-2</c:v>
                </c:pt>
                <c:pt idx="31">
                  <c:v>0.12443218689162894</c:v>
                </c:pt>
                <c:pt idx="32">
                  <c:v>-1.3706535853412194E-2</c:v>
                </c:pt>
                <c:pt idx="33">
                  <c:v>3.1158572264482043E-2</c:v>
                </c:pt>
                <c:pt idx="34">
                  <c:v>4.2984820541920765E-2</c:v>
                </c:pt>
                <c:pt idx="35">
                  <c:v>4.2029379760609498E-2</c:v>
                </c:pt>
                <c:pt idx="36">
                  <c:v>-2.5062002349562795E-2</c:v>
                </c:pt>
                <c:pt idx="37">
                  <c:v>1.2317579327888684E-2</c:v>
                </c:pt>
                <c:pt idx="38">
                  <c:v>7.2741700833223177E-2</c:v>
                </c:pt>
                <c:pt idx="39">
                  <c:v>-1.0109727530513979E-2</c:v>
                </c:pt>
                <c:pt idx="40">
                  <c:v>9.8393324199774757E-3</c:v>
                </c:pt>
                <c:pt idx="41">
                  <c:v>3.7247163295510477E-2</c:v>
                </c:pt>
                <c:pt idx="42">
                  <c:v>2.8537455410226897E-3</c:v>
                </c:pt>
                <c:pt idx="43">
                  <c:v>-0.11097936921982454</c:v>
                </c:pt>
                <c:pt idx="44">
                  <c:v>3.2675380101360396E-2</c:v>
                </c:pt>
                <c:pt idx="45">
                  <c:v>-0.11584657109647445</c:v>
                </c:pt>
                <c:pt idx="46">
                  <c:v>7.2597137014315027E-2</c:v>
                </c:pt>
                <c:pt idx="47">
                  <c:v>9.9550592400925897E-2</c:v>
                </c:pt>
                <c:pt idx="48">
                  <c:v>-2.1055239038890727E-3</c:v>
                </c:pt>
                <c:pt idx="49">
                  <c:v>1.8617351371479351E-3</c:v>
                </c:pt>
                <c:pt idx="50">
                  <c:v>-0.14234390485629334</c:v>
                </c:pt>
                <c:pt idx="51">
                  <c:v>6.9334103712263451E-2</c:v>
                </c:pt>
                <c:pt idx="52">
                  <c:v>9.8608672159936628E-3</c:v>
                </c:pt>
                <c:pt idx="53">
                  <c:v>3.1032637774210725E-2</c:v>
                </c:pt>
                <c:pt idx="54">
                  <c:v>6.3570316554228956E-3</c:v>
                </c:pt>
                <c:pt idx="55">
                  <c:v>2.0755446693309532E-2</c:v>
                </c:pt>
                <c:pt idx="56">
                  <c:v>-0.15584743622126807</c:v>
                </c:pt>
                <c:pt idx="57">
                  <c:v>-7.9293836026331777E-3</c:v>
                </c:pt>
                <c:pt idx="58">
                  <c:v>-5.579852209319891E-3</c:v>
                </c:pt>
                <c:pt idx="59">
                  <c:v>2.6994237185320014E-2</c:v>
                </c:pt>
                <c:pt idx="60">
                  <c:v>-0.10617247489663317</c:v>
                </c:pt>
                <c:pt idx="61">
                  <c:v>4.3779943829505896E-2</c:v>
                </c:pt>
                <c:pt idx="62">
                  <c:v>1.1712567268122864E-2</c:v>
                </c:pt>
                <c:pt idx="63">
                  <c:v>2.0337922403002029E-3</c:v>
                </c:pt>
                <c:pt idx="64">
                  <c:v>8.2747853239657498E-3</c:v>
                </c:pt>
                <c:pt idx="65">
                  <c:v>-3.7318055125425742E-2</c:v>
                </c:pt>
                <c:pt idx="66">
                  <c:v>2.4609940485764925E-2</c:v>
                </c:pt>
                <c:pt idx="67">
                  <c:v>1.883830455259039E-2</c:v>
                </c:pt>
                <c:pt idx="68">
                  <c:v>3.9753466872110899E-2</c:v>
                </c:pt>
                <c:pt idx="69">
                  <c:v>0.10892116182572598</c:v>
                </c:pt>
                <c:pt idx="70">
                  <c:v>-1.0156354403314194E-2</c:v>
                </c:pt>
                <c:pt idx="71">
                  <c:v>-1.5390846496557087E-2</c:v>
                </c:pt>
                <c:pt idx="72">
                  <c:v>1.2751953928424431E-2</c:v>
                </c:pt>
                <c:pt idx="73">
                  <c:v>4.0617384240455578E-3</c:v>
                </c:pt>
                <c:pt idx="74">
                  <c:v>4.7195253505933898E-3</c:v>
                </c:pt>
                <c:pt idx="75">
                  <c:v>-5.8113004965776427E-2</c:v>
                </c:pt>
                <c:pt idx="76">
                  <c:v>3.4197777144484576E-3</c:v>
                </c:pt>
                <c:pt idx="77">
                  <c:v>2.414086907128743E-3</c:v>
                </c:pt>
                <c:pt idx="78">
                  <c:v>-9.0664400056665873E-3</c:v>
                </c:pt>
                <c:pt idx="79">
                  <c:v>-4.6604717655468253E-2</c:v>
                </c:pt>
                <c:pt idx="80">
                  <c:v>-0.14409956515219668</c:v>
                </c:pt>
                <c:pt idx="81">
                  <c:v>0.16257883672039242</c:v>
                </c:pt>
                <c:pt idx="82">
                  <c:v>-5.3496081977094545E-2</c:v>
                </c:pt>
                <c:pt idx="83">
                  <c:v>9.4889348829804154E-2</c:v>
                </c:pt>
                <c:pt idx="84">
                  <c:v>5.0894285298823672E-3</c:v>
                </c:pt>
                <c:pt idx="85">
                  <c:v>4.4849537037037202E-3</c:v>
                </c:pt>
                <c:pt idx="86">
                  <c:v>0.12818666282586766</c:v>
                </c:pt>
                <c:pt idx="87">
                  <c:v>-4.0597472232860921E-2</c:v>
                </c:pt>
                <c:pt idx="88">
                  <c:v>-3.9920159680639777E-4</c:v>
                </c:pt>
                <c:pt idx="89">
                  <c:v>6.7492012779552635E-2</c:v>
                </c:pt>
                <c:pt idx="90">
                  <c:v>7.3824666417259044E-2</c:v>
                </c:pt>
                <c:pt idx="91">
                  <c:v>-2.0322842875391989E-2</c:v>
                </c:pt>
                <c:pt idx="92">
                  <c:v>4.6941678520625807E-2</c:v>
                </c:pt>
                <c:pt idx="93">
                  <c:v>3.8949275362319069E-2</c:v>
                </c:pt>
                <c:pt idx="94">
                  <c:v>0</c:v>
                </c:pt>
                <c:pt idx="95">
                  <c:v>7.0836965998255508E-3</c:v>
                </c:pt>
                <c:pt idx="96">
                  <c:v>-3.1165458283735514E-2</c:v>
                </c:pt>
                <c:pt idx="97">
                  <c:v>-1.7089243828884215E-2</c:v>
                </c:pt>
                <c:pt idx="98">
                  <c:v>3.1704545454545485E-2</c:v>
                </c:pt>
                <c:pt idx="99">
                  <c:v>-4.3506994162352708E-2</c:v>
                </c:pt>
                <c:pt idx="100">
                  <c:v>-3.2243205895901017E-3</c:v>
                </c:pt>
                <c:pt idx="101">
                  <c:v>1.9639556377080147E-3</c:v>
                </c:pt>
                <c:pt idx="102">
                  <c:v>3.7933817594834496E-2</c:v>
                </c:pt>
                <c:pt idx="103">
                  <c:v>6.5096645189957725E-2</c:v>
                </c:pt>
                <c:pt idx="104">
                  <c:v>8.3854818523154018E-2</c:v>
                </c:pt>
                <c:pt idx="105">
                  <c:v>1.8668206312548064E-2</c:v>
                </c:pt>
                <c:pt idx="106">
                  <c:v>3.4951823162667761E-2</c:v>
                </c:pt>
                <c:pt idx="107">
                  <c:v>-0.10779481562614091</c:v>
                </c:pt>
                <c:pt idx="108">
                  <c:v>0.12603580562659844</c:v>
                </c:pt>
                <c:pt idx="109">
                  <c:v>6.8865267557009391E-2</c:v>
                </c:pt>
                <c:pt idx="110">
                  <c:v>2.1929451763705865E-2</c:v>
                </c:pt>
                <c:pt idx="111">
                  <c:v>-1.2725609248939507E-2</c:v>
                </c:pt>
                <c:pt idx="112">
                  <c:v>-4.9536647009267187E-2</c:v>
                </c:pt>
                <c:pt idx="113">
                  <c:v>-3.1111505052295652E-2</c:v>
                </c:pt>
                <c:pt idx="114">
                  <c:v>7.1356691976946163E-2</c:v>
                </c:pt>
                <c:pt idx="115">
                  <c:v>3.321663393390839E-2</c:v>
                </c:pt>
                <c:pt idx="116">
                  <c:v>-1.6942148760330511E-2</c:v>
                </c:pt>
                <c:pt idx="117">
                  <c:v>4.3379571248423732E-2</c:v>
                </c:pt>
                <c:pt idx="118">
                  <c:v>2.7233905406494285E-2</c:v>
                </c:pt>
                <c:pt idx="119">
                  <c:v>-4.0003137500980168E-3</c:v>
                </c:pt>
                <c:pt idx="120">
                  <c:v>9.8440699322727809E-2</c:v>
                </c:pt>
                <c:pt idx="121">
                  <c:v>0.11987381703470024</c:v>
                </c:pt>
                <c:pt idx="122">
                  <c:v>-3.5083226632522391E-2</c:v>
                </c:pt>
                <c:pt idx="123">
                  <c:v>-5.6064225053078509E-2</c:v>
                </c:pt>
                <c:pt idx="124">
                  <c:v>1.0473044211710025E-2</c:v>
                </c:pt>
                <c:pt idx="125">
                  <c:v>1.4677239844184786E-2</c:v>
                </c:pt>
                <c:pt idx="126">
                  <c:v>2.3102762733941296E-2</c:v>
                </c:pt>
                <c:pt idx="127">
                  <c:v>1.9096756901634926E-2</c:v>
                </c:pt>
                <c:pt idx="128">
                  <c:v>-0.11808797422578743</c:v>
                </c:pt>
                <c:pt idx="129">
                  <c:v>5.5095802579587128E-2</c:v>
                </c:pt>
                <c:pt idx="130">
                  <c:v>5.6458451102317619E-2</c:v>
                </c:pt>
                <c:pt idx="131">
                  <c:v>-3.7054377633603086E-2</c:v>
                </c:pt>
                <c:pt idx="132">
                  <c:v>5.1052302563033836E-2</c:v>
                </c:pt>
                <c:pt idx="133">
                  <c:v>0.14532117367168929</c:v>
                </c:pt>
                <c:pt idx="134">
                  <c:v>3.1158040505452789E-2</c:v>
                </c:pt>
                <c:pt idx="135">
                  <c:v>8.0185775837949613E-2</c:v>
                </c:pt>
                <c:pt idx="136">
                  <c:v>-0.10790509738914211</c:v>
                </c:pt>
                <c:pt idx="137">
                  <c:v>8.2805876546077517E-2</c:v>
                </c:pt>
                <c:pt idx="138">
                  <c:v>-3.4697270338392205E-2</c:v>
                </c:pt>
                <c:pt idx="139">
                  <c:v>4.788888888888887E-2</c:v>
                </c:pt>
                <c:pt idx="140">
                  <c:v>1.7654543526667288E-2</c:v>
                </c:pt>
                <c:pt idx="141">
                  <c:v>3.9072675175826355E-3</c:v>
                </c:pt>
                <c:pt idx="142">
                  <c:v>0.31940840685002603</c:v>
                </c:pt>
                <c:pt idx="143">
                  <c:v>1.9744346116027378E-2</c:v>
                </c:pt>
                <c:pt idx="144">
                  <c:v>-4.2079685270181577E-2</c:v>
                </c:pt>
                <c:pt idx="145">
                  <c:v>-5.2665485585440486E-2</c:v>
                </c:pt>
                <c:pt idx="146">
                  <c:v>-1.7086025161509699E-2</c:v>
                </c:pt>
                <c:pt idx="147">
                  <c:v>-8.1077575023782766E-2</c:v>
                </c:pt>
                <c:pt idx="148">
                  <c:v>-1.0493623829466836E-2</c:v>
                </c:pt>
                <c:pt idx="149">
                  <c:v>-0.13158645615369979</c:v>
                </c:pt>
                <c:pt idx="150">
                  <c:v>8.3675592793384546E-2</c:v>
                </c:pt>
                <c:pt idx="151">
                  <c:v>2.8298549699327991E-2</c:v>
                </c:pt>
                <c:pt idx="152">
                  <c:v>-9.5827804806132955E-2</c:v>
                </c:pt>
                <c:pt idx="153">
                  <c:v>-4.5926409043969829E-2</c:v>
                </c:pt>
                <c:pt idx="154">
                  <c:v>5.7308875469978426E-2</c:v>
                </c:pt>
                <c:pt idx="155">
                  <c:v>-2.6724137931034564E-2</c:v>
                </c:pt>
                <c:pt idx="156">
                  <c:v>-2.020593445527008E-2</c:v>
                </c:pt>
                <c:pt idx="157">
                  <c:v>6.175490140685902E-2</c:v>
                </c:pt>
                <c:pt idx="158">
                  <c:v>0.10094721157939546</c:v>
                </c:pt>
                <c:pt idx="159">
                  <c:v>0</c:v>
                </c:pt>
              </c:numCache>
            </c:numRef>
          </c:val>
          <c:extLst>
            <c:ext xmlns:c16="http://schemas.microsoft.com/office/drawing/2014/chart" uri="{C3380CC4-5D6E-409C-BE32-E72D297353CC}">
              <c16:uniqueId val="{00000000-506D-4E83-9876-EB87D2CDB505}"/>
            </c:ext>
          </c:extLst>
        </c:ser>
        <c:dLbls>
          <c:showLegendKey val="0"/>
          <c:showVal val="0"/>
          <c:showCatName val="0"/>
          <c:showSerName val="0"/>
          <c:showPercent val="0"/>
          <c:showBubbleSize val="0"/>
        </c:dLbls>
        <c:gapWidth val="150"/>
        <c:axId val="18594964"/>
        <c:axId val="82663004"/>
      </c:barChart>
      <c:lineChart>
        <c:grouping val="standard"/>
        <c:varyColors val="0"/>
        <c:ser>
          <c:idx val="1"/>
          <c:order val="1"/>
          <c:tx>
            <c:strRef>
              <c:f>'Returns (Calc)'!$AB$2</c:f>
              <c:strCache>
                <c:ptCount val="1"/>
                <c:pt idx="0">
                  <c:v>KLAC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(Calc)'!$AB$3:$AB$500</c:f>
              <c:numCache>
                <c:formatCode>#,##0.00</c:formatCode>
                <c:ptCount val="498"/>
                <c:pt idx="0">
                  <c:v>44.35</c:v>
                </c:pt>
                <c:pt idx="1">
                  <c:v>45.378734177215193</c:v>
                </c:pt>
                <c:pt idx="2">
                  <c:v>46.407468354430378</c:v>
                </c:pt>
                <c:pt idx="3">
                  <c:v>47.43620253164557</c:v>
                </c:pt>
                <c:pt idx="4">
                  <c:v>48.464936708860762</c:v>
                </c:pt>
                <c:pt idx="5">
                  <c:v>49.493670886075947</c:v>
                </c:pt>
                <c:pt idx="6">
                  <c:v>50.522405063291139</c:v>
                </c:pt>
                <c:pt idx="7">
                  <c:v>51.55113924050633</c:v>
                </c:pt>
                <c:pt idx="8">
                  <c:v>52.579873417721522</c:v>
                </c:pt>
                <c:pt idx="9">
                  <c:v>53.608607594936707</c:v>
                </c:pt>
                <c:pt idx="10">
                  <c:v>54.637341772151899</c:v>
                </c:pt>
                <c:pt idx="11">
                  <c:v>55.666075949367091</c:v>
                </c:pt>
                <c:pt idx="12">
                  <c:v>56.694810126582283</c:v>
                </c:pt>
                <c:pt idx="13">
                  <c:v>57.723544303797468</c:v>
                </c:pt>
                <c:pt idx="14">
                  <c:v>58.752278481012659</c:v>
                </c:pt>
                <c:pt idx="15">
                  <c:v>59.781012658227851</c:v>
                </c:pt>
                <c:pt idx="16">
                  <c:v>60.809746835443036</c:v>
                </c:pt>
                <c:pt idx="17">
                  <c:v>61.838481012658228</c:v>
                </c:pt>
                <c:pt idx="18">
                  <c:v>62.86721518987342</c:v>
                </c:pt>
                <c:pt idx="19">
                  <c:v>63.895949367088605</c:v>
                </c:pt>
                <c:pt idx="20">
                  <c:v>64.924683544303804</c:v>
                </c:pt>
                <c:pt idx="21">
                  <c:v>65.953417721518989</c:v>
                </c:pt>
                <c:pt idx="22">
                  <c:v>66.982151898734173</c:v>
                </c:pt>
                <c:pt idx="23">
                  <c:v>68.010886075949372</c:v>
                </c:pt>
                <c:pt idx="24">
                  <c:v>69.039620253164557</c:v>
                </c:pt>
                <c:pt idx="25">
                  <c:v>70.068354430379742</c:v>
                </c:pt>
                <c:pt idx="26">
                  <c:v>71.097088607594941</c:v>
                </c:pt>
                <c:pt idx="27">
                  <c:v>72.125822784810126</c:v>
                </c:pt>
                <c:pt idx="28">
                  <c:v>73.15455696202531</c:v>
                </c:pt>
                <c:pt idx="29">
                  <c:v>74.183291139240509</c:v>
                </c:pt>
                <c:pt idx="30">
                  <c:v>75.212025316455694</c:v>
                </c:pt>
                <c:pt idx="31">
                  <c:v>76.240759493670879</c:v>
                </c:pt>
                <c:pt idx="32">
                  <c:v>77.269493670886078</c:v>
                </c:pt>
                <c:pt idx="33">
                  <c:v>78.298227848101263</c:v>
                </c:pt>
                <c:pt idx="34">
                  <c:v>79.326962025316448</c:v>
                </c:pt>
                <c:pt idx="35">
                  <c:v>80.355696202531647</c:v>
                </c:pt>
                <c:pt idx="36">
                  <c:v>81.384430379746831</c:v>
                </c:pt>
                <c:pt idx="37">
                  <c:v>82.413164556962016</c:v>
                </c:pt>
                <c:pt idx="38">
                  <c:v>83.441898734177215</c:v>
                </c:pt>
                <c:pt idx="39">
                  <c:v>84.4706329113924</c:v>
                </c:pt>
                <c:pt idx="40">
                  <c:v>85.499367088607585</c:v>
                </c:pt>
                <c:pt idx="41">
                  <c:v>86.528101265822784</c:v>
                </c:pt>
                <c:pt idx="42">
                  <c:v>87.556835443037983</c:v>
                </c:pt>
                <c:pt idx="43">
                  <c:v>88.585569620253153</c:v>
                </c:pt>
                <c:pt idx="44">
                  <c:v>89.614303797468352</c:v>
                </c:pt>
                <c:pt idx="45">
                  <c:v>90.643037974683551</c:v>
                </c:pt>
                <c:pt idx="46">
                  <c:v>91.671772151898722</c:v>
                </c:pt>
                <c:pt idx="47">
                  <c:v>92.700506329113921</c:v>
                </c:pt>
                <c:pt idx="48">
                  <c:v>93.72924050632912</c:v>
                </c:pt>
                <c:pt idx="49">
                  <c:v>94.757974683544305</c:v>
                </c:pt>
                <c:pt idx="50">
                  <c:v>95.786708860759489</c:v>
                </c:pt>
                <c:pt idx="51">
                  <c:v>96.815443037974688</c:v>
                </c:pt>
                <c:pt idx="52">
                  <c:v>97.844177215189873</c:v>
                </c:pt>
                <c:pt idx="53">
                  <c:v>98.872911392405058</c:v>
                </c:pt>
                <c:pt idx="54">
                  <c:v>99.901645569620257</c:v>
                </c:pt>
                <c:pt idx="55">
                  <c:v>100.93037974683543</c:v>
                </c:pt>
                <c:pt idx="56">
                  <c:v>101.95911392405063</c:v>
                </c:pt>
                <c:pt idx="57">
                  <c:v>102.98784810126583</c:v>
                </c:pt>
                <c:pt idx="58">
                  <c:v>104.01658227848101</c:v>
                </c:pt>
                <c:pt idx="59">
                  <c:v>105.0453164556962</c:v>
                </c:pt>
                <c:pt idx="60">
                  <c:v>106.07405063291139</c:v>
                </c:pt>
                <c:pt idx="61">
                  <c:v>107.10278481012658</c:v>
                </c:pt>
                <c:pt idx="62">
                  <c:v>108.13151898734176</c:v>
                </c:pt>
                <c:pt idx="63">
                  <c:v>109.16025316455696</c:v>
                </c:pt>
                <c:pt idx="64">
                  <c:v>110.18898734177216</c:v>
                </c:pt>
                <c:pt idx="65">
                  <c:v>111.21772151898733</c:v>
                </c:pt>
                <c:pt idx="66">
                  <c:v>112.24645569620253</c:v>
                </c:pt>
                <c:pt idx="67">
                  <c:v>113.27518987341773</c:v>
                </c:pt>
                <c:pt idx="68">
                  <c:v>114.3039240506329</c:v>
                </c:pt>
                <c:pt idx="69">
                  <c:v>115.3326582278481</c:v>
                </c:pt>
                <c:pt idx="70">
                  <c:v>116.3613924050633</c:v>
                </c:pt>
                <c:pt idx="71">
                  <c:v>117.39012658227847</c:v>
                </c:pt>
                <c:pt idx="72">
                  <c:v>118.41886075949367</c:v>
                </c:pt>
                <c:pt idx="73">
                  <c:v>119.44759493670887</c:v>
                </c:pt>
                <c:pt idx="74">
                  <c:v>120.47632911392404</c:v>
                </c:pt>
                <c:pt idx="75">
                  <c:v>121.50506329113924</c:v>
                </c:pt>
                <c:pt idx="76">
                  <c:v>122.53379746835444</c:v>
                </c:pt>
                <c:pt idx="77">
                  <c:v>123.56253164556963</c:v>
                </c:pt>
                <c:pt idx="78">
                  <c:v>124.59126582278481</c:v>
                </c:pt>
                <c:pt idx="79">
                  <c:v>125.62</c:v>
                </c:pt>
                <c:pt idx="80">
                  <c:v>126.64873417721518</c:v>
                </c:pt>
                <c:pt idx="81">
                  <c:v>127.67746835443037</c:v>
                </c:pt>
                <c:pt idx="82">
                  <c:v>128.70620253164557</c:v>
                </c:pt>
                <c:pt idx="83">
                  <c:v>129.73493670886077</c:v>
                </c:pt>
                <c:pt idx="84">
                  <c:v>130.76367088607594</c:v>
                </c:pt>
                <c:pt idx="85">
                  <c:v>131.79240506329114</c:v>
                </c:pt>
                <c:pt idx="86">
                  <c:v>132.82113924050631</c:v>
                </c:pt>
                <c:pt idx="87">
                  <c:v>133.84987341772151</c:v>
                </c:pt>
                <c:pt idx="88">
                  <c:v>134.87860759493671</c:v>
                </c:pt>
                <c:pt idx="89">
                  <c:v>135.90734177215191</c:v>
                </c:pt>
                <c:pt idx="90">
                  <c:v>136.93607594936708</c:v>
                </c:pt>
                <c:pt idx="91">
                  <c:v>137.96481012658228</c:v>
                </c:pt>
                <c:pt idx="92">
                  <c:v>138.99354430379745</c:v>
                </c:pt>
                <c:pt idx="93">
                  <c:v>140.02227848101265</c:v>
                </c:pt>
                <c:pt idx="94">
                  <c:v>141.05101265822785</c:v>
                </c:pt>
                <c:pt idx="95">
                  <c:v>142.07974683544305</c:v>
                </c:pt>
                <c:pt idx="96">
                  <c:v>143.10848101265822</c:v>
                </c:pt>
                <c:pt idx="97">
                  <c:v>144.13721518987342</c:v>
                </c:pt>
                <c:pt idx="98">
                  <c:v>145.16594936708861</c:v>
                </c:pt>
                <c:pt idx="99">
                  <c:v>146.19468354430379</c:v>
                </c:pt>
                <c:pt idx="100">
                  <c:v>147.22341772151898</c:v>
                </c:pt>
                <c:pt idx="101">
                  <c:v>148.25215189873418</c:v>
                </c:pt>
                <c:pt idx="102">
                  <c:v>149.28088607594935</c:v>
                </c:pt>
                <c:pt idx="103">
                  <c:v>150.30962025316455</c:v>
                </c:pt>
                <c:pt idx="104">
                  <c:v>151.33835443037975</c:v>
                </c:pt>
                <c:pt idx="105">
                  <c:v>152.36708860759495</c:v>
                </c:pt>
                <c:pt idx="106">
                  <c:v>153.39582278481012</c:v>
                </c:pt>
                <c:pt idx="107">
                  <c:v>154.42455696202532</c:v>
                </c:pt>
                <c:pt idx="108">
                  <c:v>155.45329113924052</c:v>
                </c:pt>
                <c:pt idx="109">
                  <c:v>156.48202531645569</c:v>
                </c:pt>
                <c:pt idx="110">
                  <c:v>157.51075949367086</c:v>
                </c:pt>
                <c:pt idx="111">
                  <c:v>158.53949367088606</c:v>
                </c:pt>
                <c:pt idx="112">
                  <c:v>159.56822784810126</c:v>
                </c:pt>
                <c:pt idx="113">
                  <c:v>160.59696202531646</c:v>
                </c:pt>
                <c:pt idx="114">
                  <c:v>161.62569620253163</c:v>
                </c:pt>
                <c:pt idx="115">
                  <c:v>162.65443037974683</c:v>
                </c:pt>
                <c:pt idx="116">
                  <c:v>163.68316455696203</c:v>
                </c:pt>
                <c:pt idx="117">
                  <c:v>164.71189873417723</c:v>
                </c:pt>
                <c:pt idx="118">
                  <c:v>165.7406329113924</c:v>
                </c:pt>
                <c:pt idx="119">
                  <c:v>166.76936708860759</c:v>
                </c:pt>
                <c:pt idx="120">
                  <c:v>167.79810126582279</c:v>
                </c:pt>
                <c:pt idx="121">
                  <c:v>168.82683544303796</c:v>
                </c:pt>
                <c:pt idx="122">
                  <c:v>169.85556962025316</c:v>
                </c:pt>
                <c:pt idx="123">
                  <c:v>170.88430379746833</c:v>
                </c:pt>
                <c:pt idx="124">
                  <c:v>171.91303797468353</c:v>
                </c:pt>
                <c:pt idx="125">
                  <c:v>172.94177215189873</c:v>
                </c:pt>
                <c:pt idx="126">
                  <c:v>173.9705063291139</c:v>
                </c:pt>
                <c:pt idx="127">
                  <c:v>174.9992405063291</c:v>
                </c:pt>
                <c:pt idx="128">
                  <c:v>176.0279746835443</c:v>
                </c:pt>
                <c:pt idx="129">
                  <c:v>177.0567088607595</c:v>
                </c:pt>
                <c:pt idx="130">
                  <c:v>178.08544303797467</c:v>
                </c:pt>
                <c:pt idx="131">
                  <c:v>179.11417721518984</c:v>
                </c:pt>
                <c:pt idx="132">
                  <c:v>180.14291139240504</c:v>
                </c:pt>
                <c:pt idx="133">
                  <c:v>181.17164556962024</c:v>
                </c:pt>
                <c:pt idx="134">
                  <c:v>182.20037974683544</c:v>
                </c:pt>
                <c:pt idx="135">
                  <c:v>183.22911392405061</c:v>
                </c:pt>
                <c:pt idx="136">
                  <c:v>184.25784810126581</c:v>
                </c:pt>
                <c:pt idx="137">
                  <c:v>185.28658227848101</c:v>
                </c:pt>
                <c:pt idx="138">
                  <c:v>186.31531645569621</c:v>
                </c:pt>
                <c:pt idx="139">
                  <c:v>187.34405063291138</c:v>
                </c:pt>
                <c:pt idx="140">
                  <c:v>188.37278481012657</c:v>
                </c:pt>
                <c:pt idx="141">
                  <c:v>189.40151898734177</c:v>
                </c:pt>
                <c:pt idx="142">
                  <c:v>190.43025316455694</c:v>
                </c:pt>
                <c:pt idx="143">
                  <c:v>191.45898734177214</c:v>
                </c:pt>
                <c:pt idx="144">
                  <c:v>192.48772151898731</c:v>
                </c:pt>
                <c:pt idx="145">
                  <c:v>193.51645569620251</c:v>
                </c:pt>
                <c:pt idx="146">
                  <c:v>194.54518987341771</c:v>
                </c:pt>
                <c:pt idx="147">
                  <c:v>195.57392405063288</c:v>
                </c:pt>
                <c:pt idx="148">
                  <c:v>196.60265822784808</c:v>
                </c:pt>
                <c:pt idx="149">
                  <c:v>197.63139240506328</c:v>
                </c:pt>
                <c:pt idx="150">
                  <c:v>198.66012658227848</c:v>
                </c:pt>
                <c:pt idx="151">
                  <c:v>199.68886075949365</c:v>
                </c:pt>
                <c:pt idx="152">
                  <c:v>200.71759493670885</c:v>
                </c:pt>
                <c:pt idx="153">
                  <c:v>201.74632911392405</c:v>
                </c:pt>
                <c:pt idx="154">
                  <c:v>202.77506329113925</c:v>
                </c:pt>
                <c:pt idx="155">
                  <c:v>203.80379746835442</c:v>
                </c:pt>
                <c:pt idx="156">
                  <c:v>204.83253164556959</c:v>
                </c:pt>
                <c:pt idx="157">
                  <c:v>205.86126582278479</c:v>
                </c:pt>
                <c:pt idx="158">
                  <c:v>206.89</c:v>
                </c:pt>
                <c:pt idx="159">
                  <c:v>207.91873417721516</c:v>
                </c:pt>
              </c:numCache>
            </c:numRef>
          </c:val>
          <c:smooth val="0"/>
          <c:extLst>
            <c:ext xmlns:c16="http://schemas.microsoft.com/office/drawing/2014/chart" uri="{C3380CC4-5D6E-409C-BE32-E72D297353CC}">
              <c16:uniqueId val="{00000001-506D-4E83-9876-EB87D2CDB505}"/>
            </c:ext>
          </c:extLst>
        </c:ser>
        <c:dLbls>
          <c:showLegendKey val="0"/>
          <c:showVal val="0"/>
          <c:showCatName val="0"/>
          <c:showSerName val="0"/>
          <c:showPercent val="0"/>
          <c:showBubbleSize val="0"/>
        </c:dLbls>
        <c:hiLowLines>
          <c:spPr>
            <a:ln w="0">
              <a:noFill/>
            </a:ln>
          </c:spPr>
        </c:hiLowLines>
        <c:marker val="1"/>
        <c:smooth val="0"/>
        <c:axId val="20095592"/>
        <c:axId val="89347577"/>
      </c:lineChart>
      <c:dateAx>
        <c:axId val="18594964"/>
        <c:scaling>
          <c:orientation val="minMax"/>
        </c:scaling>
        <c:delete val="1"/>
        <c:axPos val="b"/>
        <c:numFmt formatCode="mm/dd/yyyy" sourceLinked="1"/>
        <c:majorTickMark val="none"/>
        <c:minorTickMark val="none"/>
        <c:tickLblPos val="nextTo"/>
        <c:crossAx val="82663004"/>
        <c:crosses val="autoZero"/>
        <c:auto val="1"/>
        <c:lblOffset val="100"/>
        <c:baseTimeUnit val="days"/>
      </c:dateAx>
      <c:valAx>
        <c:axId val="8266300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8594964"/>
        <c:crosses val="autoZero"/>
        <c:crossBetween val="between"/>
      </c:valAx>
      <c:dateAx>
        <c:axId val="20095592"/>
        <c:scaling>
          <c:orientation val="minMax"/>
        </c:scaling>
        <c:delete val="1"/>
        <c:axPos val="b"/>
        <c:numFmt formatCode="mm/dd/yyyy" sourceLinked="1"/>
        <c:majorTickMark val="none"/>
        <c:minorTickMark val="none"/>
        <c:tickLblPos val="nextTo"/>
        <c:crossAx val="89347577"/>
        <c:crosses val="autoZero"/>
        <c:auto val="1"/>
        <c:lblOffset val="100"/>
        <c:baseTimeUnit val="days"/>
      </c:dateAx>
      <c:valAx>
        <c:axId val="89347577"/>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0095592"/>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MU</a:t>
            </a:r>
          </a:p>
        </c:rich>
      </c:tx>
      <c:overlay val="0"/>
      <c:spPr>
        <a:noFill/>
        <a:ln w="0">
          <a:noFill/>
        </a:ln>
      </c:spPr>
    </c:title>
    <c:autoTitleDeleted val="0"/>
    <c:plotArea>
      <c:layout/>
      <c:barChart>
        <c:barDir val="col"/>
        <c:grouping val="clustered"/>
        <c:varyColors val="0"/>
        <c:ser>
          <c:idx val="0"/>
          <c:order val="0"/>
          <c:tx>
            <c:strRef>
              <c:f>'Returns (Calc)'!$H$2</c:f>
              <c:strCache>
                <c:ptCount val="1"/>
                <c:pt idx="0">
                  <c:v>MU</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(Calc)'!$H$3:$H$500</c:f>
              <c:numCache>
                <c:formatCode>0.0%</c:formatCode>
                <c:ptCount val="498"/>
                <c:pt idx="0">
                  <c:v>-1.432498914773539E-2</c:v>
                </c:pt>
                <c:pt idx="1">
                  <c:v>-1.2331180270111597E-2</c:v>
                </c:pt>
                <c:pt idx="2">
                  <c:v>3.0023781212841882E-2</c:v>
                </c:pt>
                <c:pt idx="3">
                  <c:v>-1.067821067821062E-2</c:v>
                </c:pt>
                <c:pt idx="4">
                  <c:v>-2.87339556592765E-2</c:v>
                </c:pt>
                <c:pt idx="5">
                  <c:v>-2.3426940982129496E-2</c:v>
                </c:pt>
                <c:pt idx="6">
                  <c:v>0.10564354913117024</c:v>
                </c:pt>
                <c:pt idx="7">
                  <c:v>3.8247566063977834E-2</c:v>
                </c:pt>
                <c:pt idx="8">
                  <c:v>2.920294708640303E-2</c:v>
                </c:pt>
                <c:pt idx="9">
                  <c:v>-8.8507093583234386E-3</c:v>
                </c:pt>
                <c:pt idx="10">
                  <c:v>-1.2212738017071678E-2</c:v>
                </c:pt>
                <c:pt idx="11">
                  <c:v>-1.2762563148098871E-2</c:v>
                </c:pt>
                <c:pt idx="12">
                  <c:v>8.5914354969027773E-2</c:v>
                </c:pt>
                <c:pt idx="13">
                  <c:v>6.25E-2</c:v>
                </c:pt>
                <c:pt idx="14">
                  <c:v>-1.2021475256769332E-2</c:v>
                </c:pt>
                <c:pt idx="15">
                  <c:v>-2.2090962787950419E-2</c:v>
                </c:pt>
                <c:pt idx="16">
                  <c:v>-1.2805025368446521E-2</c:v>
                </c:pt>
                <c:pt idx="17">
                  <c:v>6.2163485070974023E-2</c:v>
                </c:pt>
                <c:pt idx="18">
                  <c:v>6.2211981566822061E-3</c:v>
                </c:pt>
                <c:pt idx="19">
                  <c:v>-1.7861231967025493E-2</c:v>
                </c:pt>
                <c:pt idx="20">
                  <c:v>-1.0608533457682423E-2</c:v>
                </c:pt>
                <c:pt idx="21">
                  <c:v>-7.0814186402733625E-2</c:v>
                </c:pt>
                <c:pt idx="22">
                  <c:v>8.1790514836419081E-2</c:v>
                </c:pt>
                <c:pt idx="23">
                  <c:v>0.10631813386472855</c:v>
                </c:pt>
                <c:pt idx="24">
                  <c:v>2.5958889595253165E-2</c:v>
                </c:pt>
                <c:pt idx="25">
                  <c:v>-4.4717546215016002E-2</c:v>
                </c:pt>
                <c:pt idx="26">
                  <c:v>0.1818378378378378</c:v>
                </c:pt>
                <c:pt idx="27">
                  <c:v>7.0709842663739586E-2</c:v>
                </c:pt>
                <c:pt idx="28">
                  <c:v>4.8269970098248738E-2</c:v>
                </c:pt>
                <c:pt idx="29">
                  <c:v>-8.5574572127139481E-3</c:v>
                </c:pt>
                <c:pt idx="30">
                  <c:v>-0.12856555692560623</c:v>
                </c:pt>
                <c:pt idx="31">
                  <c:v>7.5558909536836083E-2</c:v>
                </c:pt>
                <c:pt idx="32">
                  <c:v>-1.2278547623224556E-3</c:v>
                </c:pt>
                <c:pt idx="33">
                  <c:v>5.7077625570776336E-2</c:v>
                </c:pt>
                <c:pt idx="34">
                  <c:v>3.3394251536800201E-2</c:v>
                </c:pt>
                <c:pt idx="35">
                  <c:v>3.3520900321543312E-2</c:v>
                </c:pt>
                <c:pt idx="36">
                  <c:v>-3.4689274325270247E-2</c:v>
                </c:pt>
                <c:pt idx="37">
                  <c:v>4.7538473934412906E-2</c:v>
                </c:pt>
                <c:pt idx="38">
                  <c:v>7.9532343665871919E-2</c:v>
                </c:pt>
                <c:pt idx="39">
                  <c:v>-1.2825080156750879E-2</c:v>
                </c:pt>
                <c:pt idx="40">
                  <c:v>-5.7452183327318718E-2</c:v>
                </c:pt>
                <c:pt idx="41">
                  <c:v>5.3602879240366441E-4</c:v>
                </c:pt>
                <c:pt idx="42">
                  <c:v>1.5766110515842646E-2</c:v>
                </c:pt>
                <c:pt idx="43">
                  <c:v>-0.14443942133815557</c:v>
                </c:pt>
                <c:pt idx="44">
                  <c:v>-4.2448260678115357E-2</c:v>
                </c:pt>
                <c:pt idx="45">
                  <c:v>-0.1527637266623747</c:v>
                </c:pt>
                <c:pt idx="46">
                  <c:v>4.1250542770299159E-3</c:v>
                </c:pt>
                <c:pt idx="47">
                  <c:v>0.16021621621621618</c:v>
                </c:pt>
                <c:pt idx="48">
                  <c:v>-4.7614610510622435E-2</c:v>
                </c:pt>
                <c:pt idx="49">
                  <c:v>-6.4279424713824418E-2</c:v>
                </c:pt>
                <c:pt idx="50">
                  <c:v>-0.10246758678377244</c:v>
                </c:pt>
                <c:pt idx="51">
                  <c:v>5.6034482758620774E-2</c:v>
                </c:pt>
                <c:pt idx="52">
                  <c:v>-3.5300606729179451E-3</c:v>
                </c:pt>
                <c:pt idx="53">
                  <c:v>0.1826635669212886</c:v>
                </c:pt>
                <c:pt idx="54">
                  <c:v>-4.8862679022746436E-2</c:v>
                </c:pt>
                <c:pt idx="55">
                  <c:v>4.6845782895384325E-2</c:v>
                </c:pt>
                <c:pt idx="56">
                  <c:v>3.9578828617091277E-2</c:v>
                </c:pt>
                <c:pt idx="57">
                  <c:v>-2.9119189726894534E-2</c:v>
                </c:pt>
                <c:pt idx="58">
                  <c:v>-7.5819672131147597E-2</c:v>
                </c:pt>
                <c:pt idx="59">
                  <c:v>0.1220520056440233</c:v>
                </c:pt>
                <c:pt idx="60">
                  <c:v>-0.13904607922392886</c:v>
                </c:pt>
                <c:pt idx="61">
                  <c:v>6.5310380803338619E-2</c:v>
                </c:pt>
                <c:pt idx="62">
                  <c:v>-4.563705807462537E-2</c:v>
                </c:pt>
                <c:pt idx="63">
                  <c:v>3.283735248845554E-2</c:v>
                </c:pt>
                <c:pt idx="64">
                  <c:v>1.3114754098360493E-2</c:v>
                </c:pt>
                <c:pt idx="65">
                  <c:v>-0.12072178091595565</c:v>
                </c:pt>
                <c:pt idx="66">
                  <c:v>-1.6506803479812482E-2</c:v>
                </c:pt>
                <c:pt idx="67">
                  <c:v>1.5309594012247629E-2</c:v>
                </c:pt>
                <c:pt idx="68">
                  <c:v>0.1053278230760637</c:v>
                </c:pt>
                <c:pt idx="69">
                  <c:v>6.4470493128536921E-2</c:v>
                </c:pt>
                <c:pt idx="70">
                  <c:v>-2.4207328650085458E-2</c:v>
                </c:pt>
                <c:pt idx="71">
                  <c:v>-0.11577001653857388</c:v>
                </c:pt>
                <c:pt idx="72">
                  <c:v>1.1662449114314022E-2</c:v>
                </c:pt>
                <c:pt idx="73">
                  <c:v>7.8194671016857065E-2</c:v>
                </c:pt>
                <c:pt idx="74">
                  <c:v>-6.8589872907001137E-3</c:v>
                </c:pt>
                <c:pt idx="75">
                  <c:v>-5.271176112126752E-2</c:v>
                </c:pt>
                <c:pt idx="76">
                  <c:v>-7.1834459097245285E-3</c:v>
                </c:pt>
                <c:pt idx="77">
                  <c:v>8.4233261339093035E-2</c:v>
                </c:pt>
                <c:pt idx="78">
                  <c:v>-6.015936254980081E-2</c:v>
                </c:pt>
                <c:pt idx="79">
                  <c:v>-6.6341670199236979E-2</c:v>
                </c:pt>
                <c:pt idx="80">
                  <c:v>-0.26719636776390454</c:v>
                </c:pt>
                <c:pt idx="81">
                  <c:v>7.4504337050805391E-2</c:v>
                </c:pt>
                <c:pt idx="82">
                  <c:v>-1.0667435490846366E-2</c:v>
                </c:pt>
                <c:pt idx="83">
                  <c:v>0.15955121666909511</c:v>
                </c:pt>
                <c:pt idx="84">
                  <c:v>1.1686353355114365E-2</c:v>
                </c:pt>
                <c:pt idx="85">
                  <c:v>6.3718792696559445E-2</c:v>
                </c:pt>
                <c:pt idx="86">
                  <c:v>0.14140588510042029</c:v>
                </c:pt>
                <c:pt idx="87">
                  <c:v>-4.7263427109974443E-2</c:v>
                </c:pt>
                <c:pt idx="88">
                  <c:v>1.1704069580156906E-2</c:v>
                </c:pt>
                <c:pt idx="89">
                  <c:v>0.14922521757588636</c:v>
                </c:pt>
                <c:pt idx="90">
                  <c:v>6.4924270410048113E-2</c:v>
                </c:pt>
                <c:pt idx="91">
                  <c:v>6.9204752406556214E-2</c:v>
                </c:pt>
                <c:pt idx="92">
                  <c:v>9.3276015897476583E-3</c:v>
                </c:pt>
                <c:pt idx="93">
                  <c:v>-1.9768563162970043E-2</c:v>
                </c:pt>
                <c:pt idx="94">
                  <c:v>1.9265453353008555E-2</c:v>
                </c:pt>
                <c:pt idx="95">
                  <c:v>-8.1396284082683179E-2</c:v>
                </c:pt>
                <c:pt idx="96">
                  <c:v>-2.7405656247263765E-2</c:v>
                </c:pt>
                <c:pt idx="97">
                  <c:v>-5.7346056895930864E-2</c:v>
                </c:pt>
                <c:pt idx="98">
                  <c:v>0.13360710533855413</c:v>
                </c:pt>
                <c:pt idx="99">
                  <c:v>1.6680707666385963E-2</c:v>
                </c:pt>
                <c:pt idx="100">
                  <c:v>-2.6433543254889114E-2</c:v>
                </c:pt>
                <c:pt idx="101">
                  <c:v>1.132011234998731E-2</c:v>
                </c:pt>
                <c:pt idx="102">
                  <c:v>0.10385456993772091</c:v>
                </c:pt>
                <c:pt idx="103">
                  <c:v>0.19685879841415055</c:v>
                </c:pt>
                <c:pt idx="104">
                  <c:v>3.4972607975538361E-2</c:v>
                </c:pt>
                <c:pt idx="105">
                  <c:v>-3.3544654397734908E-2</c:v>
                </c:pt>
                <c:pt idx="106">
                  <c:v>0.19507069163163915</c:v>
                </c:pt>
                <c:pt idx="107">
                  <c:v>-3.3200106581401601E-2</c:v>
                </c:pt>
                <c:pt idx="108">
                  <c:v>0.11443060302061525</c:v>
                </c:pt>
                <c:pt idx="109">
                  <c:v>8.2253437530912965E-2</c:v>
                </c:pt>
                <c:pt idx="110">
                  <c:v>2.1662629678716794E-2</c:v>
                </c:pt>
                <c:pt idx="111">
                  <c:v>6.3252068888391744E-2</c:v>
                </c:pt>
                <c:pt idx="112">
                  <c:v>3.7443729227144562E-2</c:v>
                </c:pt>
                <c:pt idx="113">
                  <c:v>-0.15986049718155648</c:v>
                </c:pt>
                <c:pt idx="114">
                  <c:v>0.14036781387266495</c:v>
                </c:pt>
                <c:pt idx="115">
                  <c:v>3.1322751322750975E-3</c:v>
                </c:pt>
                <c:pt idx="116">
                  <c:v>1.649858643824631E-2</c:v>
                </c:pt>
                <c:pt idx="117">
                  <c:v>0.1027812370278125</c:v>
                </c:pt>
                <c:pt idx="118">
                  <c:v>7.0955356470676634E-2</c:v>
                </c:pt>
                <c:pt idx="119">
                  <c:v>0.10801026325963936</c:v>
                </c:pt>
                <c:pt idx="120">
                  <c:v>9.4055322928562335E-2</c:v>
                </c:pt>
                <c:pt idx="121">
                  <c:v>5.1175737191568427E-2</c:v>
                </c:pt>
                <c:pt idx="122">
                  <c:v>0.1017267060186462</c:v>
                </c:pt>
                <c:pt idx="123">
                  <c:v>3.8105252616293495E-2</c:v>
                </c:pt>
                <c:pt idx="124">
                  <c:v>-4.8668724676828146E-2</c:v>
                </c:pt>
                <c:pt idx="125">
                  <c:v>4.2995487501901408E-2</c:v>
                </c:pt>
                <c:pt idx="126">
                  <c:v>4.0105002187545535E-2</c:v>
                </c:pt>
                <c:pt idx="127">
                  <c:v>-3.6899420452421006E-2</c:v>
                </c:pt>
                <c:pt idx="128">
                  <c:v>-0.10200664838764473</c:v>
                </c:pt>
                <c:pt idx="129">
                  <c:v>0.15077413602096801</c:v>
                </c:pt>
                <c:pt idx="130">
                  <c:v>-7.5841179647325729E-3</c:v>
                </c:pt>
                <c:pt idx="131">
                  <c:v>-0.15530213410306171</c:v>
                </c:pt>
                <c:pt idx="132">
                  <c:v>2.5656825948126238E-2</c:v>
                </c:pt>
                <c:pt idx="133">
                  <c:v>0.14842427221584997</c:v>
                </c:pt>
                <c:pt idx="134">
                  <c:v>8.1967992771027065E-2</c:v>
                </c:pt>
                <c:pt idx="135">
                  <c:v>9.1516483516483449E-2</c:v>
                </c:pt>
                <c:pt idx="136">
                  <c:v>9.1595521907216426E-2</c:v>
                </c:pt>
                <c:pt idx="137">
                  <c:v>0.37734491727076547</c:v>
                </c:pt>
                <c:pt idx="138">
                  <c:v>-2.9663854292219183E-2</c:v>
                </c:pt>
                <c:pt idx="139">
                  <c:v>3.63397971154511E-2</c:v>
                </c:pt>
                <c:pt idx="140">
                  <c:v>0.29294960579586626</c:v>
                </c:pt>
                <c:pt idx="141">
                  <c:v>-0.11018179945408668</c:v>
                </c:pt>
                <c:pt idx="142">
                  <c:v>0.13610686669444827</c:v>
                </c:pt>
                <c:pt idx="143">
                  <c:v>0.15523811464552795</c:v>
                </c:pt>
                <c:pt idx="144">
                  <c:v>-1.4640771903827732E-3</c:v>
                </c:pt>
                <c:pt idx="145">
                  <c:v>-0.13845216223855294</c:v>
                </c:pt>
                <c:pt idx="146">
                  <c:v>3.9880665566274232E-3</c:v>
                </c:pt>
                <c:pt idx="147">
                  <c:v>-0.13310527928111904</c:v>
                </c:pt>
                <c:pt idx="148">
                  <c:v>8.4810648448082837E-2</c:v>
                </c:pt>
                <c:pt idx="149">
                  <c:v>-0.1063249904989414</c:v>
                </c:pt>
                <c:pt idx="150">
                  <c:v>6.6267329258957952E-2</c:v>
                </c:pt>
                <c:pt idx="151">
                  <c:v>0.10721651834041723</c:v>
                </c:pt>
                <c:pt idx="152">
                  <c:v>-5.0223329148055829E-3</c:v>
                </c:pt>
                <c:pt idx="153">
                  <c:v>-3.5085541695111577E-2</c:v>
                </c:pt>
                <c:pt idx="154">
                  <c:v>8.9756233518427209E-2</c:v>
                </c:pt>
                <c:pt idx="155">
                  <c:v>-4.065552484285706E-2</c:v>
                </c:pt>
                <c:pt idx="156">
                  <c:v>4.1568402272214477E-2</c:v>
                </c:pt>
                <c:pt idx="157">
                  <c:v>6.5445953927938616E-2</c:v>
                </c:pt>
                <c:pt idx="158">
                  <c:v>-6.828177551095771E-3</c:v>
                </c:pt>
                <c:pt idx="159">
                  <c:v>0</c:v>
                </c:pt>
              </c:numCache>
            </c:numRef>
          </c:val>
          <c:extLst>
            <c:ext xmlns:c16="http://schemas.microsoft.com/office/drawing/2014/chart" uri="{C3380CC4-5D6E-409C-BE32-E72D297353CC}">
              <c16:uniqueId val="{00000000-EEA3-4A5E-8A38-321D9DC58A08}"/>
            </c:ext>
          </c:extLst>
        </c:ser>
        <c:dLbls>
          <c:showLegendKey val="0"/>
          <c:showVal val="0"/>
          <c:showCatName val="0"/>
          <c:showSerName val="0"/>
          <c:showPercent val="0"/>
          <c:showBubbleSize val="0"/>
        </c:dLbls>
        <c:gapWidth val="150"/>
        <c:axId val="30597197"/>
        <c:axId val="90019498"/>
      </c:barChart>
      <c:lineChart>
        <c:grouping val="standard"/>
        <c:varyColors val="0"/>
        <c:ser>
          <c:idx val="1"/>
          <c:order val="1"/>
          <c:tx>
            <c:strRef>
              <c:f>'Returns (Calc)'!$AC$2</c:f>
              <c:strCache>
                <c:ptCount val="1"/>
                <c:pt idx="0">
                  <c:v>MU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(Calc)'!$AC$3:$AC$500</c:f>
              <c:numCache>
                <c:formatCode>#,##0.00</c:formatCode>
                <c:ptCount val="498"/>
                <c:pt idx="0">
                  <c:v>69.11</c:v>
                </c:pt>
                <c:pt idx="1">
                  <c:v>75.475696202531651</c:v>
                </c:pt>
                <c:pt idx="2">
                  <c:v>81.841392405063289</c:v>
                </c:pt>
                <c:pt idx="3">
                  <c:v>88.20708860759494</c:v>
                </c:pt>
                <c:pt idx="4">
                  <c:v>94.572784810126592</c:v>
                </c:pt>
                <c:pt idx="5">
                  <c:v>100.93848101265823</c:v>
                </c:pt>
                <c:pt idx="6">
                  <c:v>107.30417721518987</c:v>
                </c:pt>
                <c:pt idx="7">
                  <c:v>113.66987341772153</c:v>
                </c:pt>
                <c:pt idx="8">
                  <c:v>120.03556962025317</c:v>
                </c:pt>
                <c:pt idx="9">
                  <c:v>126.40126582278481</c:v>
                </c:pt>
                <c:pt idx="10">
                  <c:v>132.76696202531645</c:v>
                </c:pt>
                <c:pt idx="11">
                  <c:v>139.13265822784811</c:v>
                </c:pt>
                <c:pt idx="12">
                  <c:v>145.49835443037975</c:v>
                </c:pt>
                <c:pt idx="13">
                  <c:v>151.86405063291141</c:v>
                </c:pt>
                <c:pt idx="14">
                  <c:v>158.22974683544305</c:v>
                </c:pt>
                <c:pt idx="15">
                  <c:v>164.59544303797469</c:v>
                </c:pt>
                <c:pt idx="16">
                  <c:v>170.96113924050633</c:v>
                </c:pt>
                <c:pt idx="17">
                  <c:v>177.32683544303799</c:v>
                </c:pt>
                <c:pt idx="18">
                  <c:v>183.69253164556963</c:v>
                </c:pt>
                <c:pt idx="19">
                  <c:v>190.0582278481013</c:v>
                </c:pt>
                <c:pt idx="20">
                  <c:v>196.42392405063293</c:v>
                </c:pt>
                <c:pt idx="21">
                  <c:v>202.78962025316457</c:v>
                </c:pt>
                <c:pt idx="22">
                  <c:v>209.15531645569621</c:v>
                </c:pt>
                <c:pt idx="23">
                  <c:v>215.52101265822785</c:v>
                </c:pt>
                <c:pt idx="24">
                  <c:v>221.88670886075948</c:v>
                </c:pt>
                <c:pt idx="25">
                  <c:v>228.25240506329118</c:v>
                </c:pt>
                <c:pt idx="26">
                  <c:v>234.61810126582282</c:v>
                </c:pt>
                <c:pt idx="27">
                  <c:v>240.98379746835445</c:v>
                </c:pt>
                <c:pt idx="28">
                  <c:v>247.34949367088609</c:v>
                </c:pt>
                <c:pt idx="29">
                  <c:v>253.71518987341773</c:v>
                </c:pt>
                <c:pt idx="30">
                  <c:v>260.08088607594937</c:v>
                </c:pt>
                <c:pt idx="31">
                  <c:v>266.44658227848106</c:v>
                </c:pt>
                <c:pt idx="32">
                  <c:v>272.8122784810127</c:v>
                </c:pt>
                <c:pt idx="33">
                  <c:v>279.17797468354433</c:v>
                </c:pt>
                <c:pt idx="34">
                  <c:v>285.54367088607597</c:v>
                </c:pt>
                <c:pt idx="35">
                  <c:v>291.90936708860761</c:v>
                </c:pt>
                <c:pt idx="36">
                  <c:v>298.27506329113925</c:v>
                </c:pt>
                <c:pt idx="37">
                  <c:v>304.64075949367088</c:v>
                </c:pt>
                <c:pt idx="38">
                  <c:v>311.00645569620258</c:v>
                </c:pt>
                <c:pt idx="39">
                  <c:v>317.37215189873422</c:v>
                </c:pt>
                <c:pt idx="40">
                  <c:v>323.73784810126585</c:v>
                </c:pt>
                <c:pt idx="41">
                  <c:v>330.10354430379749</c:v>
                </c:pt>
                <c:pt idx="42">
                  <c:v>336.46924050632913</c:v>
                </c:pt>
                <c:pt idx="43">
                  <c:v>342.83493670886077</c:v>
                </c:pt>
                <c:pt idx="44">
                  <c:v>349.20063291139246</c:v>
                </c:pt>
                <c:pt idx="45">
                  <c:v>355.5663291139241</c:v>
                </c:pt>
                <c:pt idx="46">
                  <c:v>361.93202531645574</c:v>
                </c:pt>
                <c:pt idx="47">
                  <c:v>368.29772151898737</c:v>
                </c:pt>
                <c:pt idx="48">
                  <c:v>374.66341772151901</c:v>
                </c:pt>
                <c:pt idx="49">
                  <c:v>381.02911392405065</c:v>
                </c:pt>
                <c:pt idx="50">
                  <c:v>387.39481012658234</c:v>
                </c:pt>
                <c:pt idx="51">
                  <c:v>393.76050632911398</c:v>
                </c:pt>
                <c:pt idx="52">
                  <c:v>400.12620253164562</c:v>
                </c:pt>
                <c:pt idx="53">
                  <c:v>406.49189873417725</c:v>
                </c:pt>
                <c:pt idx="54">
                  <c:v>412.85759493670889</c:v>
                </c:pt>
                <c:pt idx="55">
                  <c:v>419.22329113924053</c:v>
                </c:pt>
                <c:pt idx="56">
                  <c:v>425.58898734177222</c:v>
                </c:pt>
                <c:pt idx="57">
                  <c:v>431.95468354430386</c:v>
                </c:pt>
                <c:pt idx="58">
                  <c:v>438.3203797468355</c:v>
                </c:pt>
                <c:pt idx="59">
                  <c:v>444.68607594936714</c:v>
                </c:pt>
                <c:pt idx="60">
                  <c:v>451.05177215189877</c:v>
                </c:pt>
                <c:pt idx="61">
                  <c:v>457.41746835443041</c:v>
                </c:pt>
                <c:pt idx="62">
                  <c:v>463.78316455696211</c:v>
                </c:pt>
                <c:pt idx="63">
                  <c:v>470.14886075949374</c:v>
                </c:pt>
                <c:pt idx="64">
                  <c:v>476.51455696202538</c:v>
                </c:pt>
                <c:pt idx="65">
                  <c:v>482.88025316455702</c:v>
                </c:pt>
                <c:pt idx="66">
                  <c:v>489.24594936708871</c:v>
                </c:pt>
                <c:pt idx="67">
                  <c:v>495.61164556962035</c:v>
                </c:pt>
                <c:pt idx="68">
                  <c:v>501.97734177215199</c:v>
                </c:pt>
                <c:pt idx="69">
                  <c:v>508.34303797468363</c:v>
                </c:pt>
                <c:pt idx="70">
                  <c:v>514.70873417721521</c:v>
                </c:pt>
                <c:pt idx="71">
                  <c:v>521.0744303797469</c:v>
                </c:pt>
                <c:pt idx="72">
                  <c:v>527.44012658227848</c:v>
                </c:pt>
                <c:pt idx="73">
                  <c:v>533.80582278481018</c:v>
                </c:pt>
                <c:pt idx="74">
                  <c:v>540.17151898734176</c:v>
                </c:pt>
                <c:pt idx="75">
                  <c:v>546.53721518987345</c:v>
                </c:pt>
                <c:pt idx="76">
                  <c:v>552.90291139240514</c:v>
                </c:pt>
                <c:pt idx="77">
                  <c:v>559.26860759493673</c:v>
                </c:pt>
                <c:pt idx="78">
                  <c:v>565.63430379746842</c:v>
                </c:pt>
                <c:pt idx="79">
                  <c:v>572</c:v>
                </c:pt>
                <c:pt idx="80">
                  <c:v>578.36569620253169</c:v>
                </c:pt>
                <c:pt idx="81">
                  <c:v>584.73139240506339</c:v>
                </c:pt>
                <c:pt idx="82">
                  <c:v>591.09708860759497</c:v>
                </c:pt>
                <c:pt idx="83">
                  <c:v>597.46278481012666</c:v>
                </c:pt>
                <c:pt idx="84">
                  <c:v>603.82848101265824</c:v>
                </c:pt>
                <c:pt idx="85">
                  <c:v>610.19417721518994</c:v>
                </c:pt>
                <c:pt idx="86">
                  <c:v>616.55987341772152</c:v>
                </c:pt>
                <c:pt idx="87">
                  <c:v>622.92556962025321</c:v>
                </c:pt>
                <c:pt idx="88">
                  <c:v>629.29126582278491</c:v>
                </c:pt>
                <c:pt idx="89">
                  <c:v>635.6569620253166</c:v>
                </c:pt>
                <c:pt idx="90">
                  <c:v>642.02265822784818</c:v>
                </c:pt>
                <c:pt idx="91">
                  <c:v>648.38835443037988</c:v>
                </c:pt>
                <c:pt idx="92">
                  <c:v>654.75405063291146</c:v>
                </c:pt>
                <c:pt idx="93">
                  <c:v>661.11974683544315</c:v>
                </c:pt>
                <c:pt idx="94">
                  <c:v>667.48544303797473</c:v>
                </c:pt>
                <c:pt idx="95">
                  <c:v>673.85113924050643</c:v>
                </c:pt>
                <c:pt idx="96">
                  <c:v>680.21683544303801</c:v>
                </c:pt>
                <c:pt idx="97">
                  <c:v>686.5825316455697</c:v>
                </c:pt>
                <c:pt idx="98">
                  <c:v>692.94822784810128</c:v>
                </c:pt>
                <c:pt idx="99">
                  <c:v>699.31392405063298</c:v>
                </c:pt>
                <c:pt idx="100">
                  <c:v>705.67962025316467</c:v>
                </c:pt>
                <c:pt idx="101">
                  <c:v>712.04531645569625</c:v>
                </c:pt>
                <c:pt idx="102">
                  <c:v>718.41101265822795</c:v>
                </c:pt>
                <c:pt idx="103">
                  <c:v>724.77670886075953</c:v>
                </c:pt>
                <c:pt idx="104">
                  <c:v>731.14240506329122</c:v>
                </c:pt>
                <c:pt idx="105">
                  <c:v>737.5081012658228</c:v>
                </c:pt>
                <c:pt idx="106">
                  <c:v>743.8737974683545</c:v>
                </c:pt>
                <c:pt idx="107">
                  <c:v>750.23949367088608</c:v>
                </c:pt>
                <c:pt idx="108">
                  <c:v>756.60518987341777</c:v>
                </c:pt>
                <c:pt idx="109">
                  <c:v>762.97088607594935</c:v>
                </c:pt>
                <c:pt idx="110">
                  <c:v>769.33658227848105</c:v>
                </c:pt>
                <c:pt idx="111">
                  <c:v>775.70227848101274</c:v>
                </c:pt>
                <c:pt idx="112">
                  <c:v>782.06797468354443</c:v>
                </c:pt>
                <c:pt idx="113">
                  <c:v>788.43367088607602</c:v>
                </c:pt>
                <c:pt idx="114">
                  <c:v>794.79936708860771</c:v>
                </c:pt>
                <c:pt idx="115">
                  <c:v>801.16506329113929</c:v>
                </c:pt>
                <c:pt idx="116">
                  <c:v>807.53075949367098</c:v>
                </c:pt>
                <c:pt idx="117">
                  <c:v>813.89645569620257</c:v>
                </c:pt>
                <c:pt idx="118">
                  <c:v>820.26215189873426</c:v>
                </c:pt>
                <c:pt idx="119">
                  <c:v>826.62784810126584</c:v>
                </c:pt>
                <c:pt idx="120">
                  <c:v>832.99354430379753</c:v>
                </c:pt>
                <c:pt idx="121">
                  <c:v>839.35924050632912</c:v>
                </c:pt>
                <c:pt idx="122">
                  <c:v>845.72493670886081</c:v>
                </c:pt>
                <c:pt idx="123">
                  <c:v>852.0906329113925</c:v>
                </c:pt>
                <c:pt idx="124">
                  <c:v>858.4563291139242</c:v>
                </c:pt>
                <c:pt idx="125">
                  <c:v>864.82202531645578</c:v>
                </c:pt>
                <c:pt idx="126">
                  <c:v>871.18772151898747</c:v>
                </c:pt>
                <c:pt idx="127">
                  <c:v>877.55341772151905</c:v>
                </c:pt>
                <c:pt idx="128">
                  <c:v>883.91911392405075</c:v>
                </c:pt>
                <c:pt idx="129">
                  <c:v>890.28481012658233</c:v>
                </c:pt>
                <c:pt idx="130">
                  <c:v>896.65050632911402</c:v>
                </c:pt>
                <c:pt idx="131">
                  <c:v>903.01620253164572</c:v>
                </c:pt>
                <c:pt idx="132">
                  <c:v>909.38189873417741</c:v>
                </c:pt>
                <c:pt idx="133">
                  <c:v>915.74759493670899</c:v>
                </c:pt>
                <c:pt idx="134">
                  <c:v>922.11329113924069</c:v>
                </c:pt>
                <c:pt idx="135">
                  <c:v>928.47898734177227</c:v>
                </c:pt>
                <c:pt idx="136">
                  <c:v>934.84468354430396</c:v>
                </c:pt>
                <c:pt idx="137">
                  <c:v>941.21037974683554</c:v>
                </c:pt>
                <c:pt idx="138">
                  <c:v>947.57607594936724</c:v>
                </c:pt>
                <c:pt idx="139">
                  <c:v>953.94177215189882</c:v>
                </c:pt>
                <c:pt idx="140">
                  <c:v>960.30746835443051</c:v>
                </c:pt>
                <c:pt idx="141">
                  <c:v>966.67316455696209</c:v>
                </c:pt>
                <c:pt idx="142">
                  <c:v>973.03886075949379</c:v>
                </c:pt>
                <c:pt idx="143">
                  <c:v>979.40455696202537</c:v>
                </c:pt>
                <c:pt idx="144">
                  <c:v>985.77025316455706</c:v>
                </c:pt>
                <c:pt idx="145">
                  <c:v>992.13594936708864</c:v>
                </c:pt>
                <c:pt idx="146">
                  <c:v>998.50164556962034</c:v>
                </c:pt>
                <c:pt idx="147">
                  <c:v>1004.8673417721519</c:v>
                </c:pt>
                <c:pt idx="148">
                  <c:v>1011.2330379746836</c:v>
                </c:pt>
                <c:pt idx="149">
                  <c:v>1017.5987341772152</c:v>
                </c:pt>
                <c:pt idx="150">
                  <c:v>1023.9644303797469</c:v>
                </c:pt>
                <c:pt idx="151">
                  <c:v>1030.3301265822784</c:v>
                </c:pt>
                <c:pt idx="152">
                  <c:v>1036.6958227848102</c:v>
                </c:pt>
                <c:pt idx="153">
                  <c:v>1043.061518987342</c:v>
                </c:pt>
                <c:pt idx="154">
                  <c:v>1049.4272151898736</c:v>
                </c:pt>
                <c:pt idx="155">
                  <c:v>1055.7929113924051</c:v>
                </c:pt>
                <c:pt idx="156">
                  <c:v>1062.1586075949367</c:v>
                </c:pt>
                <c:pt idx="157">
                  <c:v>1068.5243037974685</c:v>
                </c:pt>
                <c:pt idx="158">
                  <c:v>1074.8900000000001</c:v>
                </c:pt>
                <c:pt idx="159">
                  <c:v>1081.2556962025317</c:v>
                </c:pt>
              </c:numCache>
            </c:numRef>
          </c:val>
          <c:smooth val="0"/>
          <c:extLst>
            <c:ext xmlns:c16="http://schemas.microsoft.com/office/drawing/2014/chart" uri="{C3380CC4-5D6E-409C-BE32-E72D297353CC}">
              <c16:uniqueId val="{00000001-EEA3-4A5E-8A38-321D9DC58A08}"/>
            </c:ext>
          </c:extLst>
        </c:ser>
        <c:dLbls>
          <c:showLegendKey val="0"/>
          <c:showVal val="0"/>
          <c:showCatName val="0"/>
          <c:showSerName val="0"/>
          <c:showPercent val="0"/>
          <c:showBubbleSize val="0"/>
        </c:dLbls>
        <c:hiLowLines>
          <c:spPr>
            <a:ln w="0">
              <a:noFill/>
            </a:ln>
          </c:spPr>
        </c:hiLowLines>
        <c:marker val="1"/>
        <c:smooth val="0"/>
        <c:axId val="27614679"/>
        <c:axId val="12877685"/>
      </c:lineChart>
      <c:dateAx>
        <c:axId val="30597197"/>
        <c:scaling>
          <c:orientation val="minMax"/>
        </c:scaling>
        <c:delete val="1"/>
        <c:axPos val="b"/>
        <c:numFmt formatCode="mm/dd/yyyy" sourceLinked="1"/>
        <c:majorTickMark val="none"/>
        <c:minorTickMark val="none"/>
        <c:tickLblPos val="nextTo"/>
        <c:crossAx val="90019498"/>
        <c:crosses val="autoZero"/>
        <c:auto val="1"/>
        <c:lblOffset val="100"/>
        <c:baseTimeUnit val="days"/>
      </c:dateAx>
      <c:valAx>
        <c:axId val="9001949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0597197"/>
        <c:crosses val="autoZero"/>
        <c:crossBetween val="between"/>
      </c:valAx>
      <c:dateAx>
        <c:axId val="27614679"/>
        <c:scaling>
          <c:orientation val="minMax"/>
        </c:scaling>
        <c:delete val="1"/>
        <c:axPos val="b"/>
        <c:numFmt formatCode="mm/dd/yyyy" sourceLinked="1"/>
        <c:majorTickMark val="none"/>
        <c:minorTickMark val="none"/>
        <c:tickLblPos val="nextTo"/>
        <c:crossAx val="12877685"/>
        <c:crosses val="autoZero"/>
        <c:auto val="1"/>
        <c:lblOffset val="100"/>
        <c:baseTimeUnit val="days"/>
      </c:dateAx>
      <c:valAx>
        <c:axId val="12877685"/>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7614679"/>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NVDA</a:t>
            </a:r>
          </a:p>
        </c:rich>
      </c:tx>
      <c:overlay val="0"/>
      <c:spPr>
        <a:noFill/>
        <a:ln w="0">
          <a:noFill/>
        </a:ln>
      </c:spPr>
    </c:title>
    <c:autoTitleDeleted val="0"/>
    <c:plotArea>
      <c:layout/>
      <c:barChart>
        <c:barDir val="col"/>
        <c:grouping val="clustered"/>
        <c:varyColors val="0"/>
        <c:ser>
          <c:idx val="0"/>
          <c:order val="0"/>
          <c:tx>
            <c:strRef>
              <c:f>'Returns (Calc)'!$I$2</c:f>
              <c:strCache>
                <c:ptCount val="1"/>
                <c:pt idx="0">
                  <c:v>NVDA</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(Calc)'!$I$3:$I$500</c:f>
              <c:numCache>
                <c:formatCode>0.0%</c:formatCode>
                <c:ptCount val="498"/>
                <c:pt idx="0">
                  <c:v>-5.2090472926662135E-2</c:v>
                </c:pt>
                <c:pt idx="1">
                  <c:v>4.5312123403229654E-2</c:v>
                </c:pt>
                <c:pt idx="2">
                  <c:v>5.210975328568157E-2</c:v>
                </c:pt>
                <c:pt idx="3">
                  <c:v>-6.5746219592374144E-3</c:v>
                </c:pt>
                <c:pt idx="4">
                  <c:v>-8.9786013677476295E-2</c:v>
                </c:pt>
                <c:pt idx="5">
                  <c:v>-2.1328162869607259E-2</c:v>
                </c:pt>
                <c:pt idx="6">
                  <c:v>0.11119366022783539</c:v>
                </c:pt>
                <c:pt idx="7">
                  <c:v>7.3991531089814933E-2</c:v>
                </c:pt>
                <c:pt idx="8">
                  <c:v>1.9921145465864321E-2</c:v>
                </c:pt>
                <c:pt idx="9">
                  <c:v>-3.0925737538148423E-2</c:v>
                </c:pt>
                <c:pt idx="10">
                  <c:v>-2.0995171110644528E-2</c:v>
                </c:pt>
                <c:pt idx="11">
                  <c:v>1.5869611837872499E-2</c:v>
                </c:pt>
                <c:pt idx="12">
                  <c:v>2.9132362254591593E-2</c:v>
                </c:pt>
                <c:pt idx="13">
                  <c:v>-1.2307692307692575E-3</c:v>
                </c:pt>
                <c:pt idx="14">
                  <c:v>1.4171287738755423E-2</c:v>
                </c:pt>
                <c:pt idx="15">
                  <c:v>-8.5054678007290274E-3</c:v>
                </c:pt>
                <c:pt idx="16">
                  <c:v>0.11417483660130712</c:v>
                </c:pt>
                <c:pt idx="17">
                  <c:v>8.7442713107241055E-2</c:v>
                </c:pt>
                <c:pt idx="18">
                  <c:v>2.5792312879298729E-2</c:v>
                </c:pt>
                <c:pt idx="19">
                  <c:v>8.4141331142152831E-2</c:v>
                </c:pt>
                <c:pt idx="20">
                  <c:v>9.0192511747764215E-2</c:v>
                </c:pt>
                <c:pt idx="21">
                  <c:v>6.6740823136819394E-3</c:v>
                </c:pt>
                <c:pt idx="22">
                  <c:v>8.5497237569060802E-2</c:v>
                </c:pt>
                <c:pt idx="23">
                  <c:v>4.389871484921759E-2</c:v>
                </c:pt>
                <c:pt idx="24">
                  <c:v>6.3871282301316334E-2</c:v>
                </c:pt>
                <c:pt idx="25">
                  <c:v>3.5517873510542142E-3</c:v>
                </c:pt>
                <c:pt idx="26">
                  <c:v>7.3410206644594078E-2</c:v>
                </c:pt>
                <c:pt idx="27">
                  <c:v>-4.1693256753882135E-2</c:v>
                </c:pt>
                <c:pt idx="28">
                  <c:v>-2.5971143174250755E-2</c:v>
                </c:pt>
                <c:pt idx="29">
                  <c:v>2.0510483135824931E-3</c:v>
                </c:pt>
                <c:pt idx="30">
                  <c:v>-0.13600181942233336</c:v>
                </c:pt>
                <c:pt idx="31">
                  <c:v>0.15148723348249526</c:v>
                </c:pt>
                <c:pt idx="32">
                  <c:v>1.2001371585324216E-2</c:v>
                </c:pt>
                <c:pt idx="33">
                  <c:v>1.2197876665913654E-2</c:v>
                </c:pt>
                <c:pt idx="34">
                  <c:v>2.9011381388083013E-2</c:v>
                </c:pt>
                <c:pt idx="35">
                  <c:v>0.15126870527000658</c:v>
                </c:pt>
                <c:pt idx="36">
                  <c:v>2.9669398135066416E-2</c:v>
                </c:pt>
                <c:pt idx="37">
                  <c:v>0.10263446761800221</c:v>
                </c:pt>
                <c:pt idx="38">
                  <c:v>9.1090094574415081E-2</c:v>
                </c:pt>
                <c:pt idx="39">
                  <c:v>-4.029805352798066E-2</c:v>
                </c:pt>
                <c:pt idx="40">
                  <c:v>-2.3926477578830596E-2</c:v>
                </c:pt>
                <c:pt idx="41">
                  <c:v>1.8506493506493582E-2</c:v>
                </c:pt>
                <c:pt idx="42">
                  <c:v>2.7095951546063146E-2</c:v>
                </c:pt>
                <c:pt idx="43">
                  <c:v>-8.7523277467411509E-2</c:v>
                </c:pt>
                <c:pt idx="44">
                  <c:v>-4.1241496598639404E-2</c:v>
                </c:pt>
                <c:pt idx="45">
                  <c:v>-5.1263858093126391E-2</c:v>
                </c:pt>
                <c:pt idx="46">
                  <c:v>-2.3464522763391615E-2</c:v>
                </c:pt>
                <c:pt idx="47">
                  <c:v>0.18935477694811409</c:v>
                </c:pt>
                <c:pt idx="48">
                  <c:v>3.8393432066967215E-2</c:v>
                </c:pt>
                <c:pt idx="49">
                  <c:v>-7.7280830943337597E-2</c:v>
                </c:pt>
                <c:pt idx="50">
                  <c:v>-0.13852486559139787</c:v>
                </c:pt>
                <c:pt idx="51">
                  <c:v>0.15826426133593374</c:v>
                </c:pt>
                <c:pt idx="52">
                  <c:v>-2.6014480552281505E-2</c:v>
                </c:pt>
                <c:pt idx="53">
                  <c:v>4.6590025066989282E-2</c:v>
                </c:pt>
                <c:pt idx="54">
                  <c:v>2.8989098116947609E-2</c:v>
                </c:pt>
                <c:pt idx="55">
                  <c:v>7.9059314551729543E-2</c:v>
                </c:pt>
                <c:pt idx="56">
                  <c:v>2.3728057125855351E-2</c:v>
                </c:pt>
                <c:pt idx="57">
                  <c:v>2.5648477802804548E-2</c:v>
                </c:pt>
                <c:pt idx="58">
                  <c:v>-4.3355058090110532E-2</c:v>
                </c:pt>
                <c:pt idx="59">
                  <c:v>9.0269549763033252E-2</c:v>
                </c:pt>
                <c:pt idx="60">
                  <c:v>-3.8239489234531021E-2</c:v>
                </c:pt>
                <c:pt idx="61">
                  <c:v>-2.1186440677967155E-4</c:v>
                </c:pt>
                <c:pt idx="62">
                  <c:v>-2.6064844246662444E-2</c:v>
                </c:pt>
                <c:pt idx="63">
                  <c:v>3.0388743835219056E-2</c:v>
                </c:pt>
                <c:pt idx="64">
                  <c:v>-5.7506862814105664E-2</c:v>
                </c:pt>
                <c:pt idx="65">
                  <c:v>3.360716952949927E-3</c:v>
                </c:pt>
                <c:pt idx="66">
                  <c:v>1.7119464086341685E-2</c:v>
                </c:pt>
                <c:pt idx="67">
                  <c:v>5.4445664105378766E-2</c:v>
                </c:pt>
                <c:pt idx="68">
                  <c:v>-5.9199111666319637E-2</c:v>
                </c:pt>
                <c:pt idx="69">
                  <c:v>1.3204485098849084E-2</c:v>
                </c:pt>
                <c:pt idx="70">
                  <c:v>3.567528212595561E-2</c:v>
                </c:pt>
                <c:pt idx="71">
                  <c:v>-0.15810193321616872</c:v>
                </c:pt>
                <c:pt idx="72">
                  <c:v>8.1329325317301304E-2</c:v>
                </c:pt>
                <c:pt idx="73">
                  <c:v>6.9420849420849473E-2</c:v>
                </c:pt>
                <c:pt idx="74">
                  <c:v>-3.184345440103975E-2</c:v>
                </c:pt>
                <c:pt idx="75">
                  <c:v>-7.0778639618138461E-2</c:v>
                </c:pt>
                <c:pt idx="76">
                  <c:v>-9.7840918211734462E-2</c:v>
                </c:pt>
                <c:pt idx="77">
                  <c:v>7.9715302491103035E-2</c:v>
                </c:pt>
                <c:pt idx="78">
                  <c:v>-3.2630191166776457E-2</c:v>
                </c:pt>
                <c:pt idx="79">
                  <c:v>-6.8228279386712165E-2</c:v>
                </c:pt>
                <c:pt idx="80">
                  <c:v>-0.14004936465856122</c:v>
                </c:pt>
                <c:pt idx="81">
                  <c:v>0.17625172743701523</c:v>
                </c:pt>
                <c:pt idx="82">
                  <c:v>-8.513330320831447E-2</c:v>
                </c:pt>
                <c:pt idx="83">
                  <c:v>9.3845697915637682E-2</c:v>
                </c:pt>
                <c:pt idx="84">
                  <c:v>3.1427797344892872E-2</c:v>
                </c:pt>
                <c:pt idx="85">
                  <c:v>1.8824971543647706E-2</c:v>
                </c:pt>
                <c:pt idx="86">
                  <c:v>0.16070814712959791</c:v>
                </c:pt>
                <c:pt idx="87">
                  <c:v>-3.0356878424403932E-2</c:v>
                </c:pt>
                <c:pt idx="88">
                  <c:v>2.9245571166768292E-2</c:v>
                </c:pt>
                <c:pt idx="89">
                  <c:v>4.874248831515704E-2</c:v>
                </c:pt>
                <c:pt idx="90">
                  <c:v>1.8392756083758233E-3</c:v>
                </c:pt>
                <c:pt idx="91">
                  <c:v>1.3274961163677323E-2</c:v>
                </c:pt>
                <c:pt idx="92">
                  <c:v>9.6585365853658622E-2</c:v>
                </c:pt>
                <c:pt idx="93">
                  <c:v>1.0104219623792376E-2</c:v>
                </c:pt>
                <c:pt idx="94">
                  <c:v>3.5042466184334931E-2</c:v>
                </c:pt>
                <c:pt idx="95">
                  <c:v>4.5404814004376348E-2</c:v>
                </c:pt>
                <c:pt idx="96">
                  <c:v>6.3375777661491828E-3</c:v>
                </c:pt>
                <c:pt idx="97">
                  <c:v>1.2710885139819439E-3</c:v>
                </c:pt>
                <c:pt idx="98">
                  <c:v>5.1644547028274701E-2</c:v>
                </c:pt>
                <c:pt idx="99">
                  <c:v>-1.229080932784643E-2</c:v>
                </c:pt>
                <c:pt idx="100">
                  <c:v>-1.3665907449586068E-2</c:v>
                </c:pt>
                <c:pt idx="101">
                  <c:v>-2.1402421852999232E-2</c:v>
                </c:pt>
                <c:pt idx="102">
                  <c:v>-4.1093525179855983E-2</c:v>
                </c:pt>
                <c:pt idx="103">
                  <c:v>6.4762019086489264E-2</c:v>
                </c:pt>
                <c:pt idx="104">
                  <c:v>-6.4825253664035909E-3</c:v>
                </c:pt>
                <c:pt idx="105">
                  <c:v>8.5673758865247862E-3</c:v>
                </c:pt>
                <c:pt idx="106">
                  <c:v>5.2936543654365398E-2</c:v>
                </c:pt>
                <c:pt idx="107">
                  <c:v>-2.3775177645990242E-2</c:v>
                </c:pt>
                <c:pt idx="108">
                  <c:v>3.2837127845875003E-4</c:v>
                </c:pt>
                <c:pt idx="109">
                  <c:v>1.657730605099017E-2</c:v>
                </c:pt>
                <c:pt idx="110">
                  <c:v>8.7185834992734357E-2</c:v>
                </c:pt>
                <c:pt idx="111">
                  <c:v>-7.0838077322904813E-2</c:v>
                </c:pt>
                <c:pt idx="112">
                  <c:v>1.0761854022376172E-2</c:v>
                </c:pt>
                <c:pt idx="113">
                  <c:v>-5.9403331224963107E-2</c:v>
                </c:pt>
                <c:pt idx="114">
                  <c:v>-1.0479125805547662E-2</c:v>
                </c:pt>
                <c:pt idx="115">
                  <c:v>3.0581039755351647E-2</c:v>
                </c:pt>
                <c:pt idx="116">
                  <c:v>-4.0498955929222813E-2</c:v>
                </c:pt>
                <c:pt idx="117">
                  <c:v>3.4133211156291088E-2</c:v>
                </c:pt>
                <c:pt idx="118">
                  <c:v>5.2721936091266519E-2</c:v>
                </c:pt>
                <c:pt idx="119">
                  <c:v>-8.8379188805303155E-3</c:v>
                </c:pt>
                <c:pt idx="120">
                  <c:v>-2.1124144153707336E-2</c:v>
                </c:pt>
                <c:pt idx="121">
                  <c:v>7.4282925771296249E-3</c:v>
                </c:pt>
                <c:pt idx="122">
                  <c:v>7.6964477933261222E-3</c:v>
                </c:pt>
                <c:pt idx="123">
                  <c:v>1.8426534209261325E-2</c:v>
                </c:pt>
                <c:pt idx="124">
                  <c:v>-2.9893014474512314E-2</c:v>
                </c:pt>
                <c:pt idx="125">
                  <c:v>-1.4055573575521674E-2</c:v>
                </c:pt>
                <c:pt idx="126">
                  <c:v>3.8381401469459453E-2</c:v>
                </c:pt>
                <c:pt idx="127">
                  <c:v>-6.6532896821206E-2</c:v>
                </c:pt>
                <c:pt idx="128">
                  <c:v>3.5071840705962476E-3</c:v>
                </c:pt>
                <c:pt idx="129">
                  <c:v>1.3754227733934643E-2</c:v>
                </c:pt>
                <c:pt idx="130">
                  <c:v>-4.18705516014235E-2</c:v>
                </c:pt>
                <c:pt idx="131">
                  <c:v>-3.0004062445592283E-2</c:v>
                </c:pt>
                <c:pt idx="132">
                  <c:v>5.8932631327031304E-2</c:v>
                </c:pt>
                <c:pt idx="133">
                  <c:v>6.3336911689925834E-2</c:v>
                </c:pt>
                <c:pt idx="134">
                  <c:v>6.9181721572795007E-2</c:v>
                </c:pt>
                <c:pt idx="135">
                  <c:v>3.2700526786601847E-2</c:v>
                </c:pt>
                <c:pt idx="136">
                  <c:v>-4.7160731472569828E-2</c:v>
                </c:pt>
                <c:pt idx="137">
                  <c:v>8.4393939393939466E-2</c:v>
                </c:pt>
                <c:pt idx="138">
                  <c:v>4.7040193749708914E-2</c:v>
                </c:pt>
                <c:pt idx="139">
                  <c:v>-4.4348561007072629E-2</c:v>
                </c:pt>
                <c:pt idx="140">
                  <c:v>-1.945633960156401E-2</c:v>
                </c:pt>
                <c:pt idx="141">
                  <c:v>-2.748504699515808E-2</c:v>
                </c:pt>
                <c:pt idx="142">
                  <c:v>4.393029726168507E-4</c:v>
                </c:pt>
                <c:pt idx="143">
                  <c:v>2.6785714285714191E-2</c:v>
                </c:pt>
                <c:pt idx="144">
                  <c:v>-8.6196246139225385E-2</c:v>
                </c:pt>
                <c:pt idx="145">
                  <c:v>1.1959856481722264E-2</c:v>
                </c:pt>
                <c:pt idx="146">
                  <c:v>8.2780946508401287E-2</c:v>
                </c:pt>
                <c:pt idx="147">
                  <c:v>-3.8629460895975631E-2</c:v>
                </c:pt>
                <c:pt idx="148">
                  <c:v>1.9893375456609741E-2</c:v>
                </c:pt>
                <c:pt idx="149">
                  <c:v>-2.942742364841977E-2</c:v>
                </c:pt>
                <c:pt idx="150">
                  <c:v>0.11559367675659504</c:v>
                </c:pt>
                <c:pt idx="151">
                  <c:v>5.3640874346252421E-3</c:v>
                </c:pt>
                <c:pt idx="152">
                  <c:v>-4.637410519763463E-2</c:v>
                </c:pt>
                <c:pt idx="153">
                  <c:v>1.3194703468854874E-2</c:v>
                </c:pt>
                <c:pt idx="154">
                  <c:v>5.8856012148543524E-2</c:v>
                </c:pt>
                <c:pt idx="155">
                  <c:v>-5.1325510647544537E-2</c:v>
                </c:pt>
                <c:pt idx="156">
                  <c:v>1.8232626322781664E-2</c:v>
                </c:pt>
                <c:pt idx="157">
                  <c:v>1.2597291582309822E-2</c:v>
                </c:pt>
                <c:pt idx="158">
                  <c:v>3.9454391966943669E-2</c:v>
                </c:pt>
                <c:pt idx="159">
                  <c:v>0</c:v>
                </c:pt>
              </c:numCache>
            </c:numRef>
          </c:val>
          <c:extLst>
            <c:ext xmlns:c16="http://schemas.microsoft.com/office/drawing/2014/chart" uri="{C3380CC4-5D6E-409C-BE32-E72D297353CC}">
              <c16:uniqueId val="{00000000-52DA-4EE7-A2D0-D185384A4C99}"/>
            </c:ext>
          </c:extLst>
        </c:ser>
        <c:dLbls>
          <c:showLegendKey val="0"/>
          <c:showVal val="0"/>
          <c:showCatName val="0"/>
          <c:showSerName val="0"/>
          <c:showPercent val="0"/>
          <c:showBubbleSize val="0"/>
        </c:dLbls>
        <c:gapWidth val="150"/>
        <c:axId val="40374644"/>
        <c:axId val="28719361"/>
      </c:barChart>
      <c:lineChart>
        <c:grouping val="standard"/>
        <c:varyColors val="0"/>
        <c:ser>
          <c:idx val="1"/>
          <c:order val="1"/>
          <c:tx>
            <c:strRef>
              <c:f>'Returns (Calc)'!$AD$2</c:f>
              <c:strCache>
                <c:ptCount val="1"/>
                <c:pt idx="0">
                  <c:v>NVDA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(Calc)'!$AD$3:$AD$500</c:f>
              <c:numCache>
                <c:formatCode>#,##0.00</c:formatCode>
                <c:ptCount val="498"/>
                <c:pt idx="0">
                  <c:v>43.77</c:v>
                </c:pt>
                <c:pt idx="1">
                  <c:v>44.973670886075951</c:v>
                </c:pt>
                <c:pt idx="2">
                  <c:v>46.177341772151905</c:v>
                </c:pt>
                <c:pt idx="3">
                  <c:v>47.381012658227853</c:v>
                </c:pt>
                <c:pt idx="4">
                  <c:v>48.5846835443038</c:v>
                </c:pt>
                <c:pt idx="5">
                  <c:v>49.788354430379748</c:v>
                </c:pt>
                <c:pt idx="6">
                  <c:v>50.992025316455695</c:v>
                </c:pt>
                <c:pt idx="7">
                  <c:v>52.19569620253165</c:v>
                </c:pt>
                <c:pt idx="8">
                  <c:v>53.399367088607598</c:v>
                </c:pt>
                <c:pt idx="9">
                  <c:v>54.603037974683545</c:v>
                </c:pt>
                <c:pt idx="10">
                  <c:v>55.806708860759493</c:v>
                </c:pt>
                <c:pt idx="11">
                  <c:v>57.01037974683544</c:v>
                </c:pt>
                <c:pt idx="12">
                  <c:v>58.214050632911395</c:v>
                </c:pt>
                <c:pt idx="13">
                  <c:v>59.417721518987342</c:v>
                </c:pt>
                <c:pt idx="14">
                  <c:v>60.62139240506329</c:v>
                </c:pt>
                <c:pt idx="15">
                  <c:v>61.825063291139244</c:v>
                </c:pt>
                <c:pt idx="16">
                  <c:v>63.028734177215192</c:v>
                </c:pt>
                <c:pt idx="17">
                  <c:v>64.232405063291139</c:v>
                </c:pt>
                <c:pt idx="18">
                  <c:v>65.436075949367094</c:v>
                </c:pt>
                <c:pt idx="19">
                  <c:v>66.639746835443034</c:v>
                </c:pt>
                <c:pt idx="20">
                  <c:v>67.843417721518989</c:v>
                </c:pt>
                <c:pt idx="21">
                  <c:v>69.047088607594929</c:v>
                </c:pt>
                <c:pt idx="22">
                  <c:v>70.250759493670884</c:v>
                </c:pt>
                <c:pt idx="23">
                  <c:v>71.454430379746839</c:v>
                </c:pt>
                <c:pt idx="24">
                  <c:v>72.658101265822779</c:v>
                </c:pt>
                <c:pt idx="25">
                  <c:v>73.861772151898734</c:v>
                </c:pt>
                <c:pt idx="26">
                  <c:v>75.065443037974688</c:v>
                </c:pt>
                <c:pt idx="27">
                  <c:v>76.269113924050629</c:v>
                </c:pt>
                <c:pt idx="28">
                  <c:v>77.472784810126569</c:v>
                </c:pt>
                <c:pt idx="29">
                  <c:v>78.676455696202538</c:v>
                </c:pt>
                <c:pt idx="30">
                  <c:v>79.880126582278479</c:v>
                </c:pt>
                <c:pt idx="31">
                  <c:v>81.083797468354419</c:v>
                </c:pt>
                <c:pt idx="32">
                  <c:v>82.287468354430388</c:v>
                </c:pt>
                <c:pt idx="33">
                  <c:v>83.491139240506328</c:v>
                </c:pt>
                <c:pt idx="34">
                  <c:v>84.694810126582269</c:v>
                </c:pt>
                <c:pt idx="35">
                  <c:v>85.898481012658223</c:v>
                </c:pt>
                <c:pt idx="36">
                  <c:v>87.102151898734178</c:v>
                </c:pt>
                <c:pt idx="37">
                  <c:v>88.305822784810118</c:v>
                </c:pt>
                <c:pt idx="38">
                  <c:v>89.509493670886073</c:v>
                </c:pt>
                <c:pt idx="39">
                  <c:v>90.713164556962028</c:v>
                </c:pt>
                <c:pt idx="40">
                  <c:v>91.916835443037968</c:v>
                </c:pt>
                <c:pt idx="41">
                  <c:v>93.120506329113923</c:v>
                </c:pt>
                <c:pt idx="42">
                  <c:v>94.324177215189877</c:v>
                </c:pt>
                <c:pt idx="43">
                  <c:v>95.527848101265818</c:v>
                </c:pt>
                <c:pt idx="44">
                  <c:v>96.731518987341758</c:v>
                </c:pt>
                <c:pt idx="45">
                  <c:v>97.935189873417713</c:v>
                </c:pt>
                <c:pt idx="46">
                  <c:v>99.138860759493667</c:v>
                </c:pt>
                <c:pt idx="47">
                  <c:v>100.34253164556961</c:v>
                </c:pt>
                <c:pt idx="48">
                  <c:v>101.54620253164558</c:v>
                </c:pt>
                <c:pt idx="49">
                  <c:v>102.74987341772152</c:v>
                </c:pt>
                <c:pt idx="50">
                  <c:v>103.95354430379746</c:v>
                </c:pt>
                <c:pt idx="51">
                  <c:v>105.15721518987341</c:v>
                </c:pt>
                <c:pt idx="52">
                  <c:v>106.36088607594937</c:v>
                </c:pt>
                <c:pt idx="53">
                  <c:v>107.56455696202531</c:v>
                </c:pt>
                <c:pt idx="54">
                  <c:v>108.76822784810128</c:v>
                </c:pt>
                <c:pt idx="55">
                  <c:v>109.97189873417722</c:v>
                </c:pt>
                <c:pt idx="56">
                  <c:v>111.17556962025316</c:v>
                </c:pt>
                <c:pt idx="57">
                  <c:v>112.3792405063291</c:v>
                </c:pt>
                <c:pt idx="58">
                  <c:v>113.58291139240507</c:v>
                </c:pt>
                <c:pt idx="59">
                  <c:v>114.78658227848101</c:v>
                </c:pt>
                <c:pt idx="60">
                  <c:v>115.99025316455695</c:v>
                </c:pt>
                <c:pt idx="61">
                  <c:v>117.19392405063292</c:v>
                </c:pt>
                <c:pt idx="62">
                  <c:v>118.39759493670886</c:v>
                </c:pt>
                <c:pt idx="63">
                  <c:v>119.6012658227848</c:v>
                </c:pt>
                <c:pt idx="64">
                  <c:v>120.80493670886077</c:v>
                </c:pt>
                <c:pt idx="65">
                  <c:v>122.00860759493671</c:v>
                </c:pt>
                <c:pt idx="66">
                  <c:v>123.21227848101265</c:v>
                </c:pt>
                <c:pt idx="67">
                  <c:v>124.41594936708859</c:v>
                </c:pt>
                <c:pt idx="68">
                  <c:v>125.61962025316456</c:v>
                </c:pt>
                <c:pt idx="69">
                  <c:v>126.8232911392405</c:v>
                </c:pt>
                <c:pt idx="70">
                  <c:v>128.02696202531644</c:v>
                </c:pt>
                <c:pt idx="71">
                  <c:v>129.23063291139241</c:v>
                </c:pt>
                <c:pt idx="72">
                  <c:v>130.43430379746835</c:v>
                </c:pt>
                <c:pt idx="73">
                  <c:v>131.63797468354429</c:v>
                </c:pt>
                <c:pt idx="74">
                  <c:v>132.84164556962025</c:v>
                </c:pt>
                <c:pt idx="75">
                  <c:v>134.0453164556962</c:v>
                </c:pt>
                <c:pt idx="76">
                  <c:v>135.24898734177214</c:v>
                </c:pt>
                <c:pt idx="77">
                  <c:v>136.4526582278481</c:v>
                </c:pt>
                <c:pt idx="78">
                  <c:v>137.65632911392404</c:v>
                </c:pt>
                <c:pt idx="79">
                  <c:v>138.85999999999999</c:v>
                </c:pt>
                <c:pt idx="80">
                  <c:v>140.06367088607593</c:v>
                </c:pt>
                <c:pt idx="81">
                  <c:v>141.26734177215189</c:v>
                </c:pt>
                <c:pt idx="82">
                  <c:v>142.47101265822783</c:v>
                </c:pt>
                <c:pt idx="83">
                  <c:v>143.6746835443038</c:v>
                </c:pt>
                <c:pt idx="84">
                  <c:v>144.87835443037974</c:v>
                </c:pt>
                <c:pt idx="85">
                  <c:v>146.08202531645568</c:v>
                </c:pt>
                <c:pt idx="86">
                  <c:v>147.28569620253162</c:v>
                </c:pt>
                <c:pt idx="87">
                  <c:v>148.48936708860759</c:v>
                </c:pt>
                <c:pt idx="88">
                  <c:v>149.69303797468353</c:v>
                </c:pt>
                <c:pt idx="89">
                  <c:v>150.89670886075947</c:v>
                </c:pt>
                <c:pt idx="90">
                  <c:v>152.10037974683542</c:v>
                </c:pt>
                <c:pt idx="91">
                  <c:v>153.30405063291138</c:v>
                </c:pt>
                <c:pt idx="92">
                  <c:v>154.50772151898732</c:v>
                </c:pt>
                <c:pt idx="93">
                  <c:v>155.71139240506329</c:v>
                </c:pt>
                <c:pt idx="94">
                  <c:v>156.91506329113923</c:v>
                </c:pt>
                <c:pt idx="95">
                  <c:v>158.11873417721517</c:v>
                </c:pt>
                <c:pt idx="96">
                  <c:v>159.32240506329114</c:v>
                </c:pt>
                <c:pt idx="97">
                  <c:v>160.52607594936708</c:v>
                </c:pt>
                <c:pt idx="98">
                  <c:v>161.72974683544302</c:v>
                </c:pt>
                <c:pt idx="99">
                  <c:v>162.93341772151896</c:v>
                </c:pt>
                <c:pt idx="100">
                  <c:v>164.1370886075949</c:v>
                </c:pt>
                <c:pt idx="101">
                  <c:v>165.34075949367087</c:v>
                </c:pt>
                <c:pt idx="102">
                  <c:v>166.54443037974681</c:v>
                </c:pt>
                <c:pt idx="103">
                  <c:v>167.74810126582278</c:v>
                </c:pt>
                <c:pt idx="104">
                  <c:v>168.95177215189872</c:v>
                </c:pt>
                <c:pt idx="105">
                  <c:v>170.15544303797466</c:v>
                </c:pt>
                <c:pt idx="106">
                  <c:v>171.35911392405063</c:v>
                </c:pt>
                <c:pt idx="107">
                  <c:v>172.56278481012657</c:v>
                </c:pt>
                <c:pt idx="108">
                  <c:v>173.76645569620254</c:v>
                </c:pt>
                <c:pt idx="109">
                  <c:v>174.97012658227848</c:v>
                </c:pt>
                <c:pt idx="110">
                  <c:v>176.17379746835442</c:v>
                </c:pt>
                <c:pt idx="111">
                  <c:v>177.37746835443036</c:v>
                </c:pt>
                <c:pt idx="112">
                  <c:v>178.5811392405063</c:v>
                </c:pt>
                <c:pt idx="113">
                  <c:v>179.78481012658227</c:v>
                </c:pt>
                <c:pt idx="114">
                  <c:v>180.98848101265821</c:v>
                </c:pt>
                <c:pt idx="115">
                  <c:v>182.19215189873418</c:v>
                </c:pt>
                <c:pt idx="116">
                  <c:v>183.39582278481012</c:v>
                </c:pt>
                <c:pt idx="117">
                  <c:v>184.59949367088606</c:v>
                </c:pt>
                <c:pt idx="118">
                  <c:v>185.80316455696203</c:v>
                </c:pt>
                <c:pt idx="119">
                  <c:v>187.00683544303797</c:v>
                </c:pt>
                <c:pt idx="120">
                  <c:v>188.21050632911391</c:v>
                </c:pt>
                <c:pt idx="121">
                  <c:v>189.41417721518988</c:v>
                </c:pt>
                <c:pt idx="122">
                  <c:v>190.61784810126582</c:v>
                </c:pt>
                <c:pt idx="123">
                  <c:v>191.82151898734176</c:v>
                </c:pt>
                <c:pt idx="124">
                  <c:v>193.0251898734177</c:v>
                </c:pt>
                <c:pt idx="125">
                  <c:v>194.22886075949367</c:v>
                </c:pt>
                <c:pt idx="126">
                  <c:v>195.43253164556961</c:v>
                </c:pt>
                <c:pt idx="127">
                  <c:v>196.63620253164555</c:v>
                </c:pt>
                <c:pt idx="128">
                  <c:v>197.83987341772152</c:v>
                </c:pt>
                <c:pt idx="129">
                  <c:v>199.04354430379746</c:v>
                </c:pt>
                <c:pt idx="130">
                  <c:v>200.2472151898734</c:v>
                </c:pt>
                <c:pt idx="131">
                  <c:v>201.45088607594937</c:v>
                </c:pt>
                <c:pt idx="132">
                  <c:v>202.65455696202531</c:v>
                </c:pt>
                <c:pt idx="133">
                  <c:v>203.85822784810128</c:v>
                </c:pt>
                <c:pt idx="134">
                  <c:v>205.06189873417719</c:v>
                </c:pt>
                <c:pt idx="135">
                  <c:v>206.26556962025316</c:v>
                </c:pt>
                <c:pt idx="136">
                  <c:v>207.4692405063291</c:v>
                </c:pt>
                <c:pt idx="137">
                  <c:v>208.67291139240504</c:v>
                </c:pt>
                <c:pt idx="138">
                  <c:v>209.87658227848101</c:v>
                </c:pt>
                <c:pt idx="139">
                  <c:v>211.08025316455695</c:v>
                </c:pt>
                <c:pt idx="140">
                  <c:v>212.28392405063289</c:v>
                </c:pt>
                <c:pt idx="141">
                  <c:v>213.48759493670886</c:v>
                </c:pt>
                <c:pt idx="142">
                  <c:v>214.6912658227848</c:v>
                </c:pt>
                <c:pt idx="143">
                  <c:v>215.89493670886077</c:v>
                </c:pt>
                <c:pt idx="144">
                  <c:v>217.09860759493671</c:v>
                </c:pt>
                <c:pt idx="145">
                  <c:v>218.30227848101265</c:v>
                </c:pt>
                <c:pt idx="146">
                  <c:v>219.50594936708859</c:v>
                </c:pt>
                <c:pt idx="147">
                  <c:v>220.70962025316453</c:v>
                </c:pt>
                <c:pt idx="148">
                  <c:v>221.9132911392405</c:v>
                </c:pt>
                <c:pt idx="149">
                  <c:v>223.11696202531644</c:v>
                </c:pt>
                <c:pt idx="150">
                  <c:v>224.32063291139238</c:v>
                </c:pt>
                <c:pt idx="151">
                  <c:v>225.52430379746835</c:v>
                </c:pt>
                <c:pt idx="152">
                  <c:v>226.72797468354429</c:v>
                </c:pt>
                <c:pt idx="153">
                  <c:v>227.93164556962026</c:v>
                </c:pt>
                <c:pt idx="154">
                  <c:v>229.1353164556962</c:v>
                </c:pt>
                <c:pt idx="155">
                  <c:v>230.33898734177214</c:v>
                </c:pt>
                <c:pt idx="156">
                  <c:v>231.54265822784811</c:v>
                </c:pt>
                <c:pt idx="157">
                  <c:v>232.74632911392405</c:v>
                </c:pt>
                <c:pt idx="158">
                  <c:v>233.95</c:v>
                </c:pt>
                <c:pt idx="159">
                  <c:v>235.15367088607593</c:v>
                </c:pt>
              </c:numCache>
            </c:numRef>
          </c:val>
          <c:smooth val="0"/>
          <c:extLst>
            <c:ext xmlns:c16="http://schemas.microsoft.com/office/drawing/2014/chart" uri="{C3380CC4-5D6E-409C-BE32-E72D297353CC}">
              <c16:uniqueId val="{00000001-52DA-4EE7-A2D0-D185384A4C99}"/>
            </c:ext>
          </c:extLst>
        </c:ser>
        <c:dLbls>
          <c:showLegendKey val="0"/>
          <c:showVal val="0"/>
          <c:showCatName val="0"/>
          <c:showSerName val="0"/>
          <c:showPercent val="0"/>
          <c:showBubbleSize val="0"/>
        </c:dLbls>
        <c:hiLowLines>
          <c:spPr>
            <a:ln w="0">
              <a:noFill/>
            </a:ln>
          </c:spPr>
        </c:hiLowLines>
        <c:marker val="1"/>
        <c:smooth val="0"/>
        <c:axId val="62027778"/>
        <c:axId val="33752312"/>
      </c:lineChart>
      <c:dateAx>
        <c:axId val="40374644"/>
        <c:scaling>
          <c:orientation val="minMax"/>
        </c:scaling>
        <c:delete val="1"/>
        <c:axPos val="b"/>
        <c:numFmt formatCode="mm/dd/yyyy" sourceLinked="1"/>
        <c:majorTickMark val="none"/>
        <c:minorTickMark val="none"/>
        <c:tickLblPos val="nextTo"/>
        <c:crossAx val="28719361"/>
        <c:crosses val="autoZero"/>
        <c:auto val="1"/>
        <c:lblOffset val="100"/>
        <c:baseTimeUnit val="days"/>
      </c:dateAx>
      <c:valAx>
        <c:axId val="2871936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0374644"/>
        <c:crosses val="autoZero"/>
        <c:crossBetween val="between"/>
      </c:valAx>
      <c:dateAx>
        <c:axId val="62027778"/>
        <c:scaling>
          <c:orientation val="minMax"/>
        </c:scaling>
        <c:delete val="1"/>
        <c:axPos val="b"/>
        <c:numFmt formatCode="mm/dd/yyyy" sourceLinked="1"/>
        <c:majorTickMark val="none"/>
        <c:minorTickMark val="none"/>
        <c:tickLblPos val="nextTo"/>
        <c:crossAx val="33752312"/>
        <c:crosses val="autoZero"/>
        <c:auto val="1"/>
        <c:lblOffset val="100"/>
        <c:baseTimeUnit val="days"/>
      </c:dateAx>
      <c:valAx>
        <c:axId val="33752312"/>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62027778"/>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PLD</a:t>
            </a:r>
          </a:p>
        </c:rich>
      </c:tx>
      <c:overlay val="0"/>
      <c:spPr>
        <a:noFill/>
        <a:ln w="0">
          <a:noFill/>
        </a:ln>
      </c:spPr>
    </c:title>
    <c:autoTitleDeleted val="0"/>
    <c:plotArea>
      <c:layout/>
      <c:barChart>
        <c:barDir val="col"/>
        <c:grouping val="clustered"/>
        <c:varyColors val="0"/>
        <c:ser>
          <c:idx val="0"/>
          <c:order val="0"/>
          <c:tx>
            <c:strRef>
              <c:f>'Returns (Calc)'!$J$2</c:f>
              <c:strCache>
                <c:ptCount val="1"/>
                <c:pt idx="0">
                  <c:v>PLD</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(Calc)'!$J$3:$J$500</c:f>
              <c:numCache>
                <c:formatCode>0.0%</c:formatCode>
                <c:ptCount val="498"/>
                <c:pt idx="0">
                  <c:v>-7.3944921316166035E-2</c:v>
                </c:pt>
                <c:pt idx="1">
                  <c:v>-1.6317466447813067E-2</c:v>
                </c:pt>
                <c:pt idx="2">
                  <c:v>-2.9446407538280317E-2</c:v>
                </c:pt>
                <c:pt idx="3">
                  <c:v>6.8770226537218093E-3</c:v>
                </c:pt>
                <c:pt idx="4">
                  <c:v>-6.588991562876656E-2</c:v>
                </c:pt>
                <c:pt idx="5">
                  <c:v>-4.9892473118279601E-2</c:v>
                </c:pt>
                <c:pt idx="6">
                  <c:v>9.4839293798098634E-2</c:v>
                </c:pt>
                <c:pt idx="7">
                  <c:v>-1.8709944180276938E-2</c:v>
                </c:pt>
                <c:pt idx="8">
                  <c:v>5.2775729484883405E-2</c:v>
                </c:pt>
                <c:pt idx="9">
                  <c:v>1.7510506303782369E-2</c:v>
                </c:pt>
                <c:pt idx="10">
                  <c:v>5.5856033041597142E-2</c:v>
                </c:pt>
                <c:pt idx="11">
                  <c:v>1.3504703362205328E-2</c:v>
                </c:pt>
                <c:pt idx="12">
                  <c:v>0.127366292960853</c:v>
                </c:pt>
                <c:pt idx="13">
                  <c:v>-1.385718943593095E-2</c:v>
                </c:pt>
                <c:pt idx="14">
                  <c:v>6.7779798313769568E-3</c:v>
                </c:pt>
                <c:pt idx="15">
                  <c:v>-2.0525451559934349E-2</c:v>
                </c:pt>
                <c:pt idx="16">
                  <c:v>7.5440067057837012E-3</c:v>
                </c:pt>
                <c:pt idx="17">
                  <c:v>-2.3627287853577372E-2</c:v>
                </c:pt>
                <c:pt idx="18">
                  <c:v>-1.218473074301285E-2</c:v>
                </c:pt>
                <c:pt idx="19">
                  <c:v>1.8718192012421087E-2</c:v>
                </c:pt>
                <c:pt idx="20">
                  <c:v>2.4978831498729814E-2</c:v>
                </c:pt>
                <c:pt idx="21">
                  <c:v>6.8566707971913221E-3</c:v>
                </c:pt>
                <c:pt idx="22">
                  <c:v>-1.3127666557268824E-3</c:v>
                </c:pt>
                <c:pt idx="23">
                  <c:v>1.0433782451528151E-2</c:v>
                </c:pt>
                <c:pt idx="24">
                  <c:v>3.4962192048133556E-3</c:v>
                </c:pt>
                <c:pt idx="25">
                  <c:v>-3.7757251660994973E-2</c:v>
                </c:pt>
                <c:pt idx="26">
                  <c:v>-3.0313236780060704E-3</c:v>
                </c:pt>
                <c:pt idx="27">
                  <c:v>1.2415540540540615E-2</c:v>
                </c:pt>
                <c:pt idx="28">
                  <c:v>-4.2128973054142094E-2</c:v>
                </c:pt>
                <c:pt idx="29">
                  <c:v>-4.5985020031353296E-2</c:v>
                </c:pt>
                <c:pt idx="30">
                  <c:v>-0.1303633375935731</c:v>
                </c:pt>
                <c:pt idx="31">
                  <c:v>5.5637203443208438E-3</c:v>
                </c:pt>
                <c:pt idx="32">
                  <c:v>1.7538365173817683E-2</c:v>
                </c:pt>
                <c:pt idx="33">
                  <c:v>1.5184159228480709E-2</c:v>
                </c:pt>
                <c:pt idx="34">
                  <c:v>3.7291561394643846E-2</c:v>
                </c:pt>
                <c:pt idx="35">
                  <c:v>-6.0600155884645401E-2</c:v>
                </c:pt>
                <c:pt idx="36">
                  <c:v>5.486413607135443E-2</c:v>
                </c:pt>
                <c:pt idx="37">
                  <c:v>-2.6546062334086296E-3</c:v>
                </c:pt>
                <c:pt idx="38">
                  <c:v>1.8927444794952786E-2</c:v>
                </c:pt>
                <c:pt idx="39">
                  <c:v>-1.731811145510842E-2</c:v>
                </c:pt>
                <c:pt idx="40">
                  <c:v>2.6582652357979741E-2</c:v>
                </c:pt>
                <c:pt idx="41">
                  <c:v>1.9180972475304481E-2</c:v>
                </c:pt>
                <c:pt idx="42">
                  <c:v>4.9684765220664451E-2</c:v>
                </c:pt>
                <c:pt idx="43">
                  <c:v>3.0031376064545201E-2</c:v>
                </c:pt>
                <c:pt idx="44">
                  <c:v>-8.7032201914708507E-3</c:v>
                </c:pt>
                <c:pt idx="45">
                  <c:v>1.0623353819139592E-2</c:v>
                </c:pt>
                <c:pt idx="46">
                  <c:v>-1.6766571105898631E-2</c:v>
                </c:pt>
                <c:pt idx="47">
                  <c:v>7.7752253048242181E-3</c:v>
                </c:pt>
                <c:pt idx="48">
                  <c:v>4.8921620199894766E-2</c:v>
                </c:pt>
                <c:pt idx="49">
                  <c:v>-8.1076563022400849E-3</c:v>
                </c:pt>
                <c:pt idx="50">
                  <c:v>-4.5504339765737312E-3</c:v>
                </c:pt>
                <c:pt idx="51">
                  <c:v>2.1586387877761792E-2</c:v>
                </c:pt>
                <c:pt idx="52">
                  <c:v>-2.7510772290354701E-2</c:v>
                </c:pt>
                <c:pt idx="53">
                  <c:v>9.3728698023176626E-4</c:v>
                </c:pt>
                <c:pt idx="54">
                  <c:v>-2.5197922873925194E-2</c:v>
                </c:pt>
                <c:pt idx="55">
                  <c:v>-1.7815037987948701E-2</c:v>
                </c:pt>
                <c:pt idx="56">
                  <c:v>1.8760558371121228E-2</c:v>
                </c:pt>
                <c:pt idx="57">
                  <c:v>-4.0495723511956738E-2</c:v>
                </c:pt>
                <c:pt idx="58">
                  <c:v>-3.5201018737493261E-2</c:v>
                </c:pt>
                <c:pt idx="59">
                  <c:v>2.1400961629112869E-2</c:v>
                </c:pt>
                <c:pt idx="60">
                  <c:v>-2.0767952741369777E-2</c:v>
                </c:pt>
                <c:pt idx="61">
                  <c:v>2.0925629182769301E-2</c:v>
                </c:pt>
                <c:pt idx="62">
                  <c:v>8.4941371987812264E-3</c:v>
                </c:pt>
                <c:pt idx="63">
                  <c:v>-4.0922823400164732E-2</c:v>
                </c:pt>
                <c:pt idx="64">
                  <c:v>-7.7319587628865705E-3</c:v>
                </c:pt>
                <c:pt idx="65">
                  <c:v>-6.2241462241462209E-2</c:v>
                </c:pt>
                <c:pt idx="66">
                  <c:v>1.8567911366434098E-2</c:v>
                </c:pt>
                <c:pt idx="67">
                  <c:v>3.7264578507401058E-3</c:v>
                </c:pt>
                <c:pt idx="68">
                  <c:v>-1.9265502709211346E-2</c:v>
                </c:pt>
                <c:pt idx="69">
                  <c:v>5.6783302639656252E-2</c:v>
                </c:pt>
                <c:pt idx="70">
                  <c:v>8.6358795623971307E-2</c:v>
                </c:pt>
                <c:pt idx="71">
                  <c:v>2.6735585063721867E-3</c:v>
                </c:pt>
                <c:pt idx="72">
                  <c:v>-1.5909696915829774E-2</c:v>
                </c:pt>
                <c:pt idx="73">
                  <c:v>2.980491329479773E-2</c:v>
                </c:pt>
                <c:pt idx="74">
                  <c:v>1.0524469391335334E-3</c:v>
                </c:pt>
                <c:pt idx="75">
                  <c:v>2.4356053968810354E-2</c:v>
                </c:pt>
                <c:pt idx="76">
                  <c:v>-3.2329798152582967E-2</c:v>
                </c:pt>
                <c:pt idx="77">
                  <c:v>-6.6908255258971261E-2</c:v>
                </c:pt>
                <c:pt idx="78">
                  <c:v>-2.2354835654068372E-2</c:v>
                </c:pt>
                <c:pt idx="79">
                  <c:v>1.8699738397442101E-2</c:v>
                </c:pt>
                <c:pt idx="80">
                  <c:v>-0.11061441887007795</c:v>
                </c:pt>
                <c:pt idx="81">
                  <c:v>-2.0425622928029186E-2</c:v>
                </c:pt>
                <c:pt idx="82">
                  <c:v>6.1026200873362413E-2</c:v>
                </c:pt>
                <c:pt idx="83">
                  <c:v>1.3375861714166604E-3</c:v>
                </c:pt>
                <c:pt idx="84">
                  <c:v>3.1031648170982473E-2</c:v>
                </c:pt>
                <c:pt idx="85">
                  <c:v>1.4251544747857281E-2</c:v>
                </c:pt>
                <c:pt idx="86">
                  <c:v>3.3998231305885973E-2</c:v>
                </c:pt>
                <c:pt idx="87">
                  <c:v>-5.8823529411764719E-2</c:v>
                </c:pt>
                <c:pt idx="88">
                  <c:v>4.3820678513731615E-2</c:v>
                </c:pt>
                <c:pt idx="89">
                  <c:v>1.7411491584446992E-3</c:v>
                </c:pt>
                <c:pt idx="90">
                  <c:v>-1.3904982618771711E-2</c:v>
                </c:pt>
                <c:pt idx="91">
                  <c:v>-5.3858206032120215E-3</c:v>
                </c:pt>
                <c:pt idx="92">
                  <c:v>-6.8917987594752095E-4</c:v>
                </c:pt>
                <c:pt idx="93">
                  <c:v>2.2758620689655285E-2</c:v>
                </c:pt>
                <c:pt idx="94">
                  <c:v>1.0596281668432628E-2</c:v>
                </c:pt>
                <c:pt idx="95">
                  <c:v>-2.1923553522066541E-2</c:v>
                </c:pt>
                <c:pt idx="96">
                  <c:v>3.2940259233992686E-2</c:v>
                </c:pt>
                <c:pt idx="97">
                  <c:v>-4.8778186621379449E-2</c:v>
                </c:pt>
                <c:pt idx="98">
                  <c:v>7.3398135290618782E-3</c:v>
                </c:pt>
                <c:pt idx="99">
                  <c:v>8.5663647105160834E-3</c:v>
                </c:pt>
                <c:pt idx="100">
                  <c:v>5.3402323538025875E-2</c:v>
                </c:pt>
                <c:pt idx="101">
                  <c:v>1.3345690454124259E-2</c:v>
                </c:pt>
                <c:pt idx="102">
                  <c:v>-1.097494055240622E-3</c:v>
                </c:pt>
                <c:pt idx="103">
                  <c:v>1.4924006592199168E-2</c:v>
                </c:pt>
                <c:pt idx="104">
                  <c:v>-7.2169598556607317E-3</c:v>
                </c:pt>
                <c:pt idx="105">
                  <c:v>5.9972739663789465E-3</c:v>
                </c:pt>
                <c:pt idx="106">
                  <c:v>2.520097552163314E-2</c:v>
                </c:pt>
                <c:pt idx="107">
                  <c:v>-4.9867841409691582E-2</c:v>
                </c:pt>
                <c:pt idx="108">
                  <c:v>0.11554154302670616</c:v>
                </c:pt>
                <c:pt idx="109">
                  <c:v>1.8952618453865311E-2</c:v>
                </c:pt>
                <c:pt idx="110">
                  <c:v>-1.851851851851849E-2</c:v>
                </c:pt>
                <c:pt idx="111">
                  <c:v>1.2218435707755049E-2</c:v>
                </c:pt>
                <c:pt idx="112">
                  <c:v>-2.2089012974215727E-2</c:v>
                </c:pt>
                <c:pt idx="113">
                  <c:v>2.4099420606264133E-2</c:v>
                </c:pt>
                <c:pt idx="114">
                  <c:v>2.1810429649065322E-2</c:v>
                </c:pt>
                <c:pt idx="115">
                  <c:v>-4.3331728454502061E-3</c:v>
                </c:pt>
                <c:pt idx="116">
                  <c:v>1.7246937459703515E-2</c:v>
                </c:pt>
                <c:pt idx="117">
                  <c:v>-1.5053081920456401E-2</c:v>
                </c:pt>
                <c:pt idx="118">
                  <c:v>1.1583011583011782E-2</c:v>
                </c:pt>
                <c:pt idx="119">
                  <c:v>2.703562340966803E-3</c:v>
                </c:pt>
                <c:pt idx="120">
                  <c:v>2.6962727993655733E-3</c:v>
                </c:pt>
                <c:pt idx="121">
                  <c:v>2.9421069281872825E-2</c:v>
                </c:pt>
                <c:pt idx="122">
                  <c:v>-4.5482483097725845E-2</c:v>
                </c:pt>
                <c:pt idx="123">
                  <c:v>2.6802962009014886E-2</c:v>
                </c:pt>
                <c:pt idx="124">
                  <c:v>4.8992709884769114E-2</c:v>
                </c:pt>
                <c:pt idx="125">
                  <c:v>1.4721267374084634E-2</c:v>
                </c:pt>
                <c:pt idx="126">
                  <c:v>1.8263495102732286E-2</c:v>
                </c:pt>
                <c:pt idx="127">
                  <c:v>7.5215158747377053E-3</c:v>
                </c:pt>
                <c:pt idx="128">
                  <c:v>-5.634914937908253E-2</c:v>
                </c:pt>
                <c:pt idx="129">
                  <c:v>-2.07667731629394E-2</c:v>
                </c:pt>
                <c:pt idx="130">
                  <c:v>-2.0508040083896395E-2</c:v>
                </c:pt>
                <c:pt idx="131">
                  <c:v>6.8998334522958338E-3</c:v>
                </c:pt>
                <c:pt idx="132">
                  <c:v>3.7807183364839236E-2</c:v>
                </c:pt>
                <c:pt idx="133">
                  <c:v>2.5576806314511202E-2</c:v>
                </c:pt>
                <c:pt idx="134">
                  <c:v>5.7648190631243823E-2</c:v>
                </c:pt>
                <c:pt idx="135">
                  <c:v>-2.071088720962766E-2</c:v>
                </c:pt>
                <c:pt idx="136">
                  <c:v>-4.7870820234353628E-3</c:v>
                </c:pt>
                <c:pt idx="137">
                  <c:v>1.8881470313733884E-2</c:v>
                </c:pt>
                <c:pt idx="138">
                  <c:v>-2.466178128523111E-2</c:v>
                </c:pt>
                <c:pt idx="139">
                  <c:v>3.8217020661754253E-2</c:v>
                </c:pt>
                <c:pt idx="140">
                  <c:v>-1.6700299213694314E-2</c:v>
                </c:pt>
                <c:pt idx="141">
                  <c:v>7.5012384120018982E-3</c:v>
                </c:pt>
                <c:pt idx="142">
                  <c:v>2.9079159935379462E-2</c:v>
                </c:pt>
                <c:pt idx="143">
                  <c:v>-4.8324346460992373E-2</c:v>
                </c:pt>
                <c:pt idx="144">
                  <c:v>-4.0163522914724581E-3</c:v>
                </c:pt>
                <c:pt idx="145">
                  <c:v>-3.8885288399221896E-3</c:v>
                </c:pt>
                <c:pt idx="146">
                  <c:v>1.0337598496349187E-2</c:v>
                </c:pt>
                <c:pt idx="147">
                  <c:v>6.3322839152833543E-2</c:v>
                </c:pt>
                <c:pt idx="148">
                  <c:v>-1.440010766435651E-2</c:v>
                </c:pt>
                <c:pt idx="149">
                  <c:v>-2.0482009967911496E-2</c:v>
                </c:pt>
                <c:pt idx="150">
                  <c:v>-3.0738133407681056E-2</c:v>
                </c:pt>
                <c:pt idx="151">
                  <c:v>6.1843808428014846E-3</c:v>
                </c:pt>
                <c:pt idx="152">
                  <c:v>5.4316752429961479E-3</c:v>
                </c:pt>
                <c:pt idx="153">
                  <c:v>-7.7480807506398186E-3</c:v>
                </c:pt>
                <c:pt idx="154">
                  <c:v>-2.3855577047066534E-2</c:v>
                </c:pt>
                <c:pt idx="155">
                  <c:v>-1.1595479230882E-2</c:v>
                </c:pt>
                <c:pt idx="156">
                  <c:v>1.1880011880012198E-3</c:v>
                </c:pt>
                <c:pt idx="157">
                  <c:v>-1.3274992583802936E-2</c:v>
                </c:pt>
                <c:pt idx="158">
                  <c:v>-3.1116121758737458E-2</c:v>
                </c:pt>
                <c:pt idx="159">
                  <c:v>0</c:v>
                </c:pt>
              </c:numCache>
            </c:numRef>
          </c:val>
          <c:extLst>
            <c:ext xmlns:c16="http://schemas.microsoft.com/office/drawing/2014/chart" uri="{C3380CC4-5D6E-409C-BE32-E72D297353CC}">
              <c16:uniqueId val="{00000000-3B03-46E2-AF8E-2C94A8ECD4D4}"/>
            </c:ext>
          </c:extLst>
        </c:ser>
        <c:dLbls>
          <c:showLegendKey val="0"/>
          <c:showVal val="0"/>
          <c:showCatName val="0"/>
          <c:showSerName val="0"/>
          <c:showPercent val="0"/>
          <c:showBubbleSize val="0"/>
        </c:dLbls>
        <c:gapWidth val="150"/>
        <c:axId val="64730195"/>
        <c:axId val="251516"/>
      </c:barChart>
      <c:lineChart>
        <c:grouping val="standard"/>
        <c:varyColors val="0"/>
        <c:ser>
          <c:idx val="1"/>
          <c:order val="1"/>
          <c:tx>
            <c:strRef>
              <c:f>'Returns (Calc)'!$AE$2</c:f>
              <c:strCache>
                <c:ptCount val="1"/>
                <c:pt idx="0">
                  <c:v>PLD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(Calc)'!$AE$3:$AE$500</c:f>
              <c:numCache>
                <c:formatCode>#,##0.00</c:formatCode>
                <c:ptCount val="498"/>
                <c:pt idx="0">
                  <c:v>111.84</c:v>
                </c:pt>
                <c:pt idx="1">
                  <c:v>111.94803797468354</c:v>
                </c:pt>
                <c:pt idx="2">
                  <c:v>112.0560759493671</c:v>
                </c:pt>
                <c:pt idx="3">
                  <c:v>112.16411392405064</c:v>
                </c:pt>
                <c:pt idx="4">
                  <c:v>112.27215189873418</c:v>
                </c:pt>
                <c:pt idx="5">
                  <c:v>112.38018987341772</c:v>
                </c:pt>
                <c:pt idx="6">
                  <c:v>112.48822784810127</c:v>
                </c:pt>
                <c:pt idx="7">
                  <c:v>112.59626582278482</c:v>
                </c:pt>
                <c:pt idx="8">
                  <c:v>112.70430379746836</c:v>
                </c:pt>
                <c:pt idx="9">
                  <c:v>112.8123417721519</c:v>
                </c:pt>
                <c:pt idx="10">
                  <c:v>112.92037974683545</c:v>
                </c:pt>
                <c:pt idx="11">
                  <c:v>113.02841772151899</c:v>
                </c:pt>
                <c:pt idx="12">
                  <c:v>113.13645569620253</c:v>
                </c:pt>
                <c:pt idx="13">
                  <c:v>113.24449367088607</c:v>
                </c:pt>
                <c:pt idx="14">
                  <c:v>113.35253164556963</c:v>
                </c:pt>
                <c:pt idx="15">
                  <c:v>113.46056962025317</c:v>
                </c:pt>
                <c:pt idx="16">
                  <c:v>113.56860759493671</c:v>
                </c:pt>
                <c:pt idx="17">
                  <c:v>113.67664556962026</c:v>
                </c:pt>
                <c:pt idx="18">
                  <c:v>113.7846835443038</c:v>
                </c:pt>
                <c:pt idx="19">
                  <c:v>113.89272151898734</c:v>
                </c:pt>
                <c:pt idx="20">
                  <c:v>114.00075949367088</c:v>
                </c:pt>
                <c:pt idx="21">
                  <c:v>114.10879746835444</c:v>
                </c:pt>
                <c:pt idx="22">
                  <c:v>114.21683544303798</c:v>
                </c:pt>
                <c:pt idx="23">
                  <c:v>114.32487341772152</c:v>
                </c:pt>
                <c:pt idx="24">
                  <c:v>114.43291139240506</c:v>
                </c:pt>
                <c:pt idx="25">
                  <c:v>114.54094936708861</c:v>
                </c:pt>
                <c:pt idx="26">
                  <c:v>114.64898734177216</c:v>
                </c:pt>
                <c:pt idx="27">
                  <c:v>114.7570253164557</c:v>
                </c:pt>
                <c:pt idx="28">
                  <c:v>114.86506329113924</c:v>
                </c:pt>
                <c:pt idx="29">
                  <c:v>114.97310126582279</c:v>
                </c:pt>
                <c:pt idx="30">
                  <c:v>115.08113924050633</c:v>
                </c:pt>
                <c:pt idx="31">
                  <c:v>115.18917721518987</c:v>
                </c:pt>
                <c:pt idx="32">
                  <c:v>115.29721518987341</c:v>
                </c:pt>
                <c:pt idx="33">
                  <c:v>115.40525316455697</c:v>
                </c:pt>
                <c:pt idx="34">
                  <c:v>115.51329113924051</c:v>
                </c:pt>
                <c:pt idx="35">
                  <c:v>115.62132911392405</c:v>
                </c:pt>
                <c:pt idx="36">
                  <c:v>115.7293670886076</c:v>
                </c:pt>
                <c:pt idx="37">
                  <c:v>115.83740506329114</c:v>
                </c:pt>
                <c:pt idx="38">
                  <c:v>115.94544303797468</c:v>
                </c:pt>
                <c:pt idx="39">
                  <c:v>116.05348101265822</c:v>
                </c:pt>
                <c:pt idx="40">
                  <c:v>116.16151898734178</c:v>
                </c:pt>
                <c:pt idx="41">
                  <c:v>116.26955696202532</c:v>
                </c:pt>
                <c:pt idx="42">
                  <c:v>116.37759493670886</c:v>
                </c:pt>
                <c:pt idx="43">
                  <c:v>116.4856329113924</c:v>
                </c:pt>
                <c:pt idx="44">
                  <c:v>116.59367088607596</c:v>
                </c:pt>
                <c:pt idx="45">
                  <c:v>116.7017088607595</c:v>
                </c:pt>
                <c:pt idx="46">
                  <c:v>116.80974683544304</c:v>
                </c:pt>
                <c:pt idx="47">
                  <c:v>116.91778481012659</c:v>
                </c:pt>
                <c:pt idx="48">
                  <c:v>117.02582278481013</c:v>
                </c:pt>
                <c:pt idx="49">
                  <c:v>117.13386075949367</c:v>
                </c:pt>
                <c:pt idx="50">
                  <c:v>117.24189873417721</c:v>
                </c:pt>
                <c:pt idx="51">
                  <c:v>117.34993670886077</c:v>
                </c:pt>
                <c:pt idx="52">
                  <c:v>117.45797468354431</c:v>
                </c:pt>
                <c:pt idx="53">
                  <c:v>117.56601265822785</c:v>
                </c:pt>
                <c:pt idx="54">
                  <c:v>117.67405063291139</c:v>
                </c:pt>
                <c:pt idx="55">
                  <c:v>117.78208860759494</c:v>
                </c:pt>
                <c:pt idx="56">
                  <c:v>117.89012658227848</c:v>
                </c:pt>
                <c:pt idx="57">
                  <c:v>117.99816455696202</c:v>
                </c:pt>
                <c:pt idx="58">
                  <c:v>118.10620253164556</c:v>
                </c:pt>
                <c:pt idx="59">
                  <c:v>118.21424050632912</c:v>
                </c:pt>
                <c:pt idx="60">
                  <c:v>118.32227848101266</c:v>
                </c:pt>
                <c:pt idx="61">
                  <c:v>118.4303164556962</c:v>
                </c:pt>
                <c:pt idx="62">
                  <c:v>118.53835443037975</c:v>
                </c:pt>
                <c:pt idx="63">
                  <c:v>118.6463924050633</c:v>
                </c:pt>
                <c:pt idx="64">
                  <c:v>118.75443037974684</c:v>
                </c:pt>
                <c:pt idx="65">
                  <c:v>118.86246835443038</c:v>
                </c:pt>
                <c:pt idx="66">
                  <c:v>118.97050632911393</c:v>
                </c:pt>
                <c:pt idx="67">
                  <c:v>119.07854430379747</c:v>
                </c:pt>
                <c:pt idx="68">
                  <c:v>119.18658227848101</c:v>
                </c:pt>
                <c:pt idx="69">
                  <c:v>119.29462025316455</c:v>
                </c:pt>
                <c:pt idx="70">
                  <c:v>119.40265822784811</c:v>
                </c:pt>
                <c:pt idx="71">
                  <c:v>119.51069620253165</c:v>
                </c:pt>
                <c:pt idx="72">
                  <c:v>119.61873417721519</c:v>
                </c:pt>
                <c:pt idx="73">
                  <c:v>119.72677215189873</c:v>
                </c:pt>
                <c:pt idx="74">
                  <c:v>119.83481012658228</c:v>
                </c:pt>
                <c:pt idx="75">
                  <c:v>119.94284810126582</c:v>
                </c:pt>
                <c:pt idx="76">
                  <c:v>120.05088607594936</c:v>
                </c:pt>
                <c:pt idx="77">
                  <c:v>120.15892405063292</c:v>
                </c:pt>
                <c:pt idx="78">
                  <c:v>120.26696202531646</c:v>
                </c:pt>
                <c:pt idx="79">
                  <c:v>120.375</c:v>
                </c:pt>
                <c:pt idx="80">
                  <c:v>120.48303797468354</c:v>
                </c:pt>
                <c:pt idx="81">
                  <c:v>120.59107594936708</c:v>
                </c:pt>
                <c:pt idx="82">
                  <c:v>120.69911392405064</c:v>
                </c:pt>
                <c:pt idx="83">
                  <c:v>120.80715189873418</c:v>
                </c:pt>
                <c:pt idx="84">
                  <c:v>120.91518987341772</c:v>
                </c:pt>
                <c:pt idx="85">
                  <c:v>121.02322784810127</c:v>
                </c:pt>
                <c:pt idx="86">
                  <c:v>121.13126582278481</c:v>
                </c:pt>
                <c:pt idx="87">
                  <c:v>121.23930379746835</c:v>
                </c:pt>
                <c:pt idx="88">
                  <c:v>121.34734177215189</c:v>
                </c:pt>
                <c:pt idx="89">
                  <c:v>121.45537974683545</c:v>
                </c:pt>
                <c:pt idx="90">
                  <c:v>121.56341772151899</c:v>
                </c:pt>
                <c:pt idx="91">
                  <c:v>121.67145569620253</c:v>
                </c:pt>
                <c:pt idx="92">
                  <c:v>121.77949367088607</c:v>
                </c:pt>
                <c:pt idx="93">
                  <c:v>121.88753164556962</c:v>
                </c:pt>
                <c:pt idx="94">
                  <c:v>121.99556962025316</c:v>
                </c:pt>
                <c:pt idx="95">
                  <c:v>122.1036075949367</c:v>
                </c:pt>
                <c:pt idx="96">
                  <c:v>122.21164556962026</c:v>
                </c:pt>
                <c:pt idx="97">
                  <c:v>122.3196835443038</c:v>
                </c:pt>
                <c:pt idx="98">
                  <c:v>122.42772151898734</c:v>
                </c:pt>
                <c:pt idx="99">
                  <c:v>122.53575949367088</c:v>
                </c:pt>
                <c:pt idx="100">
                  <c:v>122.64379746835444</c:v>
                </c:pt>
                <c:pt idx="101">
                  <c:v>122.75183544303798</c:v>
                </c:pt>
                <c:pt idx="102">
                  <c:v>122.85987341772152</c:v>
                </c:pt>
                <c:pt idx="103">
                  <c:v>122.96791139240506</c:v>
                </c:pt>
                <c:pt idx="104">
                  <c:v>123.07594936708861</c:v>
                </c:pt>
                <c:pt idx="105">
                  <c:v>123.18398734177215</c:v>
                </c:pt>
                <c:pt idx="106">
                  <c:v>123.29202531645569</c:v>
                </c:pt>
                <c:pt idx="107">
                  <c:v>123.40006329113925</c:v>
                </c:pt>
                <c:pt idx="108">
                  <c:v>123.50810126582279</c:v>
                </c:pt>
                <c:pt idx="109">
                  <c:v>123.61613924050633</c:v>
                </c:pt>
                <c:pt idx="110">
                  <c:v>123.72417721518987</c:v>
                </c:pt>
                <c:pt idx="111">
                  <c:v>123.83221518987341</c:v>
                </c:pt>
                <c:pt idx="112">
                  <c:v>123.94025316455696</c:v>
                </c:pt>
                <c:pt idx="113">
                  <c:v>124.0482911392405</c:v>
                </c:pt>
                <c:pt idx="114">
                  <c:v>124.15632911392404</c:v>
                </c:pt>
                <c:pt idx="115">
                  <c:v>124.2643670886076</c:v>
                </c:pt>
                <c:pt idx="116">
                  <c:v>124.37240506329114</c:v>
                </c:pt>
                <c:pt idx="117">
                  <c:v>124.48044303797468</c:v>
                </c:pt>
                <c:pt idx="118">
                  <c:v>124.58848101265822</c:v>
                </c:pt>
                <c:pt idx="119">
                  <c:v>124.69651898734178</c:v>
                </c:pt>
                <c:pt idx="120">
                  <c:v>124.80455696202532</c:v>
                </c:pt>
                <c:pt idx="121">
                  <c:v>124.91259493670886</c:v>
                </c:pt>
                <c:pt idx="122">
                  <c:v>125.0206329113924</c:v>
                </c:pt>
                <c:pt idx="123">
                  <c:v>125.12867088607595</c:v>
                </c:pt>
                <c:pt idx="124">
                  <c:v>125.23670886075949</c:v>
                </c:pt>
                <c:pt idx="125">
                  <c:v>125.34474683544303</c:v>
                </c:pt>
                <c:pt idx="126">
                  <c:v>125.45278481012659</c:v>
                </c:pt>
                <c:pt idx="127">
                  <c:v>125.56082278481013</c:v>
                </c:pt>
                <c:pt idx="128">
                  <c:v>125.66886075949367</c:v>
                </c:pt>
                <c:pt idx="129">
                  <c:v>125.77689873417721</c:v>
                </c:pt>
                <c:pt idx="130">
                  <c:v>125.88493670886075</c:v>
                </c:pt>
                <c:pt idx="131">
                  <c:v>125.9929746835443</c:v>
                </c:pt>
                <c:pt idx="132">
                  <c:v>126.10101265822784</c:v>
                </c:pt>
                <c:pt idx="133">
                  <c:v>126.20905063291139</c:v>
                </c:pt>
                <c:pt idx="134">
                  <c:v>126.31708860759494</c:v>
                </c:pt>
                <c:pt idx="135">
                  <c:v>126.42512658227848</c:v>
                </c:pt>
                <c:pt idx="136">
                  <c:v>126.53316455696202</c:v>
                </c:pt>
                <c:pt idx="137">
                  <c:v>126.64120253164558</c:v>
                </c:pt>
                <c:pt idx="138">
                  <c:v>126.74924050632912</c:v>
                </c:pt>
                <c:pt idx="139">
                  <c:v>126.85727848101266</c:v>
                </c:pt>
                <c:pt idx="140">
                  <c:v>126.9653164556962</c:v>
                </c:pt>
                <c:pt idx="141">
                  <c:v>127.07335443037974</c:v>
                </c:pt>
                <c:pt idx="142">
                  <c:v>127.18139240506329</c:v>
                </c:pt>
                <c:pt idx="143">
                  <c:v>127.28943037974683</c:v>
                </c:pt>
                <c:pt idx="144">
                  <c:v>127.39746835443037</c:v>
                </c:pt>
                <c:pt idx="145">
                  <c:v>127.50550632911393</c:v>
                </c:pt>
                <c:pt idx="146">
                  <c:v>127.61354430379747</c:v>
                </c:pt>
                <c:pt idx="147">
                  <c:v>127.72158227848101</c:v>
                </c:pt>
                <c:pt idx="148">
                  <c:v>127.82962025316455</c:v>
                </c:pt>
                <c:pt idx="149">
                  <c:v>127.93765822784809</c:v>
                </c:pt>
                <c:pt idx="150">
                  <c:v>128.04569620253164</c:v>
                </c:pt>
                <c:pt idx="151">
                  <c:v>128.1537341772152</c:v>
                </c:pt>
                <c:pt idx="152">
                  <c:v>128.26177215189873</c:v>
                </c:pt>
                <c:pt idx="153">
                  <c:v>128.36981012658228</c:v>
                </c:pt>
                <c:pt idx="154">
                  <c:v>128.47784810126581</c:v>
                </c:pt>
                <c:pt idx="155">
                  <c:v>128.58588607594936</c:v>
                </c:pt>
                <c:pt idx="156">
                  <c:v>128.69392405063292</c:v>
                </c:pt>
                <c:pt idx="157">
                  <c:v>128.80196202531644</c:v>
                </c:pt>
                <c:pt idx="158">
                  <c:v>128.91</c:v>
                </c:pt>
                <c:pt idx="159">
                  <c:v>129.01803797468355</c:v>
                </c:pt>
              </c:numCache>
            </c:numRef>
          </c:val>
          <c:smooth val="0"/>
          <c:extLst>
            <c:ext xmlns:c16="http://schemas.microsoft.com/office/drawing/2014/chart" uri="{C3380CC4-5D6E-409C-BE32-E72D297353CC}">
              <c16:uniqueId val="{00000001-3B03-46E2-AF8E-2C94A8ECD4D4}"/>
            </c:ext>
          </c:extLst>
        </c:ser>
        <c:dLbls>
          <c:showLegendKey val="0"/>
          <c:showVal val="0"/>
          <c:showCatName val="0"/>
          <c:showSerName val="0"/>
          <c:showPercent val="0"/>
          <c:showBubbleSize val="0"/>
        </c:dLbls>
        <c:hiLowLines>
          <c:spPr>
            <a:ln w="0">
              <a:noFill/>
            </a:ln>
          </c:spPr>
        </c:hiLowLines>
        <c:marker val="1"/>
        <c:smooth val="0"/>
        <c:axId val="37395327"/>
        <c:axId val="2059079"/>
      </c:lineChart>
      <c:dateAx>
        <c:axId val="64730195"/>
        <c:scaling>
          <c:orientation val="minMax"/>
        </c:scaling>
        <c:delete val="1"/>
        <c:axPos val="b"/>
        <c:numFmt formatCode="mm/dd/yyyy" sourceLinked="1"/>
        <c:majorTickMark val="none"/>
        <c:minorTickMark val="none"/>
        <c:tickLblPos val="nextTo"/>
        <c:crossAx val="251516"/>
        <c:crosses val="autoZero"/>
        <c:auto val="1"/>
        <c:lblOffset val="100"/>
        <c:baseTimeUnit val="days"/>
      </c:dateAx>
      <c:valAx>
        <c:axId val="25151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64730195"/>
        <c:crosses val="autoZero"/>
        <c:crossBetween val="between"/>
      </c:valAx>
      <c:dateAx>
        <c:axId val="37395327"/>
        <c:scaling>
          <c:orientation val="minMax"/>
        </c:scaling>
        <c:delete val="1"/>
        <c:axPos val="b"/>
        <c:numFmt formatCode="mm/dd/yyyy" sourceLinked="1"/>
        <c:majorTickMark val="none"/>
        <c:minorTickMark val="none"/>
        <c:tickLblPos val="nextTo"/>
        <c:crossAx val="2059079"/>
        <c:crosses val="autoZero"/>
        <c:auto val="1"/>
        <c:lblOffset val="100"/>
        <c:baseTimeUnit val="days"/>
      </c:dateAx>
      <c:valAx>
        <c:axId val="2059079"/>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7395327"/>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PLTR</a:t>
            </a:r>
          </a:p>
        </c:rich>
      </c:tx>
      <c:overlay val="0"/>
      <c:spPr>
        <a:noFill/>
        <a:ln w="0">
          <a:noFill/>
        </a:ln>
      </c:spPr>
    </c:title>
    <c:autoTitleDeleted val="0"/>
    <c:plotArea>
      <c:layout/>
      <c:barChart>
        <c:barDir val="col"/>
        <c:grouping val="clustered"/>
        <c:varyColors val="0"/>
        <c:ser>
          <c:idx val="0"/>
          <c:order val="0"/>
          <c:tx>
            <c:strRef>
              <c:f>'Returns (Calc)'!$K$2</c:f>
              <c:strCache>
                <c:ptCount val="1"/>
                <c:pt idx="0">
                  <c:v>PLTR</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(Calc)'!$K$3:$K$500</c:f>
              <c:numCache>
                <c:formatCode>0.0%</c:formatCode>
                <c:ptCount val="498"/>
                <c:pt idx="0">
                  <c:v>-7.8277886497064575E-2</c:v>
                </c:pt>
                <c:pt idx="1">
                  <c:v>0.13234253361641901</c:v>
                </c:pt>
                <c:pt idx="2">
                  <c:v>3.8124999999999964E-2</c:v>
                </c:pt>
                <c:pt idx="3">
                  <c:v>4.5153521974714117E-2</c:v>
                </c:pt>
                <c:pt idx="4">
                  <c:v>-7.2004608294930827E-2</c:v>
                </c:pt>
                <c:pt idx="5">
                  <c:v>-6.4556176288019795E-2</c:v>
                </c:pt>
                <c:pt idx="6">
                  <c:v>0.25348374253483752</c:v>
                </c:pt>
                <c:pt idx="7">
                  <c:v>4.1291688724192754E-2</c:v>
                </c:pt>
                <c:pt idx="8">
                  <c:v>4.1687849517030751E-2</c:v>
                </c:pt>
                <c:pt idx="9">
                  <c:v>-6.2957540263543166E-2</c:v>
                </c:pt>
                <c:pt idx="10">
                  <c:v>5.5729166666666607E-2</c:v>
                </c:pt>
                <c:pt idx="11">
                  <c:v>-0.12333497779970404</c:v>
                </c:pt>
                <c:pt idx="12">
                  <c:v>2.4198086662915008E-2</c:v>
                </c:pt>
                <c:pt idx="13">
                  <c:v>-4.3406593406593363E-2</c:v>
                </c:pt>
                <c:pt idx="14">
                  <c:v>-1.378518093049963E-2</c:v>
                </c:pt>
                <c:pt idx="15">
                  <c:v>-6.9306930693069368E-2</c:v>
                </c:pt>
                <c:pt idx="16">
                  <c:v>4.8811013767209088E-2</c:v>
                </c:pt>
                <c:pt idx="17">
                  <c:v>1.1933174224343368E-3</c:v>
                </c:pt>
                <c:pt idx="18">
                  <c:v>-2.5625744934445804E-2</c:v>
                </c:pt>
                <c:pt idx="19">
                  <c:v>4.0978593272171127E-2</c:v>
                </c:pt>
                <c:pt idx="20">
                  <c:v>0.43243243243243246</c:v>
                </c:pt>
                <c:pt idx="21">
                  <c:v>2.4610336341264194E-3</c:v>
                </c:pt>
                <c:pt idx="22">
                  <c:v>-6.0147299509001773E-2</c:v>
                </c:pt>
                <c:pt idx="23">
                  <c:v>8.5328689595124185E-2</c:v>
                </c:pt>
                <c:pt idx="24">
                  <c:v>4.4524669073405576E-2</c:v>
                </c:pt>
                <c:pt idx="25">
                  <c:v>-9.7926267281105983E-2</c:v>
                </c:pt>
                <c:pt idx="26">
                  <c:v>2.9374201787994991E-2</c:v>
                </c:pt>
                <c:pt idx="27">
                  <c:v>-4.8387096774193505E-2</c:v>
                </c:pt>
                <c:pt idx="28">
                  <c:v>-2.1729682746631784E-3</c:v>
                </c:pt>
                <c:pt idx="29">
                  <c:v>-1.2630662020905903E-2</c:v>
                </c:pt>
                <c:pt idx="30">
                  <c:v>-9.7044552271724815E-2</c:v>
                </c:pt>
                <c:pt idx="31">
                  <c:v>0.10014655593551547</c:v>
                </c:pt>
                <c:pt idx="32">
                  <c:v>3.5968028419182785E-2</c:v>
                </c:pt>
                <c:pt idx="33">
                  <c:v>-0.11701671667381042</c:v>
                </c:pt>
                <c:pt idx="34">
                  <c:v>5.6310679611650594E-2</c:v>
                </c:pt>
                <c:pt idx="35">
                  <c:v>-3.4466911764705843E-2</c:v>
                </c:pt>
                <c:pt idx="36">
                  <c:v>3.188957639219403E-2</c:v>
                </c:pt>
                <c:pt idx="37">
                  <c:v>7.5184501845018348E-2</c:v>
                </c:pt>
                <c:pt idx="38">
                  <c:v>1.1154011154011156E-2</c:v>
                </c:pt>
                <c:pt idx="39">
                  <c:v>1.1455239711497756E-2</c:v>
                </c:pt>
                <c:pt idx="40">
                  <c:v>6.25E-2</c:v>
                </c:pt>
                <c:pt idx="41">
                  <c:v>7.500986971970014E-2</c:v>
                </c:pt>
                <c:pt idx="42">
                  <c:v>3.084832904884327E-2</c:v>
                </c:pt>
                <c:pt idx="43">
                  <c:v>1.8168863555397152E-2</c:v>
                </c:pt>
                <c:pt idx="44">
                  <c:v>-4.8985304408677321E-2</c:v>
                </c:pt>
                <c:pt idx="45">
                  <c:v>-8.9771891096394496E-2</c:v>
                </c:pt>
                <c:pt idx="46">
                  <c:v>0.21301535974130981</c:v>
                </c:pt>
                <c:pt idx="47">
                  <c:v>6.8977007664111856E-2</c:v>
                </c:pt>
                <c:pt idx="48">
                  <c:v>-9.3516209476308676E-3</c:v>
                </c:pt>
                <c:pt idx="49">
                  <c:v>-9.4398993077406956E-3</c:v>
                </c:pt>
                <c:pt idx="50">
                  <c:v>-3.6531130876747198E-2</c:v>
                </c:pt>
                <c:pt idx="51">
                  <c:v>0.17342565117045838</c:v>
                </c:pt>
                <c:pt idx="52">
                  <c:v>4.5237426243326828E-2</c:v>
                </c:pt>
                <c:pt idx="53">
                  <c:v>-9.6774193548386789E-3</c:v>
                </c:pt>
                <c:pt idx="54">
                  <c:v>8.6047774158523271E-2</c:v>
                </c:pt>
                <c:pt idx="55">
                  <c:v>8.7478130467383064E-2</c:v>
                </c:pt>
                <c:pt idx="56">
                  <c:v>-1.2410940013789951E-2</c:v>
                </c:pt>
                <c:pt idx="57">
                  <c:v>4.3984175005818082E-2</c:v>
                </c:pt>
                <c:pt idx="58">
                  <c:v>-6.553722692822106E-2</c:v>
                </c:pt>
                <c:pt idx="59">
                  <c:v>0.39289122137404586</c:v>
                </c:pt>
                <c:pt idx="60">
                  <c:v>0.1263915053947593</c:v>
                </c:pt>
                <c:pt idx="61">
                  <c:v>-2.1590390755663713E-2</c:v>
                </c:pt>
                <c:pt idx="62">
                  <c:v>4.2424242424242475E-2</c:v>
                </c:pt>
                <c:pt idx="63">
                  <c:v>0.13804412641621955</c:v>
                </c:pt>
                <c:pt idx="64">
                  <c:v>-3.5368090123134577E-3</c:v>
                </c:pt>
                <c:pt idx="65">
                  <c:v>5.889312475351649E-2</c:v>
                </c:pt>
                <c:pt idx="66">
                  <c:v>-1.8249534450651805E-2</c:v>
                </c:pt>
                <c:pt idx="67">
                  <c:v>1.0242792109256493E-2</c:v>
                </c:pt>
                <c:pt idx="68">
                  <c:v>-0.15809237701840029</c:v>
                </c:pt>
                <c:pt idx="69">
                  <c:v>6.7053226286053924E-2</c:v>
                </c:pt>
                <c:pt idx="70">
                  <c:v>0.10045980214574346</c:v>
                </c:pt>
                <c:pt idx="71">
                  <c:v>4.4441630792605658E-2</c:v>
                </c:pt>
                <c:pt idx="72">
                  <c:v>0.34379924839374465</c:v>
                </c:pt>
                <c:pt idx="73">
                  <c:v>7.4966170500676554E-2</c:v>
                </c:pt>
                <c:pt idx="74">
                  <c:v>-0.14946290701577714</c:v>
                </c:pt>
                <c:pt idx="75">
                  <c:v>-0.16211149481993092</c:v>
                </c:pt>
                <c:pt idx="76">
                  <c:v>-1.1775788977863577E-4</c:v>
                </c:pt>
                <c:pt idx="77">
                  <c:v>1.5663643858202736E-2</c:v>
                </c:pt>
                <c:pt idx="78">
                  <c:v>5.4730983302411884E-2</c:v>
                </c:pt>
                <c:pt idx="79">
                  <c:v>-5.6178540017590151E-2</c:v>
                </c:pt>
                <c:pt idx="80">
                  <c:v>-0.13791496796738489</c:v>
                </c:pt>
                <c:pt idx="81">
                  <c:v>0.19645993784623683</c:v>
                </c:pt>
                <c:pt idx="82">
                  <c:v>5.9062676453980778E-2</c:v>
                </c:pt>
                <c:pt idx="83">
                  <c:v>0.20260183407976107</c:v>
                </c:pt>
                <c:pt idx="84">
                  <c:v>0.10196843411952483</c:v>
                </c:pt>
                <c:pt idx="85">
                  <c:v>-5.6163501770196356E-2</c:v>
                </c:pt>
                <c:pt idx="86">
                  <c:v>0.10417732310315442</c:v>
                </c:pt>
                <c:pt idx="87">
                  <c:v>-4.7946263125386079E-2</c:v>
                </c:pt>
                <c:pt idx="88">
                  <c:v>6.8688670829616383E-2</c:v>
                </c:pt>
                <c:pt idx="89">
                  <c:v>-3.0808923964182777E-2</c:v>
                </c:pt>
                <c:pt idx="90">
                  <c:v>7.5790792358283898E-2</c:v>
                </c:pt>
                <c:pt idx="91">
                  <c:v>-7.2780203784561515E-4</c:v>
                </c:pt>
                <c:pt idx="92">
                  <c:v>-4.7778587035688269E-2</c:v>
                </c:pt>
                <c:pt idx="93">
                  <c:v>2.7688542144714834E-2</c:v>
                </c:pt>
                <c:pt idx="94">
                  <c:v>5.760643048526326E-2</c:v>
                </c:pt>
                <c:pt idx="95">
                  <c:v>8.0365939479239978E-2</c:v>
                </c:pt>
                <c:pt idx="96">
                  <c:v>3.4392912975508061E-2</c:v>
                </c:pt>
                <c:pt idx="97">
                  <c:v>-2.8526448362720447E-2</c:v>
                </c:pt>
                <c:pt idx="98">
                  <c:v>0.21190121216049773</c:v>
                </c:pt>
                <c:pt idx="99">
                  <c:v>-5.2364142062473418E-2</c:v>
                </c:pt>
                <c:pt idx="100">
                  <c:v>-0.10402438336061404</c:v>
                </c:pt>
                <c:pt idx="101">
                  <c:v>-1.2788207131157914E-2</c:v>
                </c:pt>
                <c:pt idx="102">
                  <c:v>-2.2972369344649302E-2</c:v>
                </c:pt>
                <c:pt idx="103">
                  <c:v>0.1196525373914179</c:v>
                </c:pt>
                <c:pt idx="104">
                  <c:v>6.3932800559995284E-2</c:v>
                </c:pt>
                <c:pt idx="105">
                  <c:v>-2.6426887439004343E-2</c:v>
                </c:pt>
                <c:pt idx="106">
                  <c:v>-2.5342118601115016E-2</c:v>
                </c:pt>
                <c:pt idx="107">
                  <c:v>1.3693881088576942E-2</c:v>
                </c:pt>
                <c:pt idx="108">
                  <c:v>1.5446876424988654E-2</c:v>
                </c:pt>
                <c:pt idx="109">
                  <c:v>3.6373842267751755E-2</c:v>
                </c:pt>
                <c:pt idx="110">
                  <c:v>8.5793208037697077E-2</c:v>
                </c:pt>
                <c:pt idx="111">
                  <c:v>-0.1124357759265725</c:v>
                </c:pt>
                <c:pt idx="112">
                  <c:v>-2.2031135839937099E-2</c:v>
                </c:pt>
                <c:pt idx="113">
                  <c:v>-0.11010861444744557</c:v>
                </c:pt>
                <c:pt idx="114">
                  <c:v>8.782692928640623E-2</c:v>
                </c:pt>
                <c:pt idx="115">
                  <c:v>7.9014544375185514E-2</c:v>
                </c:pt>
                <c:pt idx="116">
                  <c:v>9.9581866197182567E-3</c:v>
                </c:pt>
                <c:pt idx="117">
                  <c:v>5.3440104592253679E-2</c:v>
                </c:pt>
                <c:pt idx="118">
                  <c:v>-2.4149343261971157E-2</c:v>
                </c:pt>
                <c:pt idx="119">
                  <c:v>-0.1104869906205288</c:v>
                </c:pt>
                <c:pt idx="120">
                  <c:v>5.7369236268318913E-2</c:v>
                </c:pt>
                <c:pt idx="121">
                  <c:v>-3.6790805115781144E-2</c:v>
                </c:pt>
                <c:pt idx="122">
                  <c:v>-7.9550772110436041E-3</c:v>
                </c:pt>
                <c:pt idx="123">
                  <c:v>-0.13567216981132069</c:v>
                </c:pt>
                <c:pt idx="124">
                  <c:v>-7.2924483252609251E-2</c:v>
                </c:pt>
                <c:pt idx="125">
                  <c:v>-3.303899926416487E-2</c:v>
                </c:pt>
                <c:pt idx="126">
                  <c:v>2.9145422722776093E-2</c:v>
                </c:pt>
                <c:pt idx="127">
                  <c:v>1.4418811002661958E-2</c:v>
                </c:pt>
                <c:pt idx="128">
                  <c:v>0.14556454552081055</c:v>
                </c:pt>
                <c:pt idx="129">
                  <c:v>-3.9513871214049479E-2</c:v>
                </c:pt>
                <c:pt idx="130">
                  <c:v>-1.7886717456110368E-3</c:v>
                </c:pt>
                <c:pt idx="131">
                  <c:v>-5.0570745951685758E-2</c:v>
                </c:pt>
                <c:pt idx="132">
                  <c:v>3.7746400111841272E-2</c:v>
                </c:pt>
                <c:pt idx="133">
                  <c:v>-0.13741075037047024</c:v>
                </c:pt>
                <c:pt idx="134">
                  <c:v>0.14313602998594388</c:v>
                </c:pt>
                <c:pt idx="135">
                  <c:v>-2.2542523396406722E-2</c:v>
                </c:pt>
                <c:pt idx="136">
                  <c:v>6.8488363966734411E-3</c:v>
                </c:pt>
                <c:pt idx="137">
                  <c:v>-4.3520510862774864E-2</c:v>
                </c:pt>
                <c:pt idx="138">
                  <c:v>-2.7648766328011609E-2</c:v>
                </c:pt>
                <c:pt idx="139">
                  <c:v>2.1568773789088613E-2</c:v>
                </c:pt>
                <c:pt idx="140">
                  <c:v>0.14362945645821146</c:v>
                </c:pt>
                <c:pt idx="141">
                  <c:v>-0.13421489715088786</c:v>
                </c:pt>
                <c:pt idx="142">
                  <c:v>-5.5633439090976178E-2</c:v>
                </c:pt>
                <c:pt idx="143">
                  <c:v>3.7502929916399808E-3</c:v>
                </c:pt>
                <c:pt idx="144">
                  <c:v>-0.12096209231727251</c:v>
                </c:pt>
                <c:pt idx="145">
                  <c:v>0.14495705304170725</c:v>
                </c:pt>
                <c:pt idx="146">
                  <c:v>-1.9412219644238227E-2</c:v>
                </c:pt>
                <c:pt idx="147">
                  <c:v>4.4088650524489292E-2</c:v>
                </c:pt>
                <c:pt idx="148">
                  <c:v>-7.1460945762199635E-2</c:v>
                </c:pt>
                <c:pt idx="149">
                  <c:v>1.138952164009055E-3</c:v>
                </c:pt>
                <c:pt idx="150">
                  <c:v>0.39777344384852897</c:v>
                </c:pt>
                <c:pt idx="151">
                  <c:v>1.1801639439567468E-2</c:v>
                </c:pt>
                <c:pt idx="152">
                  <c:v>3.3900252815444842E-2</c:v>
                </c:pt>
                <c:pt idx="153">
                  <c:v>3.528954095809711E-2</c:v>
                </c:pt>
                <c:pt idx="154">
                  <c:v>-6.4200976971388601E-2</c:v>
                </c:pt>
                <c:pt idx="155">
                  <c:v>-4.0727356163597905E-2</c:v>
                </c:pt>
                <c:pt idx="156">
                  <c:v>6.2249596364288617E-2</c:v>
                </c:pt>
                <c:pt idx="157">
                  <c:v>6.772123395631624E-2</c:v>
                </c:pt>
                <c:pt idx="158">
                  <c:v>-4.8505298676648767E-3</c:v>
                </c:pt>
                <c:pt idx="159">
                  <c:v>0</c:v>
                </c:pt>
              </c:numCache>
            </c:numRef>
          </c:val>
          <c:extLst>
            <c:ext xmlns:c16="http://schemas.microsoft.com/office/drawing/2014/chart" uri="{C3380CC4-5D6E-409C-BE32-E72D297353CC}">
              <c16:uniqueId val="{00000000-EBC3-4A1B-8A49-F06BB8F33641}"/>
            </c:ext>
          </c:extLst>
        </c:ser>
        <c:dLbls>
          <c:showLegendKey val="0"/>
          <c:showVal val="0"/>
          <c:showCatName val="0"/>
          <c:showSerName val="0"/>
          <c:showPercent val="0"/>
          <c:showBubbleSize val="0"/>
        </c:dLbls>
        <c:gapWidth val="150"/>
        <c:axId val="10662411"/>
        <c:axId val="56782971"/>
      </c:barChart>
      <c:lineChart>
        <c:grouping val="standard"/>
        <c:varyColors val="0"/>
        <c:ser>
          <c:idx val="1"/>
          <c:order val="1"/>
          <c:tx>
            <c:strRef>
              <c:f>'Returns (Calc)'!$AF$2</c:f>
              <c:strCache>
                <c:ptCount val="1"/>
                <c:pt idx="0">
                  <c:v>PLTR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(Calc)'!$AF$3:$AF$500</c:f>
              <c:numCache>
                <c:formatCode>#,##0.00</c:formatCode>
                <c:ptCount val="498"/>
                <c:pt idx="0">
                  <c:v>15.33</c:v>
                </c:pt>
                <c:pt idx="1">
                  <c:v>16.427594936708861</c:v>
                </c:pt>
                <c:pt idx="2">
                  <c:v>17.525189873417723</c:v>
                </c:pt>
                <c:pt idx="3">
                  <c:v>18.622784810126582</c:v>
                </c:pt>
                <c:pt idx="4">
                  <c:v>19.720379746835441</c:v>
                </c:pt>
                <c:pt idx="5">
                  <c:v>20.817974683544303</c:v>
                </c:pt>
                <c:pt idx="6">
                  <c:v>21.915569620253166</c:v>
                </c:pt>
                <c:pt idx="7">
                  <c:v>23.013164556962025</c:v>
                </c:pt>
                <c:pt idx="8">
                  <c:v>24.110759493670884</c:v>
                </c:pt>
                <c:pt idx="9">
                  <c:v>25.208354430379746</c:v>
                </c:pt>
                <c:pt idx="10">
                  <c:v>26.305949367088608</c:v>
                </c:pt>
                <c:pt idx="11">
                  <c:v>27.403544303797467</c:v>
                </c:pt>
                <c:pt idx="12">
                  <c:v>28.50113924050633</c:v>
                </c:pt>
                <c:pt idx="13">
                  <c:v>29.598734177215192</c:v>
                </c:pt>
                <c:pt idx="14">
                  <c:v>30.696329113924051</c:v>
                </c:pt>
                <c:pt idx="15">
                  <c:v>31.79392405063291</c:v>
                </c:pt>
                <c:pt idx="16">
                  <c:v>32.891518987341769</c:v>
                </c:pt>
                <c:pt idx="17">
                  <c:v>33.989113924050635</c:v>
                </c:pt>
                <c:pt idx="18">
                  <c:v>35.086708860759494</c:v>
                </c:pt>
                <c:pt idx="19">
                  <c:v>36.184303797468353</c:v>
                </c:pt>
                <c:pt idx="20">
                  <c:v>37.281898734177211</c:v>
                </c:pt>
                <c:pt idx="21">
                  <c:v>38.379493670886077</c:v>
                </c:pt>
                <c:pt idx="22">
                  <c:v>39.477088607594936</c:v>
                </c:pt>
                <c:pt idx="23">
                  <c:v>40.574683544303795</c:v>
                </c:pt>
                <c:pt idx="24">
                  <c:v>41.672278481012661</c:v>
                </c:pt>
                <c:pt idx="25">
                  <c:v>42.76987341772152</c:v>
                </c:pt>
                <c:pt idx="26">
                  <c:v>43.867468354430379</c:v>
                </c:pt>
                <c:pt idx="27">
                  <c:v>44.965063291139238</c:v>
                </c:pt>
                <c:pt idx="28">
                  <c:v>46.062658227848097</c:v>
                </c:pt>
                <c:pt idx="29">
                  <c:v>47.160253164556956</c:v>
                </c:pt>
                <c:pt idx="30">
                  <c:v>48.257848101265814</c:v>
                </c:pt>
                <c:pt idx="31">
                  <c:v>49.35544303797468</c:v>
                </c:pt>
                <c:pt idx="32">
                  <c:v>50.453037974683539</c:v>
                </c:pt>
                <c:pt idx="33">
                  <c:v>51.550632911392398</c:v>
                </c:pt>
                <c:pt idx="34">
                  <c:v>52.648227848101264</c:v>
                </c:pt>
                <c:pt idx="35">
                  <c:v>53.745822784810123</c:v>
                </c:pt>
                <c:pt idx="36">
                  <c:v>54.843417721518982</c:v>
                </c:pt>
                <c:pt idx="37">
                  <c:v>55.941012658227848</c:v>
                </c:pt>
                <c:pt idx="38">
                  <c:v>57.0386075949367</c:v>
                </c:pt>
                <c:pt idx="39">
                  <c:v>58.136202531645566</c:v>
                </c:pt>
                <c:pt idx="40">
                  <c:v>59.233797468354425</c:v>
                </c:pt>
                <c:pt idx="41">
                  <c:v>60.331392405063283</c:v>
                </c:pt>
                <c:pt idx="42">
                  <c:v>61.428987341772149</c:v>
                </c:pt>
                <c:pt idx="43">
                  <c:v>62.526582278481008</c:v>
                </c:pt>
                <c:pt idx="44">
                  <c:v>63.624177215189867</c:v>
                </c:pt>
                <c:pt idx="45">
                  <c:v>64.721772151898733</c:v>
                </c:pt>
                <c:pt idx="46">
                  <c:v>65.819367088607592</c:v>
                </c:pt>
                <c:pt idx="47">
                  <c:v>66.916962025316451</c:v>
                </c:pt>
                <c:pt idx="48">
                  <c:v>68.014556962025324</c:v>
                </c:pt>
                <c:pt idx="49">
                  <c:v>69.112151898734183</c:v>
                </c:pt>
                <c:pt idx="50">
                  <c:v>70.209746835443042</c:v>
                </c:pt>
                <c:pt idx="51">
                  <c:v>71.307341772151901</c:v>
                </c:pt>
                <c:pt idx="52">
                  <c:v>72.40493670886076</c:v>
                </c:pt>
                <c:pt idx="53">
                  <c:v>73.502531645569618</c:v>
                </c:pt>
                <c:pt idx="54">
                  <c:v>74.600126582278477</c:v>
                </c:pt>
                <c:pt idx="55">
                  <c:v>75.697721518987336</c:v>
                </c:pt>
                <c:pt idx="56">
                  <c:v>76.795316455696195</c:v>
                </c:pt>
                <c:pt idx="57">
                  <c:v>77.892911392405054</c:v>
                </c:pt>
                <c:pt idx="58">
                  <c:v>78.990506329113913</c:v>
                </c:pt>
                <c:pt idx="59">
                  <c:v>80.088101265822772</c:v>
                </c:pt>
                <c:pt idx="60">
                  <c:v>81.185696202531631</c:v>
                </c:pt>
                <c:pt idx="61">
                  <c:v>82.283291139240504</c:v>
                </c:pt>
                <c:pt idx="62">
                  <c:v>83.380886075949363</c:v>
                </c:pt>
                <c:pt idx="63">
                  <c:v>84.478481012658222</c:v>
                </c:pt>
                <c:pt idx="64">
                  <c:v>85.57607594936708</c:v>
                </c:pt>
                <c:pt idx="65">
                  <c:v>86.673670886075939</c:v>
                </c:pt>
                <c:pt idx="66">
                  <c:v>87.771265822784798</c:v>
                </c:pt>
                <c:pt idx="67">
                  <c:v>88.868860759493671</c:v>
                </c:pt>
                <c:pt idx="68">
                  <c:v>89.96645569620253</c:v>
                </c:pt>
                <c:pt idx="69">
                  <c:v>91.064050632911389</c:v>
                </c:pt>
                <c:pt idx="70">
                  <c:v>92.161645569620248</c:v>
                </c:pt>
                <c:pt idx="71">
                  <c:v>93.259240506329107</c:v>
                </c:pt>
                <c:pt idx="72">
                  <c:v>94.356835443037966</c:v>
                </c:pt>
                <c:pt idx="73">
                  <c:v>95.454430379746839</c:v>
                </c:pt>
                <c:pt idx="74">
                  <c:v>96.552025316455698</c:v>
                </c:pt>
                <c:pt idx="75">
                  <c:v>97.649620253164542</c:v>
                </c:pt>
                <c:pt idx="76">
                  <c:v>98.747215189873401</c:v>
                </c:pt>
                <c:pt idx="77">
                  <c:v>99.84481012658226</c:v>
                </c:pt>
                <c:pt idx="78">
                  <c:v>100.94240506329113</c:v>
                </c:pt>
                <c:pt idx="79">
                  <c:v>102.03999999999999</c:v>
                </c:pt>
                <c:pt idx="80">
                  <c:v>103.13759493670885</c:v>
                </c:pt>
                <c:pt idx="81">
                  <c:v>104.23518987341771</c:v>
                </c:pt>
                <c:pt idx="82">
                  <c:v>105.33278481012657</c:v>
                </c:pt>
                <c:pt idx="83">
                  <c:v>106.43037974683543</c:v>
                </c:pt>
                <c:pt idx="84">
                  <c:v>107.5279746835443</c:v>
                </c:pt>
                <c:pt idx="85">
                  <c:v>108.62556962025316</c:v>
                </c:pt>
                <c:pt idx="86">
                  <c:v>109.72316455696202</c:v>
                </c:pt>
                <c:pt idx="87">
                  <c:v>110.82075949367088</c:v>
                </c:pt>
                <c:pt idx="88">
                  <c:v>111.91835443037974</c:v>
                </c:pt>
                <c:pt idx="89">
                  <c:v>113.0159493670886</c:v>
                </c:pt>
                <c:pt idx="90">
                  <c:v>114.11354430379747</c:v>
                </c:pt>
                <c:pt idx="91">
                  <c:v>115.21113924050633</c:v>
                </c:pt>
                <c:pt idx="92">
                  <c:v>116.30873417721519</c:v>
                </c:pt>
                <c:pt idx="93">
                  <c:v>117.40632911392404</c:v>
                </c:pt>
                <c:pt idx="94">
                  <c:v>118.5039240506329</c:v>
                </c:pt>
                <c:pt idx="95">
                  <c:v>119.60151898734176</c:v>
                </c:pt>
                <c:pt idx="96">
                  <c:v>120.69911392405064</c:v>
                </c:pt>
                <c:pt idx="97">
                  <c:v>121.79670886075948</c:v>
                </c:pt>
                <c:pt idx="98">
                  <c:v>122.89430379746835</c:v>
                </c:pt>
                <c:pt idx="99">
                  <c:v>123.9918987341772</c:v>
                </c:pt>
                <c:pt idx="100">
                  <c:v>125.08949367088607</c:v>
                </c:pt>
                <c:pt idx="101">
                  <c:v>126.18708860759493</c:v>
                </c:pt>
                <c:pt idx="102">
                  <c:v>127.2846835443038</c:v>
                </c:pt>
                <c:pt idx="103">
                  <c:v>128.38227848101266</c:v>
                </c:pt>
                <c:pt idx="104">
                  <c:v>129.47987341772154</c:v>
                </c:pt>
                <c:pt idx="105">
                  <c:v>130.57746835443038</c:v>
                </c:pt>
                <c:pt idx="106">
                  <c:v>131.67506329113925</c:v>
                </c:pt>
                <c:pt idx="107">
                  <c:v>132.7726582278481</c:v>
                </c:pt>
                <c:pt idx="108">
                  <c:v>133.87025316455694</c:v>
                </c:pt>
                <c:pt idx="109">
                  <c:v>134.96784810126582</c:v>
                </c:pt>
                <c:pt idx="110">
                  <c:v>136.06544303797466</c:v>
                </c:pt>
                <c:pt idx="111">
                  <c:v>137.16303797468353</c:v>
                </c:pt>
                <c:pt idx="112">
                  <c:v>138.26063291139241</c:v>
                </c:pt>
                <c:pt idx="113">
                  <c:v>139.35822784810128</c:v>
                </c:pt>
                <c:pt idx="114">
                  <c:v>140.45582278481012</c:v>
                </c:pt>
                <c:pt idx="115">
                  <c:v>141.553417721519</c:v>
                </c:pt>
                <c:pt idx="116">
                  <c:v>142.65101265822784</c:v>
                </c:pt>
                <c:pt idx="117">
                  <c:v>143.74860759493671</c:v>
                </c:pt>
                <c:pt idx="118">
                  <c:v>144.84620253164556</c:v>
                </c:pt>
                <c:pt idx="119">
                  <c:v>145.94379746835443</c:v>
                </c:pt>
                <c:pt idx="120">
                  <c:v>147.04139240506328</c:v>
                </c:pt>
                <c:pt idx="121">
                  <c:v>148.13898734177215</c:v>
                </c:pt>
                <c:pt idx="122">
                  <c:v>149.23658227848102</c:v>
                </c:pt>
                <c:pt idx="123">
                  <c:v>150.3341772151899</c:v>
                </c:pt>
                <c:pt idx="124">
                  <c:v>151.43177215189874</c:v>
                </c:pt>
                <c:pt idx="125">
                  <c:v>152.52936708860761</c:v>
                </c:pt>
                <c:pt idx="126">
                  <c:v>153.62696202531646</c:v>
                </c:pt>
                <c:pt idx="127">
                  <c:v>154.72455696202533</c:v>
                </c:pt>
                <c:pt idx="128">
                  <c:v>155.82215189873418</c:v>
                </c:pt>
                <c:pt idx="129">
                  <c:v>156.91974683544302</c:v>
                </c:pt>
                <c:pt idx="130">
                  <c:v>158.01734177215189</c:v>
                </c:pt>
                <c:pt idx="131">
                  <c:v>159.11493670886074</c:v>
                </c:pt>
                <c:pt idx="132">
                  <c:v>160.21253164556961</c:v>
                </c:pt>
                <c:pt idx="133">
                  <c:v>161.31012658227849</c:v>
                </c:pt>
                <c:pt idx="134">
                  <c:v>162.40772151898736</c:v>
                </c:pt>
                <c:pt idx="135">
                  <c:v>163.5053164556962</c:v>
                </c:pt>
                <c:pt idx="136">
                  <c:v>164.60291139240508</c:v>
                </c:pt>
                <c:pt idx="137">
                  <c:v>165.70050632911392</c:v>
                </c:pt>
                <c:pt idx="138">
                  <c:v>166.79810126582279</c:v>
                </c:pt>
                <c:pt idx="139">
                  <c:v>167.89569620253164</c:v>
                </c:pt>
                <c:pt idx="140">
                  <c:v>168.99329113924051</c:v>
                </c:pt>
                <c:pt idx="141">
                  <c:v>170.09088607594936</c:v>
                </c:pt>
                <c:pt idx="142">
                  <c:v>171.18848101265823</c:v>
                </c:pt>
                <c:pt idx="143">
                  <c:v>172.28607594936707</c:v>
                </c:pt>
                <c:pt idx="144">
                  <c:v>173.38367088607595</c:v>
                </c:pt>
                <c:pt idx="145">
                  <c:v>174.48126582278482</c:v>
                </c:pt>
                <c:pt idx="146">
                  <c:v>175.57886075949369</c:v>
                </c:pt>
                <c:pt idx="147">
                  <c:v>176.67645569620254</c:v>
                </c:pt>
                <c:pt idx="148">
                  <c:v>177.77405063291141</c:v>
                </c:pt>
                <c:pt idx="149">
                  <c:v>178.87164556962026</c:v>
                </c:pt>
                <c:pt idx="150">
                  <c:v>179.9692405063291</c:v>
                </c:pt>
                <c:pt idx="151">
                  <c:v>181.06683544303797</c:v>
                </c:pt>
                <c:pt idx="152">
                  <c:v>182.16443037974682</c:v>
                </c:pt>
                <c:pt idx="153">
                  <c:v>183.26202531645569</c:v>
                </c:pt>
                <c:pt idx="154">
                  <c:v>184.35962025316454</c:v>
                </c:pt>
                <c:pt idx="155">
                  <c:v>185.45721518987341</c:v>
                </c:pt>
                <c:pt idx="156">
                  <c:v>186.55481012658228</c:v>
                </c:pt>
                <c:pt idx="157">
                  <c:v>187.65240506329116</c:v>
                </c:pt>
                <c:pt idx="158">
                  <c:v>188.75</c:v>
                </c:pt>
                <c:pt idx="159">
                  <c:v>189.84759493670887</c:v>
                </c:pt>
              </c:numCache>
            </c:numRef>
          </c:val>
          <c:smooth val="0"/>
          <c:extLst>
            <c:ext xmlns:c16="http://schemas.microsoft.com/office/drawing/2014/chart" uri="{C3380CC4-5D6E-409C-BE32-E72D297353CC}">
              <c16:uniqueId val="{00000001-EBC3-4A1B-8A49-F06BB8F33641}"/>
            </c:ext>
          </c:extLst>
        </c:ser>
        <c:dLbls>
          <c:showLegendKey val="0"/>
          <c:showVal val="0"/>
          <c:showCatName val="0"/>
          <c:showSerName val="0"/>
          <c:showPercent val="0"/>
          <c:showBubbleSize val="0"/>
        </c:dLbls>
        <c:hiLowLines>
          <c:spPr>
            <a:ln w="0">
              <a:noFill/>
            </a:ln>
          </c:spPr>
        </c:hiLowLines>
        <c:marker val="1"/>
        <c:smooth val="0"/>
        <c:axId val="53815703"/>
        <c:axId val="21495346"/>
      </c:lineChart>
      <c:dateAx>
        <c:axId val="10662411"/>
        <c:scaling>
          <c:orientation val="minMax"/>
        </c:scaling>
        <c:delete val="1"/>
        <c:axPos val="b"/>
        <c:numFmt formatCode="mm/dd/yyyy" sourceLinked="1"/>
        <c:majorTickMark val="none"/>
        <c:minorTickMark val="none"/>
        <c:tickLblPos val="nextTo"/>
        <c:crossAx val="56782971"/>
        <c:crosses val="autoZero"/>
        <c:auto val="1"/>
        <c:lblOffset val="100"/>
        <c:baseTimeUnit val="days"/>
      </c:dateAx>
      <c:valAx>
        <c:axId val="5678297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0662411"/>
        <c:crosses val="autoZero"/>
        <c:crossBetween val="between"/>
      </c:valAx>
      <c:dateAx>
        <c:axId val="53815703"/>
        <c:scaling>
          <c:orientation val="minMax"/>
        </c:scaling>
        <c:delete val="1"/>
        <c:axPos val="b"/>
        <c:numFmt formatCode="mm/dd/yyyy" sourceLinked="1"/>
        <c:majorTickMark val="none"/>
        <c:minorTickMark val="none"/>
        <c:tickLblPos val="nextTo"/>
        <c:crossAx val="21495346"/>
        <c:crosses val="autoZero"/>
        <c:auto val="1"/>
        <c:lblOffset val="100"/>
        <c:baseTimeUnit val="days"/>
      </c:dateAx>
      <c:valAx>
        <c:axId val="21495346"/>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3815703"/>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TSM</a:t>
            </a:r>
          </a:p>
        </c:rich>
      </c:tx>
      <c:overlay val="0"/>
      <c:spPr>
        <a:noFill/>
        <a:ln w="0">
          <a:noFill/>
        </a:ln>
      </c:spPr>
    </c:title>
    <c:autoTitleDeleted val="0"/>
    <c:plotArea>
      <c:layout/>
      <c:barChart>
        <c:barDir val="col"/>
        <c:grouping val="clustered"/>
        <c:varyColors val="0"/>
        <c:ser>
          <c:idx val="0"/>
          <c:order val="0"/>
          <c:tx>
            <c:strRef>
              <c:f>'Returns (Calc)'!$L$2</c:f>
              <c:strCache>
                <c:ptCount val="1"/>
                <c:pt idx="0">
                  <c:v>TSM</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(Calc)'!$L$3:$L$500</c:f>
              <c:numCache>
                <c:formatCode>0.0%</c:formatCode>
                <c:ptCount val="498"/>
                <c:pt idx="0">
                  <c:v>-4.0466472303206991E-2</c:v>
                </c:pt>
                <c:pt idx="1">
                  <c:v>1.4705882352941124E-2</c:v>
                </c:pt>
                <c:pt idx="2">
                  <c:v>2.7548209366391241E-2</c:v>
                </c:pt>
                <c:pt idx="3">
                  <c:v>1.3171698333138915E-2</c:v>
                </c:pt>
                <c:pt idx="4">
                  <c:v>9.3189139438565327E-3</c:v>
                </c:pt>
                <c:pt idx="5">
                  <c:v>-5.8246893878946771E-2</c:v>
                </c:pt>
                <c:pt idx="6">
                  <c:v>6.7417090292907211E-2</c:v>
                </c:pt>
                <c:pt idx="7">
                  <c:v>6.1571606758135999E-2</c:v>
                </c:pt>
                <c:pt idx="8">
                  <c:v>2.2003845332194016E-2</c:v>
                </c:pt>
                <c:pt idx="9">
                  <c:v>-1.7558528428093689E-2</c:v>
                </c:pt>
                <c:pt idx="10">
                  <c:v>7.3404255319149403E-3</c:v>
                </c:pt>
                <c:pt idx="11">
                  <c:v>1.8270144682648759E-2</c:v>
                </c:pt>
                <c:pt idx="12">
                  <c:v>2.665422111595106E-2</c:v>
                </c:pt>
                <c:pt idx="13">
                  <c:v>5.8591776947165553E-3</c:v>
                </c:pt>
                <c:pt idx="14">
                  <c:v>8.3358441297580743E-3</c:v>
                </c:pt>
                <c:pt idx="15">
                  <c:v>-4.2231075697211296E-2</c:v>
                </c:pt>
                <c:pt idx="16">
                  <c:v>1.6326955074875249E-2</c:v>
                </c:pt>
                <c:pt idx="17">
                  <c:v>0.12800573007264893</c:v>
                </c:pt>
                <c:pt idx="18">
                  <c:v>2.6850507982583594E-2</c:v>
                </c:pt>
                <c:pt idx="19">
                  <c:v>-1.2897526501766898E-2</c:v>
                </c:pt>
                <c:pt idx="20">
                  <c:v>0.14999105065330243</c:v>
                </c:pt>
                <c:pt idx="21">
                  <c:v>-4.8249027237354136E-2</c:v>
                </c:pt>
                <c:pt idx="22">
                  <c:v>2.240392477514308E-2</c:v>
                </c:pt>
                <c:pt idx="23">
                  <c:v>3.3749200255917877E-2</c:v>
                </c:pt>
                <c:pt idx="24">
                  <c:v>9.3145598019495734E-2</c:v>
                </c:pt>
                <c:pt idx="25">
                  <c:v>-6.4189667374380921E-2</c:v>
                </c:pt>
                <c:pt idx="26">
                  <c:v>3.0174695606140833E-2</c:v>
                </c:pt>
                <c:pt idx="27">
                  <c:v>-3.1933636764058138E-2</c:v>
                </c:pt>
                <c:pt idx="28">
                  <c:v>3.8977781148100243E-2</c:v>
                </c:pt>
                <c:pt idx="29">
                  <c:v>8.2475731698414823E-3</c:v>
                </c:pt>
                <c:pt idx="30">
                  <c:v>-0.10402490227305627</c:v>
                </c:pt>
                <c:pt idx="31">
                  <c:v>8.3057283671325921E-2</c:v>
                </c:pt>
                <c:pt idx="32">
                  <c:v>2.357329354718396E-2</c:v>
                </c:pt>
                <c:pt idx="33">
                  <c:v>5.4369215071787602E-2</c:v>
                </c:pt>
                <c:pt idx="34">
                  <c:v>1.6243865348724906E-2</c:v>
                </c:pt>
                <c:pt idx="35">
                  <c:v>5.4822473132907001E-2</c:v>
                </c:pt>
                <c:pt idx="36">
                  <c:v>-5.597111168429203E-2</c:v>
                </c:pt>
                <c:pt idx="37">
                  <c:v>8.838797814207644E-2</c:v>
                </c:pt>
                <c:pt idx="38">
                  <c:v>5.265470064014055E-2</c:v>
                </c:pt>
                <c:pt idx="39">
                  <c:v>8.4063673761403113E-3</c:v>
                </c:pt>
                <c:pt idx="40">
                  <c:v>-8.2771668440340118E-4</c:v>
                </c:pt>
                <c:pt idx="41">
                  <c:v>5.8579881656804833E-2</c:v>
                </c:pt>
                <c:pt idx="42">
                  <c:v>1.8222470653996625E-2</c:v>
                </c:pt>
                <c:pt idx="43">
                  <c:v>-0.11517347386912602</c:v>
                </c:pt>
                <c:pt idx="44">
                  <c:v>-2.3079786574016659E-2</c:v>
                </c:pt>
                <c:pt idx="45">
                  <c:v>-7.4622126254286769E-2</c:v>
                </c:pt>
                <c:pt idx="46">
                  <c:v>0.11516024981126893</c:v>
                </c:pt>
                <c:pt idx="47">
                  <c:v>4.4433503600221469E-2</c:v>
                </c:pt>
                <c:pt idx="48">
                  <c:v>-1.8678922868422654E-2</c:v>
                </c:pt>
                <c:pt idx="49">
                  <c:v>2.4618710219765916E-3</c:v>
                </c:pt>
                <c:pt idx="50">
                  <c:v>-8.6672656483977262E-2</c:v>
                </c:pt>
                <c:pt idx="51">
                  <c:v>0.1040136411332635</c:v>
                </c:pt>
                <c:pt idx="52">
                  <c:v>9.2075561363904601E-3</c:v>
                </c:pt>
                <c:pt idx="53">
                  <c:v>2.2308552592854358E-2</c:v>
                </c:pt>
                <c:pt idx="54">
                  <c:v>1.7964071856287456E-2</c:v>
                </c:pt>
                <c:pt idx="55">
                  <c:v>5.3223981900452522E-2</c:v>
                </c:pt>
                <c:pt idx="56">
                  <c:v>5.2252832823156625E-2</c:v>
                </c:pt>
                <c:pt idx="57">
                  <c:v>1.3269368173930873E-2</c:v>
                </c:pt>
                <c:pt idx="58">
                  <c:v>-5.1576508512138464E-2</c:v>
                </c:pt>
                <c:pt idx="59">
                  <c:v>4.2750929368029711E-2</c:v>
                </c:pt>
                <c:pt idx="60">
                  <c:v>-7.5477463712757764E-2</c:v>
                </c:pt>
                <c:pt idx="61">
                  <c:v>2.1869663416515195E-2</c:v>
                </c:pt>
                <c:pt idx="62">
                  <c:v>-2.8517520215633363E-2</c:v>
                </c:pt>
                <c:pt idx="63">
                  <c:v>9.9439542755673793E-2</c:v>
                </c:pt>
                <c:pt idx="64">
                  <c:v>-6.8641800837833111E-3</c:v>
                </c:pt>
                <c:pt idx="65">
                  <c:v>-1.8803679422676356E-2</c:v>
                </c:pt>
                <c:pt idx="66">
                  <c:v>2.2427098979644677E-2</c:v>
                </c:pt>
                <c:pt idx="67">
                  <c:v>3.4599797365754803E-2</c:v>
                </c:pt>
                <c:pt idx="68">
                  <c:v>-1.1261812662194393E-3</c:v>
                </c:pt>
                <c:pt idx="69">
                  <c:v>1.4999999999999902E-2</c:v>
                </c:pt>
                <c:pt idx="70">
                  <c:v>4.9067903023278348E-2</c:v>
                </c:pt>
                <c:pt idx="71">
                  <c:v>-5.6578583924132175E-2</c:v>
                </c:pt>
                <c:pt idx="72">
                  <c:v>-1.532230517737776E-2</c:v>
                </c:pt>
                <c:pt idx="73">
                  <c:v>-1.0753753902571939E-2</c:v>
                </c:pt>
                <c:pt idx="74">
                  <c:v>-2.7752730187355912E-2</c:v>
                </c:pt>
                <c:pt idx="75">
                  <c:v>-8.9344600164880439E-2</c:v>
                </c:pt>
                <c:pt idx="76">
                  <c:v>-1.9010976575761118E-2</c:v>
                </c:pt>
                <c:pt idx="77">
                  <c:v>-1.6956973122620789E-2</c:v>
                </c:pt>
                <c:pt idx="78">
                  <c:v>1.9068293827740002E-2</c:v>
                </c:pt>
                <c:pt idx="79">
                  <c:v>-6.4943289769128887E-2</c:v>
                </c:pt>
                <c:pt idx="80">
                  <c:v>-0.11163105720091127</c:v>
                </c:pt>
                <c:pt idx="81">
                  <c:v>7.0002772387025125E-2</c:v>
                </c:pt>
                <c:pt idx="82">
                  <c:v>-3.4006995724834788E-2</c:v>
                </c:pt>
                <c:pt idx="83">
                  <c:v>8.8043988466438572E-2</c:v>
                </c:pt>
                <c:pt idx="84">
                  <c:v>8.5911500061629509E-2</c:v>
                </c:pt>
                <c:pt idx="85">
                  <c:v>-1.538024971623142E-2</c:v>
                </c:pt>
                <c:pt idx="86">
                  <c:v>0.10023632486022249</c:v>
                </c:pt>
                <c:pt idx="87">
                  <c:v>-1.1525565800502902E-2</c:v>
                </c:pt>
                <c:pt idx="88">
                  <c:v>6.9959720161119066E-3</c:v>
                </c:pt>
                <c:pt idx="89">
                  <c:v>6.1368421052631517E-2</c:v>
                </c:pt>
                <c:pt idx="90">
                  <c:v>3.2579589407914389E-2</c:v>
                </c:pt>
                <c:pt idx="91">
                  <c:v>-7.5397397108966091E-3</c:v>
                </c:pt>
                <c:pt idx="92">
                  <c:v>9.0970676473434597E-2</c:v>
                </c:pt>
                <c:pt idx="93">
                  <c:v>2.7277565865341913E-2</c:v>
                </c:pt>
                <c:pt idx="94">
                  <c:v>-1.8738396442295246E-2</c:v>
                </c:pt>
                <c:pt idx="95">
                  <c:v>4.3384520614247357E-2</c:v>
                </c:pt>
                <c:pt idx="96">
                  <c:v>2.1633703032092111E-2</c:v>
                </c:pt>
                <c:pt idx="97">
                  <c:v>-4.230991496739045E-2</c:v>
                </c:pt>
                <c:pt idx="98">
                  <c:v>2.8145338562993061E-2</c:v>
                </c:pt>
                <c:pt idx="99">
                  <c:v>-1.2199211872222726E-2</c:v>
                </c:pt>
                <c:pt idx="100">
                  <c:v>-2.4657301701820677E-2</c:v>
                </c:pt>
                <c:pt idx="101">
                  <c:v>-9.0940736228353192E-3</c:v>
                </c:pt>
                <c:pt idx="102">
                  <c:v>5.4318710753963106E-2</c:v>
                </c:pt>
                <c:pt idx="103">
                  <c:v>6.5431070387338641E-2</c:v>
                </c:pt>
                <c:pt idx="104">
                  <c:v>2.4588561823228217E-2</c:v>
                </c:pt>
                <c:pt idx="105">
                  <c:v>3.2048836322014385E-2</c:v>
                </c:pt>
                <c:pt idx="106">
                  <c:v>6.8872458410351278E-2</c:v>
                </c:pt>
                <c:pt idx="107">
                  <c:v>-3.9463217237920567E-2</c:v>
                </c:pt>
                <c:pt idx="108">
                  <c:v>5.1382687599020427E-2</c:v>
                </c:pt>
                <c:pt idx="109">
                  <c:v>-4.1097297852665804E-4</c:v>
                </c:pt>
                <c:pt idx="110">
                  <c:v>1.8535649432966705E-2</c:v>
                </c:pt>
                <c:pt idx="111">
                  <c:v>-4.6353606027986993E-2</c:v>
                </c:pt>
                <c:pt idx="112">
                  <c:v>-5.855379188712595E-3</c:v>
                </c:pt>
                <c:pt idx="113">
                  <c:v>-3.4274765824581221E-2</c:v>
                </c:pt>
                <c:pt idx="114">
                  <c:v>5.9813358806672046E-2</c:v>
                </c:pt>
                <c:pt idx="115">
                  <c:v>1.0989391943423854E-2</c:v>
                </c:pt>
                <c:pt idx="116">
                  <c:v>-6.412234680931328E-3</c:v>
                </c:pt>
                <c:pt idx="117">
                  <c:v>-1.0560463832136935E-2</c:v>
                </c:pt>
                <c:pt idx="118">
                  <c:v>4.8064178583885786E-2</c:v>
                </c:pt>
                <c:pt idx="119">
                  <c:v>5.5378061767838105E-2</c:v>
                </c:pt>
                <c:pt idx="120">
                  <c:v>1.2581987891019164E-2</c:v>
                </c:pt>
                <c:pt idx="121">
                  <c:v>5.7986359814393929E-2</c:v>
                </c:pt>
                <c:pt idx="122">
                  <c:v>-2.1988049333294124E-2</c:v>
                </c:pt>
                <c:pt idx="123">
                  <c:v>-1.2881478360320164E-2</c:v>
                </c:pt>
                <c:pt idx="124">
                  <c:v>5.5338740167083289E-2</c:v>
                </c:pt>
                <c:pt idx="125">
                  <c:v>5.018345708259897E-2</c:v>
                </c:pt>
                <c:pt idx="126">
                  <c:v>1.1416781292984846E-2</c:v>
                </c:pt>
                <c:pt idx="127">
                  <c:v>1.0907112743098191E-2</c:v>
                </c:pt>
                <c:pt idx="128">
                  <c:v>-9.5275251574019282E-2</c:v>
                </c:pt>
                <c:pt idx="129">
                  <c:v>-1.7249070631969454E-3</c:v>
                </c:pt>
                <c:pt idx="130">
                  <c:v>-2.4071260464146427E-2</c:v>
                </c:pt>
                <c:pt idx="131">
                  <c:v>-7.6009646204094894E-3</c:v>
                </c:pt>
                <c:pt idx="132">
                  <c:v>3.7649953860350527E-2</c:v>
                </c:pt>
                <c:pt idx="133">
                  <c:v>9.3081164403865602E-2</c:v>
                </c:pt>
                <c:pt idx="134">
                  <c:v>-2.4407441557749987E-4</c:v>
                </c:pt>
                <c:pt idx="135">
                  <c:v>8.6260680862606742E-2</c:v>
                </c:pt>
                <c:pt idx="136">
                  <c:v>-1.1911599450618038E-2</c:v>
                </c:pt>
                <c:pt idx="137">
                  <c:v>3.5230489284270083E-2</c:v>
                </c:pt>
                <c:pt idx="138">
                  <c:v>-1.7796982569210584E-2</c:v>
                </c:pt>
                <c:pt idx="139">
                  <c:v>4.2253871200270687E-4</c:v>
                </c:pt>
                <c:pt idx="140">
                  <c:v>3.4434782608695702E-2</c:v>
                </c:pt>
                <c:pt idx="141">
                  <c:v>-7.8537803823615082E-3</c:v>
                </c:pt>
                <c:pt idx="142">
                  <c:v>2.3505773560241305E-2</c:v>
                </c:pt>
                <c:pt idx="143">
                  <c:v>9.0066225165562841E-2</c:v>
                </c:pt>
                <c:pt idx="144">
                  <c:v>-6.4420239541746249E-2</c:v>
                </c:pt>
                <c:pt idx="145">
                  <c:v>4.1976854750807036E-3</c:v>
                </c:pt>
                <c:pt idx="146">
                  <c:v>-1.1547344110862667E-4</c:v>
                </c:pt>
                <c:pt idx="147">
                  <c:v>-8.2342071832775088E-2</c:v>
                </c:pt>
                <c:pt idx="148">
                  <c:v>1.2660458092121685E-2</c:v>
                </c:pt>
                <c:pt idx="149">
                  <c:v>2.0878383416598201E-3</c:v>
                </c:pt>
                <c:pt idx="150">
                  <c:v>3.9065406652280643E-2</c:v>
                </c:pt>
                <c:pt idx="151">
                  <c:v>1.5014799961806435E-2</c:v>
                </c:pt>
                <c:pt idx="152">
                  <c:v>-1.7356129912278639E-2</c:v>
                </c:pt>
                <c:pt idx="153">
                  <c:v>-3.4224445348587373E-3</c:v>
                </c:pt>
                <c:pt idx="154">
                  <c:v>2.728146013448618E-2</c:v>
                </c:pt>
                <c:pt idx="155">
                  <c:v>1.0099121002431266E-2</c:v>
                </c:pt>
                <c:pt idx="156">
                  <c:v>5.9942603221625479E-3</c:v>
                </c:pt>
                <c:pt idx="157">
                  <c:v>3.667149791796076E-2</c:v>
                </c:pt>
                <c:pt idx="158">
                  <c:v>4.9199973369432382E-2</c:v>
                </c:pt>
                <c:pt idx="159">
                  <c:v>0</c:v>
                </c:pt>
              </c:numCache>
            </c:numRef>
          </c:val>
          <c:extLst>
            <c:ext xmlns:c16="http://schemas.microsoft.com/office/drawing/2014/chart" uri="{C3380CC4-5D6E-409C-BE32-E72D297353CC}">
              <c16:uniqueId val="{00000000-FB1F-4E6E-B31C-1234E45D8C8D}"/>
            </c:ext>
          </c:extLst>
        </c:ser>
        <c:dLbls>
          <c:showLegendKey val="0"/>
          <c:showVal val="0"/>
          <c:showCatName val="0"/>
          <c:showSerName val="0"/>
          <c:showPercent val="0"/>
          <c:showBubbleSize val="0"/>
        </c:dLbls>
        <c:gapWidth val="150"/>
        <c:axId val="17199278"/>
        <c:axId val="88319649"/>
      </c:barChart>
      <c:lineChart>
        <c:grouping val="standard"/>
        <c:varyColors val="0"/>
        <c:ser>
          <c:idx val="1"/>
          <c:order val="1"/>
          <c:tx>
            <c:strRef>
              <c:f>'Returns (Calc)'!$AG$2</c:f>
              <c:strCache>
                <c:ptCount val="1"/>
                <c:pt idx="0">
                  <c:v>TSM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(Calc)'!$AG$3:$AG$500</c:f>
              <c:numCache>
                <c:formatCode>#,##0.00</c:formatCode>
                <c:ptCount val="498"/>
                <c:pt idx="0">
                  <c:v>85.75</c:v>
                </c:pt>
                <c:pt idx="1">
                  <c:v>88.199556962025312</c:v>
                </c:pt>
                <c:pt idx="2">
                  <c:v>90.649113924050639</c:v>
                </c:pt>
                <c:pt idx="3">
                  <c:v>93.098670886075951</c:v>
                </c:pt>
                <c:pt idx="4">
                  <c:v>95.548227848101263</c:v>
                </c:pt>
                <c:pt idx="5">
                  <c:v>97.997784810126575</c:v>
                </c:pt>
                <c:pt idx="6">
                  <c:v>100.4473417721519</c:v>
                </c:pt>
                <c:pt idx="7">
                  <c:v>102.89689873417721</c:v>
                </c:pt>
                <c:pt idx="8">
                  <c:v>105.34645569620253</c:v>
                </c:pt>
                <c:pt idx="9">
                  <c:v>107.79601265822785</c:v>
                </c:pt>
                <c:pt idx="10">
                  <c:v>110.24556962025316</c:v>
                </c:pt>
                <c:pt idx="11">
                  <c:v>112.69512658227848</c:v>
                </c:pt>
                <c:pt idx="12">
                  <c:v>115.1446835443038</c:v>
                </c:pt>
                <c:pt idx="13">
                  <c:v>117.59424050632911</c:v>
                </c:pt>
                <c:pt idx="14">
                  <c:v>120.04379746835443</c:v>
                </c:pt>
                <c:pt idx="15">
                  <c:v>122.49335443037975</c:v>
                </c:pt>
                <c:pt idx="16">
                  <c:v>124.94291139240505</c:v>
                </c:pt>
                <c:pt idx="17">
                  <c:v>127.39246835443038</c:v>
                </c:pt>
                <c:pt idx="18">
                  <c:v>129.8420253164557</c:v>
                </c:pt>
                <c:pt idx="19">
                  <c:v>132.291582278481</c:v>
                </c:pt>
                <c:pt idx="20">
                  <c:v>134.74113924050633</c:v>
                </c:pt>
                <c:pt idx="21">
                  <c:v>137.19069620253163</c:v>
                </c:pt>
                <c:pt idx="22">
                  <c:v>139.64025316455695</c:v>
                </c:pt>
                <c:pt idx="23">
                  <c:v>142.08981012658228</c:v>
                </c:pt>
                <c:pt idx="24">
                  <c:v>144.53936708860761</c:v>
                </c:pt>
                <c:pt idx="25">
                  <c:v>146.9889240506329</c:v>
                </c:pt>
                <c:pt idx="26">
                  <c:v>149.43848101265823</c:v>
                </c:pt>
                <c:pt idx="27">
                  <c:v>151.88803797468353</c:v>
                </c:pt>
                <c:pt idx="28">
                  <c:v>154.33759493670885</c:v>
                </c:pt>
                <c:pt idx="29">
                  <c:v>156.78715189873418</c:v>
                </c:pt>
                <c:pt idx="30">
                  <c:v>159.23670886075951</c:v>
                </c:pt>
                <c:pt idx="31">
                  <c:v>161.6862658227848</c:v>
                </c:pt>
                <c:pt idx="32">
                  <c:v>164.1358227848101</c:v>
                </c:pt>
                <c:pt idx="33">
                  <c:v>166.58537974683543</c:v>
                </c:pt>
                <c:pt idx="34">
                  <c:v>169.03493670886076</c:v>
                </c:pt>
                <c:pt idx="35">
                  <c:v>171.48449367088608</c:v>
                </c:pt>
                <c:pt idx="36">
                  <c:v>173.93405063291138</c:v>
                </c:pt>
                <c:pt idx="37">
                  <c:v>176.38360759493671</c:v>
                </c:pt>
                <c:pt idx="38">
                  <c:v>178.833164556962</c:v>
                </c:pt>
                <c:pt idx="39">
                  <c:v>181.28272151898733</c:v>
                </c:pt>
                <c:pt idx="40">
                  <c:v>183.73227848101266</c:v>
                </c:pt>
                <c:pt idx="41">
                  <c:v>186.18183544303798</c:v>
                </c:pt>
                <c:pt idx="42">
                  <c:v>188.63139240506328</c:v>
                </c:pt>
                <c:pt idx="43">
                  <c:v>191.08094936708858</c:v>
                </c:pt>
                <c:pt idx="44">
                  <c:v>193.5305063291139</c:v>
                </c:pt>
                <c:pt idx="45">
                  <c:v>195.98006329113923</c:v>
                </c:pt>
                <c:pt idx="46">
                  <c:v>198.42962025316456</c:v>
                </c:pt>
                <c:pt idx="47">
                  <c:v>200.87917721518988</c:v>
                </c:pt>
                <c:pt idx="48">
                  <c:v>203.32873417721518</c:v>
                </c:pt>
                <c:pt idx="49">
                  <c:v>205.77829113924048</c:v>
                </c:pt>
                <c:pt idx="50">
                  <c:v>208.22784810126581</c:v>
                </c:pt>
                <c:pt idx="51">
                  <c:v>210.67740506329113</c:v>
                </c:pt>
                <c:pt idx="52">
                  <c:v>213.12696202531646</c:v>
                </c:pt>
                <c:pt idx="53">
                  <c:v>215.57651898734179</c:v>
                </c:pt>
                <c:pt idx="54">
                  <c:v>218.02607594936708</c:v>
                </c:pt>
                <c:pt idx="55">
                  <c:v>220.47563291139238</c:v>
                </c:pt>
                <c:pt idx="56">
                  <c:v>222.92518987341774</c:v>
                </c:pt>
                <c:pt idx="57">
                  <c:v>225.37474683544303</c:v>
                </c:pt>
                <c:pt idx="58">
                  <c:v>227.82430379746833</c:v>
                </c:pt>
                <c:pt idx="59">
                  <c:v>230.27386075949366</c:v>
                </c:pt>
                <c:pt idx="60">
                  <c:v>232.72341772151898</c:v>
                </c:pt>
                <c:pt idx="61">
                  <c:v>235.17297468354428</c:v>
                </c:pt>
                <c:pt idx="62">
                  <c:v>237.62253164556961</c:v>
                </c:pt>
                <c:pt idx="63">
                  <c:v>240.07208860759494</c:v>
                </c:pt>
                <c:pt idx="64">
                  <c:v>242.52164556962023</c:v>
                </c:pt>
                <c:pt idx="65">
                  <c:v>244.97120253164556</c:v>
                </c:pt>
                <c:pt idx="66">
                  <c:v>247.42075949367089</c:v>
                </c:pt>
                <c:pt idx="67">
                  <c:v>249.87031645569618</c:v>
                </c:pt>
                <c:pt idx="68">
                  <c:v>252.31987341772151</c:v>
                </c:pt>
                <c:pt idx="69">
                  <c:v>254.76943037974684</c:v>
                </c:pt>
                <c:pt idx="70">
                  <c:v>257.21898734177216</c:v>
                </c:pt>
                <c:pt idx="71">
                  <c:v>259.66854430379749</c:v>
                </c:pt>
                <c:pt idx="72">
                  <c:v>262.11810126582276</c:v>
                </c:pt>
                <c:pt idx="73">
                  <c:v>264.56765822784809</c:v>
                </c:pt>
                <c:pt idx="74">
                  <c:v>267.01721518987341</c:v>
                </c:pt>
                <c:pt idx="75">
                  <c:v>269.46677215189868</c:v>
                </c:pt>
                <c:pt idx="76">
                  <c:v>271.91632911392401</c:v>
                </c:pt>
                <c:pt idx="77">
                  <c:v>274.36588607594933</c:v>
                </c:pt>
                <c:pt idx="78">
                  <c:v>276.81544303797466</c:v>
                </c:pt>
                <c:pt idx="79">
                  <c:v>279.26499999999999</c:v>
                </c:pt>
                <c:pt idx="80">
                  <c:v>281.71455696202531</c:v>
                </c:pt>
                <c:pt idx="81">
                  <c:v>284.16411392405064</c:v>
                </c:pt>
                <c:pt idx="82">
                  <c:v>286.61367088607597</c:v>
                </c:pt>
                <c:pt idx="83">
                  <c:v>289.06322784810129</c:v>
                </c:pt>
                <c:pt idx="84">
                  <c:v>291.51278481012656</c:v>
                </c:pt>
                <c:pt idx="85">
                  <c:v>293.96234177215183</c:v>
                </c:pt>
                <c:pt idx="86">
                  <c:v>296.41189873417716</c:v>
                </c:pt>
                <c:pt idx="87">
                  <c:v>298.86145569620254</c:v>
                </c:pt>
                <c:pt idx="88">
                  <c:v>301.31101265822781</c:v>
                </c:pt>
                <c:pt idx="89">
                  <c:v>303.76056962025314</c:v>
                </c:pt>
                <c:pt idx="90">
                  <c:v>306.21012658227846</c:v>
                </c:pt>
                <c:pt idx="91">
                  <c:v>308.65968354430379</c:v>
                </c:pt>
                <c:pt idx="92">
                  <c:v>311.10924050632912</c:v>
                </c:pt>
                <c:pt idx="93">
                  <c:v>313.55879746835444</c:v>
                </c:pt>
                <c:pt idx="94">
                  <c:v>316.00835443037977</c:v>
                </c:pt>
                <c:pt idx="95">
                  <c:v>318.45791139240509</c:v>
                </c:pt>
                <c:pt idx="96">
                  <c:v>320.90746835443036</c:v>
                </c:pt>
                <c:pt idx="97">
                  <c:v>323.35702531645563</c:v>
                </c:pt>
                <c:pt idx="98">
                  <c:v>325.80658227848096</c:v>
                </c:pt>
                <c:pt idx="99">
                  <c:v>328.25613924050629</c:v>
                </c:pt>
                <c:pt idx="100">
                  <c:v>330.70569620253161</c:v>
                </c:pt>
                <c:pt idx="101">
                  <c:v>333.15525316455694</c:v>
                </c:pt>
                <c:pt idx="102">
                  <c:v>335.60481012658227</c:v>
                </c:pt>
                <c:pt idx="103">
                  <c:v>338.05436708860759</c:v>
                </c:pt>
                <c:pt idx="104">
                  <c:v>340.50392405063292</c:v>
                </c:pt>
                <c:pt idx="105">
                  <c:v>342.95348101265819</c:v>
                </c:pt>
                <c:pt idx="106">
                  <c:v>345.40303797468357</c:v>
                </c:pt>
                <c:pt idx="107">
                  <c:v>347.85259493670884</c:v>
                </c:pt>
                <c:pt idx="108">
                  <c:v>350.30215189873417</c:v>
                </c:pt>
                <c:pt idx="109">
                  <c:v>352.75170886075949</c:v>
                </c:pt>
                <c:pt idx="110">
                  <c:v>355.20126582278476</c:v>
                </c:pt>
                <c:pt idx="111">
                  <c:v>357.65082278481009</c:v>
                </c:pt>
                <c:pt idx="112">
                  <c:v>360.10037974683547</c:v>
                </c:pt>
                <c:pt idx="113">
                  <c:v>362.54993670886074</c:v>
                </c:pt>
                <c:pt idx="114">
                  <c:v>364.99949367088607</c:v>
                </c:pt>
                <c:pt idx="115">
                  <c:v>367.44905063291139</c:v>
                </c:pt>
                <c:pt idx="116">
                  <c:v>369.89860759493666</c:v>
                </c:pt>
                <c:pt idx="117">
                  <c:v>372.34816455696199</c:v>
                </c:pt>
                <c:pt idx="118">
                  <c:v>374.79772151898732</c:v>
                </c:pt>
                <c:pt idx="119">
                  <c:v>377.24727848101264</c:v>
                </c:pt>
                <c:pt idx="120">
                  <c:v>379.69683544303797</c:v>
                </c:pt>
                <c:pt idx="121">
                  <c:v>382.1463924050633</c:v>
                </c:pt>
                <c:pt idx="122">
                  <c:v>384.59594936708856</c:v>
                </c:pt>
                <c:pt idx="123">
                  <c:v>387.04550632911389</c:v>
                </c:pt>
                <c:pt idx="124">
                  <c:v>389.49506329113922</c:v>
                </c:pt>
                <c:pt idx="125">
                  <c:v>391.94462025316454</c:v>
                </c:pt>
                <c:pt idx="126">
                  <c:v>394.39417721518987</c:v>
                </c:pt>
                <c:pt idx="127">
                  <c:v>396.8437341772152</c:v>
                </c:pt>
                <c:pt idx="128">
                  <c:v>399.29329113924047</c:v>
                </c:pt>
                <c:pt idx="129">
                  <c:v>401.74284810126579</c:v>
                </c:pt>
                <c:pt idx="130">
                  <c:v>404.19240506329112</c:v>
                </c:pt>
                <c:pt idx="131">
                  <c:v>406.64196202531639</c:v>
                </c:pt>
                <c:pt idx="132">
                  <c:v>409.09151898734177</c:v>
                </c:pt>
                <c:pt idx="133">
                  <c:v>411.5410759493671</c:v>
                </c:pt>
                <c:pt idx="134">
                  <c:v>413.99063291139237</c:v>
                </c:pt>
                <c:pt idx="135">
                  <c:v>416.44018987341769</c:v>
                </c:pt>
                <c:pt idx="136">
                  <c:v>418.88974683544302</c:v>
                </c:pt>
                <c:pt idx="137">
                  <c:v>421.33930379746829</c:v>
                </c:pt>
                <c:pt idx="138">
                  <c:v>423.78886075949367</c:v>
                </c:pt>
                <c:pt idx="139">
                  <c:v>426.238417721519</c:v>
                </c:pt>
                <c:pt idx="140">
                  <c:v>428.68797468354427</c:v>
                </c:pt>
                <c:pt idx="141">
                  <c:v>431.1375316455696</c:v>
                </c:pt>
                <c:pt idx="142">
                  <c:v>433.58708860759492</c:v>
                </c:pt>
                <c:pt idx="143">
                  <c:v>436.03664556962019</c:v>
                </c:pt>
                <c:pt idx="144">
                  <c:v>438.48620253164552</c:v>
                </c:pt>
                <c:pt idx="145">
                  <c:v>440.9357594936709</c:v>
                </c:pt>
                <c:pt idx="146">
                  <c:v>443.38531645569617</c:v>
                </c:pt>
                <c:pt idx="147">
                  <c:v>445.8348734177215</c:v>
                </c:pt>
                <c:pt idx="148">
                  <c:v>448.28443037974682</c:v>
                </c:pt>
                <c:pt idx="149">
                  <c:v>450.73398734177209</c:v>
                </c:pt>
                <c:pt idx="150">
                  <c:v>453.18354430379742</c:v>
                </c:pt>
                <c:pt idx="151">
                  <c:v>455.6331012658228</c:v>
                </c:pt>
                <c:pt idx="152">
                  <c:v>458.08265822784807</c:v>
                </c:pt>
                <c:pt idx="153">
                  <c:v>460.5322151898734</c:v>
                </c:pt>
                <c:pt idx="154">
                  <c:v>462.98177215189872</c:v>
                </c:pt>
                <c:pt idx="155">
                  <c:v>465.43132911392399</c:v>
                </c:pt>
                <c:pt idx="156">
                  <c:v>467.88088607594932</c:v>
                </c:pt>
                <c:pt idx="157">
                  <c:v>470.3304430379747</c:v>
                </c:pt>
                <c:pt idx="158">
                  <c:v>472.78</c:v>
                </c:pt>
                <c:pt idx="159">
                  <c:v>475.2295569620253</c:v>
                </c:pt>
              </c:numCache>
            </c:numRef>
          </c:val>
          <c:smooth val="0"/>
          <c:extLst>
            <c:ext xmlns:c16="http://schemas.microsoft.com/office/drawing/2014/chart" uri="{C3380CC4-5D6E-409C-BE32-E72D297353CC}">
              <c16:uniqueId val="{00000001-FB1F-4E6E-B31C-1234E45D8C8D}"/>
            </c:ext>
          </c:extLst>
        </c:ser>
        <c:dLbls>
          <c:showLegendKey val="0"/>
          <c:showVal val="0"/>
          <c:showCatName val="0"/>
          <c:showSerName val="0"/>
          <c:showPercent val="0"/>
          <c:showBubbleSize val="0"/>
        </c:dLbls>
        <c:hiLowLines>
          <c:spPr>
            <a:ln w="0">
              <a:noFill/>
            </a:ln>
          </c:spPr>
        </c:hiLowLines>
        <c:marker val="1"/>
        <c:smooth val="0"/>
        <c:axId val="74278294"/>
        <c:axId val="6187271"/>
      </c:lineChart>
      <c:dateAx>
        <c:axId val="17199278"/>
        <c:scaling>
          <c:orientation val="minMax"/>
        </c:scaling>
        <c:delete val="1"/>
        <c:axPos val="b"/>
        <c:numFmt formatCode="mm/dd/yyyy" sourceLinked="1"/>
        <c:majorTickMark val="none"/>
        <c:minorTickMark val="none"/>
        <c:tickLblPos val="nextTo"/>
        <c:crossAx val="88319649"/>
        <c:crosses val="autoZero"/>
        <c:auto val="1"/>
        <c:lblOffset val="100"/>
        <c:baseTimeUnit val="days"/>
      </c:dateAx>
      <c:valAx>
        <c:axId val="8831964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7199278"/>
        <c:crosses val="autoZero"/>
        <c:crossBetween val="between"/>
      </c:valAx>
      <c:dateAx>
        <c:axId val="74278294"/>
        <c:scaling>
          <c:orientation val="minMax"/>
        </c:scaling>
        <c:delete val="1"/>
        <c:axPos val="b"/>
        <c:numFmt formatCode="mm/dd/yyyy" sourceLinked="1"/>
        <c:majorTickMark val="none"/>
        <c:minorTickMark val="none"/>
        <c:tickLblPos val="nextTo"/>
        <c:crossAx val="6187271"/>
        <c:crosses val="autoZero"/>
        <c:auto val="1"/>
        <c:lblOffset val="100"/>
        <c:baseTimeUnit val="days"/>
      </c:dateAx>
      <c:valAx>
        <c:axId val="6187271"/>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4278294"/>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VRT</a:t>
            </a:r>
          </a:p>
        </c:rich>
      </c:tx>
      <c:overlay val="0"/>
      <c:spPr>
        <a:noFill/>
        <a:ln w="0">
          <a:noFill/>
        </a:ln>
      </c:spPr>
    </c:title>
    <c:autoTitleDeleted val="0"/>
    <c:plotArea>
      <c:layout/>
      <c:barChart>
        <c:barDir val="col"/>
        <c:grouping val="clustered"/>
        <c:varyColors val="0"/>
        <c:ser>
          <c:idx val="0"/>
          <c:order val="0"/>
          <c:tx>
            <c:strRef>
              <c:f>'Returns (Calc)'!$M$2</c:f>
              <c:strCache>
                <c:ptCount val="1"/>
                <c:pt idx="0">
                  <c:v>VRT</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(Calc)'!$M$3:$M$500</c:f>
              <c:numCache>
                <c:formatCode>0.0%</c:formatCode>
                <c:ptCount val="498"/>
                <c:pt idx="0">
                  <c:v>-4.4976328248290343E-2</c:v>
                </c:pt>
                <c:pt idx="1">
                  <c:v>2.0655466813549905E-2</c:v>
                </c:pt>
                <c:pt idx="2">
                  <c:v>6.907717215326481E-2</c:v>
                </c:pt>
                <c:pt idx="3">
                  <c:v>-1.6910651186269443E-2</c:v>
                </c:pt>
                <c:pt idx="4">
                  <c:v>-6.0333761232349237E-2</c:v>
                </c:pt>
                <c:pt idx="5">
                  <c:v>-8.7431693989070691E-3</c:v>
                </c:pt>
                <c:pt idx="6">
                  <c:v>0.11025358324145529</c:v>
                </c:pt>
                <c:pt idx="7">
                  <c:v>3.4508440913604721E-2</c:v>
                </c:pt>
                <c:pt idx="8">
                  <c:v>3.4797216222702154E-2</c:v>
                </c:pt>
                <c:pt idx="9">
                  <c:v>-1.3914656771799483E-2</c:v>
                </c:pt>
                <c:pt idx="10">
                  <c:v>5.7619943555973663E-2</c:v>
                </c:pt>
                <c:pt idx="11">
                  <c:v>4.4696464309539552E-2</c:v>
                </c:pt>
                <c:pt idx="12">
                  <c:v>1.2558535547041449E-2</c:v>
                </c:pt>
                <c:pt idx="13">
                  <c:v>2.2072734916964487E-2</c:v>
                </c:pt>
                <c:pt idx="14">
                  <c:v>-1.5425750719868403E-2</c:v>
                </c:pt>
                <c:pt idx="15">
                  <c:v>-3.5721746396490506E-2</c:v>
                </c:pt>
                <c:pt idx="16">
                  <c:v>6.9324090121317239E-2</c:v>
                </c:pt>
                <c:pt idx="17">
                  <c:v>8.3670988654781286E-2</c:v>
                </c:pt>
                <c:pt idx="18">
                  <c:v>-3.9259674705552916E-3</c:v>
                </c:pt>
                <c:pt idx="19">
                  <c:v>0.14996246246246248</c:v>
                </c:pt>
                <c:pt idx="20">
                  <c:v>3.3295250530439136E-2</c:v>
                </c:pt>
                <c:pt idx="21">
                  <c:v>-8.6874111514769758E-3</c:v>
                </c:pt>
                <c:pt idx="22">
                  <c:v>-4.3021032504779733E-3</c:v>
                </c:pt>
                <c:pt idx="23">
                  <c:v>0.12562009921587447</c:v>
                </c:pt>
                <c:pt idx="24">
                  <c:v>-1.7059994313335269E-2</c:v>
                </c:pt>
                <c:pt idx="25">
                  <c:v>6.8990454150998026E-2</c:v>
                </c:pt>
                <c:pt idx="26">
                  <c:v>0.11283994046813706</c:v>
                </c:pt>
                <c:pt idx="27">
                  <c:v>-9.9696048632218481E-3</c:v>
                </c:pt>
                <c:pt idx="28">
                  <c:v>4.4946579884563409E-2</c:v>
                </c:pt>
                <c:pt idx="29">
                  <c:v>-1.7040780350217499E-2</c:v>
                </c:pt>
                <c:pt idx="30">
                  <c:v>-0.10581061692969862</c:v>
                </c:pt>
                <c:pt idx="31">
                  <c:v>0.24628961091054946</c:v>
                </c:pt>
                <c:pt idx="32">
                  <c:v>-5.149662053427595E-3</c:v>
                </c:pt>
                <c:pt idx="33">
                  <c:v>2.5773751752399487E-2</c:v>
                </c:pt>
                <c:pt idx="34">
                  <c:v>1.4718250630782137E-2</c:v>
                </c:pt>
                <c:pt idx="35">
                  <c:v>9.666390385412349E-2</c:v>
                </c:pt>
                <c:pt idx="36">
                  <c:v>-7.6239962210675416E-2</c:v>
                </c:pt>
                <c:pt idx="37">
                  <c:v>-0.10595213745142151</c:v>
                </c:pt>
                <c:pt idx="38">
                  <c:v>4.3353923587279741E-2</c:v>
                </c:pt>
                <c:pt idx="39">
                  <c:v>-9.0998793991886595E-3</c:v>
                </c:pt>
                <c:pt idx="40">
                  <c:v>-4.470015490152679E-2</c:v>
                </c:pt>
                <c:pt idx="41">
                  <c:v>6.0111188325225884E-2</c:v>
                </c:pt>
                <c:pt idx="42">
                  <c:v>-2.2943297279580444E-2</c:v>
                </c:pt>
                <c:pt idx="43">
                  <c:v>-4.8641395504864238E-2</c:v>
                </c:pt>
                <c:pt idx="44">
                  <c:v>-9.6027268453220516E-2</c:v>
                </c:pt>
                <c:pt idx="45">
                  <c:v>-9.9336887270836005E-2</c:v>
                </c:pt>
                <c:pt idx="46">
                  <c:v>2.8872527789808089E-2</c:v>
                </c:pt>
                <c:pt idx="47">
                  <c:v>0.11140732425985678</c:v>
                </c:pt>
                <c:pt idx="48">
                  <c:v>-1.0983461684130669E-2</c:v>
                </c:pt>
                <c:pt idx="49">
                  <c:v>5.7058973704365634E-2</c:v>
                </c:pt>
                <c:pt idx="50">
                  <c:v>-0.13561164110614665</c:v>
                </c:pt>
                <c:pt idx="51">
                  <c:v>0.19488683989941324</c:v>
                </c:pt>
                <c:pt idx="52">
                  <c:v>0.10265403951829777</c:v>
                </c:pt>
                <c:pt idx="53">
                  <c:v>4.0928851659421062E-2</c:v>
                </c:pt>
                <c:pt idx="54">
                  <c:v>6.9063868799022154E-2</c:v>
                </c:pt>
                <c:pt idx="55">
                  <c:v>6.3077656026679252E-2</c:v>
                </c:pt>
                <c:pt idx="56">
                  <c:v>3.6748229810881217E-3</c:v>
                </c:pt>
                <c:pt idx="57">
                  <c:v>-7.1441328808719007E-4</c:v>
                </c:pt>
                <c:pt idx="58">
                  <c:v>-4.7006255585344103E-2</c:v>
                </c:pt>
                <c:pt idx="59">
                  <c:v>0.17638784696174037</c:v>
                </c:pt>
                <c:pt idx="60">
                  <c:v>-3.882024711040255E-2</c:v>
                </c:pt>
                <c:pt idx="61">
                  <c:v>0.1594791839442693</c:v>
                </c:pt>
                <c:pt idx="62">
                  <c:v>-8.9550103712180751E-2</c:v>
                </c:pt>
                <c:pt idx="63">
                  <c:v>4.933616152093645E-2</c:v>
                </c:pt>
                <c:pt idx="64">
                  <c:v>-6.0342891367822005E-2</c:v>
                </c:pt>
                <c:pt idx="65">
                  <c:v>-4.5574057843996485E-2</c:v>
                </c:pt>
                <c:pt idx="66">
                  <c:v>-4.1071875782619616E-2</c:v>
                </c:pt>
                <c:pt idx="67">
                  <c:v>9.1668843039958148E-2</c:v>
                </c:pt>
                <c:pt idx="68">
                  <c:v>2.5996810207336463E-2</c:v>
                </c:pt>
                <c:pt idx="69">
                  <c:v>5.3862894450489751E-2</c:v>
                </c:pt>
                <c:pt idx="70">
                  <c:v>7.6849325171472804E-2</c:v>
                </c:pt>
                <c:pt idx="71">
                  <c:v>-0.20026025614683929</c:v>
                </c:pt>
                <c:pt idx="72">
                  <c:v>3.7252719020296476E-2</c:v>
                </c:pt>
                <c:pt idx="73">
                  <c:v>-0.10980845442536336</c:v>
                </c:pt>
                <c:pt idx="74">
                  <c:v>-0.11157484696716735</c:v>
                </c:pt>
                <c:pt idx="75">
                  <c:v>-8.5603925253158186E-3</c:v>
                </c:pt>
                <c:pt idx="76">
                  <c:v>-0.10645466989575658</c:v>
                </c:pt>
                <c:pt idx="77">
                  <c:v>2.839971718123957E-2</c:v>
                </c:pt>
                <c:pt idx="78">
                  <c:v>1.3865016615102643E-2</c:v>
                </c:pt>
                <c:pt idx="79">
                  <c:v>-0.16229656419529837</c:v>
                </c:pt>
                <c:pt idx="80">
                  <c:v>-0.19981111710739341</c:v>
                </c:pt>
                <c:pt idx="81">
                  <c:v>0.1716405327937951</c:v>
                </c:pt>
                <c:pt idx="82">
                  <c:v>5.180601525399342E-2</c:v>
                </c:pt>
                <c:pt idx="83">
                  <c:v>0.18757695991243661</c:v>
                </c:pt>
                <c:pt idx="84">
                  <c:v>9.2626728110599243E-2</c:v>
                </c:pt>
                <c:pt idx="85">
                  <c:v>-9.9114297764656412E-3</c:v>
                </c:pt>
                <c:pt idx="86">
                  <c:v>0.12736954206602769</c:v>
                </c:pt>
                <c:pt idx="87">
                  <c:v>-1.7948233515964529E-2</c:v>
                </c:pt>
                <c:pt idx="88">
                  <c:v>3.6456329357445139E-2</c:v>
                </c:pt>
                <c:pt idx="89">
                  <c:v>6.8863109048723947E-2</c:v>
                </c:pt>
                <c:pt idx="90">
                  <c:v>-3.8117565338195769E-2</c:v>
                </c:pt>
                <c:pt idx="91">
                  <c:v>6.8604441234879854E-2</c:v>
                </c:pt>
                <c:pt idx="92">
                  <c:v>7.2731880385200176E-2</c:v>
                </c:pt>
                <c:pt idx="93">
                  <c:v>5.3547523427042165E-3</c:v>
                </c:pt>
                <c:pt idx="94">
                  <c:v>-3.5560429231612845E-2</c:v>
                </c:pt>
                <c:pt idx="95">
                  <c:v>4.6779826199951247E-2</c:v>
                </c:pt>
                <c:pt idx="96">
                  <c:v>6.5171851966793426E-2</c:v>
                </c:pt>
                <c:pt idx="97">
                  <c:v>2.9936630490203342E-2</c:v>
                </c:pt>
                <c:pt idx="98">
                  <c:v>-1.1739745403111734E-2</c:v>
                </c:pt>
                <c:pt idx="99">
                  <c:v>-4.9019607843137414E-2</c:v>
                </c:pt>
                <c:pt idx="100">
                  <c:v>-5.3352396719090867E-2</c:v>
                </c:pt>
                <c:pt idx="101">
                  <c:v>1.2559618441971399E-2</c:v>
                </c:pt>
                <c:pt idx="102">
                  <c:v>-2.7869367247605581E-2</c:v>
                </c:pt>
                <c:pt idx="103">
                  <c:v>8.7458612614067732E-2</c:v>
                </c:pt>
                <c:pt idx="104">
                  <c:v>6.5275508688548811E-2</c:v>
                </c:pt>
                <c:pt idx="105">
                  <c:v>-3.4715928895085346E-2</c:v>
                </c:pt>
                <c:pt idx="106">
                  <c:v>0.15570159601357703</c:v>
                </c:pt>
                <c:pt idx="107">
                  <c:v>5.4989689433231348E-2</c:v>
                </c:pt>
                <c:pt idx="108">
                  <c:v>2.9497127287804181E-2</c:v>
                </c:pt>
                <c:pt idx="109">
                  <c:v>6.9328577181980489E-2</c:v>
                </c:pt>
                <c:pt idx="110">
                  <c:v>3.6532874206391952E-2</c:v>
                </c:pt>
                <c:pt idx="111">
                  <c:v>-6.7687516221126343E-2</c:v>
                </c:pt>
                <c:pt idx="112">
                  <c:v>-4.9106397193920293E-2</c:v>
                </c:pt>
                <c:pt idx="113">
                  <c:v>-6.5167749868259239E-2</c:v>
                </c:pt>
                <c:pt idx="114">
                  <c:v>0.12495302517850448</c:v>
                </c:pt>
                <c:pt idx="115">
                  <c:v>5.166750180947588E-2</c:v>
                </c:pt>
                <c:pt idx="116">
                  <c:v>-0.14680501879400709</c:v>
                </c:pt>
                <c:pt idx="117">
                  <c:v>-8.997269793993512E-3</c:v>
                </c:pt>
                <c:pt idx="118">
                  <c:v>4.8525452382443213E-2</c:v>
                </c:pt>
                <c:pt idx="119">
                  <c:v>4.7951749671563348E-2</c:v>
                </c:pt>
                <c:pt idx="120">
                  <c:v>-6.8493931278135523E-2</c:v>
                </c:pt>
                <c:pt idx="121">
                  <c:v>8.1605187496176734E-2</c:v>
                </c:pt>
                <c:pt idx="122">
                  <c:v>3.138962728352479E-2</c:v>
                </c:pt>
                <c:pt idx="123">
                  <c:v>2.02347005922352E-2</c:v>
                </c:pt>
                <c:pt idx="124">
                  <c:v>5.0470303681805939E-2</c:v>
                </c:pt>
                <c:pt idx="125">
                  <c:v>0.19919156774457636</c:v>
                </c:pt>
                <c:pt idx="126">
                  <c:v>3.9296838332551154E-2</c:v>
                </c:pt>
                <c:pt idx="127">
                  <c:v>4.569340668363564E-2</c:v>
                </c:pt>
                <c:pt idx="128">
                  <c:v>-5.1431039221074948E-2</c:v>
                </c:pt>
                <c:pt idx="129">
                  <c:v>7.0733827242249747E-2</c:v>
                </c:pt>
                <c:pt idx="130">
                  <c:v>-1.1364514882102772E-2</c:v>
                </c:pt>
                <c:pt idx="131">
                  <c:v>-1.8767594619956141E-2</c:v>
                </c:pt>
                <c:pt idx="132">
                  <c:v>4.0683774306662368E-2</c:v>
                </c:pt>
                <c:pt idx="133">
                  <c:v>0.12945590994371492</c:v>
                </c:pt>
                <c:pt idx="134">
                  <c:v>4.1426537392365459E-2</c:v>
                </c:pt>
                <c:pt idx="135">
                  <c:v>5.2441406250000044E-2</c:v>
                </c:pt>
                <c:pt idx="136">
                  <c:v>1.5001082552349221E-2</c:v>
                </c:pt>
                <c:pt idx="137">
                  <c:v>3.5531448074110017E-2</c:v>
                </c:pt>
                <c:pt idx="138">
                  <c:v>9.1077629333176313E-2</c:v>
                </c:pt>
                <c:pt idx="139">
                  <c:v>-0.11721552444911931</c:v>
                </c:pt>
                <c:pt idx="140">
                  <c:v>-3.5868137239925435E-2</c:v>
                </c:pt>
                <c:pt idx="141">
                  <c:v>-4.8166809265772992E-2</c:v>
                </c:pt>
                <c:pt idx="142">
                  <c:v>7.8569763957785366E-3</c:v>
                </c:pt>
                <c:pt idx="143">
                  <c:v>9.9890991973045296E-2</c:v>
                </c:pt>
                <c:pt idx="144">
                  <c:v>-8.7365228098627568E-2</c:v>
                </c:pt>
                <c:pt idx="145">
                  <c:v>-1.1254442543109144E-2</c:v>
                </c:pt>
                <c:pt idx="146">
                  <c:v>6.0973174465819069E-2</c:v>
                </c:pt>
                <c:pt idx="147">
                  <c:v>-9.1881548403287439E-2</c:v>
                </c:pt>
                <c:pt idx="148">
                  <c:v>2.7634806038205895E-3</c:v>
                </c:pt>
                <c:pt idx="149">
                  <c:v>-0.16803885769403015</c:v>
                </c:pt>
                <c:pt idx="150">
                  <c:v>0.12761376340524189</c:v>
                </c:pt>
                <c:pt idx="151">
                  <c:v>7.8728013806778518E-2</c:v>
                </c:pt>
                <c:pt idx="152">
                  <c:v>-0.10852027096027506</c:v>
                </c:pt>
                <c:pt idx="153">
                  <c:v>-1.8595593569819435E-2</c:v>
                </c:pt>
                <c:pt idx="154">
                  <c:v>9.1199128472492452E-2</c:v>
                </c:pt>
                <c:pt idx="155">
                  <c:v>-8.364829209156377E-2</c:v>
                </c:pt>
                <c:pt idx="156">
                  <c:v>-2.9610894941634269E-2</c:v>
                </c:pt>
                <c:pt idx="157">
                  <c:v>1.5598059264605668E-2</c:v>
                </c:pt>
                <c:pt idx="158">
                  <c:v>-4.3430195830701512E-3</c:v>
                </c:pt>
                <c:pt idx="159">
                  <c:v>0</c:v>
                </c:pt>
              </c:numCache>
            </c:numRef>
          </c:val>
          <c:extLst>
            <c:ext xmlns:c16="http://schemas.microsoft.com/office/drawing/2014/chart" uri="{C3380CC4-5D6E-409C-BE32-E72D297353CC}">
              <c16:uniqueId val="{00000000-56C0-4E3E-85D6-C85FDB74DBFE}"/>
            </c:ext>
          </c:extLst>
        </c:ser>
        <c:dLbls>
          <c:showLegendKey val="0"/>
          <c:showVal val="0"/>
          <c:showCatName val="0"/>
          <c:showSerName val="0"/>
          <c:showPercent val="0"/>
          <c:showBubbleSize val="0"/>
        </c:dLbls>
        <c:gapWidth val="150"/>
        <c:axId val="67296722"/>
        <c:axId val="49487280"/>
      </c:barChart>
      <c:lineChart>
        <c:grouping val="standard"/>
        <c:varyColors val="0"/>
        <c:ser>
          <c:idx val="1"/>
          <c:order val="1"/>
          <c:tx>
            <c:strRef>
              <c:f>'Returns (Calc)'!$AH$2</c:f>
              <c:strCache>
                <c:ptCount val="1"/>
                <c:pt idx="0">
                  <c:v>VRT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(Calc)'!$AH$3:$AH$500</c:f>
              <c:numCache>
                <c:formatCode>#,##0.00</c:formatCode>
                <c:ptCount val="498"/>
                <c:pt idx="0">
                  <c:v>38.020000000000003</c:v>
                </c:pt>
                <c:pt idx="1">
                  <c:v>39.375443037974684</c:v>
                </c:pt>
                <c:pt idx="2">
                  <c:v>40.730886075949371</c:v>
                </c:pt>
                <c:pt idx="3">
                  <c:v>42.086329113924052</c:v>
                </c:pt>
                <c:pt idx="4">
                  <c:v>43.441772151898739</c:v>
                </c:pt>
                <c:pt idx="5">
                  <c:v>44.79721518987342</c:v>
                </c:pt>
                <c:pt idx="6">
                  <c:v>46.152658227848107</c:v>
                </c:pt>
                <c:pt idx="7">
                  <c:v>47.508101265822788</c:v>
                </c:pt>
                <c:pt idx="8">
                  <c:v>48.863544303797468</c:v>
                </c:pt>
                <c:pt idx="9">
                  <c:v>50.218987341772156</c:v>
                </c:pt>
                <c:pt idx="10">
                  <c:v>51.574430379746836</c:v>
                </c:pt>
                <c:pt idx="11">
                  <c:v>52.929873417721524</c:v>
                </c:pt>
                <c:pt idx="12">
                  <c:v>54.285316455696204</c:v>
                </c:pt>
                <c:pt idx="13">
                  <c:v>55.640759493670885</c:v>
                </c:pt>
                <c:pt idx="14">
                  <c:v>56.996202531645572</c:v>
                </c:pt>
                <c:pt idx="15">
                  <c:v>58.35164556962026</c:v>
                </c:pt>
                <c:pt idx="16">
                  <c:v>59.70708860759494</c:v>
                </c:pt>
                <c:pt idx="17">
                  <c:v>61.062531645569621</c:v>
                </c:pt>
                <c:pt idx="18">
                  <c:v>62.417974683544308</c:v>
                </c:pt>
                <c:pt idx="19">
                  <c:v>63.773417721518989</c:v>
                </c:pt>
                <c:pt idx="20">
                  <c:v>65.128860759493676</c:v>
                </c:pt>
                <c:pt idx="21">
                  <c:v>66.484303797468357</c:v>
                </c:pt>
                <c:pt idx="22">
                  <c:v>67.839746835443037</c:v>
                </c:pt>
                <c:pt idx="23">
                  <c:v>69.195189873417718</c:v>
                </c:pt>
                <c:pt idx="24">
                  <c:v>70.550632911392412</c:v>
                </c:pt>
                <c:pt idx="25">
                  <c:v>71.906075949367093</c:v>
                </c:pt>
                <c:pt idx="26">
                  <c:v>73.261518987341773</c:v>
                </c:pt>
                <c:pt idx="27">
                  <c:v>74.616962025316454</c:v>
                </c:pt>
                <c:pt idx="28">
                  <c:v>75.972405063291149</c:v>
                </c:pt>
                <c:pt idx="29">
                  <c:v>77.327848101265829</c:v>
                </c:pt>
                <c:pt idx="30">
                  <c:v>78.683291139240509</c:v>
                </c:pt>
                <c:pt idx="31">
                  <c:v>80.03873417721519</c:v>
                </c:pt>
                <c:pt idx="32">
                  <c:v>81.39417721518987</c:v>
                </c:pt>
                <c:pt idx="33">
                  <c:v>82.749620253164551</c:v>
                </c:pt>
                <c:pt idx="34">
                  <c:v>84.105063291139231</c:v>
                </c:pt>
                <c:pt idx="35">
                  <c:v>85.460506329113926</c:v>
                </c:pt>
                <c:pt idx="36">
                  <c:v>86.815949367088621</c:v>
                </c:pt>
                <c:pt idx="37">
                  <c:v>88.171392405063301</c:v>
                </c:pt>
                <c:pt idx="38">
                  <c:v>89.526835443037982</c:v>
                </c:pt>
                <c:pt idx="39">
                  <c:v>90.882278481012662</c:v>
                </c:pt>
                <c:pt idx="40">
                  <c:v>92.237721518987343</c:v>
                </c:pt>
                <c:pt idx="41">
                  <c:v>93.593164556962023</c:v>
                </c:pt>
                <c:pt idx="42">
                  <c:v>94.948607594936703</c:v>
                </c:pt>
                <c:pt idx="43">
                  <c:v>96.304050632911384</c:v>
                </c:pt>
                <c:pt idx="44">
                  <c:v>97.659493670886064</c:v>
                </c:pt>
                <c:pt idx="45">
                  <c:v>99.014936708860773</c:v>
                </c:pt>
                <c:pt idx="46">
                  <c:v>100.37037974683545</c:v>
                </c:pt>
                <c:pt idx="47">
                  <c:v>101.72582278481013</c:v>
                </c:pt>
                <c:pt idx="48">
                  <c:v>103.08126582278481</c:v>
                </c:pt>
                <c:pt idx="49">
                  <c:v>104.4367088607595</c:v>
                </c:pt>
                <c:pt idx="50">
                  <c:v>105.79215189873418</c:v>
                </c:pt>
                <c:pt idx="51">
                  <c:v>107.14759493670886</c:v>
                </c:pt>
                <c:pt idx="52">
                  <c:v>108.50303797468354</c:v>
                </c:pt>
                <c:pt idx="53">
                  <c:v>109.85848101265822</c:v>
                </c:pt>
                <c:pt idx="54">
                  <c:v>111.2139240506329</c:v>
                </c:pt>
                <c:pt idx="55">
                  <c:v>112.56936708860761</c:v>
                </c:pt>
                <c:pt idx="56">
                  <c:v>113.92481012658229</c:v>
                </c:pt>
                <c:pt idx="57">
                  <c:v>115.28025316455697</c:v>
                </c:pt>
                <c:pt idx="58">
                  <c:v>116.63569620253165</c:v>
                </c:pt>
                <c:pt idx="59">
                  <c:v>117.99113924050633</c:v>
                </c:pt>
                <c:pt idx="60">
                  <c:v>119.34658227848101</c:v>
                </c:pt>
                <c:pt idx="61">
                  <c:v>120.70202531645569</c:v>
                </c:pt>
                <c:pt idx="62">
                  <c:v>122.05746835443037</c:v>
                </c:pt>
                <c:pt idx="63">
                  <c:v>123.41291139240508</c:v>
                </c:pt>
                <c:pt idx="64">
                  <c:v>124.76835443037976</c:v>
                </c:pt>
                <c:pt idx="65">
                  <c:v>126.12379746835444</c:v>
                </c:pt>
                <c:pt idx="66">
                  <c:v>127.47924050632912</c:v>
                </c:pt>
                <c:pt idx="67">
                  <c:v>128.8346835443038</c:v>
                </c:pt>
                <c:pt idx="68">
                  <c:v>130.19012658227848</c:v>
                </c:pt>
                <c:pt idx="69">
                  <c:v>131.54556962025316</c:v>
                </c:pt>
                <c:pt idx="70">
                  <c:v>132.90101265822784</c:v>
                </c:pt>
                <c:pt idx="71">
                  <c:v>134.25645569620255</c:v>
                </c:pt>
                <c:pt idx="72">
                  <c:v>135.61189873417723</c:v>
                </c:pt>
                <c:pt idx="73">
                  <c:v>136.96734177215191</c:v>
                </c:pt>
                <c:pt idx="74">
                  <c:v>138.32278481012659</c:v>
                </c:pt>
                <c:pt idx="75">
                  <c:v>139.67822784810127</c:v>
                </c:pt>
                <c:pt idx="76">
                  <c:v>141.03367088607595</c:v>
                </c:pt>
                <c:pt idx="77">
                  <c:v>142.38911392405063</c:v>
                </c:pt>
                <c:pt idx="78">
                  <c:v>143.74455696202531</c:v>
                </c:pt>
                <c:pt idx="79">
                  <c:v>145.1</c:v>
                </c:pt>
                <c:pt idx="80">
                  <c:v>146.45544303797467</c:v>
                </c:pt>
                <c:pt idx="81">
                  <c:v>147.81088607594936</c:v>
                </c:pt>
                <c:pt idx="82">
                  <c:v>149.16632911392404</c:v>
                </c:pt>
                <c:pt idx="83">
                  <c:v>150.52177215189872</c:v>
                </c:pt>
                <c:pt idx="84">
                  <c:v>151.87721518987343</c:v>
                </c:pt>
                <c:pt idx="85">
                  <c:v>153.23265822784811</c:v>
                </c:pt>
                <c:pt idx="86">
                  <c:v>154.58810126582279</c:v>
                </c:pt>
                <c:pt idx="87">
                  <c:v>155.94354430379747</c:v>
                </c:pt>
                <c:pt idx="88">
                  <c:v>157.29898734177215</c:v>
                </c:pt>
                <c:pt idx="89">
                  <c:v>158.65443037974683</c:v>
                </c:pt>
                <c:pt idx="90">
                  <c:v>160.00987341772154</c:v>
                </c:pt>
                <c:pt idx="91">
                  <c:v>161.36531645569622</c:v>
                </c:pt>
                <c:pt idx="92">
                  <c:v>162.7207594936709</c:v>
                </c:pt>
                <c:pt idx="93">
                  <c:v>164.07620253164558</c:v>
                </c:pt>
                <c:pt idx="94">
                  <c:v>165.43164556962026</c:v>
                </c:pt>
                <c:pt idx="95">
                  <c:v>166.78708860759494</c:v>
                </c:pt>
                <c:pt idx="96">
                  <c:v>168.14253164556965</c:v>
                </c:pt>
                <c:pt idx="97">
                  <c:v>169.49797468354433</c:v>
                </c:pt>
                <c:pt idx="98">
                  <c:v>170.85341772151901</c:v>
                </c:pt>
                <c:pt idx="99">
                  <c:v>172.20886075949369</c:v>
                </c:pt>
                <c:pt idx="100">
                  <c:v>173.56430379746837</c:v>
                </c:pt>
                <c:pt idx="101">
                  <c:v>174.91974683544305</c:v>
                </c:pt>
                <c:pt idx="102">
                  <c:v>176.27518987341773</c:v>
                </c:pt>
                <c:pt idx="103">
                  <c:v>177.63063291139241</c:v>
                </c:pt>
                <c:pt idx="104">
                  <c:v>178.98607594936709</c:v>
                </c:pt>
                <c:pt idx="105">
                  <c:v>180.34151898734177</c:v>
                </c:pt>
                <c:pt idx="106">
                  <c:v>181.69696202531645</c:v>
                </c:pt>
                <c:pt idx="107">
                  <c:v>183.05240506329113</c:v>
                </c:pt>
                <c:pt idx="108">
                  <c:v>184.40784810126581</c:v>
                </c:pt>
                <c:pt idx="109">
                  <c:v>185.76329113924052</c:v>
                </c:pt>
                <c:pt idx="110">
                  <c:v>187.1187341772152</c:v>
                </c:pt>
                <c:pt idx="111">
                  <c:v>188.47417721518988</c:v>
                </c:pt>
                <c:pt idx="112">
                  <c:v>189.82962025316456</c:v>
                </c:pt>
                <c:pt idx="113">
                  <c:v>191.18506329113924</c:v>
                </c:pt>
                <c:pt idx="114">
                  <c:v>192.54050632911392</c:v>
                </c:pt>
                <c:pt idx="115">
                  <c:v>193.8959493670886</c:v>
                </c:pt>
                <c:pt idx="116">
                  <c:v>195.25139240506331</c:v>
                </c:pt>
                <c:pt idx="117">
                  <c:v>196.60683544303799</c:v>
                </c:pt>
                <c:pt idx="118">
                  <c:v>197.96227848101267</c:v>
                </c:pt>
                <c:pt idx="119">
                  <c:v>199.31772151898736</c:v>
                </c:pt>
                <c:pt idx="120">
                  <c:v>200.67316455696204</c:v>
                </c:pt>
                <c:pt idx="121">
                  <c:v>202.02860759493672</c:v>
                </c:pt>
                <c:pt idx="122">
                  <c:v>203.3840506329114</c:v>
                </c:pt>
                <c:pt idx="123">
                  <c:v>204.73949367088608</c:v>
                </c:pt>
                <c:pt idx="124">
                  <c:v>206.09493670886076</c:v>
                </c:pt>
                <c:pt idx="125">
                  <c:v>207.45037974683547</c:v>
                </c:pt>
                <c:pt idx="126">
                  <c:v>208.80582278481015</c:v>
                </c:pt>
                <c:pt idx="127">
                  <c:v>210.16126582278483</c:v>
                </c:pt>
                <c:pt idx="128">
                  <c:v>211.51670886075951</c:v>
                </c:pt>
                <c:pt idx="129">
                  <c:v>212.87215189873419</c:v>
                </c:pt>
                <c:pt idx="130">
                  <c:v>214.22759493670887</c:v>
                </c:pt>
                <c:pt idx="131">
                  <c:v>215.58303797468355</c:v>
                </c:pt>
                <c:pt idx="132">
                  <c:v>216.93848101265823</c:v>
                </c:pt>
                <c:pt idx="133">
                  <c:v>218.29392405063291</c:v>
                </c:pt>
                <c:pt idx="134">
                  <c:v>219.64936708860759</c:v>
                </c:pt>
                <c:pt idx="135">
                  <c:v>221.00481012658227</c:v>
                </c:pt>
                <c:pt idx="136">
                  <c:v>222.36025316455695</c:v>
                </c:pt>
                <c:pt idx="137">
                  <c:v>223.71569620253163</c:v>
                </c:pt>
                <c:pt idx="138">
                  <c:v>225.07113924050634</c:v>
                </c:pt>
                <c:pt idx="139">
                  <c:v>226.42658227848102</c:v>
                </c:pt>
                <c:pt idx="140">
                  <c:v>227.7820253164557</c:v>
                </c:pt>
                <c:pt idx="141">
                  <c:v>229.13746835443041</c:v>
                </c:pt>
                <c:pt idx="142">
                  <c:v>230.49291139240509</c:v>
                </c:pt>
                <c:pt idx="143">
                  <c:v>231.84835443037977</c:v>
                </c:pt>
                <c:pt idx="144">
                  <c:v>233.20379746835445</c:v>
                </c:pt>
                <c:pt idx="145">
                  <c:v>234.55924050632913</c:v>
                </c:pt>
                <c:pt idx="146">
                  <c:v>235.91468354430381</c:v>
                </c:pt>
                <c:pt idx="147">
                  <c:v>237.27012658227849</c:v>
                </c:pt>
                <c:pt idx="148">
                  <c:v>238.62556962025317</c:v>
                </c:pt>
                <c:pt idx="149">
                  <c:v>239.98101265822785</c:v>
                </c:pt>
                <c:pt idx="150">
                  <c:v>241.33645569620253</c:v>
                </c:pt>
                <c:pt idx="151">
                  <c:v>242.69189873417722</c:v>
                </c:pt>
                <c:pt idx="152">
                  <c:v>244.0473417721519</c:v>
                </c:pt>
                <c:pt idx="153">
                  <c:v>245.40278481012658</c:v>
                </c:pt>
                <c:pt idx="154">
                  <c:v>246.75822784810128</c:v>
                </c:pt>
                <c:pt idx="155">
                  <c:v>248.11367088607597</c:v>
                </c:pt>
                <c:pt idx="156">
                  <c:v>249.46911392405065</c:v>
                </c:pt>
                <c:pt idx="157">
                  <c:v>250.82455696202535</c:v>
                </c:pt>
                <c:pt idx="158">
                  <c:v>252.18</c:v>
                </c:pt>
                <c:pt idx="159">
                  <c:v>253.53544303797472</c:v>
                </c:pt>
              </c:numCache>
            </c:numRef>
          </c:val>
          <c:smooth val="0"/>
          <c:extLst>
            <c:ext xmlns:c16="http://schemas.microsoft.com/office/drawing/2014/chart" uri="{C3380CC4-5D6E-409C-BE32-E72D297353CC}">
              <c16:uniqueId val="{00000001-56C0-4E3E-85D6-C85FDB74DBFE}"/>
            </c:ext>
          </c:extLst>
        </c:ser>
        <c:dLbls>
          <c:showLegendKey val="0"/>
          <c:showVal val="0"/>
          <c:showCatName val="0"/>
          <c:showSerName val="0"/>
          <c:showPercent val="0"/>
          <c:showBubbleSize val="0"/>
        </c:dLbls>
        <c:hiLowLines>
          <c:spPr>
            <a:ln w="0">
              <a:noFill/>
            </a:ln>
          </c:spPr>
        </c:hiLowLines>
        <c:marker val="1"/>
        <c:smooth val="0"/>
        <c:axId val="2083475"/>
        <c:axId val="87144629"/>
      </c:lineChart>
      <c:dateAx>
        <c:axId val="67296722"/>
        <c:scaling>
          <c:orientation val="minMax"/>
        </c:scaling>
        <c:delete val="1"/>
        <c:axPos val="b"/>
        <c:numFmt formatCode="mm/dd/yyyy" sourceLinked="1"/>
        <c:majorTickMark val="none"/>
        <c:minorTickMark val="none"/>
        <c:tickLblPos val="nextTo"/>
        <c:crossAx val="49487280"/>
        <c:crosses val="autoZero"/>
        <c:auto val="1"/>
        <c:lblOffset val="100"/>
        <c:baseTimeUnit val="days"/>
      </c:dateAx>
      <c:valAx>
        <c:axId val="4948728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67296722"/>
        <c:crosses val="autoZero"/>
        <c:crossBetween val="between"/>
      </c:valAx>
      <c:dateAx>
        <c:axId val="2083475"/>
        <c:scaling>
          <c:orientation val="minMax"/>
        </c:scaling>
        <c:delete val="1"/>
        <c:axPos val="b"/>
        <c:numFmt formatCode="mm/dd/yyyy" sourceLinked="1"/>
        <c:majorTickMark val="none"/>
        <c:minorTickMark val="none"/>
        <c:tickLblPos val="nextTo"/>
        <c:crossAx val="87144629"/>
        <c:crosses val="autoZero"/>
        <c:auto val="1"/>
        <c:lblOffset val="100"/>
        <c:baseTimeUnit val="days"/>
      </c:dateAx>
      <c:valAx>
        <c:axId val="87144629"/>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083475"/>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VRTX</a:t>
            </a:r>
          </a:p>
        </c:rich>
      </c:tx>
      <c:overlay val="0"/>
      <c:spPr>
        <a:noFill/>
        <a:ln w="0">
          <a:noFill/>
        </a:ln>
      </c:spPr>
    </c:title>
    <c:autoTitleDeleted val="0"/>
    <c:plotArea>
      <c:layout/>
      <c:barChart>
        <c:barDir val="col"/>
        <c:grouping val="clustered"/>
        <c:varyColors val="0"/>
        <c:ser>
          <c:idx val="0"/>
          <c:order val="0"/>
          <c:tx>
            <c:strRef>
              <c:f>'Returns (Calc)'!$N$2</c:f>
              <c:strCache>
                <c:ptCount val="1"/>
                <c:pt idx="0">
                  <c:v>VRTX</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(Calc)'!$N$3:$N$500</c:f>
              <c:numCache>
                <c:formatCode>0.0%</c:formatCode>
                <c:ptCount val="498"/>
                <c:pt idx="0">
                  <c:v>1.8056749785038129E-3</c:v>
                </c:pt>
                <c:pt idx="1">
                  <c:v>-5.1211627042027086E-3</c:v>
                </c:pt>
                <c:pt idx="2">
                  <c:v>3.7039167193880562E-2</c:v>
                </c:pt>
                <c:pt idx="3">
                  <c:v>2.8783761299983279E-2</c:v>
                </c:pt>
                <c:pt idx="4">
                  <c:v>-2.4636118598382661E-2</c:v>
                </c:pt>
                <c:pt idx="5">
                  <c:v>-1.8183827999779023E-2</c:v>
                </c:pt>
                <c:pt idx="6">
                  <c:v>5.8883134429182693E-2</c:v>
                </c:pt>
                <c:pt idx="7">
                  <c:v>-6.7783094098884389E-3</c:v>
                </c:pt>
                <c:pt idx="8">
                  <c:v>-6.1956376287970016E-2</c:v>
                </c:pt>
                <c:pt idx="9">
                  <c:v>7.2467902995720923E-3</c:v>
                </c:pt>
                <c:pt idx="10">
                  <c:v>-5.3251756174937936E-3</c:v>
                </c:pt>
                <c:pt idx="11">
                  <c:v>-2.8761817974713999E-3</c:v>
                </c:pt>
                <c:pt idx="12">
                  <c:v>0.17286877052691718</c:v>
                </c:pt>
                <c:pt idx="13">
                  <c:v>-1.3221973312554813E-2</c:v>
                </c:pt>
                <c:pt idx="14">
                  <c:v>4.0468846391117363E-3</c:v>
                </c:pt>
                <c:pt idx="15">
                  <c:v>2.3618176902848509E-2</c:v>
                </c:pt>
                <c:pt idx="16">
                  <c:v>4.057623049219683E-2</c:v>
                </c:pt>
                <c:pt idx="17">
                  <c:v>3.737886479003194E-3</c:v>
                </c:pt>
                <c:pt idx="18">
                  <c:v>-1.1148912693669133E-2</c:v>
                </c:pt>
                <c:pt idx="19">
                  <c:v>-1.2762396261942976E-2</c:v>
                </c:pt>
                <c:pt idx="20">
                  <c:v>-4.1678440237354897E-3</c:v>
                </c:pt>
                <c:pt idx="21">
                  <c:v>-1.6788441985293723E-3</c:v>
                </c:pt>
                <c:pt idx="22">
                  <c:v>1.8735196589294123E-2</c:v>
                </c:pt>
                <c:pt idx="23">
                  <c:v>6.161214573016105E-3</c:v>
                </c:pt>
                <c:pt idx="24">
                  <c:v>-4.4297069969498115E-2</c:v>
                </c:pt>
                <c:pt idx="25">
                  <c:v>-1.4265335235377985E-2</c:v>
                </c:pt>
                <c:pt idx="26">
                  <c:v>1.954916725943745E-2</c:v>
                </c:pt>
                <c:pt idx="27">
                  <c:v>5.6536592407254727E-3</c:v>
                </c:pt>
                <c:pt idx="28">
                  <c:v>-2.7128537594794278E-2</c:v>
                </c:pt>
                <c:pt idx="29">
                  <c:v>-2.4885041925885809E-2</c:v>
                </c:pt>
                <c:pt idx="30">
                  <c:v>-5.7243727146640833E-3</c:v>
                </c:pt>
                <c:pt idx="31">
                  <c:v>8.1160596530385209E-3</c:v>
                </c:pt>
                <c:pt idx="32">
                  <c:v>9.0570594746903765E-3</c:v>
                </c:pt>
                <c:pt idx="33">
                  <c:v>5.4103919417572532E-2</c:v>
                </c:pt>
                <c:pt idx="34">
                  <c:v>5.3053597615781323E-2</c:v>
                </c:pt>
                <c:pt idx="35">
                  <c:v>2.6369578401203908E-2</c:v>
                </c:pt>
                <c:pt idx="36">
                  <c:v>-3.5233614180982809E-3</c:v>
                </c:pt>
                <c:pt idx="37">
                  <c:v>6.0833662757499907E-2</c:v>
                </c:pt>
                <c:pt idx="38">
                  <c:v>-4.7822126531964493E-3</c:v>
                </c:pt>
                <c:pt idx="39">
                  <c:v>-2.5003640297048269E-2</c:v>
                </c:pt>
                <c:pt idx="40">
                  <c:v>2.1335153933321749E-5</c:v>
                </c:pt>
                <c:pt idx="41">
                  <c:v>1.2480798771121293E-2</c:v>
                </c:pt>
                <c:pt idx="42">
                  <c:v>2.9858608845902745E-2</c:v>
                </c:pt>
                <c:pt idx="43">
                  <c:v>5.7903998035764292E-3</c:v>
                </c:pt>
                <c:pt idx="44">
                  <c:v>7.5065606119169015E-3</c:v>
                </c:pt>
                <c:pt idx="45">
                  <c:v>-1.6153131688406708E-3</c:v>
                </c:pt>
                <c:pt idx="46">
                  <c:v>-5.2602839461230455E-2</c:v>
                </c:pt>
                <c:pt idx="47">
                  <c:v>1.9041519906073168E-2</c:v>
                </c:pt>
                <c:pt idx="48">
                  <c:v>8.1069191612375135E-3</c:v>
                </c:pt>
                <c:pt idx="49">
                  <c:v>3.0442191006566421E-2</c:v>
                </c:pt>
                <c:pt idx="50">
                  <c:v>-5.624231180302075E-2</c:v>
                </c:pt>
                <c:pt idx="51">
                  <c:v>3.7115384615384661E-2</c:v>
                </c:pt>
                <c:pt idx="52">
                  <c:v>-4.2132805900653048E-2</c:v>
                </c:pt>
                <c:pt idx="53">
                  <c:v>-4.3878516734062734E-3</c:v>
                </c:pt>
                <c:pt idx="54">
                  <c:v>-1.6354130660214294E-2</c:v>
                </c:pt>
                <c:pt idx="55">
                  <c:v>5.7982473479607277E-2</c:v>
                </c:pt>
                <c:pt idx="56">
                  <c:v>2.6779597683252998E-3</c:v>
                </c:pt>
                <c:pt idx="57">
                  <c:v>-1.0973084886128359E-2</c:v>
                </c:pt>
                <c:pt idx="58">
                  <c:v>-1.3774335356918521E-2</c:v>
                </c:pt>
                <c:pt idx="59">
                  <c:v>9.6833078621158197E-2</c:v>
                </c:pt>
                <c:pt idx="60">
                  <c:v>-9.8773077369663675E-2</c:v>
                </c:pt>
                <c:pt idx="61">
                  <c:v>-3.1629804595232902E-2</c:v>
                </c:pt>
                <c:pt idx="62">
                  <c:v>3.8051311617180561E-2</c:v>
                </c:pt>
                <c:pt idx="63">
                  <c:v>-1.28810373186935E-2</c:v>
                </c:pt>
                <c:pt idx="64">
                  <c:v>3.5273750270503612E-3</c:v>
                </c:pt>
                <c:pt idx="65">
                  <c:v>-0.14331615379639018</c:v>
                </c:pt>
                <c:pt idx="66">
                  <c:v>2.8922395348251806E-2</c:v>
                </c:pt>
                <c:pt idx="67">
                  <c:v>-4.0365984930031962E-3</c:v>
                </c:pt>
                <c:pt idx="68">
                  <c:v>6.0180295251897054E-3</c:v>
                </c:pt>
                <c:pt idx="69">
                  <c:v>3.0374059966793654E-2</c:v>
                </c:pt>
                <c:pt idx="70">
                  <c:v>4.1753554502369727E-2</c:v>
                </c:pt>
                <c:pt idx="71">
                  <c:v>5.0179700650561765E-2</c:v>
                </c:pt>
                <c:pt idx="72">
                  <c:v>1.6548258534049509E-2</c:v>
                </c:pt>
                <c:pt idx="73">
                  <c:v>-2.1989261058552811E-2</c:v>
                </c:pt>
                <c:pt idx="74">
                  <c:v>5.4989106753812633E-2</c:v>
                </c:pt>
                <c:pt idx="75">
                  <c:v>-9.1896580208160605E-3</c:v>
                </c:pt>
                <c:pt idx="76">
                  <c:v>1.7716084120135811E-2</c:v>
                </c:pt>
                <c:pt idx="77">
                  <c:v>3.3750435192201333E-2</c:v>
                </c:pt>
                <c:pt idx="78">
                  <c:v>-3.1103274758801369E-3</c:v>
                </c:pt>
                <c:pt idx="79">
                  <c:v>-2.0886327503974567E-2</c:v>
                </c:pt>
                <c:pt idx="80">
                  <c:v>-3.6676206133674283E-2</c:v>
                </c:pt>
                <c:pt idx="81">
                  <c:v>2.022670768193513E-2</c:v>
                </c:pt>
                <c:pt idx="82">
                  <c:v>1.0078063690058148E-2</c:v>
                </c:pt>
                <c:pt idx="83">
                  <c:v>9.6912696790021347E-3</c:v>
                </c:pt>
                <c:pt idx="84">
                  <c:v>1.4802365138506302E-2</c:v>
                </c:pt>
                <c:pt idx="85">
                  <c:v>-0.15197046792377522</c:v>
                </c:pt>
                <c:pt idx="86">
                  <c:v>3.2141932751358793E-2</c:v>
                </c:pt>
                <c:pt idx="87">
                  <c:v>-6.041262965918115E-3</c:v>
                </c:pt>
                <c:pt idx="88">
                  <c:v>1.3876146788990962E-2</c:v>
                </c:pt>
                <c:pt idx="89">
                  <c:v>1.9115484673679406E-2</c:v>
                </c:pt>
                <c:pt idx="90">
                  <c:v>1.0987791342952358E-2</c:v>
                </c:pt>
                <c:pt idx="91">
                  <c:v>-3.2012295531891555E-2</c:v>
                </c:pt>
                <c:pt idx="92">
                  <c:v>9.7534420577494174E-4</c:v>
                </c:pt>
                <c:pt idx="93">
                  <c:v>4.15137094946747E-2</c:v>
                </c:pt>
                <c:pt idx="94">
                  <c:v>2.0081806709890904E-2</c:v>
                </c:pt>
                <c:pt idx="95">
                  <c:v>-1.9281220006398647E-2</c:v>
                </c:pt>
                <c:pt idx="96">
                  <c:v>2.1400143537548155E-2</c:v>
                </c:pt>
                <c:pt idx="97">
                  <c:v>-1.6011923773022407E-2</c:v>
                </c:pt>
                <c:pt idx="98">
                  <c:v>-0.20684655832774324</c:v>
                </c:pt>
                <c:pt idx="99">
                  <c:v>7.1615649042396479E-2</c:v>
                </c:pt>
                <c:pt idx="100">
                  <c:v>5.9319229104610738E-3</c:v>
                </c:pt>
                <c:pt idx="101">
                  <c:v>-1.0376594452318311E-2</c:v>
                </c:pt>
                <c:pt idx="102">
                  <c:v>1.3042811109406305E-2</c:v>
                </c:pt>
                <c:pt idx="103">
                  <c:v>-4.0139351711603322E-3</c:v>
                </c:pt>
                <c:pt idx="104">
                  <c:v>-2.8920487668871786E-2</c:v>
                </c:pt>
                <c:pt idx="105">
                  <c:v>6.8385884318229451E-3</c:v>
                </c:pt>
                <c:pt idx="106">
                  <c:v>4.552289106652152E-2</c:v>
                </c:pt>
                <c:pt idx="107">
                  <c:v>1.1133151500124061E-2</c:v>
                </c:pt>
                <c:pt idx="108">
                  <c:v>2.2119228034036986E-2</c:v>
                </c:pt>
                <c:pt idx="109">
                  <c:v>1.0988220052301934E-2</c:v>
                </c:pt>
                <c:pt idx="110">
                  <c:v>9.919551958992967E-3</c:v>
                </c:pt>
                <c:pt idx="111">
                  <c:v>-3.7831614070540587E-2</c:v>
                </c:pt>
                <c:pt idx="112">
                  <c:v>6.7599579944806587E-2</c:v>
                </c:pt>
                <c:pt idx="113">
                  <c:v>-2.3767585496969001E-2</c:v>
                </c:pt>
                <c:pt idx="114">
                  <c:v>1.6051176305183379E-2</c:v>
                </c:pt>
                <c:pt idx="115">
                  <c:v>5.0437028666312944E-2</c:v>
                </c:pt>
                <c:pt idx="116">
                  <c:v>-7.5524721173267917E-3</c:v>
                </c:pt>
                <c:pt idx="117">
                  <c:v>9.2027254225288679E-3</c:v>
                </c:pt>
                <c:pt idx="118">
                  <c:v>1.4686540990793473E-2</c:v>
                </c:pt>
                <c:pt idx="119">
                  <c:v>-2.326636422553463E-2</c:v>
                </c:pt>
                <c:pt idx="120">
                  <c:v>2.5943865702342306E-2</c:v>
                </c:pt>
                <c:pt idx="121">
                  <c:v>-4.8506014745828496E-2</c:v>
                </c:pt>
                <c:pt idx="122">
                  <c:v>6.1287837592894689E-2</c:v>
                </c:pt>
                <c:pt idx="123">
                  <c:v>3.1809739330928011E-3</c:v>
                </c:pt>
                <c:pt idx="124">
                  <c:v>1.706746116194946E-2</c:v>
                </c:pt>
                <c:pt idx="125">
                  <c:v>2.8352025443588946E-2</c:v>
                </c:pt>
                <c:pt idx="126">
                  <c:v>-2.9645756607727947E-2</c:v>
                </c:pt>
                <c:pt idx="127">
                  <c:v>4.1790731809603798E-2</c:v>
                </c:pt>
                <c:pt idx="128">
                  <c:v>-8.0792222691866367E-2</c:v>
                </c:pt>
                <c:pt idx="129">
                  <c:v>2.7699314633558902E-2</c:v>
                </c:pt>
                <c:pt idx="130">
                  <c:v>-3.2684194826777979E-2</c:v>
                </c:pt>
                <c:pt idx="131">
                  <c:v>-4.6101321585903077E-2</c:v>
                </c:pt>
                <c:pt idx="132">
                  <c:v>1.3023298773870318E-2</c:v>
                </c:pt>
                <c:pt idx="133">
                  <c:v>-5.5617606163524957E-3</c:v>
                </c:pt>
                <c:pt idx="134">
                  <c:v>1.1300341531620406E-2</c:v>
                </c:pt>
                <c:pt idx="135">
                  <c:v>-2.4728014505892904E-2</c:v>
                </c:pt>
                <c:pt idx="136">
                  <c:v>-1.4803969415975282E-2</c:v>
                </c:pt>
                <c:pt idx="137">
                  <c:v>1.3917720324589489E-2</c:v>
                </c:pt>
                <c:pt idx="138">
                  <c:v>1.6588339304825173E-2</c:v>
                </c:pt>
                <c:pt idx="139">
                  <c:v>-5.5612770339855677E-3</c:v>
                </c:pt>
                <c:pt idx="140">
                  <c:v>2.9964098315382603E-2</c:v>
                </c:pt>
                <c:pt idx="141">
                  <c:v>-1.5864503731510826E-3</c:v>
                </c:pt>
                <c:pt idx="142">
                  <c:v>-4.2521764429424014E-3</c:v>
                </c:pt>
                <c:pt idx="143">
                  <c:v>1.5058548535724636E-2</c:v>
                </c:pt>
                <c:pt idx="144">
                  <c:v>8.7925957088767381E-2</c:v>
                </c:pt>
                <c:pt idx="145">
                  <c:v>7.4693694793829035E-2</c:v>
                </c:pt>
                <c:pt idx="146">
                  <c:v>-8.0770396182107351E-2</c:v>
                </c:pt>
                <c:pt idx="147">
                  <c:v>5.3565174395853177E-4</c:v>
                </c:pt>
                <c:pt idx="148">
                  <c:v>-1.7069906311129368E-2</c:v>
                </c:pt>
                <c:pt idx="149">
                  <c:v>-5.4466230936822679E-4</c:v>
                </c:pt>
                <c:pt idx="150">
                  <c:v>3.9761056382309645E-2</c:v>
                </c:pt>
                <c:pt idx="151">
                  <c:v>1.9513375128510146E-2</c:v>
                </c:pt>
                <c:pt idx="152">
                  <c:v>8.3638161146811552E-2</c:v>
                </c:pt>
                <c:pt idx="153">
                  <c:v>-1.1604780585712793E-2</c:v>
                </c:pt>
                <c:pt idx="154">
                  <c:v>8.1781092506783004E-3</c:v>
                </c:pt>
                <c:pt idx="155">
                  <c:v>-5.6178129348861017E-2</c:v>
                </c:pt>
                <c:pt idx="156">
                  <c:v>-1.3774639143256384E-2</c:v>
                </c:pt>
                <c:pt idx="157">
                  <c:v>3.5114293583035083E-2</c:v>
                </c:pt>
                <c:pt idx="158">
                  <c:v>-4.0783747315608521E-2</c:v>
                </c:pt>
                <c:pt idx="159">
                  <c:v>0</c:v>
                </c:pt>
              </c:numCache>
            </c:numRef>
          </c:val>
          <c:extLst>
            <c:ext xmlns:c16="http://schemas.microsoft.com/office/drawing/2014/chart" uri="{C3380CC4-5D6E-409C-BE32-E72D297353CC}">
              <c16:uniqueId val="{00000000-7C89-4007-BBCA-27E2C82A426C}"/>
            </c:ext>
          </c:extLst>
        </c:ser>
        <c:dLbls>
          <c:showLegendKey val="0"/>
          <c:showVal val="0"/>
          <c:showCatName val="0"/>
          <c:showSerName val="0"/>
          <c:showPercent val="0"/>
          <c:showBubbleSize val="0"/>
        </c:dLbls>
        <c:gapWidth val="150"/>
        <c:axId val="1239501"/>
        <c:axId val="79572025"/>
      </c:barChart>
      <c:lineChart>
        <c:grouping val="standard"/>
        <c:varyColors val="0"/>
        <c:ser>
          <c:idx val="1"/>
          <c:order val="1"/>
          <c:tx>
            <c:strRef>
              <c:f>'Returns (Calc)'!$AI$2</c:f>
              <c:strCache>
                <c:ptCount val="1"/>
                <c:pt idx="0">
                  <c:v>VRTX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(Calc)'!$AI$3:$AI$500</c:f>
              <c:numCache>
                <c:formatCode>#,##0.00</c:formatCode>
                <c:ptCount val="498"/>
                <c:pt idx="0">
                  <c:v>348.9</c:v>
                </c:pt>
                <c:pt idx="1">
                  <c:v>349.88626582278476</c:v>
                </c:pt>
                <c:pt idx="2">
                  <c:v>350.87253164556961</c:v>
                </c:pt>
                <c:pt idx="3">
                  <c:v>351.8587974683544</c:v>
                </c:pt>
                <c:pt idx="4">
                  <c:v>352.84506329113924</c:v>
                </c:pt>
                <c:pt idx="5">
                  <c:v>353.83132911392403</c:v>
                </c:pt>
                <c:pt idx="6">
                  <c:v>354.81759493670882</c:v>
                </c:pt>
                <c:pt idx="7">
                  <c:v>355.80386075949366</c:v>
                </c:pt>
                <c:pt idx="8">
                  <c:v>356.79012658227845</c:v>
                </c:pt>
                <c:pt idx="9">
                  <c:v>357.77639240506329</c:v>
                </c:pt>
                <c:pt idx="10">
                  <c:v>358.76265822784808</c:v>
                </c:pt>
                <c:pt idx="11">
                  <c:v>359.74892405063287</c:v>
                </c:pt>
                <c:pt idx="12">
                  <c:v>360.73518987341771</c:v>
                </c:pt>
                <c:pt idx="13">
                  <c:v>361.7214556962025</c:v>
                </c:pt>
                <c:pt idx="14">
                  <c:v>362.70772151898734</c:v>
                </c:pt>
                <c:pt idx="15">
                  <c:v>363.69398734177213</c:v>
                </c:pt>
                <c:pt idx="16">
                  <c:v>364.68025316455692</c:v>
                </c:pt>
                <c:pt idx="17">
                  <c:v>365.66651898734176</c:v>
                </c:pt>
                <c:pt idx="18">
                  <c:v>366.65278481012655</c:v>
                </c:pt>
                <c:pt idx="19">
                  <c:v>367.63905063291139</c:v>
                </c:pt>
                <c:pt idx="20">
                  <c:v>368.62531645569618</c:v>
                </c:pt>
                <c:pt idx="21">
                  <c:v>369.61158227848102</c:v>
                </c:pt>
                <c:pt idx="22">
                  <c:v>370.59784810126581</c:v>
                </c:pt>
                <c:pt idx="23">
                  <c:v>371.5841139240506</c:v>
                </c:pt>
                <c:pt idx="24">
                  <c:v>372.57037974683544</c:v>
                </c:pt>
                <c:pt idx="25">
                  <c:v>373.55664556962023</c:v>
                </c:pt>
                <c:pt idx="26">
                  <c:v>374.54291139240502</c:v>
                </c:pt>
                <c:pt idx="27">
                  <c:v>375.52917721518986</c:v>
                </c:pt>
                <c:pt idx="28">
                  <c:v>376.51544303797465</c:v>
                </c:pt>
                <c:pt idx="29">
                  <c:v>377.50170886075949</c:v>
                </c:pt>
                <c:pt idx="30">
                  <c:v>378.48797468354428</c:v>
                </c:pt>
                <c:pt idx="31">
                  <c:v>379.47424050632912</c:v>
                </c:pt>
                <c:pt idx="32">
                  <c:v>380.46050632911391</c:v>
                </c:pt>
                <c:pt idx="33">
                  <c:v>381.4467721518987</c:v>
                </c:pt>
                <c:pt idx="34">
                  <c:v>382.43303797468354</c:v>
                </c:pt>
                <c:pt idx="35">
                  <c:v>383.41930379746833</c:v>
                </c:pt>
                <c:pt idx="36">
                  <c:v>384.40556962025312</c:v>
                </c:pt>
                <c:pt idx="37">
                  <c:v>385.39183544303796</c:v>
                </c:pt>
                <c:pt idx="38">
                  <c:v>386.37810126582275</c:v>
                </c:pt>
                <c:pt idx="39">
                  <c:v>387.36436708860759</c:v>
                </c:pt>
                <c:pt idx="40">
                  <c:v>388.35063291139238</c:v>
                </c:pt>
                <c:pt idx="41">
                  <c:v>389.33689873417723</c:v>
                </c:pt>
                <c:pt idx="42">
                  <c:v>390.32316455696201</c:v>
                </c:pt>
                <c:pt idx="43">
                  <c:v>391.3094303797468</c:v>
                </c:pt>
                <c:pt idx="44">
                  <c:v>392.29569620253164</c:v>
                </c:pt>
                <c:pt idx="45">
                  <c:v>393.28196202531643</c:v>
                </c:pt>
                <c:pt idx="46">
                  <c:v>394.26822784810128</c:v>
                </c:pt>
                <c:pt idx="47">
                  <c:v>395.25449367088606</c:v>
                </c:pt>
                <c:pt idx="48">
                  <c:v>396.24075949367091</c:v>
                </c:pt>
                <c:pt idx="49">
                  <c:v>397.22702531645569</c:v>
                </c:pt>
                <c:pt idx="50">
                  <c:v>398.21329113924048</c:v>
                </c:pt>
                <c:pt idx="51">
                  <c:v>399.19955696202533</c:v>
                </c:pt>
                <c:pt idx="52">
                  <c:v>400.18582278481011</c:v>
                </c:pt>
                <c:pt idx="53">
                  <c:v>401.1720886075949</c:v>
                </c:pt>
                <c:pt idx="54">
                  <c:v>402.15835443037975</c:v>
                </c:pt>
                <c:pt idx="55">
                  <c:v>403.14462025316453</c:v>
                </c:pt>
                <c:pt idx="56">
                  <c:v>404.13088607594938</c:v>
                </c:pt>
                <c:pt idx="57">
                  <c:v>405.11715189873416</c:v>
                </c:pt>
                <c:pt idx="58">
                  <c:v>406.10341772151901</c:v>
                </c:pt>
                <c:pt idx="59">
                  <c:v>407.0896835443038</c:v>
                </c:pt>
                <c:pt idx="60">
                  <c:v>408.07594936708858</c:v>
                </c:pt>
                <c:pt idx="61">
                  <c:v>409.06221518987343</c:v>
                </c:pt>
                <c:pt idx="62">
                  <c:v>410.04848101265821</c:v>
                </c:pt>
                <c:pt idx="63">
                  <c:v>411.034746835443</c:v>
                </c:pt>
                <c:pt idx="64">
                  <c:v>412.02101265822785</c:v>
                </c:pt>
                <c:pt idx="65">
                  <c:v>413.00727848101263</c:v>
                </c:pt>
                <c:pt idx="66">
                  <c:v>413.99354430379748</c:v>
                </c:pt>
                <c:pt idx="67">
                  <c:v>414.97981012658227</c:v>
                </c:pt>
                <c:pt idx="68">
                  <c:v>415.96607594936711</c:v>
                </c:pt>
                <c:pt idx="69">
                  <c:v>416.9523417721519</c:v>
                </c:pt>
                <c:pt idx="70">
                  <c:v>417.93860759493668</c:v>
                </c:pt>
                <c:pt idx="71">
                  <c:v>418.92487341772153</c:v>
                </c:pt>
                <c:pt idx="72">
                  <c:v>419.91113924050632</c:v>
                </c:pt>
                <c:pt idx="73">
                  <c:v>420.89740506329116</c:v>
                </c:pt>
                <c:pt idx="74">
                  <c:v>421.88367088607595</c:v>
                </c:pt>
                <c:pt idx="75">
                  <c:v>422.86993670886079</c:v>
                </c:pt>
                <c:pt idx="76">
                  <c:v>423.85620253164558</c:v>
                </c:pt>
                <c:pt idx="77">
                  <c:v>424.84246835443037</c:v>
                </c:pt>
                <c:pt idx="78">
                  <c:v>425.82873417721521</c:v>
                </c:pt>
                <c:pt idx="79">
                  <c:v>426.815</c:v>
                </c:pt>
                <c:pt idx="80">
                  <c:v>427.80126582278479</c:v>
                </c:pt>
                <c:pt idx="81">
                  <c:v>428.78753164556963</c:v>
                </c:pt>
                <c:pt idx="82">
                  <c:v>429.77379746835442</c:v>
                </c:pt>
                <c:pt idx="83">
                  <c:v>430.7600632911392</c:v>
                </c:pt>
                <c:pt idx="84">
                  <c:v>431.74632911392405</c:v>
                </c:pt>
                <c:pt idx="85">
                  <c:v>432.73259493670884</c:v>
                </c:pt>
                <c:pt idx="86">
                  <c:v>433.71886075949368</c:v>
                </c:pt>
                <c:pt idx="87">
                  <c:v>434.70512658227847</c:v>
                </c:pt>
                <c:pt idx="88">
                  <c:v>435.69139240506331</c:v>
                </c:pt>
                <c:pt idx="89">
                  <c:v>436.6776582278481</c:v>
                </c:pt>
                <c:pt idx="90">
                  <c:v>437.66392405063289</c:v>
                </c:pt>
                <c:pt idx="91">
                  <c:v>438.65018987341773</c:v>
                </c:pt>
                <c:pt idx="92">
                  <c:v>439.63645569620252</c:v>
                </c:pt>
                <c:pt idx="93">
                  <c:v>440.62272151898736</c:v>
                </c:pt>
                <c:pt idx="94">
                  <c:v>441.60898734177215</c:v>
                </c:pt>
                <c:pt idx="95">
                  <c:v>442.59525316455699</c:v>
                </c:pt>
                <c:pt idx="96">
                  <c:v>443.58151898734178</c:v>
                </c:pt>
                <c:pt idx="97">
                  <c:v>444.56778481012657</c:v>
                </c:pt>
                <c:pt idx="98">
                  <c:v>445.55405063291141</c:v>
                </c:pt>
                <c:pt idx="99">
                  <c:v>446.5403164556962</c:v>
                </c:pt>
                <c:pt idx="100">
                  <c:v>447.52658227848099</c:v>
                </c:pt>
                <c:pt idx="101">
                  <c:v>448.51284810126583</c:v>
                </c:pt>
                <c:pt idx="102">
                  <c:v>449.49911392405062</c:v>
                </c:pt>
                <c:pt idx="103">
                  <c:v>450.48537974683546</c:v>
                </c:pt>
                <c:pt idx="104">
                  <c:v>451.47164556962025</c:v>
                </c:pt>
                <c:pt idx="105">
                  <c:v>452.45791139240509</c:v>
                </c:pt>
                <c:pt idx="106">
                  <c:v>453.44417721518988</c:v>
                </c:pt>
                <c:pt idx="107">
                  <c:v>454.43044303797467</c:v>
                </c:pt>
                <c:pt idx="108">
                  <c:v>455.41670886075951</c:v>
                </c:pt>
                <c:pt idx="109">
                  <c:v>456.4029746835443</c:v>
                </c:pt>
                <c:pt idx="110">
                  <c:v>457.38924050632909</c:v>
                </c:pt>
                <c:pt idx="111">
                  <c:v>458.37550632911393</c:v>
                </c:pt>
                <c:pt idx="112">
                  <c:v>459.36177215189878</c:v>
                </c:pt>
                <c:pt idx="113">
                  <c:v>460.34803797468356</c:v>
                </c:pt>
                <c:pt idx="114">
                  <c:v>461.33430379746835</c:v>
                </c:pt>
                <c:pt idx="115">
                  <c:v>462.3205696202532</c:v>
                </c:pt>
                <c:pt idx="116">
                  <c:v>463.30683544303798</c:v>
                </c:pt>
                <c:pt idx="117">
                  <c:v>464.29310126582277</c:v>
                </c:pt>
                <c:pt idx="118">
                  <c:v>465.27936708860761</c:v>
                </c:pt>
                <c:pt idx="119">
                  <c:v>466.2656329113924</c:v>
                </c:pt>
                <c:pt idx="120">
                  <c:v>467.25189873417725</c:v>
                </c:pt>
                <c:pt idx="121">
                  <c:v>468.23816455696203</c:v>
                </c:pt>
                <c:pt idx="122">
                  <c:v>469.22443037974688</c:v>
                </c:pt>
                <c:pt idx="123">
                  <c:v>470.21069620253166</c:v>
                </c:pt>
                <c:pt idx="124">
                  <c:v>471.19696202531645</c:v>
                </c:pt>
                <c:pt idx="125">
                  <c:v>472.1832278481013</c:v>
                </c:pt>
                <c:pt idx="126">
                  <c:v>473.16949367088608</c:v>
                </c:pt>
                <c:pt idx="127">
                  <c:v>474.15575949367087</c:v>
                </c:pt>
                <c:pt idx="128">
                  <c:v>475.14202531645572</c:v>
                </c:pt>
                <c:pt idx="129">
                  <c:v>476.12829113924056</c:v>
                </c:pt>
                <c:pt idx="130">
                  <c:v>477.11455696202529</c:v>
                </c:pt>
                <c:pt idx="131">
                  <c:v>478.10082278481013</c:v>
                </c:pt>
                <c:pt idx="132">
                  <c:v>479.08708860759498</c:v>
                </c:pt>
                <c:pt idx="133">
                  <c:v>480.07335443037977</c:v>
                </c:pt>
                <c:pt idx="134">
                  <c:v>481.05962025316455</c:v>
                </c:pt>
                <c:pt idx="135">
                  <c:v>482.0458860759494</c:v>
                </c:pt>
                <c:pt idx="136">
                  <c:v>483.03215189873418</c:v>
                </c:pt>
                <c:pt idx="137">
                  <c:v>484.01841772151897</c:v>
                </c:pt>
                <c:pt idx="138">
                  <c:v>485.00468354430382</c:v>
                </c:pt>
                <c:pt idx="139">
                  <c:v>485.99094936708866</c:v>
                </c:pt>
                <c:pt idx="140">
                  <c:v>486.97721518987339</c:v>
                </c:pt>
                <c:pt idx="141">
                  <c:v>487.96348101265824</c:v>
                </c:pt>
                <c:pt idx="142">
                  <c:v>488.94974683544308</c:v>
                </c:pt>
                <c:pt idx="143">
                  <c:v>489.93601265822787</c:v>
                </c:pt>
                <c:pt idx="144">
                  <c:v>490.92227848101265</c:v>
                </c:pt>
                <c:pt idx="145">
                  <c:v>491.9085443037975</c:v>
                </c:pt>
                <c:pt idx="146">
                  <c:v>492.89481012658234</c:v>
                </c:pt>
                <c:pt idx="147">
                  <c:v>493.88107594936707</c:v>
                </c:pt>
                <c:pt idx="148">
                  <c:v>494.86734177215192</c:v>
                </c:pt>
                <c:pt idx="149">
                  <c:v>495.85360759493676</c:v>
                </c:pt>
                <c:pt idx="150">
                  <c:v>496.83987341772155</c:v>
                </c:pt>
                <c:pt idx="151">
                  <c:v>497.82613924050634</c:v>
                </c:pt>
                <c:pt idx="152">
                  <c:v>498.81240506329118</c:v>
                </c:pt>
                <c:pt idx="153">
                  <c:v>499.79867088607597</c:v>
                </c:pt>
                <c:pt idx="154">
                  <c:v>500.78493670886076</c:v>
                </c:pt>
                <c:pt idx="155">
                  <c:v>501.7712025316456</c:v>
                </c:pt>
                <c:pt idx="156">
                  <c:v>502.75746835443039</c:v>
                </c:pt>
                <c:pt idx="157">
                  <c:v>503.74373417721517</c:v>
                </c:pt>
                <c:pt idx="158">
                  <c:v>504.73</c:v>
                </c:pt>
                <c:pt idx="159">
                  <c:v>505.71626582278481</c:v>
                </c:pt>
              </c:numCache>
            </c:numRef>
          </c:val>
          <c:smooth val="0"/>
          <c:extLst>
            <c:ext xmlns:c16="http://schemas.microsoft.com/office/drawing/2014/chart" uri="{C3380CC4-5D6E-409C-BE32-E72D297353CC}">
              <c16:uniqueId val="{00000001-7C89-4007-BBCA-27E2C82A426C}"/>
            </c:ext>
          </c:extLst>
        </c:ser>
        <c:dLbls>
          <c:showLegendKey val="0"/>
          <c:showVal val="0"/>
          <c:showCatName val="0"/>
          <c:showSerName val="0"/>
          <c:showPercent val="0"/>
          <c:showBubbleSize val="0"/>
        </c:dLbls>
        <c:hiLowLines>
          <c:spPr>
            <a:ln w="0">
              <a:noFill/>
            </a:ln>
          </c:spPr>
        </c:hiLowLines>
        <c:marker val="1"/>
        <c:smooth val="0"/>
        <c:axId val="88386963"/>
        <c:axId val="22015214"/>
      </c:lineChart>
      <c:dateAx>
        <c:axId val="1239501"/>
        <c:scaling>
          <c:orientation val="minMax"/>
        </c:scaling>
        <c:delete val="1"/>
        <c:axPos val="b"/>
        <c:numFmt formatCode="mm/dd/yyyy" sourceLinked="1"/>
        <c:majorTickMark val="none"/>
        <c:minorTickMark val="none"/>
        <c:tickLblPos val="nextTo"/>
        <c:crossAx val="79572025"/>
        <c:crosses val="autoZero"/>
        <c:auto val="1"/>
        <c:lblOffset val="100"/>
        <c:baseTimeUnit val="days"/>
      </c:dateAx>
      <c:valAx>
        <c:axId val="7957202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239501"/>
        <c:crosses val="autoZero"/>
        <c:crossBetween val="between"/>
      </c:valAx>
      <c:dateAx>
        <c:axId val="88386963"/>
        <c:scaling>
          <c:orientation val="minMax"/>
        </c:scaling>
        <c:delete val="1"/>
        <c:axPos val="b"/>
        <c:numFmt formatCode="mm/dd/yyyy" sourceLinked="1"/>
        <c:majorTickMark val="none"/>
        <c:minorTickMark val="none"/>
        <c:tickLblPos val="nextTo"/>
        <c:crossAx val="22015214"/>
        <c:crosses val="autoZero"/>
        <c:auto val="1"/>
        <c:lblOffset val="100"/>
        <c:baseTimeUnit val="days"/>
      </c:dateAx>
      <c:valAx>
        <c:axId val="22015214"/>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8386963"/>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AVUV</a:t>
            </a:r>
          </a:p>
        </c:rich>
      </c:tx>
      <c:overlay val="0"/>
      <c:spPr>
        <a:noFill/>
        <a:ln w="0">
          <a:noFill/>
        </a:ln>
      </c:spPr>
    </c:title>
    <c:autoTitleDeleted val="0"/>
    <c:plotArea>
      <c:layout/>
      <c:barChart>
        <c:barDir val="col"/>
        <c:grouping val="clustered"/>
        <c:varyColors val="0"/>
        <c:ser>
          <c:idx val="0"/>
          <c:order val="0"/>
          <c:tx>
            <c:strRef>
              <c:f>'Returns (Calc)'!$O$2</c:f>
              <c:strCache>
                <c:ptCount val="1"/>
                <c:pt idx="0">
                  <c:v>AVUV</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(Calc)'!$O$3:$O$500</c:f>
              <c:numCache>
                <c:formatCode>0.0%</c:formatCode>
                <c:ptCount val="498"/>
                <c:pt idx="0">
                  <c:v>-2.9212587969725146E-2</c:v>
                </c:pt>
                <c:pt idx="1">
                  <c:v>1.6413623307345082E-2</c:v>
                </c:pt>
                <c:pt idx="2">
                  <c:v>-3.0143991387431179E-2</c:v>
                </c:pt>
                <c:pt idx="3">
                  <c:v>2.6363257943666785E-3</c:v>
                </c:pt>
                <c:pt idx="4">
                  <c:v>-1.6745087185164764E-2</c:v>
                </c:pt>
                <c:pt idx="5">
                  <c:v>-1.5482054890921804E-2</c:v>
                </c:pt>
                <c:pt idx="6">
                  <c:v>7.1622587562544471E-2</c:v>
                </c:pt>
                <c:pt idx="7">
                  <c:v>-3.415154749199556E-2</c:v>
                </c:pt>
                <c:pt idx="8">
                  <c:v>5.5524861878452958E-2</c:v>
                </c:pt>
                <c:pt idx="9">
                  <c:v>1.3085579691196614E-4</c:v>
                </c:pt>
                <c:pt idx="10">
                  <c:v>3.3494701033625285E-2</c:v>
                </c:pt>
                <c:pt idx="11">
                  <c:v>8.3554880364604678E-3</c:v>
                </c:pt>
                <c:pt idx="12">
                  <c:v>5.4865034526051293E-2</c:v>
                </c:pt>
                <c:pt idx="13">
                  <c:v>2.7731492501785304E-2</c:v>
                </c:pt>
                <c:pt idx="14">
                  <c:v>-3.7058482918355118E-3</c:v>
                </c:pt>
                <c:pt idx="15">
                  <c:v>-2.592119028245965E-2</c:v>
                </c:pt>
                <c:pt idx="16">
                  <c:v>-1.1336515513126533E-2</c:v>
                </c:pt>
                <c:pt idx="17">
                  <c:v>3.0175015087507973E-3</c:v>
                </c:pt>
                <c:pt idx="18">
                  <c:v>2.3586040914560957E-2</c:v>
                </c:pt>
                <c:pt idx="19">
                  <c:v>-1.869268751469555E-2</c:v>
                </c:pt>
                <c:pt idx="20">
                  <c:v>8.9852641667664823E-3</c:v>
                </c:pt>
                <c:pt idx="21">
                  <c:v>7.1241985276655484E-3</c:v>
                </c:pt>
                <c:pt idx="22">
                  <c:v>-3.3011082291910521E-3</c:v>
                </c:pt>
                <c:pt idx="23">
                  <c:v>1.5732197776200607E-2</c:v>
                </c:pt>
                <c:pt idx="24">
                  <c:v>1.1645510655642344E-3</c:v>
                </c:pt>
                <c:pt idx="25">
                  <c:v>-8.4913341863440683E-3</c:v>
                </c:pt>
                <c:pt idx="26">
                  <c:v>2.7334584702017883E-2</c:v>
                </c:pt>
                <c:pt idx="27">
                  <c:v>2.8662784058467672E-2</c:v>
                </c:pt>
                <c:pt idx="28">
                  <c:v>-2.1536412078152711E-2</c:v>
                </c:pt>
                <c:pt idx="29">
                  <c:v>-3.0859995461765322E-2</c:v>
                </c:pt>
                <c:pt idx="30">
                  <c:v>-9.0142823694684404E-3</c:v>
                </c:pt>
                <c:pt idx="31">
                  <c:v>2.4808033077377445E-2</c:v>
                </c:pt>
                <c:pt idx="32">
                  <c:v>6.8011527377522807E-3</c:v>
                </c:pt>
                <c:pt idx="33">
                  <c:v>1.7288756583466736E-2</c:v>
                </c:pt>
                <c:pt idx="34">
                  <c:v>1.1029825548677596E-2</c:v>
                </c:pt>
                <c:pt idx="35">
                  <c:v>-1.4805744183457592E-2</c:v>
                </c:pt>
                <c:pt idx="36">
                  <c:v>1.0734463276836248E-2</c:v>
                </c:pt>
                <c:pt idx="37">
                  <c:v>-3.409726103968691E-2</c:v>
                </c:pt>
                <c:pt idx="38">
                  <c:v>-2.3842592592592582E-2</c:v>
                </c:pt>
                <c:pt idx="39">
                  <c:v>1.0789660896371789E-2</c:v>
                </c:pt>
                <c:pt idx="40">
                  <c:v>1.6656891495601123E-2</c:v>
                </c:pt>
                <c:pt idx="41">
                  <c:v>-1.6499365409022859E-2</c:v>
                </c:pt>
                <c:pt idx="42">
                  <c:v>5.5725011731581509E-2</c:v>
                </c:pt>
                <c:pt idx="43">
                  <c:v>2.6447383042560446E-2</c:v>
                </c:pt>
                <c:pt idx="44">
                  <c:v>3.6267186315903421E-2</c:v>
                </c:pt>
                <c:pt idx="45">
                  <c:v>-7.1458420392812361E-2</c:v>
                </c:pt>
                <c:pt idx="46">
                  <c:v>-1.7664266426642539E-2</c:v>
                </c:pt>
                <c:pt idx="47">
                  <c:v>2.8633604398121681E-2</c:v>
                </c:pt>
                <c:pt idx="48">
                  <c:v>3.1065582897227495E-2</c:v>
                </c:pt>
                <c:pt idx="49">
                  <c:v>5.399568034558655E-4</c:v>
                </c:pt>
                <c:pt idx="50">
                  <c:v>-5.6664867781975214E-2</c:v>
                </c:pt>
                <c:pt idx="51">
                  <c:v>2.8832951945080065E-2</c:v>
                </c:pt>
                <c:pt idx="52">
                  <c:v>3.0249110320284656E-2</c:v>
                </c:pt>
                <c:pt idx="53">
                  <c:v>4.3177892918833116E-4</c:v>
                </c:pt>
                <c:pt idx="54">
                  <c:v>2.8053517479498247E-3</c:v>
                </c:pt>
                <c:pt idx="55">
                  <c:v>1.1943189154293155E-2</c:v>
                </c:pt>
                <c:pt idx="56">
                  <c:v>1.254651780967575E-2</c:v>
                </c:pt>
                <c:pt idx="57">
                  <c:v>-3.328782946550457E-2</c:v>
                </c:pt>
                <c:pt idx="58">
                  <c:v>-2.3897458179448217E-3</c:v>
                </c:pt>
                <c:pt idx="59">
                  <c:v>8.8632404181184565E-2</c:v>
                </c:pt>
                <c:pt idx="60">
                  <c:v>-1.940388077615518E-2</c:v>
                </c:pt>
                <c:pt idx="61">
                  <c:v>3.6515707874337E-2</c:v>
                </c:pt>
                <c:pt idx="62">
                  <c:v>6.7900019681164103E-3</c:v>
                </c:pt>
                <c:pt idx="63">
                  <c:v>-2.0819079268888596E-2</c:v>
                </c:pt>
                <c:pt idx="64">
                  <c:v>-1.2377720103813217E-2</c:v>
                </c:pt>
                <c:pt idx="65">
                  <c:v>-5.387103294926221E-2</c:v>
                </c:pt>
                <c:pt idx="66">
                  <c:v>3.9525691699604515E-3</c:v>
                </c:pt>
                <c:pt idx="67">
                  <c:v>7.8740157480314821E-3</c:v>
                </c:pt>
                <c:pt idx="68">
                  <c:v>-2.6288006756756688E-2</c:v>
                </c:pt>
                <c:pt idx="69">
                  <c:v>4.889949040442354E-2</c:v>
                </c:pt>
                <c:pt idx="70">
                  <c:v>5.0651230101304012E-3</c:v>
                </c:pt>
                <c:pt idx="71">
                  <c:v>-1.5118790496760237E-2</c:v>
                </c:pt>
                <c:pt idx="72">
                  <c:v>-1.1591478696741819E-2</c:v>
                </c:pt>
                <c:pt idx="73">
                  <c:v>3.0639197041730792E-3</c:v>
                </c:pt>
                <c:pt idx="74">
                  <c:v>-3.6549399620813161E-2</c:v>
                </c:pt>
                <c:pt idx="75">
                  <c:v>-1.1260522575707865E-2</c:v>
                </c:pt>
                <c:pt idx="76">
                  <c:v>-4.4891640866873139E-2</c:v>
                </c:pt>
                <c:pt idx="77">
                  <c:v>-1.8754341282704257E-2</c:v>
                </c:pt>
                <c:pt idx="78">
                  <c:v>9.6743747050493933E-3</c:v>
                </c:pt>
                <c:pt idx="79">
                  <c:v>-4.6739892498246505E-3</c:v>
                </c:pt>
                <c:pt idx="80">
                  <c:v>-0.10471941770368631</c:v>
                </c:pt>
                <c:pt idx="81">
                  <c:v>1.2588512981903888E-2</c:v>
                </c:pt>
                <c:pt idx="82">
                  <c:v>1.8648018648018683E-2</c:v>
                </c:pt>
                <c:pt idx="83">
                  <c:v>2.8095601322146058E-2</c:v>
                </c:pt>
                <c:pt idx="84">
                  <c:v>3.3881538271299583E-2</c:v>
                </c:pt>
                <c:pt idx="85">
                  <c:v>1.1601483076187025E-2</c:v>
                </c:pt>
                <c:pt idx="86">
                  <c:v>4.8947741782927379E-2</c:v>
                </c:pt>
                <c:pt idx="87">
                  <c:v>-4.0013525698827768E-2</c:v>
                </c:pt>
                <c:pt idx="88">
                  <c:v>1.1741223435481896E-2</c:v>
                </c:pt>
                <c:pt idx="89">
                  <c:v>1.8451897412092411E-2</c:v>
                </c:pt>
                <c:pt idx="90">
                  <c:v>-6.0391978122151802E-3</c:v>
                </c:pt>
                <c:pt idx="91">
                  <c:v>1.7195918835262169E-3</c:v>
                </c:pt>
                <c:pt idx="92">
                  <c:v>2.5520714122224897E-2</c:v>
                </c:pt>
                <c:pt idx="93">
                  <c:v>4.1624818658631879E-2</c:v>
                </c:pt>
                <c:pt idx="94">
                  <c:v>-1.2856224555389817E-3</c:v>
                </c:pt>
                <c:pt idx="95">
                  <c:v>-1.1800042909246855E-2</c:v>
                </c:pt>
                <c:pt idx="96">
                  <c:v>1.4763352149370412E-2</c:v>
                </c:pt>
                <c:pt idx="97">
                  <c:v>-5.0278134360291049E-2</c:v>
                </c:pt>
                <c:pt idx="98">
                  <c:v>2.3316062176165664E-2</c:v>
                </c:pt>
                <c:pt idx="99">
                  <c:v>2.9829389102916881E-2</c:v>
                </c:pt>
                <c:pt idx="100">
                  <c:v>3.9760581445061893E-2</c:v>
                </c:pt>
                <c:pt idx="101">
                  <c:v>8.4292763157893802E-3</c:v>
                </c:pt>
                <c:pt idx="102">
                  <c:v>1.0907237512742141E-2</c:v>
                </c:pt>
                <c:pt idx="103">
                  <c:v>-7.9661187859232374E-3</c:v>
                </c:pt>
                <c:pt idx="104">
                  <c:v>5.6922138646067211E-3</c:v>
                </c:pt>
                <c:pt idx="105">
                  <c:v>3.0321406913280669E-3</c:v>
                </c:pt>
                <c:pt idx="106">
                  <c:v>1.108424022571608E-3</c:v>
                </c:pt>
                <c:pt idx="107">
                  <c:v>-5.4353296426774E-2</c:v>
                </c:pt>
                <c:pt idx="108">
                  <c:v>1.9584885577434763E-2</c:v>
                </c:pt>
                <c:pt idx="109">
                  <c:v>2.9439398684622642E-2</c:v>
                </c:pt>
                <c:pt idx="110">
                  <c:v>-2.1194605009633993E-2</c:v>
                </c:pt>
                <c:pt idx="111">
                  <c:v>-6.2163282221305849E-4</c:v>
                </c:pt>
                <c:pt idx="112">
                  <c:v>-1.4513788098693414E-3</c:v>
                </c:pt>
                <c:pt idx="113">
                  <c:v>-7.7865448504983448E-3</c:v>
                </c:pt>
                <c:pt idx="114">
                  <c:v>4.436538662760281E-2</c:v>
                </c:pt>
                <c:pt idx="115">
                  <c:v>1.7533313295261088E-2</c:v>
                </c:pt>
                <c:pt idx="116">
                  <c:v>2.146514375738473E-2</c:v>
                </c:pt>
                <c:pt idx="117">
                  <c:v>-9.0611143242721459E-3</c:v>
                </c:pt>
                <c:pt idx="118">
                  <c:v>-8.7548638132295409E-4</c:v>
                </c:pt>
                <c:pt idx="119">
                  <c:v>-5.5496056859116738E-3</c:v>
                </c:pt>
                <c:pt idx="120">
                  <c:v>4.082631682005089E-2</c:v>
                </c:pt>
                <c:pt idx="121">
                  <c:v>1.1005549807167725E-2</c:v>
                </c:pt>
                <c:pt idx="122">
                  <c:v>-1.8608113137341675E-4</c:v>
                </c:pt>
                <c:pt idx="123">
                  <c:v>7.2585147962032082E-3</c:v>
                </c:pt>
                <c:pt idx="124">
                  <c:v>5.413895048041395E-2</c:v>
                </c:pt>
                <c:pt idx="125">
                  <c:v>-2.5416301489920023E-3</c:v>
                </c:pt>
                <c:pt idx="126">
                  <c:v>5.6234074334418072E-3</c:v>
                </c:pt>
                <c:pt idx="127">
                  <c:v>-2.2193097422455232E-2</c:v>
                </c:pt>
                <c:pt idx="128">
                  <c:v>-3.8334375837726697E-2</c:v>
                </c:pt>
                <c:pt idx="129">
                  <c:v>-1.9141423527225476E-2</c:v>
                </c:pt>
                <c:pt idx="130">
                  <c:v>-1.9893899204245225E-3</c:v>
                </c:pt>
                <c:pt idx="131">
                  <c:v>2.9615567157095457E-2</c:v>
                </c:pt>
                <c:pt idx="132">
                  <c:v>2.0097722872683743E-2</c:v>
                </c:pt>
                <c:pt idx="133">
                  <c:v>2.9733393583371015E-2</c:v>
                </c:pt>
                <c:pt idx="134">
                  <c:v>2.4311040898718606E-2</c:v>
                </c:pt>
                <c:pt idx="135">
                  <c:v>1.2252591894439169E-2</c:v>
                </c:pt>
                <c:pt idx="136">
                  <c:v>8.379888268156277E-3</c:v>
                </c:pt>
                <c:pt idx="137">
                  <c:v>-1.0073029463610883E-3</c:v>
                </c:pt>
                <c:pt idx="138">
                  <c:v>-2.1594823964372845E-2</c:v>
                </c:pt>
                <c:pt idx="139">
                  <c:v>2.370319477842675E-2</c:v>
                </c:pt>
                <c:pt idx="140">
                  <c:v>1.677852348993536E-4</c:v>
                </c:pt>
                <c:pt idx="141">
                  <c:v>-2.9357490353967286E-3</c:v>
                </c:pt>
                <c:pt idx="142">
                  <c:v>4.2904012787078338E-2</c:v>
                </c:pt>
                <c:pt idx="143">
                  <c:v>-1.9117528434298703E-2</c:v>
                </c:pt>
                <c:pt idx="144">
                  <c:v>2.409539473684208E-2</c:v>
                </c:pt>
                <c:pt idx="145">
                  <c:v>-1.1402874809282926E-2</c:v>
                </c:pt>
                <c:pt idx="146">
                  <c:v>3.5740394768906114E-3</c:v>
                </c:pt>
                <c:pt idx="147">
                  <c:v>1.1250505868069638E-2</c:v>
                </c:pt>
                <c:pt idx="148">
                  <c:v>-5.6026892908589421E-4</c:v>
                </c:pt>
                <c:pt idx="149">
                  <c:v>0</c:v>
                </c:pt>
                <c:pt idx="150">
                  <c:v>1.2813325858893165E-2</c:v>
                </c:pt>
                <c:pt idx="151">
                  <c:v>1.4548904878627367E-2</c:v>
                </c:pt>
                <c:pt idx="152">
                  <c:v>-1.7691528329826123E-2</c:v>
                </c:pt>
                <c:pt idx="153">
                  <c:v>-6.9819105046018404E-3</c:v>
                </c:pt>
                <c:pt idx="154">
                  <c:v>1.0866091403004097E-2</c:v>
                </c:pt>
                <c:pt idx="155">
                  <c:v>-1.5965855200758772E-2</c:v>
                </c:pt>
                <c:pt idx="156">
                  <c:v>-2.0401606425702878E-2</c:v>
                </c:pt>
                <c:pt idx="157">
                  <c:v>-1.2709084945883853E-2</c:v>
                </c:pt>
                <c:pt idx="158">
                  <c:v>-3.1558840627854412E-3</c:v>
                </c:pt>
                <c:pt idx="159">
                  <c:v>0</c:v>
                </c:pt>
              </c:numCache>
            </c:numRef>
          </c:val>
          <c:extLst>
            <c:ext xmlns:c16="http://schemas.microsoft.com/office/drawing/2014/chart" uri="{C3380CC4-5D6E-409C-BE32-E72D297353CC}">
              <c16:uniqueId val="{00000000-3C10-4635-8D3B-DF5824DA441D}"/>
            </c:ext>
          </c:extLst>
        </c:ser>
        <c:dLbls>
          <c:showLegendKey val="0"/>
          <c:showVal val="0"/>
          <c:showCatName val="0"/>
          <c:showSerName val="0"/>
          <c:showPercent val="0"/>
          <c:showBubbleSize val="0"/>
        </c:dLbls>
        <c:gapWidth val="150"/>
        <c:axId val="99251629"/>
        <c:axId val="50154614"/>
      </c:barChart>
      <c:lineChart>
        <c:grouping val="standard"/>
        <c:varyColors val="0"/>
        <c:ser>
          <c:idx val="1"/>
          <c:order val="1"/>
          <c:tx>
            <c:strRef>
              <c:f>'Returns (Calc)'!$AJ$2</c:f>
              <c:strCache>
                <c:ptCount val="1"/>
                <c:pt idx="0">
                  <c:v>AVUV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(Calc)'!$AJ$3:$AJ$500</c:f>
              <c:numCache>
                <c:formatCode>#,##0.00</c:formatCode>
                <c:ptCount val="498"/>
                <c:pt idx="0">
                  <c:v>75.31</c:v>
                </c:pt>
                <c:pt idx="1">
                  <c:v>75.59303797468354</c:v>
                </c:pt>
                <c:pt idx="2">
                  <c:v>75.876075949367092</c:v>
                </c:pt>
                <c:pt idx="3">
                  <c:v>76.159113924050629</c:v>
                </c:pt>
                <c:pt idx="4">
                  <c:v>76.442151898734181</c:v>
                </c:pt>
                <c:pt idx="5">
                  <c:v>76.725189873417719</c:v>
                </c:pt>
                <c:pt idx="6">
                  <c:v>77.008227848101271</c:v>
                </c:pt>
                <c:pt idx="7">
                  <c:v>77.291265822784808</c:v>
                </c:pt>
                <c:pt idx="8">
                  <c:v>77.57430379746836</c:v>
                </c:pt>
                <c:pt idx="9">
                  <c:v>77.857341772151898</c:v>
                </c:pt>
                <c:pt idx="10">
                  <c:v>78.14037974683545</c:v>
                </c:pt>
                <c:pt idx="11">
                  <c:v>78.423417721518987</c:v>
                </c:pt>
                <c:pt idx="12">
                  <c:v>78.706455696202539</c:v>
                </c:pt>
                <c:pt idx="13">
                  <c:v>78.989493670886077</c:v>
                </c:pt>
                <c:pt idx="14">
                  <c:v>79.272531645569629</c:v>
                </c:pt>
                <c:pt idx="15">
                  <c:v>79.555569620253166</c:v>
                </c:pt>
                <c:pt idx="16">
                  <c:v>79.838607594936718</c:v>
                </c:pt>
                <c:pt idx="17">
                  <c:v>80.121645569620256</c:v>
                </c:pt>
                <c:pt idx="18">
                  <c:v>80.404683544303793</c:v>
                </c:pt>
                <c:pt idx="19">
                  <c:v>80.687721518987345</c:v>
                </c:pt>
                <c:pt idx="20">
                  <c:v>80.970759493670883</c:v>
                </c:pt>
                <c:pt idx="21">
                  <c:v>81.253797468354435</c:v>
                </c:pt>
                <c:pt idx="22">
                  <c:v>81.536835443037972</c:v>
                </c:pt>
                <c:pt idx="23">
                  <c:v>81.819873417721524</c:v>
                </c:pt>
                <c:pt idx="24">
                  <c:v>82.102911392405062</c:v>
                </c:pt>
                <c:pt idx="25">
                  <c:v>82.385949367088614</c:v>
                </c:pt>
                <c:pt idx="26">
                  <c:v>82.668987341772151</c:v>
                </c:pt>
                <c:pt idx="27">
                  <c:v>82.952025316455703</c:v>
                </c:pt>
                <c:pt idx="28">
                  <c:v>83.235063291139241</c:v>
                </c:pt>
                <c:pt idx="29">
                  <c:v>83.518101265822793</c:v>
                </c:pt>
                <c:pt idx="30">
                  <c:v>83.80113924050633</c:v>
                </c:pt>
                <c:pt idx="31">
                  <c:v>84.084177215189868</c:v>
                </c:pt>
                <c:pt idx="32">
                  <c:v>84.36721518987342</c:v>
                </c:pt>
                <c:pt idx="33">
                  <c:v>84.650253164556972</c:v>
                </c:pt>
                <c:pt idx="34">
                  <c:v>84.933291139240509</c:v>
                </c:pt>
                <c:pt idx="35">
                  <c:v>85.216329113924047</c:v>
                </c:pt>
                <c:pt idx="36">
                  <c:v>85.499367088607599</c:v>
                </c:pt>
                <c:pt idx="37">
                  <c:v>85.782405063291137</c:v>
                </c:pt>
                <c:pt idx="38">
                  <c:v>86.065443037974688</c:v>
                </c:pt>
                <c:pt idx="39">
                  <c:v>86.348481012658226</c:v>
                </c:pt>
                <c:pt idx="40">
                  <c:v>86.631518987341778</c:v>
                </c:pt>
                <c:pt idx="41">
                  <c:v>86.914556962025316</c:v>
                </c:pt>
                <c:pt idx="42">
                  <c:v>87.197594936708867</c:v>
                </c:pt>
                <c:pt idx="43">
                  <c:v>87.480632911392405</c:v>
                </c:pt>
                <c:pt idx="44">
                  <c:v>87.763670886075943</c:v>
                </c:pt>
                <c:pt idx="45">
                  <c:v>88.046708860759495</c:v>
                </c:pt>
                <c:pt idx="46">
                  <c:v>88.329746835443046</c:v>
                </c:pt>
                <c:pt idx="47">
                  <c:v>88.612784810126584</c:v>
                </c:pt>
                <c:pt idx="48">
                  <c:v>88.895822784810122</c:v>
                </c:pt>
                <c:pt idx="49">
                  <c:v>89.178860759493674</c:v>
                </c:pt>
                <c:pt idx="50">
                  <c:v>89.461898734177225</c:v>
                </c:pt>
                <c:pt idx="51">
                  <c:v>89.744936708860763</c:v>
                </c:pt>
                <c:pt idx="52">
                  <c:v>90.027974683544301</c:v>
                </c:pt>
                <c:pt idx="53">
                  <c:v>90.311012658227853</c:v>
                </c:pt>
                <c:pt idx="54">
                  <c:v>90.59405063291139</c:v>
                </c:pt>
                <c:pt idx="55">
                  <c:v>90.877088607594942</c:v>
                </c:pt>
                <c:pt idx="56">
                  <c:v>91.16012658227848</c:v>
                </c:pt>
                <c:pt idx="57">
                  <c:v>91.443164556962031</c:v>
                </c:pt>
                <c:pt idx="58">
                  <c:v>91.726202531645569</c:v>
                </c:pt>
                <c:pt idx="59">
                  <c:v>92.009240506329121</c:v>
                </c:pt>
                <c:pt idx="60">
                  <c:v>92.292278481012659</c:v>
                </c:pt>
                <c:pt idx="61">
                  <c:v>92.57531645569621</c:v>
                </c:pt>
                <c:pt idx="62">
                  <c:v>92.858354430379748</c:v>
                </c:pt>
                <c:pt idx="63">
                  <c:v>93.1413924050633</c:v>
                </c:pt>
                <c:pt idx="64">
                  <c:v>93.424430379746838</c:v>
                </c:pt>
                <c:pt idx="65">
                  <c:v>93.707468354430375</c:v>
                </c:pt>
                <c:pt idx="66">
                  <c:v>93.990506329113927</c:v>
                </c:pt>
                <c:pt idx="67">
                  <c:v>94.273544303797465</c:v>
                </c:pt>
                <c:pt idx="68">
                  <c:v>94.556582278481017</c:v>
                </c:pt>
                <c:pt idx="69">
                  <c:v>94.839620253164554</c:v>
                </c:pt>
                <c:pt idx="70">
                  <c:v>95.122658227848106</c:v>
                </c:pt>
                <c:pt idx="71">
                  <c:v>95.405696202531644</c:v>
                </c:pt>
                <c:pt idx="72">
                  <c:v>95.688734177215196</c:v>
                </c:pt>
                <c:pt idx="73">
                  <c:v>95.971772151898733</c:v>
                </c:pt>
                <c:pt idx="74">
                  <c:v>96.254810126582271</c:v>
                </c:pt>
                <c:pt idx="75">
                  <c:v>96.537848101265823</c:v>
                </c:pt>
                <c:pt idx="76">
                  <c:v>96.820886075949375</c:v>
                </c:pt>
                <c:pt idx="77">
                  <c:v>97.103924050632912</c:v>
                </c:pt>
                <c:pt idx="78">
                  <c:v>97.38696202531645</c:v>
                </c:pt>
                <c:pt idx="79">
                  <c:v>97.67</c:v>
                </c:pt>
                <c:pt idx="80">
                  <c:v>97.953037974683554</c:v>
                </c:pt>
                <c:pt idx="81">
                  <c:v>98.236075949367091</c:v>
                </c:pt>
                <c:pt idx="82">
                  <c:v>98.519113924050629</c:v>
                </c:pt>
                <c:pt idx="83">
                  <c:v>98.802151898734181</c:v>
                </c:pt>
                <c:pt idx="84">
                  <c:v>99.085189873417733</c:v>
                </c:pt>
                <c:pt idx="85">
                  <c:v>99.36822784810127</c:v>
                </c:pt>
                <c:pt idx="86">
                  <c:v>99.651265822784808</c:v>
                </c:pt>
                <c:pt idx="87">
                  <c:v>99.93430379746836</c:v>
                </c:pt>
                <c:pt idx="88">
                  <c:v>100.2173417721519</c:v>
                </c:pt>
                <c:pt idx="89">
                  <c:v>100.50037974683545</c:v>
                </c:pt>
                <c:pt idx="90">
                  <c:v>100.78341772151899</c:v>
                </c:pt>
                <c:pt idx="91">
                  <c:v>101.06645569620254</c:v>
                </c:pt>
                <c:pt idx="92">
                  <c:v>101.34949367088608</c:v>
                </c:pt>
                <c:pt idx="93">
                  <c:v>101.63253164556963</c:v>
                </c:pt>
                <c:pt idx="94">
                  <c:v>101.91556962025317</c:v>
                </c:pt>
                <c:pt idx="95">
                  <c:v>102.1986075949367</c:v>
                </c:pt>
                <c:pt idx="96">
                  <c:v>102.48164556962026</c:v>
                </c:pt>
                <c:pt idx="97">
                  <c:v>102.76468354430381</c:v>
                </c:pt>
                <c:pt idx="98">
                  <c:v>103.04772151898734</c:v>
                </c:pt>
                <c:pt idx="99">
                  <c:v>103.33075949367088</c:v>
                </c:pt>
                <c:pt idx="100">
                  <c:v>103.61379746835443</c:v>
                </c:pt>
                <c:pt idx="101">
                  <c:v>103.89683544303799</c:v>
                </c:pt>
                <c:pt idx="102">
                  <c:v>104.17987341772152</c:v>
                </c:pt>
                <c:pt idx="103">
                  <c:v>104.46291139240506</c:v>
                </c:pt>
                <c:pt idx="104">
                  <c:v>104.74594936708861</c:v>
                </c:pt>
                <c:pt idx="105">
                  <c:v>105.02898734177215</c:v>
                </c:pt>
                <c:pt idx="106">
                  <c:v>105.3120253164557</c:v>
                </c:pt>
                <c:pt idx="107">
                  <c:v>105.59506329113924</c:v>
                </c:pt>
                <c:pt idx="108">
                  <c:v>105.87810126582279</c:v>
                </c:pt>
                <c:pt idx="109">
                  <c:v>106.16113924050633</c:v>
                </c:pt>
                <c:pt idx="110">
                  <c:v>106.44417721518988</c:v>
                </c:pt>
                <c:pt idx="111">
                  <c:v>106.72721518987342</c:v>
                </c:pt>
                <c:pt idx="112">
                  <c:v>107.01025316455696</c:v>
                </c:pt>
                <c:pt idx="113">
                  <c:v>107.29329113924051</c:v>
                </c:pt>
                <c:pt idx="114">
                  <c:v>107.57632911392406</c:v>
                </c:pt>
                <c:pt idx="115">
                  <c:v>107.8593670886076</c:v>
                </c:pt>
                <c:pt idx="116">
                  <c:v>108.14240506329114</c:v>
                </c:pt>
                <c:pt idx="117">
                  <c:v>108.42544303797469</c:v>
                </c:pt>
                <c:pt idx="118">
                  <c:v>108.70848101265824</c:v>
                </c:pt>
                <c:pt idx="119">
                  <c:v>108.99151898734178</c:v>
                </c:pt>
                <c:pt idx="120">
                  <c:v>109.27455696202531</c:v>
                </c:pt>
                <c:pt idx="121">
                  <c:v>109.55759493670885</c:v>
                </c:pt>
                <c:pt idx="122">
                  <c:v>109.84063291139242</c:v>
                </c:pt>
                <c:pt idx="123">
                  <c:v>110.12367088607596</c:v>
                </c:pt>
                <c:pt idx="124">
                  <c:v>110.40670886075949</c:v>
                </c:pt>
                <c:pt idx="125">
                  <c:v>110.68974683544303</c:v>
                </c:pt>
                <c:pt idx="126">
                  <c:v>110.97278481012658</c:v>
                </c:pt>
                <c:pt idx="127">
                  <c:v>111.25582278481014</c:v>
                </c:pt>
                <c:pt idx="128">
                  <c:v>111.53886075949367</c:v>
                </c:pt>
                <c:pt idx="129">
                  <c:v>111.82189873417721</c:v>
                </c:pt>
                <c:pt idx="130">
                  <c:v>112.10493670886075</c:v>
                </c:pt>
                <c:pt idx="131">
                  <c:v>112.38797468354431</c:v>
                </c:pt>
                <c:pt idx="132">
                  <c:v>112.67101265822785</c:v>
                </c:pt>
                <c:pt idx="133">
                  <c:v>112.95405063291139</c:v>
                </c:pt>
                <c:pt idx="134">
                  <c:v>113.23708860759493</c:v>
                </c:pt>
                <c:pt idx="135">
                  <c:v>113.52012658227848</c:v>
                </c:pt>
                <c:pt idx="136">
                  <c:v>113.80316455696203</c:v>
                </c:pt>
                <c:pt idx="137">
                  <c:v>114.08620253164557</c:v>
                </c:pt>
                <c:pt idx="138">
                  <c:v>114.36924050632911</c:v>
                </c:pt>
                <c:pt idx="139">
                  <c:v>114.65227848101266</c:v>
                </c:pt>
                <c:pt idx="140">
                  <c:v>114.93531645569621</c:v>
                </c:pt>
                <c:pt idx="141">
                  <c:v>115.21835443037975</c:v>
                </c:pt>
                <c:pt idx="142">
                  <c:v>115.50139240506329</c:v>
                </c:pt>
                <c:pt idx="143">
                  <c:v>115.78443037974684</c:v>
                </c:pt>
                <c:pt idx="144">
                  <c:v>116.06746835443039</c:v>
                </c:pt>
                <c:pt idx="145">
                  <c:v>116.35050632911393</c:v>
                </c:pt>
                <c:pt idx="146">
                  <c:v>116.63354430379746</c:v>
                </c:pt>
                <c:pt idx="147">
                  <c:v>116.91658227848102</c:v>
                </c:pt>
                <c:pt idx="148">
                  <c:v>117.19962025316455</c:v>
                </c:pt>
                <c:pt idx="149">
                  <c:v>117.48265822784811</c:v>
                </c:pt>
                <c:pt idx="150">
                  <c:v>117.76569620253164</c:v>
                </c:pt>
                <c:pt idx="151">
                  <c:v>118.0487341772152</c:v>
                </c:pt>
                <c:pt idx="152">
                  <c:v>118.33177215189873</c:v>
                </c:pt>
                <c:pt idx="153">
                  <c:v>118.61481012658228</c:v>
                </c:pt>
                <c:pt idx="154">
                  <c:v>118.89784810126582</c:v>
                </c:pt>
                <c:pt idx="155">
                  <c:v>119.18088607594936</c:v>
                </c:pt>
                <c:pt idx="156">
                  <c:v>119.46392405063291</c:v>
                </c:pt>
                <c:pt idx="157">
                  <c:v>119.74696202531646</c:v>
                </c:pt>
                <c:pt idx="158">
                  <c:v>120.03</c:v>
                </c:pt>
                <c:pt idx="159">
                  <c:v>120.31303797468354</c:v>
                </c:pt>
              </c:numCache>
            </c:numRef>
          </c:val>
          <c:smooth val="0"/>
          <c:extLst>
            <c:ext xmlns:c16="http://schemas.microsoft.com/office/drawing/2014/chart" uri="{C3380CC4-5D6E-409C-BE32-E72D297353CC}">
              <c16:uniqueId val="{00000001-3C10-4635-8D3B-DF5824DA441D}"/>
            </c:ext>
          </c:extLst>
        </c:ser>
        <c:dLbls>
          <c:showLegendKey val="0"/>
          <c:showVal val="0"/>
          <c:showCatName val="0"/>
          <c:showSerName val="0"/>
          <c:showPercent val="0"/>
          <c:showBubbleSize val="0"/>
        </c:dLbls>
        <c:hiLowLines>
          <c:spPr>
            <a:ln w="0">
              <a:noFill/>
            </a:ln>
          </c:spPr>
        </c:hiLowLines>
        <c:marker val="1"/>
        <c:smooth val="0"/>
        <c:axId val="2928519"/>
        <c:axId val="1039483"/>
      </c:lineChart>
      <c:dateAx>
        <c:axId val="99251629"/>
        <c:scaling>
          <c:orientation val="minMax"/>
        </c:scaling>
        <c:delete val="1"/>
        <c:axPos val="b"/>
        <c:numFmt formatCode="mm/dd/yyyy" sourceLinked="1"/>
        <c:majorTickMark val="none"/>
        <c:minorTickMark val="none"/>
        <c:tickLblPos val="nextTo"/>
        <c:crossAx val="50154614"/>
        <c:crosses val="autoZero"/>
        <c:auto val="1"/>
        <c:lblOffset val="100"/>
        <c:baseTimeUnit val="days"/>
      </c:dateAx>
      <c:valAx>
        <c:axId val="5015461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99251629"/>
        <c:crosses val="autoZero"/>
        <c:crossBetween val="between"/>
      </c:valAx>
      <c:dateAx>
        <c:axId val="2928519"/>
        <c:scaling>
          <c:orientation val="minMax"/>
        </c:scaling>
        <c:delete val="1"/>
        <c:axPos val="b"/>
        <c:numFmt formatCode="mm/dd/yyyy" sourceLinked="1"/>
        <c:majorTickMark val="none"/>
        <c:minorTickMark val="none"/>
        <c:tickLblPos val="nextTo"/>
        <c:crossAx val="1039483"/>
        <c:crosses val="autoZero"/>
        <c:auto val="1"/>
        <c:lblOffset val="100"/>
        <c:baseTimeUnit val="days"/>
      </c:dateAx>
      <c:valAx>
        <c:axId val="1039483"/>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928519"/>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HELO</a:t>
            </a:r>
          </a:p>
        </c:rich>
      </c:tx>
      <c:overlay val="0"/>
      <c:spPr>
        <a:noFill/>
        <a:ln w="0">
          <a:noFill/>
        </a:ln>
      </c:spPr>
    </c:title>
    <c:autoTitleDeleted val="0"/>
    <c:plotArea>
      <c:layout/>
      <c:barChart>
        <c:barDir val="col"/>
        <c:grouping val="clustered"/>
        <c:varyColors val="0"/>
        <c:ser>
          <c:idx val="0"/>
          <c:order val="0"/>
          <c:tx>
            <c:strRef>
              <c:f>'Returns (Calc)'!$Q$2</c:f>
              <c:strCache>
                <c:ptCount val="1"/>
                <c:pt idx="0">
                  <c:v>HELO</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(Calc)'!$Q$3:$Q$500</c:f>
              <c:numCache>
                <c:formatCode>0.0%</c:formatCode>
                <c:ptCount val="498"/>
                <c:pt idx="0">
                  <c:v>0</c:v>
                </c:pt>
                <c:pt idx="1">
                  <c:v>0</c:v>
                </c:pt>
                <c:pt idx="2">
                  <c:v>3.2719836400818547E-3</c:v>
                </c:pt>
                <c:pt idx="3">
                  <c:v>3.4651447207501018E-3</c:v>
                </c:pt>
                <c:pt idx="4">
                  <c:v>-1.137517773715202E-2</c:v>
                </c:pt>
                <c:pt idx="5">
                  <c:v>-1.7259091843024543E-2</c:v>
                </c:pt>
                <c:pt idx="6">
                  <c:v>4.035124398912826E-2</c:v>
                </c:pt>
                <c:pt idx="7">
                  <c:v>1.0048231511254002E-2</c:v>
                </c:pt>
                <c:pt idx="8">
                  <c:v>1.2932749701551893E-2</c:v>
                </c:pt>
                <c:pt idx="9">
                  <c:v>4.3213514044393442E-3</c:v>
                </c:pt>
                <c:pt idx="10">
                  <c:v>9.7789947193427373E-4</c:v>
                </c:pt>
                <c:pt idx="11">
                  <c:v>3.71238765142623E-3</c:v>
                </c:pt>
                <c:pt idx="12">
                  <c:v>9.1493089351761814E-3</c:v>
                </c:pt>
                <c:pt idx="13">
                  <c:v>1.1574074074072183E-3</c:v>
                </c:pt>
                <c:pt idx="14">
                  <c:v>1.734104046242857E-3</c:v>
                </c:pt>
                <c:pt idx="15">
                  <c:v>-4.4239276783997195E-3</c:v>
                </c:pt>
                <c:pt idx="16">
                  <c:v>9.8531684698610622E-3</c:v>
                </c:pt>
                <c:pt idx="17">
                  <c:v>5.9307442127414234E-3</c:v>
                </c:pt>
                <c:pt idx="18">
                  <c:v>6.2761506276149959E-3</c:v>
                </c:pt>
                <c:pt idx="19">
                  <c:v>1.41750141750141E-2</c:v>
                </c:pt>
                <c:pt idx="20">
                  <c:v>4.2862467387254632E-3</c:v>
                </c:pt>
                <c:pt idx="21">
                  <c:v>-5.5668955279272181E-3</c:v>
                </c:pt>
                <c:pt idx="22">
                  <c:v>7.6506810972196693E-3</c:v>
                </c:pt>
                <c:pt idx="23">
                  <c:v>6.2962962962964664E-3</c:v>
                </c:pt>
                <c:pt idx="24">
                  <c:v>5.5207949944779955E-4</c:v>
                </c:pt>
                <c:pt idx="25">
                  <c:v>1.8392495861707658E-4</c:v>
                </c:pt>
                <c:pt idx="26">
                  <c:v>1.2136815005516777E-2</c:v>
                </c:pt>
                <c:pt idx="27">
                  <c:v>7.2674418604656843E-4</c:v>
                </c:pt>
                <c:pt idx="28">
                  <c:v>-3.8126361655773655E-3</c:v>
                </c:pt>
                <c:pt idx="29">
                  <c:v>-6.3787133223982551E-3</c:v>
                </c:pt>
                <c:pt idx="30">
                  <c:v>-1.9442406456346317E-2</c:v>
                </c:pt>
                <c:pt idx="31">
                  <c:v>2.0576131687242816E-2</c:v>
                </c:pt>
                <c:pt idx="32">
                  <c:v>4.2155425219940756E-3</c:v>
                </c:pt>
                <c:pt idx="33">
                  <c:v>1.5513779886840773E-2</c:v>
                </c:pt>
                <c:pt idx="34">
                  <c:v>1.078360891444996E-2</c:v>
                </c:pt>
                <c:pt idx="35">
                  <c:v>1.0668563300142431E-3</c:v>
                </c:pt>
                <c:pt idx="36">
                  <c:v>-2.6642984014209059E-3</c:v>
                </c:pt>
                <c:pt idx="37">
                  <c:v>1.1041852181656431E-2</c:v>
                </c:pt>
                <c:pt idx="38">
                  <c:v>9.1597674828254316E-3</c:v>
                </c:pt>
                <c:pt idx="39">
                  <c:v>3.1419095828242316E-3</c:v>
                </c:pt>
                <c:pt idx="40">
                  <c:v>4.1760918740212372E-3</c:v>
                </c:pt>
                <c:pt idx="41">
                  <c:v>7.1044879570265618E-3</c:v>
                </c:pt>
                <c:pt idx="42">
                  <c:v>3.4411562284928365E-3</c:v>
                </c:pt>
                <c:pt idx="43">
                  <c:v>-6.6872427983538651E-3</c:v>
                </c:pt>
                <c:pt idx="44">
                  <c:v>-4.1429311237700661E-3</c:v>
                </c:pt>
                <c:pt idx="45">
                  <c:v>-1.0747096550528634E-2</c:v>
                </c:pt>
                <c:pt idx="46">
                  <c:v>7.0089363939018767E-4</c:v>
                </c:pt>
                <c:pt idx="47">
                  <c:v>2.6090001751006842E-2</c:v>
                </c:pt>
                <c:pt idx="48">
                  <c:v>8.8737201365187701E-3</c:v>
                </c:pt>
                <c:pt idx="49">
                  <c:v>3.5520974289580121E-3</c:v>
                </c:pt>
                <c:pt idx="50">
                  <c:v>-2.696780718017866E-2</c:v>
                </c:pt>
                <c:pt idx="51">
                  <c:v>2.5983024424042878E-2</c:v>
                </c:pt>
                <c:pt idx="52">
                  <c:v>8.2728347121392432E-3</c:v>
                </c:pt>
                <c:pt idx="53">
                  <c:v>6.8653717347622045E-3</c:v>
                </c:pt>
                <c:pt idx="54">
                  <c:v>1.3304506901712365E-3</c:v>
                </c:pt>
                <c:pt idx="55">
                  <c:v>8.1381830260753851E-3</c:v>
                </c:pt>
                <c:pt idx="56">
                  <c:v>8.2372322899506578E-3</c:v>
                </c:pt>
                <c:pt idx="57">
                  <c:v>-2.7777777777777679E-3</c:v>
                </c:pt>
                <c:pt idx="58">
                  <c:v>-8.8481074881205934E-3</c:v>
                </c:pt>
                <c:pt idx="59">
                  <c:v>2.4301537444205712E-2</c:v>
                </c:pt>
                <c:pt idx="60">
                  <c:v>-9.5222724338283049E-3</c:v>
                </c:pt>
                <c:pt idx="61">
                  <c:v>7.4955189832166536E-3</c:v>
                </c:pt>
                <c:pt idx="62">
                  <c:v>6.145883875141589E-3</c:v>
                </c:pt>
                <c:pt idx="63">
                  <c:v>3.6971547982638242E-3</c:v>
                </c:pt>
                <c:pt idx="64">
                  <c:v>-1.7616912235746129E-3</c:v>
                </c:pt>
                <c:pt idx="65">
                  <c:v>-1.2193165409914886E-2</c:v>
                </c:pt>
                <c:pt idx="66">
                  <c:v>6.4966704563911293E-3</c:v>
                </c:pt>
                <c:pt idx="67">
                  <c:v>-4.0342101016620502E-3</c:v>
                </c:pt>
                <c:pt idx="68">
                  <c:v>-1.2151652624756926E-2</c:v>
                </c:pt>
                <c:pt idx="69">
                  <c:v>1.7221584385763489E-2</c:v>
                </c:pt>
                <c:pt idx="70">
                  <c:v>1.0319251854240541E-2</c:v>
                </c:pt>
                <c:pt idx="71">
                  <c:v>-8.6179380785189608E-3</c:v>
                </c:pt>
                <c:pt idx="72">
                  <c:v>-6.4391500321958617E-4</c:v>
                </c:pt>
                <c:pt idx="73">
                  <c:v>1.0470360824742286E-2</c:v>
                </c:pt>
                <c:pt idx="74">
                  <c:v>-8.9271480950102733E-3</c:v>
                </c:pt>
                <c:pt idx="75">
                  <c:v>-6.4339713688273958E-3</c:v>
                </c:pt>
                <c:pt idx="76">
                  <c:v>-1.748421563865965E-2</c:v>
                </c:pt>
                <c:pt idx="77">
                  <c:v>-1.4170374031965749E-2</c:v>
                </c:pt>
                <c:pt idx="78">
                  <c:v>-2.0056827678421874E-3</c:v>
                </c:pt>
                <c:pt idx="79">
                  <c:v>-1.1555853290906026E-2</c:v>
                </c:pt>
                <c:pt idx="80">
                  <c:v>-3.8800406641816387E-2</c:v>
                </c:pt>
                <c:pt idx="81">
                  <c:v>1.8861272695223086E-2</c:v>
                </c:pt>
                <c:pt idx="82">
                  <c:v>-6.0553633217992342E-3</c:v>
                </c:pt>
                <c:pt idx="83">
                  <c:v>1.7754569190600478E-2</c:v>
                </c:pt>
                <c:pt idx="84">
                  <c:v>1.641867624422777E-2</c:v>
                </c:pt>
                <c:pt idx="85">
                  <c:v>-2.5239777889953796E-3</c:v>
                </c:pt>
                <c:pt idx="86">
                  <c:v>2.9352226720647856E-2</c:v>
                </c:pt>
                <c:pt idx="87">
                  <c:v>-1.6551950180268893E-2</c:v>
                </c:pt>
                <c:pt idx="88">
                  <c:v>1.0831528078653507E-2</c:v>
                </c:pt>
                <c:pt idx="89">
                  <c:v>9.7263435542367382E-3</c:v>
                </c:pt>
                <c:pt idx="90">
                  <c:v>-1.6326530612242873E-4</c:v>
                </c:pt>
                <c:pt idx="91">
                  <c:v>8.1645983017630819E-4</c:v>
                </c:pt>
                <c:pt idx="92">
                  <c:v>1.2400065263501459E-2</c:v>
                </c:pt>
                <c:pt idx="93">
                  <c:v>6.6075745366640515E-3</c:v>
                </c:pt>
                <c:pt idx="94">
                  <c:v>1.6010246557798258E-3</c:v>
                </c:pt>
                <c:pt idx="95">
                  <c:v>3.5166240409207905E-3</c:v>
                </c:pt>
                <c:pt idx="96">
                  <c:v>2.2300095571838874E-3</c:v>
                </c:pt>
                <c:pt idx="97">
                  <c:v>-1.0489510489510523E-2</c:v>
                </c:pt>
                <c:pt idx="98">
                  <c:v>1.1564407324124559E-2</c:v>
                </c:pt>
                <c:pt idx="99">
                  <c:v>7.3039060019053359E-3</c:v>
                </c:pt>
                <c:pt idx="100">
                  <c:v>3.6254728877680442E-3</c:v>
                </c:pt>
                <c:pt idx="101">
                  <c:v>1.5705983979885652E-4</c:v>
                </c:pt>
                <c:pt idx="102">
                  <c:v>2.1984924623115187E-3</c:v>
                </c:pt>
                <c:pt idx="103">
                  <c:v>8.4612973989344198E-3</c:v>
                </c:pt>
                <c:pt idx="104">
                  <c:v>2.0198881292727844E-3</c:v>
                </c:pt>
                <c:pt idx="105">
                  <c:v>3.1012560086840502E-4</c:v>
                </c:pt>
                <c:pt idx="106">
                  <c:v>3.2553092543790019E-3</c:v>
                </c:pt>
                <c:pt idx="107">
                  <c:v>-1.2669962917181699E-2</c:v>
                </c:pt>
                <c:pt idx="108">
                  <c:v>9.8591549295774517E-3</c:v>
                </c:pt>
                <c:pt idx="109">
                  <c:v>1.0072834340616899E-2</c:v>
                </c:pt>
                <c:pt idx="110">
                  <c:v>6.1368517950288748E-4</c:v>
                </c:pt>
                <c:pt idx="111">
                  <c:v>-5.0597976080956064E-3</c:v>
                </c:pt>
                <c:pt idx="112">
                  <c:v>1.5410695022344267E-3</c:v>
                </c:pt>
                <c:pt idx="113">
                  <c:v>-8.9244499153715573E-3</c:v>
                </c:pt>
                <c:pt idx="114">
                  <c:v>2.1735755317497274E-2</c:v>
                </c:pt>
                <c:pt idx="115">
                  <c:v>2.2792888618750062E-3</c:v>
                </c:pt>
                <c:pt idx="116">
                  <c:v>-1.2128562765312267E-3</c:v>
                </c:pt>
                <c:pt idx="117">
                  <c:v>2.2768670309654127E-3</c:v>
                </c:pt>
                <c:pt idx="118">
                  <c:v>1.0601241859760746E-2</c:v>
                </c:pt>
                <c:pt idx="119">
                  <c:v>-8.242169938558308E-3</c:v>
                </c:pt>
                <c:pt idx="120">
                  <c:v>9.0661831368992196E-3</c:v>
                </c:pt>
                <c:pt idx="121">
                  <c:v>-4.4923629829289879E-3</c:v>
                </c:pt>
                <c:pt idx="122">
                  <c:v>-3.0084235860428077E-4</c:v>
                </c:pt>
                <c:pt idx="123">
                  <c:v>3.6111947035812886E-3</c:v>
                </c:pt>
                <c:pt idx="124">
                  <c:v>2.8485757121439192E-3</c:v>
                </c:pt>
                <c:pt idx="125">
                  <c:v>-8.6709523097622254E-3</c:v>
                </c:pt>
                <c:pt idx="126">
                  <c:v>6.7863067410647293E-3</c:v>
                </c:pt>
                <c:pt idx="127">
                  <c:v>-5.6920311563811721E-3</c:v>
                </c:pt>
                <c:pt idx="128">
                  <c:v>-1.1298583910816506E-2</c:v>
                </c:pt>
                <c:pt idx="129">
                  <c:v>-1.3408502209355411E-2</c:v>
                </c:pt>
                <c:pt idx="130">
                  <c:v>-1.1119691119691133E-2</c:v>
                </c:pt>
                <c:pt idx="131">
                  <c:v>-1.2806496954552604E-2</c:v>
                </c:pt>
                <c:pt idx="132">
                  <c:v>1.1707008384749251E-2</c:v>
                </c:pt>
                <c:pt idx="133">
                  <c:v>2.0328381548084362E-2</c:v>
                </c:pt>
                <c:pt idx="134">
                  <c:v>2.5747126436781675E-2</c:v>
                </c:pt>
                <c:pt idx="135">
                  <c:v>2.2411474675032572E-3</c:v>
                </c:pt>
                <c:pt idx="136">
                  <c:v>4.0250447227190289E-3</c:v>
                </c:pt>
                <c:pt idx="137">
                  <c:v>1.9302152932443306E-3</c:v>
                </c:pt>
                <c:pt idx="138">
                  <c:v>2.9638411381149865E-4</c:v>
                </c:pt>
                <c:pt idx="139">
                  <c:v>7.407407407407085E-4</c:v>
                </c:pt>
                <c:pt idx="140">
                  <c:v>4.2931162102146647E-3</c:v>
                </c:pt>
                <c:pt idx="141">
                  <c:v>-1.0465801886792581E-2</c:v>
                </c:pt>
                <c:pt idx="142">
                  <c:v>4.468940861015458E-4</c:v>
                </c:pt>
                <c:pt idx="143">
                  <c:v>8.3382966051221974E-3</c:v>
                </c:pt>
                <c:pt idx="144">
                  <c:v>-1.0779681039574829E-2</c:v>
                </c:pt>
                <c:pt idx="145">
                  <c:v>7.6130765785940024E-3</c:v>
                </c:pt>
                <c:pt idx="146">
                  <c:v>1.0962962962962841E-2</c:v>
                </c:pt>
                <c:pt idx="147">
                  <c:v>-9.2321219226260132E-3</c:v>
                </c:pt>
                <c:pt idx="148">
                  <c:v>-1.7748853719864455E-3</c:v>
                </c:pt>
                <c:pt idx="149">
                  <c:v>1.2890798636835177E-2</c:v>
                </c:pt>
                <c:pt idx="150">
                  <c:v>2.062609713282626E-2</c:v>
                </c:pt>
                <c:pt idx="151">
                  <c:v>4.1565142611439398E-3</c:v>
                </c:pt>
                <c:pt idx="152">
                  <c:v>-1.0562375107051269E-2</c:v>
                </c:pt>
                <c:pt idx="153">
                  <c:v>4.0392383150607003E-3</c:v>
                </c:pt>
                <c:pt idx="154">
                  <c:v>4.310344827587187E-4</c:v>
                </c:pt>
                <c:pt idx="155">
                  <c:v>-6.8935803532957918E-3</c:v>
                </c:pt>
                <c:pt idx="156">
                  <c:v>-2.3138105567608314E-3</c:v>
                </c:pt>
                <c:pt idx="157">
                  <c:v>8.5519640527613738E-3</c:v>
                </c:pt>
                <c:pt idx="158">
                  <c:v>-2.2995113538372136E-3</c:v>
                </c:pt>
                <c:pt idx="159">
                  <c:v>0</c:v>
                </c:pt>
              </c:numCache>
            </c:numRef>
          </c:val>
          <c:extLst>
            <c:ext xmlns:c16="http://schemas.microsoft.com/office/drawing/2014/chart" uri="{C3380CC4-5D6E-409C-BE32-E72D297353CC}">
              <c16:uniqueId val="{00000000-46AB-4CA8-880B-26DB05E96761}"/>
            </c:ext>
          </c:extLst>
        </c:ser>
        <c:dLbls>
          <c:showLegendKey val="0"/>
          <c:showVal val="0"/>
          <c:showCatName val="0"/>
          <c:showSerName val="0"/>
          <c:showPercent val="0"/>
          <c:showBubbleSize val="0"/>
        </c:dLbls>
        <c:gapWidth val="150"/>
        <c:axId val="44228780"/>
        <c:axId val="739852"/>
      </c:barChart>
      <c:lineChart>
        <c:grouping val="standard"/>
        <c:varyColors val="0"/>
        <c:ser>
          <c:idx val="1"/>
          <c:order val="1"/>
          <c:tx>
            <c:strRef>
              <c:f>'Returns (Calc)'!$AK$2</c:f>
              <c:strCache>
                <c:ptCount val="1"/>
                <c:pt idx="0">
                  <c:v>HELO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(Calc)'!$AK$3:$AK$500</c:f>
              <c:numCache>
                <c:formatCode>#,##0.00</c:formatCode>
                <c:ptCount val="498"/>
                <c:pt idx="0">
                  <c:v>0</c:v>
                </c:pt>
                <c:pt idx="1">
                  <c:v>0.43936708860759494</c:v>
                </c:pt>
                <c:pt idx="2">
                  <c:v>0.87873417721518987</c:v>
                </c:pt>
                <c:pt idx="3">
                  <c:v>1.3181012658227849</c:v>
                </c:pt>
                <c:pt idx="4">
                  <c:v>1.7574683544303797</c:v>
                </c:pt>
                <c:pt idx="5">
                  <c:v>2.1968354430379748</c:v>
                </c:pt>
                <c:pt idx="6">
                  <c:v>2.6362025316455697</c:v>
                </c:pt>
                <c:pt idx="7">
                  <c:v>3.0755696202531646</c:v>
                </c:pt>
                <c:pt idx="8">
                  <c:v>3.5149367088607595</c:v>
                </c:pt>
                <c:pt idx="9">
                  <c:v>3.9543037974683544</c:v>
                </c:pt>
                <c:pt idx="10">
                  <c:v>4.3936708860759497</c:v>
                </c:pt>
                <c:pt idx="11">
                  <c:v>4.8330379746835446</c:v>
                </c:pt>
                <c:pt idx="12">
                  <c:v>5.2724050632911394</c:v>
                </c:pt>
                <c:pt idx="13">
                  <c:v>5.7117721518987343</c:v>
                </c:pt>
                <c:pt idx="14">
                  <c:v>6.1511392405063292</c:v>
                </c:pt>
                <c:pt idx="15">
                  <c:v>6.5905063291139241</c:v>
                </c:pt>
                <c:pt idx="16">
                  <c:v>7.029873417721519</c:v>
                </c:pt>
                <c:pt idx="17">
                  <c:v>7.4692405063291147</c:v>
                </c:pt>
                <c:pt idx="18">
                  <c:v>7.9086075949367087</c:v>
                </c:pt>
                <c:pt idx="19">
                  <c:v>8.3479746835443045</c:v>
                </c:pt>
                <c:pt idx="20">
                  <c:v>8.7873417721518994</c:v>
                </c:pt>
                <c:pt idx="21">
                  <c:v>9.2267088607594925</c:v>
                </c:pt>
                <c:pt idx="22">
                  <c:v>9.6660759493670891</c:v>
                </c:pt>
                <c:pt idx="23">
                  <c:v>10.105443037974684</c:v>
                </c:pt>
                <c:pt idx="24">
                  <c:v>10.544810126582279</c:v>
                </c:pt>
                <c:pt idx="25">
                  <c:v>10.984177215189874</c:v>
                </c:pt>
                <c:pt idx="26">
                  <c:v>11.423544303797469</c:v>
                </c:pt>
                <c:pt idx="27">
                  <c:v>11.862911392405064</c:v>
                </c:pt>
                <c:pt idx="28">
                  <c:v>12.302278481012658</c:v>
                </c:pt>
                <c:pt idx="29">
                  <c:v>12.741645569620253</c:v>
                </c:pt>
                <c:pt idx="30">
                  <c:v>13.181012658227848</c:v>
                </c:pt>
                <c:pt idx="31">
                  <c:v>13.620379746835443</c:v>
                </c:pt>
                <c:pt idx="32">
                  <c:v>14.059746835443038</c:v>
                </c:pt>
                <c:pt idx="33">
                  <c:v>14.499113924050635</c:v>
                </c:pt>
                <c:pt idx="34">
                  <c:v>14.938481012658229</c:v>
                </c:pt>
                <c:pt idx="35">
                  <c:v>15.377848101265824</c:v>
                </c:pt>
                <c:pt idx="36">
                  <c:v>15.817215189873417</c:v>
                </c:pt>
                <c:pt idx="37">
                  <c:v>16.256582278481012</c:v>
                </c:pt>
                <c:pt idx="38">
                  <c:v>16.695949367088609</c:v>
                </c:pt>
                <c:pt idx="39">
                  <c:v>17.135316455696202</c:v>
                </c:pt>
                <c:pt idx="40">
                  <c:v>17.574683544303799</c:v>
                </c:pt>
                <c:pt idx="41">
                  <c:v>18.014050632911395</c:v>
                </c:pt>
                <c:pt idx="42">
                  <c:v>18.453417721518985</c:v>
                </c:pt>
                <c:pt idx="43">
                  <c:v>18.892784810126582</c:v>
                </c:pt>
                <c:pt idx="44">
                  <c:v>19.332151898734178</c:v>
                </c:pt>
                <c:pt idx="45">
                  <c:v>19.771518987341771</c:v>
                </c:pt>
                <c:pt idx="46">
                  <c:v>20.210886075949368</c:v>
                </c:pt>
                <c:pt idx="47">
                  <c:v>20.650253164556965</c:v>
                </c:pt>
                <c:pt idx="48">
                  <c:v>21.089620253164558</c:v>
                </c:pt>
                <c:pt idx="49">
                  <c:v>21.528987341772151</c:v>
                </c:pt>
                <c:pt idx="50">
                  <c:v>21.968354430379748</c:v>
                </c:pt>
                <c:pt idx="51">
                  <c:v>22.407721518987341</c:v>
                </c:pt>
                <c:pt idx="52">
                  <c:v>22.847088607594937</c:v>
                </c:pt>
                <c:pt idx="53">
                  <c:v>23.286455696202534</c:v>
                </c:pt>
                <c:pt idx="54">
                  <c:v>23.725822784810127</c:v>
                </c:pt>
                <c:pt idx="55">
                  <c:v>24.16518987341772</c:v>
                </c:pt>
                <c:pt idx="56">
                  <c:v>24.604556962025317</c:v>
                </c:pt>
                <c:pt idx="57">
                  <c:v>25.043924050632913</c:v>
                </c:pt>
                <c:pt idx="58">
                  <c:v>25.483291139240507</c:v>
                </c:pt>
                <c:pt idx="59">
                  <c:v>25.922658227848103</c:v>
                </c:pt>
                <c:pt idx="60">
                  <c:v>26.362025316455696</c:v>
                </c:pt>
                <c:pt idx="61">
                  <c:v>26.801392405063289</c:v>
                </c:pt>
                <c:pt idx="62">
                  <c:v>27.240759493670886</c:v>
                </c:pt>
                <c:pt idx="63">
                  <c:v>27.680126582278483</c:v>
                </c:pt>
                <c:pt idx="64">
                  <c:v>28.119493670886076</c:v>
                </c:pt>
                <c:pt idx="65">
                  <c:v>28.558860759493673</c:v>
                </c:pt>
                <c:pt idx="66">
                  <c:v>28.998227848101269</c:v>
                </c:pt>
                <c:pt idx="67">
                  <c:v>29.437594936708862</c:v>
                </c:pt>
                <c:pt idx="68">
                  <c:v>29.876962025316459</c:v>
                </c:pt>
                <c:pt idx="69">
                  <c:v>30.316329113924052</c:v>
                </c:pt>
                <c:pt idx="70">
                  <c:v>30.755696202531649</c:v>
                </c:pt>
                <c:pt idx="71">
                  <c:v>31.195063291139238</c:v>
                </c:pt>
                <c:pt idx="72">
                  <c:v>31.634430379746835</c:v>
                </c:pt>
                <c:pt idx="73">
                  <c:v>32.073797468354428</c:v>
                </c:pt>
                <c:pt idx="74">
                  <c:v>32.513164556962025</c:v>
                </c:pt>
                <c:pt idx="75">
                  <c:v>32.952531645569621</c:v>
                </c:pt>
                <c:pt idx="76">
                  <c:v>33.391898734177218</c:v>
                </c:pt>
                <c:pt idx="77">
                  <c:v>33.831265822784808</c:v>
                </c:pt>
                <c:pt idx="78">
                  <c:v>34.270632911392404</c:v>
                </c:pt>
                <c:pt idx="79">
                  <c:v>34.71</c:v>
                </c:pt>
                <c:pt idx="80">
                  <c:v>35.149367088607598</c:v>
                </c:pt>
                <c:pt idx="81">
                  <c:v>35.588734177215194</c:v>
                </c:pt>
                <c:pt idx="82">
                  <c:v>36.028101265822791</c:v>
                </c:pt>
                <c:pt idx="83">
                  <c:v>36.46746835443038</c:v>
                </c:pt>
                <c:pt idx="84">
                  <c:v>36.90683544303797</c:v>
                </c:pt>
                <c:pt idx="85">
                  <c:v>37.346202531645567</c:v>
                </c:pt>
                <c:pt idx="86">
                  <c:v>37.785569620253163</c:v>
                </c:pt>
                <c:pt idx="87">
                  <c:v>38.22493670886076</c:v>
                </c:pt>
                <c:pt idx="88">
                  <c:v>38.664303797468357</c:v>
                </c:pt>
                <c:pt idx="89">
                  <c:v>39.103670886075953</c:v>
                </c:pt>
                <c:pt idx="90">
                  <c:v>39.543037974683543</c:v>
                </c:pt>
                <c:pt idx="91">
                  <c:v>39.982405063291139</c:v>
                </c:pt>
                <c:pt idx="92">
                  <c:v>40.421772151898736</c:v>
                </c:pt>
                <c:pt idx="93">
                  <c:v>40.861139240506333</c:v>
                </c:pt>
                <c:pt idx="94">
                  <c:v>41.300506329113929</c:v>
                </c:pt>
                <c:pt idx="95">
                  <c:v>41.739873417721519</c:v>
                </c:pt>
                <c:pt idx="96">
                  <c:v>42.179240506329116</c:v>
                </c:pt>
                <c:pt idx="97">
                  <c:v>42.618607594936705</c:v>
                </c:pt>
                <c:pt idx="98">
                  <c:v>43.057974683544302</c:v>
                </c:pt>
                <c:pt idx="99">
                  <c:v>43.497341772151898</c:v>
                </c:pt>
                <c:pt idx="100">
                  <c:v>43.936708860759495</c:v>
                </c:pt>
                <c:pt idx="101">
                  <c:v>44.376075949367092</c:v>
                </c:pt>
                <c:pt idx="102">
                  <c:v>44.815443037974681</c:v>
                </c:pt>
                <c:pt idx="103">
                  <c:v>45.254810126582278</c:v>
                </c:pt>
                <c:pt idx="104">
                  <c:v>45.694177215189875</c:v>
                </c:pt>
                <c:pt idx="105">
                  <c:v>46.133544303797471</c:v>
                </c:pt>
                <c:pt idx="106">
                  <c:v>46.572911392405068</c:v>
                </c:pt>
                <c:pt idx="107">
                  <c:v>47.012278481012665</c:v>
                </c:pt>
                <c:pt idx="108">
                  <c:v>47.451645569620254</c:v>
                </c:pt>
                <c:pt idx="109">
                  <c:v>47.891012658227844</c:v>
                </c:pt>
                <c:pt idx="110">
                  <c:v>48.33037974683544</c:v>
                </c:pt>
                <c:pt idx="111">
                  <c:v>48.769746835443037</c:v>
                </c:pt>
                <c:pt idx="112">
                  <c:v>49.209113924050634</c:v>
                </c:pt>
                <c:pt idx="113">
                  <c:v>49.64848101265823</c:v>
                </c:pt>
                <c:pt idx="114">
                  <c:v>50.087848101265827</c:v>
                </c:pt>
                <c:pt idx="115">
                  <c:v>50.527215189873417</c:v>
                </c:pt>
                <c:pt idx="116">
                  <c:v>50.966582278481013</c:v>
                </c:pt>
                <c:pt idx="117">
                  <c:v>51.40594936708861</c:v>
                </c:pt>
                <c:pt idx="118">
                  <c:v>51.845316455696207</c:v>
                </c:pt>
                <c:pt idx="119">
                  <c:v>52.284683544303796</c:v>
                </c:pt>
                <c:pt idx="120">
                  <c:v>52.724050632911393</c:v>
                </c:pt>
                <c:pt idx="121">
                  <c:v>53.163417721518982</c:v>
                </c:pt>
                <c:pt idx="122">
                  <c:v>53.602784810126579</c:v>
                </c:pt>
                <c:pt idx="123">
                  <c:v>54.042151898734176</c:v>
                </c:pt>
                <c:pt idx="124">
                  <c:v>54.481518987341772</c:v>
                </c:pt>
                <c:pt idx="125">
                  <c:v>54.920886075949369</c:v>
                </c:pt>
                <c:pt idx="126">
                  <c:v>55.360253164556966</c:v>
                </c:pt>
                <c:pt idx="127">
                  <c:v>55.799620253164555</c:v>
                </c:pt>
                <c:pt idx="128">
                  <c:v>56.238987341772152</c:v>
                </c:pt>
                <c:pt idx="129">
                  <c:v>56.678354430379748</c:v>
                </c:pt>
                <c:pt idx="130">
                  <c:v>57.117721518987345</c:v>
                </c:pt>
                <c:pt idx="131">
                  <c:v>57.557088607594942</c:v>
                </c:pt>
                <c:pt idx="132">
                  <c:v>57.996455696202538</c:v>
                </c:pt>
                <c:pt idx="133">
                  <c:v>58.435822784810128</c:v>
                </c:pt>
                <c:pt idx="134">
                  <c:v>58.875189873417725</c:v>
                </c:pt>
                <c:pt idx="135">
                  <c:v>59.314556962025321</c:v>
                </c:pt>
                <c:pt idx="136">
                  <c:v>59.753924050632918</c:v>
                </c:pt>
                <c:pt idx="137">
                  <c:v>60.193291139240515</c:v>
                </c:pt>
                <c:pt idx="138">
                  <c:v>60.632658227848104</c:v>
                </c:pt>
                <c:pt idx="139">
                  <c:v>61.072025316455701</c:v>
                </c:pt>
                <c:pt idx="140">
                  <c:v>61.511392405063297</c:v>
                </c:pt>
                <c:pt idx="141">
                  <c:v>61.95075949367088</c:v>
                </c:pt>
                <c:pt idx="142">
                  <c:v>62.390126582278477</c:v>
                </c:pt>
                <c:pt idx="143">
                  <c:v>62.829493670886073</c:v>
                </c:pt>
                <c:pt idx="144">
                  <c:v>63.26886075949367</c:v>
                </c:pt>
                <c:pt idx="145">
                  <c:v>63.708227848101266</c:v>
                </c:pt>
                <c:pt idx="146">
                  <c:v>64.147594936708856</c:v>
                </c:pt>
                <c:pt idx="147">
                  <c:v>64.586962025316453</c:v>
                </c:pt>
                <c:pt idx="148">
                  <c:v>65.026329113924049</c:v>
                </c:pt>
                <c:pt idx="149">
                  <c:v>65.465696202531646</c:v>
                </c:pt>
                <c:pt idx="150">
                  <c:v>65.905063291139243</c:v>
                </c:pt>
                <c:pt idx="151">
                  <c:v>66.344430379746839</c:v>
                </c:pt>
                <c:pt idx="152">
                  <c:v>66.783797468354436</c:v>
                </c:pt>
                <c:pt idx="153">
                  <c:v>67.223164556962033</c:v>
                </c:pt>
                <c:pt idx="154">
                  <c:v>67.662531645569615</c:v>
                </c:pt>
                <c:pt idx="155">
                  <c:v>68.101898734177212</c:v>
                </c:pt>
                <c:pt idx="156">
                  <c:v>68.541265822784808</c:v>
                </c:pt>
                <c:pt idx="157">
                  <c:v>68.980632911392405</c:v>
                </c:pt>
                <c:pt idx="158">
                  <c:v>69.42</c:v>
                </c:pt>
                <c:pt idx="159">
                  <c:v>69.859367088607598</c:v>
                </c:pt>
              </c:numCache>
            </c:numRef>
          </c:val>
          <c:smooth val="0"/>
          <c:extLst>
            <c:ext xmlns:c16="http://schemas.microsoft.com/office/drawing/2014/chart" uri="{C3380CC4-5D6E-409C-BE32-E72D297353CC}">
              <c16:uniqueId val="{00000001-46AB-4CA8-880B-26DB05E96761}"/>
            </c:ext>
          </c:extLst>
        </c:ser>
        <c:dLbls>
          <c:showLegendKey val="0"/>
          <c:showVal val="0"/>
          <c:showCatName val="0"/>
          <c:showSerName val="0"/>
          <c:showPercent val="0"/>
          <c:showBubbleSize val="0"/>
        </c:dLbls>
        <c:hiLowLines>
          <c:spPr>
            <a:ln w="0">
              <a:noFill/>
            </a:ln>
          </c:spPr>
        </c:hiLowLines>
        <c:marker val="1"/>
        <c:smooth val="0"/>
        <c:axId val="92809072"/>
        <c:axId val="80600983"/>
      </c:lineChart>
      <c:dateAx>
        <c:axId val="44228780"/>
        <c:scaling>
          <c:orientation val="minMax"/>
        </c:scaling>
        <c:delete val="1"/>
        <c:axPos val="b"/>
        <c:numFmt formatCode="mm/dd/yyyy" sourceLinked="1"/>
        <c:majorTickMark val="none"/>
        <c:minorTickMark val="none"/>
        <c:tickLblPos val="nextTo"/>
        <c:crossAx val="739852"/>
        <c:crosses val="autoZero"/>
        <c:auto val="1"/>
        <c:lblOffset val="100"/>
        <c:baseTimeUnit val="days"/>
      </c:dateAx>
      <c:valAx>
        <c:axId val="73985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4228780"/>
        <c:crosses val="autoZero"/>
        <c:crossBetween val="between"/>
      </c:valAx>
      <c:dateAx>
        <c:axId val="92809072"/>
        <c:scaling>
          <c:orientation val="minMax"/>
        </c:scaling>
        <c:delete val="1"/>
        <c:axPos val="b"/>
        <c:numFmt formatCode="mm/dd/yyyy" sourceLinked="1"/>
        <c:majorTickMark val="none"/>
        <c:minorTickMark val="none"/>
        <c:tickLblPos val="nextTo"/>
        <c:crossAx val="80600983"/>
        <c:crosses val="autoZero"/>
        <c:auto val="1"/>
        <c:lblOffset val="100"/>
        <c:baseTimeUnit val="days"/>
      </c:dateAx>
      <c:valAx>
        <c:axId val="80600983"/>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92809072"/>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JEPQ</a:t>
            </a:r>
          </a:p>
        </c:rich>
      </c:tx>
      <c:overlay val="0"/>
      <c:spPr>
        <a:noFill/>
        <a:ln w="0">
          <a:noFill/>
        </a:ln>
      </c:spPr>
    </c:title>
    <c:autoTitleDeleted val="0"/>
    <c:plotArea>
      <c:layout/>
      <c:barChart>
        <c:barDir val="col"/>
        <c:grouping val="clustered"/>
        <c:varyColors val="0"/>
        <c:ser>
          <c:idx val="0"/>
          <c:order val="0"/>
          <c:tx>
            <c:strRef>
              <c:f>'Returns (Calc)'!$R$2</c:f>
              <c:strCache>
                <c:ptCount val="1"/>
                <c:pt idx="0">
                  <c:v>JEPQ</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(Calc)'!$R$3:$R$500</c:f>
              <c:numCache>
                <c:formatCode>0.0%</c:formatCode>
                <c:ptCount val="498"/>
                <c:pt idx="0">
                  <c:v>-2.6972157772621852E-2</c:v>
                </c:pt>
                <c:pt idx="1">
                  <c:v>5.9612518628915367E-4</c:v>
                </c:pt>
                <c:pt idx="2">
                  <c:v>1.3106940720881699E-2</c:v>
                </c:pt>
                <c:pt idx="3">
                  <c:v>2.646280505733678E-3</c:v>
                </c:pt>
                <c:pt idx="4">
                  <c:v>-1.9648093841642233E-2</c:v>
                </c:pt>
                <c:pt idx="5">
                  <c:v>-2.0939276099312121E-2</c:v>
                </c:pt>
                <c:pt idx="6">
                  <c:v>5.7439657806293898E-2</c:v>
                </c:pt>
                <c:pt idx="7">
                  <c:v>2.080323605894252E-2</c:v>
                </c:pt>
                <c:pt idx="8">
                  <c:v>9.3405038211151759E-3</c:v>
                </c:pt>
                <c:pt idx="9">
                  <c:v>5.328098710039475E-3</c:v>
                </c:pt>
                <c:pt idx="10">
                  <c:v>1.9525801952580135E-3</c:v>
                </c:pt>
                <c:pt idx="11">
                  <c:v>7.2383073496657957E-3</c:v>
                </c:pt>
                <c:pt idx="12">
                  <c:v>1.5201768933112092E-2</c:v>
                </c:pt>
                <c:pt idx="13">
                  <c:v>2.9948271167983265E-3</c:v>
                </c:pt>
                <c:pt idx="14">
                  <c:v>3.2573289902280145E-3</c:v>
                </c:pt>
                <c:pt idx="15">
                  <c:v>-1.5692640692640647E-2</c:v>
                </c:pt>
                <c:pt idx="16">
                  <c:v>2.7487630566245258E-2</c:v>
                </c:pt>
                <c:pt idx="17">
                  <c:v>1.7656500802568198E-2</c:v>
                </c:pt>
                <c:pt idx="18">
                  <c:v>7.8864353312304569E-3</c:v>
                </c:pt>
                <c:pt idx="19">
                  <c:v>9.650495565988404E-3</c:v>
                </c:pt>
                <c:pt idx="20">
                  <c:v>1.0591578403513324E-2</c:v>
                </c:pt>
                <c:pt idx="21">
                  <c:v>-3.323108384457929E-3</c:v>
                </c:pt>
                <c:pt idx="22">
                  <c:v>1.2567324955116588E-2</c:v>
                </c:pt>
                <c:pt idx="23">
                  <c:v>1.2664640324214771E-2</c:v>
                </c:pt>
                <c:pt idx="24">
                  <c:v>-1.5007503751874873E-3</c:v>
                </c:pt>
                <c:pt idx="25">
                  <c:v>-5.2605210420841875E-3</c:v>
                </c:pt>
                <c:pt idx="26">
                  <c:v>2.5686225132208307E-2</c:v>
                </c:pt>
                <c:pt idx="27">
                  <c:v>-4.9103854652576828E-4</c:v>
                </c:pt>
                <c:pt idx="28">
                  <c:v>-4.1758781626136665E-3</c:v>
                </c:pt>
                <c:pt idx="29">
                  <c:v>-3.453379378391741E-3</c:v>
                </c:pt>
                <c:pt idx="30">
                  <c:v>-4.8019801980197951E-2</c:v>
                </c:pt>
                <c:pt idx="31">
                  <c:v>3.5881435257410388E-2</c:v>
                </c:pt>
                <c:pt idx="32">
                  <c:v>1.0040160642570184E-2</c:v>
                </c:pt>
                <c:pt idx="33">
                  <c:v>1.391650099403563E-2</c:v>
                </c:pt>
                <c:pt idx="34">
                  <c:v>1.2009803921568585E-2</c:v>
                </c:pt>
                <c:pt idx="35">
                  <c:v>4.6015984499878648E-3</c:v>
                </c:pt>
                <c:pt idx="36">
                  <c:v>-3.3751205400190942E-3</c:v>
                </c:pt>
                <c:pt idx="37">
                  <c:v>1.4029995162070596E-2</c:v>
                </c:pt>
                <c:pt idx="38">
                  <c:v>1.2643129770992356E-2</c:v>
                </c:pt>
                <c:pt idx="39">
                  <c:v>9.4228504122484402E-4</c:v>
                </c:pt>
                <c:pt idx="40">
                  <c:v>4.7069898799716459E-3</c:v>
                </c:pt>
                <c:pt idx="41">
                  <c:v>1.4523307566174815E-2</c:v>
                </c:pt>
                <c:pt idx="42">
                  <c:v>-6.9268067420924506E-4</c:v>
                </c:pt>
                <c:pt idx="43">
                  <c:v>-2.957486136783738E-2</c:v>
                </c:pt>
                <c:pt idx="44">
                  <c:v>-2.261904761904765E-2</c:v>
                </c:pt>
                <c:pt idx="45">
                  <c:v>-2.655298416565155E-2</c:v>
                </c:pt>
                <c:pt idx="46">
                  <c:v>2.752752752752663E-3</c:v>
                </c:pt>
                <c:pt idx="47">
                  <c:v>4.217619166458686E-2</c:v>
                </c:pt>
                <c:pt idx="48">
                  <c:v>8.3812260536397787E-3</c:v>
                </c:pt>
                <c:pt idx="49">
                  <c:v>3.3246259795773891E-3</c:v>
                </c:pt>
                <c:pt idx="50">
                  <c:v>-4.0236686390532572E-2</c:v>
                </c:pt>
                <c:pt idx="51">
                  <c:v>4.636251541307046E-2</c:v>
                </c:pt>
                <c:pt idx="52">
                  <c:v>1.2491161913740223E-2</c:v>
                </c:pt>
                <c:pt idx="53">
                  <c:v>6.9832402234635271E-3</c:v>
                </c:pt>
                <c:pt idx="54">
                  <c:v>2.3116042533517511E-3</c:v>
                </c:pt>
                <c:pt idx="55">
                  <c:v>8.9944649446493941E-3</c:v>
                </c:pt>
                <c:pt idx="56">
                  <c:v>7.5428571428570734E-3</c:v>
                </c:pt>
                <c:pt idx="57">
                  <c:v>2.2686025408349408E-3</c:v>
                </c:pt>
                <c:pt idx="58">
                  <c:v>-8.3748302399274666E-3</c:v>
                </c:pt>
                <c:pt idx="59">
                  <c:v>3.8575667655786239E-2</c:v>
                </c:pt>
                <c:pt idx="60">
                  <c:v>-1.6483516483516536E-2</c:v>
                </c:pt>
                <c:pt idx="61">
                  <c:v>1.7206703910614518E-2</c:v>
                </c:pt>
                <c:pt idx="62">
                  <c:v>9.2267135325130312E-3</c:v>
                </c:pt>
                <c:pt idx="63">
                  <c:v>1.8502394427514224E-2</c:v>
                </c:pt>
                <c:pt idx="64">
                  <c:v>3.8469758495405237E-3</c:v>
                </c:pt>
                <c:pt idx="65">
                  <c:v>-1.1070896316797918E-2</c:v>
                </c:pt>
                <c:pt idx="66">
                  <c:v>9.2572658772873684E-3</c:v>
                </c:pt>
                <c:pt idx="67">
                  <c:v>-3.4129692832765013E-3</c:v>
                </c:pt>
                <c:pt idx="68">
                  <c:v>-1.9263698630136994E-2</c:v>
                </c:pt>
                <c:pt idx="69">
                  <c:v>2.3134002618943716E-2</c:v>
                </c:pt>
                <c:pt idx="70">
                  <c:v>1.3865187713310467E-2</c:v>
                </c:pt>
                <c:pt idx="71">
                  <c:v>-1.0309278350515538E-2</c:v>
                </c:pt>
                <c:pt idx="72">
                  <c:v>2.5510204081631294E-3</c:v>
                </c:pt>
                <c:pt idx="73">
                  <c:v>1.929601357082289E-2</c:v>
                </c:pt>
                <c:pt idx="74">
                  <c:v>-1.2065737466195103E-2</c:v>
                </c:pt>
                <c:pt idx="75">
                  <c:v>-2.7584754685196944E-2</c:v>
                </c:pt>
                <c:pt idx="76">
                  <c:v>-3.1398873971416275E-2</c:v>
                </c:pt>
                <c:pt idx="77">
                  <c:v>-2.123854236530287E-2</c:v>
                </c:pt>
                <c:pt idx="78">
                  <c:v>3.6546368204659618E-3</c:v>
                </c:pt>
                <c:pt idx="79">
                  <c:v>-1.8889394629039602E-2</c:v>
                </c:pt>
                <c:pt idx="80">
                  <c:v>-9.0930178612850909E-2</c:v>
                </c:pt>
                <c:pt idx="81">
                  <c:v>6.3026282214850626E-2</c:v>
                </c:pt>
                <c:pt idx="82">
                  <c:v>-1.6082573211713691E-2</c:v>
                </c:pt>
                <c:pt idx="83">
                  <c:v>4.8060502561600327E-2</c:v>
                </c:pt>
                <c:pt idx="84">
                  <c:v>1.9785847299813808E-2</c:v>
                </c:pt>
                <c:pt idx="85">
                  <c:v>2.7391006619492675E-3</c:v>
                </c:pt>
                <c:pt idx="86">
                  <c:v>1.7300250398361028E-2</c:v>
                </c:pt>
                <c:pt idx="87">
                  <c:v>-9.1743119266054496E-3</c:v>
                </c:pt>
                <c:pt idx="88">
                  <c:v>1.129177958446248E-2</c:v>
                </c:pt>
                <c:pt idx="89">
                  <c:v>1.3175524787851556E-2</c:v>
                </c:pt>
                <c:pt idx="90">
                  <c:v>-1.9836896627726253E-3</c:v>
                </c:pt>
                <c:pt idx="91">
                  <c:v>3.0918727915194566E-3</c:v>
                </c:pt>
                <c:pt idx="92">
                  <c:v>2.8841919859092791E-2</c:v>
                </c:pt>
                <c:pt idx="93">
                  <c:v>7.0618446394179468E-3</c:v>
                </c:pt>
                <c:pt idx="94">
                  <c:v>3.612409689757623E-3</c:v>
                </c:pt>
                <c:pt idx="95">
                  <c:v>6.1401651492696274E-3</c:v>
                </c:pt>
                <c:pt idx="96">
                  <c:v>7.1548821548821362E-3</c:v>
                </c:pt>
                <c:pt idx="97">
                  <c:v>-1.5252820727120753E-2</c:v>
                </c:pt>
                <c:pt idx="98">
                  <c:v>2.8219817525992008E-2</c:v>
                </c:pt>
                <c:pt idx="99">
                  <c:v>8.6669418076765758E-3</c:v>
                </c:pt>
                <c:pt idx="100">
                  <c:v>-2.4549918166940632E-3</c:v>
                </c:pt>
                <c:pt idx="101">
                  <c:v>2.0508613617731264E-4</c:v>
                </c:pt>
                <c:pt idx="102">
                  <c:v>9.8421160549517772E-3</c:v>
                </c:pt>
                <c:pt idx="103">
                  <c:v>1.3604060913705585E-2</c:v>
                </c:pt>
                <c:pt idx="104">
                  <c:v>1.1017628205128194E-2</c:v>
                </c:pt>
                <c:pt idx="105">
                  <c:v>1.5851000594411246E-3</c:v>
                </c:pt>
                <c:pt idx="106">
                  <c:v>8.3086053412462224E-3</c:v>
                </c:pt>
                <c:pt idx="107">
                  <c:v>-1.6676476358642334E-2</c:v>
                </c:pt>
                <c:pt idx="108">
                  <c:v>2.0550678371907383E-2</c:v>
                </c:pt>
                <c:pt idx="109">
                  <c:v>1.8572825024437911E-2</c:v>
                </c:pt>
                <c:pt idx="110">
                  <c:v>9.4049904030710785E-3</c:v>
                </c:pt>
                <c:pt idx="111">
                  <c:v>-1.5592317931165667E-2</c:v>
                </c:pt>
                <c:pt idx="112">
                  <c:v>1.9316206297081973E-3</c:v>
                </c:pt>
                <c:pt idx="113">
                  <c:v>-2.7376132639290396E-2</c:v>
                </c:pt>
                <c:pt idx="114">
                  <c:v>4.5787908820614343E-2</c:v>
                </c:pt>
                <c:pt idx="115">
                  <c:v>9.6664139499622603E-3</c:v>
                </c:pt>
                <c:pt idx="116">
                  <c:v>-1.0887929416181774E-2</c:v>
                </c:pt>
                <c:pt idx="117">
                  <c:v>7.4017840197380114E-3</c:v>
                </c:pt>
                <c:pt idx="118">
                  <c:v>1.2434061793519247E-2</c:v>
                </c:pt>
                <c:pt idx="119">
                  <c:v>-1.1537030145143401E-2</c:v>
                </c:pt>
                <c:pt idx="120">
                  <c:v>1.8448795180723065E-2</c:v>
                </c:pt>
                <c:pt idx="121">
                  <c:v>-4.0665434380776633E-3</c:v>
                </c:pt>
                <c:pt idx="122">
                  <c:v>5.1967334818112665E-3</c:v>
                </c:pt>
                <c:pt idx="123">
                  <c:v>3.5081240768095601E-3</c:v>
                </c:pt>
                <c:pt idx="124">
                  <c:v>-1.5455381784728717E-2</c:v>
                </c:pt>
                <c:pt idx="125">
                  <c:v>-9.3440478415249828E-3</c:v>
                </c:pt>
                <c:pt idx="126">
                  <c:v>1.1129975476325216E-2</c:v>
                </c:pt>
                <c:pt idx="127">
                  <c:v>-1.8656716417910779E-3</c:v>
                </c:pt>
                <c:pt idx="128">
                  <c:v>-1.1962616822429939E-2</c:v>
                </c:pt>
                <c:pt idx="129">
                  <c:v>-5.107832009080493E-3</c:v>
                </c:pt>
                <c:pt idx="130">
                  <c:v>-1.4071116181783694E-2</c:v>
                </c:pt>
                <c:pt idx="131">
                  <c:v>-2.9315332690453277E-2</c:v>
                </c:pt>
                <c:pt idx="132">
                  <c:v>3.7552155771905404E-2</c:v>
                </c:pt>
                <c:pt idx="133">
                  <c:v>3.6384527001148914E-2</c:v>
                </c:pt>
                <c:pt idx="134">
                  <c:v>1.8107908351810975E-2</c:v>
                </c:pt>
                <c:pt idx="135">
                  <c:v>5.6261343012702358E-3</c:v>
                </c:pt>
                <c:pt idx="136">
                  <c:v>7.9408049088613986E-3</c:v>
                </c:pt>
                <c:pt idx="137">
                  <c:v>1.271262309758292E-2</c:v>
                </c:pt>
                <c:pt idx="138">
                  <c:v>2.652050919377702E-3</c:v>
                </c:pt>
                <c:pt idx="139">
                  <c:v>7.4061012167165874E-3</c:v>
                </c:pt>
                <c:pt idx="140">
                  <c:v>1.5578505163661882E-2</c:v>
                </c:pt>
                <c:pt idx="141">
                  <c:v>-2.792140641158225E-2</c:v>
                </c:pt>
                <c:pt idx="142">
                  <c:v>1.6312056737588732E-2</c:v>
                </c:pt>
                <c:pt idx="143">
                  <c:v>2.4773203070481475E-2</c:v>
                </c:pt>
                <c:pt idx="144">
                  <c:v>-3.1324480762683016E-2</c:v>
                </c:pt>
                <c:pt idx="145">
                  <c:v>1.001757469244291E-2</c:v>
                </c:pt>
                <c:pt idx="146">
                  <c:v>1.8792413433095456E-2</c:v>
                </c:pt>
                <c:pt idx="147">
                  <c:v>-3.2963279248505506E-2</c:v>
                </c:pt>
                <c:pt idx="148">
                  <c:v>-9.3606499470151316E-3</c:v>
                </c:pt>
                <c:pt idx="149">
                  <c:v>4.9919771795328138E-3</c:v>
                </c:pt>
                <c:pt idx="150">
                  <c:v>3.8140855064750845E-2</c:v>
                </c:pt>
                <c:pt idx="151">
                  <c:v>1.3157894736842035E-2</c:v>
                </c:pt>
                <c:pt idx="152">
                  <c:v>-1.1469050430089389E-2</c:v>
                </c:pt>
                <c:pt idx="153">
                  <c:v>5.2891997952568826E-3</c:v>
                </c:pt>
                <c:pt idx="154">
                  <c:v>6.7888662593347249E-3</c:v>
                </c:pt>
                <c:pt idx="155">
                  <c:v>-1.5171948752529252E-3</c:v>
                </c:pt>
                <c:pt idx="156">
                  <c:v>7.5975012662503616E-3</c:v>
                </c:pt>
                <c:pt idx="157">
                  <c:v>1.6588471849865893E-2</c:v>
                </c:pt>
                <c:pt idx="158">
                  <c:v>6.0985660128562991E-3</c:v>
                </c:pt>
                <c:pt idx="159">
                  <c:v>0</c:v>
                </c:pt>
              </c:numCache>
            </c:numRef>
          </c:val>
          <c:extLst>
            <c:ext xmlns:c16="http://schemas.microsoft.com/office/drawing/2014/chart" uri="{C3380CC4-5D6E-409C-BE32-E72D297353CC}">
              <c16:uniqueId val="{00000000-7E1B-4F4C-B5A9-A5FE2FC4CCC2}"/>
            </c:ext>
          </c:extLst>
        </c:ser>
        <c:dLbls>
          <c:showLegendKey val="0"/>
          <c:showVal val="0"/>
          <c:showCatName val="0"/>
          <c:showSerName val="0"/>
          <c:showPercent val="0"/>
          <c:showBubbleSize val="0"/>
        </c:dLbls>
        <c:gapWidth val="150"/>
        <c:axId val="51760532"/>
        <c:axId val="63510168"/>
      </c:barChart>
      <c:lineChart>
        <c:grouping val="standard"/>
        <c:varyColors val="0"/>
        <c:ser>
          <c:idx val="1"/>
          <c:order val="1"/>
          <c:tx>
            <c:strRef>
              <c:f>'Returns (Calc)'!$AL$2</c:f>
              <c:strCache>
                <c:ptCount val="1"/>
                <c:pt idx="0">
                  <c:v>JEPQ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(Calc)'!$AL$3:$AL$500</c:f>
              <c:numCache>
                <c:formatCode>#,##0.00</c:formatCode>
                <c:ptCount val="498"/>
                <c:pt idx="0">
                  <c:v>34.479999999999997</c:v>
                </c:pt>
                <c:pt idx="1">
                  <c:v>34.648101265822781</c:v>
                </c:pt>
                <c:pt idx="2">
                  <c:v>34.816202531645565</c:v>
                </c:pt>
                <c:pt idx="3">
                  <c:v>34.98430379746835</c:v>
                </c:pt>
                <c:pt idx="4">
                  <c:v>35.152405063291134</c:v>
                </c:pt>
                <c:pt idx="5">
                  <c:v>35.320506329113918</c:v>
                </c:pt>
                <c:pt idx="6">
                  <c:v>35.488607594936703</c:v>
                </c:pt>
                <c:pt idx="7">
                  <c:v>35.656708860759494</c:v>
                </c:pt>
                <c:pt idx="8">
                  <c:v>35.824810126582278</c:v>
                </c:pt>
                <c:pt idx="9">
                  <c:v>35.992911392405063</c:v>
                </c:pt>
                <c:pt idx="10">
                  <c:v>36.161012658227847</c:v>
                </c:pt>
                <c:pt idx="11">
                  <c:v>36.329113924050631</c:v>
                </c:pt>
                <c:pt idx="12">
                  <c:v>36.497215189873415</c:v>
                </c:pt>
                <c:pt idx="13">
                  <c:v>36.6653164556962</c:v>
                </c:pt>
                <c:pt idx="14">
                  <c:v>36.833417721518984</c:v>
                </c:pt>
                <c:pt idx="15">
                  <c:v>37.001518987341768</c:v>
                </c:pt>
                <c:pt idx="16">
                  <c:v>37.169620253164553</c:v>
                </c:pt>
                <c:pt idx="17">
                  <c:v>37.337721518987337</c:v>
                </c:pt>
                <c:pt idx="18">
                  <c:v>37.505822784810121</c:v>
                </c:pt>
                <c:pt idx="19">
                  <c:v>37.673924050632905</c:v>
                </c:pt>
                <c:pt idx="20">
                  <c:v>37.84202531645569</c:v>
                </c:pt>
                <c:pt idx="21">
                  <c:v>38.010126582278481</c:v>
                </c:pt>
                <c:pt idx="22">
                  <c:v>38.178227848101265</c:v>
                </c:pt>
                <c:pt idx="23">
                  <c:v>38.34632911392405</c:v>
                </c:pt>
                <c:pt idx="24">
                  <c:v>38.514430379746834</c:v>
                </c:pt>
                <c:pt idx="25">
                  <c:v>38.682531645569618</c:v>
                </c:pt>
                <c:pt idx="26">
                  <c:v>38.850632911392402</c:v>
                </c:pt>
                <c:pt idx="27">
                  <c:v>39.018734177215187</c:v>
                </c:pt>
                <c:pt idx="28">
                  <c:v>39.186835443037971</c:v>
                </c:pt>
                <c:pt idx="29">
                  <c:v>39.354936708860755</c:v>
                </c:pt>
                <c:pt idx="30">
                  <c:v>39.52303797468354</c:v>
                </c:pt>
                <c:pt idx="31">
                  <c:v>39.691139240506324</c:v>
                </c:pt>
                <c:pt idx="32">
                  <c:v>39.859240506329108</c:v>
                </c:pt>
                <c:pt idx="33">
                  <c:v>40.0273417721519</c:v>
                </c:pt>
                <c:pt idx="34">
                  <c:v>40.195443037974684</c:v>
                </c:pt>
                <c:pt idx="35">
                  <c:v>40.363544303797468</c:v>
                </c:pt>
                <c:pt idx="36">
                  <c:v>40.531645569620252</c:v>
                </c:pt>
                <c:pt idx="37">
                  <c:v>40.699746835443037</c:v>
                </c:pt>
                <c:pt idx="38">
                  <c:v>40.867848101265821</c:v>
                </c:pt>
                <c:pt idx="39">
                  <c:v>41.035949367088605</c:v>
                </c:pt>
                <c:pt idx="40">
                  <c:v>41.20405063291139</c:v>
                </c:pt>
                <c:pt idx="41">
                  <c:v>41.372151898734174</c:v>
                </c:pt>
                <c:pt idx="42">
                  <c:v>41.540253164556958</c:v>
                </c:pt>
                <c:pt idx="43">
                  <c:v>41.708354430379742</c:v>
                </c:pt>
                <c:pt idx="44">
                  <c:v>41.876455696202527</c:v>
                </c:pt>
                <c:pt idx="45">
                  <c:v>42.044556962025311</c:v>
                </c:pt>
                <c:pt idx="46">
                  <c:v>42.212658227848102</c:v>
                </c:pt>
                <c:pt idx="47">
                  <c:v>42.380759493670887</c:v>
                </c:pt>
                <c:pt idx="48">
                  <c:v>42.548860759493671</c:v>
                </c:pt>
                <c:pt idx="49">
                  <c:v>42.716962025316455</c:v>
                </c:pt>
                <c:pt idx="50">
                  <c:v>42.88506329113924</c:v>
                </c:pt>
                <c:pt idx="51">
                  <c:v>43.053164556962024</c:v>
                </c:pt>
                <c:pt idx="52">
                  <c:v>43.221265822784808</c:v>
                </c:pt>
                <c:pt idx="53">
                  <c:v>43.389367088607592</c:v>
                </c:pt>
                <c:pt idx="54">
                  <c:v>43.557468354430377</c:v>
                </c:pt>
                <c:pt idx="55">
                  <c:v>43.725569620253161</c:v>
                </c:pt>
                <c:pt idx="56">
                  <c:v>43.893670886075945</c:v>
                </c:pt>
                <c:pt idx="57">
                  <c:v>44.06177215189873</c:v>
                </c:pt>
                <c:pt idx="58">
                  <c:v>44.229873417721514</c:v>
                </c:pt>
                <c:pt idx="59">
                  <c:v>44.397974683544305</c:v>
                </c:pt>
                <c:pt idx="60">
                  <c:v>44.566075949367089</c:v>
                </c:pt>
                <c:pt idx="61">
                  <c:v>44.734177215189874</c:v>
                </c:pt>
                <c:pt idx="62">
                  <c:v>44.902278481012658</c:v>
                </c:pt>
                <c:pt idx="63">
                  <c:v>45.070379746835442</c:v>
                </c:pt>
                <c:pt idx="64">
                  <c:v>45.238481012658227</c:v>
                </c:pt>
                <c:pt idx="65">
                  <c:v>45.406582278481011</c:v>
                </c:pt>
                <c:pt idx="66">
                  <c:v>45.574683544303795</c:v>
                </c:pt>
                <c:pt idx="67">
                  <c:v>45.742784810126579</c:v>
                </c:pt>
                <c:pt idx="68">
                  <c:v>45.910886075949364</c:v>
                </c:pt>
                <c:pt idx="69">
                  <c:v>46.078987341772148</c:v>
                </c:pt>
                <c:pt idx="70">
                  <c:v>46.247088607594932</c:v>
                </c:pt>
                <c:pt idx="71">
                  <c:v>46.415189873417717</c:v>
                </c:pt>
                <c:pt idx="72">
                  <c:v>46.583291139240501</c:v>
                </c:pt>
                <c:pt idx="73">
                  <c:v>46.751392405063285</c:v>
                </c:pt>
                <c:pt idx="74">
                  <c:v>46.919493670886069</c:v>
                </c:pt>
                <c:pt idx="75">
                  <c:v>47.087594936708861</c:v>
                </c:pt>
                <c:pt idx="76">
                  <c:v>47.255696202531645</c:v>
                </c:pt>
                <c:pt idx="77">
                  <c:v>47.423797468354429</c:v>
                </c:pt>
                <c:pt idx="78">
                  <c:v>47.591898734177214</c:v>
                </c:pt>
                <c:pt idx="79">
                  <c:v>47.76</c:v>
                </c:pt>
                <c:pt idx="80">
                  <c:v>47.928101265822782</c:v>
                </c:pt>
                <c:pt idx="81">
                  <c:v>48.096202531645567</c:v>
                </c:pt>
                <c:pt idx="82">
                  <c:v>48.264303797468351</c:v>
                </c:pt>
                <c:pt idx="83">
                  <c:v>48.432405063291135</c:v>
                </c:pt>
                <c:pt idx="84">
                  <c:v>48.600506329113919</c:v>
                </c:pt>
                <c:pt idx="85">
                  <c:v>48.768607594936711</c:v>
                </c:pt>
                <c:pt idx="86">
                  <c:v>48.936708860759495</c:v>
                </c:pt>
                <c:pt idx="87">
                  <c:v>49.104810126582279</c:v>
                </c:pt>
                <c:pt idx="88">
                  <c:v>49.272911392405064</c:v>
                </c:pt>
                <c:pt idx="89">
                  <c:v>49.441012658227848</c:v>
                </c:pt>
                <c:pt idx="90">
                  <c:v>49.609113924050632</c:v>
                </c:pt>
                <c:pt idx="91">
                  <c:v>49.777215189873417</c:v>
                </c:pt>
                <c:pt idx="92">
                  <c:v>49.945316455696201</c:v>
                </c:pt>
                <c:pt idx="93">
                  <c:v>50.113417721518985</c:v>
                </c:pt>
                <c:pt idx="94">
                  <c:v>50.281518987341769</c:v>
                </c:pt>
                <c:pt idx="95">
                  <c:v>50.449620253164554</c:v>
                </c:pt>
                <c:pt idx="96">
                  <c:v>50.617721518987338</c:v>
                </c:pt>
                <c:pt idx="97">
                  <c:v>50.785822784810122</c:v>
                </c:pt>
                <c:pt idx="98">
                  <c:v>50.953924050632907</c:v>
                </c:pt>
                <c:pt idx="99">
                  <c:v>51.122025316455691</c:v>
                </c:pt>
                <c:pt idx="100">
                  <c:v>51.290126582278475</c:v>
                </c:pt>
                <c:pt idx="101">
                  <c:v>51.458227848101266</c:v>
                </c:pt>
                <c:pt idx="102">
                  <c:v>51.626329113924051</c:v>
                </c:pt>
                <c:pt idx="103">
                  <c:v>51.794430379746835</c:v>
                </c:pt>
                <c:pt idx="104">
                  <c:v>51.962531645569619</c:v>
                </c:pt>
                <c:pt idx="105">
                  <c:v>52.130632911392404</c:v>
                </c:pt>
                <c:pt idx="106">
                  <c:v>52.298734177215188</c:v>
                </c:pt>
                <c:pt idx="107">
                  <c:v>52.466835443037972</c:v>
                </c:pt>
                <c:pt idx="108">
                  <c:v>52.634936708860764</c:v>
                </c:pt>
                <c:pt idx="109">
                  <c:v>52.803037974683548</c:v>
                </c:pt>
                <c:pt idx="110">
                  <c:v>52.971139240506332</c:v>
                </c:pt>
                <c:pt idx="111">
                  <c:v>53.139240506329116</c:v>
                </c:pt>
                <c:pt idx="112">
                  <c:v>53.307341772151901</c:v>
                </c:pt>
                <c:pt idx="113">
                  <c:v>53.475443037974685</c:v>
                </c:pt>
                <c:pt idx="114">
                  <c:v>53.643544303797469</c:v>
                </c:pt>
                <c:pt idx="115">
                  <c:v>53.811645569620254</c:v>
                </c:pt>
                <c:pt idx="116">
                  <c:v>53.979746835443038</c:v>
                </c:pt>
                <c:pt idx="117">
                  <c:v>54.147848101265822</c:v>
                </c:pt>
                <c:pt idx="118">
                  <c:v>54.315949367088606</c:v>
                </c:pt>
                <c:pt idx="119">
                  <c:v>54.484050632911391</c:v>
                </c:pt>
                <c:pt idx="120">
                  <c:v>54.652151898734175</c:v>
                </c:pt>
                <c:pt idx="121">
                  <c:v>54.820253164556959</c:v>
                </c:pt>
                <c:pt idx="122">
                  <c:v>54.988354430379744</c:v>
                </c:pt>
                <c:pt idx="123">
                  <c:v>55.156455696202528</c:v>
                </c:pt>
                <c:pt idx="124">
                  <c:v>55.324556962025312</c:v>
                </c:pt>
                <c:pt idx="125">
                  <c:v>55.492658227848096</c:v>
                </c:pt>
                <c:pt idx="126">
                  <c:v>55.660759493670881</c:v>
                </c:pt>
                <c:pt idx="127">
                  <c:v>55.828860759493665</c:v>
                </c:pt>
                <c:pt idx="128">
                  <c:v>55.996962025316449</c:v>
                </c:pt>
                <c:pt idx="129">
                  <c:v>56.165063291139234</c:v>
                </c:pt>
                <c:pt idx="130">
                  <c:v>56.333164556962025</c:v>
                </c:pt>
                <c:pt idx="131">
                  <c:v>56.501265822784809</c:v>
                </c:pt>
                <c:pt idx="132">
                  <c:v>56.669367088607594</c:v>
                </c:pt>
                <c:pt idx="133">
                  <c:v>56.837468354430385</c:v>
                </c:pt>
                <c:pt idx="134">
                  <c:v>57.005569620253169</c:v>
                </c:pt>
                <c:pt idx="135">
                  <c:v>57.173670886075953</c:v>
                </c:pt>
                <c:pt idx="136">
                  <c:v>57.341772151898738</c:v>
                </c:pt>
                <c:pt idx="137">
                  <c:v>57.509873417721522</c:v>
                </c:pt>
                <c:pt idx="138">
                  <c:v>57.677974683544306</c:v>
                </c:pt>
                <c:pt idx="139">
                  <c:v>57.846075949367091</c:v>
                </c:pt>
                <c:pt idx="140">
                  <c:v>58.014177215189875</c:v>
                </c:pt>
                <c:pt idx="141">
                  <c:v>58.182278481012659</c:v>
                </c:pt>
                <c:pt idx="142">
                  <c:v>58.350379746835443</c:v>
                </c:pt>
                <c:pt idx="143">
                  <c:v>58.518481012658228</c:v>
                </c:pt>
                <c:pt idx="144">
                  <c:v>58.686582278481012</c:v>
                </c:pt>
                <c:pt idx="145">
                  <c:v>58.854683544303796</c:v>
                </c:pt>
                <c:pt idx="146">
                  <c:v>59.022784810126581</c:v>
                </c:pt>
                <c:pt idx="147">
                  <c:v>59.190886075949365</c:v>
                </c:pt>
                <c:pt idx="148">
                  <c:v>59.358987341772149</c:v>
                </c:pt>
                <c:pt idx="149">
                  <c:v>59.527088607594933</c:v>
                </c:pt>
                <c:pt idx="150">
                  <c:v>59.695189873417718</c:v>
                </c:pt>
                <c:pt idx="151">
                  <c:v>59.863291139240502</c:v>
                </c:pt>
                <c:pt idx="152">
                  <c:v>60.031392405063286</c:v>
                </c:pt>
                <c:pt idx="153">
                  <c:v>60.199493670886071</c:v>
                </c:pt>
                <c:pt idx="154">
                  <c:v>60.367594936708855</c:v>
                </c:pt>
                <c:pt idx="155">
                  <c:v>60.535696202531639</c:v>
                </c:pt>
                <c:pt idx="156">
                  <c:v>60.703797468354431</c:v>
                </c:pt>
                <c:pt idx="157">
                  <c:v>60.871898734177208</c:v>
                </c:pt>
                <c:pt idx="158">
                  <c:v>61.04</c:v>
                </c:pt>
                <c:pt idx="159">
                  <c:v>61.208101265822776</c:v>
                </c:pt>
              </c:numCache>
            </c:numRef>
          </c:val>
          <c:smooth val="0"/>
          <c:extLst>
            <c:ext xmlns:c16="http://schemas.microsoft.com/office/drawing/2014/chart" uri="{C3380CC4-5D6E-409C-BE32-E72D297353CC}">
              <c16:uniqueId val="{00000001-7E1B-4F4C-B5A9-A5FE2FC4CCC2}"/>
            </c:ext>
          </c:extLst>
        </c:ser>
        <c:dLbls>
          <c:showLegendKey val="0"/>
          <c:showVal val="0"/>
          <c:showCatName val="0"/>
          <c:showSerName val="0"/>
          <c:showPercent val="0"/>
          <c:showBubbleSize val="0"/>
        </c:dLbls>
        <c:hiLowLines>
          <c:spPr>
            <a:ln w="0">
              <a:noFill/>
            </a:ln>
          </c:spPr>
        </c:hiLowLines>
        <c:marker val="1"/>
        <c:smooth val="0"/>
        <c:axId val="15739566"/>
        <c:axId val="26880562"/>
      </c:lineChart>
      <c:dateAx>
        <c:axId val="51760532"/>
        <c:scaling>
          <c:orientation val="minMax"/>
        </c:scaling>
        <c:delete val="1"/>
        <c:axPos val="b"/>
        <c:numFmt formatCode="mm/dd/yyyy" sourceLinked="1"/>
        <c:majorTickMark val="none"/>
        <c:minorTickMark val="none"/>
        <c:tickLblPos val="nextTo"/>
        <c:crossAx val="63510168"/>
        <c:crosses val="autoZero"/>
        <c:auto val="1"/>
        <c:lblOffset val="100"/>
        <c:baseTimeUnit val="days"/>
      </c:dateAx>
      <c:valAx>
        <c:axId val="6351016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1760532"/>
        <c:crosses val="autoZero"/>
        <c:crossBetween val="between"/>
      </c:valAx>
      <c:dateAx>
        <c:axId val="15739566"/>
        <c:scaling>
          <c:orientation val="minMax"/>
        </c:scaling>
        <c:delete val="1"/>
        <c:axPos val="b"/>
        <c:numFmt formatCode="mm/dd/yyyy" sourceLinked="1"/>
        <c:majorTickMark val="none"/>
        <c:minorTickMark val="none"/>
        <c:tickLblPos val="nextTo"/>
        <c:crossAx val="26880562"/>
        <c:crosses val="autoZero"/>
        <c:auto val="1"/>
        <c:lblOffset val="100"/>
        <c:baseTimeUnit val="days"/>
      </c:dateAx>
      <c:valAx>
        <c:axId val="26880562"/>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739566"/>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SPMO</a:t>
            </a:r>
          </a:p>
        </c:rich>
      </c:tx>
      <c:overlay val="0"/>
      <c:spPr>
        <a:noFill/>
        <a:ln w="0">
          <a:noFill/>
        </a:ln>
      </c:spPr>
    </c:title>
    <c:autoTitleDeleted val="0"/>
    <c:plotArea>
      <c:layout/>
      <c:barChart>
        <c:barDir val="col"/>
        <c:grouping val="clustered"/>
        <c:varyColors val="0"/>
        <c:ser>
          <c:idx val="0"/>
          <c:order val="0"/>
          <c:tx>
            <c:strRef>
              <c:f>'Returns (Calc)'!$S$2</c:f>
              <c:strCache>
                <c:ptCount val="1"/>
                <c:pt idx="0">
                  <c:v>SPMO</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(Calc)'!$S$3:$S$500</c:f>
              <c:numCache>
                <c:formatCode>0.0%</c:formatCode>
                <c:ptCount val="498"/>
                <c:pt idx="0">
                  <c:v>-2.4292903001908783E-2</c:v>
                </c:pt>
                <c:pt idx="1">
                  <c:v>-3.0232971723278546E-3</c:v>
                </c:pt>
                <c:pt idx="2">
                  <c:v>1.1059579022475896E-2</c:v>
                </c:pt>
                <c:pt idx="3">
                  <c:v>5.6457304163726185E-3</c:v>
                </c:pt>
                <c:pt idx="4">
                  <c:v>-2.8947368421052611E-2</c:v>
                </c:pt>
                <c:pt idx="5">
                  <c:v>-2.0234869015356871E-2</c:v>
                </c:pt>
                <c:pt idx="6">
                  <c:v>5.8454729854324317E-2</c:v>
                </c:pt>
                <c:pt idx="7">
                  <c:v>2.9442508710801452E-2</c:v>
                </c:pt>
                <c:pt idx="8">
                  <c:v>2.1661871721103232E-2</c:v>
                </c:pt>
                <c:pt idx="9">
                  <c:v>5.4662912042406919E-3</c:v>
                </c:pt>
                <c:pt idx="10">
                  <c:v>-2.1416803953872021E-3</c:v>
                </c:pt>
                <c:pt idx="11">
                  <c:v>3.6321611358758332E-3</c:v>
                </c:pt>
                <c:pt idx="12">
                  <c:v>3.4216153972692842E-2</c:v>
                </c:pt>
                <c:pt idx="13">
                  <c:v>1.4951487195800972E-2</c:v>
                </c:pt>
                <c:pt idx="14">
                  <c:v>7.0521861777150807E-3</c:v>
                </c:pt>
                <c:pt idx="15">
                  <c:v>-1.0270774976657404E-2</c:v>
                </c:pt>
                <c:pt idx="16">
                  <c:v>3.0974842767295563E-2</c:v>
                </c:pt>
                <c:pt idx="17">
                  <c:v>2.1198718926338289E-2</c:v>
                </c:pt>
                <c:pt idx="18">
                  <c:v>1.6129032258064724E-2</c:v>
                </c:pt>
                <c:pt idx="19">
                  <c:v>4.5708406819517933E-2</c:v>
                </c:pt>
                <c:pt idx="20">
                  <c:v>2.3893183415319541E-2</c:v>
                </c:pt>
                <c:pt idx="21">
                  <c:v>8.3733699382291249E-3</c:v>
                </c:pt>
                <c:pt idx="22">
                  <c:v>2.232507487067803E-2</c:v>
                </c:pt>
                <c:pt idx="23">
                  <c:v>2.8095872170439407E-2</c:v>
                </c:pt>
                <c:pt idx="24">
                  <c:v>3.8855070586714113E-3</c:v>
                </c:pt>
                <c:pt idx="25">
                  <c:v>-5.1606244355567599E-3</c:v>
                </c:pt>
                <c:pt idx="26">
                  <c:v>3.0086888860070049E-2</c:v>
                </c:pt>
                <c:pt idx="27">
                  <c:v>-7.5538209744430151E-3</c:v>
                </c:pt>
                <c:pt idx="28">
                  <c:v>2.9176709374603149E-3</c:v>
                </c:pt>
                <c:pt idx="29">
                  <c:v>-1.4039969643308892E-2</c:v>
                </c:pt>
                <c:pt idx="30">
                  <c:v>-5.6831302116741589E-2</c:v>
                </c:pt>
                <c:pt idx="31">
                  <c:v>3.0059847660500738E-2</c:v>
                </c:pt>
                <c:pt idx="32">
                  <c:v>9.7715568466920644E-3</c:v>
                </c:pt>
                <c:pt idx="33">
                  <c:v>2.2230940238001873E-2</c:v>
                </c:pt>
                <c:pt idx="34">
                  <c:v>1.5095305104259937E-2</c:v>
                </c:pt>
                <c:pt idx="35">
                  <c:v>1.953371140516702E-2</c:v>
                </c:pt>
                <c:pt idx="36">
                  <c:v>-1.1001236093943101E-2</c:v>
                </c:pt>
                <c:pt idx="37">
                  <c:v>3.0371203599550034E-2</c:v>
                </c:pt>
                <c:pt idx="38">
                  <c:v>4.2212518195051008E-2</c:v>
                </c:pt>
                <c:pt idx="39">
                  <c:v>-8.1471135940414108E-4</c:v>
                </c:pt>
                <c:pt idx="40">
                  <c:v>1.8637157833432116E-3</c:v>
                </c:pt>
                <c:pt idx="41">
                  <c:v>3.1042901988140859E-2</c:v>
                </c:pt>
                <c:pt idx="42">
                  <c:v>-2.0297699594046259E-3</c:v>
                </c:pt>
                <c:pt idx="43">
                  <c:v>-4.0451977401129935E-2</c:v>
                </c:pt>
                <c:pt idx="44">
                  <c:v>-1.8841262364578504E-2</c:v>
                </c:pt>
                <c:pt idx="45">
                  <c:v>-2.9764762361977781E-2</c:v>
                </c:pt>
                <c:pt idx="46">
                  <c:v>1.7318159327065707E-2</c:v>
                </c:pt>
                <c:pt idx="47">
                  <c:v>5.7028210116731648E-2</c:v>
                </c:pt>
                <c:pt idx="48">
                  <c:v>1.3804210284136476E-2</c:v>
                </c:pt>
                <c:pt idx="49">
                  <c:v>-3.9714058776806338E-3</c:v>
                </c:pt>
                <c:pt idx="50">
                  <c:v>-5.9808612440191422E-2</c:v>
                </c:pt>
                <c:pt idx="51">
                  <c:v>6.1553374530473715E-2</c:v>
                </c:pt>
                <c:pt idx="52">
                  <c:v>1.6208195411482773E-2</c:v>
                </c:pt>
                <c:pt idx="53">
                  <c:v>-1.3478602718185462E-3</c:v>
                </c:pt>
                <c:pt idx="54">
                  <c:v>1.4958947250027999E-2</c:v>
                </c:pt>
                <c:pt idx="55">
                  <c:v>2.1609042553191626E-2</c:v>
                </c:pt>
                <c:pt idx="56">
                  <c:v>4.3388653867013627E-3</c:v>
                </c:pt>
                <c:pt idx="57">
                  <c:v>-1.4688411275515678E-2</c:v>
                </c:pt>
                <c:pt idx="58">
                  <c:v>-1.3701633234681543E-2</c:v>
                </c:pt>
                <c:pt idx="59">
                  <c:v>5.9791064681040229E-2</c:v>
                </c:pt>
                <c:pt idx="60">
                  <c:v>-3.0830536912751616E-2</c:v>
                </c:pt>
                <c:pt idx="61">
                  <c:v>1.785327851114471E-2</c:v>
                </c:pt>
                <c:pt idx="62">
                  <c:v>1.3075369405761705E-2</c:v>
                </c:pt>
                <c:pt idx="63">
                  <c:v>1.9307450157397765E-2</c:v>
                </c:pt>
                <c:pt idx="64">
                  <c:v>-9.3679225859584214E-3</c:v>
                </c:pt>
                <c:pt idx="65">
                  <c:v>-2.2446222591707476E-2</c:v>
                </c:pt>
                <c:pt idx="66">
                  <c:v>1.265015414053372E-2</c:v>
                </c:pt>
                <c:pt idx="67">
                  <c:v>3.0442998110433717E-3</c:v>
                </c:pt>
                <c:pt idx="68">
                  <c:v>-1.3500784929356247E-2</c:v>
                </c:pt>
                <c:pt idx="69">
                  <c:v>3.2145130490133678E-2</c:v>
                </c:pt>
                <c:pt idx="70">
                  <c:v>2.7135368485969869E-2</c:v>
                </c:pt>
                <c:pt idx="71">
                  <c:v>-1.2708896227359268E-2</c:v>
                </c:pt>
                <c:pt idx="72">
                  <c:v>1.9866207176160611E-2</c:v>
                </c:pt>
                <c:pt idx="73">
                  <c:v>1.0137149672033274E-2</c:v>
                </c:pt>
                <c:pt idx="74">
                  <c:v>-3.0598189689098776E-2</c:v>
                </c:pt>
                <c:pt idx="75">
                  <c:v>-1.1164112453060371E-3</c:v>
                </c:pt>
                <c:pt idx="76">
                  <c:v>-5.2631578947368474E-2</c:v>
                </c:pt>
                <c:pt idx="77">
                  <c:v>-7.1857571857572022E-3</c:v>
                </c:pt>
                <c:pt idx="78">
                  <c:v>3.7809225451010953E-3</c:v>
                </c:pt>
                <c:pt idx="79">
                  <c:v>-1.9694360740421857E-2</c:v>
                </c:pt>
                <c:pt idx="80">
                  <c:v>-0.10703699637720931</c:v>
                </c:pt>
                <c:pt idx="81">
                  <c:v>9.1099090238504932E-2</c:v>
                </c:pt>
                <c:pt idx="82">
                  <c:v>-1.7352112676056408E-2</c:v>
                </c:pt>
                <c:pt idx="83">
                  <c:v>6.5244811374842504E-2</c:v>
                </c:pt>
                <c:pt idx="84">
                  <c:v>4.0258342303552075E-2</c:v>
                </c:pt>
                <c:pt idx="85">
                  <c:v>6.9329470198675747E-3</c:v>
                </c:pt>
                <c:pt idx="86">
                  <c:v>6.8235535916144396E-2</c:v>
                </c:pt>
                <c:pt idx="87">
                  <c:v>-2.2318422318422404E-2</c:v>
                </c:pt>
                <c:pt idx="88">
                  <c:v>2.4303847289186331E-2</c:v>
                </c:pt>
                <c:pt idx="89">
                  <c:v>1.4889529298751203E-2</c:v>
                </c:pt>
                <c:pt idx="90">
                  <c:v>-7.0989115002366709E-3</c:v>
                </c:pt>
                <c:pt idx="91">
                  <c:v>7.0543374642515477E-3</c:v>
                </c:pt>
                <c:pt idx="92">
                  <c:v>4.8182506626277988E-2</c:v>
                </c:pt>
                <c:pt idx="93">
                  <c:v>5.960444324031311E-3</c:v>
                </c:pt>
                <c:pt idx="94">
                  <c:v>-3.0523386300386202E-3</c:v>
                </c:pt>
                <c:pt idx="95">
                  <c:v>1.4858171994597047E-2</c:v>
                </c:pt>
                <c:pt idx="96">
                  <c:v>1.055900621118E-2</c:v>
                </c:pt>
                <c:pt idx="97">
                  <c:v>-1.5716919834928511E-2</c:v>
                </c:pt>
                <c:pt idx="98">
                  <c:v>3.4968777876895674E-2</c:v>
                </c:pt>
                <c:pt idx="99">
                  <c:v>1.0343044302707494E-3</c:v>
                </c:pt>
                <c:pt idx="100">
                  <c:v>-6.8021353538832985E-3</c:v>
                </c:pt>
                <c:pt idx="101">
                  <c:v>-2.6007802340699548E-4</c:v>
                </c:pt>
                <c:pt idx="102">
                  <c:v>4.9427679500519961E-3</c:v>
                </c:pt>
                <c:pt idx="103">
                  <c:v>2.9251876779704977E-2</c:v>
                </c:pt>
                <c:pt idx="104">
                  <c:v>1.2072434607645954E-2</c:v>
                </c:pt>
                <c:pt idx="105">
                  <c:v>-9.52617627567931E-3</c:v>
                </c:pt>
                <c:pt idx="106">
                  <c:v>-4.0980178974658887E-3</c:v>
                </c:pt>
                <c:pt idx="107">
                  <c:v>-1.3184413839435583E-2</c:v>
                </c:pt>
                <c:pt idx="108">
                  <c:v>1.6168836694749222E-2</c:v>
                </c:pt>
                <c:pt idx="109">
                  <c:v>1.0719370236998538E-2</c:v>
                </c:pt>
                <c:pt idx="110">
                  <c:v>-8.2856906123085494E-5</c:v>
                </c:pt>
                <c:pt idx="111">
                  <c:v>-2.601922439509452E-2</c:v>
                </c:pt>
                <c:pt idx="112">
                  <c:v>-5.9554194316828735E-3</c:v>
                </c:pt>
                <c:pt idx="113">
                  <c:v>-2.9955494693598039E-2</c:v>
                </c:pt>
                <c:pt idx="114">
                  <c:v>5.090877007234873E-2</c:v>
                </c:pt>
                <c:pt idx="115">
                  <c:v>6.1287885148182397E-3</c:v>
                </c:pt>
                <c:pt idx="116">
                  <c:v>-1.4519359145527488E-2</c:v>
                </c:pt>
                <c:pt idx="117">
                  <c:v>3.640982218459099E-3</c:v>
                </c:pt>
                <c:pt idx="118">
                  <c:v>1.7970134143254768E-2</c:v>
                </c:pt>
                <c:pt idx="119">
                  <c:v>-1.4089176197579989E-2</c:v>
                </c:pt>
                <c:pt idx="120">
                  <c:v>2.9421654337593584E-3</c:v>
                </c:pt>
                <c:pt idx="121">
                  <c:v>-2.5144581342717576E-4</c:v>
                </c:pt>
                <c:pt idx="122">
                  <c:v>-1.7270288397049027E-2</c:v>
                </c:pt>
                <c:pt idx="123">
                  <c:v>1.6464767104589662E-2</c:v>
                </c:pt>
                <c:pt idx="124">
                  <c:v>-2.5178346621901326E-4</c:v>
                </c:pt>
                <c:pt idx="125">
                  <c:v>-1.32639355271994E-2</c:v>
                </c:pt>
                <c:pt idx="126">
                  <c:v>1.4463161476943931E-2</c:v>
                </c:pt>
                <c:pt idx="127">
                  <c:v>-4.0254948004024849E-3</c:v>
                </c:pt>
                <c:pt idx="128">
                  <c:v>-1.0357022566520713E-2</c:v>
                </c:pt>
                <c:pt idx="129">
                  <c:v>-1.7357270484131715E-2</c:v>
                </c:pt>
                <c:pt idx="130">
                  <c:v>-2.0694432418391195E-2</c:v>
                </c:pt>
                <c:pt idx="131">
                  <c:v>-2.7763041556145063E-2</c:v>
                </c:pt>
                <c:pt idx="132">
                  <c:v>4.0196435067297198E-2</c:v>
                </c:pt>
                <c:pt idx="133">
                  <c:v>7.4925686308795258E-2</c:v>
                </c:pt>
                <c:pt idx="134">
                  <c:v>4.0178934526230226E-2</c:v>
                </c:pt>
                <c:pt idx="135">
                  <c:v>2.5099695050433857E-2</c:v>
                </c:pt>
                <c:pt idx="136">
                  <c:v>2.2120518688024449E-2</c:v>
                </c:pt>
                <c:pt idx="137">
                  <c:v>6.9850746268656838E-2</c:v>
                </c:pt>
                <c:pt idx="138">
                  <c:v>-2.3018973214286031E-3</c:v>
                </c:pt>
                <c:pt idx="139">
                  <c:v>1.0137733342655331E-2</c:v>
                </c:pt>
                <c:pt idx="140">
                  <c:v>3.8967331118494153E-2</c:v>
                </c:pt>
                <c:pt idx="141">
                  <c:v>-4.1902604756511974E-2</c:v>
                </c:pt>
                <c:pt idx="142">
                  <c:v>5.6876651369767828E-2</c:v>
                </c:pt>
                <c:pt idx="143">
                  <c:v>4.8618421052631478E-2</c:v>
                </c:pt>
                <c:pt idx="144">
                  <c:v>-3.4130121086642817E-2</c:v>
                </c:pt>
                <c:pt idx="145">
                  <c:v>-2.1890224098733202E-2</c:v>
                </c:pt>
                <c:pt idx="146">
                  <c:v>1.9391685482799792E-2</c:v>
                </c:pt>
                <c:pt idx="147">
                  <c:v>-6.410423452768732E-2</c:v>
                </c:pt>
                <c:pt idx="148">
                  <c:v>1.8167896422107921E-2</c:v>
                </c:pt>
                <c:pt idx="149">
                  <c:v>-1.825391399466747E-2</c:v>
                </c:pt>
                <c:pt idx="150">
                  <c:v>4.0738161559888519E-2</c:v>
                </c:pt>
                <c:pt idx="151">
                  <c:v>2.415523586483781E-2</c:v>
                </c:pt>
                <c:pt idx="152">
                  <c:v>-2.9857572193910831E-2</c:v>
                </c:pt>
                <c:pt idx="153">
                  <c:v>-1.3132197454374106E-2</c:v>
                </c:pt>
                <c:pt idx="154">
                  <c:v>2.0062781493107584E-2</c:v>
                </c:pt>
                <c:pt idx="155">
                  <c:v>-9.4327000267594441E-3</c:v>
                </c:pt>
                <c:pt idx="156">
                  <c:v>6.0782062537989567E-3</c:v>
                </c:pt>
                <c:pt idx="157">
                  <c:v>2.6515405786399882E-2</c:v>
                </c:pt>
                <c:pt idx="158">
                  <c:v>2.0272037666753118E-3</c:v>
                </c:pt>
                <c:pt idx="159">
                  <c:v>0</c:v>
                </c:pt>
              </c:numCache>
            </c:numRef>
          </c:val>
          <c:extLst>
            <c:ext xmlns:c16="http://schemas.microsoft.com/office/drawing/2014/chart" uri="{C3380CC4-5D6E-409C-BE32-E72D297353CC}">
              <c16:uniqueId val="{00000000-CDB8-4906-9066-9F76485487E1}"/>
            </c:ext>
          </c:extLst>
        </c:ser>
        <c:dLbls>
          <c:showLegendKey val="0"/>
          <c:showVal val="0"/>
          <c:showCatName val="0"/>
          <c:showSerName val="0"/>
          <c:showPercent val="0"/>
          <c:showBubbleSize val="0"/>
        </c:dLbls>
        <c:gapWidth val="150"/>
        <c:axId val="18756448"/>
        <c:axId val="84541712"/>
      </c:barChart>
      <c:lineChart>
        <c:grouping val="standard"/>
        <c:varyColors val="0"/>
        <c:ser>
          <c:idx val="1"/>
          <c:order val="1"/>
          <c:tx>
            <c:strRef>
              <c:f>'Returns (Calc)'!$AM$2</c:f>
              <c:strCache>
                <c:ptCount val="1"/>
                <c:pt idx="0">
                  <c:v>SPMO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(Calc)'!$AM$3:$AM$500</c:f>
              <c:numCache>
                <c:formatCode>#,##0.00</c:formatCode>
                <c:ptCount val="498"/>
                <c:pt idx="0">
                  <c:v>57.63</c:v>
                </c:pt>
                <c:pt idx="1">
                  <c:v>58.235063291139241</c:v>
                </c:pt>
                <c:pt idx="2">
                  <c:v>58.840126582278486</c:v>
                </c:pt>
                <c:pt idx="3">
                  <c:v>59.445189873417725</c:v>
                </c:pt>
                <c:pt idx="4">
                  <c:v>60.050253164556963</c:v>
                </c:pt>
                <c:pt idx="5">
                  <c:v>60.655316455696209</c:v>
                </c:pt>
                <c:pt idx="6">
                  <c:v>61.260379746835447</c:v>
                </c:pt>
                <c:pt idx="7">
                  <c:v>61.865443037974686</c:v>
                </c:pt>
                <c:pt idx="8">
                  <c:v>62.470506329113924</c:v>
                </c:pt>
                <c:pt idx="9">
                  <c:v>63.075569620253169</c:v>
                </c:pt>
                <c:pt idx="10">
                  <c:v>63.680632911392408</c:v>
                </c:pt>
                <c:pt idx="11">
                  <c:v>64.285696202531653</c:v>
                </c:pt>
                <c:pt idx="12">
                  <c:v>64.890759493670885</c:v>
                </c:pt>
                <c:pt idx="13">
                  <c:v>65.49582278481013</c:v>
                </c:pt>
                <c:pt idx="14">
                  <c:v>66.100886075949376</c:v>
                </c:pt>
                <c:pt idx="15">
                  <c:v>66.705949367088607</c:v>
                </c:pt>
                <c:pt idx="16">
                  <c:v>67.311012658227853</c:v>
                </c:pt>
                <c:pt idx="17">
                  <c:v>67.916075949367084</c:v>
                </c:pt>
                <c:pt idx="18">
                  <c:v>68.521139240506329</c:v>
                </c:pt>
                <c:pt idx="19">
                  <c:v>69.126202531645575</c:v>
                </c:pt>
                <c:pt idx="20">
                  <c:v>69.73126582278482</c:v>
                </c:pt>
                <c:pt idx="21">
                  <c:v>70.336329113924052</c:v>
                </c:pt>
                <c:pt idx="22">
                  <c:v>70.941392405063297</c:v>
                </c:pt>
                <c:pt idx="23">
                  <c:v>71.546455696202528</c:v>
                </c:pt>
                <c:pt idx="24">
                  <c:v>72.151518987341774</c:v>
                </c:pt>
                <c:pt idx="25">
                  <c:v>72.756582278481019</c:v>
                </c:pt>
                <c:pt idx="26">
                  <c:v>73.361645569620251</c:v>
                </c:pt>
                <c:pt idx="27">
                  <c:v>73.966708860759496</c:v>
                </c:pt>
                <c:pt idx="28">
                  <c:v>74.571772151898728</c:v>
                </c:pt>
                <c:pt idx="29">
                  <c:v>75.176835443037973</c:v>
                </c:pt>
                <c:pt idx="30">
                  <c:v>75.781898734177219</c:v>
                </c:pt>
                <c:pt idx="31">
                  <c:v>76.38696202531645</c:v>
                </c:pt>
                <c:pt idx="32">
                  <c:v>76.992025316455695</c:v>
                </c:pt>
                <c:pt idx="33">
                  <c:v>77.597088607594941</c:v>
                </c:pt>
                <c:pt idx="34">
                  <c:v>78.202151898734172</c:v>
                </c:pt>
                <c:pt idx="35">
                  <c:v>78.807215189873418</c:v>
                </c:pt>
                <c:pt idx="36">
                  <c:v>79.412278481012663</c:v>
                </c:pt>
                <c:pt idx="37">
                  <c:v>80.017341772151894</c:v>
                </c:pt>
                <c:pt idx="38">
                  <c:v>80.62240506329114</c:v>
                </c:pt>
                <c:pt idx="39">
                  <c:v>81.227468354430385</c:v>
                </c:pt>
                <c:pt idx="40">
                  <c:v>81.832531645569617</c:v>
                </c:pt>
                <c:pt idx="41">
                  <c:v>82.437594936708862</c:v>
                </c:pt>
                <c:pt idx="42">
                  <c:v>83.042658227848108</c:v>
                </c:pt>
                <c:pt idx="43">
                  <c:v>83.647721518987339</c:v>
                </c:pt>
                <c:pt idx="44">
                  <c:v>84.252784810126585</c:v>
                </c:pt>
                <c:pt idx="45">
                  <c:v>84.85784810126583</c:v>
                </c:pt>
                <c:pt idx="46">
                  <c:v>85.462911392405061</c:v>
                </c:pt>
                <c:pt idx="47">
                  <c:v>86.067974683544307</c:v>
                </c:pt>
                <c:pt idx="48">
                  <c:v>86.673037974683538</c:v>
                </c:pt>
                <c:pt idx="49">
                  <c:v>87.278101265822784</c:v>
                </c:pt>
                <c:pt idx="50">
                  <c:v>87.883164556962029</c:v>
                </c:pt>
                <c:pt idx="51">
                  <c:v>88.488227848101261</c:v>
                </c:pt>
                <c:pt idx="52">
                  <c:v>89.093291139240506</c:v>
                </c:pt>
                <c:pt idx="53">
                  <c:v>89.698354430379737</c:v>
                </c:pt>
                <c:pt idx="54">
                  <c:v>90.303417721518997</c:v>
                </c:pt>
                <c:pt idx="55">
                  <c:v>90.908481012658228</c:v>
                </c:pt>
                <c:pt idx="56">
                  <c:v>91.51354430379746</c:v>
                </c:pt>
                <c:pt idx="57">
                  <c:v>92.118607594936719</c:v>
                </c:pt>
                <c:pt idx="58">
                  <c:v>92.723670886075951</c:v>
                </c:pt>
                <c:pt idx="59">
                  <c:v>93.328734177215182</c:v>
                </c:pt>
                <c:pt idx="60">
                  <c:v>93.933797468354442</c:v>
                </c:pt>
                <c:pt idx="61">
                  <c:v>94.538860759493673</c:v>
                </c:pt>
                <c:pt idx="62">
                  <c:v>95.143924050632904</c:v>
                </c:pt>
                <c:pt idx="63">
                  <c:v>95.74898734177215</c:v>
                </c:pt>
                <c:pt idx="64">
                  <c:v>96.354050632911395</c:v>
                </c:pt>
                <c:pt idx="65">
                  <c:v>96.959113924050627</c:v>
                </c:pt>
                <c:pt idx="66">
                  <c:v>97.564177215189872</c:v>
                </c:pt>
                <c:pt idx="67">
                  <c:v>98.169240506329118</c:v>
                </c:pt>
                <c:pt idx="68">
                  <c:v>98.774303797468349</c:v>
                </c:pt>
                <c:pt idx="69">
                  <c:v>99.379367088607594</c:v>
                </c:pt>
                <c:pt idx="70">
                  <c:v>99.98443037974684</c:v>
                </c:pt>
                <c:pt idx="71">
                  <c:v>100.58949367088607</c:v>
                </c:pt>
                <c:pt idx="72">
                  <c:v>101.19455696202532</c:v>
                </c:pt>
                <c:pt idx="73">
                  <c:v>101.79962025316456</c:v>
                </c:pt>
                <c:pt idx="74">
                  <c:v>102.40468354430379</c:v>
                </c:pt>
                <c:pt idx="75">
                  <c:v>103.00974683544304</c:v>
                </c:pt>
                <c:pt idx="76">
                  <c:v>103.61481012658228</c:v>
                </c:pt>
                <c:pt idx="77">
                  <c:v>104.21987341772152</c:v>
                </c:pt>
                <c:pt idx="78">
                  <c:v>104.82493670886075</c:v>
                </c:pt>
                <c:pt idx="79">
                  <c:v>105.43</c:v>
                </c:pt>
                <c:pt idx="80">
                  <c:v>106.03506329113924</c:v>
                </c:pt>
                <c:pt idx="81">
                  <c:v>106.64012658227848</c:v>
                </c:pt>
                <c:pt idx="82">
                  <c:v>107.24518987341773</c:v>
                </c:pt>
                <c:pt idx="83">
                  <c:v>107.85025316455696</c:v>
                </c:pt>
                <c:pt idx="84">
                  <c:v>108.45531645569621</c:v>
                </c:pt>
                <c:pt idx="85">
                  <c:v>109.06037974683544</c:v>
                </c:pt>
                <c:pt idx="86">
                  <c:v>109.66544303797468</c:v>
                </c:pt>
                <c:pt idx="87">
                  <c:v>110.27050632911391</c:v>
                </c:pt>
                <c:pt idx="88">
                  <c:v>110.87556962025316</c:v>
                </c:pt>
                <c:pt idx="89">
                  <c:v>111.48063291139241</c:v>
                </c:pt>
                <c:pt idx="90">
                  <c:v>112.08569620253165</c:v>
                </c:pt>
                <c:pt idx="91">
                  <c:v>112.6907594936709</c:v>
                </c:pt>
                <c:pt idx="92">
                  <c:v>113.29582278481013</c:v>
                </c:pt>
                <c:pt idx="93">
                  <c:v>113.90088607594936</c:v>
                </c:pt>
                <c:pt idx="94">
                  <c:v>114.50594936708862</c:v>
                </c:pt>
                <c:pt idx="95">
                  <c:v>115.11101265822785</c:v>
                </c:pt>
                <c:pt idx="96">
                  <c:v>115.71607594936708</c:v>
                </c:pt>
                <c:pt idx="97">
                  <c:v>116.32113924050633</c:v>
                </c:pt>
                <c:pt idx="98">
                  <c:v>116.92620253164557</c:v>
                </c:pt>
                <c:pt idx="99">
                  <c:v>117.5312658227848</c:v>
                </c:pt>
                <c:pt idx="100">
                  <c:v>118.13632911392406</c:v>
                </c:pt>
                <c:pt idx="101">
                  <c:v>118.74139240506329</c:v>
                </c:pt>
                <c:pt idx="102">
                  <c:v>119.34645569620253</c:v>
                </c:pt>
                <c:pt idx="103">
                  <c:v>119.95151898734177</c:v>
                </c:pt>
                <c:pt idx="104">
                  <c:v>120.55658227848102</c:v>
                </c:pt>
                <c:pt idx="105">
                  <c:v>121.16164556962025</c:v>
                </c:pt>
                <c:pt idx="106">
                  <c:v>121.76670886075948</c:v>
                </c:pt>
                <c:pt idx="107">
                  <c:v>122.37177215189874</c:v>
                </c:pt>
                <c:pt idx="108">
                  <c:v>122.97683544303797</c:v>
                </c:pt>
                <c:pt idx="109">
                  <c:v>123.5818987341772</c:v>
                </c:pt>
                <c:pt idx="110">
                  <c:v>124.18696202531646</c:v>
                </c:pt>
                <c:pt idx="111">
                  <c:v>124.79202531645569</c:v>
                </c:pt>
                <c:pt idx="112">
                  <c:v>125.39708860759492</c:v>
                </c:pt>
                <c:pt idx="113">
                  <c:v>126.00215189873418</c:v>
                </c:pt>
                <c:pt idx="114">
                  <c:v>126.60721518987341</c:v>
                </c:pt>
                <c:pt idx="115">
                  <c:v>127.21227848101267</c:v>
                </c:pt>
                <c:pt idx="116">
                  <c:v>127.81734177215191</c:v>
                </c:pt>
                <c:pt idx="117">
                  <c:v>128.42240506329114</c:v>
                </c:pt>
                <c:pt idx="118">
                  <c:v>129.02746835443037</c:v>
                </c:pt>
                <c:pt idx="119">
                  <c:v>129.63253164556963</c:v>
                </c:pt>
                <c:pt idx="120">
                  <c:v>130.23759493670886</c:v>
                </c:pt>
                <c:pt idx="121">
                  <c:v>130.84265822784809</c:v>
                </c:pt>
                <c:pt idx="122">
                  <c:v>131.44772151898735</c:v>
                </c:pt>
                <c:pt idx="123">
                  <c:v>132.05278481012658</c:v>
                </c:pt>
                <c:pt idx="124">
                  <c:v>132.65784810126581</c:v>
                </c:pt>
                <c:pt idx="125">
                  <c:v>133.26291139240507</c:v>
                </c:pt>
                <c:pt idx="126">
                  <c:v>133.8679746835443</c:v>
                </c:pt>
                <c:pt idx="127">
                  <c:v>134.47303797468354</c:v>
                </c:pt>
                <c:pt idx="128">
                  <c:v>135.0781012658228</c:v>
                </c:pt>
                <c:pt idx="129">
                  <c:v>135.68316455696203</c:v>
                </c:pt>
                <c:pt idx="130">
                  <c:v>136.28822784810126</c:v>
                </c:pt>
                <c:pt idx="131">
                  <c:v>136.89329113924049</c:v>
                </c:pt>
                <c:pt idx="132">
                  <c:v>137.49835443037975</c:v>
                </c:pt>
                <c:pt idx="133">
                  <c:v>138.10341772151898</c:v>
                </c:pt>
                <c:pt idx="134">
                  <c:v>138.70848101265824</c:v>
                </c:pt>
                <c:pt idx="135">
                  <c:v>139.31354430379747</c:v>
                </c:pt>
                <c:pt idx="136">
                  <c:v>139.9186075949367</c:v>
                </c:pt>
                <c:pt idx="137">
                  <c:v>140.52367088607593</c:v>
                </c:pt>
                <c:pt idx="138">
                  <c:v>141.12873417721519</c:v>
                </c:pt>
                <c:pt idx="139">
                  <c:v>141.73379746835442</c:v>
                </c:pt>
                <c:pt idx="140">
                  <c:v>142.33886075949368</c:v>
                </c:pt>
                <c:pt idx="141">
                  <c:v>142.94392405063292</c:v>
                </c:pt>
                <c:pt idx="142">
                  <c:v>143.54898734177215</c:v>
                </c:pt>
                <c:pt idx="143">
                  <c:v>144.15405063291138</c:v>
                </c:pt>
                <c:pt idx="144">
                  <c:v>144.75911392405064</c:v>
                </c:pt>
                <c:pt idx="145">
                  <c:v>145.36417721518987</c:v>
                </c:pt>
                <c:pt idx="146">
                  <c:v>145.9692405063291</c:v>
                </c:pt>
                <c:pt idx="147">
                  <c:v>146.57430379746836</c:v>
                </c:pt>
                <c:pt idx="148">
                  <c:v>147.17936708860759</c:v>
                </c:pt>
                <c:pt idx="149">
                  <c:v>147.78443037974682</c:v>
                </c:pt>
                <c:pt idx="150">
                  <c:v>148.38949367088608</c:v>
                </c:pt>
                <c:pt idx="151">
                  <c:v>148.99455696202531</c:v>
                </c:pt>
                <c:pt idx="152">
                  <c:v>149.59962025316455</c:v>
                </c:pt>
                <c:pt idx="153">
                  <c:v>150.2046835443038</c:v>
                </c:pt>
                <c:pt idx="154">
                  <c:v>150.80974683544304</c:v>
                </c:pt>
                <c:pt idx="155">
                  <c:v>151.41481012658227</c:v>
                </c:pt>
                <c:pt idx="156">
                  <c:v>152.0198734177215</c:v>
                </c:pt>
                <c:pt idx="157">
                  <c:v>152.62493670886076</c:v>
                </c:pt>
                <c:pt idx="158">
                  <c:v>153.22999999999999</c:v>
                </c:pt>
                <c:pt idx="159">
                  <c:v>153.83506329113925</c:v>
                </c:pt>
              </c:numCache>
            </c:numRef>
          </c:val>
          <c:smooth val="0"/>
          <c:extLst>
            <c:ext xmlns:c16="http://schemas.microsoft.com/office/drawing/2014/chart" uri="{C3380CC4-5D6E-409C-BE32-E72D297353CC}">
              <c16:uniqueId val="{00000001-CDB8-4906-9066-9F76485487E1}"/>
            </c:ext>
          </c:extLst>
        </c:ser>
        <c:dLbls>
          <c:showLegendKey val="0"/>
          <c:showVal val="0"/>
          <c:showCatName val="0"/>
          <c:showSerName val="0"/>
          <c:showPercent val="0"/>
          <c:showBubbleSize val="0"/>
        </c:dLbls>
        <c:hiLowLines>
          <c:spPr>
            <a:ln w="0">
              <a:noFill/>
            </a:ln>
          </c:spPr>
        </c:hiLowLines>
        <c:marker val="1"/>
        <c:smooth val="0"/>
        <c:axId val="69220874"/>
        <c:axId val="48676911"/>
      </c:lineChart>
      <c:dateAx>
        <c:axId val="18756448"/>
        <c:scaling>
          <c:orientation val="minMax"/>
        </c:scaling>
        <c:delete val="1"/>
        <c:axPos val="b"/>
        <c:numFmt formatCode="mm/dd/yyyy" sourceLinked="1"/>
        <c:majorTickMark val="none"/>
        <c:minorTickMark val="none"/>
        <c:tickLblPos val="nextTo"/>
        <c:crossAx val="84541712"/>
        <c:crosses val="autoZero"/>
        <c:auto val="1"/>
        <c:lblOffset val="100"/>
        <c:baseTimeUnit val="days"/>
      </c:dateAx>
      <c:valAx>
        <c:axId val="8454171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8756448"/>
        <c:crosses val="autoZero"/>
        <c:crossBetween val="between"/>
      </c:valAx>
      <c:dateAx>
        <c:axId val="69220874"/>
        <c:scaling>
          <c:orientation val="minMax"/>
        </c:scaling>
        <c:delete val="1"/>
        <c:axPos val="b"/>
        <c:numFmt formatCode="mm/dd/yyyy" sourceLinked="1"/>
        <c:majorTickMark val="none"/>
        <c:minorTickMark val="none"/>
        <c:tickLblPos val="nextTo"/>
        <c:crossAx val="48676911"/>
        <c:crosses val="autoZero"/>
        <c:auto val="1"/>
        <c:lblOffset val="100"/>
        <c:baseTimeUnit val="days"/>
      </c:dateAx>
      <c:valAx>
        <c:axId val="48676911"/>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69220874"/>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VFLO</a:t>
            </a:r>
          </a:p>
        </c:rich>
      </c:tx>
      <c:overlay val="0"/>
      <c:spPr>
        <a:noFill/>
        <a:ln w="0">
          <a:noFill/>
        </a:ln>
      </c:spPr>
    </c:title>
    <c:autoTitleDeleted val="0"/>
    <c:plotArea>
      <c:layout/>
      <c:barChart>
        <c:barDir val="col"/>
        <c:grouping val="clustered"/>
        <c:varyColors val="0"/>
        <c:ser>
          <c:idx val="0"/>
          <c:order val="0"/>
          <c:tx>
            <c:strRef>
              <c:f>'Returns (Calc)'!$T$2</c:f>
              <c:strCache>
                <c:ptCount val="1"/>
                <c:pt idx="0">
                  <c:v>VFLO</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(Calc)'!$T$3:$T$500</c:f>
              <c:numCache>
                <c:formatCode>0.0%</c:formatCode>
                <c:ptCount val="498"/>
                <c:pt idx="0">
                  <c:v>-1.465927099841513E-2</c:v>
                </c:pt>
                <c:pt idx="1">
                  <c:v>2.8146361077603377E-3</c:v>
                </c:pt>
                <c:pt idx="2">
                  <c:v>-1.8845228548516557E-2</c:v>
                </c:pt>
                <c:pt idx="3">
                  <c:v>1.4303228442991367E-2</c:v>
                </c:pt>
                <c:pt idx="4">
                  <c:v>-1.248992747784039E-2</c:v>
                </c:pt>
                <c:pt idx="5">
                  <c:v>-3.3047735618115137E-2</c:v>
                </c:pt>
                <c:pt idx="6">
                  <c:v>5.8649789029535881E-2</c:v>
                </c:pt>
                <c:pt idx="7">
                  <c:v>-6.3770426464726526E-3</c:v>
                </c:pt>
                <c:pt idx="8">
                  <c:v>2.5671881267549157E-2</c:v>
                </c:pt>
                <c:pt idx="9">
                  <c:v>7.0394994133751165E-3</c:v>
                </c:pt>
                <c:pt idx="10">
                  <c:v>1.3592233009708687E-2</c:v>
                </c:pt>
                <c:pt idx="11">
                  <c:v>8.8122605363982753E-3</c:v>
                </c:pt>
                <c:pt idx="12">
                  <c:v>2.7725028484618219E-2</c:v>
                </c:pt>
                <c:pt idx="13">
                  <c:v>1.2195121951219523E-2</c:v>
                </c:pt>
                <c:pt idx="14">
                  <c:v>-2.1905805038335835E-3</c:v>
                </c:pt>
                <c:pt idx="15">
                  <c:v>7.3179656055621933E-4</c:v>
                </c:pt>
                <c:pt idx="16">
                  <c:v>-2.1937842778794181E-3</c:v>
                </c:pt>
                <c:pt idx="17">
                  <c:v>-9.5272993770610936E-3</c:v>
                </c:pt>
                <c:pt idx="18">
                  <c:v>8.1391046984831128E-3</c:v>
                </c:pt>
                <c:pt idx="19">
                  <c:v>9.5412844036697475E-3</c:v>
                </c:pt>
                <c:pt idx="20">
                  <c:v>5.0890585241729624E-3</c:v>
                </c:pt>
                <c:pt idx="21">
                  <c:v>8.3182640144665587E-3</c:v>
                </c:pt>
                <c:pt idx="22">
                  <c:v>2.1879483500717445E-2</c:v>
                </c:pt>
                <c:pt idx="23">
                  <c:v>2.1762021762021799E-2</c:v>
                </c:pt>
                <c:pt idx="24">
                  <c:v>1.9924424596358792E-2</c:v>
                </c:pt>
                <c:pt idx="25">
                  <c:v>1.5493432132030804E-2</c:v>
                </c:pt>
                <c:pt idx="26">
                  <c:v>2.4212271973466093E-2</c:v>
                </c:pt>
                <c:pt idx="27">
                  <c:v>1.5544041450777257E-2</c:v>
                </c:pt>
                <c:pt idx="28">
                  <c:v>-2.5510204081632404E-3</c:v>
                </c:pt>
                <c:pt idx="29">
                  <c:v>-2.5575447570332477E-2</c:v>
                </c:pt>
                <c:pt idx="30">
                  <c:v>-1.7716535433070835E-2</c:v>
                </c:pt>
                <c:pt idx="31">
                  <c:v>1.2358049432197538E-2</c:v>
                </c:pt>
                <c:pt idx="32">
                  <c:v>-1.5506433520290241E-2</c:v>
                </c:pt>
                <c:pt idx="33">
                  <c:v>2.2453083109919669E-2</c:v>
                </c:pt>
                <c:pt idx="34">
                  <c:v>9.5050803015404028E-3</c:v>
                </c:pt>
                <c:pt idx="35">
                  <c:v>-1.7207792207792227E-2</c:v>
                </c:pt>
                <c:pt idx="36">
                  <c:v>1.156260323752889E-2</c:v>
                </c:pt>
                <c:pt idx="37">
                  <c:v>-2.1227955584585345E-2</c:v>
                </c:pt>
                <c:pt idx="38">
                  <c:v>-2.0020020020019569E-3</c:v>
                </c:pt>
                <c:pt idx="39">
                  <c:v>9.6957539284519001E-3</c:v>
                </c:pt>
                <c:pt idx="40">
                  <c:v>-6.6225165562913135E-3</c:v>
                </c:pt>
                <c:pt idx="41">
                  <c:v>-1.966666666666661E-2</c:v>
                </c:pt>
                <c:pt idx="42">
                  <c:v>3.8422305338320362E-2</c:v>
                </c:pt>
                <c:pt idx="43">
                  <c:v>1.5062213490504295E-2</c:v>
                </c:pt>
                <c:pt idx="44">
                  <c:v>1.806451612903226E-2</c:v>
                </c:pt>
                <c:pt idx="45">
                  <c:v>-2.8833967046894782E-2</c:v>
                </c:pt>
                <c:pt idx="46">
                  <c:v>-9.7879282218593655E-4</c:v>
                </c:pt>
                <c:pt idx="47">
                  <c:v>1.6329196603527052E-2</c:v>
                </c:pt>
                <c:pt idx="48">
                  <c:v>3.2776349614395794E-2</c:v>
                </c:pt>
                <c:pt idx="49">
                  <c:v>3.1113876789048422E-3</c:v>
                </c:pt>
                <c:pt idx="50">
                  <c:v>-4.1253101736972719E-2</c:v>
                </c:pt>
                <c:pt idx="51">
                  <c:v>2.5558071821417006E-2</c:v>
                </c:pt>
                <c:pt idx="52">
                  <c:v>1.7350157728706739E-2</c:v>
                </c:pt>
                <c:pt idx="53">
                  <c:v>2.1705426356588564E-3</c:v>
                </c:pt>
                <c:pt idx="54">
                  <c:v>1.8564356435643692E-2</c:v>
                </c:pt>
                <c:pt idx="55">
                  <c:v>4.2527339003646247E-3</c:v>
                </c:pt>
                <c:pt idx="56">
                  <c:v>-4.8396854204477702E-3</c:v>
                </c:pt>
                <c:pt idx="57">
                  <c:v>-1.9148936170212627E-2</c:v>
                </c:pt>
                <c:pt idx="58">
                  <c:v>6.197706848465323E-4</c:v>
                </c:pt>
                <c:pt idx="59">
                  <c:v>7.7423350882626307E-2</c:v>
                </c:pt>
                <c:pt idx="60">
                  <c:v>-1.5234262719172165E-2</c:v>
                </c:pt>
                <c:pt idx="61">
                  <c:v>3.8528896672504365E-2</c:v>
                </c:pt>
                <c:pt idx="62">
                  <c:v>1.9673974142777606E-3</c:v>
                </c:pt>
                <c:pt idx="63">
                  <c:v>-8.4151472650773051E-4</c:v>
                </c:pt>
                <c:pt idx="64">
                  <c:v>-4.1549691184727622E-2</c:v>
                </c:pt>
                <c:pt idx="65">
                  <c:v>-3.0462800234329235E-2</c:v>
                </c:pt>
                <c:pt idx="66">
                  <c:v>9.3655589123866623E-3</c:v>
                </c:pt>
                <c:pt idx="67">
                  <c:v>7.4827895839568725E-3</c:v>
                </c:pt>
                <c:pt idx="68">
                  <c:v>0</c:v>
                </c:pt>
                <c:pt idx="69">
                  <c:v>3.8621509209744609E-2</c:v>
                </c:pt>
                <c:pt idx="70">
                  <c:v>2.5743707093819346E-3</c:v>
                </c:pt>
                <c:pt idx="71">
                  <c:v>-1.0271041369472211E-2</c:v>
                </c:pt>
                <c:pt idx="72">
                  <c:v>-7.4949553185355011E-3</c:v>
                </c:pt>
                <c:pt idx="73">
                  <c:v>1.1617775196050006E-2</c:v>
                </c:pt>
                <c:pt idx="74">
                  <c:v>-3.445305770887086E-3</c:v>
                </c:pt>
                <c:pt idx="75">
                  <c:v>-4.6096225871508079E-3</c:v>
                </c:pt>
                <c:pt idx="76">
                  <c:v>-1.4471780028943559E-2</c:v>
                </c:pt>
                <c:pt idx="77">
                  <c:v>-1.8795888399412597E-2</c:v>
                </c:pt>
                <c:pt idx="78">
                  <c:v>1.7060760251421669E-2</c:v>
                </c:pt>
                <c:pt idx="79">
                  <c:v>-1.6480282519128808E-2</c:v>
                </c:pt>
                <c:pt idx="80">
                  <c:v>-9.245960502693007E-2</c:v>
                </c:pt>
                <c:pt idx="81">
                  <c:v>2.1101219914276381E-2</c:v>
                </c:pt>
                <c:pt idx="82">
                  <c:v>6.780755569906427E-3</c:v>
                </c:pt>
                <c:pt idx="83">
                  <c:v>3.303399615137903E-2</c:v>
                </c:pt>
                <c:pt idx="84">
                  <c:v>1.9248680533995532E-2</c:v>
                </c:pt>
                <c:pt idx="85">
                  <c:v>-1.5229972586048302E-3</c:v>
                </c:pt>
                <c:pt idx="86">
                  <c:v>4.3014032946918856E-2</c:v>
                </c:pt>
                <c:pt idx="87">
                  <c:v>-3.4805498683825653E-2</c:v>
                </c:pt>
                <c:pt idx="88">
                  <c:v>7.8787878787878185E-3</c:v>
                </c:pt>
                <c:pt idx="89">
                  <c:v>2.3451593505712687E-2</c:v>
                </c:pt>
                <c:pt idx="90">
                  <c:v>1.3219741480611225E-2</c:v>
                </c:pt>
                <c:pt idx="91">
                  <c:v>-1.1597564511451885E-3</c:v>
                </c:pt>
                <c:pt idx="92">
                  <c:v>8.7082728592162706E-3</c:v>
                </c:pt>
                <c:pt idx="93">
                  <c:v>1.2374100719424463E-2</c:v>
                </c:pt>
                <c:pt idx="94">
                  <c:v>2.5582717453098702E-3</c:v>
                </c:pt>
                <c:pt idx="95">
                  <c:v>-2.1264530762687861E-2</c:v>
                </c:pt>
                <c:pt idx="96">
                  <c:v>2.2016222479721792E-2</c:v>
                </c:pt>
                <c:pt idx="97">
                  <c:v>-4.1950113378684928E-2</c:v>
                </c:pt>
                <c:pt idx="98">
                  <c:v>1.0059171597633254E-2</c:v>
                </c:pt>
                <c:pt idx="99">
                  <c:v>3.9543057996485054E-2</c:v>
                </c:pt>
                <c:pt idx="100">
                  <c:v>2.5922795153564326E-2</c:v>
                </c:pt>
                <c:pt idx="101">
                  <c:v>9.0634441087615869E-3</c:v>
                </c:pt>
                <c:pt idx="102">
                  <c:v>7.6211213935766242E-3</c:v>
                </c:pt>
                <c:pt idx="103">
                  <c:v>8.103727714747766E-4</c:v>
                </c:pt>
                <c:pt idx="104">
                  <c:v>-1.3495276653170407E-3</c:v>
                </c:pt>
                <c:pt idx="105">
                  <c:v>7.8378378378378688E-3</c:v>
                </c:pt>
                <c:pt idx="106">
                  <c:v>3.4861893268973709E-3</c:v>
                </c:pt>
                <c:pt idx="107">
                  <c:v>-3.3137359700694868E-2</c:v>
                </c:pt>
                <c:pt idx="108">
                  <c:v>1.4096185737976663E-2</c:v>
                </c:pt>
                <c:pt idx="109">
                  <c:v>2.5892613791223873E-2</c:v>
                </c:pt>
                <c:pt idx="110">
                  <c:v>-6.1105207226356262E-3</c:v>
                </c:pt>
                <c:pt idx="111">
                  <c:v>2.1384656508955935E-3</c:v>
                </c:pt>
                <c:pt idx="112">
                  <c:v>1.1202987463323488E-2</c:v>
                </c:pt>
                <c:pt idx="113">
                  <c:v>-2.0047480875758361E-2</c:v>
                </c:pt>
                <c:pt idx="114">
                  <c:v>3.4185733512786198E-2</c:v>
                </c:pt>
                <c:pt idx="115">
                  <c:v>1.5616866215512726E-2</c:v>
                </c:pt>
                <c:pt idx="116">
                  <c:v>1.0763710917478075E-2</c:v>
                </c:pt>
                <c:pt idx="117">
                  <c:v>-4.3103448275860767E-3</c:v>
                </c:pt>
                <c:pt idx="118">
                  <c:v>6.620830150241952E-3</c:v>
                </c:pt>
                <c:pt idx="119">
                  <c:v>-9.3599797622060388E-3</c:v>
                </c:pt>
                <c:pt idx="120">
                  <c:v>2.5791624106231037E-2</c:v>
                </c:pt>
                <c:pt idx="121">
                  <c:v>-2.0413243714214602E-2</c:v>
                </c:pt>
                <c:pt idx="122">
                  <c:v>6.3532401524777349E-3</c:v>
                </c:pt>
                <c:pt idx="123">
                  <c:v>-9.8484848484848841E-3</c:v>
                </c:pt>
                <c:pt idx="124">
                  <c:v>2.4483550114766661E-2</c:v>
                </c:pt>
                <c:pt idx="125">
                  <c:v>-4.2320139407518997E-3</c:v>
                </c:pt>
                <c:pt idx="126">
                  <c:v>2.0000000000000018E-3</c:v>
                </c:pt>
                <c:pt idx="127">
                  <c:v>3.493013972055925E-3</c:v>
                </c:pt>
                <c:pt idx="128">
                  <c:v>-9.1994032819492366E-3</c:v>
                </c:pt>
                <c:pt idx="129">
                  <c:v>-2.1580928481806705E-2</c:v>
                </c:pt>
                <c:pt idx="130">
                  <c:v>1.0259040779687645E-3</c:v>
                </c:pt>
                <c:pt idx="131">
                  <c:v>-1.2298232129131503E-2</c:v>
                </c:pt>
                <c:pt idx="132">
                  <c:v>2.8015564202334753E-2</c:v>
                </c:pt>
                <c:pt idx="133">
                  <c:v>-4.2896795357053596E-3</c:v>
                </c:pt>
                <c:pt idx="134">
                  <c:v>5.347187024835276E-2</c:v>
                </c:pt>
                <c:pt idx="135">
                  <c:v>-5.5328361799373837E-3</c:v>
                </c:pt>
                <c:pt idx="136">
                  <c:v>2.564102564102555E-2</c:v>
                </c:pt>
                <c:pt idx="137">
                  <c:v>2.4528301886792336E-2</c:v>
                </c:pt>
                <c:pt idx="138">
                  <c:v>-2.5782688766114115E-2</c:v>
                </c:pt>
                <c:pt idx="139">
                  <c:v>3.969754253308122E-2</c:v>
                </c:pt>
                <c:pt idx="140">
                  <c:v>5.4090909090909189E-2</c:v>
                </c:pt>
                <c:pt idx="141">
                  <c:v>-1.1211729193618014E-2</c:v>
                </c:pt>
                <c:pt idx="142">
                  <c:v>6.1055385957260455E-3</c:v>
                </c:pt>
                <c:pt idx="143">
                  <c:v>-2.232336367576937E-2</c:v>
                </c:pt>
                <c:pt idx="144">
                  <c:v>2.0616271336732384E-2</c:v>
                </c:pt>
                <c:pt idx="145">
                  <c:v>1.7593397046046899E-2</c:v>
                </c:pt>
                <c:pt idx="146">
                  <c:v>8.9647812166488983E-3</c:v>
                </c:pt>
                <c:pt idx="147">
                  <c:v>8.6735773217685441E-3</c:v>
                </c:pt>
                <c:pt idx="148">
                  <c:v>6.9211409395972812E-3</c:v>
                </c:pt>
                <c:pt idx="149">
                  <c:v>3.33263903353469E-2</c:v>
                </c:pt>
                <c:pt idx="150">
                  <c:v>3.5275146139891245E-2</c:v>
                </c:pt>
                <c:pt idx="151">
                  <c:v>4.3613707165109039E-2</c:v>
                </c:pt>
                <c:pt idx="152">
                  <c:v>3.2462686567164223E-2</c:v>
                </c:pt>
                <c:pt idx="153">
                  <c:v>3.7947235272857149E-3</c:v>
                </c:pt>
                <c:pt idx="154">
                  <c:v>-6.6606660666066464E-3</c:v>
                </c:pt>
                <c:pt idx="155">
                  <c:v>-2.3559260601667242E-2</c:v>
                </c:pt>
                <c:pt idx="156">
                  <c:v>-1.6332590942836012E-2</c:v>
                </c:pt>
                <c:pt idx="157">
                  <c:v>-2.6415094339622636E-2</c:v>
                </c:pt>
                <c:pt idx="158">
                  <c:v>4.2635658914729202E-3</c:v>
                </c:pt>
                <c:pt idx="159">
                  <c:v>0</c:v>
                </c:pt>
              </c:numCache>
            </c:numRef>
          </c:val>
          <c:extLst>
            <c:ext xmlns:c16="http://schemas.microsoft.com/office/drawing/2014/chart" uri="{C3380CC4-5D6E-409C-BE32-E72D297353CC}">
              <c16:uniqueId val="{00000000-CD4F-4BBD-BE0E-1A199968F173}"/>
            </c:ext>
          </c:extLst>
        </c:ser>
        <c:dLbls>
          <c:showLegendKey val="0"/>
          <c:showVal val="0"/>
          <c:showCatName val="0"/>
          <c:showSerName val="0"/>
          <c:showPercent val="0"/>
          <c:showBubbleSize val="0"/>
        </c:dLbls>
        <c:gapWidth val="150"/>
        <c:axId val="15292741"/>
        <c:axId val="85987315"/>
      </c:barChart>
      <c:lineChart>
        <c:grouping val="standard"/>
        <c:varyColors val="0"/>
        <c:ser>
          <c:idx val="1"/>
          <c:order val="1"/>
          <c:tx>
            <c:strRef>
              <c:f>'Returns (Calc)'!$AN$2</c:f>
              <c:strCache>
                <c:ptCount val="1"/>
                <c:pt idx="0">
                  <c:v>VFLO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(Calc)'!$AN$3:$AN$500</c:f>
              <c:numCache>
                <c:formatCode>#,##0.00</c:formatCode>
                <c:ptCount val="498"/>
                <c:pt idx="0">
                  <c:v>25.24</c:v>
                </c:pt>
                <c:pt idx="1">
                  <c:v>25.408227848101266</c:v>
                </c:pt>
                <c:pt idx="2">
                  <c:v>25.57645569620253</c:v>
                </c:pt>
                <c:pt idx="3">
                  <c:v>25.744683544303797</c:v>
                </c:pt>
                <c:pt idx="4">
                  <c:v>25.912911392405061</c:v>
                </c:pt>
                <c:pt idx="5">
                  <c:v>26.081139240506328</c:v>
                </c:pt>
                <c:pt idx="6">
                  <c:v>26.249367088607592</c:v>
                </c:pt>
                <c:pt idx="7">
                  <c:v>26.417594936708859</c:v>
                </c:pt>
                <c:pt idx="8">
                  <c:v>26.585822784810127</c:v>
                </c:pt>
                <c:pt idx="9">
                  <c:v>26.75405063291139</c:v>
                </c:pt>
                <c:pt idx="10">
                  <c:v>26.922278481012658</c:v>
                </c:pt>
                <c:pt idx="11">
                  <c:v>27.090506329113921</c:v>
                </c:pt>
                <c:pt idx="12">
                  <c:v>27.258734177215189</c:v>
                </c:pt>
                <c:pt idx="13">
                  <c:v>27.426962025316456</c:v>
                </c:pt>
                <c:pt idx="14">
                  <c:v>27.59518987341772</c:v>
                </c:pt>
                <c:pt idx="15">
                  <c:v>27.763417721518987</c:v>
                </c:pt>
                <c:pt idx="16">
                  <c:v>27.931645569620251</c:v>
                </c:pt>
                <c:pt idx="17">
                  <c:v>28.099873417721518</c:v>
                </c:pt>
                <c:pt idx="18">
                  <c:v>28.268101265822782</c:v>
                </c:pt>
                <c:pt idx="19">
                  <c:v>28.436329113924049</c:v>
                </c:pt>
                <c:pt idx="20">
                  <c:v>28.604556962025313</c:v>
                </c:pt>
                <c:pt idx="21">
                  <c:v>28.772784810126581</c:v>
                </c:pt>
                <c:pt idx="22">
                  <c:v>28.941012658227848</c:v>
                </c:pt>
                <c:pt idx="23">
                  <c:v>29.109240506329112</c:v>
                </c:pt>
                <c:pt idx="24">
                  <c:v>29.277468354430379</c:v>
                </c:pt>
                <c:pt idx="25">
                  <c:v>29.445696202531643</c:v>
                </c:pt>
                <c:pt idx="26">
                  <c:v>29.61392405063291</c:v>
                </c:pt>
                <c:pt idx="27">
                  <c:v>29.782151898734178</c:v>
                </c:pt>
                <c:pt idx="28">
                  <c:v>29.950379746835441</c:v>
                </c:pt>
                <c:pt idx="29">
                  <c:v>30.118607594936709</c:v>
                </c:pt>
                <c:pt idx="30">
                  <c:v>30.286835443037972</c:v>
                </c:pt>
                <c:pt idx="31">
                  <c:v>30.45506329113924</c:v>
                </c:pt>
                <c:pt idx="32">
                  <c:v>30.623291139240507</c:v>
                </c:pt>
                <c:pt idx="33">
                  <c:v>30.791518987341771</c:v>
                </c:pt>
                <c:pt idx="34">
                  <c:v>30.959746835443035</c:v>
                </c:pt>
                <c:pt idx="35">
                  <c:v>31.127974683544302</c:v>
                </c:pt>
                <c:pt idx="36">
                  <c:v>31.296202531645569</c:v>
                </c:pt>
                <c:pt idx="37">
                  <c:v>31.464430379746833</c:v>
                </c:pt>
                <c:pt idx="38">
                  <c:v>31.632658227848101</c:v>
                </c:pt>
                <c:pt idx="39">
                  <c:v>31.800886075949364</c:v>
                </c:pt>
                <c:pt idx="40">
                  <c:v>31.969113924050632</c:v>
                </c:pt>
                <c:pt idx="41">
                  <c:v>32.137341772151899</c:v>
                </c:pt>
                <c:pt idx="42">
                  <c:v>32.305569620253166</c:v>
                </c:pt>
                <c:pt idx="43">
                  <c:v>32.473797468354427</c:v>
                </c:pt>
                <c:pt idx="44">
                  <c:v>32.642025316455694</c:v>
                </c:pt>
                <c:pt idx="45">
                  <c:v>32.810253164556961</c:v>
                </c:pt>
                <c:pt idx="46">
                  <c:v>32.978481012658229</c:v>
                </c:pt>
                <c:pt idx="47">
                  <c:v>33.146708860759489</c:v>
                </c:pt>
                <c:pt idx="48">
                  <c:v>33.314936708860756</c:v>
                </c:pt>
                <c:pt idx="49">
                  <c:v>33.483164556962024</c:v>
                </c:pt>
                <c:pt idx="50">
                  <c:v>33.651392405063291</c:v>
                </c:pt>
                <c:pt idx="51">
                  <c:v>33.819620253164558</c:v>
                </c:pt>
                <c:pt idx="52">
                  <c:v>33.987848101265826</c:v>
                </c:pt>
                <c:pt idx="53">
                  <c:v>34.156075949367086</c:v>
                </c:pt>
                <c:pt idx="54">
                  <c:v>34.324303797468353</c:v>
                </c:pt>
                <c:pt idx="55">
                  <c:v>34.49253164556962</c:v>
                </c:pt>
                <c:pt idx="56">
                  <c:v>34.660759493670881</c:v>
                </c:pt>
                <c:pt idx="57">
                  <c:v>34.828987341772148</c:v>
                </c:pt>
                <c:pt idx="58">
                  <c:v>34.997215189873415</c:v>
                </c:pt>
                <c:pt idx="59">
                  <c:v>35.165443037974683</c:v>
                </c:pt>
                <c:pt idx="60">
                  <c:v>35.33367088607595</c:v>
                </c:pt>
                <c:pt idx="61">
                  <c:v>35.501898734177217</c:v>
                </c:pt>
                <c:pt idx="62">
                  <c:v>35.670126582278478</c:v>
                </c:pt>
                <c:pt idx="63">
                  <c:v>35.838354430379745</c:v>
                </c:pt>
                <c:pt idx="64">
                  <c:v>36.006582278481012</c:v>
                </c:pt>
                <c:pt idx="65">
                  <c:v>36.17481012658228</c:v>
                </c:pt>
                <c:pt idx="66">
                  <c:v>36.34303797468354</c:v>
                </c:pt>
                <c:pt idx="67">
                  <c:v>36.511265822784807</c:v>
                </c:pt>
                <c:pt idx="68">
                  <c:v>36.679493670886075</c:v>
                </c:pt>
                <c:pt idx="69">
                  <c:v>36.847721518987342</c:v>
                </c:pt>
                <c:pt idx="70">
                  <c:v>37.015949367088609</c:v>
                </c:pt>
                <c:pt idx="71">
                  <c:v>37.184177215189877</c:v>
                </c:pt>
                <c:pt idx="72">
                  <c:v>37.352405063291137</c:v>
                </c:pt>
                <c:pt idx="73">
                  <c:v>37.520632911392404</c:v>
                </c:pt>
                <c:pt idx="74">
                  <c:v>37.688860759493672</c:v>
                </c:pt>
                <c:pt idx="75">
                  <c:v>37.857088607594939</c:v>
                </c:pt>
                <c:pt idx="76">
                  <c:v>38.025316455696199</c:v>
                </c:pt>
                <c:pt idx="77">
                  <c:v>38.193544303797466</c:v>
                </c:pt>
                <c:pt idx="78">
                  <c:v>38.361772151898734</c:v>
                </c:pt>
                <c:pt idx="79">
                  <c:v>38.53</c:v>
                </c:pt>
                <c:pt idx="80">
                  <c:v>38.698227848101268</c:v>
                </c:pt>
                <c:pt idx="81">
                  <c:v>38.866455696202529</c:v>
                </c:pt>
                <c:pt idx="82">
                  <c:v>39.034683544303796</c:v>
                </c:pt>
                <c:pt idx="83">
                  <c:v>39.202911392405063</c:v>
                </c:pt>
                <c:pt idx="84">
                  <c:v>39.371139240506331</c:v>
                </c:pt>
                <c:pt idx="85">
                  <c:v>39.539367088607591</c:v>
                </c:pt>
                <c:pt idx="86">
                  <c:v>39.707594936708858</c:v>
                </c:pt>
                <c:pt idx="87">
                  <c:v>39.875822784810126</c:v>
                </c:pt>
                <c:pt idx="88">
                  <c:v>40.044050632911393</c:v>
                </c:pt>
                <c:pt idx="89">
                  <c:v>40.21227848101266</c:v>
                </c:pt>
                <c:pt idx="90">
                  <c:v>40.380506329113928</c:v>
                </c:pt>
                <c:pt idx="91">
                  <c:v>40.548734177215188</c:v>
                </c:pt>
                <c:pt idx="92">
                  <c:v>40.716962025316455</c:v>
                </c:pt>
                <c:pt idx="93">
                  <c:v>40.885189873417723</c:v>
                </c:pt>
                <c:pt idx="94">
                  <c:v>41.053417721518983</c:v>
                </c:pt>
                <c:pt idx="95">
                  <c:v>41.22164556962025</c:v>
                </c:pt>
                <c:pt idx="96">
                  <c:v>41.389873417721518</c:v>
                </c:pt>
                <c:pt idx="97">
                  <c:v>41.558101265822785</c:v>
                </c:pt>
                <c:pt idx="98">
                  <c:v>41.726329113924052</c:v>
                </c:pt>
                <c:pt idx="99">
                  <c:v>41.89455696202532</c:v>
                </c:pt>
                <c:pt idx="100">
                  <c:v>42.06278481012658</c:v>
                </c:pt>
                <c:pt idx="101">
                  <c:v>42.231012658227854</c:v>
                </c:pt>
                <c:pt idx="102">
                  <c:v>42.399240506329114</c:v>
                </c:pt>
                <c:pt idx="103">
                  <c:v>42.567468354430375</c:v>
                </c:pt>
                <c:pt idx="104">
                  <c:v>42.735696202531642</c:v>
                </c:pt>
                <c:pt idx="105">
                  <c:v>42.903924050632909</c:v>
                </c:pt>
                <c:pt idx="106">
                  <c:v>43.072151898734177</c:v>
                </c:pt>
                <c:pt idx="107">
                  <c:v>43.240379746835444</c:v>
                </c:pt>
                <c:pt idx="108">
                  <c:v>43.408607594936711</c:v>
                </c:pt>
                <c:pt idx="109">
                  <c:v>43.576835443037979</c:v>
                </c:pt>
                <c:pt idx="110">
                  <c:v>43.745063291139239</c:v>
                </c:pt>
                <c:pt idx="111">
                  <c:v>43.913291139240506</c:v>
                </c:pt>
                <c:pt idx="112">
                  <c:v>44.081518987341767</c:v>
                </c:pt>
                <c:pt idx="113">
                  <c:v>44.249746835443034</c:v>
                </c:pt>
                <c:pt idx="114">
                  <c:v>44.417974683544301</c:v>
                </c:pt>
                <c:pt idx="115">
                  <c:v>44.586202531645569</c:v>
                </c:pt>
                <c:pt idx="116">
                  <c:v>44.754430379746836</c:v>
                </c:pt>
                <c:pt idx="117">
                  <c:v>44.922658227848103</c:v>
                </c:pt>
                <c:pt idx="118">
                  <c:v>45.090886075949371</c:v>
                </c:pt>
                <c:pt idx="119">
                  <c:v>45.259113924050638</c:v>
                </c:pt>
                <c:pt idx="120">
                  <c:v>45.427341772151898</c:v>
                </c:pt>
                <c:pt idx="121">
                  <c:v>45.595569620253166</c:v>
                </c:pt>
                <c:pt idx="122">
                  <c:v>45.763797468354426</c:v>
                </c:pt>
                <c:pt idx="123">
                  <c:v>45.932025316455693</c:v>
                </c:pt>
                <c:pt idx="124">
                  <c:v>46.10025316455696</c:v>
                </c:pt>
                <c:pt idx="125">
                  <c:v>46.268481012658228</c:v>
                </c:pt>
                <c:pt idx="126">
                  <c:v>46.436708860759495</c:v>
                </c:pt>
                <c:pt idx="127">
                  <c:v>46.604936708860762</c:v>
                </c:pt>
                <c:pt idx="128">
                  <c:v>46.77316455696203</c:v>
                </c:pt>
                <c:pt idx="129">
                  <c:v>46.94139240506329</c:v>
                </c:pt>
                <c:pt idx="130">
                  <c:v>47.109620253164557</c:v>
                </c:pt>
                <c:pt idx="131">
                  <c:v>47.277848101265818</c:v>
                </c:pt>
                <c:pt idx="132">
                  <c:v>47.446075949367085</c:v>
                </c:pt>
                <c:pt idx="133">
                  <c:v>47.614303797468352</c:v>
                </c:pt>
                <c:pt idx="134">
                  <c:v>47.78253164556962</c:v>
                </c:pt>
                <c:pt idx="135">
                  <c:v>47.950759493670887</c:v>
                </c:pt>
                <c:pt idx="136">
                  <c:v>48.118987341772154</c:v>
                </c:pt>
                <c:pt idx="137">
                  <c:v>48.287215189873422</c:v>
                </c:pt>
                <c:pt idx="138">
                  <c:v>48.455443037974689</c:v>
                </c:pt>
                <c:pt idx="139">
                  <c:v>48.623670886075949</c:v>
                </c:pt>
                <c:pt idx="140">
                  <c:v>48.791898734177217</c:v>
                </c:pt>
                <c:pt idx="141">
                  <c:v>48.960126582278477</c:v>
                </c:pt>
                <c:pt idx="142">
                  <c:v>49.128354430379744</c:v>
                </c:pt>
                <c:pt idx="143">
                  <c:v>49.296582278481011</c:v>
                </c:pt>
                <c:pt idx="144">
                  <c:v>49.464810126582279</c:v>
                </c:pt>
                <c:pt idx="145">
                  <c:v>49.633037974683546</c:v>
                </c:pt>
                <c:pt idx="146">
                  <c:v>49.801265822784814</c:v>
                </c:pt>
                <c:pt idx="147">
                  <c:v>49.969493670886081</c:v>
                </c:pt>
                <c:pt idx="148">
                  <c:v>50.137721518987341</c:v>
                </c:pt>
                <c:pt idx="149">
                  <c:v>50.305949367088601</c:v>
                </c:pt>
                <c:pt idx="150">
                  <c:v>50.474177215189876</c:v>
                </c:pt>
                <c:pt idx="151">
                  <c:v>50.642405063291136</c:v>
                </c:pt>
                <c:pt idx="152">
                  <c:v>50.810632911392403</c:v>
                </c:pt>
                <c:pt idx="153">
                  <c:v>50.978860759493671</c:v>
                </c:pt>
                <c:pt idx="154">
                  <c:v>51.147088607594938</c:v>
                </c:pt>
                <c:pt idx="155">
                  <c:v>51.315316455696205</c:v>
                </c:pt>
                <c:pt idx="156">
                  <c:v>51.483544303797473</c:v>
                </c:pt>
                <c:pt idx="157">
                  <c:v>51.65177215189874</c:v>
                </c:pt>
                <c:pt idx="158">
                  <c:v>51.82</c:v>
                </c:pt>
                <c:pt idx="159">
                  <c:v>51.988227848101268</c:v>
                </c:pt>
              </c:numCache>
            </c:numRef>
          </c:val>
          <c:smooth val="0"/>
          <c:extLst>
            <c:ext xmlns:c16="http://schemas.microsoft.com/office/drawing/2014/chart" uri="{C3380CC4-5D6E-409C-BE32-E72D297353CC}">
              <c16:uniqueId val="{00000001-CD4F-4BBD-BE0E-1A199968F173}"/>
            </c:ext>
          </c:extLst>
        </c:ser>
        <c:dLbls>
          <c:showLegendKey val="0"/>
          <c:showVal val="0"/>
          <c:showCatName val="0"/>
          <c:showSerName val="0"/>
          <c:showPercent val="0"/>
          <c:showBubbleSize val="0"/>
        </c:dLbls>
        <c:hiLowLines>
          <c:spPr>
            <a:ln w="0">
              <a:noFill/>
            </a:ln>
          </c:spPr>
        </c:hiLowLines>
        <c:marker val="1"/>
        <c:smooth val="0"/>
        <c:axId val="28342615"/>
        <c:axId val="11274106"/>
      </c:lineChart>
      <c:dateAx>
        <c:axId val="15292741"/>
        <c:scaling>
          <c:orientation val="minMax"/>
        </c:scaling>
        <c:delete val="1"/>
        <c:axPos val="b"/>
        <c:numFmt formatCode="mm/dd/yyyy" sourceLinked="1"/>
        <c:majorTickMark val="none"/>
        <c:minorTickMark val="none"/>
        <c:tickLblPos val="nextTo"/>
        <c:crossAx val="85987315"/>
        <c:crosses val="autoZero"/>
        <c:auto val="1"/>
        <c:lblOffset val="100"/>
        <c:baseTimeUnit val="days"/>
      </c:dateAx>
      <c:valAx>
        <c:axId val="8598731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5292741"/>
        <c:crosses val="autoZero"/>
        <c:crossBetween val="between"/>
      </c:valAx>
      <c:dateAx>
        <c:axId val="28342615"/>
        <c:scaling>
          <c:orientation val="minMax"/>
        </c:scaling>
        <c:delete val="1"/>
        <c:axPos val="b"/>
        <c:numFmt formatCode="mm/dd/yyyy" sourceLinked="1"/>
        <c:majorTickMark val="none"/>
        <c:minorTickMark val="none"/>
        <c:tickLblPos val="nextTo"/>
        <c:crossAx val="11274106"/>
        <c:crosses val="autoZero"/>
        <c:auto val="1"/>
        <c:lblOffset val="100"/>
        <c:baseTimeUnit val="days"/>
      </c:dateAx>
      <c:valAx>
        <c:axId val="11274106"/>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8342615"/>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V</a:t>
            </a:r>
          </a:p>
        </c:rich>
      </c:tx>
      <c:overlay val="0"/>
      <c:spPr>
        <a:noFill/>
        <a:ln w="0">
          <a:noFill/>
        </a:ln>
      </c:spPr>
    </c:title>
    <c:autoTitleDeleted val="0"/>
    <c:plotArea>
      <c:layout/>
      <c:barChart>
        <c:barDir val="col"/>
        <c:grouping val="clustered"/>
        <c:varyColors val="0"/>
        <c:ser>
          <c:idx val="0"/>
          <c:order val="0"/>
          <c:tx>
            <c:strRef>
              <c:f>'Returns (Calc)'!$V$2</c:f>
              <c:strCache>
                <c:ptCount val="1"/>
                <c:pt idx="0">
                  <c:v>V</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(Calc)'!$V$3:$V$500</c:f>
              <c:numCache>
                <c:formatCode>0.0%</c:formatCode>
                <c:ptCount val="498"/>
                <c:pt idx="0">
                  <c:v>-2.482705937274543E-2</c:v>
                </c:pt>
                <c:pt idx="1">
                  <c:v>-2.1585864740186311E-2</c:v>
                </c:pt>
                <c:pt idx="2">
                  <c:v>2.1884174005871504E-2</c:v>
                </c:pt>
                <c:pt idx="3">
                  <c:v>1.1186558718551343E-2</c:v>
                </c:pt>
                <c:pt idx="4">
                  <c:v>-1.8036244673066193E-2</c:v>
                </c:pt>
                <c:pt idx="5">
                  <c:v>-1.7622304050499804E-2</c:v>
                </c:pt>
                <c:pt idx="6">
                  <c:v>6.2516733601071017E-2</c:v>
                </c:pt>
                <c:pt idx="7">
                  <c:v>8.9034479862246663E-3</c:v>
                </c:pt>
                <c:pt idx="8">
                  <c:v>1.7566498772010108E-2</c:v>
                </c:pt>
                <c:pt idx="9">
                  <c:v>1.9022294947842022E-2</c:v>
                </c:pt>
                <c:pt idx="10">
                  <c:v>8.4303492573263306E-3</c:v>
                </c:pt>
                <c:pt idx="11">
                  <c:v>-2.7468152866242379E-3</c:v>
                </c:pt>
                <c:pt idx="12">
                  <c:v>8.9417588120235258E-3</c:v>
                </c:pt>
                <c:pt idx="13">
                  <c:v>1.5430267062312986E-3</c:v>
                </c:pt>
                <c:pt idx="14">
                  <c:v>7.4267203918780833E-3</c:v>
                </c:pt>
                <c:pt idx="15">
                  <c:v>-2.5096070896400979E-3</c:v>
                </c:pt>
                <c:pt idx="16">
                  <c:v>1.7218334774746324E-2</c:v>
                </c:pt>
                <c:pt idx="17">
                  <c:v>2.5506260627608635E-2</c:v>
                </c:pt>
                <c:pt idx="18">
                  <c:v>-1.0928549894483108E-2</c:v>
                </c:pt>
                <c:pt idx="19">
                  <c:v>3.4481444791587323E-2</c:v>
                </c:pt>
                <c:pt idx="20">
                  <c:v>-8.4711428676664813E-4</c:v>
                </c:pt>
                <c:pt idx="21">
                  <c:v>7.7042170451195879E-3</c:v>
                </c:pt>
                <c:pt idx="22">
                  <c:v>1.8070746607162347E-2</c:v>
                </c:pt>
                <c:pt idx="23">
                  <c:v>-1.5450397039272756E-3</c:v>
                </c:pt>
                <c:pt idx="24">
                  <c:v>-1.1011947603281946E-2</c:v>
                </c:pt>
                <c:pt idx="25">
                  <c:v>1.069791136016307E-2</c:v>
                </c:pt>
                <c:pt idx="26">
                  <c:v>7.9205069124443916E-4</c:v>
                </c:pt>
                <c:pt idx="27">
                  <c:v>-1.4749262536873253E-2</c:v>
                </c:pt>
                <c:pt idx="28">
                  <c:v>-6.973857163721231E-3</c:v>
                </c:pt>
                <c:pt idx="29">
                  <c:v>-4.2284075449499081E-3</c:v>
                </c:pt>
                <c:pt idx="30">
                  <c:v>-2.2413411121778304E-2</c:v>
                </c:pt>
                <c:pt idx="31">
                  <c:v>1.7563739376770471E-2</c:v>
                </c:pt>
                <c:pt idx="32">
                  <c:v>-2.1937639198218117E-2</c:v>
                </c:pt>
                <c:pt idx="33">
                  <c:v>4.5618429541917971E-2</c:v>
                </c:pt>
                <c:pt idx="34">
                  <c:v>-4.3555587818955299E-4</c:v>
                </c:pt>
                <c:pt idx="35">
                  <c:v>-2.0044300809760607E-2</c:v>
                </c:pt>
                <c:pt idx="36">
                  <c:v>-7.3739207766703174E-3</c:v>
                </c:pt>
                <c:pt idx="37">
                  <c:v>2.2771390174705086E-2</c:v>
                </c:pt>
                <c:pt idx="38">
                  <c:v>-2.8724724432440341E-2</c:v>
                </c:pt>
                <c:pt idx="39">
                  <c:v>1.6835143361767502E-2</c:v>
                </c:pt>
                <c:pt idx="40">
                  <c:v>-4.6343176022764943E-2</c:v>
                </c:pt>
                <c:pt idx="41">
                  <c:v>3.0071691532648659E-2</c:v>
                </c:pt>
                <c:pt idx="42">
                  <c:v>-1.707986907941772E-2</c:v>
                </c:pt>
                <c:pt idx="43">
                  <c:v>-1.0716882918052617E-3</c:v>
                </c:pt>
                <c:pt idx="44">
                  <c:v>-2.2606230123759508E-2</c:v>
                </c:pt>
                <c:pt idx="45">
                  <c:v>2.7480497079462207E-2</c:v>
                </c:pt>
                <c:pt idx="46">
                  <c:v>-2.3655093475772659E-2</c:v>
                </c:pt>
                <c:pt idx="47">
                  <c:v>2.9347401328644107E-2</c:v>
                </c:pt>
                <c:pt idx="48">
                  <c:v>2.2778178505000746E-4</c:v>
                </c:pt>
                <c:pt idx="49">
                  <c:v>3.3400387140850807E-2</c:v>
                </c:pt>
                <c:pt idx="50">
                  <c:v>1.0834833070114458E-2</c:v>
                </c:pt>
                <c:pt idx="51">
                  <c:v>2.8558971005014033E-2</c:v>
                </c:pt>
                <c:pt idx="52">
                  <c:v>-8.9727285572981375E-3</c:v>
                </c:pt>
                <c:pt idx="53">
                  <c:v>-3.3720681542739106E-2</c:v>
                </c:pt>
                <c:pt idx="54">
                  <c:v>1.0033938320791025E-2</c:v>
                </c:pt>
                <c:pt idx="55">
                  <c:v>-3.2870708546395289E-4</c:v>
                </c:pt>
                <c:pt idx="56">
                  <c:v>4.5997588688758251E-2</c:v>
                </c:pt>
                <c:pt idx="57">
                  <c:v>-3.0562347188264005E-2</c:v>
                </c:pt>
                <c:pt idx="58">
                  <c:v>3.1958205728697564E-2</c:v>
                </c:pt>
                <c:pt idx="59">
                  <c:v>5.8934431953075794E-2</c:v>
                </c:pt>
                <c:pt idx="60">
                  <c:v>7.6491922189252382E-3</c:v>
                </c:pt>
                <c:pt idx="61">
                  <c:v>9.1617040769564895E-4</c:v>
                </c:pt>
                <c:pt idx="62">
                  <c:v>1.6639424648578149E-2</c:v>
                </c:pt>
                <c:pt idx="63">
                  <c:v>-1.2926460657898931E-2</c:v>
                </c:pt>
                <c:pt idx="64">
                  <c:v>1.1988142163729121E-2</c:v>
                </c:pt>
                <c:pt idx="65">
                  <c:v>9.4640270400772053E-3</c:v>
                </c:pt>
                <c:pt idx="66">
                  <c:v>2.9656557925954452E-3</c:v>
                </c:pt>
                <c:pt idx="67">
                  <c:v>-1.1763957776929845E-2</c:v>
                </c:pt>
                <c:pt idx="68">
                  <c:v>-2.2842802908435655E-2</c:v>
                </c:pt>
                <c:pt idx="69">
                  <c:v>3.8686948505202157E-2</c:v>
                </c:pt>
                <c:pt idx="70">
                  <c:v>3.3093479570165174E-2</c:v>
                </c:pt>
                <c:pt idx="71">
                  <c:v>3.5132398514927443E-2</c:v>
                </c:pt>
                <c:pt idx="72">
                  <c:v>1.820014228124256E-2</c:v>
                </c:pt>
                <c:pt idx="73">
                  <c:v>1.8369723435225582E-2</c:v>
                </c:pt>
                <c:pt idx="74">
                  <c:v>-1.4922386438352309E-2</c:v>
                </c:pt>
                <c:pt idx="75">
                  <c:v>4.0657012681737825E-2</c:v>
                </c:pt>
                <c:pt idx="76">
                  <c:v>-4.7936419408811992E-2</c:v>
                </c:pt>
                <c:pt idx="77">
                  <c:v>-3.916112591898302E-2</c:v>
                </c:pt>
                <c:pt idx="78">
                  <c:v>1.1644921351054771E-2</c:v>
                </c:pt>
                <c:pt idx="79">
                  <c:v>2.1424697161453565E-2</c:v>
                </c:pt>
                <c:pt idx="80">
                  <c:v>-8.6674336961973131E-2</c:v>
                </c:pt>
                <c:pt idx="81">
                  <c:v>6.4730772957782845E-2</c:v>
                </c:pt>
                <c:pt idx="82">
                  <c:v>-1.1376391711919398E-2</c:v>
                </c:pt>
                <c:pt idx="83">
                  <c:v>1.6877378176015645E-2</c:v>
                </c:pt>
                <c:pt idx="84">
                  <c:v>3.708733176413781E-2</c:v>
                </c:pt>
                <c:pt idx="85">
                  <c:v>1.4199668286437594E-2</c:v>
                </c:pt>
                <c:pt idx="86">
                  <c:v>3.7412135991966577E-2</c:v>
                </c:pt>
                <c:pt idx="87">
                  <c:v>-3.1721009983683102E-2</c:v>
                </c:pt>
                <c:pt idx="88">
                  <c:v>3.2960127956129348E-2</c:v>
                </c:pt>
                <c:pt idx="89">
                  <c:v>1.3769839075374657E-2</c:v>
                </c:pt>
                <c:pt idx="90">
                  <c:v>-4.691250272747105E-2</c:v>
                </c:pt>
                <c:pt idx="91">
                  <c:v>-4.0493360805860745E-2</c:v>
                </c:pt>
                <c:pt idx="92">
                  <c:v>2.9675803036177673E-2</c:v>
                </c:pt>
                <c:pt idx="93">
                  <c:v>2.9399837793998351E-2</c:v>
                </c:pt>
                <c:pt idx="94">
                  <c:v>-3.0473564253355456E-2</c:v>
                </c:pt>
                <c:pt idx="95">
                  <c:v>3.2214998839099618E-3</c:v>
                </c:pt>
                <c:pt idx="96">
                  <c:v>2.2912025920675649E-2</c:v>
                </c:pt>
                <c:pt idx="97">
                  <c:v>-4.9548912582369375E-2</c:v>
                </c:pt>
                <c:pt idx="98">
                  <c:v>-7.5877049424227794E-3</c:v>
                </c:pt>
                <c:pt idx="99">
                  <c:v>2.4646198129047781E-2</c:v>
                </c:pt>
                <c:pt idx="100">
                  <c:v>1.6152630654883815E-2</c:v>
                </c:pt>
                <c:pt idx="101">
                  <c:v>4.9818579738525326E-3</c:v>
                </c:pt>
                <c:pt idx="102">
                  <c:v>-2.432734462305508E-2</c:v>
                </c:pt>
                <c:pt idx="103">
                  <c:v>-1.104258443465489E-2</c:v>
                </c:pt>
                <c:pt idx="104">
                  <c:v>6.4144443784521776E-3</c:v>
                </c:pt>
                <c:pt idx="105">
                  <c:v>-1.2422543523163077E-2</c:v>
                </c:pt>
                <c:pt idx="106">
                  <c:v>3.6959574531656214E-2</c:v>
                </c:pt>
                <c:pt idx="107">
                  <c:v>-1.7691465452659427E-2</c:v>
                </c:pt>
                <c:pt idx="108">
                  <c:v>-5.1038366772263588E-3</c:v>
                </c:pt>
                <c:pt idx="109">
                  <c:v>1.6038681526033383E-2</c:v>
                </c:pt>
                <c:pt idx="110">
                  <c:v>-1.9093494283558665E-2</c:v>
                </c:pt>
                <c:pt idx="111">
                  <c:v>-1.3874097739912439E-2</c:v>
                </c:pt>
                <c:pt idx="112">
                  <c:v>-1.5899205039748066E-2</c:v>
                </c:pt>
                <c:pt idx="113">
                  <c:v>-6.1880810852005252E-3</c:v>
                </c:pt>
                <c:pt idx="114">
                  <c:v>1.9692043432918194E-2</c:v>
                </c:pt>
                <c:pt idx="115">
                  <c:v>-9.5656359042233241E-3</c:v>
                </c:pt>
                <c:pt idx="116">
                  <c:v>5.0082002065237274E-2</c:v>
                </c:pt>
                <c:pt idx="117">
                  <c:v>4.1070137382501759E-3</c:v>
                </c:pt>
                <c:pt idx="118">
                  <c:v>1.6447273669959905E-2</c:v>
                </c:pt>
                <c:pt idx="119">
                  <c:v>-2.4002493765585942E-2</c:v>
                </c:pt>
                <c:pt idx="120">
                  <c:v>9.4944978368805E-3</c:v>
                </c:pt>
                <c:pt idx="121">
                  <c:v>-6.1378278877128434E-2</c:v>
                </c:pt>
                <c:pt idx="122">
                  <c:v>-6.4656493227920331E-3</c:v>
                </c:pt>
                <c:pt idx="123">
                  <c:v>-1.3323875026986953E-2</c:v>
                </c:pt>
                <c:pt idx="124">
                  <c:v>3.0289768997530553E-2</c:v>
                </c:pt>
                <c:pt idx="125">
                  <c:v>-5.0819174757281593E-2</c:v>
                </c:pt>
                <c:pt idx="126">
                  <c:v>2.1863512865590407E-2</c:v>
                </c:pt>
                <c:pt idx="127">
                  <c:v>-2.5024242234664706E-3</c:v>
                </c:pt>
                <c:pt idx="128">
                  <c:v>-8.6863808836902257E-3</c:v>
                </c:pt>
                <c:pt idx="129">
                  <c:v>-3.2202960900923672E-2</c:v>
                </c:pt>
                <c:pt idx="130">
                  <c:v>-1.7977381185853458E-2</c:v>
                </c:pt>
                <c:pt idx="131">
                  <c:v>-2.0236985754227055E-2</c:v>
                </c:pt>
                <c:pt idx="132">
                  <c:v>1.7869275716809296E-2</c:v>
                </c:pt>
                <c:pt idx="133">
                  <c:v>1.1848341232227444E-2</c:v>
                </c:pt>
                <c:pt idx="134">
                  <c:v>4.15938252465613E-2</c:v>
                </c:pt>
                <c:pt idx="135">
                  <c:v>-2.3972385838241794E-2</c:v>
                </c:pt>
                <c:pt idx="136">
                  <c:v>6.0121345835631557E-2</c:v>
                </c:pt>
                <c:pt idx="137">
                  <c:v>-2.8156944359429503E-2</c:v>
                </c:pt>
                <c:pt idx="138">
                  <c:v>2.3965484663349468E-2</c:v>
                </c:pt>
                <c:pt idx="139">
                  <c:v>9.5955712747961552E-3</c:v>
                </c:pt>
                <c:pt idx="140">
                  <c:v>-7.6766076705150343E-3</c:v>
                </c:pt>
                <c:pt idx="141">
                  <c:v>-8.534151957022118E-3</c:v>
                </c:pt>
                <c:pt idx="142">
                  <c:v>-3.6535901167291662E-3</c:v>
                </c:pt>
                <c:pt idx="143">
                  <c:v>1.5040865160508288E-2</c:v>
                </c:pt>
                <c:pt idx="144">
                  <c:v>2.7492881854085827E-2</c:v>
                </c:pt>
                <c:pt idx="145">
                  <c:v>7.7023926581448521E-2</c:v>
                </c:pt>
                <c:pt idx="146">
                  <c:v>-3.6352570132241468E-2</c:v>
                </c:pt>
                <c:pt idx="147">
                  <c:v>2.7503445107946778E-2</c:v>
                </c:pt>
                <c:pt idx="148">
                  <c:v>-7.8792958927074164E-3</c:v>
                </c:pt>
                <c:pt idx="149">
                  <c:v>2.9204686267883417E-2</c:v>
                </c:pt>
                <c:pt idx="150">
                  <c:v>-9.9055958407443523E-3</c:v>
                </c:pt>
                <c:pt idx="151">
                  <c:v>6.4118508691926035E-3</c:v>
                </c:pt>
                <c:pt idx="152">
                  <c:v>1.8920774406151475E-2</c:v>
                </c:pt>
                <c:pt idx="153">
                  <c:v>2.8460543337645472E-2</c:v>
                </c:pt>
                <c:pt idx="154">
                  <c:v>-1.7112159329140564E-2</c:v>
                </c:pt>
                <c:pt idx="155">
                  <c:v>-1.2317700695870126E-2</c:v>
                </c:pt>
                <c:pt idx="156">
                  <c:v>-5.8307463895261868E-3</c:v>
                </c:pt>
                <c:pt idx="157">
                  <c:v>-2.4708789269326514E-3</c:v>
                </c:pt>
                <c:pt idx="158">
                  <c:v>-1.8291687081495867E-2</c:v>
                </c:pt>
                <c:pt idx="159">
                  <c:v>0</c:v>
                </c:pt>
              </c:numCache>
            </c:numRef>
          </c:val>
          <c:extLst>
            <c:ext xmlns:c16="http://schemas.microsoft.com/office/drawing/2014/chart" uri="{C3380CC4-5D6E-409C-BE32-E72D297353CC}">
              <c16:uniqueId val="{00000000-E811-4671-801F-B5D7D208BF6E}"/>
            </c:ext>
          </c:extLst>
        </c:ser>
        <c:dLbls>
          <c:showLegendKey val="0"/>
          <c:showVal val="0"/>
          <c:showCatName val="0"/>
          <c:showSerName val="0"/>
          <c:showPercent val="0"/>
          <c:showBubbleSize val="0"/>
        </c:dLbls>
        <c:gapWidth val="150"/>
        <c:axId val="55676341"/>
        <c:axId val="36537748"/>
      </c:barChart>
      <c:lineChart>
        <c:grouping val="standard"/>
        <c:varyColors val="0"/>
        <c:ser>
          <c:idx val="1"/>
          <c:order val="1"/>
          <c:tx>
            <c:strRef>
              <c:f>'Returns (Calc)'!$AO$2</c:f>
              <c:strCache>
                <c:ptCount val="1"/>
                <c:pt idx="0">
                  <c:v>V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'Returns (Calc)'!$A$3:$A$500</c:f>
              <c:strCache>
                <c:ptCount val="159"/>
                <c:pt idx="0">
                  <c:v>09/22/2023</c:v>
                </c:pt>
                <c:pt idx="1">
                  <c:v>09/29/2023</c:v>
                </c:pt>
                <c:pt idx="2">
                  <c:v>10/06/2023</c:v>
                </c:pt>
                <c:pt idx="3">
                  <c:v>10/13/2023</c:v>
                </c:pt>
                <c:pt idx="4">
                  <c:v>10/20/2023</c:v>
                </c:pt>
                <c:pt idx="5">
                  <c:v>10/27/2023</c:v>
                </c:pt>
                <c:pt idx="6">
                  <c:v>11/03/2023</c:v>
                </c:pt>
                <c:pt idx="7">
                  <c:v>11/10/2023</c:v>
                </c:pt>
                <c:pt idx="8">
                  <c:v>11/17/2023</c:v>
                </c:pt>
                <c:pt idx="9">
                  <c:v>11/24/2023</c:v>
                </c:pt>
                <c:pt idx="10">
                  <c:v>12/01/2023</c:v>
                </c:pt>
                <c:pt idx="11">
                  <c:v>12/08/2023</c:v>
                </c:pt>
                <c:pt idx="12">
                  <c:v>12/15/2023</c:v>
                </c:pt>
                <c:pt idx="13">
                  <c:v>12/22/2023</c:v>
                </c:pt>
                <c:pt idx="14">
                  <c:v>12/29/2023</c:v>
                </c:pt>
                <c:pt idx="15">
                  <c:v>01/05/2024</c:v>
                </c:pt>
                <c:pt idx="16">
                  <c:v>01/12/2024</c:v>
                </c:pt>
                <c:pt idx="17">
                  <c:v>01/19/2024</c:v>
                </c:pt>
                <c:pt idx="18">
                  <c:v>01/26/2024</c:v>
                </c:pt>
                <c:pt idx="19">
                  <c:v>02/02/2024</c:v>
                </c:pt>
                <c:pt idx="20">
                  <c:v>02/09/2024</c:v>
                </c:pt>
                <c:pt idx="21">
                  <c:v>02/16/2024</c:v>
                </c:pt>
                <c:pt idx="22">
                  <c:v>02/23/2024</c:v>
                </c:pt>
                <c:pt idx="23">
                  <c:v>03/01/2024</c:v>
                </c:pt>
                <c:pt idx="24">
                  <c:v>03/08/2024</c:v>
                </c:pt>
                <c:pt idx="25">
                  <c:v>03/15/2024</c:v>
                </c:pt>
                <c:pt idx="26">
                  <c:v>03/22/2024</c:v>
                </c:pt>
                <c:pt idx="27">
                  <c:v>03/29/2024</c:v>
                </c:pt>
                <c:pt idx="28">
                  <c:v>04/05/2024</c:v>
                </c:pt>
                <c:pt idx="29">
                  <c:v>04/12/2024</c:v>
                </c:pt>
                <c:pt idx="30">
                  <c:v>04/19/2024</c:v>
                </c:pt>
                <c:pt idx="31">
                  <c:v>04/26/2024</c:v>
                </c:pt>
                <c:pt idx="32">
                  <c:v>05/03/2024</c:v>
                </c:pt>
                <c:pt idx="33">
                  <c:v>05/10/2024</c:v>
                </c:pt>
                <c:pt idx="34">
                  <c:v>05/17/2024</c:v>
                </c:pt>
                <c:pt idx="35">
                  <c:v>05/24/2024</c:v>
                </c:pt>
                <c:pt idx="36">
                  <c:v>05/31/2024</c:v>
                </c:pt>
                <c:pt idx="37">
                  <c:v>06/07/2024</c:v>
                </c:pt>
                <c:pt idx="38">
                  <c:v>06/14/2024</c:v>
                </c:pt>
                <c:pt idx="39">
                  <c:v>06/21/2024</c:v>
                </c:pt>
                <c:pt idx="40">
                  <c:v>06/28/2024</c:v>
                </c:pt>
                <c:pt idx="41">
                  <c:v>07/05/2024</c:v>
                </c:pt>
                <c:pt idx="42">
                  <c:v>07/12/2024</c:v>
                </c:pt>
                <c:pt idx="43">
                  <c:v>07/19/2024</c:v>
                </c:pt>
                <c:pt idx="44">
                  <c:v>07/26/2024</c:v>
                </c:pt>
                <c:pt idx="45">
                  <c:v>08/02/2024</c:v>
                </c:pt>
                <c:pt idx="46">
                  <c:v>08/09/2024</c:v>
                </c:pt>
                <c:pt idx="47">
                  <c:v>08/16/2024</c:v>
                </c:pt>
                <c:pt idx="48">
                  <c:v>08/23/2024</c:v>
                </c:pt>
                <c:pt idx="49">
                  <c:v>08/30/2024</c:v>
                </c:pt>
                <c:pt idx="50">
                  <c:v>09/06/2024</c:v>
                </c:pt>
                <c:pt idx="51">
                  <c:v>09/13/2024</c:v>
                </c:pt>
                <c:pt idx="52">
                  <c:v>09/20/2024</c:v>
                </c:pt>
                <c:pt idx="53">
                  <c:v>09/27/2024</c:v>
                </c:pt>
                <c:pt idx="54">
                  <c:v>10/04/2024</c:v>
                </c:pt>
                <c:pt idx="55">
                  <c:v>10/11/2024</c:v>
                </c:pt>
                <c:pt idx="56">
                  <c:v>10/18/2024</c:v>
                </c:pt>
                <c:pt idx="57">
                  <c:v>10/25/2024</c:v>
                </c:pt>
                <c:pt idx="58">
                  <c:v>11/01/2024</c:v>
                </c:pt>
                <c:pt idx="59">
                  <c:v>11/08/2024</c:v>
                </c:pt>
                <c:pt idx="60">
                  <c:v>11/15/2024</c:v>
                </c:pt>
                <c:pt idx="61">
                  <c:v>11/22/2024</c:v>
                </c:pt>
                <c:pt idx="62">
                  <c:v>11/29/2024</c:v>
                </c:pt>
                <c:pt idx="63">
                  <c:v>12/06/2024</c:v>
                </c:pt>
                <c:pt idx="64">
                  <c:v>12/13/2024</c:v>
                </c:pt>
                <c:pt idx="65">
                  <c:v>12/20/2024</c:v>
                </c:pt>
                <c:pt idx="66">
                  <c:v>12/27/2024</c:v>
                </c:pt>
                <c:pt idx="67">
                  <c:v>01/03/2025</c:v>
                </c:pt>
                <c:pt idx="68">
                  <c:v>01/10/2025</c:v>
                </c:pt>
                <c:pt idx="69">
                  <c:v>01/17/2025</c:v>
                </c:pt>
                <c:pt idx="70">
                  <c:v>01/24/2025</c:v>
                </c:pt>
                <c:pt idx="71">
                  <c:v>01/31/2025</c:v>
                </c:pt>
                <c:pt idx="72">
                  <c:v>02/07/2025</c:v>
                </c:pt>
                <c:pt idx="73">
                  <c:v>02/14/2025</c:v>
                </c:pt>
                <c:pt idx="74">
                  <c:v>02/21/2025</c:v>
                </c:pt>
                <c:pt idx="75">
                  <c:v>02/28/2025</c:v>
                </c:pt>
                <c:pt idx="76">
                  <c:v>03/07/2025</c:v>
                </c:pt>
                <c:pt idx="77">
                  <c:v>03/14/2025</c:v>
                </c:pt>
                <c:pt idx="78">
                  <c:v>03/21/2025</c:v>
                </c:pt>
                <c:pt idx="79">
                  <c:v>03/28/2025</c:v>
                </c:pt>
                <c:pt idx="80">
                  <c:v>04/04/2025</c:v>
                </c:pt>
                <c:pt idx="81">
                  <c:v>04/11/2025</c:v>
                </c:pt>
                <c:pt idx="82">
                  <c:v>04/18/2025</c:v>
                </c:pt>
                <c:pt idx="83">
                  <c:v>04/25/2025</c:v>
                </c:pt>
                <c:pt idx="84">
                  <c:v>05/02/2025</c:v>
                </c:pt>
                <c:pt idx="85">
                  <c:v>05/09/2025</c:v>
                </c:pt>
                <c:pt idx="86">
                  <c:v>05/16/2025</c:v>
                </c:pt>
                <c:pt idx="87">
                  <c:v>05/23/2025</c:v>
                </c:pt>
                <c:pt idx="88">
                  <c:v>05/30/2025</c:v>
                </c:pt>
                <c:pt idx="89">
                  <c:v>06/06/2025</c:v>
                </c:pt>
                <c:pt idx="90">
                  <c:v>06/13/2025</c:v>
                </c:pt>
                <c:pt idx="91">
                  <c:v>06/20/2025</c:v>
                </c:pt>
                <c:pt idx="92">
                  <c:v>06/27/2025</c:v>
                </c:pt>
                <c:pt idx="93">
                  <c:v>07/04/2025</c:v>
                </c:pt>
                <c:pt idx="94">
                  <c:v>07/11/2025</c:v>
                </c:pt>
                <c:pt idx="95">
                  <c:v>07/18/2025</c:v>
                </c:pt>
                <c:pt idx="96">
                  <c:v>07/25/2025</c:v>
                </c:pt>
                <c:pt idx="97">
                  <c:v>08/01/2025</c:v>
                </c:pt>
                <c:pt idx="98">
                  <c:v>08/08/2025</c:v>
                </c:pt>
                <c:pt idx="99">
                  <c:v>08/15/2025</c:v>
                </c:pt>
                <c:pt idx="100">
                  <c:v>08/22/2025</c:v>
                </c:pt>
                <c:pt idx="101">
                  <c:v>08/29/2025</c:v>
                </c:pt>
                <c:pt idx="102">
                  <c:v>09/05/2025</c:v>
                </c:pt>
                <c:pt idx="103">
                  <c:v>09/12/2025</c:v>
                </c:pt>
                <c:pt idx="104">
                  <c:v>09/19/2025</c:v>
                </c:pt>
                <c:pt idx="105">
                  <c:v>09/26/2025</c:v>
                </c:pt>
                <c:pt idx="106">
                  <c:v>10/03/2025</c:v>
                </c:pt>
                <c:pt idx="107">
                  <c:v>10/10/2025</c:v>
                </c:pt>
                <c:pt idx="108">
                  <c:v>10/17/2025</c:v>
                </c:pt>
                <c:pt idx="109">
                  <c:v>10/24/2025</c:v>
                </c:pt>
                <c:pt idx="110">
                  <c:v>10/31/2025</c:v>
                </c:pt>
                <c:pt idx="111">
                  <c:v>11/07/2025</c:v>
                </c:pt>
                <c:pt idx="112">
                  <c:v>11/14/2025</c:v>
                </c:pt>
                <c:pt idx="113">
                  <c:v>11/21/2025</c:v>
                </c:pt>
                <c:pt idx="114">
                  <c:v>11/28/2025</c:v>
                </c:pt>
                <c:pt idx="115">
                  <c:v>12/05/2025</c:v>
                </c:pt>
                <c:pt idx="116">
                  <c:v>12/12/2025</c:v>
                </c:pt>
                <c:pt idx="117">
                  <c:v>12/19/2025</c:v>
                </c:pt>
                <c:pt idx="118">
                  <c:v>12/26/2025</c:v>
                </c:pt>
                <c:pt idx="119">
                  <c:v>01/02/2026</c:v>
                </c:pt>
                <c:pt idx="120">
                  <c:v>01/09/2026</c:v>
                </c:pt>
                <c:pt idx="121">
                  <c:v>01/16/2026</c:v>
                </c:pt>
                <c:pt idx="122">
                  <c:v>01/23/2026</c:v>
                </c:pt>
                <c:pt idx="123">
                  <c:v>01/30/2026</c:v>
                </c:pt>
                <c:pt idx="124">
                  <c:v>02/06/2026</c:v>
                </c:pt>
                <c:pt idx="125">
                  <c:v>02/13/2026</c:v>
                </c:pt>
                <c:pt idx="126">
                  <c:v>02/20/2026</c:v>
                </c:pt>
                <c:pt idx="127">
                  <c:v>02/27/2026</c:v>
                </c:pt>
                <c:pt idx="128">
                  <c:v>03/06/2026</c:v>
                </c:pt>
                <c:pt idx="129">
                  <c:v>03/13/2026</c:v>
                </c:pt>
                <c:pt idx="130">
                  <c:v>03/20/2026</c:v>
                </c:pt>
                <c:pt idx="131">
                  <c:v>03/27/2026</c:v>
                </c:pt>
                <c:pt idx="132">
                  <c:v>04/03/2026</c:v>
                </c:pt>
                <c:pt idx="133">
                  <c:v>04/10/2026</c:v>
                </c:pt>
                <c:pt idx="134">
                  <c:v>04/17/2026</c:v>
                </c:pt>
                <c:pt idx="135">
                  <c:v>04/24/2026</c:v>
                </c:pt>
                <c:pt idx="136">
                  <c:v>05/01/2026</c:v>
                </c:pt>
                <c:pt idx="137">
                  <c:v>05/08/2026</c:v>
                </c:pt>
                <c:pt idx="138">
                  <c:v>05/15/2026</c:v>
                </c:pt>
                <c:pt idx="139">
                  <c:v>05/22/2026</c:v>
                </c:pt>
                <c:pt idx="140">
                  <c:v>05/29/2026</c:v>
                </c:pt>
                <c:pt idx="141">
                  <c:v>06/05/2026</c:v>
                </c:pt>
                <c:pt idx="142">
                  <c:v>06/12/2026</c:v>
                </c:pt>
                <c:pt idx="143">
                  <c:v>06/19/2026</c:v>
                </c:pt>
                <c:pt idx="144">
                  <c:v>06/26/2026</c:v>
                </c:pt>
                <c:pt idx="145">
                  <c:v>07/03/2026</c:v>
                </c:pt>
                <c:pt idx="146">
                  <c:v>07/10/2026</c:v>
                </c:pt>
                <c:pt idx="147">
                  <c:v>07/17/2026</c:v>
                </c:pt>
                <c:pt idx="148">
                  <c:v>07/24/2026</c:v>
                </c:pt>
                <c:pt idx="149">
                  <c:v>07/31/2026</c:v>
                </c:pt>
                <c:pt idx="150">
                  <c:v>08/07/2026</c:v>
                </c:pt>
                <c:pt idx="151">
                  <c:v>08/14/2026</c:v>
                </c:pt>
                <c:pt idx="152">
                  <c:v>08/21/2026</c:v>
                </c:pt>
                <c:pt idx="153">
                  <c:v>08/28/2026</c:v>
                </c:pt>
                <c:pt idx="154">
                  <c:v>09/04/2026</c:v>
                </c:pt>
                <c:pt idx="155">
                  <c:v>09/11/2026</c:v>
                </c:pt>
                <c:pt idx="156">
                  <c:v>09/18/2026</c:v>
                </c:pt>
                <c:pt idx="157">
                  <c:v>09/25/2026</c:v>
                </c:pt>
                <c:pt idx="158">
                  <c:v>10/02/2026</c:v>
                </c:pt>
              </c:strCache>
            </c:strRef>
          </c:cat>
          <c:val>
            <c:numRef>
              <c:f>'Returns (Calc)'!$AO$3:$AO$500</c:f>
              <c:numCache>
                <c:formatCode>#,##0.00</c:formatCode>
                <c:ptCount val="498"/>
                <c:pt idx="0">
                  <c:v>235.63</c:v>
                </c:pt>
                <c:pt idx="1">
                  <c:v>236.42132911392406</c:v>
                </c:pt>
                <c:pt idx="2">
                  <c:v>237.2126582278481</c:v>
                </c:pt>
                <c:pt idx="3">
                  <c:v>238.00398734177216</c:v>
                </c:pt>
                <c:pt idx="4">
                  <c:v>238.7953164556962</c:v>
                </c:pt>
                <c:pt idx="5">
                  <c:v>239.58664556962026</c:v>
                </c:pt>
                <c:pt idx="6">
                  <c:v>240.37797468354429</c:v>
                </c:pt>
                <c:pt idx="7">
                  <c:v>241.16930379746836</c:v>
                </c:pt>
                <c:pt idx="8">
                  <c:v>241.96063291139239</c:v>
                </c:pt>
                <c:pt idx="9">
                  <c:v>242.75196202531646</c:v>
                </c:pt>
                <c:pt idx="10">
                  <c:v>243.54329113924049</c:v>
                </c:pt>
                <c:pt idx="11">
                  <c:v>244.33462025316456</c:v>
                </c:pt>
                <c:pt idx="12">
                  <c:v>245.12594936708859</c:v>
                </c:pt>
                <c:pt idx="13">
                  <c:v>245.91727848101266</c:v>
                </c:pt>
                <c:pt idx="14">
                  <c:v>246.70860759493669</c:v>
                </c:pt>
                <c:pt idx="15">
                  <c:v>247.49993670886076</c:v>
                </c:pt>
                <c:pt idx="16">
                  <c:v>248.29126582278479</c:v>
                </c:pt>
                <c:pt idx="17">
                  <c:v>249.08259493670886</c:v>
                </c:pt>
                <c:pt idx="18">
                  <c:v>249.87392405063292</c:v>
                </c:pt>
                <c:pt idx="19">
                  <c:v>250.66525316455696</c:v>
                </c:pt>
                <c:pt idx="20">
                  <c:v>251.45658227848102</c:v>
                </c:pt>
                <c:pt idx="21">
                  <c:v>252.24791139240506</c:v>
                </c:pt>
                <c:pt idx="22">
                  <c:v>253.03924050632912</c:v>
                </c:pt>
                <c:pt idx="23">
                  <c:v>253.83056962025316</c:v>
                </c:pt>
                <c:pt idx="24">
                  <c:v>254.62189873417722</c:v>
                </c:pt>
                <c:pt idx="25">
                  <c:v>255.41322784810126</c:v>
                </c:pt>
                <c:pt idx="26">
                  <c:v>256.20455696202532</c:v>
                </c:pt>
                <c:pt idx="27">
                  <c:v>256.99588607594939</c:v>
                </c:pt>
                <c:pt idx="28">
                  <c:v>257.78721518987339</c:v>
                </c:pt>
                <c:pt idx="29">
                  <c:v>258.57854430379746</c:v>
                </c:pt>
                <c:pt idx="30">
                  <c:v>259.36987341772152</c:v>
                </c:pt>
                <c:pt idx="31">
                  <c:v>260.16120253164559</c:v>
                </c:pt>
                <c:pt idx="32">
                  <c:v>260.95253164556959</c:v>
                </c:pt>
                <c:pt idx="33">
                  <c:v>261.74386075949366</c:v>
                </c:pt>
                <c:pt idx="34">
                  <c:v>262.53518987341772</c:v>
                </c:pt>
                <c:pt idx="35">
                  <c:v>263.32651898734179</c:v>
                </c:pt>
                <c:pt idx="36">
                  <c:v>264.11784810126585</c:v>
                </c:pt>
                <c:pt idx="37">
                  <c:v>264.90917721518986</c:v>
                </c:pt>
                <c:pt idx="38">
                  <c:v>265.70050632911392</c:v>
                </c:pt>
                <c:pt idx="39">
                  <c:v>266.49183544303798</c:v>
                </c:pt>
                <c:pt idx="40">
                  <c:v>267.28316455696205</c:v>
                </c:pt>
                <c:pt idx="41">
                  <c:v>268.07449367088606</c:v>
                </c:pt>
                <c:pt idx="42">
                  <c:v>268.86582278481012</c:v>
                </c:pt>
                <c:pt idx="43">
                  <c:v>269.65715189873418</c:v>
                </c:pt>
                <c:pt idx="44">
                  <c:v>270.44848101265825</c:v>
                </c:pt>
                <c:pt idx="45">
                  <c:v>271.23981012658226</c:v>
                </c:pt>
                <c:pt idx="46">
                  <c:v>272.03113924050632</c:v>
                </c:pt>
                <c:pt idx="47">
                  <c:v>272.82246835443038</c:v>
                </c:pt>
                <c:pt idx="48">
                  <c:v>273.61379746835445</c:v>
                </c:pt>
                <c:pt idx="49">
                  <c:v>274.40512658227851</c:v>
                </c:pt>
                <c:pt idx="50">
                  <c:v>275.19645569620252</c:v>
                </c:pt>
                <c:pt idx="51">
                  <c:v>275.98778481012658</c:v>
                </c:pt>
                <c:pt idx="52">
                  <c:v>276.77911392405065</c:v>
                </c:pt>
                <c:pt idx="53">
                  <c:v>277.57044303797471</c:v>
                </c:pt>
                <c:pt idx="54">
                  <c:v>278.36177215189872</c:v>
                </c:pt>
                <c:pt idx="55">
                  <c:v>279.15310126582278</c:v>
                </c:pt>
                <c:pt idx="56">
                  <c:v>279.94443037974685</c:v>
                </c:pt>
                <c:pt idx="57">
                  <c:v>280.73575949367091</c:v>
                </c:pt>
                <c:pt idx="58">
                  <c:v>281.52708860759492</c:v>
                </c:pt>
                <c:pt idx="59">
                  <c:v>282.31841772151898</c:v>
                </c:pt>
                <c:pt idx="60">
                  <c:v>283.10974683544305</c:v>
                </c:pt>
                <c:pt idx="61">
                  <c:v>283.90107594936711</c:v>
                </c:pt>
                <c:pt idx="62">
                  <c:v>284.69240506329118</c:v>
                </c:pt>
                <c:pt idx="63">
                  <c:v>285.48373417721518</c:v>
                </c:pt>
                <c:pt idx="64">
                  <c:v>286.27506329113925</c:v>
                </c:pt>
                <c:pt idx="65">
                  <c:v>287.06639240506331</c:v>
                </c:pt>
                <c:pt idx="66">
                  <c:v>287.85772151898732</c:v>
                </c:pt>
                <c:pt idx="67">
                  <c:v>288.64905063291138</c:v>
                </c:pt>
                <c:pt idx="68">
                  <c:v>289.44037974683545</c:v>
                </c:pt>
                <c:pt idx="69">
                  <c:v>290.23170886075951</c:v>
                </c:pt>
                <c:pt idx="70">
                  <c:v>291.02303797468358</c:v>
                </c:pt>
                <c:pt idx="71">
                  <c:v>291.81436708860758</c:v>
                </c:pt>
                <c:pt idx="72">
                  <c:v>292.60569620253165</c:v>
                </c:pt>
                <c:pt idx="73">
                  <c:v>293.39702531645571</c:v>
                </c:pt>
                <c:pt idx="74">
                  <c:v>294.18835443037977</c:v>
                </c:pt>
                <c:pt idx="75">
                  <c:v>294.97968354430378</c:v>
                </c:pt>
                <c:pt idx="76">
                  <c:v>295.77101265822785</c:v>
                </c:pt>
                <c:pt idx="77">
                  <c:v>296.56234177215191</c:v>
                </c:pt>
                <c:pt idx="78">
                  <c:v>297.35367088607597</c:v>
                </c:pt>
                <c:pt idx="79">
                  <c:v>298.14499999999998</c:v>
                </c:pt>
                <c:pt idx="80">
                  <c:v>298.93632911392405</c:v>
                </c:pt>
                <c:pt idx="81">
                  <c:v>299.72765822784811</c:v>
                </c:pt>
                <c:pt idx="82">
                  <c:v>300.51898734177217</c:v>
                </c:pt>
                <c:pt idx="83">
                  <c:v>301.31031645569624</c:v>
                </c:pt>
                <c:pt idx="84">
                  <c:v>302.10164556962025</c:v>
                </c:pt>
                <c:pt idx="85">
                  <c:v>302.89297468354431</c:v>
                </c:pt>
                <c:pt idx="86">
                  <c:v>303.68430379746837</c:v>
                </c:pt>
                <c:pt idx="87">
                  <c:v>304.47563291139238</c:v>
                </c:pt>
                <c:pt idx="88">
                  <c:v>305.2669620253165</c:v>
                </c:pt>
                <c:pt idx="89">
                  <c:v>306.05829113924051</c:v>
                </c:pt>
                <c:pt idx="90">
                  <c:v>306.84962025316457</c:v>
                </c:pt>
                <c:pt idx="91">
                  <c:v>307.64094936708864</c:v>
                </c:pt>
                <c:pt idx="92">
                  <c:v>308.43227848101264</c:v>
                </c:pt>
                <c:pt idx="93">
                  <c:v>309.22360759493671</c:v>
                </c:pt>
                <c:pt idx="94">
                  <c:v>310.01493670886077</c:v>
                </c:pt>
                <c:pt idx="95">
                  <c:v>310.80626582278484</c:v>
                </c:pt>
                <c:pt idx="96">
                  <c:v>311.5975949367089</c:v>
                </c:pt>
                <c:pt idx="97">
                  <c:v>312.38892405063291</c:v>
                </c:pt>
                <c:pt idx="98">
                  <c:v>313.18025316455697</c:v>
                </c:pt>
                <c:pt idx="99">
                  <c:v>313.97158227848104</c:v>
                </c:pt>
                <c:pt idx="100">
                  <c:v>314.7629113924051</c:v>
                </c:pt>
                <c:pt idx="101">
                  <c:v>315.55424050632911</c:v>
                </c:pt>
                <c:pt idx="102">
                  <c:v>316.34556962025317</c:v>
                </c:pt>
                <c:pt idx="103">
                  <c:v>317.13689873417724</c:v>
                </c:pt>
                <c:pt idx="104">
                  <c:v>317.9282278481013</c:v>
                </c:pt>
                <c:pt idx="105">
                  <c:v>318.71955696202531</c:v>
                </c:pt>
                <c:pt idx="106">
                  <c:v>319.51088607594937</c:v>
                </c:pt>
                <c:pt idx="107">
                  <c:v>320.30221518987344</c:v>
                </c:pt>
                <c:pt idx="108">
                  <c:v>321.0935443037975</c:v>
                </c:pt>
                <c:pt idx="109">
                  <c:v>321.88487341772156</c:v>
                </c:pt>
                <c:pt idx="110">
                  <c:v>322.67620253164557</c:v>
                </c:pt>
                <c:pt idx="111">
                  <c:v>323.46753164556964</c:v>
                </c:pt>
                <c:pt idx="112">
                  <c:v>324.2588607594937</c:v>
                </c:pt>
                <c:pt idx="113">
                  <c:v>325.05018987341771</c:v>
                </c:pt>
                <c:pt idx="114">
                  <c:v>325.84151898734177</c:v>
                </c:pt>
                <c:pt idx="115">
                  <c:v>326.63284810126584</c:v>
                </c:pt>
                <c:pt idx="116">
                  <c:v>327.4241772151899</c:v>
                </c:pt>
                <c:pt idx="117">
                  <c:v>328.21550632911396</c:v>
                </c:pt>
                <c:pt idx="118">
                  <c:v>329.00683544303797</c:v>
                </c:pt>
                <c:pt idx="119">
                  <c:v>329.79816455696204</c:v>
                </c:pt>
                <c:pt idx="120">
                  <c:v>330.5894936708861</c:v>
                </c:pt>
                <c:pt idx="121">
                  <c:v>331.38082278481011</c:v>
                </c:pt>
                <c:pt idx="122">
                  <c:v>332.17215189873423</c:v>
                </c:pt>
                <c:pt idx="123">
                  <c:v>332.96348101265824</c:v>
                </c:pt>
                <c:pt idx="124">
                  <c:v>333.7548101265823</c:v>
                </c:pt>
                <c:pt idx="125">
                  <c:v>334.54613924050636</c:v>
                </c:pt>
                <c:pt idx="126">
                  <c:v>335.33746835443037</c:v>
                </c:pt>
                <c:pt idx="127">
                  <c:v>336.12879746835443</c:v>
                </c:pt>
                <c:pt idx="128">
                  <c:v>336.9201265822785</c:v>
                </c:pt>
                <c:pt idx="129">
                  <c:v>337.71145569620256</c:v>
                </c:pt>
                <c:pt idx="130">
                  <c:v>338.50278481012663</c:v>
                </c:pt>
                <c:pt idx="131">
                  <c:v>339.29411392405063</c:v>
                </c:pt>
                <c:pt idx="132">
                  <c:v>340.0854430379747</c:v>
                </c:pt>
                <c:pt idx="133">
                  <c:v>340.87677215189876</c:v>
                </c:pt>
                <c:pt idx="134">
                  <c:v>341.66810126582283</c:v>
                </c:pt>
                <c:pt idx="135">
                  <c:v>342.45943037974683</c:v>
                </c:pt>
                <c:pt idx="136">
                  <c:v>343.2507594936709</c:v>
                </c:pt>
                <c:pt idx="137">
                  <c:v>344.04208860759496</c:v>
                </c:pt>
                <c:pt idx="138">
                  <c:v>344.83341772151903</c:v>
                </c:pt>
                <c:pt idx="139">
                  <c:v>345.62474683544303</c:v>
                </c:pt>
                <c:pt idx="140">
                  <c:v>346.4160759493671</c:v>
                </c:pt>
                <c:pt idx="141">
                  <c:v>347.20740506329116</c:v>
                </c:pt>
                <c:pt idx="142">
                  <c:v>347.99873417721523</c:v>
                </c:pt>
                <c:pt idx="143">
                  <c:v>348.79006329113929</c:v>
                </c:pt>
                <c:pt idx="144">
                  <c:v>349.5813924050633</c:v>
                </c:pt>
                <c:pt idx="145">
                  <c:v>350.37272151898736</c:v>
                </c:pt>
                <c:pt idx="146">
                  <c:v>351.16405063291143</c:v>
                </c:pt>
                <c:pt idx="147">
                  <c:v>351.95537974683543</c:v>
                </c:pt>
                <c:pt idx="148">
                  <c:v>352.74670886075955</c:v>
                </c:pt>
                <c:pt idx="149">
                  <c:v>353.53803797468356</c:v>
                </c:pt>
                <c:pt idx="150">
                  <c:v>354.32936708860763</c:v>
                </c:pt>
                <c:pt idx="151">
                  <c:v>355.12069620253169</c:v>
                </c:pt>
                <c:pt idx="152">
                  <c:v>355.9120253164557</c:v>
                </c:pt>
                <c:pt idx="153">
                  <c:v>356.70335443037976</c:v>
                </c:pt>
                <c:pt idx="154">
                  <c:v>357.49468354430383</c:v>
                </c:pt>
                <c:pt idx="155">
                  <c:v>358.28601265822789</c:v>
                </c:pt>
                <c:pt idx="156">
                  <c:v>359.07734177215195</c:v>
                </c:pt>
                <c:pt idx="157">
                  <c:v>359.86867088607596</c:v>
                </c:pt>
                <c:pt idx="158">
                  <c:v>360.66</c:v>
                </c:pt>
                <c:pt idx="159">
                  <c:v>361.45132911392409</c:v>
                </c:pt>
              </c:numCache>
            </c:numRef>
          </c:val>
          <c:smooth val="0"/>
          <c:extLst>
            <c:ext xmlns:c16="http://schemas.microsoft.com/office/drawing/2014/chart" uri="{C3380CC4-5D6E-409C-BE32-E72D297353CC}">
              <c16:uniqueId val="{00000001-E811-4671-801F-B5D7D208BF6E}"/>
            </c:ext>
          </c:extLst>
        </c:ser>
        <c:dLbls>
          <c:showLegendKey val="0"/>
          <c:showVal val="0"/>
          <c:showCatName val="0"/>
          <c:showSerName val="0"/>
          <c:showPercent val="0"/>
          <c:showBubbleSize val="0"/>
        </c:dLbls>
        <c:hiLowLines>
          <c:spPr>
            <a:ln w="0">
              <a:noFill/>
            </a:ln>
          </c:spPr>
        </c:hiLowLines>
        <c:marker val="1"/>
        <c:smooth val="0"/>
        <c:axId val="40663513"/>
        <c:axId val="57964349"/>
      </c:lineChart>
      <c:dateAx>
        <c:axId val="55676341"/>
        <c:scaling>
          <c:orientation val="minMax"/>
        </c:scaling>
        <c:delete val="1"/>
        <c:axPos val="b"/>
        <c:numFmt formatCode="mm/dd/yyyy" sourceLinked="1"/>
        <c:majorTickMark val="none"/>
        <c:minorTickMark val="none"/>
        <c:tickLblPos val="nextTo"/>
        <c:crossAx val="36537748"/>
        <c:crosses val="autoZero"/>
        <c:auto val="1"/>
        <c:lblOffset val="100"/>
        <c:baseTimeUnit val="days"/>
      </c:dateAx>
      <c:valAx>
        <c:axId val="3653774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5676341"/>
        <c:crosses val="autoZero"/>
        <c:crossBetween val="between"/>
      </c:valAx>
      <c:dateAx>
        <c:axId val="40663513"/>
        <c:scaling>
          <c:orientation val="minMax"/>
        </c:scaling>
        <c:delete val="1"/>
        <c:axPos val="b"/>
        <c:numFmt formatCode="mm/dd/yyyy" sourceLinked="1"/>
        <c:majorTickMark val="none"/>
        <c:minorTickMark val="none"/>
        <c:tickLblPos val="nextTo"/>
        <c:crossAx val="57964349"/>
        <c:crosses val="autoZero"/>
        <c:auto val="1"/>
        <c:lblOffset val="100"/>
        <c:baseTimeUnit val="days"/>
      </c:dateAx>
      <c:valAx>
        <c:axId val="57964349"/>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0663513"/>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163</xdr:row>
      <xdr:rowOff>0</xdr:rowOff>
    </xdr:from>
    <xdr:to>
      <xdr:col>5</xdr:col>
      <xdr:colOff>314640</xdr:colOff>
      <xdr:row>174</xdr:row>
      <xdr:rowOff>137520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163</xdr:row>
      <xdr:rowOff>0</xdr:rowOff>
    </xdr:from>
    <xdr:to>
      <xdr:col>13</xdr:col>
      <xdr:colOff>336240</xdr:colOff>
      <xdr:row>174</xdr:row>
      <xdr:rowOff>137520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0</xdr:colOff>
      <xdr:row>163</xdr:row>
      <xdr:rowOff>0</xdr:rowOff>
    </xdr:from>
    <xdr:to>
      <xdr:col>22</xdr:col>
      <xdr:colOff>102240</xdr:colOff>
      <xdr:row>174</xdr:row>
      <xdr:rowOff>137520</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0</xdr:colOff>
      <xdr:row>163</xdr:row>
      <xdr:rowOff>0</xdr:rowOff>
    </xdr:from>
    <xdr:to>
      <xdr:col>34</xdr:col>
      <xdr:colOff>303800</xdr:colOff>
      <xdr:row>174</xdr:row>
      <xdr:rowOff>137520</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179</xdr:row>
      <xdr:rowOff>0</xdr:rowOff>
    </xdr:from>
    <xdr:to>
      <xdr:col>5</xdr:col>
      <xdr:colOff>314640</xdr:colOff>
      <xdr:row>190</xdr:row>
      <xdr:rowOff>137520</xdr:rowOff>
    </xdr:to>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179</xdr:row>
      <xdr:rowOff>0</xdr:rowOff>
    </xdr:from>
    <xdr:to>
      <xdr:col>13</xdr:col>
      <xdr:colOff>336240</xdr:colOff>
      <xdr:row>190</xdr:row>
      <xdr:rowOff>137520</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0</xdr:colOff>
      <xdr:row>179</xdr:row>
      <xdr:rowOff>0</xdr:rowOff>
    </xdr:from>
    <xdr:to>
      <xdr:col>22</xdr:col>
      <xdr:colOff>102240</xdr:colOff>
      <xdr:row>190</xdr:row>
      <xdr:rowOff>137520</xdr:rowOff>
    </xdr:to>
    <xdr:graphicFrame macro="">
      <xdr:nvGraphicFramePr>
        <xdr:cNvPr id="8" name="Chart 7">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0</xdr:colOff>
      <xdr:row>179</xdr:row>
      <xdr:rowOff>0</xdr:rowOff>
    </xdr:from>
    <xdr:to>
      <xdr:col>34</xdr:col>
      <xdr:colOff>303800</xdr:colOff>
      <xdr:row>190</xdr:row>
      <xdr:rowOff>137520</xdr:rowOff>
    </xdr:to>
    <xdr:graphicFrame macro="">
      <xdr:nvGraphicFramePr>
        <xdr:cNvPr id="9" name="Chart 8">
          <a:extLst>
            <a:ext uri="{FF2B5EF4-FFF2-40B4-BE49-F238E27FC236}">
              <a16:creationId xmlns:a16="http://schemas.microsoft.com/office/drawing/2014/main" id="{00000000-0008-0000-09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195</xdr:row>
      <xdr:rowOff>0</xdr:rowOff>
    </xdr:from>
    <xdr:to>
      <xdr:col>5</xdr:col>
      <xdr:colOff>314640</xdr:colOff>
      <xdr:row>206</xdr:row>
      <xdr:rowOff>136800</xdr:rowOff>
    </xdr:to>
    <xdr:graphicFrame macro="">
      <xdr:nvGraphicFramePr>
        <xdr:cNvPr id="10" name="Chart 9">
          <a:extLst>
            <a:ext uri="{FF2B5EF4-FFF2-40B4-BE49-F238E27FC236}">
              <a16:creationId xmlns:a16="http://schemas.microsoft.com/office/drawing/2014/main" id="{00000000-0008-0000-09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0</xdr:colOff>
      <xdr:row>195</xdr:row>
      <xdr:rowOff>0</xdr:rowOff>
    </xdr:from>
    <xdr:to>
      <xdr:col>13</xdr:col>
      <xdr:colOff>336240</xdr:colOff>
      <xdr:row>206</xdr:row>
      <xdr:rowOff>136800</xdr:rowOff>
    </xdr:to>
    <xdr:graphicFrame macro="">
      <xdr:nvGraphicFramePr>
        <xdr:cNvPr id="11" name="Chart 10">
          <a:extLst>
            <a:ext uri="{FF2B5EF4-FFF2-40B4-BE49-F238E27FC236}">
              <a16:creationId xmlns:a16="http://schemas.microsoft.com/office/drawing/2014/main" id="{00000000-0008-0000-09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0</xdr:colOff>
      <xdr:row>195</xdr:row>
      <xdr:rowOff>0</xdr:rowOff>
    </xdr:from>
    <xdr:to>
      <xdr:col>22</xdr:col>
      <xdr:colOff>102240</xdr:colOff>
      <xdr:row>206</xdr:row>
      <xdr:rowOff>136800</xdr:rowOff>
    </xdr:to>
    <xdr:graphicFrame macro="">
      <xdr:nvGraphicFramePr>
        <xdr:cNvPr id="12" name="Chart 11">
          <a:extLst>
            <a:ext uri="{FF2B5EF4-FFF2-40B4-BE49-F238E27FC236}">
              <a16:creationId xmlns:a16="http://schemas.microsoft.com/office/drawing/2014/main" id="{00000000-0008-0000-09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24</xdr:col>
      <xdr:colOff>0</xdr:colOff>
      <xdr:row>195</xdr:row>
      <xdr:rowOff>0</xdr:rowOff>
    </xdr:from>
    <xdr:to>
      <xdr:col>34</xdr:col>
      <xdr:colOff>303800</xdr:colOff>
      <xdr:row>206</xdr:row>
      <xdr:rowOff>136800</xdr:rowOff>
    </xdr:to>
    <xdr:graphicFrame macro="">
      <xdr:nvGraphicFramePr>
        <xdr:cNvPr id="13" name="Chart 12">
          <a:extLst>
            <a:ext uri="{FF2B5EF4-FFF2-40B4-BE49-F238E27FC236}">
              <a16:creationId xmlns:a16="http://schemas.microsoft.com/office/drawing/2014/main" id="{00000000-0008-0000-09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211</xdr:row>
      <xdr:rowOff>0</xdr:rowOff>
    </xdr:from>
    <xdr:to>
      <xdr:col>5</xdr:col>
      <xdr:colOff>314640</xdr:colOff>
      <xdr:row>222</xdr:row>
      <xdr:rowOff>137520</xdr:rowOff>
    </xdr:to>
    <xdr:graphicFrame macro="">
      <xdr:nvGraphicFramePr>
        <xdr:cNvPr id="14" name="Chart 13">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8</xdr:col>
      <xdr:colOff>0</xdr:colOff>
      <xdr:row>211</xdr:row>
      <xdr:rowOff>0</xdr:rowOff>
    </xdr:from>
    <xdr:to>
      <xdr:col>13</xdr:col>
      <xdr:colOff>336240</xdr:colOff>
      <xdr:row>222</xdr:row>
      <xdr:rowOff>137520</xdr:rowOff>
    </xdr:to>
    <xdr:graphicFrame macro="">
      <xdr:nvGraphicFramePr>
        <xdr:cNvPr id="15" name="Chart 14">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16</xdr:col>
      <xdr:colOff>0</xdr:colOff>
      <xdr:row>211</xdr:row>
      <xdr:rowOff>0</xdr:rowOff>
    </xdr:from>
    <xdr:to>
      <xdr:col>22</xdr:col>
      <xdr:colOff>102240</xdr:colOff>
      <xdr:row>222</xdr:row>
      <xdr:rowOff>137520</xdr:rowOff>
    </xdr:to>
    <xdr:graphicFrame macro="">
      <xdr:nvGraphicFramePr>
        <xdr:cNvPr id="16" name="Chart 15">
          <a:extLst>
            <a:ext uri="{FF2B5EF4-FFF2-40B4-BE49-F238E27FC236}">
              <a16:creationId xmlns:a16="http://schemas.microsoft.com/office/drawing/2014/main" id="{00000000-0008-0000-09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24</xdr:col>
      <xdr:colOff>0</xdr:colOff>
      <xdr:row>211</xdr:row>
      <xdr:rowOff>0</xdr:rowOff>
    </xdr:from>
    <xdr:to>
      <xdr:col>34</xdr:col>
      <xdr:colOff>303800</xdr:colOff>
      <xdr:row>222</xdr:row>
      <xdr:rowOff>137520</xdr:rowOff>
    </xdr:to>
    <xdr:graphicFrame macro="">
      <xdr:nvGraphicFramePr>
        <xdr:cNvPr id="17" name="Chart 16">
          <a:extLst>
            <a:ext uri="{FF2B5EF4-FFF2-40B4-BE49-F238E27FC236}">
              <a16:creationId xmlns:a16="http://schemas.microsoft.com/office/drawing/2014/main" id="{00000000-0008-0000-09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0</xdr:colOff>
      <xdr:row>227</xdr:row>
      <xdr:rowOff>0</xdr:rowOff>
    </xdr:from>
    <xdr:to>
      <xdr:col>5</xdr:col>
      <xdr:colOff>314640</xdr:colOff>
      <xdr:row>238</xdr:row>
      <xdr:rowOff>137520</xdr:rowOff>
    </xdr:to>
    <xdr:graphicFrame macro="">
      <xdr:nvGraphicFramePr>
        <xdr:cNvPr id="18" name="Chart 17">
          <a:extLst>
            <a:ext uri="{FF2B5EF4-FFF2-40B4-BE49-F238E27FC236}">
              <a16:creationId xmlns:a16="http://schemas.microsoft.com/office/drawing/2014/main" id="{00000000-0008-0000-09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8</xdr:col>
      <xdr:colOff>0</xdr:colOff>
      <xdr:row>227</xdr:row>
      <xdr:rowOff>0</xdr:rowOff>
    </xdr:from>
    <xdr:to>
      <xdr:col>13</xdr:col>
      <xdr:colOff>336240</xdr:colOff>
      <xdr:row>238</xdr:row>
      <xdr:rowOff>137520</xdr:rowOff>
    </xdr:to>
    <xdr:graphicFrame macro="">
      <xdr:nvGraphicFramePr>
        <xdr:cNvPr id="19" name="Chart 18">
          <a:extLst>
            <a:ext uri="{FF2B5EF4-FFF2-40B4-BE49-F238E27FC236}">
              <a16:creationId xmlns:a16="http://schemas.microsoft.com/office/drawing/2014/main" id="{00000000-0008-0000-09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0</xdr:colOff>
      <xdr:row>241</xdr:row>
      <xdr:rowOff>0</xdr:rowOff>
    </xdr:from>
    <xdr:to>
      <xdr:col>4</xdr:col>
      <xdr:colOff>370080</xdr:colOff>
      <xdr:row>252</xdr:row>
      <xdr:rowOff>137520</xdr:rowOff>
    </xdr:to>
    <xdr:graphicFrame macro="">
      <xdr:nvGraphicFramePr>
        <xdr:cNvPr id="20" name="Chart 19">
          <a:extLst>
            <a:ext uri="{FF2B5EF4-FFF2-40B4-BE49-F238E27FC236}">
              <a16:creationId xmlns:a16="http://schemas.microsoft.com/office/drawing/2014/main" id="{00000000-0008-0000-09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50">
  <a r="1" c="3">
    <v t="i">0</v>
    <v t="i">1</v>
    <v t="i">4</v>
  </a>
  <a r="1" c="3">
    <v>53.56</v>
    <v>54.33</v>
    <v>53.56</v>
  </a>
  <a r="1" c="3">
    <v>84.42</v>
    <v>84.75</v>
    <v>83.97</v>
  </a>
  <a r="1" c="3">
    <v>48.66</v>
    <v>48.74</v>
    <v>50.28</v>
  </a>
  <a r="1" c="3">
    <v>281.93</v>
    <v>273.33</v>
    <v>283.45</v>
  </a>
  <a r="1" c="3">
    <v>295</v>
    <v>297.61500000000001</v>
    <v>297.27</v>
  </a>
  <a r="1" c="3">
    <v>359.85</v>
    <v>360.66</v>
    <v>369.71</v>
  </a>
  <a r="1" c="3">
    <v>96.69</v>
    <v>97.5</v>
    <v>100.1</v>
  </a>
  <a r="1" c="3">
    <v>136.69</v>
    <v>136.12</v>
    <v>136.97</v>
  </a>
  <a r="1" c="3">
    <v>354.11</v>
    <v>370.59</v>
    <v>378.73</v>
  </a>
  <a r="1" c="3">
    <v>14.41</v>
    <v>14.33</v>
    <v>14.27</v>
  </a>
  <a r="1" c="3">
    <v>64.48</v>
    <v>64.47</v>
    <v>64.92</v>
  </a>
  <a r="1" c="3">
    <v>107.45</v>
    <v>105.85</v>
    <v>110.8</v>
  </a>
  <a r="1" c="3">
    <v>19.600000000000001</v>
    <v>19.43</v>
    <v>19.54</v>
  </a>
  <a r="1" c="3">
    <v>965.88</v>
    <v>972.55</v>
    <v>975.68</v>
  </a>
  <a r="1" c="3">
    <v>241.28</v>
    <v>237.69</v>
    <v>238.785</v>
  </a>
  <a r="1" c="3">
    <v>143.94999999999999</v>
    <v>144.91</v>
    <v>145.94</v>
  </a>
  <a r="1" c="3">
    <v>30.2</v>
    <v>30.85</v>
    <v>31.88</v>
  </a>
  <a r="1" c="3">
    <v>18.91</v>
    <v>18.8</v>
    <v>19.510000000000002</v>
  </a>
  <a r="1" c="3">
    <v>35.15</v>
    <v>33.869999999999997</v>
    <v>33.96</v>
  </a>
  <a r="1" c="3">
    <v>67.849999999999994</v>
    <v>67.06</v>
    <v>67.5</v>
  </a>
  <a r="1" c="3">
    <v>76.349999999999994</v>
    <v>76.83</v>
    <v>76.28</v>
  </a>
  <a r="1" c="3">
    <v>19.96</v>
    <v>20.25</v>
    <v>20.079999999999998</v>
  </a>
  <a r="1" c="3">
    <v>0.44500000000000001</v>
    <v>0.44</v>
    <v>0.44</v>
  </a>
  <a r="1" c="3">
    <v>18.47</v>
    <v>19.309999999999999</v>
    <v>19.59</v>
  </a>
  <a r="1" c="3">
    <v>7.76</v>
    <v>7.66</v>
    <v>7.62</v>
  </a>
  <a r="1" c="3">
    <v>312.39</v>
    <v>309.56</v>
    <v>306.33999999999997</v>
  </a>
  <a r="1" c="3">
    <v>72.84</v>
    <v>72.77</v>
    <v>70.89</v>
  </a>
  <a r="1" c="3">
    <v>38.74</v>
    <v>38.68</v>
    <v>39.65</v>
  </a>
  <a r="1" c="3">
    <v>437.28</v>
    <v>436.11</v>
    <v>432.6</v>
  </a>
  <a r="1" c="3">
    <v>20.100000000000001</v>
    <v>20.47</v>
    <v>20.72</v>
  </a>
  <a r="1" c="3">
    <v>90.19</v>
    <v>91.97</v>
    <v>93.3</v>
  </a>
  <a r="1" c="3">
    <v>1097.3900000000001</v>
    <v>1074.8900000000001</v>
    <v>1063.96</v>
  </a>
  <a r="1" c="3">
    <v>246.12</v>
    <v>252.18</v>
    <v>253.62</v>
  </a>
  <a r="1" c="3">
    <v>101.33</v>
    <v>102.19</v>
    <v>103.61</v>
  </a>
  <a r="1" c="3">
    <v>12.84</v>
    <v>12.78</v>
    <v>13.06</v>
  </a>
  <a r="1" c="3">
    <v>459.2</v>
    <v>472.78</v>
    <v>485.8</v>
  </a>
  <a r="1" c="3">
    <v>914.94</v>
    <v>920.65</v>
    <v>923.52</v>
  </a>
  <a r="1" c="3">
    <v>32.32</v>
    <v>32.36</v>
    <v>30.85</v>
  </a>
  <a r="1" c="3">
    <v>11.47</v>
    <v>11.32</v>
    <v>12.2</v>
  </a>
  <a r="1" c="3">
    <v>44.2</v>
    <v>44.19</v>
    <v>45.53</v>
  </a>
  <a r="1" c="3">
    <v>128.18</v>
    <v>128.91</v>
    <v>128.08000000000001</v>
  </a>
  <a r="1" c="3">
    <v>506.74</v>
    <v>504.73</v>
    <v>503.5</v>
  </a>
  <a r="1" c="3">
    <v>343.64</v>
    <v>355.14</v>
    <v>362.51</v>
  </a>
  <a r="1" c="3">
    <v>266.08999999999997</v>
    <v>270.04000000000002</v>
    <v>272.67</v>
  </a>
  <a r="1" c="3">
    <v>190.04</v>
    <v>188.75</v>
    <v>189.4</v>
  </a>
  <a r="1" c="3">
    <v>230.86</v>
    <v>233.95</v>
    <v>238.9</v>
  </a>
  <a r="1" c="3">
    <v>200.33</v>
    <v>206.89</v>
    <v>206.85</v>
  </a>
  <a r="1" c="3">
    <v>1808.49</v>
    <v>1867.31</v>
    <v>1859.86</v>
  </a>
  <a r="1" c="3">
    <v>204.49</v>
    <v>207.35</v>
    <v>206.9</v>
  </a>
</arrayData>
</file>

<file path=xl/richData/rdrichvalue.xml><?xml version="1.0" encoding="utf-8"?>
<rvData xmlns="http://schemas.microsoft.com/office/spreadsheetml/2017/richdata" count="98">
  <rv s="0">
    <fb>238.785</fb>
    <v>0</v>
  </rv>
  <rv s="0">
    <fb>206.9</fb>
    <v>0</v>
  </rv>
  <rv s="0">
    <fb>1859.86</fb>
    <v>0</v>
  </rv>
  <rv s="0">
    <fb>272.67</fb>
    <v>0</v>
  </rv>
  <rv s="0">
    <fb>206.85</fb>
    <v>0</v>
  </rv>
  <rv s="0">
    <fb>1063.96</fb>
    <v>0</v>
  </rv>
  <rv s="0">
    <fb>238.9</fb>
    <v>0</v>
  </rv>
  <rv s="0">
    <fb>189.4</fb>
    <v>0</v>
  </rv>
  <rv s="0">
    <fb>485.8</fb>
    <v>0</v>
  </rv>
  <rv s="0">
    <fb>253.62</fb>
    <v>0</v>
  </rv>
  <rv s="0">
    <fb>369.71</fb>
    <v>0</v>
  </rv>
  <rv s="0">
    <fb>306.33999999999997</fb>
    <v>0</v>
  </rv>
  <rv s="0">
    <fb>67.5</fb>
    <v>0</v>
  </rv>
  <rv s="0">
    <fb>362.51</fb>
    <v>0</v>
  </rv>
  <rv s="0">
    <fb>503.5</fb>
    <v>0</v>
  </rv>
  <rv s="0">
    <fb>128.08000000000001</fb>
    <v>0</v>
  </rv>
  <rv s="0">
    <fb>64.92</fb>
    <v>0</v>
  </rv>
  <rv s="0">
    <fb>378.73</fb>
    <v>0</v>
  </rv>
  <rv s="0">
    <fb>31.88</fb>
    <v>0</v>
  </rv>
  <rv s="0">
    <fb>39.65</fb>
    <v>0</v>
  </rv>
  <rv s="0">
    <fb>110.8</fb>
    <v>0</v>
  </rv>
  <rv s="0">
    <fb>45.53</fb>
    <v>0</v>
  </rv>
  <rv s="0">
    <fb>12.2</fb>
    <v>0</v>
  </rv>
  <rv s="0">
    <fb>30.85</fb>
    <v>0</v>
  </rv>
  <rv s="0">
    <fb>923.52</fb>
    <v>0</v>
  </rv>
  <rv s="0">
    <fb>13.06</fb>
    <v>0</v>
  </rv>
  <rv s="0">
    <fb>83.97</fb>
    <v>0</v>
  </rv>
  <rv s="0">
    <fb>103.61</fb>
    <v>0</v>
  </rv>
  <rv s="0">
    <fb>297.27</fb>
    <v>0</v>
  </rv>
  <rv s="0">
    <fb>93.3</fb>
    <v>0</v>
  </rv>
  <rv s="0">
    <fb>20.72</fb>
    <v>0</v>
  </rv>
  <rv s="0">
    <fb>432.6</fb>
    <v>0</v>
  </rv>
  <rv s="0">
    <fb>70.89</fb>
    <v>0</v>
  </rv>
  <rv s="0">
    <fb>7.62</fb>
    <v>0</v>
  </rv>
  <rv s="0">
    <fb>20.079999999999998</fb>
    <v>0</v>
  </rv>
  <rv s="0">
    <fb>19.59</fb>
    <v>0</v>
  </rv>
  <rv s="0">
    <fb>0.44</fb>
    <v>1</v>
  </rv>
  <rv s="0">
    <fb>76.28</fb>
    <v>0</v>
  </rv>
  <rv s="0">
    <fb>33.96</fb>
    <v>0</v>
  </rv>
  <rv s="0">
    <fb>19.510000000000002</fb>
    <v>0</v>
  </rv>
  <rv s="0">
    <fb>145.94</fb>
    <v>0</v>
  </rv>
  <rv s="0">
    <fb>975.68</fb>
    <v>0</v>
  </rv>
  <rv s="0">
    <fb>19.54</fb>
    <v>0</v>
  </rv>
  <rv s="0">
    <fb>14.27</fb>
    <v>0</v>
  </rv>
  <rv s="0">
    <fb>136.97</fb>
    <v>0</v>
  </rv>
  <rv s="0">
    <fb>53.56</fb>
    <v>0</v>
  </rv>
  <rv s="0">
    <fb>100.1</fb>
    <v>0</v>
  </rv>
  <rv s="0">
    <fb>50.28</fb>
    <v>0</v>
  </rv>
  <rv s="0">
    <fb>283.45</fb>
    <v>0</v>
  </rv>
  <rv s="1">
    <v>2</v>
    <v>KGS</v>
    <v>Daily</v>
    <v>46296</v>
    <v>46301</v>
    <v>0</v>
    <v>1</v>
    <v>639267552000000000,639268885061607009,0</v>
    <v>0</v>
    <v>ca71m7</v>
    <v>XNYS:KGS</v>
    <v>1</v>
  </rv>
  <rv s="1">
    <v>2</v>
    <v>DEO</v>
    <v>Daily</v>
    <v>46296</v>
    <v>46301</v>
    <v>0</v>
    <v>1</v>
    <v>639267552000000000,639268885063428765,0</v>
    <v>0</v>
    <v>a1qwoc</v>
    <v>XNYS:DEO</v>
    <v>2</v>
  </rv>
  <rv s="1">
    <v>2</v>
    <v>SLB</v>
    <v>Daily</v>
    <v>46296</v>
    <v>46301</v>
    <v>0</v>
    <v>1</v>
    <v>639267552000000000,639268885061545725,0</v>
    <v>0</v>
    <v>a232mw</v>
    <v>XNYS:SLB</v>
    <v>3</v>
  </rv>
  <rv s="1">
    <v>2</v>
    <v>VEEV</v>
    <v>Daily</v>
    <v>46296</v>
    <v>46301</v>
    <v>0</v>
    <v>1</v>
    <v>639267552000000000,639268885061512902,0</v>
    <v>0</v>
    <v>a259jc</v>
    <v>XNYS:VEEV</v>
    <v>4</v>
  </rv>
  <rv s="1">
    <v>2</v>
    <v>DPZ</v>
    <v>Daily</v>
    <v>46296</v>
    <v>46301</v>
    <v>0</v>
    <v>1</v>
    <v>639267552000000000,639268885063368680,0</v>
    <v>0</v>
    <v>a1r9lh</v>
    <v>XNAS:DPZ</v>
    <v>5</v>
  </rv>
  <rv s="1">
    <v>2</v>
    <v>V</v>
    <v>Daily</v>
    <v>46296</v>
    <v>46301</v>
    <v>0</v>
    <v>1</v>
    <v>639267552000000000,639268885061697411,0</v>
    <v>0</v>
    <v>a256cw</v>
    <v>XNYS:V</v>
    <v>6</v>
  </rv>
  <rv s="1">
    <v>2</v>
    <v>ABT</v>
    <v>Daily</v>
    <v>46296</v>
    <v>46301</v>
    <v>0</v>
    <v>1</v>
    <v>639267552000000000,639268885061573854,0</v>
    <v>0</v>
    <v>a1mrar</v>
    <v>XNYS:ABT</v>
    <v>7</v>
  </rv>
  <rv s="1">
    <v>2</v>
    <v>YUM</v>
    <v>Daily</v>
    <v>46296</v>
    <v>46301</v>
    <v>0</v>
    <v>1</v>
    <v>639267552000000000,639268885061641042,0</v>
    <v>0</v>
    <v>a26em7</v>
    <v>XNYS:YUM</v>
    <v>8</v>
  </rv>
  <rv s="1">
    <v>2</v>
    <v>TSLA</v>
    <v>Daily</v>
    <v>46296</v>
    <v>46301</v>
    <v>0</v>
    <v>1</v>
    <v>639267552000000000,639268885061731532,0</v>
    <v>0</v>
    <v>a24kar</v>
    <v>XNAS:TSLA</v>
    <v>9</v>
  </rv>
  <rv s="1">
    <v>2</v>
    <v>VFC</v>
    <v>Daily</v>
    <v>46296</v>
    <v>46301</v>
    <v>0</v>
    <v>1</v>
    <v>639267552000000000,639268885061671566,0</v>
    <v>0</v>
    <v>a25afr</v>
    <v>XNYS:VFC</v>
    <v>10</v>
  </rv>
  <rv s="1">
    <v>2</v>
    <v>SFM</v>
    <v>Daily</v>
    <v>46296</v>
    <v>46301</v>
    <v>0</v>
    <v>1</v>
    <v>639267552000000000,639268885061767018,0</v>
    <v>0</v>
    <v>a22t2w</v>
    <v>XNAS:SFM</v>
    <v>11</v>
  </rv>
  <rv s="1">
    <v>2</v>
    <v>BABA</v>
    <v>Daily</v>
    <v>46296</v>
    <v>46301</v>
    <v>0</v>
    <v>1</v>
    <v>639267552000000000,639268885061475725,0</v>
    <v>0</v>
    <v>a1o4mw</v>
    <v>XNYS:BABA</v>
    <v>12</v>
  </rv>
  <rv s="1">
    <v>2</v>
    <v>PZZA</v>
    <v>Daily</v>
    <v>46296</v>
    <v>46301</v>
    <v>0</v>
    <v>1</v>
    <v>639267552000000000,639268885061798103,0</v>
    <v>0</v>
    <v>a21j9c</v>
    <v>XNAS:PZZA</v>
    <v>13</v>
  </rv>
  <rv s="1">
    <v>2</v>
    <v>PH</v>
    <v>Daily</v>
    <v>46296</v>
    <v>46301</v>
    <v>0</v>
    <v>1</v>
    <v>639267552000000000,639268885062601281,0</v>
    <v>0</v>
    <v>a1ztzr</v>
    <v>XNYS:PH</v>
    <v>14</v>
  </rv>
  <rv s="1">
    <v>2</v>
    <v>ADBE</v>
    <v>Daily</v>
    <v>46296</v>
    <v>46301</v>
    <v>0</v>
    <v>1</v>
    <v>639267552000000000,639268885062045728,0</v>
    <v>0</v>
    <v>a1mv7w</v>
    <v>XNAS:ADBE</v>
    <v>15</v>
  </rv>
  <rv s="1">
    <v>2</v>
    <v>PG</v>
    <v>Daily</v>
    <v>46296</v>
    <v>46301</v>
    <v>0</v>
    <v>1</v>
    <v>639267552000000000,639268885062675750,0</v>
    <v>0</v>
    <v>a1zsjc</v>
    <v>XNYS:PG</v>
    <v>16</v>
  </rv>
  <rv s="1">
    <v>2</v>
    <v>ONON</v>
    <v>Daily</v>
    <v>46296</v>
    <v>46301</v>
    <v>0</v>
    <v>1</v>
    <v>639267552000000000,639268885062707372,0</v>
    <v>0</v>
    <v>c38lp2</v>
    <v>XNYS:ONON</v>
    <v>17</v>
  </rv>
  <rv s="1">
    <v>2</v>
    <v>NOV</v>
    <v>Daily</v>
    <v>46296</v>
    <v>46301</v>
    <v>0</v>
    <v>1</v>
    <v>639267552000000000,639268885062737079,0</v>
    <v>0</v>
    <v>a1yo1h</v>
    <v>XNYS:NOV</v>
    <v>18</v>
  </rv>
  <rv s="1">
    <v>2</v>
    <v>NKE</v>
    <v>Daily</v>
    <v>46296</v>
    <v>46301</v>
    <v>0</v>
    <v>1</v>
    <v>639267552000000000,639268885062771150,0</v>
    <v>0</v>
    <v>a1yjxm</v>
    <v>XNYS:NKE</v>
    <v>19</v>
  </rv>
  <rv s="1">
    <v>2</v>
    <v>NFLX</v>
    <v>Daily</v>
    <v>46296</v>
    <v>46301</v>
    <v>0</v>
    <v>1</v>
    <v>639267552000000000,639268885062797078,0</v>
    <v>0</v>
    <v>a1ygoc</v>
    <v>XNAS:NFLX</v>
    <v>20</v>
  </rv>
  <rv s="1">
    <v>2</v>
    <v>NEE</v>
    <v>Daily</v>
    <v>46296</v>
    <v>46301</v>
    <v>0</v>
    <v>1</v>
    <v>639267552000000000,639268885062824190,0</v>
    <v>0</v>
    <v>a1ye2w</v>
    <v>XNYS:NEE</v>
    <v>21</v>
  </rv>
  <rv s="1">
    <v>2</v>
    <v>HRL</v>
    <v>Daily</v>
    <v>46296</v>
    <v>46301</v>
    <v>0</v>
    <v>1</v>
    <v>639267552000000000,639268885062918661,0</v>
    <v>0</v>
    <v>a1uv7w</v>
    <v>XNYS:HRL</v>
    <v>22</v>
  </rv>
  <rv s="1">
    <v>3</v>
    <v>LIN</v>
    <v>Daily</v>
    <v>46296</v>
    <v>46301</v>
    <v>0</v>
    <v>1</v>
    <v>639267552000000000,639268885062857374,0</v>
    <v>0</v>
    <v>aa7f7w</v>
    <v>XASX:LIN</v>
    <v>23</v>
  </rv>
  <rv s="1">
    <v>2</v>
    <v>LBRT</v>
    <v>Daily</v>
    <v>46296</v>
    <v>46301</v>
    <v>0</v>
    <v>1</v>
    <v>639267552000000000,639268885062884195,0</v>
    <v>0</v>
    <v>ayam52</v>
    <v>XNYS:LBRT</v>
    <v>24</v>
  </rv>
  <rv s="1">
    <v>2</v>
    <v>GOOS</v>
    <v>Daily</v>
    <v>46296</v>
    <v>46301</v>
    <v>0</v>
    <v>1</v>
    <v>639267552000000000,639268885063184196,0</v>
    <v>0</v>
    <v>a1u3ur</v>
    <v>XNYS:GOOS</v>
    <v>25</v>
  </rv>
  <rv s="1">
    <v>2</v>
    <v>GE</v>
    <v>Daily</v>
    <v>46296</v>
    <v>46301</v>
    <v>0</v>
    <v>1</v>
    <v>639267552000000000,639268885063214176,0</v>
    <v>0</v>
    <v>a1tr1h</v>
    <v>XNYS:GE</v>
    <v>26</v>
  </rv>
  <rv s="1">
    <v>2</v>
    <v>ETSY</v>
    <v>Daily</v>
    <v>46296</v>
    <v>46301</v>
    <v>0</v>
    <v>1</v>
    <v>639267552000000000,639268885063247059,0</v>
    <v>0</v>
    <v>a1sar7</v>
    <v>XNYS:ETSY</v>
    <v>27</v>
  </rv>
  <rv s="1">
    <v>2</v>
    <v>AAP</v>
    <v>Daily</v>
    <v>46296</v>
    <v>46301</v>
    <v>0</v>
    <v>1</v>
    <v>639267552000000000,639268885061511120,0</v>
    <v>0</v>
    <v>a1mor7</v>
    <v>XNYS:AAP</v>
    <v>28</v>
  </rv>
  <rv s="1">
    <v>2</v>
    <v>ETN</v>
    <v>Daily</v>
    <v>46296</v>
    <v>46301</v>
    <v>0</v>
    <v>1</v>
    <v>639267552000000000,639268885063272947,0</v>
    <v>0</v>
    <v>a1safr</v>
    <v>XNYS:ETN</v>
    <v>29</v>
  </rv>
  <rv s="1">
    <v>2</v>
    <v>ET</v>
    <v>Daily</v>
    <v>46296</v>
    <v>46301</v>
    <v>0</v>
    <v>1</v>
    <v>639267552000000000,639268885063301936,0</v>
    <v>0</v>
    <v>a1s9ur</v>
    <v>XNYS:ET</v>
    <v>30</v>
  </rv>
  <rv s="1">
    <v>2</v>
    <v>EL</v>
    <v>Daily</v>
    <v>46296</v>
    <v>46301</v>
    <v>0</v>
    <v>1</v>
    <v>639267552000000000,639268885063331652,0</v>
    <v>0</v>
    <v>a1ruc7</v>
    <v>XNYS:EL</v>
    <v>31</v>
  </rv>
  <rv s="1">
    <v>2</v>
    <v>MU</v>
    <v>Daily</v>
    <v>46296</v>
    <v>46301</v>
    <v>0</v>
    <v>1</v>
    <v>639267552000000000,639268885061869412,0</v>
    <v>0</v>
    <v>a1y4oc</v>
    <v>XNAS:MU</v>
    <v>32</v>
  </rv>
  <rv s="1">
    <v>2</v>
    <v>VRT</v>
    <v>Daily</v>
    <v>46296</v>
    <v>46301</v>
    <v>0</v>
    <v>1</v>
    <v>639267552000000000,639268885061657349,0</v>
    <v>0</v>
    <v>b19hc7</v>
    <v>XNYS:VRT</v>
    <v>33</v>
  </rv>
  <rv s="1">
    <v>2</v>
    <v>DIS</v>
    <v>Daily</v>
    <v>46296</v>
    <v>46301</v>
    <v>0</v>
    <v>1</v>
    <v>639267552000000000,639268885063395748,0</v>
    <v>0</v>
    <v>a1r2z2</v>
    <v>XNYS:DIS</v>
    <v>34</v>
  </rv>
  <rv s="1">
    <v>2</v>
    <v>CRK</v>
    <v>Daily</v>
    <v>46296</v>
    <v>46301</v>
    <v>0</v>
    <v>1</v>
    <v>639267552000000000,639268885063460515,0</v>
    <v>0</v>
    <v>a1qbur</v>
    <v>XNYS:CRK</v>
    <v>35</v>
  </rv>
  <rv s="1">
    <v>2</v>
    <v>TSM</v>
    <v>Daily</v>
    <v>46296</v>
    <v>46301</v>
    <v>0</v>
    <v>1</v>
    <v>639267552000000000,639268885061785061,0</v>
    <v>0</v>
    <v>a24kjc</v>
    <v>XNYS:TSM</v>
    <v>36</v>
  </rv>
  <rv s="1">
    <v>2</v>
    <v>COST</v>
    <v>Daily</v>
    <v>46296</v>
    <v>46301</v>
    <v>0</v>
    <v>1</v>
    <v>639267552000000000,639268885061357927,0</v>
    <v>0</v>
    <v>a1q6k2</v>
    <v>XNAS:COST</v>
    <v>37</v>
  </rv>
  <rv s="1">
    <v>2</v>
    <v>CMG</v>
    <v>Daily</v>
    <v>46296</v>
    <v>46301</v>
    <v>0</v>
    <v>1</v>
    <v>639267552000000000,639268885061397012,0</v>
    <v>0</v>
    <v>a1pxbh</v>
    <v>XNYS:CMG</v>
    <v>38</v>
  </rv>
  <rv s="1">
    <v>2</v>
    <v>CLF</v>
    <v>Daily</v>
    <v>46296</v>
    <v>46301</v>
    <v>0</v>
    <v>1</v>
    <v>639267552000000000,639268885061427923,0</v>
    <v>0</v>
    <v>a1ptbh</v>
    <v>XNYS:CLF</v>
    <v>39</v>
  </rv>
  <rv s="1">
    <v>2</v>
    <v>CE</v>
    <v>Daily</v>
    <v>46296</v>
    <v>46301</v>
    <v>0</v>
    <v>1</v>
    <v>639267552000000000,639268885061447927,0</v>
    <v>0</v>
    <v>a1pffr</v>
    <v>XNYS:CE</v>
    <v>40</v>
  </rv>
  <rv s="1">
    <v>2</v>
    <v>PLD</v>
    <v>Daily</v>
    <v>46296</v>
    <v>46301</v>
    <v>0</v>
    <v>1</v>
    <v>639267552000000000,639268885061588654,0</v>
    <v>0</v>
    <v>a1zy3m</v>
    <v>XNYS:PLD</v>
    <v>41</v>
  </rv>
  <rv s="1">
    <v>2</v>
    <v>VRTX</v>
    <v>Daily</v>
    <v>46296</v>
    <v>46301</v>
    <v>0</v>
    <v>1</v>
    <v>639267552000000000,639268885061548718,0</v>
    <v>0</v>
    <v>a25k5r</v>
    <v>XNAS:VRTX</v>
    <v>42</v>
  </rv>
  <rv s="1">
    <v>2</v>
    <v>AVGO</v>
    <v>Daily</v>
    <v>46296</v>
    <v>46301</v>
    <v>0</v>
    <v>1</v>
    <v>639267552000000000,639268885061621650,0</v>
    <v>0</v>
    <v>a1nz8m</v>
    <v>XNAS:AVGO</v>
    <v>43</v>
  </rv>
  <rv s="1">
    <v>2</v>
    <v>CRWD</v>
    <v>Daily</v>
    <v>46296</v>
    <v>46301</v>
    <v>0</v>
    <v>1</v>
    <v>639267552000000000,639268885061928118,0</v>
    <v>0</v>
    <v>bq8rqh</v>
    <v>XNAS:CRWD</v>
    <v>44</v>
  </rv>
  <rv s="1">
    <v>2</v>
    <v>PLTR</v>
    <v>Daily</v>
    <v>46296</v>
    <v>46301</v>
    <v>0</v>
    <v>1</v>
    <v>639267552000000000,639268885061808648,0</v>
    <v>0</v>
    <v>bvsk7w</v>
    <v>XNAS:PLTR</v>
    <v>45</v>
  </rv>
  <rv s="1">
    <v>2</v>
    <v>NVDA</v>
    <v>Daily</v>
    <v>46296</v>
    <v>46301</v>
    <v>0</v>
    <v>1</v>
    <v>639267552000000000,639268885061828635,0</v>
    <v>0</v>
    <v>a1yv52</v>
    <v>XNAS:NVDA</v>
    <v>46</v>
  </rv>
  <rv s="1">
    <v>2</v>
    <v>KLAC</v>
    <v>Daily</v>
    <v>46296</v>
    <v>46301</v>
    <v>0</v>
    <v>1</v>
    <v>639267552000000000,639268885061891029,0</v>
    <v>0</v>
    <v>a1wjkr</v>
    <v>XNAS:KLAC</v>
    <v>47</v>
  </rv>
  <rv s="1">
    <v>2</v>
    <v>ASML</v>
    <v>Daily</v>
    <v>46296</v>
    <v>46301</v>
    <v>0</v>
    <v>1</v>
    <v>639267552000000000,639268885061971261,0</v>
    <v>0</v>
    <v>a1ntlh</v>
    <v>XNAS:ASML</v>
    <v>48</v>
  </rv>
  <rv s="1">
    <v>2</v>
    <v>ANET</v>
    <v>Daily</v>
    <v>46296</v>
    <v>46301</v>
    <v>0</v>
    <v>1</v>
    <v>639267552000000000,639268885061998632,0</v>
    <v>0</v>
    <v>a1nihw</v>
    <v>XNYS:ANET</v>
    <v>49</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4">
    <spb s="0">
      <v>1</v>
    </spb>
    <spb s="0">
      <v>2</v>
    </spb>
    <spb s="1">
      <v>3</v>
      <v>1</v>
    </spb>
    <spb s="1">
      <v>3</v>
      <v>2</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m/d/yyyy"/>
    </x:dxf>
    <x:dxf>
      <x:numFmt numFmtId="0" formatCode="General"/>
    </x:dxf>
  </dxfs>
  <richProperties>
    <rPr n="NumberFormat" t="s"/>
  </richProperties>
  <richStyles>
    <rSty dxfid="1">
      <rpv i="0">_([$$-en-US]* #,##0.00_);_([$$-en-US]* (#,##0.00);_([$$-en-US]* "-"??_);_(@_)</rpv>
    </rSty>
    <rSty dxfid="1">
      <rpv i="0">_-[$$-en-AU]* #,##0.00_-;-[$$-en-AU]* #,##0.00_-;_-[$$-en-AU]* "-"??_-;_-@_-</rpv>
    </rSty>
    <rSty dxfid="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PositionsTable" displayName="CurrentPositionsTable" ref="A2:M51" totalsRowShown="0">
  <tableColumns count="13">
    <tableColumn id="1" xr3:uid="{00000000-0010-0000-0000-000001000000}" name="Account"/>
    <tableColumn id="2" xr3:uid="{00000000-0010-0000-0000-000002000000}" name="Ticker"/>
    <tableColumn id="3" xr3:uid="{00000000-0010-0000-0000-000003000000}" name="Description"/>
    <tableColumn id="4" xr3:uid="{00000000-0010-0000-0000-000004000000}" name="Asset Class"/>
    <tableColumn id="5" xr3:uid="{00000000-0010-0000-0000-000005000000}" name="Quantity" dataDxfId="8"/>
    <tableColumn id="6" xr3:uid="{00000000-0010-0000-0000-000006000000}" name="Price_x000a_($)"/>
    <tableColumn id="7" xr3:uid="{00000000-0010-0000-0000-000007000000}" name="Market Value_x000a_($)"/>
    <tableColumn id="8" xr3:uid="{00000000-0010-0000-0000-000008000000}" name="Cost Basis_x000a_($)"/>
    <tableColumn id="9" xr3:uid="{00000000-0010-0000-0000-000009000000}" name="Unrealized G/L ($)"/>
    <tableColumn id="10" xr3:uid="{00000000-0010-0000-0000-00000A000000}" name="Unrealized G/L (%)"/>
    <tableColumn id="11" xr3:uid="{00000000-0010-0000-0000-00000B000000}" name="% of Acct"/>
    <tableColumn id="12" xr3:uid="{00000000-0010-0000-0000-00000C000000}" name="% of Comb. Portfolio"/>
    <tableColumn id="13" xr3:uid="{00000000-0010-0000-0000-00000D000000}" name="Classification / Notes (fill at review)"/>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MonitorTable" displayName="MonitorTable" ref="A2:Q51" totalsRowShown="0">
  <autoFilter ref="A2:Q51" xr:uid="{00000000-0009-0000-0100-000006000000}"/>
  <tableColumns count="17">
    <tableColumn id="1" xr3:uid="{00000000-0010-0000-0100-000001000000}" name="Ticker"/>
    <tableColumn id="2" xr3:uid="{00000000-0010-0000-0100-000002000000}" name="Category"/>
    <tableColumn id="3" xr3:uid="{00000000-0010-0000-0100-000003000000}" name="Last Score_x000a_Date"/>
    <tableColumn id="4" xr3:uid="{00000000-0010-0000-0100-000004000000}" name="Last_x000a_Composite"/>
    <tableColumn id="5" xr3:uid="{00000000-0010-0000-0100-000005000000}" name="Last Tier 1_x000a_Wtd Avg"/>
    <tableColumn id="6" xr3:uid="{00000000-0010-0000-0100-000006000000}" name="Last_x000a_Decision"/>
    <tableColumn id="7" xr3:uid="{00000000-0010-0000-0100-000007000000}" name="Price at_x000a_Last Score"/>
    <tableColumn id="8" xr3:uid="{00000000-0010-0000-0100-000008000000}" name="Current_x000a_Price"/>
    <tableColumn id="9" xr3:uid="{00000000-0010-0000-0100-000009000000}" name="% Price_x000a_Change"/>
    <tableColumn id="10" xr3:uid="{00000000-0010-0000-0100-00000A000000}" name="Next/Last_x000a_Earnings Date"/>
    <tableColumn id="11" xr3:uid="{00000000-0010-0000-0100-00000B000000}" name="Insider_x000a_Activity? (Y/N)"/>
    <tableColumn id="12" xr3:uid="{00000000-0010-0000-0100-00000C000000}" name="Insider Note"/>
    <tableColumn id="13" xr3:uid="{00000000-0010-0000-0100-00000D000000}" name="Analyst_x000a_Shift? (Y/N)"/>
    <tableColumn id="14" xr3:uid="{00000000-0010-0000-0100-00000E000000}" name="Analyst Shift_x000a_Note"/>
    <tableColumn id="15" xr3:uid="{00000000-0010-0000-0100-00000F000000}" name="Days Since_x000a_Last Score"/>
    <tableColumn id="16" xr3:uid="{00000000-0010-0000-0100-000010000000}" name="Recheck Status"/>
    <tableColumn id="17" xr3:uid="{00000000-0010-0000-0100-000011000000}"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DashboardTable" displayName="DashboardTable" ref="A1:J50" totalsRowShown="0">
  <tableColumns count="10">
    <tableColumn id="1" xr3:uid="{00000000-0010-0000-0200-000001000000}" name="Ticker"/>
    <tableColumn id="2" xr3:uid="{00000000-0010-0000-0200-000002000000}" name="Company"/>
    <tableColumn id="3" xr3:uid="{00000000-0010-0000-0200-000003000000}" name="Date Scored"/>
    <tableColumn id="4" xr3:uid="{00000000-0010-0000-0200-000004000000}" name="Tier 1 Wtd Avg"/>
    <tableColumn id="5" xr3:uid="{00000000-0010-0000-0200-000005000000}" name="Composite Score"/>
    <tableColumn id="6" xr3:uid="{00000000-0010-0000-0200-000006000000}" name="Decision"/>
    <tableColumn id="7" xr3:uid="{00000000-0010-0000-0200-000007000000}" name="Rule 1"/>
    <tableColumn id="8" xr3:uid="{00000000-0010-0000-0200-000008000000}" name="Rule 2"/>
    <tableColumn id="9" xr3:uid="{00000000-0010-0000-0200-000009000000}" name="Rule 3"/>
    <tableColumn id="10" xr3:uid="{00000000-0010-0000-0200-00000A000000}" name="Rule 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ntryChecklistTable" displayName="EntryChecklistTable" ref="A2:S47" totalsRowShown="0">
  <tableColumns count="19">
    <tableColumn id="1" xr3:uid="{00000000-0010-0000-0300-000001000000}" name="Ticker"/>
    <tableColumn id="2" xr3:uid="{00000000-0010-0000-0300-000002000000}" name="Company"/>
    <tableColumn id="3" xr3:uid="{00000000-0010-0000-0300-000003000000}" name="Rule 6_x000a_Composite_x000a_≥65?"/>
    <tableColumn id="4" xr3:uid="{00000000-0010-0000-0300-000004000000}" name="Rule 7_x000a_Tier1_x000a_≥3.0?"/>
    <tableColumn id="5" xr3:uid="{00000000-0010-0000-0300-000005000000}" name="Rule 8_x000a_No Tier1_x000a_=1?"/>
    <tableColumn id="6" xr3:uid="{00000000-0010-0000-0300-000006000000}" name="Rule 9_x000a_Above / reclaimed_x000a_200-wk MA?_x000a_(Y/N)"/>
    <tableColumn id="7" xr3:uid="{00000000-0010-0000-0300-000007000000}" name="Rule 10_x000a_Monthly MACD_x000a_positive / turning?_x000a_(Y/N)"/>
    <tableColumn id="8" xr3:uid="{00000000-0010-0000-0300-000008000000}" name="Staging_x000a_Result_x000a_(Rules 9-10)"/>
    <tableColumn id="9" xr3:uid="{00000000-0010-0000-0300-000009000000}" name="Rule 11_x000a_Binary event_x000a_risk present?_x000a_(Y/N)"/>
    <tableColumn id="10" xr3:uid="{00000000-0010-0000-0300-00000A000000}" name="Risk included_x000a_in thesis?_x000a_(Y/N)"/>
    <tableColumn id="11" xr3:uid="{00000000-0010-0000-0300-00000B000000}" name="Rule 11_x000a_Result"/>
    <tableColumn id="12" xr3:uid="{00000000-0010-0000-0300-00000C000000}" name="Base Case_x000a_&gt;10%?"/>
    <tableColumn id="13" xr3:uid="{00000000-0010-0000-0300-00000D000000}" name="Rule 12_x000a_Bear Case_x000a_≥0%?"/>
    <tableColumn id="14" xr3:uid="{00000000-0010-0000-0300-00000E000000}" name="Rule 13_x000a_Scenario tags_x000a_OK?"/>
    <tableColumn id="15" xr3:uid="{00000000-0010-0000-0300-00000F000000}" name="P/FCF_x000a_(current)"/>
    <tableColumn id="16" xr3:uid="{00000000-0010-0000-0300-000010000000}" name="Consensus FCF_x000a_growth, 2-yr_x000a_annualized"/>
    <tableColumn id="17" xr3:uid="{00000000-0010-0000-0300-000011000000}" name="Rule 14_x000a_Valuation_x000a_Ceiling"/>
    <tableColumn id="18" xr3:uid="{00000000-0010-0000-0300-000012000000}" name="ENTRY_x000a_AUTHORIZED?"/>
    <tableColumn id="19" xr3:uid="{00000000-0010-0000-0300-000013000000}" name="Recommended Actio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DrawdownLogTable" displayName="DrawdownLogTable" ref="A2:H42" totalsRowShown="0">
  <autoFilter ref="A2:H42" xr:uid="{00000000-0009-0000-0100-000003000000}"/>
  <tableColumns count="8">
    <tableColumn id="1" xr3:uid="{00000000-0010-0000-0400-000001000000}" name="Date"/>
    <tableColumn id="2" xr3:uid="{00000000-0010-0000-0400-000002000000}" name="Portfolio Value ($)"/>
    <tableColumn id="3" xr3:uid="{00000000-0010-0000-0400-000003000000}" name="Running Peak ($)"/>
    <tableColumn id="4" xr3:uid="{00000000-0010-0000-0400-000004000000}" name="Drawdown %"/>
    <tableColumn id="5" xr3:uid="{00000000-0010-0000-0400-000005000000}" name="Status"/>
    <tableColumn id="6" xr3:uid="{00000000-0010-0000-0400-000006000000}" name="Required Cash Floor"/>
    <tableColumn id="7" xr3:uid="{00000000-0010-0000-0400-000007000000}" name="New Position Initiation"/>
    <tableColumn id="8" xr3:uid="{00000000-0010-0000-0400-000008000000}" name="Not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WatchListTable" displayName="WatchListTable" ref="A2:M22" totalsRowShown="0">
  <tableColumns count="13">
    <tableColumn id="1" xr3:uid="{00000000-0010-0000-0500-000001000000}" name="Ticker"/>
    <tableColumn id="2" xr3:uid="{00000000-0010-0000-0500-000002000000}" name="Company"/>
    <tableColumn id="3" xr3:uid="{00000000-0010-0000-0500-000003000000}" name="Status_x000a_(Probationary/_x000a_Exit Review)"/>
    <tableColumn id="4" xr3:uid="{00000000-0010-0000-0500-000004000000}" name="Entry Date_x000a_(band entered)"/>
    <tableColumn id="5" xr3:uid="{00000000-0010-0000-0500-000005000000}" name="Entry_x000a_Score"/>
    <tableColumn id="6" xr3:uid="{00000000-0010-0000-0500-000006000000}" name="Current_x000a_Score"/>
    <tableColumn id="7" xr3:uid="{00000000-0010-0000-0500-000007000000}" name="Current Score_x000a_Date"/>
    <tableColumn id="8" xr3:uid="{00000000-0010-0000-0500-000008000000}" name="Credible_x000a_Remediation Plan?_x000a_(Y/N)"/>
    <tableColumn id="9" xr3:uid="{00000000-0010-0000-0500-000009000000}" name="90-Day_x000a_Deadline"/>
    <tableColumn id="10" xr3:uid="{00000000-0010-0000-0500-00000A000000}" name="Days_x000a_Remaining"/>
    <tableColumn id="11" xr3:uid="{00000000-0010-0000-0500-00000B000000}" name="Action Status"/>
    <tableColumn id="12" xr3:uid="{00000000-0010-0000-0500-00000C000000}" name="Remediation Plan Notes"/>
    <tableColumn id="13" xr3:uid="{00000000-0010-0000-0500-00000D000000}" name="Trims Taken_x000a_(0-3, Rule 3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PerformanceTrackingTable" displayName="PerformanceTrackingTable" ref="A2:AC44" totalsRowShown="0">
  <autoFilter ref="A2:AC44" xr:uid="{00000000-0009-0000-0100-000008000000}"/>
  <tableColumns count="29">
    <tableColumn id="1" xr3:uid="{00000000-0010-0000-0600-000001000000}" name="Ticker"/>
    <tableColumn id="2" xr3:uid="{00000000-0010-0000-0600-000002000000}" name="Company"/>
    <tableColumn id="3" xr3:uid="{00000000-0010-0000-0600-000003000000}" name="Entry_x000a_Date"/>
    <tableColumn id="4" xr3:uid="{00000000-0010-0000-0600-000004000000}" name="Entry_x000a_Price"/>
    <tableColumn id="5" xr3:uid="{00000000-0010-0000-0600-000005000000}" name="Entry_x000a_Score"/>
    <tableColumn id="6" xr3:uid="{00000000-0010-0000-0600-000006000000}" name="Entry_x000a_Confidence"/>
    <tableColumn id="7" xr3:uid="{00000000-0010-0000-0600-000007000000}" name="Entry_x000a_Decision Band"/>
    <tableColumn id="8" xr3:uid="{00000000-0010-0000-0600-000008000000}" name="SPY Price_x000a_at Entry"/>
    <tableColumn id="9" xr3:uid="{00000000-0010-0000-0600-000009000000}" name="Status_x000a_(Held / Exited)"/>
    <tableColumn id="10" xr3:uid="{00000000-0010-0000-0600-00000A000000}" name="Exit_x000a_Date"/>
    <tableColumn id="11" xr3:uid="{00000000-0010-0000-0600-00000B000000}" name="Exit_x000a_Price"/>
    <tableColumn id="12" xr3:uid="{00000000-0010-0000-0600-00000C000000}" name="Exit_x000a_Reason"/>
    <tableColumn id="13" xr3:uid="{00000000-0010-0000-0600-00000D000000}" name="Current /_x000a_Exit Price"/>
    <tableColumn id="14" xr3:uid="{00000000-0010-0000-0600-00000E000000}" name="SPY Price_x000a_(current / exit)"/>
    <tableColumn id="15" xr3:uid="{00000000-0010-0000-0600-00000F000000}" name="Total Return_x000a_Since Entry"/>
    <tableColumn id="16" xr3:uid="{00000000-0010-0000-0600-000010000000}" name="SPY Return_x000a_Same Period"/>
    <tableColumn id="17" xr3:uid="{00000000-0010-0000-0600-000011000000}" name="Excess_x000a_Return"/>
    <tableColumn id="18" xr3:uid="{00000000-0010-0000-0600-000012000000}" name="Type"/>
    <tableColumn id="19" xr3:uid="{00000000-0010-0000-0600-000013000000}" name="Basis"/>
    <tableColumn id="20" xr3:uid="{00000000-0010-0000-0600-000014000000}" name="Lot_x000a_Shares"/>
    <tableColumn id="21" xr3:uid="{00000000-0010-0000-0600-000015000000}" name="Shares"/>
    <tableColumn id="22" xr3:uid="{00000000-0010-0000-0600-000016000000}" name="Entry_x000a_Value"/>
    <tableColumn id="23" xr3:uid="{00000000-0010-0000-0600-000017000000}" name="Current /_x000a_Exit Value"/>
    <tableColumn id="24" xr3:uid="{00000000-0010-0000-0600-000018000000}" name="Gain /_x000a_(Loss)"/>
    <tableColumn id="25" xr3:uid="{00000000-0010-0000-0600-000019000000}" name="YTD Base_x000a_Price"/>
    <tableColumn id="26" xr3:uid="{00000000-0010-0000-0600-00001A000000}" name="YTD Base_x000a_Value"/>
    <tableColumn id="27" xr3:uid="{00000000-0010-0000-0600-00001B000000}" name="YTD Gain /_x000a_(Loss)"/>
    <tableColumn id="28" xr3:uid="{00000000-0010-0000-0600-00001C000000}" name="YTD_x000a_Return"/>
    <tableColumn id="29" xr3:uid="{00000000-0010-0000-0600-00001D000000}" name="SPY Gain_x000a_(same $)"/>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JournalTable" displayName="JournalTable" ref="A2:C302" totalsRowShown="0">
  <autoFilter ref="A2:C302" xr:uid="{00000000-0009-0000-0100-000005000000}"/>
  <tableColumns count="3">
    <tableColumn id="1" xr3:uid="{00000000-0010-0000-0700-000001000000}" name="Date"/>
    <tableColumn id="2" xr3:uid="{00000000-0010-0000-0700-000002000000}" name="Ticker"/>
    <tableColumn id="3" xr3:uid="{00000000-0010-0000-0700-000003000000}" name="Notes"/>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rocessChecklistTable" displayName="ProcessChecklistTable" ref="A4:F121" totalsRowShown="0">
  <tableColumns count="6">
    <tableColumn id="1" xr3:uid="{00000000-0010-0000-0800-000001000000}" name="Event"/>
    <tableColumn id="2" xr3:uid="{00000000-0010-0000-0800-000002000000}" name="Step"/>
    <tableColumn id="3" xr3:uid="{00000000-0010-0000-0800-000003000000}" name="Done (Y/N)"/>
    <tableColumn id="4" xr3:uid="{00000000-0010-0000-0800-000004000000}" name="Date Done"/>
    <tableColumn id="5" xr3:uid="{00000000-0010-0000-0800-000005000000}" name="Event Due Date"/>
    <tableColumn id="6" xr3:uid="{00000000-0010-0000-0800-000006000000}" name="Status"/>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9000000}" name="OpenItemsTable" displayName="OpenItemsTable" ref="A4:F36" totalsRowShown="0">
  <tableColumns count="6">
    <tableColumn id="1" xr3:uid="{00000000-0010-0000-0900-000001000000}" name="#"/>
    <tableColumn id="2" xr3:uid="{00000000-0010-0000-0900-000002000000}" name="Item"/>
    <tableColumn id="3" xr3:uid="{00000000-0010-0000-0900-000003000000}" name="Done (Y/N)"/>
    <tableColumn id="4" xr3:uid="{00000000-0010-0000-0900-000004000000}" name="Date Raised"/>
    <tableColumn id="5" xr3:uid="{00000000-0010-0000-0900-000005000000}" name="Date Resolved"/>
    <tableColumn id="6" xr3:uid="{00000000-0010-0000-0900-000006000000}"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9.xml"/><Relationship Id="rId1"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0.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1"/>
  <sheetViews>
    <sheetView showGridLines="0" zoomScaleNormal="100" workbookViewId="0">
      <selection activeCell="A2" sqref="A2"/>
    </sheetView>
  </sheetViews>
  <sheetFormatPr defaultColWidth="8.6328125" defaultRowHeight="14.5" x14ac:dyDescent="0.35"/>
  <cols>
    <col min="1" max="1" width="100" customWidth="1"/>
  </cols>
  <sheetData>
    <row r="1" spans="1:1" ht="29.25" customHeight="1" x14ac:dyDescent="0.35">
      <c r="A1" s="15" t="s">
        <v>0</v>
      </c>
    </row>
    <row r="2" spans="1:1" ht="14.25" customHeight="1" x14ac:dyDescent="0.35">
      <c r="A2" s="16"/>
    </row>
    <row r="3" spans="1:1" ht="14.25" customHeight="1" x14ac:dyDescent="0.35">
      <c r="A3" s="17" t="s">
        <v>1</v>
      </c>
    </row>
    <row r="4" spans="1:1" ht="14.25" customHeight="1" x14ac:dyDescent="0.35">
      <c r="A4" s="16" t="s">
        <v>2</v>
      </c>
    </row>
    <row r="5" spans="1:1" ht="14.25" customHeight="1" x14ac:dyDescent="0.35">
      <c r="A5" s="16" t="s">
        <v>3</v>
      </c>
    </row>
    <row r="6" spans="1:1" ht="14.25" customHeight="1" x14ac:dyDescent="0.35">
      <c r="A6" s="16"/>
    </row>
    <row r="7" spans="1:1" ht="14.25" customHeight="1" x14ac:dyDescent="0.35">
      <c r="A7" s="18" t="s">
        <v>4</v>
      </c>
    </row>
    <row r="8" spans="1:1" ht="14.25" customHeight="1" x14ac:dyDescent="0.35">
      <c r="A8" s="16" t="s">
        <v>5</v>
      </c>
    </row>
    <row r="9" spans="1:1" ht="14.25" customHeight="1" x14ac:dyDescent="0.35">
      <c r="A9" s="16" t="s">
        <v>6</v>
      </c>
    </row>
    <row r="10" spans="1:1" ht="14.25" customHeight="1" x14ac:dyDescent="0.35">
      <c r="A10" s="16" t="s">
        <v>7</v>
      </c>
    </row>
    <row r="11" spans="1:1" ht="14.25" customHeight="1" x14ac:dyDescent="0.35">
      <c r="A11" s="16" t="s">
        <v>8</v>
      </c>
    </row>
    <row r="12" spans="1:1" ht="14.25" customHeight="1" x14ac:dyDescent="0.35">
      <c r="A12" s="16" t="s">
        <v>9</v>
      </c>
    </row>
    <row r="13" spans="1:1" ht="14.25" customHeight="1" x14ac:dyDescent="0.35">
      <c r="A13" s="16" t="s">
        <v>10</v>
      </c>
    </row>
    <row r="14" spans="1:1" ht="14.25" customHeight="1" x14ac:dyDescent="0.35">
      <c r="A14" s="16" t="s">
        <v>11</v>
      </c>
    </row>
    <row r="15" spans="1:1" ht="14.25" customHeight="1" x14ac:dyDescent="0.35">
      <c r="A15" s="16" t="s">
        <v>12</v>
      </c>
    </row>
    <row r="16" spans="1:1" ht="14.25" customHeight="1" x14ac:dyDescent="0.35">
      <c r="A16" s="16" t="s">
        <v>13</v>
      </c>
    </row>
    <row r="17" spans="1:1" ht="14.25" customHeight="1" x14ac:dyDescent="0.35">
      <c r="A17" s="16" t="s">
        <v>14</v>
      </c>
    </row>
    <row r="18" spans="1:1" ht="14.25" customHeight="1" x14ac:dyDescent="0.35">
      <c r="A18" s="16"/>
    </row>
    <row r="19" spans="1:1" ht="14.25" customHeight="1" x14ac:dyDescent="0.35">
      <c r="A19" s="18" t="s">
        <v>15</v>
      </c>
    </row>
    <row r="20" spans="1:1" ht="14.25" customHeight="1" x14ac:dyDescent="0.35">
      <c r="A20" s="16" t="s">
        <v>16</v>
      </c>
    </row>
    <row r="21" spans="1:1" ht="14.25" customHeight="1" x14ac:dyDescent="0.35">
      <c r="A21" s="16" t="s">
        <v>17</v>
      </c>
    </row>
    <row r="22" spans="1:1" ht="14.25" customHeight="1" x14ac:dyDescent="0.35">
      <c r="A22" s="16" t="s">
        <v>18</v>
      </c>
    </row>
    <row r="23" spans="1:1" ht="14.25" customHeight="1" x14ac:dyDescent="0.35">
      <c r="A23" s="16" t="s">
        <v>19</v>
      </c>
    </row>
    <row r="24" spans="1:1" ht="14.25" customHeight="1" x14ac:dyDescent="0.35">
      <c r="A24" s="16" t="s">
        <v>20</v>
      </c>
    </row>
    <row r="25" spans="1:1" ht="14.25" customHeight="1" x14ac:dyDescent="0.35">
      <c r="A25" s="16" t="s">
        <v>21</v>
      </c>
    </row>
    <row r="26" spans="1:1" ht="14.25" customHeight="1" x14ac:dyDescent="0.35">
      <c r="A26" s="16" t="s">
        <v>22</v>
      </c>
    </row>
    <row r="27" spans="1:1" ht="14.25" customHeight="1" x14ac:dyDescent="0.35">
      <c r="A27" s="19" t="s">
        <v>23</v>
      </c>
    </row>
    <row r="28" spans="1:1" ht="14.25" customHeight="1" x14ac:dyDescent="0.35">
      <c r="A28" s="19" t="s">
        <v>24</v>
      </c>
    </row>
    <row r="29" spans="1:1" ht="14.25" customHeight="1" x14ac:dyDescent="0.35">
      <c r="A29" s="16" t="s">
        <v>25</v>
      </c>
    </row>
    <row r="30" spans="1:1" ht="14.25" customHeight="1" x14ac:dyDescent="0.35">
      <c r="A30" s="16" t="s">
        <v>26</v>
      </c>
    </row>
    <row r="31" spans="1:1" ht="32.25" customHeight="1" x14ac:dyDescent="0.35">
      <c r="A31" s="16"/>
    </row>
    <row r="32" spans="1:1" ht="14.25" customHeight="1" x14ac:dyDescent="0.35">
      <c r="A32" s="18" t="s">
        <v>27</v>
      </c>
    </row>
    <row r="33" spans="1:1" ht="32.25" customHeight="1" x14ac:dyDescent="0.35">
      <c r="A33" s="16" t="s">
        <v>28</v>
      </c>
    </row>
    <row r="34" spans="1:1" ht="14.25" customHeight="1" x14ac:dyDescent="0.35">
      <c r="A34" s="16" t="s">
        <v>29</v>
      </c>
    </row>
    <row r="35" spans="1:1" ht="21.75" customHeight="1" x14ac:dyDescent="0.35"/>
    <row r="36" spans="1:1" ht="14.25" customHeight="1" x14ac:dyDescent="0.35">
      <c r="A36" s="20" t="s">
        <v>30</v>
      </c>
    </row>
    <row r="37" spans="1:1" ht="14.25" customHeight="1" x14ac:dyDescent="0.35">
      <c r="A37" s="21" t="s">
        <v>31</v>
      </c>
    </row>
    <row r="38" spans="1:1" ht="14.25" customHeight="1" x14ac:dyDescent="0.35">
      <c r="A38" s="16"/>
    </row>
    <row r="39" spans="1:1" ht="14.25" customHeight="1" x14ac:dyDescent="0.35">
      <c r="A39" s="18" t="s">
        <v>32</v>
      </c>
    </row>
    <row r="40" spans="1:1" ht="14.25" customHeight="1" x14ac:dyDescent="0.35">
      <c r="A40" s="16" t="s">
        <v>33</v>
      </c>
    </row>
    <row r="41" spans="1:1" ht="14.25" customHeight="1" x14ac:dyDescent="0.35">
      <c r="A41" s="16" t="s">
        <v>34</v>
      </c>
    </row>
    <row r="42" spans="1:1" ht="14.25" customHeight="1" x14ac:dyDescent="0.35">
      <c r="A42" s="16" t="s">
        <v>35</v>
      </c>
    </row>
    <row r="43" spans="1:1" ht="14.25" customHeight="1" x14ac:dyDescent="0.35">
      <c r="A43" s="16" t="s">
        <v>36</v>
      </c>
    </row>
    <row r="44" spans="1:1" ht="14.25" customHeight="1" x14ac:dyDescent="0.35">
      <c r="A44" s="16" t="s">
        <v>37</v>
      </c>
    </row>
    <row r="45" spans="1:1" ht="14.25" customHeight="1" x14ac:dyDescent="0.35">
      <c r="A45" s="16" t="s">
        <v>38</v>
      </c>
    </row>
    <row r="46" spans="1:1" ht="21.75" customHeight="1" x14ac:dyDescent="0.35">
      <c r="A46" s="16" t="s">
        <v>39</v>
      </c>
    </row>
    <row r="47" spans="1:1" ht="28.5" customHeight="1" x14ac:dyDescent="0.35">
      <c r="A47" s="16" t="s">
        <v>40</v>
      </c>
    </row>
    <row r="48" spans="1:1" ht="42.75" customHeight="1" x14ac:dyDescent="0.35">
      <c r="A48" s="16" t="s">
        <v>41</v>
      </c>
    </row>
    <row r="49" spans="1:1" ht="14.25" customHeight="1" x14ac:dyDescent="0.35">
      <c r="A49" s="16"/>
    </row>
    <row r="50" spans="1:1" ht="45.75" customHeight="1" x14ac:dyDescent="0.35">
      <c r="A50" s="16" t="s">
        <v>42</v>
      </c>
    </row>
    <row r="51" spans="1:1" ht="34.5" customHeight="1" x14ac:dyDescent="0.35">
      <c r="A51" s="16"/>
    </row>
    <row r="52" spans="1:1" ht="14.25" customHeight="1" x14ac:dyDescent="0.35">
      <c r="A52" s="22" t="s">
        <v>43</v>
      </c>
    </row>
    <row r="53" spans="1:1" ht="75" customHeight="1" x14ac:dyDescent="0.35">
      <c r="A53" s="22" t="s">
        <v>44</v>
      </c>
    </row>
    <row r="54" spans="1:1" ht="14.25" customHeight="1" x14ac:dyDescent="0.35">
      <c r="A54" t="s">
        <v>45</v>
      </c>
    </row>
    <row r="55" spans="1:1" ht="14.25" customHeight="1" x14ac:dyDescent="0.35">
      <c r="A55" t="s">
        <v>46</v>
      </c>
    </row>
    <row r="56" spans="1:1" ht="14.25" customHeight="1" x14ac:dyDescent="0.35">
      <c r="A56" t="s">
        <v>47</v>
      </c>
    </row>
    <row r="57" spans="1:1" ht="14.25" customHeight="1" x14ac:dyDescent="0.35">
      <c r="A57" t="s">
        <v>48</v>
      </c>
    </row>
    <row r="58" spans="1:1" ht="14.25" customHeight="1" x14ac:dyDescent="0.35">
      <c r="A58" t="s">
        <v>49</v>
      </c>
    </row>
    <row r="59" spans="1:1" ht="14.25" customHeight="1" x14ac:dyDescent="0.35">
      <c r="A59" t="s">
        <v>50</v>
      </c>
    </row>
    <row r="61" spans="1:1" ht="79.5" customHeight="1" x14ac:dyDescent="0.35">
      <c r="A61" s="16" t="s">
        <v>51</v>
      </c>
    </row>
  </sheetData>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showGridLines="0" zoomScaleNormal="100" workbookViewId="0">
      <selection activeCell="E5" sqref="E5:F5"/>
    </sheetView>
  </sheetViews>
  <sheetFormatPr defaultColWidth="8.6328125" defaultRowHeight="14.5" x14ac:dyDescent="0.35"/>
  <cols>
    <col min="1" max="1" width="22" customWidth="1"/>
    <col min="2" max="4" width="12" customWidth="1"/>
    <col min="5" max="5" width="11.81640625" customWidth="1"/>
    <col min="6" max="6" width="8" customWidth="1"/>
  </cols>
  <sheetData>
    <row r="1" spans="1:6" s="23" customFormat="1" ht="54" customHeight="1" x14ac:dyDescent="0.45">
      <c r="A1" s="14" t="s">
        <v>52</v>
      </c>
      <c r="B1" s="14"/>
      <c r="C1" s="14"/>
      <c r="D1" s="14"/>
      <c r="E1" s="14"/>
      <c r="F1" s="14"/>
    </row>
    <row r="2" spans="1:6" ht="15" customHeight="1" x14ac:dyDescent="0.35">
      <c r="A2" s="13" t="s">
        <v>53</v>
      </c>
      <c r="B2" s="13"/>
      <c r="C2" s="13"/>
      <c r="D2" s="13"/>
      <c r="E2" s="13"/>
      <c r="F2" s="13"/>
    </row>
    <row r="4" spans="1:6" ht="15" customHeight="1" x14ac:dyDescent="0.35">
      <c r="A4" s="12" t="s">
        <v>54</v>
      </c>
      <c r="B4" s="12"/>
      <c r="C4" s="12"/>
      <c r="D4" s="12"/>
      <c r="E4" s="12"/>
      <c r="F4" s="12"/>
    </row>
    <row r="5" spans="1:6" ht="15" customHeight="1" x14ac:dyDescent="0.35">
      <c r="A5" s="11" t="s">
        <v>55</v>
      </c>
      <c r="B5" s="11"/>
      <c r="C5" s="11"/>
      <c r="D5" s="11"/>
      <c r="E5" s="10">
        <f>COUNTIF('Watch List Tracker'!K3:K22,"*SELL WITHIN 30 DAYS*")</f>
        <v>1</v>
      </c>
      <c r="F5" s="10"/>
    </row>
    <row r="6" spans="1:6" ht="15" customHeight="1" x14ac:dyDescent="0.35">
      <c r="A6" s="11" t="s">
        <v>56</v>
      </c>
      <c r="B6" s="11"/>
      <c r="C6" s="11"/>
      <c r="D6" s="11"/>
      <c r="E6" s="10">
        <f>COUNTIF('Watch List Tracker'!K3:K22,"DEADLINE APPROACHING")</f>
        <v>0</v>
      </c>
      <c r="F6" s="10"/>
    </row>
    <row r="7" spans="1:6" ht="15" customHeight="1" x14ac:dyDescent="0.35">
      <c r="A7" s="11" t="s">
        <v>57</v>
      </c>
      <c r="B7" s="11"/>
      <c r="C7" s="11"/>
      <c r="D7" s="11"/>
      <c r="E7" s="10">
        <f>COUNTIF('Watch List Tracker'!K3:K22,"*RECOVERED*")</f>
        <v>0</v>
      </c>
      <c r="F7" s="10"/>
    </row>
    <row r="8" spans="1:6" ht="15" customHeight="1" x14ac:dyDescent="0.35">
      <c r="A8" s="25"/>
      <c r="B8" s="25"/>
      <c r="C8" s="25"/>
      <c r="D8" s="25"/>
    </row>
    <row r="9" spans="1:6" ht="15" customHeight="1" x14ac:dyDescent="0.35">
      <c r="A9" s="12" t="s">
        <v>58</v>
      </c>
      <c r="B9" s="12"/>
      <c r="C9" s="12"/>
      <c r="D9" s="12"/>
      <c r="E9" s="12"/>
      <c r="F9" s="12"/>
    </row>
    <row r="10" spans="1:6" ht="15" customHeight="1" x14ac:dyDescent="0.35">
      <c r="A10" s="11" t="s">
        <v>59</v>
      </c>
      <c r="B10" s="11"/>
      <c r="C10" s="11"/>
      <c r="D10" s="11"/>
      <c r="E10" s="10">
        <f>COUNTIF('Holding Monitor'!AB4:AB23,"*ACTION REQUIRED*")</f>
        <v>0</v>
      </c>
      <c r="F10" s="10"/>
    </row>
    <row r="11" spans="1:6" ht="15" customHeight="1" x14ac:dyDescent="0.35">
      <c r="A11" s="11" t="s">
        <v>60</v>
      </c>
      <c r="B11" s="11"/>
      <c r="C11" s="11"/>
      <c r="D11" s="11"/>
      <c r="E11" s="10">
        <f>COUNTIF('Holding Monitor'!AB4:AB23,"*Hold Through*")</f>
        <v>0</v>
      </c>
      <c r="F11" s="10"/>
    </row>
    <row r="12" spans="1:6" ht="15" customHeight="1" x14ac:dyDescent="0.35">
      <c r="A12" s="25"/>
      <c r="B12" s="25"/>
      <c r="C12" s="25"/>
      <c r="D12" s="25"/>
    </row>
    <row r="13" spans="1:6" ht="15" customHeight="1" x14ac:dyDescent="0.35">
      <c r="A13" s="12" t="s">
        <v>61</v>
      </c>
      <c r="B13" s="12"/>
      <c r="C13" s="12"/>
      <c r="D13" s="12"/>
      <c r="E13" s="12"/>
      <c r="F13" s="12"/>
    </row>
    <row r="14" spans="1:6" ht="15" customHeight="1" x14ac:dyDescent="0.35">
      <c r="A14" s="11" t="s">
        <v>62</v>
      </c>
      <c r="B14" s="11"/>
      <c r="C14" s="11"/>
      <c r="D14" s="11"/>
      <c r="E14" s="9" t="str">
        <f>'Correlation Matrix'!J3</f>
        <v>REVIEW REQUIRED</v>
      </c>
      <c r="F14" s="9"/>
    </row>
    <row r="15" spans="1:6" ht="15" customHeight="1" x14ac:dyDescent="0.35">
      <c r="A15" s="11" t="s">
        <v>63</v>
      </c>
      <c r="B15" s="11"/>
      <c r="C15" s="11"/>
      <c r="D15" s="11"/>
      <c r="E15" s="8">
        <f>'Correlation Matrix'!J2</f>
        <v>11</v>
      </c>
      <c r="F15" s="8"/>
    </row>
    <row r="16" spans="1:6" ht="15" customHeight="1" x14ac:dyDescent="0.35">
      <c r="A16" s="25"/>
      <c r="B16" s="25"/>
      <c r="C16" s="25"/>
      <c r="D16" s="25"/>
    </row>
    <row r="17" spans="1:6" ht="15" customHeight="1" x14ac:dyDescent="0.35">
      <c r="A17" s="12" t="s">
        <v>64</v>
      </c>
      <c r="B17" s="12"/>
      <c r="C17" s="12"/>
      <c r="D17" s="12"/>
      <c r="E17" s="12"/>
      <c r="F17" s="12"/>
    </row>
    <row r="18" spans="1:6" ht="15" customHeight="1" x14ac:dyDescent="0.35">
      <c r="A18" s="11" t="s">
        <v>65</v>
      </c>
      <c r="B18" s="11"/>
      <c r="C18" s="11"/>
      <c r="D18" s="11"/>
      <c r="E18" s="10" t="str">
        <f>IFERROR(INDEX('Portfolio Drawdown Log'!E3:E42,COUNT('Portfolio Drawdown Log'!D3:D42)),"No entries yet")</f>
        <v>Normal</v>
      </c>
      <c r="F18" s="10"/>
    </row>
    <row r="19" spans="1:6" ht="15" customHeight="1" x14ac:dyDescent="0.35">
      <c r="A19" s="11" t="s">
        <v>66</v>
      </c>
      <c r="B19" s="11"/>
      <c r="C19" s="11"/>
      <c r="D19" s="11"/>
      <c r="E19" s="7">
        <f>IFERROR(INDEX('Portfolio Drawdown Log'!D3:D42,COUNT('Portfolio Drawdown Log'!D3:D42)),"")</f>
        <v>-1.2866310610887499E-2</v>
      </c>
      <c r="F19" s="7"/>
    </row>
    <row r="20" spans="1:6" ht="15" customHeight="1" x14ac:dyDescent="0.35">
      <c r="A20" s="11" t="s">
        <v>67</v>
      </c>
      <c r="B20" s="11"/>
      <c r="C20" s="11"/>
      <c r="D20" s="11"/>
      <c r="E20" s="10" t="str">
        <f>IFERROR(INDEX('Portfolio Drawdown Log'!F3:F42,COUNT('Portfolio Drawdown Log'!D3:D42)),"")</f>
        <v>5-15%</v>
      </c>
      <c r="F20" s="10"/>
    </row>
    <row r="21" spans="1:6" ht="15" customHeight="1" x14ac:dyDescent="0.35">
      <c r="A21" s="25"/>
      <c r="B21" s="25"/>
      <c r="C21" s="25"/>
      <c r="D21" s="25"/>
    </row>
    <row r="22" spans="1:6" ht="15" customHeight="1" x14ac:dyDescent="0.35">
      <c r="A22" s="12" t="s">
        <v>68</v>
      </c>
      <c r="B22" s="12"/>
      <c r="C22" s="12"/>
      <c r="D22" s="12"/>
      <c r="E22" s="12"/>
      <c r="F22" s="12"/>
    </row>
    <row r="23" spans="1:6" ht="15" customHeight="1" x14ac:dyDescent="0.35">
      <c r="A23" s="11" t="s">
        <v>69</v>
      </c>
      <c r="B23" s="11"/>
      <c r="C23" s="11"/>
      <c r="D23" s="11"/>
      <c r="E23" s="10">
        <f>COUNTIF(Scoring!AH3:AH60,"FAIL")</f>
        <v>19</v>
      </c>
      <c r="F23" s="10"/>
    </row>
    <row r="24" spans="1:6" ht="15" customHeight="1" x14ac:dyDescent="0.35">
      <c r="A24" s="11" t="s">
        <v>70</v>
      </c>
      <c r="B24" s="11"/>
      <c r="C24" s="11"/>
      <c r="D24" s="11"/>
      <c r="E24" s="10">
        <f>COUNTIF(Scoring!AJ3:AJ60,"AVOID")</f>
        <v>21</v>
      </c>
      <c r="F24" s="10"/>
    </row>
    <row r="25" spans="1:6" ht="15" customHeight="1" x14ac:dyDescent="0.35">
      <c r="A25" s="11" t="s">
        <v>71</v>
      </c>
      <c r="B25" s="11"/>
      <c r="C25" s="11"/>
      <c r="D25" s="11"/>
      <c r="E25" s="10">
        <f>COUNTIF(Scoring!AI3:AI60,"REVIEW")</f>
        <v>14</v>
      </c>
      <c r="F25" s="10"/>
    </row>
    <row r="26" spans="1:6" ht="15" customHeight="1" x14ac:dyDescent="0.35">
      <c r="A26" s="11" t="s">
        <v>72</v>
      </c>
      <c r="B26" s="11"/>
      <c r="C26" s="11"/>
      <c r="D26" s="11"/>
      <c r="E26" s="10">
        <f>COUNTIF(Scoring!AK3:AK60,"CAP AT BUY")</f>
        <v>0</v>
      </c>
      <c r="F26" s="10"/>
    </row>
    <row r="27" spans="1:6" ht="15" customHeight="1" x14ac:dyDescent="0.35">
      <c r="A27" s="12" t="s">
        <v>73</v>
      </c>
      <c r="B27" s="12"/>
      <c r="C27" s="12"/>
      <c r="D27" s="12"/>
      <c r="E27" s="12"/>
      <c r="F27" s="12"/>
    </row>
    <row r="28" spans="1:6" ht="15" customHeight="1" x14ac:dyDescent="0.35">
      <c r="A28" s="6" t="s">
        <v>74</v>
      </c>
      <c r="B28" s="6"/>
      <c r="C28" s="6"/>
      <c r="D28" s="6"/>
      <c r="E28" s="10">
        <f>COUNTIF('Entry Checklist'!R3:R47,"NO*")</f>
        <v>1</v>
      </c>
      <c r="F28" s="10"/>
    </row>
    <row r="29" spans="1:6" ht="15" customHeight="1" x14ac:dyDescent="0.35">
      <c r="A29" s="6" t="s">
        <v>75</v>
      </c>
      <c r="B29" s="6"/>
      <c r="C29" s="6"/>
      <c r="D29" s="6"/>
      <c r="E29" s="10">
        <f>COUNTIF('Entry Checklist'!H3:H47,"*50%*")</f>
        <v>0</v>
      </c>
      <c r="F29" s="10"/>
    </row>
    <row r="30" spans="1:6" ht="15" customHeight="1" x14ac:dyDescent="0.35">
      <c r="A30" s="25"/>
      <c r="B30" s="25"/>
      <c r="C30" s="25"/>
      <c r="D30" s="25"/>
    </row>
    <row r="31" spans="1:6" ht="55.5" customHeight="1" x14ac:dyDescent="0.35">
      <c r="A31" s="5" t="s">
        <v>76</v>
      </c>
      <c r="B31" s="5"/>
      <c r="C31" s="5"/>
      <c r="D31" s="5"/>
      <c r="E31" s="5"/>
      <c r="F31" s="5"/>
    </row>
    <row r="32" spans="1:6" ht="29.25" customHeight="1" x14ac:dyDescent="0.35">
      <c r="A32" s="4" t="s">
        <v>77</v>
      </c>
      <c r="B32" s="4"/>
      <c r="C32" s="4"/>
      <c r="D32" s="4"/>
      <c r="E32" s="10">
        <f>COUNTIF(Scoring!AP3:AP60,"LOW CONF")</f>
        <v>2</v>
      </c>
      <c r="F32" s="10"/>
    </row>
    <row r="33" spans="1:6" ht="15" customHeight="1" x14ac:dyDescent="0.35">
      <c r="A33" s="11" t="s">
        <v>78</v>
      </c>
      <c r="B33" s="11"/>
      <c r="C33" s="11"/>
      <c r="D33" s="11"/>
      <c r="E33" s="10">
        <f>COUNTIF(Scoring!AS3:AS60,"Increased")</f>
        <v>5</v>
      </c>
      <c r="F33" s="10"/>
    </row>
    <row r="34" spans="1:6" ht="15" customHeight="1" x14ac:dyDescent="0.35">
      <c r="A34" s="25"/>
      <c r="B34" s="25"/>
      <c r="C34" s="25"/>
      <c r="D34" s="25"/>
    </row>
    <row r="35" spans="1:6" ht="15" customHeight="1" x14ac:dyDescent="0.35">
      <c r="A35" s="25"/>
      <c r="B35" s="25"/>
      <c r="C35" s="25"/>
      <c r="D35" s="25"/>
    </row>
    <row r="36" spans="1:6" ht="15" customHeight="1" x14ac:dyDescent="0.35">
      <c r="A36" s="25"/>
      <c r="B36" s="25"/>
      <c r="C36" s="25"/>
      <c r="D36" s="25"/>
    </row>
    <row r="37" spans="1:6" ht="15" customHeight="1" x14ac:dyDescent="0.35">
      <c r="A37" s="25"/>
      <c r="B37" s="25"/>
      <c r="C37" s="25"/>
      <c r="D37" s="25"/>
    </row>
    <row r="38" spans="1:6" ht="15" customHeight="1" x14ac:dyDescent="0.35">
      <c r="A38" s="25"/>
      <c r="B38" s="25"/>
      <c r="C38" s="25"/>
      <c r="D38" s="25"/>
    </row>
    <row r="39" spans="1:6" ht="15" customHeight="1" x14ac:dyDescent="0.35">
      <c r="A39" s="25"/>
      <c r="B39" s="25"/>
      <c r="C39" s="25"/>
      <c r="D39" s="25"/>
    </row>
    <row r="40" spans="1:6" ht="15" customHeight="1" x14ac:dyDescent="0.35">
      <c r="A40" s="25"/>
      <c r="B40" s="25"/>
      <c r="C40" s="25"/>
      <c r="D40" s="25"/>
    </row>
    <row r="41" spans="1:6" ht="15" customHeight="1" x14ac:dyDescent="0.35">
      <c r="A41" s="25"/>
      <c r="B41" s="25"/>
      <c r="C41" s="25"/>
      <c r="D41" s="25"/>
    </row>
    <row r="42" spans="1:6" ht="15" customHeight="1" x14ac:dyDescent="0.35">
      <c r="A42" s="25"/>
      <c r="B42" s="25"/>
      <c r="C42" s="25"/>
      <c r="D42" s="25"/>
    </row>
    <row r="43" spans="1:6" ht="15" customHeight="1" x14ac:dyDescent="0.35">
      <c r="A43" s="25"/>
      <c r="B43" s="25"/>
      <c r="C43" s="25"/>
      <c r="D43" s="25"/>
    </row>
  </sheetData>
  <mergeCells count="45">
    <mergeCell ref="A32:D32"/>
    <mergeCell ref="E32:F32"/>
    <mergeCell ref="A33:D33"/>
    <mergeCell ref="E33:F33"/>
    <mergeCell ref="A28:D28"/>
    <mergeCell ref="E28:F28"/>
    <mergeCell ref="A29:D29"/>
    <mergeCell ref="E29:F29"/>
    <mergeCell ref="A31:F31"/>
    <mergeCell ref="A25:D25"/>
    <mergeCell ref="E25:F25"/>
    <mergeCell ref="A26:D26"/>
    <mergeCell ref="E26:F26"/>
    <mergeCell ref="A27:F27"/>
    <mergeCell ref="A22:F22"/>
    <mergeCell ref="A23:D23"/>
    <mergeCell ref="E23:F23"/>
    <mergeCell ref="A24:D24"/>
    <mergeCell ref="E24:F24"/>
    <mergeCell ref="A18:D18"/>
    <mergeCell ref="E18:F18"/>
    <mergeCell ref="A19:D19"/>
    <mergeCell ref="E19:F19"/>
    <mergeCell ref="A20:D20"/>
    <mergeCell ref="E20:F20"/>
    <mergeCell ref="A14:D14"/>
    <mergeCell ref="E14:F14"/>
    <mergeCell ref="A15:D15"/>
    <mergeCell ref="E15:F15"/>
    <mergeCell ref="A17:F17"/>
    <mergeCell ref="A10:D10"/>
    <mergeCell ref="E10:F10"/>
    <mergeCell ref="A11:D11"/>
    <mergeCell ref="E11:F11"/>
    <mergeCell ref="A13:F13"/>
    <mergeCell ref="A6:D6"/>
    <mergeCell ref="E6:F6"/>
    <mergeCell ref="A7:D7"/>
    <mergeCell ref="E7:F7"/>
    <mergeCell ref="A9:F9"/>
    <mergeCell ref="A1:F1"/>
    <mergeCell ref="A2:F2"/>
    <mergeCell ref="A4:F4"/>
    <mergeCell ref="A5:D5"/>
    <mergeCell ref="E5:F5"/>
  </mergeCells>
  <conditionalFormatting sqref="E5">
    <cfRule type="cellIs" dxfId="120" priority="2" operator="greaterThan">
      <formula>0</formula>
    </cfRule>
  </conditionalFormatting>
  <conditionalFormatting sqref="E10">
    <cfRule type="cellIs" dxfId="119" priority="3" operator="greaterThan">
      <formula>0</formula>
    </cfRule>
  </conditionalFormatting>
  <conditionalFormatting sqref="E23:E24">
    <cfRule type="cellIs" dxfId="118" priority="4" operator="greaterThan">
      <formula>0</formula>
    </cfRule>
  </conditionalFormatting>
  <conditionalFormatting sqref="E28">
    <cfRule type="cellIs" dxfId="117" priority="5" operator="greaterThan">
      <formula>0</formula>
    </cfRule>
  </conditionalFormatting>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2"/>
  <sheetViews>
    <sheetView tabSelected="1" zoomScaleNormal="100" workbookViewId="0">
      <pane xSplit="2" ySplit="2" topLeftCell="C12" activePane="bottomRight" state="frozen"/>
      <selection pane="topRight" activeCell="C1" sqref="C1"/>
      <selection pane="bottomLeft" activeCell="A3" sqref="A3"/>
      <selection pane="bottomRight" activeCell="M41" sqref="M41"/>
    </sheetView>
  </sheetViews>
  <sheetFormatPr defaultColWidth="8.6328125" defaultRowHeight="14.5" outlineLevelRow="2" x14ac:dyDescent="0.35"/>
  <cols>
    <col min="1" max="1" width="11" customWidth="1"/>
    <col min="2" max="2" width="9" style="27" customWidth="1"/>
    <col min="3" max="3" width="26.1796875" customWidth="1"/>
    <col min="4" max="4" width="11.1796875" style="27" customWidth="1"/>
    <col min="5" max="5" width="9.1796875" customWidth="1"/>
    <col min="6" max="6" width="10" style="28" customWidth="1"/>
    <col min="7" max="7" width="13.6328125" customWidth="1"/>
    <col min="8" max="8" width="13" customWidth="1"/>
    <col min="9" max="9" width="9.81640625" customWidth="1"/>
    <col min="10" max="10" width="11" style="27" customWidth="1"/>
    <col min="11" max="11" width="6.54296875" style="27" customWidth="1"/>
    <col min="12" max="12" width="10.54296875" style="27" customWidth="1"/>
    <col min="13" max="13" width="34" customWidth="1"/>
    <col min="15" max="15" width="26" customWidth="1"/>
    <col min="16" max="16" width="13" customWidth="1"/>
  </cols>
  <sheetData>
    <row r="1" spans="1:16" ht="52.5" customHeight="1" x14ac:dyDescent="0.35">
      <c r="A1" s="3" t="s">
        <v>79</v>
      </c>
      <c r="B1" s="3"/>
      <c r="C1" s="3"/>
      <c r="D1" s="3"/>
      <c r="E1" s="3"/>
      <c r="F1" s="3"/>
      <c r="G1" s="3"/>
      <c r="H1" s="3"/>
      <c r="I1" s="3"/>
      <c r="J1" s="3"/>
      <c r="K1" s="3"/>
      <c r="L1" s="3"/>
      <c r="M1" s="3"/>
      <c r="O1" s="2" t="s">
        <v>80</v>
      </c>
      <c r="P1" s="2"/>
    </row>
    <row r="2" spans="1:16" ht="26.25" customHeight="1" x14ac:dyDescent="0.35">
      <c r="A2" s="29" t="s">
        <v>81</v>
      </c>
      <c r="B2" s="29" t="s">
        <v>82</v>
      </c>
      <c r="C2" s="29" t="s">
        <v>83</v>
      </c>
      <c r="D2" s="29" t="s">
        <v>84</v>
      </c>
      <c r="E2" s="29" t="s">
        <v>85</v>
      </c>
      <c r="F2" s="29" t="s">
        <v>86</v>
      </c>
      <c r="G2" s="29" t="s">
        <v>87</v>
      </c>
      <c r="H2" s="29" t="s">
        <v>88</v>
      </c>
      <c r="I2" s="29" t="s">
        <v>89</v>
      </c>
      <c r="J2" s="29" t="s">
        <v>90</v>
      </c>
      <c r="K2" s="29" t="s">
        <v>974</v>
      </c>
      <c r="L2" s="29" t="s">
        <v>975</v>
      </c>
      <c r="M2" s="29" t="s">
        <v>91</v>
      </c>
      <c r="O2" t="s">
        <v>92</v>
      </c>
    </row>
    <row r="3" spans="1:16" ht="15" customHeight="1" x14ac:dyDescent="0.35">
      <c r="A3" s="30" t="s">
        <v>93</v>
      </c>
      <c r="B3" s="31" t="s">
        <v>94</v>
      </c>
      <c r="C3" s="32" t="s">
        <v>95</v>
      </c>
      <c r="D3" s="33" t="s">
        <v>96</v>
      </c>
      <c r="E3" s="274">
        <v>65</v>
      </c>
      <c r="F3" s="34" vm="1">
        <f ca="1">IF(IFERROR(INDEX('Monitor &amp; Recheck Triggers'!$H$3:$H$51,MATCH($B3,'Monitor &amp; Recheck Triggers'!$A$3:$A$51,0)),"")="",237.69,INDEX('Monitor &amp; Recheck Triggers'!$H$3:$H$51,MATCH($B3,'Monitor &amp; Recheck Triggers'!$A$3:$A$51,0)))</f>
        <v>238.785</v>
      </c>
      <c r="G3" s="35">
        <f t="shared" ref="G3:G23" ca="1" si="0">E3*F3</f>
        <v>15521.025</v>
      </c>
      <c r="H3" s="36">
        <v>19163.84</v>
      </c>
      <c r="I3" s="37">
        <f t="shared" ref="I3:I23" ca="1" si="1">G3-H3</f>
        <v>-3642.8150000000005</v>
      </c>
      <c r="J3" s="38">
        <f t="shared" ref="J3:J23" ca="1" si="2">IF(H3=0,"",G3/H3-1)</f>
        <v>-0.19008794688329689</v>
      </c>
      <c r="K3" s="38">
        <f ca="1">IFERROR(G3/SUM(G3:G23),"")</f>
        <v>3.7640147396893857E-2</v>
      </c>
      <c r="L3" s="38">
        <f ca="1">IFERROR(G3/(SUM(G3:G23,G27:G46)),"")</f>
        <v>2.1292310426574784E-2</v>
      </c>
      <c r="M3" s="30" t="s">
        <v>97</v>
      </c>
      <c r="O3" t="s">
        <v>98</v>
      </c>
    </row>
    <row r="4" spans="1:16" ht="15" customHeight="1" x14ac:dyDescent="0.35">
      <c r="A4" s="30" t="s">
        <v>93</v>
      </c>
      <c r="B4" s="31" t="s">
        <v>99</v>
      </c>
      <c r="C4" s="32" t="s">
        <v>100</v>
      </c>
      <c r="D4" s="33" t="s">
        <v>96</v>
      </c>
      <c r="E4" s="274">
        <v>70</v>
      </c>
      <c r="F4" s="34" vm="2">
        <f ca="1">IF(IFERROR(INDEX('Monitor &amp; Recheck Triggers'!$H$3:$H$51,MATCH($B4,'Monitor &amp; Recheck Triggers'!$A$3:$A$51,0)),"")="",207.35,INDEX('Monitor &amp; Recheck Triggers'!$H$3:$H$51,MATCH($B4,'Monitor &amp; Recheck Triggers'!$A$3:$A$51,0)))</f>
        <v>206.9</v>
      </c>
      <c r="G4" s="35">
        <f t="shared" ca="1" si="0"/>
        <v>14483</v>
      </c>
      <c r="H4" s="36">
        <v>10182.200000000001</v>
      </c>
      <c r="I4" s="37">
        <f t="shared" ca="1" si="1"/>
        <v>4300.7999999999993</v>
      </c>
      <c r="J4" s="38">
        <f t="shared" ca="1" si="2"/>
        <v>0.42238416059397754</v>
      </c>
      <c r="K4" s="38">
        <f ca="1">IFERROR(G4/SUM(G3:G23),"")</f>
        <v>3.5122825634854249E-2</v>
      </c>
      <c r="L4" s="38">
        <f ca="1">IFERROR(G4/(SUM(G3:G23,G27:G46)),"")</f>
        <v>1.9868309722333583E-2</v>
      </c>
      <c r="M4" s="30"/>
    </row>
    <row r="5" spans="1:16" ht="15" customHeight="1" x14ac:dyDescent="0.35">
      <c r="A5" s="30" t="s">
        <v>93</v>
      </c>
      <c r="B5" s="31" t="s">
        <v>101</v>
      </c>
      <c r="C5" s="32" t="s">
        <v>102</v>
      </c>
      <c r="D5" s="33" t="s">
        <v>96</v>
      </c>
      <c r="E5" s="274">
        <v>7</v>
      </c>
      <c r="F5" s="34" vm="3">
        <f ca="1">IF(IFERROR(INDEX('Monitor &amp; Recheck Triggers'!$H$3:$H$51,MATCH($B5,'Monitor &amp; Recheck Triggers'!$A$3:$A$51,0)),"")="",1867.31,INDEX('Monitor &amp; Recheck Triggers'!$H$3:$H$51,MATCH($B5,'Monitor &amp; Recheck Triggers'!$A$3:$A$51,0)))</f>
        <v>1859.86</v>
      </c>
      <c r="G5" s="35">
        <f t="shared" ca="1" si="0"/>
        <v>13019.019999999999</v>
      </c>
      <c r="H5" s="36">
        <v>9989.8799999999992</v>
      </c>
      <c r="I5" s="37">
        <f t="shared" ca="1" si="1"/>
        <v>3029.1399999999994</v>
      </c>
      <c r="J5" s="38">
        <f t="shared" ca="1" si="2"/>
        <v>0.3032208595098238</v>
      </c>
      <c r="K5" s="38">
        <f ca="1">IFERROR(G5/SUM(G3:G23),"")</f>
        <v>3.1572517392576133E-2</v>
      </c>
      <c r="L5" s="38">
        <f ca="1">IFERROR(G5/(SUM(G3:G23,G27:G46)),"")</f>
        <v>1.7859968351947478E-2</v>
      </c>
      <c r="M5" s="30"/>
    </row>
    <row r="6" spans="1:16" ht="15" customHeight="1" x14ac:dyDescent="0.35">
      <c r="A6" s="30" t="s">
        <v>93</v>
      </c>
      <c r="B6" s="31" t="s">
        <v>103</v>
      </c>
      <c r="C6" s="32" t="s">
        <v>104</v>
      </c>
      <c r="D6" s="33" t="s">
        <v>96</v>
      </c>
      <c r="E6" s="274">
        <v>40</v>
      </c>
      <c r="F6" s="34" vm="4">
        <f ca="1">IF(IFERROR(INDEX('Monitor &amp; Recheck Triggers'!$H$3:$H$51,MATCH($B6,'Monitor &amp; Recheck Triggers'!$A$3:$A$51,0)),"")="",270.04,INDEX('Monitor &amp; Recheck Triggers'!$H$3:$H$51,MATCH($B6,'Monitor &amp; Recheck Triggers'!$A$3:$A$51,0)))</f>
        <v>272.67</v>
      </c>
      <c r="G6" s="35">
        <f t="shared" ca="1" si="0"/>
        <v>10906.800000000001</v>
      </c>
      <c r="H6" s="36">
        <v>4991.3500000000004</v>
      </c>
      <c r="I6" s="37">
        <f t="shared" ca="1" si="1"/>
        <v>5915.4500000000007</v>
      </c>
      <c r="J6" s="38">
        <f t="shared" ca="1" si="2"/>
        <v>1.1851402927063819</v>
      </c>
      <c r="K6" s="38">
        <f ca="1">IFERROR(G6/SUM(G3:G23),"")</f>
        <v>2.6450157745924765E-2</v>
      </c>
      <c r="L6" s="38">
        <f ca="1">IFERROR(G6/(SUM(G3:G23,G27:G46)),"")</f>
        <v>1.4962347613032379E-2</v>
      </c>
      <c r="M6" s="30"/>
    </row>
    <row r="7" spans="1:16" ht="15" customHeight="1" x14ac:dyDescent="0.35">
      <c r="A7" s="30" t="s">
        <v>93</v>
      </c>
      <c r="B7" s="31" t="s">
        <v>105</v>
      </c>
      <c r="C7" s="32" t="s">
        <v>106</v>
      </c>
      <c r="D7" s="33" t="s">
        <v>96</v>
      </c>
      <c r="E7" s="274">
        <v>100</v>
      </c>
      <c r="F7" s="34" vm="5">
        <f ca="1">IF(IFERROR(INDEX('Monitor &amp; Recheck Triggers'!$H$3:$H$51,MATCH($B7,'Monitor &amp; Recheck Triggers'!$A$3:$A$51,0)),"")="",206.89,INDEX('Monitor &amp; Recheck Triggers'!$H$3:$H$51,MATCH($B7,'Monitor &amp; Recheck Triggers'!$A$3:$A$51,0)))</f>
        <v>206.85</v>
      </c>
      <c r="G7" s="35">
        <f t="shared" ca="1" si="0"/>
        <v>20685</v>
      </c>
      <c r="H7" s="36">
        <v>15412.54</v>
      </c>
      <c r="I7" s="37">
        <f t="shared" ca="1" si="1"/>
        <v>5272.4599999999991</v>
      </c>
      <c r="J7" s="38">
        <f t="shared" ca="1" si="2"/>
        <v>0.3420889743027431</v>
      </c>
      <c r="K7" s="38">
        <f ca="1">IFERROR(G7/SUM(G3:G23),"")</f>
        <v>5.0163339657319631E-2</v>
      </c>
      <c r="L7" s="38">
        <f ca="1">IFERROR(G7/(SUM(G3:G23,G27:G46)),"")</f>
        <v>2.8376440420249269E-2</v>
      </c>
      <c r="M7" s="30"/>
    </row>
    <row r="8" spans="1:16" ht="15" customHeight="1" x14ac:dyDescent="0.35">
      <c r="A8" s="30" t="s">
        <v>93</v>
      </c>
      <c r="B8" s="31" t="s">
        <v>107</v>
      </c>
      <c r="C8" s="32" t="s">
        <v>108</v>
      </c>
      <c r="D8" s="33" t="s">
        <v>96</v>
      </c>
      <c r="E8" s="274">
        <v>7</v>
      </c>
      <c r="F8" s="34" vm="6">
        <f ca="1">IF(IFERROR(INDEX('Monitor &amp; Recheck Triggers'!$H$3:$H$51,MATCH($B8,'Monitor &amp; Recheck Triggers'!$A$3:$A$51,0)),"")="",1074.89,INDEX('Monitor &amp; Recheck Triggers'!$H$3:$H$51,MATCH($B8,'Monitor &amp; Recheck Triggers'!$A$3:$A$51,0)))</f>
        <v>1063.96</v>
      </c>
      <c r="G8" s="35">
        <f t="shared" ca="1" si="0"/>
        <v>7447.72</v>
      </c>
      <c r="H8" s="36">
        <v>5836.11</v>
      </c>
      <c r="I8" s="37">
        <f t="shared" ca="1" si="1"/>
        <v>1611.6100000000006</v>
      </c>
      <c r="J8" s="38">
        <f t="shared" ca="1" si="2"/>
        <v>0.27614455519172876</v>
      </c>
      <c r="K8" s="38">
        <f ca="1">IFERROR(G8/SUM(G3:G23),"")</f>
        <v>1.8061518396548831E-2</v>
      </c>
      <c r="L8" s="38">
        <f ca="1">IFERROR(G8/(SUM(G3:G23,G27:G46)),"")</f>
        <v>1.0217055008300648E-2</v>
      </c>
      <c r="M8" s="30"/>
    </row>
    <row r="9" spans="1:16" ht="15" customHeight="1" x14ac:dyDescent="0.35">
      <c r="A9" s="30" t="s">
        <v>93</v>
      </c>
      <c r="B9" s="31" t="s">
        <v>109</v>
      </c>
      <c r="C9" s="32" t="s">
        <v>110</v>
      </c>
      <c r="D9" s="33" t="s">
        <v>96</v>
      </c>
      <c r="E9" s="274">
        <v>155</v>
      </c>
      <c r="F9" s="34" vm="7">
        <f ca="1">IF(IFERROR(INDEX('Monitor &amp; Recheck Triggers'!$H$3:$H$51,MATCH($B9,'Monitor &amp; Recheck Triggers'!$A$3:$A$51,0)),"")="",233.95,INDEX('Monitor &amp; Recheck Triggers'!$H$3:$H$51,MATCH($B9,'Monitor &amp; Recheck Triggers'!$A$3:$A$51,0)))</f>
        <v>238.9</v>
      </c>
      <c r="G9" s="35">
        <f t="shared" ca="1" si="0"/>
        <v>37029.5</v>
      </c>
      <c r="H9" s="36">
        <v>26639.79</v>
      </c>
      <c r="I9" s="37">
        <f t="shared" ca="1" si="1"/>
        <v>10389.709999999999</v>
      </c>
      <c r="J9" s="38">
        <f t="shared" ca="1" si="2"/>
        <v>0.39000720351023777</v>
      </c>
      <c r="K9" s="38">
        <f ca="1">IFERROR(G9/SUM(G3:G23),"")</f>
        <v>8.9800502095272766E-2</v>
      </c>
      <c r="L9" s="38">
        <f ca="1">IFERROR(G9/(SUM(G3:G23,G27:G46)),"")</f>
        <v>5.0798424004912753E-2</v>
      </c>
      <c r="M9" s="30"/>
    </row>
    <row r="10" spans="1:16" ht="15" customHeight="1" x14ac:dyDescent="0.35">
      <c r="A10" s="30" t="s">
        <v>93</v>
      </c>
      <c r="B10" s="31" t="s">
        <v>111</v>
      </c>
      <c r="C10" s="32" t="s">
        <v>112</v>
      </c>
      <c r="D10" s="33" t="s">
        <v>96</v>
      </c>
      <c r="E10" s="274">
        <v>70</v>
      </c>
      <c r="F10" s="34" vm="8">
        <f ca="1">IF(IFERROR(INDEX('Monitor &amp; Recheck Triggers'!$H$3:$H$51,MATCH($B10,'Monitor &amp; Recheck Triggers'!$A$3:$A$51,0)),"")="",188.75,INDEX('Monitor &amp; Recheck Triggers'!$H$3:$H$51,MATCH($B10,'Monitor &amp; Recheck Triggers'!$A$3:$A$51,0)))</f>
        <v>189.4</v>
      </c>
      <c r="G10" s="35">
        <f t="shared" ca="1" si="0"/>
        <v>13258</v>
      </c>
      <c r="H10" s="36">
        <v>11612.3</v>
      </c>
      <c r="I10" s="37">
        <f t="shared" ca="1" si="1"/>
        <v>1645.7000000000007</v>
      </c>
      <c r="J10" s="38">
        <f t="shared" ca="1" si="2"/>
        <v>0.14172041714389061</v>
      </c>
      <c r="K10" s="38">
        <f ca="1">IFERROR(G10/SUM(G3:G23),"")</f>
        <v>3.215206947917542E-2</v>
      </c>
      <c r="L10" s="38">
        <f ca="1">IFERROR(G10/(SUM(G3:G23,G27:G46)),"")</f>
        <v>1.8187809866650462E-2</v>
      </c>
      <c r="M10" s="30"/>
    </row>
    <row r="11" spans="1:16" ht="15" customHeight="1" x14ac:dyDescent="0.35">
      <c r="A11" s="30" t="s">
        <v>93</v>
      </c>
      <c r="B11" s="31" t="s">
        <v>113</v>
      </c>
      <c r="C11" s="32" t="s">
        <v>114</v>
      </c>
      <c r="D11" s="33" t="s">
        <v>96</v>
      </c>
      <c r="E11" s="274">
        <v>25</v>
      </c>
      <c r="F11" s="34" vm="9">
        <f ca="1">IF(IFERROR(INDEX('Monitor &amp; Recheck Triggers'!$H$3:$H$51,MATCH($B11,'Monitor &amp; Recheck Triggers'!$A$3:$A$51,0)),"")="",472.78,INDEX('Monitor &amp; Recheck Triggers'!$H$3:$H$51,MATCH($B11,'Monitor &amp; Recheck Triggers'!$A$3:$A$51,0)))</f>
        <v>485.8</v>
      </c>
      <c r="G11" s="35">
        <f t="shared" ca="1" si="0"/>
        <v>12145</v>
      </c>
      <c r="H11" s="36">
        <v>6069.64</v>
      </c>
      <c r="I11" s="37">
        <f t="shared" ca="1" si="1"/>
        <v>6075.36</v>
      </c>
      <c r="J11" s="38">
        <f t="shared" ca="1" si="2"/>
        <v>1.0009423952656169</v>
      </c>
      <c r="K11" s="38">
        <f ca="1">IFERROR(G11/SUM(G3:G23),"")</f>
        <v>2.9452925314872945E-2</v>
      </c>
      <c r="L11" s="38">
        <f ca="1">IFERROR(G11/(SUM(G3:G23,G27:G46)),"")</f>
        <v>1.6660955712058369E-2</v>
      </c>
      <c r="M11" s="30"/>
    </row>
    <row r="12" spans="1:16" ht="15" customHeight="1" x14ac:dyDescent="0.35">
      <c r="A12" s="30" t="s">
        <v>93</v>
      </c>
      <c r="B12" s="31" t="s">
        <v>115</v>
      </c>
      <c r="C12" s="32" t="s">
        <v>116</v>
      </c>
      <c r="D12" s="33" t="s">
        <v>96</v>
      </c>
      <c r="E12" s="274">
        <v>30</v>
      </c>
      <c r="F12" s="34" vm="10">
        <f ca="1">IF(IFERROR(INDEX('Monitor &amp; Recheck Triggers'!$H$3:$H$51,MATCH($B12,'Monitor &amp; Recheck Triggers'!$A$3:$A$51,0)),"")="",252.18,INDEX('Monitor &amp; Recheck Triggers'!$H$3:$H$51,MATCH($B12,'Monitor &amp; Recheck Triggers'!$A$3:$A$51,0)))</f>
        <v>253.62</v>
      </c>
      <c r="G12" s="35">
        <f t="shared" ca="1" si="0"/>
        <v>7608.6</v>
      </c>
      <c r="H12" s="36">
        <v>7876.8</v>
      </c>
      <c r="I12" s="37">
        <f t="shared" ca="1" si="1"/>
        <v>-268.19999999999982</v>
      </c>
      <c r="J12" s="38">
        <f t="shared" ca="1" si="2"/>
        <v>-3.4049360146252261E-2</v>
      </c>
      <c r="K12" s="38">
        <f ca="1">IFERROR(G12/SUM(G3:G23),"")</f>
        <v>1.8451669621304432E-2</v>
      </c>
      <c r="L12" s="38">
        <f ca="1">IFERROR(G12/(SUM(G3:G23,G27:G46)),"")</f>
        <v>1.0437756083224975E-2</v>
      </c>
      <c r="M12" s="30"/>
    </row>
    <row r="13" spans="1:16" ht="15" customHeight="1" x14ac:dyDescent="0.35">
      <c r="A13" s="30" t="s">
        <v>93</v>
      </c>
      <c r="B13" s="31" t="s">
        <v>117</v>
      </c>
      <c r="C13" s="32" t="s">
        <v>118</v>
      </c>
      <c r="D13" s="33" t="s">
        <v>96</v>
      </c>
      <c r="E13" s="274">
        <v>50</v>
      </c>
      <c r="F13" s="34" vm="11">
        <f ca="1">IF(IFERROR(INDEX('Monitor &amp; Recheck Triggers'!$H$3:$H$51,MATCH($B13,'Monitor &amp; Recheck Triggers'!$A$3:$A$51,0)),"")="",360.66,INDEX('Monitor &amp; Recheck Triggers'!$H$3:$H$51,MATCH($B13,'Monitor &amp; Recheck Triggers'!$A$3:$A$51,0)))</f>
        <v>369.71</v>
      </c>
      <c r="G13" s="35">
        <f t="shared" ca="1" si="0"/>
        <v>18485.5</v>
      </c>
      <c r="H13" s="36">
        <v>18448.63</v>
      </c>
      <c r="I13" s="37">
        <f t="shared" ca="1" si="1"/>
        <v>36.869999999998981</v>
      </c>
      <c r="J13" s="38">
        <f t="shared" ca="1" si="2"/>
        <v>1.9985223835048416E-3</v>
      </c>
      <c r="K13" s="38">
        <f ca="1">IFERROR(G13/SUM(G3:G23),"")</f>
        <v>4.4829316665959969E-2</v>
      </c>
      <c r="L13" s="38">
        <f ca="1">IFERROR(G13/(SUM(G3:G23,G27:G46)),"")</f>
        <v>2.5359085781412515E-2</v>
      </c>
      <c r="M13" s="30" t="s">
        <v>119</v>
      </c>
    </row>
    <row r="14" spans="1:16" ht="15" customHeight="1" outlineLevel="1" x14ac:dyDescent="0.35">
      <c r="A14" s="30" t="s">
        <v>93</v>
      </c>
      <c r="B14" s="39" t="s">
        <v>120</v>
      </c>
      <c r="C14" s="32" t="s">
        <v>121</v>
      </c>
      <c r="D14" s="33" t="s">
        <v>122</v>
      </c>
      <c r="E14" s="274">
        <v>38154.18</v>
      </c>
      <c r="F14" s="34">
        <v>1</v>
      </c>
      <c r="G14" s="35">
        <f t="shared" si="0"/>
        <v>38154.18</v>
      </c>
      <c r="H14" s="36">
        <v>38154.18</v>
      </c>
      <c r="I14" s="37">
        <f t="shared" si="1"/>
        <v>0</v>
      </c>
      <c r="J14" s="38">
        <f t="shared" si="2"/>
        <v>0</v>
      </c>
      <c r="K14" s="38">
        <f ca="1">IFERROR(G14/SUM(G3:G23),"")</f>
        <v>9.2527971510104487E-2</v>
      </c>
      <c r="L14" s="38">
        <f ca="1">IFERROR(G14/(SUM(G3:G23,G27:G46)),"")</f>
        <v>5.2341301211190051E-2</v>
      </c>
      <c r="M14" s="30"/>
    </row>
    <row r="15" spans="1:16" ht="15" customHeight="1" outlineLevel="1" x14ac:dyDescent="0.35">
      <c r="A15" s="30" t="s">
        <v>93</v>
      </c>
      <c r="B15" s="39" t="s">
        <v>123</v>
      </c>
      <c r="C15" s="32" t="s">
        <v>124</v>
      </c>
      <c r="D15" s="33" t="s">
        <v>122</v>
      </c>
      <c r="E15" s="274">
        <v>1174.01</v>
      </c>
      <c r="F15" s="34">
        <v>1</v>
      </c>
      <c r="G15" s="35">
        <f t="shared" si="0"/>
        <v>1174.01</v>
      </c>
      <c r="H15" s="36">
        <v>1174.01</v>
      </c>
      <c r="I15" s="37">
        <f t="shared" si="1"/>
        <v>0</v>
      </c>
      <c r="J15" s="38">
        <f t="shared" si="2"/>
        <v>0</v>
      </c>
      <c r="K15" s="38">
        <f ca="1">IFERROR(G15/SUM(G3:G23),"")</f>
        <v>2.8470999463906122E-3</v>
      </c>
      <c r="L15" s="38">
        <f ca="1">IFERROR(G15/(SUM(G3:G23,G27:G46)),"")</f>
        <v>1.6105499065881964E-3</v>
      </c>
      <c r="M15" s="30"/>
    </row>
    <row r="16" spans="1:16" ht="15" customHeight="1" outlineLevel="1" x14ac:dyDescent="0.35">
      <c r="A16" s="30" t="s">
        <v>93</v>
      </c>
      <c r="B16" s="39" t="s">
        <v>125</v>
      </c>
      <c r="C16" s="32" t="s">
        <v>126</v>
      </c>
      <c r="D16" s="33" t="s">
        <v>96</v>
      </c>
      <c r="E16" s="274">
        <v>150</v>
      </c>
      <c r="F16" s="34">
        <f>IF(IFERROR(INDEX('Monitor &amp; Recheck Triggers'!$H$3:$H$51,MATCH($B16,'Monitor &amp; Recheck Triggers'!$A$3:$A$51,0)),"")="",153.05,INDEX('Monitor &amp; Recheck Triggers'!$H$3:$H$51,MATCH($B16,'Monitor &amp; Recheck Triggers'!$A$3:$A$51,0)))</f>
        <v>153.05000000000001</v>
      </c>
      <c r="G16" s="35">
        <f t="shared" si="0"/>
        <v>22957.5</v>
      </c>
      <c r="H16" s="36">
        <v>24518.25</v>
      </c>
      <c r="I16" s="37">
        <f t="shared" si="1"/>
        <v>-1560.75</v>
      </c>
      <c r="J16" s="38">
        <f t="shared" si="2"/>
        <v>-6.3656663913615352E-2</v>
      </c>
      <c r="K16" s="38">
        <f ca="1">IFERROR(G16/SUM(G3:G23),"")</f>
        <v>5.5674395464487082E-2</v>
      </c>
      <c r="L16" s="38">
        <f ca="1">IFERROR(G16/(SUM(G3:G23,G27:G46)),"")</f>
        <v>3.1493939132118572E-2</v>
      </c>
      <c r="M16" s="30" t="s">
        <v>127</v>
      </c>
    </row>
    <row r="17" spans="1:15" ht="15" customHeight="1" outlineLevel="1" x14ac:dyDescent="0.35">
      <c r="A17" s="30" t="s">
        <v>93</v>
      </c>
      <c r="B17" s="39" t="s">
        <v>128</v>
      </c>
      <c r="C17" s="32" t="s">
        <v>129</v>
      </c>
      <c r="D17" s="33" t="s">
        <v>96</v>
      </c>
      <c r="E17" s="274">
        <v>451.30399999999997</v>
      </c>
      <c r="F17" s="34">
        <f>IF(IFERROR(INDEX('Monitor &amp; Recheck Triggers'!$H$3:$H$51,MATCH($B17,'Monitor &amp; Recheck Triggers'!$A$3:$A$51,0)),"")="",51.82,INDEX('Monitor &amp; Recheck Triggers'!$H$3:$H$51,MATCH($B17,'Monitor &amp; Recheck Triggers'!$A$3:$A$51,0)))</f>
        <v>51.82</v>
      </c>
      <c r="G17" s="35">
        <f t="shared" si="0"/>
        <v>23386.573280000001</v>
      </c>
      <c r="H17" s="36">
        <v>24999.99</v>
      </c>
      <c r="I17" s="37">
        <f t="shared" si="1"/>
        <v>-1613.4167200000011</v>
      </c>
      <c r="J17" s="38">
        <f t="shared" si="2"/>
        <v>-6.4536694614677925E-2</v>
      </c>
      <c r="K17" s="38">
        <f ca="1">IFERROR(G17/SUM(G3:G23),"")</f>
        <v>5.6714944107586929E-2</v>
      </c>
      <c r="L17" s="38">
        <f ca="1">IFERROR(G17/(SUM(G3:G23,G27:G46)),"")</f>
        <v>3.208255756894917E-2</v>
      </c>
      <c r="M17" s="30" t="s">
        <v>130</v>
      </c>
    </row>
    <row r="18" spans="1:15" ht="15" customHeight="1" outlineLevel="1" x14ac:dyDescent="0.35">
      <c r="A18" s="30" t="s">
        <v>93</v>
      </c>
      <c r="B18" s="39" t="s">
        <v>131</v>
      </c>
      <c r="C18" s="32" t="s">
        <v>132</v>
      </c>
      <c r="D18" s="33" t="s">
        <v>96</v>
      </c>
      <c r="E18" s="274">
        <v>700</v>
      </c>
      <c r="F18" s="34">
        <f>IF(IFERROR(INDEX('Monitor &amp; Recheck Triggers'!$H$3:$H$51,MATCH($B18,'Monitor &amp; Recheck Triggers'!$A$3:$A$51,0)),"")="",32.72,INDEX('Monitor &amp; Recheck Triggers'!$H$3:$H$51,MATCH($B18,'Monitor &amp; Recheck Triggers'!$A$3:$A$51,0)))</f>
        <v>32.72</v>
      </c>
      <c r="G18" s="35">
        <f t="shared" si="0"/>
        <v>22904</v>
      </c>
      <c r="H18" s="36">
        <v>24377.5</v>
      </c>
      <c r="I18" s="37">
        <f t="shared" si="1"/>
        <v>-1473.5</v>
      </c>
      <c r="J18" s="38">
        <f t="shared" si="2"/>
        <v>-6.0445082555635299E-2</v>
      </c>
      <c r="K18" s="38">
        <f ca="1">IFERROR(G18/SUM(G3:G23),"")</f>
        <v>5.5544652236463564E-2</v>
      </c>
      <c r="L18" s="38">
        <f ca="1">IFERROR(G18/(SUM(G3:G23,G27:G46)),"")</f>
        <v>3.1420545873115269E-2</v>
      </c>
      <c r="M18" s="30" t="s">
        <v>127</v>
      </c>
    </row>
    <row r="19" spans="1:15" ht="15" customHeight="1" outlineLevel="1" x14ac:dyDescent="0.35">
      <c r="A19" s="30" t="s">
        <v>93</v>
      </c>
      <c r="B19" s="39" t="s">
        <v>133</v>
      </c>
      <c r="C19" s="32" t="s">
        <v>134</v>
      </c>
      <c r="D19" s="33" t="s">
        <v>96</v>
      </c>
      <c r="E19" s="274">
        <v>150</v>
      </c>
      <c r="F19" s="34">
        <f>IF(IFERROR(INDEX('Monitor &amp; Recheck Triggers'!$H$3:$H$51,MATCH($B19,'Monitor &amp; Recheck Triggers'!$A$3:$A$51,0)),"")="",156.46,INDEX('Monitor &amp; Recheck Triggers'!$H$3:$H$51,MATCH($B19,'Monitor &amp; Recheck Triggers'!$A$3:$A$51,0)))</f>
        <v>156.46</v>
      </c>
      <c r="G19" s="35">
        <f t="shared" si="0"/>
        <v>23469</v>
      </c>
      <c r="H19" s="36">
        <v>24598.5</v>
      </c>
      <c r="I19" s="37">
        <f t="shared" si="1"/>
        <v>-1129.5</v>
      </c>
      <c r="J19" s="38">
        <f t="shared" si="2"/>
        <v>-4.5917433989877465E-2</v>
      </c>
      <c r="K19" s="38">
        <f ca="1">IFERROR(G19/SUM(G3:G23),"")</f>
        <v>5.691483772867461E-2</v>
      </c>
      <c r="L19" s="38">
        <f ca="1">IFERROR(G19/(SUM(G3:G23,G27:G46)),"")</f>
        <v>3.2195633561654828E-2</v>
      </c>
      <c r="M19" s="30" t="s">
        <v>127</v>
      </c>
    </row>
    <row r="20" spans="1:15" ht="15" customHeight="1" outlineLevel="1" x14ac:dyDescent="0.35">
      <c r="A20" s="30" t="s">
        <v>93</v>
      </c>
      <c r="B20" s="39" t="s">
        <v>135</v>
      </c>
      <c r="C20" s="32" t="s">
        <v>136</v>
      </c>
      <c r="D20" s="33" t="s">
        <v>96</v>
      </c>
      <c r="E20" s="274">
        <v>1000</v>
      </c>
      <c r="F20" s="34">
        <f>IF(IFERROR(INDEX('Monitor &amp; Recheck Triggers'!$H$3:$H$51,MATCH($B20,'Monitor &amp; Recheck Triggers'!$A$3:$A$51,0)),"")="",51.17,INDEX('Monitor &amp; Recheck Triggers'!$H$3:$H$51,MATCH($B20,'Monitor &amp; Recheck Triggers'!$A$3:$A$51,0)))</f>
        <v>51.17</v>
      </c>
      <c r="G20" s="35">
        <f t="shared" si="0"/>
        <v>51170</v>
      </c>
      <c r="H20" s="36">
        <v>53709</v>
      </c>
      <c r="I20" s="37">
        <f t="shared" si="1"/>
        <v>-2539</v>
      </c>
      <c r="J20" s="38">
        <f t="shared" si="2"/>
        <v>-4.7273268912100375E-2</v>
      </c>
      <c r="K20" s="38">
        <f ca="1">IFERROR(G20/SUM(G3:G23),"")</f>
        <v>0.12409272856006988</v>
      </c>
      <c r="L20" s="38">
        <f ca="1">IFERROR(G20/(SUM(G3:G23,G27:G46)),"")</f>
        <v>7.0196879685963512E-2</v>
      </c>
      <c r="M20" s="30" t="s">
        <v>127</v>
      </c>
    </row>
    <row r="21" spans="1:15" ht="15" customHeight="1" outlineLevel="1" x14ac:dyDescent="0.35">
      <c r="A21" s="30" t="s">
        <v>93</v>
      </c>
      <c r="B21" s="39" t="s">
        <v>137</v>
      </c>
      <c r="C21" s="32" t="s">
        <v>138</v>
      </c>
      <c r="D21" s="33" t="s">
        <v>96</v>
      </c>
      <c r="E21" s="274">
        <v>100</v>
      </c>
      <c r="F21" s="34">
        <f>IF(IFERROR(INDEX('Monitor &amp; Recheck Triggers'!$H$3:$H$51,MATCH($B21,'Monitor &amp; Recheck Triggers'!$A$3:$A$51,0)),"")="",153.23,INDEX('Monitor &amp; Recheck Triggers'!$H$3:$H$51,MATCH($B21,'Monitor &amp; Recheck Triggers'!$A$3:$A$51,0)))</f>
        <v>153.22999999999999</v>
      </c>
      <c r="G21" s="35">
        <f t="shared" si="0"/>
        <v>15322.999999999998</v>
      </c>
      <c r="H21" s="36">
        <v>14696.99</v>
      </c>
      <c r="I21" s="37">
        <f t="shared" si="1"/>
        <v>626.0099999999984</v>
      </c>
      <c r="J21" s="38">
        <f t="shared" si="2"/>
        <v>4.2594436003562608E-2</v>
      </c>
      <c r="K21" s="38">
        <f ca="1">IFERROR(G21/SUM(G3:G23),"")</f>
        <v>3.7159915570176873E-2</v>
      </c>
      <c r="L21" s="38">
        <f ca="1">IFERROR(G21/(SUM(G3:G23,G27:G46)),"")</f>
        <v>2.1020652480516291E-2</v>
      </c>
      <c r="M21" s="30" t="s">
        <v>130</v>
      </c>
    </row>
    <row r="22" spans="1:15" ht="15" customHeight="1" x14ac:dyDescent="0.35">
      <c r="A22" s="30" t="s">
        <v>93</v>
      </c>
      <c r="B22" s="31" t="s">
        <v>139</v>
      </c>
      <c r="C22" s="32" t="s">
        <v>140</v>
      </c>
      <c r="D22" s="33" t="s">
        <v>96</v>
      </c>
      <c r="E22" s="274">
        <v>75</v>
      </c>
      <c r="F22" s="34" vm="12">
        <f ca="1">IF(IFERROR(INDEX('Monitor &amp; Recheck Triggers'!$H$3:$H$51,MATCH($B22,'Monitor &amp; Recheck Triggers'!$A$3:$A$51,0)),"")="",309.56,INDEX('Monitor &amp; Recheck Triggers'!$H$3:$H$51,MATCH($B22,'Monitor &amp; Recheck Triggers'!$A$3:$A$51,0)))</f>
        <v>306.33999999999997</v>
      </c>
      <c r="G22" s="35">
        <f t="shared" ca="1" si="0"/>
        <v>22975.499999999996</v>
      </c>
      <c r="H22" s="36">
        <v>23603.25</v>
      </c>
      <c r="I22" s="37">
        <f t="shared" ca="1" si="1"/>
        <v>-627.75000000000364</v>
      </c>
      <c r="J22" s="38">
        <f t="shared" ca="1" si="2"/>
        <v>-2.6595913698325591E-2</v>
      </c>
      <c r="K22" s="38">
        <f ca="1">IFERROR(G22/SUM(G3:G23),"")</f>
        <v>5.5718047391672562E-2</v>
      </c>
      <c r="L22" s="38">
        <f ca="1">IFERROR(G22/(SUM(G3:G23,G27:G46)),"")</f>
        <v>3.151863219122248E-2</v>
      </c>
      <c r="M22" s="30" t="s">
        <v>141</v>
      </c>
    </row>
    <row r="23" spans="1:15" ht="13.5" customHeight="1" x14ac:dyDescent="0.35">
      <c r="A23" s="30" t="s">
        <v>93</v>
      </c>
      <c r="B23" s="31" t="s">
        <v>142</v>
      </c>
      <c r="C23" s="32" t="s">
        <v>143</v>
      </c>
      <c r="D23" s="33" t="s">
        <v>96</v>
      </c>
      <c r="E23" s="274">
        <v>300</v>
      </c>
      <c r="F23" s="34" vm="13">
        <f ca="1">IF(IFERROR(INDEX('Monitor &amp; Recheck Triggers'!$H$3:$H$51,MATCH($B23,'Monitor &amp; Recheck Triggers'!$A$3:$A$51,0)),"")="",67.06,INDEX('Monitor &amp; Recheck Triggers'!$H$3:$H$51,MATCH($B23,'Monitor &amp; Recheck Triggers'!$A$3:$A$51,0)))</f>
        <v>67.5</v>
      </c>
      <c r="G23" s="35">
        <f t="shared" ca="1" si="0"/>
        <v>20250</v>
      </c>
      <c r="H23" s="36">
        <v>20938.5</v>
      </c>
      <c r="I23" s="37">
        <f t="shared" ca="1" si="1"/>
        <v>-688.5</v>
      </c>
      <c r="J23" s="38">
        <f t="shared" ca="1" si="2"/>
        <v>-3.2882011605415817E-2</v>
      </c>
      <c r="K23" s="38">
        <f ca="1">IFERROR(G23/SUM(G3:G23),"")</f>
        <v>4.9108418083670412E-2</v>
      </c>
      <c r="L23" s="38">
        <f ca="1">IFERROR(G23/(SUM(G3:G23,G27:G46)),"")</f>
        <v>2.7779691491904651E-2</v>
      </c>
      <c r="M23" s="30" t="s">
        <v>144</v>
      </c>
    </row>
    <row r="24" spans="1:15" ht="15" customHeight="1" x14ac:dyDescent="0.35">
      <c r="A24" s="40" t="s">
        <v>145</v>
      </c>
      <c r="B24" s="41">
        <f>SUBTOTAL(103,B3:B23)</f>
        <v>21</v>
      </c>
      <c r="C24" s="42" t="s">
        <v>146</v>
      </c>
      <c r="D24" s="43"/>
      <c r="E24" s="275"/>
      <c r="F24" s="44"/>
      <c r="G24" s="45">
        <f ca="1">SUM(G3:G23)</f>
        <v>412352.92827999999</v>
      </c>
      <c r="H24" s="46">
        <f>SUM(H3:H23)</f>
        <v>386993.25</v>
      </c>
      <c r="I24" s="47">
        <f ca="1">SUM(I3:I23)</f>
        <v>25359.678279999986</v>
      </c>
      <c r="J24" s="48">
        <f ca="1">CurrentPositionsTable[[#This Row],[Unrealized G/L ($)]]/CurrentPositionsTable[[#This Row],[Cost Basis
($)]]</f>
        <v>6.5530027410038771E-2</v>
      </c>
      <c r="K24" s="48">
        <f ca="1">SUM(K3:K23)</f>
        <v>0.99999999999999989</v>
      </c>
      <c r="L24" s="48">
        <f ca="1">SUM(L3:L23)</f>
        <v>0.56568084609392022</v>
      </c>
      <c r="M24" s="49"/>
      <c r="N24" s="50"/>
      <c r="O24" s="50"/>
    </row>
    <row r="25" spans="1:15" ht="15" customHeight="1" x14ac:dyDescent="0.35">
      <c r="E25" s="276"/>
      <c r="F25" s="34"/>
      <c r="I25" s="51" t="s">
        <v>147</v>
      </c>
      <c r="J25" s="52">
        <f ca="1">I24/(H24-H14-H13)</f>
        <v>7.6756695139241882E-2</v>
      </c>
    </row>
    <row r="26" spans="1:15" ht="15" customHeight="1" x14ac:dyDescent="0.35">
      <c r="E26" s="276"/>
      <c r="F26" s="34"/>
    </row>
    <row r="27" spans="1:15" ht="15" customHeight="1" outlineLevel="1" x14ac:dyDescent="0.35">
      <c r="A27" s="30" t="s">
        <v>148</v>
      </c>
      <c r="B27" s="39" t="s">
        <v>149</v>
      </c>
      <c r="C27" s="32" t="s">
        <v>150</v>
      </c>
      <c r="D27" s="33" t="s">
        <v>122</v>
      </c>
      <c r="E27" s="274">
        <v>36854.47</v>
      </c>
      <c r="F27" s="34">
        <v>1</v>
      </c>
      <c r="G27" s="35">
        <f t="shared" ref="G27:G46" si="3">E27*F27</f>
        <v>36854.47</v>
      </c>
      <c r="H27" s="36">
        <v>36854.47</v>
      </c>
      <c r="I27" s="37">
        <f t="shared" ref="I27:I46" si="4">G27-H27</f>
        <v>0</v>
      </c>
      <c r="J27" s="38">
        <f t="shared" ref="J27:J46" si="5">IF(H27=0,"",G27/H27-1)</f>
        <v>0</v>
      </c>
      <c r="K27" s="38">
        <f ca="1">IFERROR(G27/SUM(G27:G46),"")</f>
        <v>0.11640820117455056</v>
      </c>
      <c r="L27" s="38">
        <f ca="1">IFERROR(G27/(SUM(G3:G23,G27:G46)),"")</f>
        <v>5.0558311441859516E-2</v>
      </c>
      <c r="M27" s="30"/>
    </row>
    <row r="28" spans="1:15" ht="15" customHeight="1" outlineLevel="1" x14ac:dyDescent="0.35">
      <c r="A28" s="30" t="s">
        <v>148</v>
      </c>
      <c r="B28" s="39" t="s">
        <v>151</v>
      </c>
      <c r="C28" s="32" t="s">
        <v>152</v>
      </c>
      <c r="D28" s="33" t="s">
        <v>976</v>
      </c>
      <c r="E28" s="274">
        <v>850.35693000000003</v>
      </c>
      <c r="F28" s="34">
        <f>IF(IFERROR(INDEX('Monitor &amp; Recheck Triggers'!$H$3:$H$51,MATCH($B28,'Monitor &amp; Recheck Triggers'!$A$3:$A$51,0)),"")="",61.04,INDEX('Monitor &amp; Recheck Triggers'!$H$3:$H$51,MATCH($B28,'Monitor &amp; Recheck Triggers'!$A$3:$A$51,0)))</f>
        <v>61.04</v>
      </c>
      <c r="G28" s="35">
        <f t="shared" si="3"/>
        <v>51905.787007200001</v>
      </c>
      <c r="H28" s="36">
        <v>43005.36</v>
      </c>
      <c r="I28" s="37">
        <f t="shared" si="4"/>
        <v>8900.4270071999999</v>
      </c>
      <c r="J28" s="38">
        <f t="shared" si="5"/>
        <v>0.20696087667211716</v>
      </c>
      <c r="K28" s="38">
        <f ca="1">IFERROR(G28/SUM(G27:G46),"")</f>
        <v>0.16394915721369782</v>
      </c>
      <c r="L28" s="38">
        <f ca="1">IFERROR(G28/(SUM(G3:G23,G27:G46)),"")</f>
        <v>7.1206259244668085E-2</v>
      </c>
      <c r="M28" s="30" t="s">
        <v>154</v>
      </c>
    </row>
    <row r="29" spans="1:15" ht="15" customHeight="1" x14ac:dyDescent="0.35">
      <c r="A29" s="30" t="s">
        <v>148</v>
      </c>
      <c r="B29" s="31" t="s">
        <v>155</v>
      </c>
      <c r="C29" s="32" t="s">
        <v>156</v>
      </c>
      <c r="D29" s="33" t="s">
        <v>96</v>
      </c>
      <c r="E29" s="274">
        <v>400.00000999999997</v>
      </c>
      <c r="F29" s="34">
        <f>IF(IFERROR(INDEX('Monitor &amp; Recheck Triggers'!$H$3:$H$51,MATCH($B29,'Monitor &amp; Recheck Triggers'!$A$3:$A$51,0)),"")="",120.03,INDEX('Monitor &amp; Recheck Triggers'!$H$3:$H$51,MATCH($B29,'Monitor &amp; Recheck Triggers'!$A$3:$A$51,0)))</f>
        <v>120.03</v>
      </c>
      <c r="G29" s="35">
        <f t="shared" si="3"/>
        <v>48012.001200299994</v>
      </c>
      <c r="H29" s="36">
        <v>45116.29</v>
      </c>
      <c r="I29" s="37">
        <f t="shared" si="4"/>
        <v>2895.7112002999929</v>
      </c>
      <c r="J29" s="38">
        <f t="shared" si="5"/>
        <v>6.418327394162926E-2</v>
      </c>
      <c r="K29" s="38">
        <f ca="1">IFERROR(G29/SUM(G27:G46),"")</f>
        <v>0.15165027999364214</v>
      </c>
      <c r="L29" s="38">
        <f ca="1">IFERROR(G29/(SUM(G3:G23,G27:G46)),"")</f>
        <v>6.5864621296458745E-2</v>
      </c>
      <c r="M29" s="30" t="s">
        <v>157</v>
      </c>
    </row>
    <row r="30" spans="1:15" ht="15" customHeight="1" outlineLevel="2" x14ac:dyDescent="0.35">
      <c r="A30" s="30" t="s">
        <v>148</v>
      </c>
      <c r="B30" s="31" t="s">
        <v>158</v>
      </c>
      <c r="C30" s="32" t="s">
        <v>159</v>
      </c>
      <c r="D30" s="33" t="s">
        <v>96</v>
      </c>
      <c r="E30" s="274">
        <v>0</v>
      </c>
      <c r="F30" s="34">
        <f>IF(IFERROR(INDEX('Monitor &amp; Recheck Triggers'!$H$3:$H$51,MATCH($B30,'Monitor &amp; Recheck Triggers'!$A$3:$A$51,0)),"")="",56.12,INDEX('Monitor &amp; Recheck Triggers'!$H$3:$H$51,MATCH($B30,'Monitor &amp; Recheck Triggers'!$A$3:$A$51,0)))</f>
        <v>56.12</v>
      </c>
      <c r="G30" s="35">
        <f t="shared" si="3"/>
        <v>0</v>
      </c>
      <c r="H30" s="36">
        <v>0</v>
      </c>
      <c r="I30" s="37">
        <f t="shared" si="4"/>
        <v>0</v>
      </c>
      <c r="J30" s="38" t="str">
        <f t="shared" si="5"/>
        <v/>
      </c>
      <c r="K30" s="38">
        <f ca="1">IFERROR(G30/SUM(G27:G46),"")</f>
        <v>0</v>
      </c>
      <c r="L30" s="38">
        <f ca="1">IFERROR(G30/(SUM(G3:G23,G27:G46)),"")</f>
        <v>0</v>
      </c>
      <c r="M30" s="30" t="s">
        <v>160</v>
      </c>
    </row>
    <row r="31" spans="1:15" ht="15" customHeight="1" outlineLevel="1" x14ac:dyDescent="0.35">
      <c r="A31" s="30" t="s">
        <v>148</v>
      </c>
      <c r="B31" s="39" t="s">
        <v>161</v>
      </c>
      <c r="C31" s="32" t="s">
        <v>162</v>
      </c>
      <c r="D31" s="33" t="s">
        <v>976</v>
      </c>
      <c r="E31" s="274">
        <v>500</v>
      </c>
      <c r="F31" s="34">
        <f>IF(IFERROR(INDEX('Monitor &amp; Recheck Triggers'!$H$3:$H$51,MATCH($B31,'Monitor &amp; Recheck Triggers'!$A$3:$A$51,0)),"")="",69.42,INDEX('Monitor &amp; Recheck Triggers'!$H$3:$H$51,MATCH($B31,'Monitor &amp; Recheck Triggers'!$A$3:$A$51,0)))</f>
        <v>69.42</v>
      </c>
      <c r="G31" s="35">
        <f t="shared" si="3"/>
        <v>34710</v>
      </c>
      <c r="H31" s="36">
        <v>30666</v>
      </c>
      <c r="I31" s="37">
        <f t="shared" si="4"/>
        <v>4044</v>
      </c>
      <c r="J31" s="38">
        <f t="shared" si="5"/>
        <v>0.13187243200939158</v>
      </c>
      <c r="K31" s="38">
        <f ca="1">IFERROR(G31/SUM(G27:G46),"")</f>
        <v>0.1096346973045237</v>
      </c>
      <c r="L31" s="38">
        <f ca="1">IFERROR(G31/(SUM(G3:G23,G27:G46)),"")</f>
        <v>4.7616448972049898E-2</v>
      </c>
      <c r="M31" s="30" t="s">
        <v>163</v>
      </c>
    </row>
    <row r="32" spans="1:15" ht="15" customHeight="1" x14ac:dyDescent="0.35">
      <c r="A32" s="30" t="s">
        <v>148</v>
      </c>
      <c r="B32" s="31" t="s">
        <v>164</v>
      </c>
      <c r="C32" s="32" t="s">
        <v>165</v>
      </c>
      <c r="D32" s="33" t="s">
        <v>96</v>
      </c>
      <c r="E32" s="274">
        <v>35.075870000000002</v>
      </c>
      <c r="F32" s="34" vm="14">
        <f ca="1">IF(IFERROR(INDEX('Monitor &amp; Recheck Triggers'!$H$3:$H$51,MATCH($B32,'Monitor &amp; Recheck Triggers'!$A$3:$A$51,0)),"")="",355.14,INDEX('Monitor &amp; Recheck Triggers'!$H$3:$H$51,MATCH($B32,'Monitor &amp; Recheck Triggers'!$A$3:$A$51,0)))</f>
        <v>362.51</v>
      </c>
      <c r="G32" s="35">
        <f t="shared" ca="1" si="3"/>
        <v>12715.353633700001</v>
      </c>
      <c r="H32" s="36">
        <v>12653.43</v>
      </c>
      <c r="I32" s="37">
        <f t="shared" ca="1" si="4"/>
        <v>61.92363370000021</v>
      </c>
      <c r="J32" s="38">
        <f t="shared" ca="1" si="5"/>
        <v>4.8938219676404326E-3</v>
      </c>
      <c r="K32" s="38">
        <f ca="1">IFERROR(G32/SUM(G27:G46),"")</f>
        <v>4.0162602902641169E-2</v>
      </c>
      <c r="L32" s="38">
        <f ca="1">IFERROR(G32/(SUM(G3:G23,G27:G46)),"")</f>
        <v>1.7443387711340977E-2</v>
      </c>
      <c r="M32" s="30"/>
    </row>
    <row r="33" spans="1:15" ht="15" customHeight="1" x14ac:dyDescent="0.35">
      <c r="A33" s="30" t="s">
        <v>148</v>
      </c>
      <c r="B33" s="31" t="s">
        <v>109</v>
      </c>
      <c r="C33" s="32" t="s">
        <v>110</v>
      </c>
      <c r="D33" s="33" t="s">
        <v>96</v>
      </c>
      <c r="E33" s="274">
        <v>59.021880000000003</v>
      </c>
      <c r="F33" s="34" vm="7">
        <f ca="1">IF(IFERROR(INDEX('Monitor &amp; Recheck Triggers'!$H$3:$H$51,MATCH($B33,'Monitor &amp; Recheck Triggers'!$A$3:$A$51,0)),"")="",233.95,INDEX('Monitor &amp; Recheck Triggers'!$H$3:$H$51,MATCH($B33,'Monitor &amp; Recheck Triggers'!$A$3:$A$51,0)))</f>
        <v>238.9</v>
      </c>
      <c r="G33" s="35">
        <f t="shared" ca="1" si="3"/>
        <v>14100.327132</v>
      </c>
      <c r="H33" s="36">
        <v>11377.73</v>
      </c>
      <c r="I33" s="37">
        <f t="shared" ca="1" si="4"/>
        <v>2722.5971320000008</v>
      </c>
      <c r="J33" s="38">
        <f t="shared" ca="1" si="5"/>
        <v>0.23929176839316812</v>
      </c>
      <c r="K33" s="38">
        <f ca="1">IFERROR(G33/SUM(G27:G46),"")</f>
        <v>4.4537167877026301E-2</v>
      </c>
      <c r="L33" s="38">
        <f ca="1">IFERROR(G33/(SUM(G3:G23,G27:G46)),"")</f>
        <v>1.9343345069723097E-2</v>
      </c>
      <c r="M33" s="30"/>
    </row>
    <row r="34" spans="1:15" ht="15" customHeight="1" x14ac:dyDescent="0.35">
      <c r="A34" s="30" t="s">
        <v>148</v>
      </c>
      <c r="B34" s="31" t="s">
        <v>166</v>
      </c>
      <c r="C34" s="32" t="s">
        <v>167</v>
      </c>
      <c r="D34" s="33" t="s">
        <v>96</v>
      </c>
      <c r="E34" s="274">
        <v>65</v>
      </c>
      <c r="F34" s="34" vm="15">
        <f ca="1">IF(IFERROR(INDEX('Monitor &amp; Recheck Triggers'!$H$3:$H$51,MATCH($B34,'Monitor &amp; Recheck Triggers'!$A$3:$A$51,0)),"")="",504.73,INDEX('Monitor &amp; Recheck Triggers'!$H$3:$H$51,MATCH($B34,'Monitor &amp; Recheck Triggers'!$A$3:$A$51,0)))</f>
        <v>503.5</v>
      </c>
      <c r="G34" s="35">
        <f t="shared" ca="1" si="3"/>
        <v>32727.5</v>
      </c>
      <c r="H34" s="36">
        <v>31479.64</v>
      </c>
      <c r="I34" s="37">
        <f t="shared" ca="1" si="4"/>
        <v>1247.8600000000006</v>
      </c>
      <c r="J34" s="38">
        <f t="shared" ca="1" si="5"/>
        <v>3.9640224602314422E-2</v>
      </c>
      <c r="K34" s="38">
        <f ca="1">IFERROR(G34/SUM(G27:G46),"")</f>
        <v>0.10337279043600689</v>
      </c>
      <c r="L34" s="38">
        <f ca="1">IFERROR(G34/(SUM(G3:G23,G27:G46)),"")</f>
        <v>4.4896782879077009E-2</v>
      </c>
      <c r="M34" s="30" t="s">
        <v>168</v>
      </c>
    </row>
    <row r="35" spans="1:15" ht="15" customHeight="1" outlineLevel="1" x14ac:dyDescent="0.35">
      <c r="A35" s="30" t="s">
        <v>148</v>
      </c>
      <c r="B35" s="39" t="s">
        <v>137</v>
      </c>
      <c r="C35" s="32" t="s">
        <v>138</v>
      </c>
      <c r="D35" s="33" t="s">
        <v>96</v>
      </c>
      <c r="E35" s="274">
        <v>76.937449999999998</v>
      </c>
      <c r="F35" s="34">
        <f>IF(IFERROR(INDEX('Monitor &amp; Recheck Triggers'!$H$3:$H$51,MATCH($B35,'Monitor &amp; Recheck Triggers'!$A$3:$A$51,0)),"")="",153.23,INDEX('Monitor &amp; Recheck Triggers'!$H$3:$H$51,MATCH($B35,'Monitor &amp; Recheck Triggers'!$A$3:$A$51,0)))</f>
        <v>153.22999999999999</v>
      </c>
      <c r="G35" s="35">
        <f t="shared" si="3"/>
        <v>11789.125463499999</v>
      </c>
      <c r="H35" s="36">
        <v>9318.7900000000009</v>
      </c>
      <c r="I35" s="37">
        <f t="shared" si="4"/>
        <v>2470.3354634999978</v>
      </c>
      <c r="J35" s="38">
        <f t="shared" si="5"/>
        <v>0.26509186959894993</v>
      </c>
      <c r="K35" s="38">
        <f ca="1">IFERROR(G35/SUM(G27:G46),"")</f>
        <v>3.7237026841713483E-2</v>
      </c>
      <c r="L35" s="38">
        <f ca="1">IFERROR(G35/(SUM(G3:G23,G27:G46)),"")</f>
        <v>1.6172753991870983E-2</v>
      </c>
      <c r="M35" s="30"/>
    </row>
    <row r="36" spans="1:15" ht="15" customHeight="1" outlineLevel="1" x14ac:dyDescent="0.35">
      <c r="A36" s="30" t="s">
        <v>148</v>
      </c>
      <c r="B36" s="39" t="s">
        <v>128</v>
      </c>
      <c r="C36" s="32" t="s">
        <v>129</v>
      </c>
      <c r="D36" s="33" t="s">
        <v>96</v>
      </c>
      <c r="E36" s="274">
        <v>200</v>
      </c>
      <c r="F36" s="34">
        <f>IF(IFERROR(INDEX('Monitor &amp; Recheck Triggers'!$H$3:$H$51,MATCH($B36,'Monitor &amp; Recheck Triggers'!$A$3:$A$51,0)),"")="",51.82,INDEX('Monitor &amp; Recheck Triggers'!$H$3:$H$51,MATCH($B36,'Monitor &amp; Recheck Triggers'!$A$3:$A$51,0)))</f>
        <v>51.82</v>
      </c>
      <c r="G36" s="35">
        <f t="shared" si="3"/>
        <v>10364</v>
      </c>
      <c r="H36" s="36">
        <v>9257</v>
      </c>
      <c r="I36" s="37">
        <f t="shared" si="4"/>
        <v>1107</v>
      </c>
      <c r="J36" s="38">
        <f t="shared" si="5"/>
        <v>0.11958517878362329</v>
      </c>
      <c r="K36" s="38">
        <f ca="1">IFERROR(G36/SUM(G27:G46),"")</f>
        <v>3.273563822714156E-2</v>
      </c>
      <c r="L36" s="38">
        <f ca="1">IFERROR(G36/(SUM(G3:G23,G27:G46)),"")</f>
        <v>1.4217714697387645E-2</v>
      </c>
      <c r="M36" s="30"/>
    </row>
    <row r="37" spans="1:15" ht="15" customHeight="1" x14ac:dyDescent="0.35">
      <c r="A37" s="30" t="s">
        <v>148</v>
      </c>
      <c r="B37" s="31" t="s">
        <v>99</v>
      </c>
      <c r="C37" s="32" t="s">
        <v>100</v>
      </c>
      <c r="D37" s="33" t="s">
        <v>96</v>
      </c>
      <c r="E37" s="274">
        <v>50</v>
      </c>
      <c r="F37" s="34" vm="2">
        <f ca="1">IF(IFERROR(INDEX('Monitor &amp; Recheck Triggers'!$H$3:$H$51,MATCH($B37,'Monitor &amp; Recheck Triggers'!$A$3:$A$51,0)),"")="",207.35,INDEX('Monitor &amp; Recheck Triggers'!$H$3:$H$51,MATCH($B37,'Monitor &amp; Recheck Triggers'!$A$3:$A$51,0)))</f>
        <v>206.9</v>
      </c>
      <c r="G37" s="35">
        <f t="shared" ca="1" si="3"/>
        <v>10345</v>
      </c>
      <c r="H37" s="36">
        <v>7394.5</v>
      </c>
      <c r="I37" s="37">
        <f t="shared" ca="1" si="4"/>
        <v>2950.5</v>
      </c>
      <c r="J37" s="38">
        <f t="shared" ca="1" si="5"/>
        <v>0.39901277976874705</v>
      </c>
      <c r="K37" s="38">
        <f ca="1">IFERROR(G37/SUM(G27:G46),"")</f>
        <v>3.2675624996119208E-2</v>
      </c>
      <c r="L37" s="38">
        <f ca="1">IFERROR(G37/(SUM(G3:G23,G27:G46)),"")</f>
        <v>1.4191649801666845E-2</v>
      </c>
      <c r="M37" s="30"/>
    </row>
    <row r="38" spans="1:15" ht="15" customHeight="1" x14ac:dyDescent="0.35">
      <c r="A38" s="30" t="s">
        <v>148</v>
      </c>
      <c r="B38" s="31" t="s">
        <v>103</v>
      </c>
      <c r="C38" s="32" t="s">
        <v>104</v>
      </c>
      <c r="D38" s="33" t="s">
        <v>96</v>
      </c>
      <c r="E38" s="274">
        <v>45</v>
      </c>
      <c r="F38" s="34" vm="4">
        <f ca="1">IF(IFERROR(INDEX('Monitor &amp; Recheck Triggers'!$H$3:$H$51,MATCH($B38,'Monitor &amp; Recheck Triggers'!$A$3:$A$51,0)),"")="",270.04,INDEX('Monitor &amp; Recheck Triggers'!$H$3:$H$51,MATCH($B38,'Monitor &amp; Recheck Triggers'!$A$3:$A$51,0)))</f>
        <v>272.67</v>
      </c>
      <c r="G38" s="35">
        <f t="shared" ca="1" si="3"/>
        <v>12270.150000000001</v>
      </c>
      <c r="H38" s="36">
        <v>7099.31</v>
      </c>
      <c r="I38" s="37">
        <f t="shared" ca="1" si="4"/>
        <v>5170.8400000000011</v>
      </c>
      <c r="J38" s="38">
        <f t="shared" ca="1" si="5"/>
        <v>0.72835810804148582</v>
      </c>
      <c r="K38" s="38">
        <f ca="1">IFERROR(G38/SUM(G27:G46),"")</f>
        <v>3.8756386664681695E-2</v>
      </c>
      <c r="L38" s="38">
        <f ca="1">IFERROR(G38/(SUM(G3:G23,G27:G46)),"")</f>
        <v>1.6832641064661428E-2</v>
      </c>
      <c r="M38" s="30"/>
    </row>
    <row r="39" spans="1:15" ht="15" customHeight="1" x14ac:dyDescent="0.35">
      <c r="A39" s="30" t="s">
        <v>148</v>
      </c>
      <c r="B39" s="31" t="s">
        <v>169</v>
      </c>
      <c r="C39" s="32" t="s">
        <v>170</v>
      </c>
      <c r="D39" s="33" t="s">
        <v>96</v>
      </c>
      <c r="E39" s="274">
        <v>125.44837</v>
      </c>
      <c r="F39" s="34" vm="16">
        <f ca="1">IF(IFERROR(INDEX('Monitor &amp; Recheck Triggers'!$H$3:$H$51,MATCH($B39,'Monitor &amp; Recheck Triggers'!$A$3:$A$51,0)),"")="",128.91,INDEX('Monitor &amp; Recheck Triggers'!$H$3:$H$51,MATCH($B39,'Monitor &amp; Recheck Triggers'!$A$3:$A$51,0)))</f>
        <v>128.08000000000001</v>
      </c>
      <c r="G39" s="35">
        <f t="shared" ca="1" si="3"/>
        <v>16067.427229600002</v>
      </c>
      <c r="H39" s="36">
        <v>16585.43</v>
      </c>
      <c r="I39" s="37">
        <f t="shared" ca="1" si="4"/>
        <v>-518.00277039999855</v>
      </c>
      <c r="J39" s="38">
        <f t="shared" ca="1" si="5"/>
        <v>-3.1232399184103032E-2</v>
      </c>
      <c r="K39" s="38">
        <f ca="1">IFERROR(G39/SUM(G27:G46),"")</f>
        <v>5.0750432750782427E-2</v>
      </c>
      <c r="L39" s="38">
        <f ca="1">IFERROR(G39/(SUM(G3:G23,G27:G46)),"")</f>
        <v>2.2041885012687223E-2</v>
      </c>
      <c r="M39" s="30" t="s">
        <v>171</v>
      </c>
    </row>
    <row r="40" spans="1:15" ht="15" customHeight="1" outlineLevel="2" x14ac:dyDescent="0.35">
      <c r="A40" s="30" t="s">
        <v>148</v>
      </c>
      <c r="B40" s="31" t="s">
        <v>172</v>
      </c>
      <c r="C40" s="32" t="s">
        <v>173</v>
      </c>
      <c r="D40" s="33" t="s">
        <v>96</v>
      </c>
      <c r="E40" s="274">
        <v>0</v>
      </c>
      <c r="F40" s="34" vm="17">
        <f ca="1">IF(IFERROR(INDEX('Monitor &amp; Recheck Triggers'!$H$3:$H$51,MATCH($B40,'Monitor &amp; Recheck Triggers'!$A$3:$A$51,0)),"")="",86.07,INDEX('Monitor &amp; Recheck Triggers'!$H$3:$H$51,MATCH($B40,'Monitor &amp; Recheck Triggers'!$A$3:$A$51,0)))</f>
        <v>64.92</v>
      </c>
      <c r="G40" s="35">
        <f t="shared" ca="1" si="3"/>
        <v>0</v>
      </c>
      <c r="H40" s="36">
        <v>0</v>
      </c>
      <c r="I40" s="37">
        <f t="shared" ca="1" si="4"/>
        <v>0</v>
      </c>
      <c r="J40" s="38" t="str">
        <f t="shared" si="5"/>
        <v/>
      </c>
      <c r="K40" s="38">
        <f ca="1">IFERROR(G40/SUM(G27:G46),"")</f>
        <v>0</v>
      </c>
      <c r="L40" s="38">
        <f ca="1">IFERROR(G40/(SUM(G3:G23,G27:G46)),"")</f>
        <v>0</v>
      </c>
      <c r="M40" s="30" t="s">
        <v>174</v>
      </c>
    </row>
    <row r="41" spans="1:15" ht="15" customHeight="1" outlineLevel="2" x14ac:dyDescent="0.35">
      <c r="A41" s="30" t="s">
        <v>148</v>
      </c>
      <c r="B41" s="31" t="s">
        <v>175</v>
      </c>
      <c r="C41" s="32" t="s">
        <v>176</v>
      </c>
      <c r="D41" s="33" t="s">
        <v>96</v>
      </c>
      <c r="E41" s="274">
        <v>0</v>
      </c>
      <c r="F41" s="34" vm="18">
        <f ca="1">IF(IFERROR(INDEX('Monitor &amp; Recheck Triggers'!$H$3:$H$51,MATCH($B41,'Monitor &amp; Recheck Triggers'!$A$3:$A$51,0)),"")="",327.35,INDEX('Monitor &amp; Recheck Triggers'!$H$3:$H$51,MATCH($B41,'Monitor &amp; Recheck Triggers'!$A$3:$A$51,0)))</f>
        <v>378.73</v>
      </c>
      <c r="G41" s="35">
        <f t="shared" ca="1" si="3"/>
        <v>0</v>
      </c>
      <c r="H41" s="36">
        <v>0</v>
      </c>
      <c r="I41" s="37">
        <f t="shared" ca="1" si="4"/>
        <v>0</v>
      </c>
      <c r="J41" s="38" t="str">
        <f t="shared" si="5"/>
        <v/>
      </c>
      <c r="K41" s="38">
        <f ca="1">IFERROR(G41/SUM(G27:G46),"")</f>
        <v>0</v>
      </c>
      <c r="L41" s="38">
        <f ca="1">IFERROR(G41/(SUM(G3:G23,G27:G46)),"")</f>
        <v>0</v>
      </c>
      <c r="M41" s="30" t="s">
        <v>177</v>
      </c>
    </row>
    <row r="42" spans="1:15" ht="15" customHeight="1" outlineLevel="2" x14ac:dyDescent="0.35">
      <c r="A42" s="30" t="s">
        <v>148</v>
      </c>
      <c r="B42" s="31" t="s">
        <v>178</v>
      </c>
      <c r="C42" s="32" t="s">
        <v>179</v>
      </c>
      <c r="D42" s="33" t="s">
        <v>96</v>
      </c>
      <c r="E42" s="274">
        <v>0</v>
      </c>
      <c r="F42" s="34">
        <f>IF(IFERROR(INDEX('Monitor &amp; Recheck Triggers'!$H$3:$H$51,MATCH($B42,'Monitor &amp; Recheck Triggers'!$A$3:$A$51,0)),"")="",120.16,INDEX('Monitor &amp; Recheck Triggers'!$H$3:$H$51,MATCH($B42,'Monitor &amp; Recheck Triggers'!$A$3:$A$51,0)))</f>
        <v>120.16</v>
      </c>
      <c r="G42" s="35">
        <f t="shared" si="3"/>
        <v>0</v>
      </c>
      <c r="H42" s="36">
        <v>0</v>
      </c>
      <c r="I42" s="37">
        <f t="shared" si="4"/>
        <v>0</v>
      </c>
      <c r="J42" s="38" t="str">
        <f t="shared" si="5"/>
        <v/>
      </c>
      <c r="K42" s="38">
        <f ca="1">IFERROR(G42/SUM(G27:G46),"")</f>
        <v>0</v>
      </c>
      <c r="L42" s="38">
        <f ca="1">IFERROR(G42/(SUM(G3:G23,G27:G46)),"")</f>
        <v>0</v>
      </c>
      <c r="M42" s="30" t="s">
        <v>180</v>
      </c>
    </row>
    <row r="43" spans="1:15" ht="15" customHeight="1" outlineLevel="1" x14ac:dyDescent="0.35">
      <c r="A43" s="30" t="s">
        <v>148</v>
      </c>
      <c r="B43" s="39" t="s">
        <v>181</v>
      </c>
      <c r="C43" s="32" t="s">
        <v>182</v>
      </c>
      <c r="D43" s="33" t="s">
        <v>122</v>
      </c>
      <c r="E43" s="274">
        <v>10849.71</v>
      </c>
      <c r="F43" s="34">
        <v>1</v>
      </c>
      <c r="G43" s="35">
        <f t="shared" si="3"/>
        <v>10849.71</v>
      </c>
      <c r="H43" s="36">
        <v>10849.71</v>
      </c>
      <c r="I43" s="37">
        <f t="shared" si="4"/>
        <v>0</v>
      </c>
      <c r="J43" s="38">
        <f t="shared" si="5"/>
        <v>0</v>
      </c>
      <c r="K43" s="38">
        <f ca="1">IFERROR(G43/SUM(G27:G46),"")</f>
        <v>3.4269797513450412E-2</v>
      </c>
      <c r="L43" s="38">
        <f ca="1">IFERROR(G43/(SUM(G3:G23,G27:G46)),"")</f>
        <v>1.4884029460574459E-2</v>
      </c>
      <c r="M43" s="30"/>
    </row>
    <row r="44" spans="1:15" ht="15" customHeight="1" outlineLevel="2" x14ac:dyDescent="0.35">
      <c r="A44" s="30" t="s">
        <v>148</v>
      </c>
      <c r="B44" s="31" t="s">
        <v>183</v>
      </c>
      <c r="C44" s="32" t="s">
        <v>184</v>
      </c>
      <c r="D44" s="33" t="s">
        <v>96</v>
      </c>
      <c r="E44" s="274">
        <v>0</v>
      </c>
      <c r="F44" s="34" vm="19">
        <f ca="1">IF(IFERROR(INDEX('Monitor &amp; Recheck Triggers'!$H$3:$H$51,MATCH($B44,'Monitor &amp; Recheck Triggers'!$A$3:$A$51,0)),"")="",37.61,INDEX('Monitor &amp; Recheck Triggers'!$H$3:$H$51,MATCH($B44,'Monitor &amp; Recheck Triggers'!$A$3:$A$51,0)))</f>
        <v>31.88</v>
      </c>
      <c r="G44" s="35">
        <f t="shared" ca="1" si="3"/>
        <v>0</v>
      </c>
      <c r="H44" s="36">
        <v>0</v>
      </c>
      <c r="I44" s="37">
        <f t="shared" ca="1" si="4"/>
        <v>0</v>
      </c>
      <c r="J44" s="38" t="str">
        <f t="shared" si="5"/>
        <v/>
      </c>
      <c r="K44" s="38">
        <f ca="1">IFERROR(G44/SUM(G27:G46),"")</f>
        <v>0</v>
      </c>
      <c r="L44" s="38">
        <f ca="1">IFERROR(G44/(SUM(G3:G23,G27:G46)),"")</f>
        <v>0</v>
      </c>
      <c r="M44" s="30" t="s">
        <v>185</v>
      </c>
    </row>
    <row r="45" spans="1:15" ht="15" customHeight="1" x14ac:dyDescent="0.35">
      <c r="A45" s="30" t="s">
        <v>148</v>
      </c>
      <c r="B45" s="31" t="s">
        <v>111</v>
      </c>
      <c r="C45" s="32" t="s">
        <v>112</v>
      </c>
      <c r="D45" s="33" t="s">
        <v>96</v>
      </c>
      <c r="E45" s="274">
        <v>20</v>
      </c>
      <c r="F45" s="34" vm="8">
        <f ca="1">IF(IFERROR(INDEX('Monitor &amp; Recheck Triggers'!$H$3:$H$51,MATCH($B45,'Monitor &amp; Recheck Triggers'!$A$3:$A$51,0)),"")="",188.75,INDEX('Monitor &amp; Recheck Triggers'!$H$3:$H$51,MATCH($B45,'Monitor &amp; Recheck Triggers'!$A$3:$A$51,0)))</f>
        <v>189.4</v>
      </c>
      <c r="G45" s="35">
        <f t="shared" ca="1" si="3"/>
        <v>3788</v>
      </c>
      <c r="H45" s="36">
        <v>3178</v>
      </c>
      <c r="I45" s="37">
        <f t="shared" ca="1" si="4"/>
        <v>610</v>
      </c>
      <c r="J45" s="38">
        <f t="shared" ca="1" si="5"/>
        <v>0.19194461925739459</v>
      </c>
      <c r="K45" s="38">
        <f ca="1">IFERROR(G45/SUM(G27:G46),"")</f>
        <v>1.1964743111193771E-2</v>
      </c>
      <c r="L45" s="38">
        <f ca="1">IFERROR(G45/(SUM(G3:G23,G27:G46)),"")</f>
        <v>5.1965171047572752E-3</v>
      </c>
      <c r="M45" s="30"/>
    </row>
    <row r="46" spans="1:15" ht="13.5" customHeight="1" outlineLevel="1" x14ac:dyDescent="0.35">
      <c r="A46" s="30" t="s">
        <v>148</v>
      </c>
      <c r="B46" s="39" t="s">
        <v>186</v>
      </c>
      <c r="C46" s="32" t="s">
        <v>187</v>
      </c>
      <c r="D46" s="33" t="s">
        <v>153</v>
      </c>
      <c r="E46" s="274">
        <v>180</v>
      </c>
      <c r="F46" s="34">
        <f>IF(IFERROR(INDEX('Monitor &amp; Recheck Triggers'!$H$3:$H$51,MATCH($B46,'Monitor &amp; Recheck Triggers'!$A$3:$A$51,0)),"")="",56.1,INDEX('Monitor &amp; Recheck Triggers'!$H$3:$H$51,MATCH($B46,'Monitor &amp; Recheck Triggers'!$A$3:$A$51,0)))</f>
        <v>56.1</v>
      </c>
      <c r="G46" s="35">
        <f t="shared" si="3"/>
        <v>10098</v>
      </c>
      <c r="H46" s="36">
        <v>10500.57</v>
      </c>
      <c r="I46" s="37">
        <f t="shared" si="4"/>
        <v>-402.56999999999971</v>
      </c>
      <c r="J46" s="38">
        <f t="shared" si="5"/>
        <v>-3.8337918798693749E-2</v>
      </c>
      <c r="K46" s="38">
        <f ca="1">IFERROR(G46/SUM(G27:G46),"")</f>
        <v>3.1895452992828588E-2</v>
      </c>
      <c r="L46" s="38">
        <f ca="1">IFERROR(G46/(SUM(G3:G23,G27:G46)),"")</f>
        <v>1.3852806157296452E-2</v>
      </c>
      <c r="M46" s="30" t="s">
        <v>127</v>
      </c>
    </row>
    <row r="47" spans="1:15" ht="15" customHeight="1" x14ac:dyDescent="0.35">
      <c r="A47" s="40" t="s">
        <v>145</v>
      </c>
      <c r="B47" s="41">
        <f>SUBTOTAL(103,B27:B46)</f>
        <v>20</v>
      </c>
      <c r="C47" s="42" t="s">
        <v>188</v>
      </c>
      <c r="D47" s="43"/>
      <c r="E47" s="275"/>
      <c r="F47" s="44"/>
      <c r="G47" s="45">
        <f ca="1">SUM(G27:G46)</f>
        <v>316596.85166630009</v>
      </c>
      <c r="H47" s="46">
        <f>SUM(H27:H46)</f>
        <v>285336.23</v>
      </c>
      <c r="I47" s="47">
        <f ca="1">SUM(I27:I46)</f>
        <v>31260.621666299994</v>
      </c>
      <c r="J47" s="48">
        <f ca="1">CurrentPositionsTable[[#This Row],[Unrealized G/L ($)]]/CurrentPositionsTable[[#This Row],[Cost Basis
($)]]</f>
        <v>0.109557141293624</v>
      </c>
      <c r="K47" s="48">
        <f ca="1">SUM(K27:K46)</f>
        <v>0.99999999999999967</v>
      </c>
      <c r="L47" s="48">
        <f ca="1">SUM(L27:L46)</f>
        <v>0.4343191539060795</v>
      </c>
      <c r="M47" s="49"/>
      <c r="N47" s="50"/>
      <c r="O47" s="50"/>
    </row>
    <row r="48" spans="1:15" ht="15" customHeight="1" x14ac:dyDescent="0.35">
      <c r="E48" s="276"/>
      <c r="I48" s="51" t="s">
        <v>147</v>
      </c>
      <c r="J48" s="52">
        <f ca="1">I47/(H47-H43-H27)</f>
        <v>0.13155052808028209</v>
      </c>
    </row>
    <row r="49" spans="1:13" ht="15" customHeight="1" x14ac:dyDescent="0.35">
      <c r="E49" s="276"/>
    </row>
    <row r="50" spans="1:13" ht="15" customHeight="1" x14ac:dyDescent="0.35">
      <c r="A50" s="30"/>
      <c r="B50" s="31"/>
      <c r="C50" s="32" t="s">
        <v>189</v>
      </c>
      <c r="D50" s="33"/>
      <c r="E50" s="274"/>
      <c r="F50" s="32"/>
      <c r="G50" s="35">
        <f ca="1">SUM(G3:G23)+SUM(G27:G46)</f>
        <v>728949.77994630008</v>
      </c>
      <c r="H50" s="36">
        <f>SUM(H3:H23)+SUM(H27:H46)</f>
        <v>672329.48</v>
      </c>
      <c r="I50" s="37">
        <f ca="1">SUM(I3:I23)+SUM(I27:I46)</f>
        <v>56620.29994629998</v>
      </c>
    </row>
    <row r="51" spans="1:13" ht="14.25" customHeight="1" x14ac:dyDescent="0.35">
      <c r="A51" s="30"/>
      <c r="B51" s="31"/>
      <c r="C51" s="32" t="s">
        <v>190</v>
      </c>
      <c r="D51" s="33"/>
      <c r="E51" s="274"/>
      <c r="F51" s="32"/>
      <c r="G51" s="35">
        <f>SUM(G14:G21)+G27+G28+G29+G31+G35+G36+G43+G46</f>
        <v>413121.35695099999</v>
      </c>
      <c r="H51" s="36">
        <f>SUM(H14:H21)+H27+H28+H29+H31+H35+H36+H43+H46</f>
        <v>401796.61</v>
      </c>
      <c r="I51" s="37">
        <f>G51-H51</f>
        <v>11324.746951000008</v>
      </c>
      <c r="L51" s="38">
        <f ca="1">IFERROR(G51/G50,"")</f>
        <v>0.56673500468226168</v>
      </c>
      <c r="M51" s="30" t="s">
        <v>191</v>
      </c>
    </row>
    <row r="52" spans="1:13" ht="142.5" customHeight="1" x14ac:dyDescent="0.35">
      <c r="A52" s="1" t="s">
        <v>192</v>
      </c>
      <c r="B52" s="1"/>
      <c r="C52" s="1"/>
      <c r="D52" s="1"/>
      <c r="E52" s="1"/>
      <c r="F52" s="1"/>
      <c r="G52" s="1"/>
      <c r="H52" s="1"/>
      <c r="I52" s="1"/>
      <c r="J52" s="1"/>
      <c r="K52" s="1"/>
      <c r="L52" s="1"/>
      <c r="M52" s="1"/>
    </row>
  </sheetData>
  <mergeCells count="3">
    <mergeCell ref="A1:M1"/>
    <mergeCell ref="O1:P1"/>
    <mergeCell ref="A52:M52"/>
  </mergeCells>
  <conditionalFormatting sqref="I1:K1048576">
    <cfRule type="cellIs" dxfId="4" priority="4" operator="lessThan">
      <formula>0</formula>
    </cfRule>
  </conditionalFormatting>
  <conditionalFormatting sqref="D3:D50">
    <cfRule type="containsText" dxfId="3" priority="2" operator="containsText" text="alt">
      <formula>NOT(ISERROR(SEARCH("alt",D3)))</formula>
    </cfRule>
    <cfRule type="containsText" dxfId="2" priority="1" operator="containsText" text="cash">
      <formula>NOT(ISERROR(SEARCH("cash",D3)))</formula>
    </cfRule>
  </conditionalFormatting>
  <pageMargins left="0.75" right="0.75" top="1" bottom="1" header="0.511811023622047" footer="0.51180555555555596"/>
  <pageSetup orientation="portrait" horizontalDpi="300" verticalDpi="300"/>
  <headerFooter>
    <oddFooter>&amp;L&amp;"Arial Narrow,Regular"&amp;8 &amp;F&amp;C&amp;"Arial Narrow,Regular"&amp;8 &amp;A - &amp;D &amp;T&amp;R&amp;"Arial,Regular" &amp;P / &amp;N</oddFooter>
  </headerFooter>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1"/>
  <sheetViews>
    <sheetView showGridLines="0" zoomScale="90" zoomScaleNormal="90" workbookViewId="0">
      <pane ySplit="2" topLeftCell="A3" activePane="bottomLeft" state="frozen"/>
      <selection pane="bottomLeft" activeCell="I61" sqref="I61"/>
    </sheetView>
  </sheetViews>
  <sheetFormatPr defaultColWidth="8.6328125" defaultRowHeight="14.5" outlineLevelRow="1" x14ac:dyDescent="0.35"/>
  <cols>
    <col min="1" max="1" width="8" style="53" customWidth="1"/>
    <col min="2" max="2" width="12.453125" customWidth="1"/>
    <col min="3" max="3" width="11" customWidth="1"/>
    <col min="4" max="5" width="10" customWidth="1"/>
    <col min="6" max="6" width="14" customWidth="1"/>
    <col min="7" max="7" width="10" style="54" customWidth="1"/>
    <col min="8" max="9" width="10" customWidth="1"/>
    <col min="10" max="10" width="12" customWidth="1"/>
    <col min="11" max="11" width="10" customWidth="1"/>
    <col min="12" max="12" width="22" customWidth="1"/>
    <col min="13" max="13" width="8.81640625" customWidth="1"/>
    <col min="14" max="14" width="22" customWidth="1"/>
    <col min="15" max="15" width="10" customWidth="1"/>
    <col min="16" max="16" width="24" customWidth="1"/>
    <col min="17" max="17" width="28" customWidth="1"/>
  </cols>
  <sheetData>
    <row r="1" spans="1:17" ht="60" customHeight="1" x14ac:dyDescent="0.35">
      <c r="A1" s="219" t="s">
        <v>193</v>
      </c>
      <c r="B1" s="219"/>
      <c r="C1" s="219"/>
      <c r="D1" s="219"/>
      <c r="E1" s="219"/>
      <c r="F1" s="219"/>
      <c r="G1" s="219"/>
      <c r="H1" s="219"/>
      <c r="I1" s="219"/>
      <c r="J1" s="219"/>
      <c r="K1" s="219"/>
      <c r="L1" s="219"/>
      <c r="M1" s="219"/>
      <c r="N1" s="219"/>
      <c r="O1" s="219"/>
      <c r="P1" s="56" t="s">
        <v>194</v>
      </c>
      <c r="Q1" s="57">
        <v>46300</v>
      </c>
    </row>
    <row r="2" spans="1:17" s="60" customFormat="1" ht="42" customHeight="1" x14ac:dyDescent="0.35">
      <c r="A2" s="58" t="s">
        <v>82</v>
      </c>
      <c r="B2" s="58" t="s">
        <v>195</v>
      </c>
      <c r="C2" s="58" t="s">
        <v>196</v>
      </c>
      <c r="D2" s="58" t="s">
        <v>197</v>
      </c>
      <c r="E2" s="58" t="s">
        <v>198</v>
      </c>
      <c r="F2" s="58" t="s">
        <v>199</v>
      </c>
      <c r="G2" s="59" t="s">
        <v>200</v>
      </c>
      <c r="H2" s="58" t="s">
        <v>201</v>
      </c>
      <c r="I2" s="58" t="s">
        <v>202</v>
      </c>
      <c r="J2" s="58" t="s">
        <v>203</v>
      </c>
      <c r="K2" s="58" t="s">
        <v>204</v>
      </c>
      <c r="L2" s="58" t="s">
        <v>205</v>
      </c>
      <c r="M2" s="58" t="s">
        <v>206</v>
      </c>
      <c r="N2" s="58" t="s">
        <v>207</v>
      </c>
      <c r="O2" s="58" t="s">
        <v>208</v>
      </c>
      <c r="P2" s="58" t="s">
        <v>209</v>
      </c>
      <c r="Q2" s="58" t="s">
        <v>210</v>
      </c>
    </row>
    <row r="3" spans="1:17" ht="15" customHeight="1" x14ac:dyDescent="0.35">
      <c r="A3" s="61" t="s">
        <v>94</v>
      </c>
      <c r="B3" s="62" t="s">
        <v>211</v>
      </c>
      <c r="C3" s="63">
        <v>46295</v>
      </c>
      <c r="D3" s="62">
        <v>85.8</v>
      </c>
      <c r="E3" s="62">
        <v>4.57</v>
      </c>
      <c r="F3" s="64" t="s">
        <v>212</v>
      </c>
      <c r="G3" s="65">
        <v>239.94</v>
      </c>
      <c r="H3" s="66" vm="1">
        <f t="array" aca="1" ref="H3" ca="1">IFERROR(INDEX(_xlfn.STOCKHISTORY(A3,TODAY()-5,TODAY(),0,0,1),ROWS(_xlfn.STOCKHISTORY(A3,TODAY()-5,TODAY(),0,0,1)),1),"")</f>
        <v>238.785</v>
      </c>
      <c r="I3" s="67">
        <f t="shared" ref="I3:I34" ca="1" si="0">IF(OR(G3="",H3=""),"",H3/G3-1)</f>
        <v>-4.8137034258565192E-3</v>
      </c>
      <c r="J3" s="68">
        <v>46365</v>
      </c>
      <c r="K3" s="62" t="s">
        <v>213</v>
      </c>
      <c r="L3" s="69" t="s">
        <v>214</v>
      </c>
      <c r="M3" s="62" t="s">
        <v>215</v>
      </c>
      <c r="N3" s="69"/>
      <c r="O3" s="70">
        <f t="shared" ref="O3:O34" ca="1" si="1">IF(C3="","",TODAY()-C3)</f>
        <v>6</v>
      </c>
      <c r="P3" s="71" t="str">
        <f t="shared" ref="P3:P34" ca="1" si="2">IF(A3="","",IF(O3&gt;180,"DUE — STALE (&gt;180 days)",IF(J3&lt;&gt;"",IF(ABS(J3-TODAY())&lt;=7,"DUE — EARNINGS WINDOW",IF(I3&lt;&gt;"",IF(ABS(I3)&gt;=0.2,"DUE — PRICE MOVE ±20%",IF(K3="Y","DUE — INSIDER ACTIVITY",IF(I3&lt;&gt;"",IF(ABS(I3)&gt;=0.15,"WATCH — PRICE MOVE ±15%",IF(M3="Y","WATCH — ANALYST SHIFT","Monitor Only")),IF(M3="Y","WATCH — ANALYST SHIFT","Monitor Only")))),IF(K3="Y","DUE — INSIDER ACTIVITY",IF(I3&lt;&gt;"",IF(ABS(I3)&gt;=0.15,"WATCH — PRICE MOVE ±15%",IF(M3="Y","WATCH — ANALYST SHIFT","Monitor Only")),IF(M3="Y","WATCH — ANALYST SHIFT","Monitor Only"))))),IF(I3&lt;&gt;"",IF(ABS(I3)&gt;=0.2,"DUE — PRICE MOVE ±20%",IF(K3="Y","DUE — INSIDER ACTIVITY",IF(I3&lt;&gt;"",IF(ABS(I3)&gt;=0.15,"WATCH — PRICE MOVE ±15%",IF(M3="Y","WATCH — ANALYST SHIFT","Monitor Only")),IF(M3="Y","WATCH — ANALYST SHIFT","Monitor Only")))),IF(K3="Y","DUE — INSIDER ACTIVITY",IF(I3&lt;&gt;"",IF(ABS(I3)&gt;=0.15,"WATCH — PRICE MOVE ±15%",IF(M3="Y","WATCH — ANALYST SHIFT","Monitor Only")),IF(M3="Y","WATCH — ANALYST SHIFT","Monitor Only")))))))</f>
        <v>DUE — INSIDER ACTIVITY</v>
      </c>
      <c r="Q3" s="69"/>
    </row>
    <row r="4" spans="1:17" ht="15" customHeight="1" x14ac:dyDescent="0.35">
      <c r="A4" s="61" t="s">
        <v>99</v>
      </c>
      <c r="B4" s="62" t="s">
        <v>211</v>
      </c>
      <c r="C4" s="63">
        <v>46278</v>
      </c>
      <c r="D4" s="62">
        <v>81</v>
      </c>
      <c r="E4" s="62">
        <v>4.29</v>
      </c>
      <c r="F4" s="64" t="s">
        <v>212</v>
      </c>
      <c r="G4" s="65">
        <v>199.59</v>
      </c>
      <c r="H4" s="66" vm="2">
        <f t="array" aca="1" ref="H4" ca="1">IFERROR(INDEX(_xlfn.STOCKHISTORY(A4,TODAY()-5,TODAY(),0,0,1),ROWS(_xlfn.STOCKHISTORY(A4,TODAY()-5,TODAY(),0,0,1)),1),"")</f>
        <v>206.9</v>
      </c>
      <c r="I4" s="67">
        <f t="shared" ca="1" si="0"/>
        <v>3.6625081416904681E-2</v>
      </c>
      <c r="J4" s="68">
        <v>46329</v>
      </c>
      <c r="K4" s="62" t="s">
        <v>213</v>
      </c>
      <c r="L4" s="69" t="s">
        <v>216</v>
      </c>
      <c r="M4" s="62" t="s">
        <v>215</v>
      </c>
      <c r="N4" s="69"/>
      <c r="O4" s="70">
        <f t="shared" ca="1" si="1"/>
        <v>23</v>
      </c>
      <c r="P4" s="71" t="str">
        <f t="shared" ca="1" si="2"/>
        <v>DUE — INSIDER ACTIVITY</v>
      </c>
      <c r="Q4" s="69"/>
    </row>
    <row r="5" spans="1:17" ht="15" customHeight="1" x14ac:dyDescent="0.35">
      <c r="A5" s="61" t="s">
        <v>101</v>
      </c>
      <c r="B5" s="62" t="s">
        <v>211</v>
      </c>
      <c r="C5" s="63">
        <v>46278</v>
      </c>
      <c r="D5" s="62">
        <v>77.2</v>
      </c>
      <c r="E5" s="62">
        <v>3.86</v>
      </c>
      <c r="F5" s="64" t="s">
        <v>217</v>
      </c>
      <c r="G5" s="65">
        <v>1698.3</v>
      </c>
      <c r="H5" s="66" vm="3">
        <f t="array" aca="1" ref="H5" ca="1">IFERROR(INDEX(_xlfn.STOCKHISTORY(A5,TODAY()-5,TODAY(),0,0,1),ROWS(_xlfn.STOCKHISTORY(A5,TODAY()-5,TODAY(),0,0,1)),1),"")</f>
        <v>1859.86</v>
      </c>
      <c r="I5" s="67">
        <f t="shared" ca="1" si="0"/>
        <v>9.5130424542189118E-2</v>
      </c>
      <c r="J5" s="68">
        <v>46309</v>
      </c>
      <c r="K5" s="62" t="s">
        <v>215</v>
      </c>
      <c r="L5" s="69"/>
      <c r="M5" s="62" t="s">
        <v>215</v>
      </c>
      <c r="N5" s="69"/>
      <c r="O5" s="70">
        <f t="shared" ca="1" si="1"/>
        <v>23</v>
      </c>
      <c r="P5" s="71" t="str">
        <f t="shared" ca="1" si="2"/>
        <v>Monitor Only</v>
      </c>
      <c r="Q5" s="69"/>
    </row>
    <row r="6" spans="1:17" ht="15" customHeight="1" x14ac:dyDescent="0.35">
      <c r="A6" s="61" t="s">
        <v>103</v>
      </c>
      <c r="B6" s="62" t="s">
        <v>211</v>
      </c>
      <c r="C6" s="63">
        <v>46278</v>
      </c>
      <c r="D6" s="62">
        <v>63.4</v>
      </c>
      <c r="E6" s="62">
        <v>3.5</v>
      </c>
      <c r="F6" s="64" t="s">
        <v>218</v>
      </c>
      <c r="G6" s="65">
        <v>206.74</v>
      </c>
      <c r="H6" s="66" vm="4">
        <f t="array" aca="1" ref="H6" ca="1">IFERROR(INDEX(_xlfn.STOCKHISTORY(A6,TODAY()-5,TODAY(),0,0,1),ROWS(_xlfn.STOCKHISTORY(A6,TODAY()-5,TODAY(),0,0,1)),1),"")</f>
        <v>272.67</v>
      </c>
      <c r="I6" s="67">
        <f t="shared" ca="1" si="0"/>
        <v>0.31890296991390144</v>
      </c>
      <c r="J6" s="68">
        <v>46357</v>
      </c>
      <c r="K6" s="62" t="s">
        <v>213</v>
      </c>
      <c r="L6" s="69" t="s">
        <v>219</v>
      </c>
      <c r="M6" s="62" t="s">
        <v>215</v>
      </c>
      <c r="N6" s="69"/>
      <c r="O6" s="70">
        <f t="shared" ca="1" si="1"/>
        <v>23</v>
      </c>
      <c r="P6" s="71" t="str">
        <f t="shared" ca="1" si="2"/>
        <v>DUE — PRICE MOVE ±20%</v>
      </c>
      <c r="Q6" s="69"/>
    </row>
    <row r="7" spans="1:17" ht="15" customHeight="1" x14ac:dyDescent="0.35">
      <c r="A7" s="61" t="s">
        <v>105</v>
      </c>
      <c r="B7" s="62" t="s">
        <v>211</v>
      </c>
      <c r="C7" s="63">
        <v>46278</v>
      </c>
      <c r="D7" s="62">
        <v>72.599999999999994</v>
      </c>
      <c r="E7" s="62">
        <v>3.71</v>
      </c>
      <c r="F7" s="64" t="s">
        <v>217</v>
      </c>
      <c r="G7" s="65">
        <v>180.64</v>
      </c>
      <c r="H7" s="66" vm="5">
        <f t="array" aca="1" ref="H7" ca="1">IFERROR(INDEX(_xlfn.STOCKHISTORY(A7,TODAY()-5,TODAY(),0,0,1),ROWS(_xlfn.STOCKHISTORY(A7,TODAY()-5,TODAY(),0,0,1)),1),"")</f>
        <v>206.85</v>
      </c>
      <c r="I7" s="67">
        <f t="shared" ca="1" si="0"/>
        <v>0.14509521700620032</v>
      </c>
      <c r="J7" s="68">
        <v>46323</v>
      </c>
      <c r="K7" s="62" t="s">
        <v>213</v>
      </c>
      <c r="L7" s="69" t="s">
        <v>220</v>
      </c>
      <c r="M7" s="62" t="s">
        <v>215</v>
      </c>
      <c r="N7" s="69"/>
      <c r="O7" s="70">
        <f t="shared" ca="1" si="1"/>
        <v>23</v>
      </c>
      <c r="P7" s="71" t="str">
        <f t="shared" ca="1" si="2"/>
        <v>DUE — INSIDER ACTIVITY</v>
      </c>
      <c r="Q7" s="69"/>
    </row>
    <row r="8" spans="1:17" ht="15" customHeight="1" x14ac:dyDescent="0.35">
      <c r="A8" s="61" t="s">
        <v>107</v>
      </c>
      <c r="B8" s="62" t="s">
        <v>211</v>
      </c>
      <c r="C8" s="63">
        <v>46278</v>
      </c>
      <c r="D8" s="62">
        <v>67.8</v>
      </c>
      <c r="E8" s="62">
        <v>3.36</v>
      </c>
      <c r="F8" s="64" t="s">
        <v>217</v>
      </c>
      <c r="G8" s="65">
        <v>975.26</v>
      </c>
      <c r="H8" s="66" vm="6">
        <f t="array" aca="1" ref="H8" ca="1">IFERROR(INDEX(_xlfn.STOCKHISTORY(A8,TODAY()-5,TODAY(),0,0,1),ROWS(_xlfn.STOCKHISTORY(A8,TODAY()-5,TODAY(),0,0,1)),1),"")</f>
        <v>1063.96</v>
      </c>
      <c r="I8" s="67">
        <f t="shared" ca="1" si="0"/>
        <v>9.095010561286232E-2</v>
      </c>
      <c r="J8" s="68">
        <v>46379</v>
      </c>
      <c r="K8" s="62" t="s">
        <v>215</v>
      </c>
      <c r="L8" s="69"/>
      <c r="M8" s="62" t="s">
        <v>215</v>
      </c>
      <c r="N8" s="69"/>
      <c r="O8" s="70">
        <f t="shared" ca="1" si="1"/>
        <v>23</v>
      </c>
      <c r="P8" s="71" t="str">
        <f t="shared" ca="1" si="2"/>
        <v>Monitor Only</v>
      </c>
      <c r="Q8" s="69"/>
    </row>
    <row r="9" spans="1:17" ht="15" customHeight="1" x14ac:dyDescent="0.35">
      <c r="A9" s="61" t="s">
        <v>109</v>
      </c>
      <c r="B9" s="62" t="s">
        <v>211</v>
      </c>
      <c r="C9" s="63">
        <v>46278</v>
      </c>
      <c r="D9" s="62">
        <v>89.2</v>
      </c>
      <c r="E9" s="62">
        <v>4.29</v>
      </c>
      <c r="F9" s="64" t="s">
        <v>212</v>
      </c>
      <c r="G9" s="65">
        <v>218.29</v>
      </c>
      <c r="H9" s="66" vm="7">
        <f t="array" aca="1" ref="H9" ca="1">IFERROR(INDEX(_xlfn.STOCKHISTORY(A9,TODAY()-5,TODAY(),0,0,1),ROWS(_xlfn.STOCKHISTORY(A9,TODAY()-5,TODAY(),0,0,1)),1),"")</f>
        <v>238.9</v>
      </c>
      <c r="I9" s="67">
        <f t="shared" ca="1" si="0"/>
        <v>9.4415685555911955E-2</v>
      </c>
      <c r="J9" s="68">
        <v>46343</v>
      </c>
      <c r="K9" s="62" t="s">
        <v>213</v>
      </c>
      <c r="L9" s="69" t="s">
        <v>221</v>
      </c>
      <c r="M9" s="62" t="s">
        <v>215</v>
      </c>
      <c r="N9" s="69"/>
      <c r="O9" s="70">
        <f t="shared" ca="1" si="1"/>
        <v>23</v>
      </c>
      <c r="P9" s="71" t="str">
        <f t="shared" ca="1" si="2"/>
        <v>DUE — INSIDER ACTIVITY</v>
      </c>
      <c r="Q9" s="69"/>
    </row>
    <row r="10" spans="1:17" ht="15" customHeight="1" x14ac:dyDescent="0.35">
      <c r="A10" s="61" t="s">
        <v>111</v>
      </c>
      <c r="B10" s="62" t="s">
        <v>211</v>
      </c>
      <c r="C10" s="63">
        <v>46278</v>
      </c>
      <c r="D10" s="62">
        <v>76.2</v>
      </c>
      <c r="E10" s="62">
        <v>4.07</v>
      </c>
      <c r="F10" s="64" t="s">
        <v>217</v>
      </c>
      <c r="G10" s="65">
        <v>167.23</v>
      </c>
      <c r="H10" s="66" vm="8">
        <f t="array" aca="1" ref="H10" ca="1">IFERROR(INDEX(_xlfn.STOCKHISTORY(A10,TODAY()-5,TODAY(),0,0,1),ROWS(_xlfn.STOCKHISTORY(A10,TODAY()-5,TODAY(),0,0,1)),1),"")</f>
        <v>189.4</v>
      </c>
      <c r="I10" s="67">
        <f t="shared" ca="1" si="0"/>
        <v>0.13257190695449395</v>
      </c>
      <c r="J10" s="68">
        <v>46328</v>
      </c>
      <c r="K10" s="62" t="s">
        <v>213</v>
      </c>
      <c r="L10" s="69" t="s">
        <v>222</v>
      </c>
      <c r="M10" s="62" t="s">
        <v>215</v>
      </c>
      <c r="N10" s="69"/>
      <c r="O10" s="70">
        <f t="shared" ca="1" si="1"/>
        <v>23</v>
      </c>
      <c r="P10" s="71" t="str">
        <f t="shared" ca="1" si="2"/>
        <v>DUE — INSIDER ACTIVITY</v>
      </c>
      <c r="Q10" s="69"/>
    </row>
    <row r="11" spans="1:17" ht="15" customHeight="1" x14ac:dyDescent="0.35">
      <c r="A11" s="61" t="s">
        <v>113</v>
      </c>
      <c r="B11" s="62" t="s">
        <v>211</v>
      </c>
      <c r="C11" s="63">
        <v>46278</v>
      </c>
      <c r="D11" s="62">
        <v>84</v>
      </c>
      <c r="E11" s="62">
        <v>4.21</v>
      </c>
      <c r="F11" s="64" t="s">
        <v>212</v>
      </c>
      <c r="G11" s="65">
        <v>433.24</v>
      </c>
      <c r="H11" s="66" vm="9">
        <f t="array" aca="1" ref="H11" ca="1">IFERROR(INDEX(_xlfn.STOCKHISTORY(A11,TODAY()-5,TODAY(),0,0,1),ROWS(_xlfn.STOCKHISTORY(A11,TODAY()-5,TODAY(),0,0,1)),1),"")</f>
        <v>485.8</v>
      </c>
      <c r="I11" s="67">
        <f t="shared" ca="1" si="0"/>
        <v>0.12131843781737595</v>
      </c>
      <c r="J11" s="68">
        <v>46310</v>
      </c>
      <c r="K11" s="62" t="s">
        <v>213</v>
      </c>
      <c r="L11" s="69" t="s">
        <v>223</v>
      </c>
      <c r="M11" s="62" t="s">
        <v>215</v>
      </c>
      <c r="N11" s="69"/>
      <c r="O11" s="70">
        <f t="shared" ca="1" si="1"/>
        <v>23</v>
      </c>
      <c r="P11" s="71" t="str">
        <f t="shared" ca="1" si="2"/>
        <v>DUE — INSIDER ACTIVITY</v>
      </c>
      <c r="Q11" s="69"/>
    </row>
    <row r="12" spans="1:17" ht="15" customHeight="1" x14ac:dyDescent="0.35">
      <c r="A12" s="61" t="s">
        <v>115</v>
      </c>
      <c r="B12" s="62" t="s">
        <v>211</v>
      </c>
      <c r="C12" s="63">
        <v>46278</v>
      </c>
      <c r="D12" s="62">
        <v>76.8</v>
      </c>
      <c r="E12" s="62">
        <v>3.93</v>
      </c>
      <c r="F12" s="64" t="s">
        <v>217</v>
      </c>
      <c r="G12" s="65">
        <v>257.06</v>
      </c>
      <c r="H12" s="66" vm="10">
        <f t="array" aca="1" ref="H12" ca="1">IFERROR(INDEX(_xlfn.STOCKHISTORY(A12,TODAY()-5,TODAY(),0,0,1),ROWS(_xlfn.STOCKHISTORY(A12,TODAY()-5,TODAY(),0,0,1)),1),"")</f>
        <v>253.62</v>
      </c>
      <c r="I12" s="67">
        <f t="shared" ca="1" si="0"/>
        <v>-1.3382089784486073E-2</v>
      </c>
      <c r="J12" s="68">
        <v>46316</v>
      </c>
      <c r="K12" s="62" t="s">
        <v>215</v>
      </c>
      <c r="L12" s="69"/>
      <c r="M12" s="62" t="s">
        <v>215</v>
      </c>
      <c r="N12" s="69"/>
      <c r="O12" s="70">
        <f t="shared" ca="1" si="1"/>
        <v>23</v>
      </c>
      <c r="P12" s="71" t="str">
        <f t="shared" ca="1" si="2"/>
        <v>Monitor Only</v>
      </c>
      <c r="Q12" s="69"/>
    </row>
    <row r="13" spans="1:17" ht="15" customHeight="1" x14ac:dyDescent="0.35">
      <c r="A13" s="61" t="s">
        <v>164</v>
      </c>
      <c r="B13" s="62" t="s">
        <v>211</v>
      </c>
      <c r="C13" s="63">
        <v>46300</v>
      </c>
      <c r="D13" s="62">
        <v>74.8</v>
      </c>
      <c r="E13" s="62">
        <v>3.64</v>
      </c>
      <c r="F13" s="64" t="s">
        <v>217</v>
      </c>
      <c r="G13" s="65">
        <v>355.14</v>
      </c>
      <c r="H13" s="66" vm="14">
        <f t="array" aca="1" ref="H13" ca="1">IFERROR(INDEX(_xlfn.STOCKHISTORY(A13,TODAY()-5,TODAY(),0,0,1),ROWS(_xlfn.STOCKHISTORY(A13,TODAY()-5,TODAY(),0,0,1)),1),"")</f>
        <v>362.51</v>
      </c>
      <c r="I13" s="67">
        <f t="shared" ca="1" si="0"/>
        <v>2.0752379343357497E-2</v>
      </c>
      <c r="J13" s="68">
        <v>46365</v>
      </c>
      <c r="K13" s="62" t="s">
        <v>213</v>
      </c>
      <c r="L13" s="69" t="s">
        <v>224</v>
      </c>
      <c r="M13" s="62" t="s">
        <v>215</v>
      </c>
      <c r="N13" s="69"/>
      <c r="O13" s="70">
        <f t="shared" ca="1" si="1"/>
        <v>1</v>
      </c>
      <c r="P13" s="71" t="str">
        <f t="shared" ca="1" si="2"/>
        <v>DUE — INSIDER ACTIVITY</v>
      </c>
      <c r="Q13" s="69" t="s">
        <v>225</v>
      </c>
    </row>
    <row r="14" spans="1:17" ht="15" customHeight="1" x14ac:dyDescent="0.35">
      <c r="A14" s="61" t="s">
        <v>169</v>
      </c>
      <c r="B14" s="62" t="s">
        <v>211</v>
      </c>
      <c r="C14" s="63">
        <v>46295</v>
      </c>
      <c r="D14" s="62">
        <v>76</v>
      </c>
      <c r="E14" s="62">
        <v>3.93</v>
      </c>
      <c r="F14" s="64" t="s">
        <v>217</v>
      </c>
      <c r="G14" s="65">
        <v>129.84</v>
      </c>
      <c r="H14" s="66" vm="16">
        <f t="array" aca="1" ref="H14" ca="1">IFERROR(INDEX(_xlfn.STOCKHISTORY(A14,TODAY()-5,TODAY(),0,0,1),ROWS(_xlfn.STOCKHISTORY(A14,TODAY()-5,TODAY(),0,0,1)),1),"")</f>
        <v>128.08000000000001</v>
      </c>
      <c r="I14" s="67">
        <f t="shared" ca="1" si="0"/>
        <v>-1.3555144793591989E-2</v>
      </c>
      <c r="J14" s="68">
        <v>46310</v>
      </c>
      <c r="K14" s="62" t="s">
        <v>215</v>
      </c>
      <c r="L14" s="69"/>
      <c r="M14" s="62" t="s">
        <v>215</v>
      </c>
      <c r="N14" s="69"/>
      <c r="O14" s="70">
        <f t="shared" ca="1" si="1"/>
        <v>6</v>
      </c>
      <c r="P14" s="71" t="str">
        <f t="shared" ca="1" si="2"/>
        <v>Monitor Only</v>
      </c>
      <c r="Q14" s="69"/>
    </row>
    <row r="15" spans="1:17" ht="15" customHeight="1" x14ac:dyDescent="0.35">
      <c r="A15" s="61" t="s">
        <v>166</v>
      </c>
      <c r="B15" s="62" t="s">
        <v>211</v>
      </c>
      <c r="C15" s="63">
        <v>46300</v>
      </c>
      <c r="D15" s="62">
        <v>70.599999999999994</v>
      </c>
      <c r="E15" s="62">
        <v>3.43</v>
      </c>
      <c r="F15" s="64" t="s">
        <v>217</v>
      </c>
      <c r="G15" s="65">
        <v>504.73</v>
      </c>
      <c r="H15" s="66" vm="15">
        <f t="array" aca="1" ref="H15" ca="1">IFERROR(INDEX(_xlfn.STOCKHISTORY(A15,TODAY()-5,TODAY(),0,0,1),ROWS(_xlfn.STOCKHISTORY(A15,TODAY()-5,TODAY(),0,0,1)),1),"")</f>
        <v>503.5</v>
      </c>
      <c r="I15" s="67">
        <f t="shared" ca="1" si="0"/>
        <v>-2.4369464862401546E-3</v>
      </c>
      <c r="J15" s="68">
        <v>46328</v>
      </c>
      <c r="K15" s="62" t="s">
        <v>215</v>
      </c>
      <c r="L15" s="69"/>
      <c r="M15" s="62" t="s">
        <v>215</v>
      </c>
      <c r="N15" s="69"/>
      <c r="O15" s="70">
        <f t="shared" ca="1" si="1"/>
        <v>1</v>
      </c>
      <c r="P15" s="71" t="str">
        <f t="shared" ca="1" si="2"/>
        <v>Monitor Only</v>
      </c>
      <c r="Q15" s="69" t="s">
        <v>226</v>
      </c>
    </row>
    <row r="16" spans="1:17" ht="15" customHeight="1" outlineLevel="1" x14ac:dyDescent="0.35">
      <c r="A16" s="61" t="s">
        <v>227</v>
      </c>
      <c r="B16" s="69" t="s">
        <v>228</v>
      </c>
      <c r="C16" s="63">
        <v>46246</v>
      </c>
      <c r="D16" s="62"/>
      <c r="E16" s="62">
        <v>1.36</v>
      </c>
      <c r="F16" s="64"/>
      <c r="G16" s="65">
        <v>53.52</v>
      </c>
      <c r="H16" s="66" vm="20">
        <f t="array" aca="1" ref="H16" ca="1">IFERROR(INDEX(_xlfn.STOCKHISTORY(A16,TODAY()-5,TODAY(),0,0,1),ROWS(_xlfn.STOCKHISTORY(A16,TODAY()-5,TODAY(),0,0,1)),1),"")</f>
        <v>39.65</v>
      </c>
      <c r="I16" s="67">
        <f t="shared" ca="1" si="0"/>
        <v>-0.25915545590433486</v>
      </c>
      <c r="J16" s="68">
        <v>46331</v>
      </c>
      <c r="K16" s="62" t="s">
        <v>215</v>
      </c>
      <c r="L16" s="69"/>
      <c r="M16" s="62" t="s">
        <v>215</v>
      </c>
      <c r="N16" s="69"/>
      <c r="O16" s="70">
        <f t="shared" ca="1" si="1"/>
        <v>55</v>
      </c>
      <c r="P16" s="71" t="str">
        <f t="shared" ca="1" si="2"/>
        <v>DUE — PRICE MOVE ±20%</v>
      </c>
      <c r="Q16" s="69"/>
    </row>
    <row r="17" spans="1:17" ht="15" customHeight="1" outlineLevel="1" x14ac:dyDescent="0.35">
      <c r="A17" s="61" t="s">
        <v>229</v>
      </c>
      <c r="B17" s="69" t="s">
        <v>228</v>
      </c>
      <c r="C17" s="63">
        <v>46246</v>
      </c>
      <c r="D17" s="62"/>
      <c r="E17" s="62">
        <v>2.79</v>
      </c>
      <c r="F17" s="64"/>
      <c r="G17" s="65">
        <v>125.22</v>
      </c>
      <c r="H17" s="66" vm="21">
        <f t="array" aca="1" ref="H17" ca="1">IFERROR(INDEX(_xlfn.STOCKHISTORY(A17,TODAY()-5,TODAY(),0,0,1),ROWS(_xlfn.STOCKHISTORY(A17,TODAY()-5,TODAY(),0,0,1)),1),"")</f>
        <v>110.8</v>
      </c>
      <c r="I17" s="67">
        <f t="shared" ca="1" si="0"/>
        <v>-0.11515732311132409</v>
      </c>
      <c r="J17" s="68">
        <v>46350</v>
      </c>
      <c r="K17" s="62" t="s">
        <v>213</v>
      </c>
      <c r="L17" s="69" t="s">
        <v>230</v>
      </c>
      <c r="M17" s="62" t="s">
        <v>215</v>
      </c>
      <c r="N17" s="69"/>
      <c r="O17" s="70">
        <f t="shared" ca="1" si="1"/>
        <v>55</v>
      </c>
      <c r="P17" s="71" t="str">
        <f t="shared" ca="1" si="2"/>
        <v>DUE — INSIDER ACTIVITY</v>
      </c>
      <c r="Q17" s="69"/>
    </row>
    <row r="18" spans="1:17" ht="15" customHeight="1" outlineLevel="1" x14ac:dyDescent="0.35">
      <c r="A18" s="61" t="s">
        <v>231</v>
      </c>
      <c r="B18" s="69" t="s">
        <v>228</v>
      </c>
      <c r="C18" s="63">
        <v>46245</v>
      </c>
      <c r="D18" s="62"/>
      <c r="E18" s="62">
        <v>1.79</v>
      </c>
      <c r="F18" s="64"/>
      <c r="G18" s="65">
        <v>44.84</v>
      </c>
      <c r="H18" s="66" vm="22">
        <f t="array" aca="1" ref="H18" ca="1">IFERROR(INDEX(_xlfn.STOCKHISTORY(A18,TODAY()-5,TODAY(),0,0,1),ROWS(_xlfn.STOCKHISTORY(A18,TODAY()-5,TODAY(),0,0,1)),1),"")</f>
        <v>45.53</v>
      </c>
      <c r="I18" s="67">
        <f t="shared" ca="1" si="0"/>
        <v>1.5388046387154297E-2</v>
      </c>
      <c r="J18" s="68">
        <v>46328</v>
      </c>
      <c r="K18" s="62" t="s">
        <v>215</v>
      </c>
      <c r="L18" s="69"/>
      <c r="M18" s="62" t="s">
        <v>215</v>
      </c>
      <c r="N18" s="69"/>
      <c r="O18" s="70">
        <f t="shared" ca="1" si="1"/>
        <v>56</v>
      </c>
      <c r="P18" s="71" t="str">
        <f t="shared" ca="1" si="2"/>
        <v>Monitor Only</v>
      </c>
      <c r="Q18" s="69"/>
    </row>
    <row r="19" spans="1:17" ht="15" customHeight="1" outlineLevel="1" x14ac:dyDescent="0.35">
      <c r="A19" s="61" t="s">
        <v>232</v>
      </c>
      <c r="B19" s="69" t="s">
        <v>228</v>
      </c>
      <c r="C19" s="63">
        <v>46245</v>
      </c>
      <c r="D19" s="62"/>
      <c r="E19" s="62">
        <v>1.86</v>
      </c>
      <c r="F19" s="64"/>
      <c r="G19" s="65">
        <v>12.41</v>
      </c>
      <c r="H19" s="66" vm="23">
        <f t="array" aca="1" ref="H19" ca="1">IFERROR(INDEX(_xlfn.STOCKHISTORY(A19,TODAY()-5,TODAY(),0,0,1),ROWS(_xlfn.STOCKHISTORY(A19,TODAY()-5,TODAY(),0,0,1)),1),"")</f>
        <v>12.2</v>
      </c>
      <c r="I19" s="67">
        <f t="shared" ca="1" si="0"/>
        <v>-1.6921837228041969E-2</v>
      </c>
      <c r="J19" s="68">
        <v>46314</v>
      </c>
      <c r="K19" s="62" t="s">
        <v>215</v>
      </c>
      <c r="L19" s="69"/>
      <c r="M19" s="62" t="s">
        <v>215</v>
      </c>
      <c r="N19" s="69"/>
      <c r="O19" s="70">
        <f t="shared" ca="1" si="1"/>
        <v>56</v>
      </c>
      <c r="P19" s="71" t="str">
        <f t="shared" ca="1" si="2"/>
        <v>Monitor Only</v>
      </c>
      <c r="Q19" s="69"/>
    </row>
    <row r="20" spans="1:17" ht="15" customHeight="1" x14ac:dyDescent="0.35">
      <c r="A20" s="61" t="s">
        <v>233</v>
      </c>
      <c r="B20" s="72" t="s">
        <v>234</v>
      </c>
      <c r="C20" s="63">
        <v>46245</v>
      </c>
      <c r="D20" s="62"/>
      <c r="E20" s="62">
        <v>3.71</v>
      </c>
      <c r="F20" s="64"/>
      <c r="G20" s="65">
        <v>32</v>
      </c>
      <c r="H20" s="66" vm="24">
        <f t="array" aca="1" ref="H20" ca="1">IFERROR(INDEX(_xlfn.STOCKHISTORY(A20,TODAY()-5,TODAY(),0,0,1),ROWS(_xlfn.STOCKHISTORY(A20,TODAY()-5,TODAY(),0,0,1)),1),"")</f>
        <v>30.85</v>
      </c>
      <c r="I20" s="67">
        <f t="shared" ca="1" si="0"/>
        <v>-3.5937499999999956E-2</v>
      </c>
      <c r="J20" s="68">
        <v>46323</v>
      </c>
      <c r="K20" s="62" t="s">
        <v>215</v>
      </c>
      <c r="L20" s="69"/>
      <c r="M20" s="62" t="s">
        <v>215</v>
      </c>
      <c r="N20" s="69"/>
      <c r="O20" s="70">
        <f t="shared" ca="1" si="1"/>
        <v>56</v>
      </c>
      <c r="P20" s="71" t="str">
        <f t="shared" ca="1" si="2"/>
        <v>Monitor Only</v>
      </c>
      <c r="Q20" s="69"/>
    </row>
    <row r="21" spans="1:17" ht="15" customHeight="1" x14ac:dyDescent="0.35">
      <c r="A21" s="61" t="s">
        <v>235</v>
      </c>
      <c r="B21" s="72" t="s">
        <v>234</v>
      </c>
      <c r="C21" s="63">
        <v>46245</v>
      </c>
      <c r="D21" s="62">
        <v>77.400000000000006</v>
      </c>
      <c r="E21" s="62">
        <v>4.1399999999999997</v>
      </c>
      <c r="F21" s="64" t="s">
        <v>217</v>
      </c>
      <c r="G21" s="65">
        <v>944.32</v>
      </c>
      <c r="H21" s="66" vm="25">
        <f t="array" aca="1" ref="H21" ca="1">IFERROR(INDEX(_xlfn.STOCKHISTORY(A21,TODAY()-5,TODAY(),0,0,1),ROWS(_xlfn.STOCKHISTORY(A21,TODAY()-5,TODAY(),0,0,1)),1),"")</f>
        <v>923.52</v>
      </c>
      <c r="I21" s="67">
        <f t="shared" ca="1" si="0"/>
        <v>-2.2026431718061734E-2</v>
      </c>
      <c r="J21" s="68">
        <v>46366</v>
      </c>
      <c r="K21" s="62" t="s">
        <v>215</v>
      </c>
      <c r="L21" s="69"/>
      <c r="M21" s="62" t="s">
        <v>215</v>
      </c>
      <c r="N21" s="69"/>
      <c r="O21" s="70">
        <f t="shared" ca="1" si="1"/>
        <v>56</v>
      </c>
      <c r="P21" s="71" t="str">
        <f t="shared" ca="1" si="2"/>
        <v>Monitor Only</v>
      </c>
      <c r="Q21" s="69"/>
    </row>
    <row r="22" spans="1:17" ht="15" customHeight="1" outlineLevel="1" x14ac:dyDescent="0.35">
      <c r="A22" s="61" t="s">
        <v>236</v>
      </c>
      <c r="B22" s="73" t="s">
        <v>228</v>
      </c>
      <c r="C22" s="63">
        <v>46245</v>
      </c>
      <c r="D22" s="62"/>
      <c r="E22" s="62">
        <v>1.21</v>
      </c>
      <c r="F22" s="64"/>
      <c r="G22" s="65">
        <v>14.39</v>
      </c>
      <c r="H22" s="66" vm="26">
        <f t="array" aca="1" ref="H22" ca="1">IFERROR(INDEX(_xlfn.STOCKHISTORY(A22,TODAY()-5,TODAY(),0,0,1),ROWS(_xlfn.STOCKHISTORY(A22,TODAY()-5,TODAY(),0,0,1)),1),"")</f>
        <v>13.06</v>
      </c>
      <c r="I22" s="67">
        <f t="shared" ca="1" si="0"/>
        <v>-9.2425295343988911E-2</v>
      </c>
      <c r="J22" s="68">
        <v>46328</v>
      </c>
      <c r="K22" s="62" t="s">
        <v>215</v>
      </c>
      <c r="L22" s="69"/>
      <c r="M22" s="62" t="s">
        <v>215</v>
      </c>
      <c r="N22" s="69"/>
      <c r="O22" s="70">
        <f t="shared" ca="1" si="1"/>
        <v>56</v>
      </c>
      <c r="P22" s="71" t="str">
        <f t="shared" ca="1" si="2"/>
        <v>Monitor Only</v>
      </c>
      <c r="Q22" s="69"/>
    </row>
    <row r="23" spans="1:17" ht="15" customHeight="1" outlineLevel="1" x14ac:dyDescent="0.35">
      <c r="A23" s="61" t="s">
        <v>237</v>
      </c>
      <c r="B23" s="73" t="s">
        <v>228</v>
      </c>
      <c r="C23" s="63">
        <v>46245</v>
      </c>
      <c r="D23" s="62"/>
      <c r="E23" s="62">
        <v>2.36</v>
      </c>
      <c r="F23" s="64"/>
      <c r="G23" s="65">
        <v>94.94</v>
      </c>
      <c r="H23" s="66" vm="27">
        <f t="array" aca="1" ref="H23" ca="1">IFERROR(INDEX(_xlfn.STOCKHISTORY(A23,TODAY()-5,TODAY(),0,0,1),ROWS(_xlfn.STOCKHISTORY(A23,TODAY()-5,TODAY(),0,0,1)),1),"")</f>
        <v>83.97</v>
      </c>
      <c r="I23" s="67">
        <f t="shared" ca="1" si="0"/>
        <v>-0.11554666104908362</v>
      </c>
      <c r="J23" s="68">
        <v>46240</v>
      </c>
      <c r="K23" s="62" t="s">
        <v>215</v>
      </c>
      <c r="L23" s="69"/>
      <c r="M23" s="62" t="s">
        <v>215</v>
      </c>
      <c r="N23" s="69"/>
      <c r="O23" s="70">
        <f t="shared" ca="1" si="1"/>
        <v>56</v>
      </c>
      <c r="P23" s="71" t="str">
        <f t="shared" ca="1" si="2"/>
        <v>Monitor Only</v>
      </c>
      <c r="Q23" s="69"/>
    </row>
    <row r="24" spans="1:17" ht="15" customHeight="1" outlineLevel="1" x14ac:dyDescent="0.35">
      <c r="A24" s="61" t="s">
        <v>238</v>
      </c>
      <c r="B24" s="73" t="s">
        <v>228</v>
      </c>
      <c r="C24" s="63">
        <v>46258</v>
      </c>
      <c r="D24" s="62"/>
      <c r="E24" s="62">
        <v>2.93</v>
      </c>
      <c r="F24" s="64"/>
      <c r="G24" s="65">
        <v>110.61</v>
      </c>
      <c r="H24" s="66" vm="28">
        <f t="array" aca="1" ref="H24" ca="1">IFERROR(INDEX(_xlfn.STOCKHISTORY(A24,TODAY()-5,TODAY(),0,0,1),ROWS(_xlfn.STOCKHISTORY(A24,TODAY()-5,TODAY(),0,0,1)),1),"")</f>
        <v>103.61</v>
      </c>
      <c r="I24" s="67">
        <f t="shared" ca="1" si="0"/>
        <v>-6.3285417231714991E-2</v>
      </c>
      <c r="J24" s="68">
        <v>46338</v>
      </c>
      <c r="K24" s="62" t="s">
        <v>213</v>
      </c>
      <c r="L24" s="69" t="s">
        <v>239</v>
      </c>
      <c r="M24" s="62" t="s">
        <v>215</v>
      </c>
      <c r="N24" s="69"/>
      <c r="O24" s="70">
        <f t="shared" ca="1" si="1"/>
        <v>43</v>
      </c>
      <c r="P24" s="71" t="str">
        <f t="shared" ca="1" si="2"/>
        <v>DUE — INSIDER ACTIVITY</v>
      </c>
      <c r="Q24" s="69"/>
    </row>
    <row r="25" spans="1:17" ht="15" customHeight="1" x14ac:dyDescent="0.35">
      <c r="A25" s="61" t="s">
        <v>240</v>
      </c>
      <c r="B25" s="72" t="s">
        <v>234</v>
      </c>
      <c r="C25" s="63">
        <v>46245</v>
      </c>
      <c r="D25" s="62"/>
      <c r="E25" s="62">
        <v>4.8600000000000003</v>
      </c>
      <c r="F25" s="64"/>
      <c r="G25" s="65">
        <v>357.34</v>
      </c>
      <c r="H25" s="66" vm="29">
        <f t="array" aca="1" ref="H25" ca="1">IFERROR(INDEX(_xlfn.STOCKHISTORY(A25,TODAY()-5,TODAY(),0,0,1),ROWS(_xlfn.STOCKHISTORY(A25,TODAY()-5,TODAY(),0,0,1)),1),"")</f>
        <v>297.27</v>
      </c>
      <c r="I25" s="67">
        <f t="shared" ca="1" si="0"/>
        <v>-0.16810320702971959</v>
      </c>
      <c r="J25" s="68">
        <v>46308</v>
      </c>
      <c r="K25" s="62" t="s">
        <v>215</v>
      </c>
      <c r="L25" s="69"/>
      <c r="M25" s="62" t="s">
        <v>215</v>
      </c>
      <c r="N25" s="69"/>
      <c r="O25" s="70">
        <f t="shared" ca="1" si="1"/>
        <v>56</v>
      </c>
      <c r="P25" s="71" t="str">
        <f t="shared" ca="1" si="2"/>
        <v>DUE — EARNINGS WINDOW</v>
      </c>
      <c r="Q25" s="69"/>
    </row>
    <row r="26" spans="1:17" ht="15" customHeight="1" outlineLevel="1" x14ac:dyDescent="0.35">
      <c r="A26" s="61" t="s">
        <v>241</v>
      </c>
      <c r="B26" s="73" t="s">
        <v>228</v>
      </c>
      <c r="C26" s="63">
        <v>46245</v>
      </c>
      <c r="D26" s="62"/>
      <c r="E26" s="62">
        <v>2.14</v>
      </c>
      <c r="F26" s="64"/>
      <c r="G26" s="65">
        <v>87.78</v>
      </c>
      <c r="H26" s="66" vm="30">
        <f t="array" aca="1" ref="H26" ca="1">IFERROR(INDEX(_xlfn.STOCKHISTORY(A26,TODAY()-5,TODAY(),0,0,1),ROWS(_xlfn.STOCKHISTORY(A26,TODAY()-5,TODAY(),0,0,1)),1),"")</f>
        <v>93.3</v>
      </c>
      <c r="I26" s="67">
        <f t="shared" ca="1" si="0"/>
        <v>6.2884483937115432E-2</v>
      </c>
      <c r="J26" s="68">
        <v>46328</v>
      </c>
      <c r="K26" s="62" t="s">
        <v>213</v>
      </c>
      <c r="L26" s="69" t="s">
        <v>242</v>
      </c>
      <c r="M26" s="62" t="s">
        <v>215</v>
      </c>
      <c r="N26" s="69"/>
      <c r="O26" s="70">
        <f t="shared" ca="1" si="1"/>
        <v>56</v>
      </c>
      <c r="P26" s="71" t="str">
        <f t="shared" ca="1" si="2"/>
        <v>DUE — INSIDER ACTIVITY</v>
      </c>
      <c r="Q26" s="69"/>
    </row>
    <row r="27" spans="1:17" ht="15" customHeight="1" x14ac:dyDescent="0.35">
      <c r="A27" s="61" t="s">
        <v>243</v>
      </c>
      <c r="B27" s="72" t="s">
        <v>234</v>
      </c>
      <c r="C27" s="63">
        <v>46276</v>
      </c>
      <c r="D27" s="62"/>
      <c r="E27" s="62">
        <v>3.07</v>
      </c>
      <c r="F27" s="64"/>
      <c r="G27" s="65">
        <v>20.78</v>
      </c>
      <c r="H27" s="66" vm="31">
        <f t="array" aca="1" ref="H27" ca="1">IFERROR(INDEX(_xlfn.STOCKHISTORY(A27,TODAY()-5,TODAY(),0,0,1),ROWS(_xlfn.STOCKHISTORY(A27,TODAY()-5,TODAY(),0,0,1)),1),"")</f>
        <v>20.72</v>
      </c>
      <c r="I27" s="67">
        <f t="shared" ca="1" si="0"/>
        <v>-2.8873917228104951E-3</v>
      </c>
      <c r="J27" s="68">
        <v>46329</v>
      </c>
      <c r="K27" s="62" t="s">
        <v>213</v>
      </c>
      <c r="L27" s="69" t="s">
        <v>244</v>
      </c>
      <c r="M27" s="62" t="s">
        <v>215</v>
      </c>
      <c r="N27" s="69"/>
      <c r="O27" s="70">
        <f t="shared" ca="1" si="1"/>
        <v>25</v>
      </c>
      <c r="P27" s="71" t="str">
        <f t="shared" ca="1" si="2"/>
        <v>DUE — INSIDER ACTIVITY</v>
      </c>
      <c r="Q27" s="69"/>
    </row>
    <row r="28" spans="1:17" ht="15" customHeight="1" x14ac:dyDescent="0.35">
      <c r="A28" s="61" t="s">
        <v>245</v>
      </c>
      <c r="B28" s="72" t="s">
        <v>234</v>
      </c>
      <c r="C28" s="63">
        <v>46247</v>
      </c>
      <c r="D28" s="62"/>
      <c r="E28" s="62">
        <v>3.5</v>
      </c>
      <c r="F28" s="64"/>
      <c r="G28" s="65">
        <v>453.33</v>
      </c>
      <c r="H28" s="66" vm="32">
        <f t="array" aca="1" ref="H28" ca="1">IFERROR(INDEX(_xlfn.STOCKHISTORY(A28,TODAY()-5,TODAY(),0,0,1),ROWS(_xlfn.STOCKHISTORY(A28,TODAY()-5,TODAY(),0,0,1)),1),"")</f>
        <v>432.6</v>
      </c>
      <c r="I28" s="67">
        <f t="shared" ca="1" si="0"/>
        <v>-4.5728277413804475E-2</v>
      </c>
      <c r="J28" s="68">
        <v>46329</v>
      </c>
      <c r="K28" s="62" t="s">
        <v>213</v>
      </c>
      <c r="L28" s="69" t="s">
        <v>246</v>
      </c>
      <c r="M28" s="62" t="s">
        <v>215</v>
      </c>
      <c r="N28" s="69"/>
      <c r="O28" s="70">
        <f t="shared" ca="1" si="1"/>
        <v>54</v>
      </c>
      <c r="P28" s="71" t="str">
        <f t="shared" ca="1" si="2"/>
        <v>DUE — INSIDER ACTIVITY</v>
      </c>
      <c r="Q28" s="69"/>
    </row>
    <row r="29" spans="1:17" ht="15" customHeight="1" x14ac:dyDescent="0.35">
      <c r="A29" s="61" t="s">
        <v>247</v>
      </c>
      <c r="B29" s="72" t="s">
        <v>234</v>
      </c>
      <c r="C29" s="63">
        <v>46246</v>
      </c>
      <c r="D29" s="62"/>
      <c r="E29" s="62">
        <v>3.43</v>
      </c>
      <c r="F29" s="64"/>
      <c r="G29" s="65">
        <v>79.63</v>
      </c>
      <c r="H29" s="66" vm="33">
        <f t="array" aca="1" ref="H29" ca="1">IFERROR(INDEX(_xlfn.STOCKHISTORY(A29,TODAY()-5,TODAY(),0,0,1),ROWS(_xlfn.STOCKHISTORY(A29,TODAY()-5,TODAY(),0,0,1)),1),"")</f>
        <v>70.89</v>
      </c>
      <c r="I29" s="67">
        <f t="shared" ca="1" si="0"/>
        <v>-0.10975762903428354</v>
      </c>
      <c r="J29" s="68">
        <v>46330</v>
      </c>
      <c r="K29" s="62" t="s">
        <v>213</v>
      </c>
      <c r="L29" s="69" t="s">
        <v>248</v>
      </c>
      <c r="M29" s="62" t="s">
        <v>215</v>
      </c>
      <c r="N29" s="69"/>
      <c r="O29" s="70">
        <f t="shared" ca="1" si="1"/>
        <v>55</v>
      </c>
      <c r="P29" s="71" t="str">
        <f t="shared" ca="1" si="2"/>
        <v>DUE — INSIDER ACTIVITY</v>
      </c>
      <c r="Q29" s="69"/>
    </row>
    <row r="30" spans="1:17" ht="15" customHeight="1" x14ac:dyDescent="0.35">
      <c r="A30" s="61" t="s">
        <v>139</v>
      </c>
      <c r="B30" s="72" t="s">
        <v>211</v>
      </c>
      <c r="C30" s="63">
        <v>46278</v>
      </c>
      <c r="D30" s="62">
        <v>84.2</v>
      </c>
      <c r="E30" s="62">
        <v>4.1399999999999997</v>
      </c>
      <c r="F30" s="64" t="s">
        <v>212</v>
      </c>
      <c r="G30" s="65">
        <v>323.66000000000003</v>
      </c>
      <c r="H30" s="66" vm="12">
        <f t="array" aca="1" ref="H30" ca="1">IFERROR(INDEX(_xlfn.STOCKHISTORY(A30,TODAY()-5,TODAY(),0,0,1),ROWS(_xlfn.STOCKHISTORY(A30,TODAY()-5,TODAY(),0,0,1)),1),"")</f>
        <v>306.33999999999997</v>
      </c>
      <c r="I30" s="67">
        <f t="shared" ca="1" si="0"/>
        <v>-5.3512945683742319E-2</v>
      </c>
      <c r="J30" s="68">
        <v>46315</v>
      </c>
      <c r="K30" s="62" t="s">
        <v>215</v>
      </c>
      <c r="L30" s="69"/>
      <c r="M30" s="62" t="s">
        <v>215</v>
      </c>
      <c r="N30" s="69"/>
      <c r="O30" s="70">
        <f t="shared" ca="1" si="1"/>
        <v>23</v>
      </c>
      <c r="P30" s="71" t="str">
        <f t="shared" ca="1" si="2"/>
        <v>Monitor Only</v>
      </c>
      <c r="Q30" s="69"/>
    </row>
    <row r="31" spans="1:17" ht="15" customHeight="1" outlineLevel="1" x14ac:dyDescent="0.35">
      <c r="A31" s="61" t="s">
        <v>249</v>
      </c>
      <c r="B31" s="73" t="s">
        <v>228</v>
      </c>
      <c r="C31" s="63">
        <v>46246</v>
      </c>
      <c r="D31" s="62"/>
      <c r="E31" s="62">
        <v>2.5</v>
      </c>
      <c r="F31" s="64"/>
      <c r="G31" s="65">
        <v>8.64</v>
      </c>
      <c r="H31" s="66" vm="34">
        <f t="array" aca="1" ref="H31" ca="1">IFERROR(INDEX(_xlfn.STOCKHISTORY(A31,TODAY()-5,TODAY(),0,0,1),ROWS(_xlfn.STOCKHISTORY(A31,TODAY()-5,TODAY(),0,0,1)),1),"")</f>
        <v>7.62</v>
      </c>
      <c r="I31" s="67">
        <f t="shared" ca="1" si="0"/>
        <v>-0.11805555555555558</v>
      </c>
      <c r="J31" s="68">
        <v>46331</v>
      </c>
      <c r="K31" s="62" t="s">
        <v>215</v>
      </c>
      <c r="L31" s="69"/>
      <c r="M31" s="62"/>
      <c r="N31" s="69"/>
      <c r="O31" s="70">
        <f t="shared" ca="1" si="1"/>
        <v>55</v>
      </c>
      <c r="P31" s="71" t="str">
        <f t="shared" ca="1" si="2"/>
        <v>Monitor Only</v>
      </c>
      <c r="Q31" s="69"/>
    </row>
    <row r="32" spans="1:17" ht="15" customHeight="1" outlineLevel="1" x14ac:dyDescent="0.35">
      <c r="A32" s="61" t="s">
        <v>250</v>
      </c>
      <c r="B32" s="73" t="s">
        <v>228</v>
      </c>
      <c r="C32" s="63">
        <v>46245</v>
      </c>
      <c r="D32" s="62"/>
      <c r="E32" s="62">
        <v>1.93</v>
      </c>
      <c r="F32" s="64"/>
      <c r="G32" s="65">
        <v>24.3</v>
      </c>
      <c r="H32" s="66" vm="35">
        <f t="array" aca="1" ref="H32" ca="1">IFERROR(INDEX(_xlfn.STOCKHISTORY(A32,TODAY()-5,TODAY(),0,0,1),ROWS(_xlfn.STOCKHISTORY(A32,TODAY()-5,TODAY(),0,0,1)),1),"")</f>
        <v>20.079999999999998</v>
      </c>
      <c r="I32" s="67">
        <f t="shared" ca="1" si="0"/>
        <v>-0.17366255144032927</v>
      </c>
      <c r="J32" s="68">
        <v>46261</v>
      </c>
      <c r="K32" s="62" t="s">
        <v>215</v>
      </c>
      <c r="L32" s="69"/>
      <c r="M32" s="62" t="s">
        <v>215</v>
      </c>
      <c r="N32" s="69"/>
      <c r="O32" s="70">
        <f t="shared" ca="1" si="1"/>
        <v>56</v>
      </c>
      <c r="P32" s="71" t="str">
        <f t="shared" ca="1" si="2"/>
        <v>WATCH — PRICE MOVE ±15%</v>
      </c>
      <c r="Q32" s="69"/>
    </row>
    <row r="33" spans="1:17" ht="15" customHeight="1" outlineLevel="1" x14ac:dyDescent="0.35">
      <c r="A33" s="61" t="s">
        <v>251</v>
      </c>
      <c r="B33" s="73" t="s">
        <v>228</v>
      </c>
      <c r="C33" s="63">
        <v>46245</v>
      </c>
      <c r="D33" s="62"/>
      <c r="E33" s="62">
        <v>2.0699999999999998</v>
      </c>
      <c r="F33" s="64"/>
      <c r="G33" s="65">
        <v>21.48</v>
      </c>
      <c r="H33" s="66" vm="36">
        <f t="array" aca="1" ref="H33" ca="1">IFERROR(INDEX(_xlfn.STOCKHISTORY(A33,TODAY()-5,TODAY(),0,0,1),ROWS(_xlfn.STOCKHISTORY(A33,TODAY()-5,TODAY(),0,0,1)),1),"")</f>
        <v>19.59</v>
      </c>
      <c r="I33" s="67">
        <f t="shared" ca="1" si="0"/>
        <v>-8.7988826815642462E-2</v>
      </c>
      <c r="J33" s="68">
        <v>46309</v>
      </c>
      <c r="K33" s="62" t="s">
        <v>213</v>
      </c>
      <c r="L33" s="69" t="s">
        <v>252</v>
      </c>
      <c r="M33" s="62" t="s">
        <v>215</v>
      </c>
      <c r="N33" s="69"/>
      <c r="O33" s="70">
        <f t="shared" ca="1" si="1"/>
        <v>56</v>
      </c>
      <c r="P33" s="71" t="str">
        <f t="shared" ca="1" si="2"/>
        <v>DUE — INSIDER ACTIVITY</v>
      </c>
      <c r="Q33" s="69"/>
    </row>
    <row r="34" spans="1:17" ht="15" customHeight="1" x14ac:dyDescent="0.35">
      <c r="A34" s="61" t="s">
        <v>253</v>
      </c>
      <c r="B34" s="72" t="s">
        <v>234</v>
      </c>
      <c r="C34" s="63">
        <v>46245</v>
      </c>
      <c r="D34" s="62"/>
      <c r="E34" s="62">
        <v>4.5</v>
      </c>
      <c r="F34" s="64"/>
      <c r="G34" s="65">
        <v>490.53</v>
      </c>
      <c r="H34" s="66" vm="37">
        <f t="array" aca="1" ref="H34" ca="1">IFERROR(INDEX(_xlfn.STOCKHISTORY(A34,TODAY()-5,TODAY(),0,0,1),ROWS(_xlfn.STOCKHISTORY(A34,TODAY()-5,TODAY(),0,0,1)),1),"")</f>
        <v>0.44</v>
      </c>
      <c r="I34" s="67">
        <f t="shared" ca="1" si="0"/>
        <v>-0.9991030110288871</v>
      </c>
      <c r="J34" s="68">
        <v>46325</v>
      </c>
      <c r="K34" s="62" t="s">
        <v>213</v>
      </c>
      <c r="L34" s="69" t="s">
        <v>254</v>
      </c>
      <c r="M34" s="62" t="s">
        <v>215</v>
      </c>
      <c r="N34" s="69"/>
      <c r="O34" s="70">
        <f t="shared" ca="1" si="1"/>
        <v>56</v>
      </c>
      <c r="P34" s="71" t="str">
        <f t="shared" ca="1" si="2"/>
        <v>DUE — PRICE MOVE ±20%</v>
      </c>
      <c r="Q34" s="69"/>
    </row>
    <row r="35" spans="1:17" ht="15" customHeight="1" outlineLevel="1" x14ac:dyDescent="0.35">
      <c r="A35" s="61" t="s">
        <v>255</v>
      </c>
      <c r="B35" s="73" t="s">
        <v>228</v>
      </c>
      <c r="C35" s="63">
        <v>46245</v>
      </c>
      <c r="D35" s="62"/>
      <c r="E35" s="62">
        <v>2.5</v>
      </c>
      <c r="F35" s="64"/>
      <c r="G35" s="65">
        <v>85.74</v>
      </c>
      <c r="H35" s="66" vm="38">
        <f t="array" aca="1" ref="H35" ca="1">IFERROR(INDEX(_xlfn.STOCKHISTORY(A35,TODAY()-5,TODAY(),0,0,1),ROWS(_xlfn.STOCKHISTORY(A35,TODAY()-5,TODAY(),0,0,1)),1),"")</f>
        <v>76.28</v>
      </c>
      <c r="I35" s="67">
        <f t="shared" ref="I35:I66" ca="1" si="3">IF(OR(G35="",H35=""),"",H35/G35-1)</f>
        <v>-0.11033356659668758</v>
      </c>
      <c r="J35" s="68">
        <v>46322</v>
      </c>
      <c r="K35" s="62" t="s">
        <v>215</v>
      </c>
      <c r="L35" s="69"/>
      <c r="M35" s="62" t="s">
        <v>215</v>
      </c>
      <c r="N35" s="69"/>
      <c r="O35" s="70">
        <f t="shared" ref="O35:O51" ca="1" si="4">IF(C35="","",TODAY()-C35)</f>
        <v>56</v>
      </c>
      <c r="P35" s="71" t="str">
        <f t="shared" ref="P35:P66" ca="1" si="5">IF(A35="","",IF(O35&gt;180,"DUE — STALE (&gt;180 days)",IF(J35&lt;&gt;"",IF(ABS(J35-TODAY())&lt;=7,"DUE — EARNINGS WINDOW",IF(I35&lt;&gt;"",IF(ABS(I35)&gt;=0.2,"DUE — PRICE MOVE ±20%",IF(K35="Y","DUE — INSIDER ACTIVITY",IF(I35&lt;&gt;"",IF(ABS(I35)&gt;=0.15,"WATCH — PRICE MOVE ±15%",IF(M35="Y","WATCH — ANALYST SHIFT","Monitor Only")),IF(M35="Y","WATCH — ANALYST SHIFT","Monitor Only")))),IF(K35="Y","DUE — INSIDER ACTIVITY",IF(I35&lt;&gt;"",IF(ABS(I35)&gt;=0.15,"WATCH — PRICE MOVE ±15%",IF(M35="Y","WATCH — ANALYST SHIFT","Monitor Only")),IF(M35="Y","WATCH — ANALYST SHIFT","Monitor Only"))))),IF(I35&lt;&gt;"",IF(ABS(I35)&gt;=0.2,"DUE — PRICE MOVE ±20%",IF(K35="Y","DUE — INSIDER ACTIVITY",IF(I35&lt;&gt;"",IF(ABS(I35)&gt;=0.15,"WATCH — PRICE MOVE ±15%",IF(M35="Y","WATCH — ANALYST SHIFT","Monitor Only")),IF(M35="Y","WATCH — ANALYST SHIFT","Monitor Only")))),IF(K35="Y","DUE — INSIDER ACTIVITY",IF(I35&lt;&gt;"",IF(ABS(I35)&gt;=0.15,"WATCH — PRICE MOVE ±15%",IF(M35="Y","WATCH — ANALYST SHIFT","Monitor Only")),IF(M35="Y","WATCH — ANALYST SHIFT","Monitor Only")))))))</f>
        <v>Monitor Only</v>
      </c>
      <c r="Q35" s="69"/>
    </row>
    <row r="36" spans="1:17" ht="15" customHeight="1" x14ac:dyDescent="0.35">
      <c r="A36" s="61" t="s">
        <v>142</v>
      </c>
      <c r="B36" s="72" t="s">
        <v>211</v>
      </c>
      <c r="C36" s="63">
        <v>46278</v>
      </c>
      <c r="D36" s="62">
        <v>83.8</v>
      </c>
      <c r="E36" s="62">
        <v>4.21</v>
      </c>
      <c r="F36" s="64" t="s">
        <v>212</v>
      </c>
      <c r="G36" s="65">
        <v>77.400000000000006</v>
      </c>
      <c r="H36" s="66" vm="13">
        <f t="array" aca="1" ref="H36" ca="1">IFERROR(INDEX(_xlfn.STOCKHISTORY(A36,TODAY()-5,TODAY(),0,0,1),ROWS(_xlfn.STOCKHISTORY(A36,TODAY()-5,TODAY(),0,0,1)),1),"")</f>
        <v>67.5</v>
      </c>
      <c r="I36" s="67">
        <f t="shared" ca="1" si="3"/>
        <v>-0.12790697674418616</v>
      </c>
      <c r="J36" s="68">
        <v>46315</v>
      </c>
      <c r="K36" s="62" t="s">
        <v>213</v>
      </c>
      <c r="L36" s="69" t="s">
        <v>256</v>
      </c>
      <c r="M36" s="62" t="s">
        <v>215</v>
      </c>
      <c r="N36" s="69"/>
      <c r="O36" s="70">
        <f t="shared" ca="1" si="4"/>
        <v>23</v>
      </c>
      <c r="P36" s="71" t="str">
        <f t="shared" ca="1" si="5"/>
        <v>DUE — INSIDER ACTIVITY</v>
      </c>
      <c r="Q36" s="69"/>
    </row>
    <row r="37" spans="1:17" ht="15" customHeight="1" outlineLevel="1" x14ac:dyDescent="0.35">
      <c r="A37" s="61" t="s">
        <v>257</v>
      </c>
      <c r="B37" s="73" t="s">
        <v>228</v>
      </c>
      <c r="C37" s="63">
        <v>46246</v>
      </c>
      <c r="D37" s="62"/>
      <c r="E37" s="62">
        <v>1.57</v>
      </c>
      <c r="F37" s="64"/>
      <c r="G37" s="65">
        <v>40.51</v>
      </c>
      <c r="H37" s="66" vm="39">
        <f t="array" aca="1" ref="H37" ca="1">IFERROR(INDEX(_xlfn.STOCKHISTORY(A37,TODAY()-5,TODAY(),0,0,1),ROWS(_xlfn.STOCKHISTORY(A37,TODAY()-5,TODAY(),0,0,1)),1),"")</f>
        <v>33.96</v>
      </c>
      <c r="I37" s="67">
        <f t="shared" ca="1" si="3"/>
        <v>-0.16168847198222658</v>
      </c>
      <c r="J37" s="68">
        <v>46373</v>
      </c>
      <c r="K37" s="62" t="s">
        <v>213</v>
      </c>
      <c r="L37" s="69" t="s">
        <v>258</v>
      </c>
      <c r="M37" s="62" t="s">
        <v>213</v>
      </c>
      <c r="N37" s="69" t="s">
        <v>259</v>
      </c>
      <c r="O37" s="70">
        <f t="shared" ca="1" si="4"/>
        <v>55</v>
      </c>
      <c r="P37" s="71" t="str">
        <f t="shared" ca="1" si="5"/>
        <v>DUE — INSIDER ACTIVITY</v>
      </c>
      <c r="Q37" s="69"/>
    </row>
    <row r="38" spans="1:17" ht="15" customHeight="1" outlineLevel="1" x14ac:dyDescent="0.35">
      <c r="A38" s="61" t="s">
        <v>260</v>
      </c>
      <c r="B38" s="73" t="s">
        <v>228</v>
      </c>
      <c r="C38" s="63">
        <v>46245</v>
      </c>
      <c r="D38" s="62"/>
      <c r="E38" s="62">
        <v>2.64</v>
      </c>
      <c r="F38" s="64"/>
      <c r="G38" s="65">
        <v>21.02</v>
      </c>
      <c r="H38" s="66" vm="40">
        <f t="array" aca="1" ref="H38" ca="1">IFERROR(INDEX(_xlfn.STOCKHISTORY(A38,TODAY()-5,TODAY(),0,0,1),ROWS(_xlfn.STOCKHISTORY(A38,TODAY()-5,TODAY(),0,0,1)),1),"")</f>
        <v>19.510000000000002</v>
      </c>
      <c r="I38" s="67">
        <f t="shared" ca="1" si="3"/>
        <v>-7.183634633682201E-2</v>
      </c>
      <c r="J38" s="68">
        <v>46322</v>
      </c>
      <c r="K38" s="62" t="s">
        <v>213</v>
      </c>
      <c r="L38" s="69" t="s">
        <v>261</v>
      </c>
      <c r="M38" s="62" t="s">
        <v>213</v>
      </c>
      <c r="N38" s="69" t="s">
        <v>262</v>
      </c>
      <c r="O38" s="70">
        <f t="shared" ca="1" si="4"/>
        <v>56</v>
      </c>
      <c r="P38" s="71" t="str">
        <f t="shared" ca="1" si="5"/>
        <v>DUE — INSIDER ACTIVITY</v>
      </c>
      <c r="Q38" s="69"/>
    </row>
    <row r="39" spans="1:17" ht="15" customHeight="1" outlineLevel="1" x14ac:dyDescent="0.35">
      <c r="A39" s="61" t="s">
        <v>183</v>
      </c>
      <c r="B39" s="73" t="s">
        <v>228</v>
      </c>
      <c r="C39" s="63">
        <v>46240</v>
      </c>
      <c r="D39" s="62"/>
      <c r="E39" s="62">
        <v>2.64</v>
      </c>
      <c r="F39" s="64"/>
      <c r="G39" s="65">
        <v>37.340000000000003</v>
      </c>
      <c r="H39" s="66" vm="19">
        <f t="array" aca="1" ref="H39" ca="1">IFERROR(INDEX(_xlfn.STOCKHISTORY(A39,TODAY()-5,TODAY(),0,0,1),ROWS(_xlfn.STOCKHISTORY(A39,TODAY()-5,TODAY(),0,0,1)),1),"")</f>
        <v>31.88</v>
      </c>
      <c r="I39" s="67">
        <f t="shared" ca="1" si="3"/>
        <v>-0.14622388859132307</v>
      </c>
      <c r="J39" s="68">
        <v>46337</v>
      </c>
      <c r="K39" s="62" t="s">
        <v>213</v>
      </c>
      <c r="L39" s="69" t="s">
        <v>263</v>
      </c>
      <c r="M39" s="62" t="s">
        <v>215</v>
      </c>
      <c r="N39" s="69"/>
      <c r="O39" s="70">
        <f t="shared" ca="1" si="4"/>
        <v>61</v>
      </c>
      <c r="P39" s="71" t="str">
        <f t="shared" ca="1" si="5"/>
        <v>DUE — INSIDER ACTIVITY</v>
      </c>
      <c r="Q39" s="69"/>
    </row>
    <row r="40" spans="1:17" ht="15" customHeight="1" x14ac:dyDescent="0.35">
      <c r="A40" s="61" t="s">
        <v>264</v>
      </c>
      <c r="B40" s="72" t="s">
        <v>234</v>
      </c>
      <c r="C40" s="63">
        <v>46245</v>
      </c>
      <c r="D40" s="62"/>
      <c r="E40" s="62">
        <v>4.21</v>
      </c>
      <c r="F40" s="64"/>
      <c r="G40" s="65">
        <v>145.21</v>
      </c>
      <c r="H40" s="66" vm="41">
        <f t="array" aca="1" ref="H40" ca="1">IFERROR(INDEX(_xlfn.STOCKHISTORY(A40,TODAY()-5,TODAY(),0,0,1),ROWS(_xlfn.STOCKHISTORY(A40,TODAY()-5,TODAY(),0,0,1)),1),"")</f>
        <v>145.94</v>
      </c>
      <c r="I40" s="67">
        <f t="shared" ca="1" si="3"/>
        <v>5.0272019833343951E-3</v>
      </c>
      <c r="J40" s="68">
        <v>46317</v>
      </c>
      <c r="K40" s="62" t="s">
        <v>213</v>
      </c>
      <c r="L40" s="69" t="s">
        <v>265</v>
      </c>
      <c r="M40" s="62" t="s">
        <v>215</v>
      </c>
      <c r="N40" s="69"/>
      <c r="O40" s="70">
        <f t="shared" ca="1" si="4"/>
        <v>56</v>
      </c>
      <c r="P40" s="71" t="str">
        <f t="shared" ca="1" si="5"/>
        <v>DUE — INSIDER ACTIVITY</v>
      </c>
      <c r="Q40" s="69"/>
    </row>
    <row r="41" spans="1:17" ht="15" customHeight="1" x14ac:dyDescent="0.35">
      <c r="A41" s="61" t="s">
        <v>266</v>
      </c>
      <c r="B41" s="72" t="s">
        <v>234</v>
      </c>
      <c r="C41" s="63">
        <v>46247</v>
      </c>
      <c r="D41" s="62"/>
      <c r="E41" s="62">
        <v>3.29</v>
      </c>
      <c r="F41" s="64"/>
      <c r="G41" s="65">
        <v>1058.8699999999999</v>
      </c>
      <c r="H41" s="66" vm="42">
        <f t="array" aca="1" ref="H41" ca="1">IFERROR(INDEX(_xlfn.STOCKHISTORY(A41,TODAY()-5,TODAY(),0,0,1),ROWS(_xlfn.STOCKHISTORY(A41,TODAY()-5,TODAY(),0,0,1)),1),"")</f>
        <v>975.68</v>
      </c>
      <c r="I41" s="67">
        <f t="shared" ca="1" si="3"/>
        <v>-7.8564885207815793E-2</v>
      </c>
      <c r="J41" s="68">
        <v>46331</v>
      </c>
      <c r="K41" s="62" t="s">
        <v>213</v>
      </c>
      <c r="L41" s="69" t="s">
        <v>267</v>
      </c>
      <c r="M41" s="62" t="s">
        <v>215</v>
      </c>
      <c r="N41" s="69"/>
      <c r="O41" s="70">
        <f t="shared" ca="1" si="4"/>
        <v>54</v>
      </c>
      <c r="P41" s="71" t="str">
        <f t="shared" ca="1" si="5"/>
        <v>DUE — INSIDER ACTIVITY</v>
      </c>
      <c r="Q41" s="69"/>
    </row>
    <row r="42" spans="1:17" ht="15" customHeight="1" outlineLevel="1" x14ac:dyDescent="0.35">
      <c r="A42" s="61" t="s">
        <v>268</v>
      </c>
      <c r="B42" s="69" t="s">
        <v>228</v>
      </c>
      <c r="C42" s="63">
        <v>46245</v>
      </c>
      <c r="D42" s="62"/>
      <c r="E42" s="62">
        <v>1.36</v>
      </c>
      <c r="F42" s="64"/>
      <c r="G42" s="65">
        <v>24.32</v>
      </c>
      <c r="H42" s="66" vm="43">
        <f t="array" aca="1" ref="H42" ca="1">IFERROR(INDEX(_xlfn.STOCKHISTORY(A42,TODAY()-5,TODAY(),0,0,1),ROWS(_xlfn.STOCKHISTORY(A42,TODAY()-5,TODAY(),0,0,1)),1),"")</f>
        <v>19.54</v>
      </c>
      <c r="I42" s="67">
        <f t="shared" ca="1" si="3"/>
        <v>-0.19654605263157898</v>
      </c>
      <c r="J42" s="68">
        <v>46331</v>
      </c>
      <c r="K42" s="62" t="s">
        <v>215</v>
      </c>
      <c r="L42" s="69"/>
      <c r="M42" s="62" t="s">
        <v>213</v>
      </c>
      <c r="N42" s="69" t="s">
        <v>269</v>
      </c>
      <c r="O42" s="70">
        <f t="shared" ca="1" si="4"/>
        <v>56</v>
      </c>
      <c r="P42" s="71" t="str">
        <f t="shared" ca="1" si="5"/>
        <v>WATCH — PRICE MOVE ±15%</v>
      </c>
      <c r="Q42" s="69"/>
    </row>
    <row r="43" spans="1:17" ht="15" customHeight="1" outlineLevel="1" x14ac:dyDescent="0.35">
      <c r="A43" s="74" t="s">
        <v>172</v>
      </c>
      <c r="B43" s="75" t="s">
        <v>228</v>
      </c>
      <c r="C43" s="76">
        <v>46240</v>
      </c>
      <c r="D43" s="77"/>
      <c r="E43" s="77">
        <v>1.86</v>
      </c>
      <c r="F43" s="64"/>
      <c r="G43" s="78">
        <v>87.2</v>
      </c>
      <c r="H43" s="79" vm="17">
        <f t="array" aca="1" ref="H43" ca="1">IFERROR(INDEX(_xlfn.STOCKHISTORY(A43,TODAY()-5,TODAY(),0,0,1),ROWS(_xlfn.STOCKHISTORY(A43,TODAY()-5,TODAY(),0,0,1)),1),"")</f>
        <v>64.92</v>
      </c>
      <c r="I43" s="26">
        <f t="shared" ca="1" si="3"/>
        <v>-0.25550458715596336</v>
      </c>
      <c r="J43" s="80">
        <v>46323</v>
      </c>
      <c r="K43" s="77" t="s">
        <v>213</v>
      </c>
      <c r="L43" s="75" t="s">
        <v>270</v>
      </c>
      <c r="M43" s="77" t="s">
        <v>215</v>
      </c>
      <c r="N43" s="75"/>
      <c r="O43" s="81">
        <f t="shared" ca="1" si="4"/>
        <v>61</v>
      </c>
      <c r="P43" s="24" t="str">
        <f t="shared" ca="1" si="5"/>
        <v>DUE — PRICE MOVE ±20%</v>
      </c>
      <c r="Q43" s="75"/>
    </row>
    <row r="44" spans="1:17" ht="15" customHeight="1" outlineLevel="1" x14ac:dyDescent="0.35">
      <c r="A44" s="74" t="s">
        <v>175</v>
      </c>
      <c r="B44" s="75" t="s">
        <v>228</v>
      </c>
      <c r="C44" s="76">
        <v>46240</v>
      </c>
      <c r="D44" s="77"/>
      <c r="E44" s="77">
        <v>1.93</v>
      </c>
      <c r="F44" s="64"/>
      <c r="G44" s="78">
        <v>319.52999999999997</v>
      </c>
      <c r="H44" s="79" vm="18">
        <f t="array" aca="1" ref="H44" ca="1">IFERROR(INDEX(_xlfn.STOCKHISTORY(A44,TODAY()-5,TODAY(),0,0,1),ROWS(_xlfn.STOCKHISTORY(A44,TODAY()-5,TODAY(),0,0,1)),1),"")</f>
        <v>378.73</v>
      </c>
      <c r="I44" s="26">
        <f t="shared" ca="1" si="3"/>
        <v>0.18527211842393521</v>
      </c>
      <c r="J44" s="80">
        <v>46316</v>
      </c>
      <c r="K44" s="77" t="s">
        <v>215</v>
      </c>
      <c r="L44" s="75"/>
      <c r="M44" s="77" t="s">
        <v>215</v>
      </c>
      <c r="N44" s="75"/>
      <c r="O44" s="81">
        <f t="shared" ca="1" si="4"/>
        <v>61</v>
      </c>
      <c r="P44" s="24" t="str">
        <f t="shared" ca="1" si="5"/>
        <v>WATCH — PRICE MOVE ±15%</v>
      </c>
      <c r="Q44" s="75"/>
    </row>
    <row r="45" spans="1:17" ht="15" customHeight="1" x14ac:dyDescent="0.35">
      <c r="A45" s="74" t="s">
        <v>117</v>
      </c>
      <c r="B45" s="77" t="s">
        <v>211</v>
      </c>
      <c r="C45" s="76">
        <v>46278</v>
      </c>
      <c r="D45" s="77">
        <v>73.400000000000006</v>
      </c>
      <c r="E45" s="77">
        <v>3.64</v>
      </c>
      <c r="F45" s="64" t="s">
        <v>217</v>
      </c>
      <c r="G45" s="78">
        <v>370.45</v>
      </c>
      <c r="H45" s="79" vm="11">
        <f t="array" aca="1" ref="H45" ca="1">IFERROR(INDEX(_xlfn.STOCKHISTORY(A45,TODAY()-5,TODAY(),0,0,1),ROWS(_xlfn.STOCKHISTORY(A45,TODAY()-5,TODAY(),0,0,1)),1),"")</f>
        <v>369.71</v>
      </c>
      <c r="I45" s="26">
        <f t="shared" ca="1" si="3"/>
        <v>-1.9975705223377327E-3</v>
      </c>
      <c r="J45" s="80">
        <v>46322</v>
      </c>
      <c r="K45" s="77" t="s">
        <v>213</v>
      </c>
      <c r="L45" s="75" t="s">
        <v>271</v>
      </c>
      <c r="M45" s="77" t="s">
        <v>215</v>
      </c>
      <c r="N45" s="75"/>
      <c r="O45" s="81">
        <f t="shared" ca="1" si="4"/>
        <v>23</v>
      </c>
      <c r="P45" s="24" t="str">
        <f t="shared" ca="1" si="5"/>
        <v>DUE — INSIDER ACTIVITY</v>
      </c>
      <c r="Q45" s="75"/>
    </row>
    <row r="46" spans="1:17" ht="15" customHeight="1" outlineLevel="1" x14ac:dyDescent="0.35">
      <c r="A46" s="74" t="s">
        <v>272</v>
      </c>
      <c r="B46" s="75" t="s">
        <v>228</v>
      </c>
      <c r="C46" s="76">
        <v>46246</v>
      </c>
      <c r="D46" s="77"/>
      <c r="E46" s="77">
        <v>2.86</v>
      </c>
      <c r="F46" s="64"/>
      <c r="G46" s="78">
        <v>14.57</v>
      </c>
      <c r="H46" s="79" vm="44">
        <f t="array" aca="1" ref="H46" ca="1">IFERROR(INDEX(_xlfn.STOCKHISTORY(A46,TODAY()-5,TODAY(),0,0,1),ROWS(_xlfn.STOCKHISTORY(A46,TODAY()-5,TODAY(),0,0,1)),1),"")</f>
        <v>14.27</v>
      </c>
      <c r="I46" s="26">
        <f t="shared" ca="1" si="3"/>
        <v>-2.0590253946465409E-2</v>
      </c>
      <c r="J46" s="80">
        <v>46321</v>
      </c>
      <c r="K46" s="77" t="s">
        <v>213</v>
      </c>
      <c r="L46" s="75" t="s">
        <v>273</v>
      </c>
      <c r="M46" s="77" t="s">
        <v>215</v>
      </c>
      <c r="N46" s="75"/>
      <c r="O46" s="81">
        <f t="shared" ca="1" si="4"/>
        <v>55</v>
      </c>
      <c r="P46" s="24" t="str">
        <f t="shared" ca="1" si="5"/>
        <v>DUE — INSIDER ACTIVITY</v>
      </c>
      <c r="Q46" s="75"/>
    </row>
    <row r="47" spans="1:17" ht="15" customHeight="1" x14ac:dyDescent="0.35">
      <c r="A47" s="74" t="s">
        <v>274</v>
      </c>
      <c r="B47" s="72" t="s">
        <v>234</v>
      </c>
      <c r="C47" s="76">
        <v>46245</v>
      </c>
      <c r="D47" s="77"/>
      <c r="E47" s="77">
        <v>4.29</v>
      </c>
      <c r="F47" s="64"/>
      <c r="G47" s="78">
        <v>144.75</v>
      </c>
      <c r="H47" s="79" vm="45">
        <f t="array" aca="1" ref="H47" ca="1">IFERROR(INDEX(_xlfn.STOCKHISTORY(A47,TODAY()-5,TODAY(),0,0,1),ROWS(_xlfn.STOCKHISTORY(A47,TODAY()-5,TODAY(),0,0,1)),1),"")</f>
        <v>136.97</v>
      </c>
      <c r="I47" s="26">
        <f t="shared" ca="1" si="3"/>
        <v>-5.3747841105354022E-2</v>
      </c>
      <c r="J47" s="80">
        <v>46329</v>
      </c>
      <c r="K47" s="77" t="s">
        <v>213</v>
      </c>
      <c r="L47" s="75" t="s">
        <v>275</v>
      </c>
      <c r="M47" s="77" t="s">
        <v>215</v>
      </c>
      <c r="N47" s="75"/>
      <c r="O47" s="81">
        <f t="shared" ca="1" si="4"/>
        <v>56</v>
      </c>
      <c r="P47" s="24" t="str">
        <f t="shared" ca="1" si="5"/>
        <v>DUE — INSIDER ACTIVITY</v>
      </c>
      <c r="Q47" s="75"/>
    </row>
    <row r="48" spans="1:17" ht="15" customHeight="1" x14ac:dyDescent="0.35">
      <c r="A48" s="61" t="s">
        <v>276</v>
      </c>
      <c r="B48" s="72" t="s">
        <v>234</v>
      </c>
      <c r="C48" s="63">
        <v>46276</v>
      </c>
      <c r="D48" s="62"/>
      <c r="E48" s="62">
        <v>4</v>
      </c>
      <c r="F48" s="64"/>
      <c r="G48" s="65">
        <v>63.85</v>
      </c>
      <c r="H48" s="66" vm="46">
        <f t="array" aca="1" ref="H48" ca="1">IFERROR(INDEX(_xlfn.STOCKHISTORY(A48,TODAY()-5,TODAY(),0,0,1),ROWS(_xlfn.STOCKHISTORY(A48,TODAY()-5,TODAY(),0,0,1)),1),"")</f>
        <v>53.56</v>
      </c>
      <c r="I48" s="67">
        <f t="shared" ca="1" si="3"/>
        <v>-0.16115896632732962</v>
      </c>
      <c r="J48" s="68">
        <v>46329</v>
      </c>
      <c r="K48" s="62" t="s">
        <v>215</v>
      </c>
      <c r="L48" s="69"/>
      <c r="M48" s="62" t="s">
        <v>215</v>
      </c>
      <c r="N48" s="69"/>
      <c r="O48" s="70">
        <f t="shared" ca="1" si="4"/>
        <v>25</v>
      </c>
      <c r="P48" s="71" t="str">
        <f t="shared" ca="1" si="5"/>
        <v>WATCH — PRICE MOVE ±15%</v>
      </c>
      <c r="Q48" s="69" t="s">
        <v>277</v>
      </c>
    </row>
    <row r="49" spans="1:17" ht="15" customHeight="1" x14ac:dyDescent="0.35">
      <c r="A49" s="61" t="s">
        <v>278</v>
      </c>
      <c r="B49" s="72" t="s">
        <v>234</v>
      </c>
      <c r="C49" s="63">
        <v>46278</v>
      </c>
      <c r="D49" s="62">
        <v>70.8</v>
      </c>
      <c r="E49" s="62">
        <v>3.5</v>
      </c>
      <c r="F49" s="64" t="s">
        <v>217</v>
      </c>
      <c r="G49" s="65">
        <v>101.95</v>
      </c>
      <c r="H49" s="66" vm="47">
        <f t="array" aca="1" ref="H49" ca="1">IFERROR(INDEX(_xlfn.STOCKHISTORY(A49,TODAY()-5,TODAY(),0,0,1),ROWS(_xlfn.STOCKHISTORY(A49,TODAY()-5,TODAY(),0,0,1)),1),"")</f>
        <v>100.1</v>
      </c>
      <c r="I49" s="67">
        <f t="shared" ca="1" si="3"/>
        <v>-1.814615007356557E-2</v>
      </c>
      <c r="J49" s="68">
        <v>46316</v>
      </c>
      <c r="K49" s="62" t="s">
        <v>215</v>
      </c>
      <c r="L49" s="69"/>
      <c r="M49" s="62" t="s">
        <v>215</v>
      </c>
      <c r="N49" s="69"/>
      <c r="O49" s="70">
        <f t="shared" ca="1" si="4"/>
        <v>23</v>
      </c>
      <c r="P49" s="71" t="str">
        <f t="shared" ca="1" si="5"/>
        <v>Monitor Only</v>
      </c>
      <c r="Q49" s="69" t="s">
        <v>279</v>
      </c>
    </row>
    <row r="50" spans="1:17" ht="15" customHeight="1" x14ac:dyDescent="0.35">
      <c r="A50" s="61" t="s">
        <v>280</v>
      </c>
      <c r="B50" s="72" t="s">
        <v>234</v>
      </c>
      <c r="C50" s="63">
        <v>46278</v>
      </c>
      <c r="D50" s="62">
        <v>72.400000000000006</v>
      </c>
      <c r="E50" s="62">
        <v>3.5</v>
      </c>
      <c r="F50" s="64" t="s">
        <v>217</v>
      </c>
      <c r="G50" s="65">
        <v>56.06</v>
      </c>
      <c r="H50" s="66" vm="48">
        <f t="array" aca="1" ref="H50" ca="1">IFERROR(INDEX(_xlfn.STOCKHISTORY(A50,TODAY()-5,TODAY(),0,0,1),ROWS(_xlfn.STOCKHISTORY(A50,TODAY()-5,TODAY(),0,0,1)),1),"")</f>
        <v>50.28</v>
      </c>
      <c r="I50" s="67">
        <f t="shared" ca="1" si="3"/>
        <v>-0.10310381733856588</v>
      </c>
      <c r="J50" s="68">
        <v>46318</v>
      </c>
      <c r="K50" s="62" t="s">
        <v>215</v>
      </c>
      <c r="L50" s="69"/>
      <c r="M50" s="62" t="s">
        <v>215</v>
      </c>
      <c r="N50" s="69"/>
      <c r="O50" s="70">
        <f t="shared" ca="1" si="4"/>
        <v>23</v>
      </c>
      <c r="P50" s="71" t="str">
        <f t="shared" ca="1" si="5"/>
        <v>Monitor Only</v>
      </c>
      <c r="Q50" s="69" t="s">
        <v>281</v>
      </c>
    </row>
    <row r="51" spans="1:17" ht="15" customHeight="1" x14ac:dyDescent="0.35">
      <c r="A51" s="61" t="s">
        <v>282</v>
      </c>
      <c r="B51" s="72" t="s">
        <v>234</v>
      </c>
      <c r="C51" s="63">
        <v>46297</v>
      </c>
      <c r="D51" s="62">
        <v>81.599999999999994</v>
      </c>
      <c r="E51" s="62">
        <v>4.29</v>
      </c>
      <c r="F51" s="64" t="s">
        <v>212</v>
      </c>
      <c r="G51" s="65">
        <v>273.33</v>
      </c>
      <c r="H51" s="66" vm="49">
        <f t="array" aca="1" ref="H51" ca="1">IFERROR(INDEX(_xlfn.STOCKHISTORY(A51,TODAY()-5,TODAY(),0,0,1),ROWS(_xlfn.STOCKHISTORY(A51,TODAY()-5,TODAY(),0,0,1)),1),"")</f>
        <v>283.45</v>
      </c>
      <c r="I51" s="67">
        <f t="shared" ca="1" si="3"/>
        <v>3.7024841766363004E-2</v>
      </c>
      <c r="J51" s="68">
        <v>46351</v>
      </c>
      <c r="K51" s="62" t="s">
        <v>213</v>
      </c>
      <c r="L51" s="69" t="s">
        <v>283</v>
      </c>
      <c r="M51" s="62" t="s">
        <v>215</v>
      </c>
      <c r="N51" s="69"/>
      <c r="O51" s="70">
        <f t="shared" ca="1" si="4"/>
        <v>4</v>
      </c>
      <c r="P51" s="71" t="str">
        <f t="shared" ca="1" si="5"/>
        <v>DUE — INSIDER ACTIVITY</v>
      </c>
      <c r="Q51" s="69" t="s">
        <v>284</v>
      </c>
    </row>
  </sheetData>
  <mergeCells count="1">
    <mergeCell ref="A1:O1"/>
  </mergeCells>
  <conditionalFormatting sqref="B3:B51">
    <cfRule type="expression" dxfId="116" priority="10">
      <formula>ISNUMBER(SEARCH("AVOID",B3))</formula>
    </cfRule>
  </conditionalFormatting>
  <conditionalFormatting sqref="F3:F51">
    <cfRule type="cellIs" dxfId="115" priority="2" operator="equal">
      <formula>"STRONG BUY"</formula>
    </cfRule>
    <cfRule type="cellIs" dxfId="114" priority="3" operator="equal">
      <formula>"BUY"</formula>
    </cfRule>
    <cfRule type="cellIs" dxfId="113" priority="4" operator="equal">
      <formula>"WATCH LIST"</formula>
    </cfRule>
    <cfRule type="cellIs" dxfId="112" priority="5" operator="equal">
      <formula>"AVOID"</formula>
    </cfRule>
    <cfRule type="cellIs" dxfId="111" priority="6" operator="equal">
      <formula>"PASS"</formula>
    </cfRule>
  </conditionalFormatting>
  <conditionalFormatting sqref="P3:P51">
    <cfRule type="expression" dxfId="110" priority="7">
      <formula>ISNUMBER(SEARCH("DUE",O3))</formula>
    </cfRule>
    <cfRule type="expression" dxfId="109" priority="8">
      <formula>ISNUMBER(SEARCH("WATCH",O3))</formula>
    </cfRule>
    <cfRule type="expression" dxfId="108" priority="9">
      <formula>O3="Monitor Only"</formula>
    </cfRule>
  </conditionalFormatting>
  <dataValidations count="2">
    <dataValidation type="list" allowBlank="1" sqref="B19:B51" xr:uid="{00000000-0002-0000-0300-000000000000}">
      <formula1>"Owned,Owned - Tier1 AVOID,Closed,Watch List,Tier-1 Avoid (external),Near-Miss"</formula1>
      <formula2>0</formula2>
    </dataValidation>
    <dataValidation type="list" allowBlank="1" sqref="K3:K51 M3:M51" xr:uid="{00000000-0002-0000-0300-000001000000}">
      <formula1>"Y,N"</formula1>
      <formula2>0</formula2>
    </dataValidation>
  </dataValidation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65"/>
  <sheetViews>
    <sheetView showGridLines="0" zoomScaleNormal="100" workbookViewId="0">
      <pane xSplit="1" ySplit="2" topLeftCell="B3" activePane="bottomRight" state="frozen"/>
      <selection pane="topRight" activeCell="B1" sqref="B1"/>
      <selection pane="bottomLeft" activeCell="A3" sqref="A3"/>
      <selection pane="bottomRight" activeCell="Q128" sqref="Q128"/>
    </sheetView>
  </sheetViews>
  <sheetFormatPr defaultColWidth="8.6328125" defaultRowHeight="13" x14ac:dyDescent="0.3"/>
  <cols>
    <col min="1" max="1" width="12" style="82" customWidth="1"/>
    <col min="2" max="2" width="6.6328125" style="82" customWidth="1"/>
    <col min="3" max="3" width="6.54296875" style="82" customWidth="1"/>
    <col min="4" max="5" width="7" style="82" customWidth="1"/>
    <col min="6" max="6" width="7.1796875" style="82" customWidth="1"/>
    <col min="7" max="7" width="6.54296875" style="82" customWidth="1"/>
    <col min="8" max="8" width="7" style="82" customWidth="1"/>
    <col min="9" max="9" width="6.81640625" style="82" customWidth="1"/>
    <col min="10" max="10" width="5.6328125" style="82" customWidth="1"/>
    <col min="11" max="11" width="6.1796875" style="82" customWidth="1"/>
    <col min="12" max="13" width="5.6328125" style="82" customWidth="1"/>
    <col min="14" max="14" width="6.54296875" style="82" customWidth="1"/>
    <col min="15" max="16" width="6.81640625" style="82" customWidth="1"/>
    <col min="17" max="17" width="6.54296875" style="82" customWidth="1"/>
    <col min="18" max="18" width="6.36328125" style="82" customWidth="1"/>
    <col min="19" max="19" width="6.81640625" style="82" customWidth="1"/>
    <col min="20" max="27" width="6.54296875" style="82" customWidth="1"/>
    <col min="28" max="16384" width="8.6328125" style="82"/>
  </cols>
  <sheetData>
    <row r="1" spans="1:27" ht="25.5" customHeight="1" x14ac:dyDescent="0.3">
      <c r="A1" s="83" t="s">
        <v>285</v>
      </c>
      <c r="B1" s="84"/>
      <c r="C1" s="84"/>
      <c r="D1" s="84"/>
      <c r="E1" s="84"/>
      <c r="F1" s="84"/>
      <c r="G1" s="84"/>
      <c r="H1" s="84"/>
      <c r="I1" s="84"/>
      <c r="J1" s="84"/>
      <c r="K1" s="84"/>
      <c r="L1" s="84"/>
      <c r="M1" s="84"/>
      <c r="N1" s="84"/>
      <c r="O1" s="84"/>
      <c r="P1" s="84"/>
      <c r="Q1" s="84"/>
    </row>
    <row r="2" spans="1:27" ht="15" customHeight="1" x14ac:dyDescent="0.3">
      <c r="A2" s="85" t="s">
        <v>286</v>
      </c>
      <c r="B2" s="85" t="s">
        <v>94</v>
      </c>
      <c r="C2" s="85" t="s">
        <v>99</v>
      </c>
      <c r="D2" s="85" t="s">
        <v>101</v>
      </c>
      <c r="E2" s="85" t="s">
        <v>164</v>
      </c>
      <c r="F2" s="85" t="s">
        <v>103</v>
      </c>
      <c r="G2" s="85" t="s">
        <v>105</v>
      </c>
      <c r="H2" s="85" t="s">
        <v>107</v>
      </c>
      <c r="I2" s="85" t="s">
        <v>109</v>
      </c>
      <c r="J2" s="85" t="s">
        <v>169</v>
      </c>
      <c r="K2" s="85" t="s">
        <v>111</v>
      </c>
      <c r="L2" s="85" t="s">
        <v>113</v>
      </c>
      <c r="M2" s="85" t="s">
        <v>115</v>
      </c>
      <c r="N2" s="85" t="s">
        <v>166</v>
      </c>
      <c r="O2" s="85" t="s">
        <v>155</v>
      </c>
      <c r="P2" s="85" t="s">
        <v>125</v>
      </c>
      <c r="Q2" s="85" t="s">
        <v>161</v>
      </c>
      <c r="R2" s="85" t="s">
        <v>151</v>
      </c>
      <c r="S2" s="85" t="s">
        <v>137</v>
      </c>
      <c r="T2" s="85" t="s">
        <v>128</v>
      </c>
      <c r="U2" s="85" t="s">
        <v>131</v>
      </c>
      <c r="V2" s="85" t="s">
        <v>117</v>
      </c>
      <c r="W2" s="85" t="s">
        <v>133</v>
      </c>
      <c r="X2" s="85" t="s">
        <v>135</v>
      </c>
      <c r="Y2" s="85" t="s">
        <v>186</v>
      </c>
      <c r="Z2" s="85" t="s">
        <v>139</v>
      </c>
      <c r="AA2" s="85" t="s">
        <v>142</v>
      </c>
    </row>
    <row r="3" spans="1:27" ht="15" customHeight="1" x14ac:dyDescent="0.3">
      <c r="A3" s="86">
        <v>45184</v>
      </c>
      <c r="B3" s="87">
        <v>528.89</v>
      </c>
      <c r="C3" s="87">
        <v>46.18</v>
      </c>
      <c r="D3" s="87">
        <v>582.01</v>
      </c>
      <c r="E3" s="87">
        <v>82</v>
      </c>
      <c r="F3" s="87">
        <v>41.36</v>
      </c>
      <c r="G3" s="87">
        <v>44.35</v>
      </c>
      <c r="H3" s="87">
        <v>69.11</v>
      </c>
      <c r="I3" s="87">
        <v>43.77</v>
      </c>
      <c r="J3" s="87">
        <v>111.84</v>
      </c>
      <c r="K3" s="87">
        <v>15.33</v>
      </c>
      <c r="L3" s="87">
        <v>85.75</v>
      </c>
      <c r="M3" s="87">
        <v>38.020000000000003</v>
      </c>
      <c r="N3" s="87">
        <v>348.9</v>
      </c>
      <c r="O3" s="87">
        <v>75.31</v>
      </c>
      <c r="P3" s="87">
        <v>100.59</v>
      </c>
      <c r="Q3" s="87"/>
      <c r="R3" s="87">
        <v>34.479999999999997</v>
      </c>
      <c r="S3" s="87">
        <v>57.63</v>
      </c>
      <c r="T3" s="87">
        <v>25.24</v>
      </c>
      <c r="U3" s="87">
        <v>21.8</v>
      </c>
      <c r="V3" s="87">
        <v>235.63</v>
      </c>
      <c r="W3" s="87">
        <v>98.59</v>
      </c>
      <c r="X3" s="87"/>
      <c r="Y3" s="87">
        <v>43.23</v>
      </c>
      <c r="Z3" s="87">
        <v>90.68</v>
      </c>
      <c r="AA3" s="87">
        <v>39.69</v>
      </c>
    </row>
    <row r="4" spans="1:27" ht="15" customHeight="1" x14ac:dyDescent="0.3">
      <c r="A4" s="68">
        <v>45191</v>
      </c>
      <c r="B4" s="65">
        <v>512.9</v>
      </c>
      <c r="C4" s="65">
        <v>45.08</v>
      </c>
      <c r="D4" s="65">
        <v>572.69000000000005</v>
      </c>
      <c r="E4" s="65">
        <v>80.260000000000005</v>
      </c>
      <c r="F4" s="65">
        <v>40.64</v>
      </c>
      <c r="G4" s="65">
        <v>44.12</v>
      </c>
      <c r="H4" s="65">
        <v>68.12</v>
      </c>
      <c r="I4" s="65">
        <v>41.49</v>
      </c>
      <c r="J4" s="65">
        <v>103.57</v>
      </c>
      <c r="K4" s="65">
        <v>14.13</v>
      </c>
      <c r="L4" s="65">
        <v>82.28</v>
      </c>
      <c r="M4" s="65">
        <v>36.31</v>
      </c>
      <c r="N4" s="65">
        <v>349.53</v>
      </c>
      <c r="O4" s="65">
        <v>73.11</v>
      </c>
      <c r="P4" s="65">
        <v>98.44</v>
      </c>
      <c r="Q4" s="65"/>
      <c r="R4" s="65">
        <v>33.549999999999997</v>
      </c>
      <c r="S4" s="65">
        <v>56.23</v>
      </c>
      <c r="T4" s="65">
        <v>24.87</v>
      </c>
      <c r="U4" s="65">
        <v>21.3</v>
      </c>
      <c r="V4" s="65">
        <v>229.78</v>
      </c>
      <c r="W4" s="65">
        <v>96.44</v>
      </c>
      <c r="X4" s="65"/>
      <c r="Y4" s="65">
        <v>42.42</v>
      </c>
      <c r="Z4" s="65">
        <v>87.35</v>
      </c>
      <c r="AA4" s="65">
        <v>37.979999999999997</v>
      </c>
    </row>
    <row r="5" spans="1:27" ht="15" customHeight="1" x14ac:dyDescent="0.3">
      <c r="A5" s="68">
        <v>45198</v>
      </c>
      <c r="B5" s="65">
        <v>509.9</v>
      </c>
      <c r="C5" s="65">
        <v>45.98</v>
      </c>
      <c r="D5" s="65">
        <v>574.21</v>
      </c>
      <c r="E5" s="65">
        <v>80.41</v>
      </c>
      <c r="F5" s="65">
        <v>41.85</v>
      </c>
      <c r="G5" s="65">
        <v>44.79</v>
      </c>
      <c r="H5" s="65">
        <v>67.28</v>
      </c>
      <c r="I5" s="65">
        <v>43.37</v>
      </c>
      <c r="J5" s="65">
        <v>101.88</v>
      </c>
      <c r="K5" s="65">
        <v>16</v>
      </c>
      <c r="L5" s="65">
        <v>83.49</v>
      </c>
      <c r="M5" s="65">
        <v>37.06</v>
      </c>
      <c r="N5" s="65">
        <v>347.74</v>
      </c>
      <c r="O5" s="65">
        <v>74.31</v>
      </c>
      <c r="P5" s="65">
        <v>96.59</v>
      </c>
      <c r="Q5" s="65">
        <v>48.9</v>
      </c>
      <c r="R5" s="65">
        <v>33.57</v>
      </c>
      <c r="S5" s="65">
        <v>56.06</v>
      </c>
      <c r="T5" s="65">
        <v>24.94</v>
      </c>
      <c r="U5" s="65">
        <v>21.14</v>
      </c>
      <c r="V5" s="65">
        <v>224.82</v>
      </c>
      <c r="W5" s="65">
        <v>95.21</v>
      </c>
      <c r="X5" s="65"/>
      <c r="Y5" s="65">
        <v>41.95</v>
      </c>
      <c r="Z5" s="65">
        <v>86.86</v>
      </c>
      <c r="AA5" s="65">
        <v>37.76</v>
      </c>
    </row>
    <row r="6" spans="1:27" ht="15" customHeight="1" x14ac:dyDescent="0.3">
      <c r="A6" s="68">
        <v>45205</v>
      </c>
      <c r="B6" s="65">
        <v>526.67999999999995</v>
      </c>
      <c r="C6" s="65">
        <v>48.51</v>
      </c>
      <c r="D6" s="65">
        <v>582.69000000000005</v>
      </c>
      <c r="E6" s="65">
        <v>81.83</v>
      </c>
      <c r="F6" s="65">
        <v>44.17</v>
      </c>
      <c r="G6" s="65">
        <v>45.7</v>
      </c>
      <c r="H6" s="65">
        <v>69.3</v>
      </c>
      <c r="I6" s="65">
        <v>45.63</v>
      </c>
      <c r="J6" s="65">
        <v>98.88</v>
      </c>
      <c r="K6" s="65">
        <v>16.61</v>
      </c>
      <c r="L6" s="65">
        <v>85.79</v>
      </c>
      <c r="M6" s="65">
        <v>39.619999999999997</v>
      </c>
      <c r="N6" s="65">
        <v>360.62</v>
      </c>
      <c r="O6" s="65">
        <v>72.069999999999993</v>
      </c>
      <c r="P6" s="65">
        <v>94.44</v>
      </c>
      <c r="Q6" s="65">
        <v>49.06</v>
      </c>
      <c r="R6" s="65">
        <v>34.01</v>
      </c>
      <c r="S6" s="65">
        <v>56.68</v>
      </c>
      <c r="T6" s="65">
        <v>24.47</v>
      </c>
      <c r="U6" s="65">
        <v>20.8</v>
      </c>
      <c r="V6" s="65">
        <v>229.74</v>
      </c>
      <c r="W6" s="65">
        <v>93.36</v>
      </c>
      <c r="X6" s="65"/>
      <c r="Y6" s="65">
        <v>41.8</v>
      </c>
      <c r="Z6" s="65">
        <v>87.59</v>
      </c>
      <c r="AA6" s="65">
        <v>38.15</v>
      </c>
    </row>
    <row r="7" spans="1:27" ht="15" customHeight="1" x14ac:dyDescent="0.3">
      <c r="A7" s="68">
        <v>45212</v>
      </c>
      <c r="B7" s="65">
        <v>548.76</v>
      </c>
      <c r="C7" s="65">
        <v>47.46</v>
      </c>
      <c r="D7" s="65">
        <v>585.03</v>
      </c>
      <c r="E7" s="65">
        <v>85.5</v>
      </c>
      <c r="F7" s="65">
        <v>46.43</v>
      </c>
      <c r="G7" s="65">
        <v>47.54</v>
      </c>
      <c r="H7" s="65">
        <v>68.56</v>
      </c>
      <c r="I7" s="65">
        <v>45.33</v>
      </c>
      <c r="J7" s="65">
        <v>99.56</v>
      </c>
      <c r="K7" s="65">
        <v>17.36</v>
      </c>
      <c r="L7" s="65">
        <v>86.92</v>
      </c>
      <c r="M7" s="65">
        <v>38.950000000000003</v>
      </c>
      <c r="N7" s="65">
        <v>371</v>
      </c>
      <c r="O7" s="65">
        <v>72.260000000000005</v>
      </c>
      <c r="P7" s="65">
        <v>95.73</v>
      </c>
      <c r="Q7" s="65">
        <v>49.23</v>
      </c>
      <c r="R7" s="65">
        <v>34.1</v>
      </c>
      <c r="S7" s="65">
        <v>57</v>
      </c>
      <c r="T7" s="65">
        <v>24.82</v>
      </c>
      <c r="U7" s="65">
        <v>21.01</v>
      </c>
      <c r="V7" s="65">
        <v>232.31</v>
      </c>
      <c r="W7" s="65">
        <v>94.42</v>
      </c>
      <c r="X7" s="65"/>
      <c r="Y7" s="65">
        <v>42.16</v>
      </c>
      <c r="Z7" s="65">
        <v>85.94</v>
      </c>
      <c r="AA7" s="65">
        <v>35.57</v>
      </c>
    </row>
    <row r="8" spans="1:27" ht="15" customHeight="1" x14ac:dyDescent="0.3">
      <c r="A8" s="68">
        <v>45219</v>
      </c>
      <c r="B8" s="65">
        <v>540.96</v>
      </c>
      <c r="C8" s="65">
        <v>46.53</v>
      </c>
      <c r="D8" s="65">
        <v>565.86</v>
      </c>
      <c r="E8" s="65">
        <v>82.64</v>
      </c>
      <c r="F8" s="65">
        <v>44.69</v>
      </c>
      <c r="G8" s="65">
        <v>45.16</v>
      </c>
      <c r="H8" s="65">
        <v>66.59</v>
      </c>
      <c r="I8" s="65">
        <v>41.26</v>
      </c>
      <c r="J8" s="65">
        <v>93</v>
      </c>
      <c r="K8" s="65">
        <v>16.11</v>
      </c>
      <c r="L8" s="65">
        <v>87.73</v>
      </c>
      <c r="M8" s="65">
        <v>36.6</v>
      </c>
      <c r="N8" s="65">
        <v>361.86</v>
      </c>
      <c r="O8" s="65">
        <v>71.05</v>
      </c>
      <c r="P8" s="65">
        <v>93.91</v>
      </c>
      <c r="Q8" s="65">
        <v>48.67</v>
      </c>
      <c r="R8" s="65">
        <v>33.43</v>
      </c>
      <c r="S8" s="65">
        <v>55.35</v>
      </c>
      <c r="T8" s="65">
        <v>24.51</v>
      </c>
      <c r="U8" s="65">
        <v>20.7</v>
      </c>
      <c r="V8" s="65">
        <v>228.12</v>
      </c>
      <c r="W8" s="65">
        <v>93.27</v>
      </c>
      <c r="X8" s="65"/>
      <c r="Y8" s="65">
        <v>41.54</v>
      </c>
      <c r="Z8" s="65">
        <v>83.35</v>
      </c>
      <c r="AA8" s="65">
        <v>40.1</v>
      </c>
    </row>
    <row r="9" spans="1:27" ht="15" customHeight="1" x14ac:dyDescent="0.3">
      <c r="A9" s="68">
        <v>45226</v>
      </c>
      <c r="B9" s="65">
        <v>508.12</v>
      </c>
      <c r="C9" s="65">
        <v>44.05</v>
      </c>
      <c r="D9" s="65">
        <v>575.52</v>
      </c>
      <c r="E9" s="65">
        <v>81.16</v>
      </c>
      <c r="F9" s="65">
        <v>43.21</v>
      </c>
      <c r="G9" s="65">
        <v>44.72</v>
      </c>
      <c r="H9" s="65">
        <v>65.03</v>
      </c>
      <c r="I9" s="65">
        <v>40.380000000000003</v>
      </c>
      <c r="J9" s="65">
        <v>88.36</v>
      </c>
      <c r="K9" s="65">
        <v>15.07</v>
      </c>
      <c r="L9" s="65">
        <v>82.62</v>
      </c>
      <c r="M9" s="65">
        <v>36.28</v>
      </c>
      <c r="N9" s="65">
        <v>355.28</v>
      </c>
      <c r="O9" s="65">
        <v>69.95</v>
      </c>
      <c r="P9" s="65">
        <v>92.4</v>
      </c>
      <c r="Q9" s="65">
        <v>47.83</v>
      </c>
      <c r="R9" s="65">
        <v>32.729999999999997</v>
      </c>
      <c r="S9" s="65">
        <v>54.23</v>
      </c>
      <c r="T9" s="65">
        <v>23.7</v>
      </c>
      <c r="U9" s="65">
        <v>19.989999999999998</v>
      </c>
      <c r="V9" s="65">
        <v>224.1</v>
      </c>
      <c r="W9" s="65">
        <v>90.96</v>
      </c>
      <c r="X9" s="65"/>
      <c r="Y9" s="65">
        <v>40.619999999999997</v>
      </c>
      <c r="Z9" s="65">
        <v>83.56</v>
      </c>
      <c r="AA9" s="65">
        <v>39.79</v>
      </c>
    </row>
    <row r="10" spans="1:27" ht="15" customHeight="1" x14ac:dyDescent="0.3">
      <c r="A10" s="68">
        <v>45233</v>
      </c>
      <c r="B10" s="65">
        <v>563.66</v>
      </c>
      <c r="C10" s="65">
        <v>53.12</v>
      </c>
      <c r="D10" s="65">
        <v>628.24</v>
      </c>
      <c r="E10" s="65">
        <v>85.45</v>
      </c>
      <c r="F10" s="65">
        <v>47.06</v>
      </c>
      <c r="G10" s="65">
        <v>48.79</v>
      </c>
      <c r="H10" s="65">
        <v>71.900000000000006</v>
      </c>
      <c r="I10" s="65">
        <v>44.87</v>
      </c>
      <c r="J10" s="65">
        <v>96.74</v>
      </c>
      <c r="K10" s="65">
        <v>18.89</v>
      </c>
      <c r="L10" s="65">
        <v>88.19</v>
      </c>
      <c r="M10" s="65">
        <v>40.28</v>
      </c>
      <c r="N10" s="65">
        <v>376.2</v>
      </c>
      <c r="O10" s="65">
        <v>74.959999999999994</v>
      </c>
      <c r="P10" s="65">
        <v>97.82</v>
      </c>
      <c r="Q10" s="65">
        <v>49.76</v>
      </c>
      <c r="R10" s="65">
        <v>34.61</v>
      </c>
      <c r="S10" s="65">
        <v>57.4</v>
      </c>
      <c r="T10" s="65">
        <v>25.09</v>
      </c>
      <c r="U10" s="65">
        <v>20.99</v>
      </c>
      <c r="V10" s="65">
        <v>238.11</v>
      </c>
      <c r="W10" s="65">
        <v>95.67</v>
      </c>
      <c r="X10" s="65"/>
      <c r="Y10" s="65">
        <v>42.55</v>
      </c>
      <c r="Z10" s="65">
        <v>85.58</v>
      </c>
      <c r="AA10" s="65">
        <v>43.24</v>
      </c>
    </row>
    <row r="11" spans="1:27" ht="15" customHeight="1" x14ac:dyDescent="0.3">
      <c r="A11" s="68">
        <v>45240</v>
      </c>
      <c r="B11" s="65">
        <v>597.22</v>
      </c>
      <c r="C11" s="65">
        <v>51.71</v>
      </c>
      <c r="D11" s="65">
        <v>646.70000000000005</v>
      </c>
      <c r="E11" s="65">
        <v>92.69</v>
      </c>
      <c r="F11" s="65">
        <v>49.08</v>
      </c>
      <c r="G11" s="65">
        <v>52.17</v>
      </c>
      <c r="H11" s="65">
        <v>74.650000000000006</v>
      </c>
      <c r="I11" s="65">
        <v>48.19</v>
      </c>
      <c r="J11" s="65">
        <v>94.93</v>
      </c>
      <c r="K11" s="65">
        <v>19.670000000000002</v>
      </c>
      <c r="L11" s="65">
        <v>93.62</v>
      </c>
      <c r="M11" s="65">
        <v>41.67</v>
      </c>
      <c r="N11" s="65">
        <v>373.65</v>
      </c>
      <c r="O11" s="65">
        <v>72.400000000000006</v>
      </c>
      <c r="P11" s="65">
        <v>95.61</v>
      </c>
      <c r="Q11" s="65">
        <v>50.26</v>
      </c>
      <c r="R11" s="65">
        <v>35.33</v>
      </c>
      <c r="S11" s="65">
        <v>59.09</v>
      </c>
      <c r="T11" s="65">
        <v>24.93</v>
      </c>
      <c r="U11" s="65">
        <v>20.75</v>
      </c>
      <c r="V11" s="65">
        <v>240.23</v>
      </c>
      <c r="W11" s="65">
        <v>94.59</v>
      </c>
      <c r="X11" s="65"/>
      <c r="Y11" s="65">
        <v>42.72</v>
      </c>
      <c r="Z11" s="65">
        <v>90.57</v>
      </c>
      <c r="AA11" s="65">
        <v>44.72</v>
      </c>
    </row>
    <row r="12" spans="1:27" ht="15" customHeight="1" x14ac:dyDescent="0.3">
      <c r="A12" s="68">
        <v>45247</v>
      </c>
      <c r="B12" s="65">
        <v>602.66</v>
      </c>
      <c r="C12" s="65">
        <v>53.66</v>
      </c>
      <c r="D12" s="65">
        <v>670.96</v>
      </c>
      <c r="E12" s="65">
        <v>94.65</v>
      </c>
      <c r="F12" s="65">
        <v>51.77</v>
      </c>
      <c r="G12" s="65">
        <v>53.32</v>
      </c>
      <c r="H12" s="65">
        <v>76.83</v>
      </c>
      <c r="I12" s="65">
        <v>49.15</v>
      </c>
      <c r="J12" s="65">
        <v>99.94</v>
      </c>
      <c r="K12" s="65">
        <v>20.49</v>
      </c>
      <c r="L12" s="65">
        <v>95.68</v>
      </c>
      <c r="M12" s="65">
        <v>43.12</v>
      </c>
      <c r="N12" s="65">
        <v>350.5</v>
      </c>
      <c r="O12" s="65">
        <v>76.42</v>
      </c>
      <c r="P12" s="65">
        <v>99</v>
      </c>
      <c r="Q12" s="65">
        <v>50.91</v>
      </c>
      <c r="R12" s="65">
        <v>35.659999999999997</v>
      </c>
      <c r="S12" s="65">
        <v>60.37</v>
      </c>
      <c r="T12" s="65">
        <v>25.57</v>
      </c>
      <c r="U12" s="65">
        <v>21.25</v>
      </c>
      <c r="V12" s="65">
        <v>244.45</v>
      </c>
      <c r="W12" s="65">
        <v>97.01</v>
      </c>
      <c r="X12" s="65"/>
      <c r="Y12" s="65">
        <v>43.09</v>
      </c>
      <c r="Z12" s="65">
        <v>94.23</v>
      </c>
      <c r="AA12" s="65">
        <v>46.59</v>
      </c>
    </row>
    <row r="13" spans="1:27" ht="15" customHeight="1" x14ac:dyDescent="0.3">
      <c r="A13" s="68">
        <v>45254</v>
      </c>
      <c r="B13" s="65">
        <v>619.42999999999995</v>
      </c>
      <c r="C13" s="65">
        <v>54.6</v>
      </c>
      <c r="D13" s="65">
        <v>675.94</v>
      </c>
      <c r="E13" s="65">
        <v>94.76</v>
      </c>
      <c r="F13" s="65">
        <v>52.67</v>
      </c>
      <c r="G13" s="65">
        <v>54.41</v>
      </c>
      <c r="H13" s="65">
        <v>76.150000000000006</v>
      </c>
      <c r="I13" s="65">
        <v>47.63</v>
      </c>
      <c r="J13" s="65">
        <v>101.69</v>
      </c>
      <c r="K13" s="65">
        <v>19.2</v>
      </c>
      <c r="L13" s="65">
        <v>94</v>
      </c>
      <c r="M13" s="65">
        <v>42.52</v>
      </c>
      <c r="N13" s="65">
        <v>353.04</v>
      </c>
      <c r="O13" s="65">
        <v>76.430000000000007</v>
      </c>
      <c r="P13" s="65">
        <v>99.35</v>
      </c>
      <c r="Q13" s="65">
        <v>51.13</v>
      </c>
      <c r="R13" s="65">
        <v>35.85</v>
      </c>
      <c r="S13" s="65">
        <v>60.7</v>
      </c>
      <c r="T13" s="65">
        <v>25.75</v>
      </c>
      <c r="U13" s="65">
        <v>21.45</v>
      </c>
      <c r="V13" s="65">
        <v>249.1</v>
      </c>
      <c r="W13" s="65">
        <v>97.69</v>
      </c>
      <c r="X13" s="65"/>
      <c r="Y13" s="65">
        <v>43.42</v>
      </c>
      <c r="Z13" s="65">
        <v>94.27</v>
      </c>
      <c r="AA13" s="65">
        <v>47.96</v>
      </c>
    </row>
    <row r="14" spans="1:27" ht="15" customHeight="1" x14ac:dyDescent="0.3">
      <c r="A14" s="68">
        <v>45261</v>
      </c>
      <c r="B14" s="65">
        <v>612.47</v>
      </c>
      <c r="C14" s="65">
        <v>54.16</v>
      </c>
      <c r="D14" s="65">
        <v>676.94</v>
      </c>
      <c r="E14" s="65">
        <v>90.03</v>
      </c>
      <c r="F14" s="65">
        <v>58.76</v>
      </c>
      <c r="G14" s="65">
        <v>53.76</v>
      </c>
      <c r="H14" s="65">
        <v>75.22</v>
      </c>
      <c r="I14" s="65">
        <v>46.63</v>
      </c>
      <c r="J14" s="65">
        <v>107.37</v>
      </c>
      <c r="K14" s="65">
        <v>20.27</v>
      </c>
      <c r="L14" s="65">
        <v>94.69</v>
      </c>
      <c r="M14" s="65">
        <v>44.97</v>
      </c>
      <c r="N14" s="65">
        <v>351.16</v>
      </c>
      <c r="O14" s="65">
        <v>78.989999999999995</v>
      </c>
      <c r="P14" s="65">
        <v>102.26</v>
      </c>
      <c r="Q14" s="65">
        <v>51.18</v>
      </c>
      <c r="R14" s="65">
        <v>35.92</v>
      </c>
      <c r="S14" s="65">
        <v>60.57</v>
      </c>
      <c r="T14" s="65">
        <v>26.1</v>
      </c>
      <c r="U14" s="65">
        <v>21.85</v>
      </c>
      <c r="V14" s="65">
        <v>251.2</v>
      </c>
      <c r="W14" s="65">
        <v>99.38</v>
      </c>
      <c r="X14" s="65"/>
      <c r="Y14" s="65">
        <v>43.62</v>
      </c>
      <c r="Z14" s="65">
        <v>96.25</v>
      </c>
      <c r="AA14" s="65">
        <v>46.57</v>
      </c>
    </row>
    <row r="15" spans="1:27" ht="15" customHeight="1" x14ac:dyDescent="0.3">
      <c r="A15" s="68">
        <v>45268</v>
      </c>
      <c r="B15" s="65">
        <v>610.01</v>
      </c>
      <c r="C15" s="65">
        <v>56.01</v>
      </c>
      <c r="D15" s="65">
        <v>681.07</v>
      </c>
      <c r="E15" s="65">
        <v>91.41</v>
      </c>
      <c r="F15" s="65">
        <v>60.64</v>
      </c>
      <c r="G15" s="65">
        <v>52.33</v>
      </c>
      <c r="H15" s="65">
        <v>74.260000000000005</v>
      </c>
      <c r="I15" s="65">
        <v>47.37</v>
      </c>
      <c r="J15" s="65">
        <v>108.82</v>
      </c>
      <c r="K15" s="65">
        <v>17.77</v>
      </c>
      <c r="L15" s="65">
        <v>96.42</v>
      </c>
      <c r="M15" s="65">
        <v>46.98</v>
      </c>
      <c r="N15" s="65">
        <v>350.15</v>
      </c>
      <c r="O15" s="65">
        <v>79.650000000000006</v>
      </c>
      <c r="P15" s="65">
        <v>102.48</v>
      </c>
      <c r="Q15" s="65">
        <v>51.37</v>
      </c>
      <c r="R15" s="65">
        <v>36.18</v>
      </c>
      <c r="S15" s="65">
        <v>60.79</v>
      </c>
      <c r="T15" s="65">
        <v>26.33</v>
      </c>
      <c r="U15" s="65">
        <v>21.89</v>
      </c>
      <c r="V15" s="65">
        <v>250.51</v>
      </c>
      <c r="W15" s="65">
        <v>99.15</v>
      </c>
      <c r="X15" s="65"/>
      <c r="Y15" s="65">
        <v>43.49</v>
      </c>
      <c r="Z15" s="65">
        <v>94.75</v>
      </c>
      <c r="AA15" s="65">
        <v>45.38</v>
      </c>
    </row>
    <row r="16" spans="1:27" ht="15" customHeight="1" x14ac:dyDescent="0.3">
      <c r="A16" s="68">
        <v>45275</v>
      </c>
      <c r="B16" s="65">
        <v>584.67999999999995</v>
      </c>
      <c r="C16" s="65">
        <v>58.9</v>
      </c>
      <c r="D16" s="65">
        <v>736.36</v>
      </c>
      <c r="E16" s="65">
        <v>109.37</v>
      </c>
      <c r="F16" s="65">
        <v>65.02</v>
      </c>
      <c r="G16" s="65">
        <v>57.29</v>
      </c>
      <c r="H16" s="65">
        <v>80.64</v>
      </c>
      <c r="I16" s="65">
        <v>48.75</v>
      </c>
      <c r="J16" s="65">
        <v>122.68</v>
      </c>
      <c r="K16" s="65">
        <v>18.2</v>
      </c>
      <c r="L16" s="65">
        <v>98.99</v>
      </c>
      <c r="M16" s="65">
        <v>47.57</v>
      </c>
      <c r="N16" s="65">
        <v>410.68</v>
      </c>
      <c r="O16" s="65">
        <v>84.02</v>
      </c>
      <c r="P16" s="65">
        <v>105.54</v>
      </c>
      <c r="Q16" s="65">
        <v>51.84</v>
      </c>
      <c r="R16" s="65">
        <v>36.729999999999997</v>
      </c>
      <c r="S16" s="65">
        <v>62.87</v>
      </c>
      <c r="T16" s="65">
        <v>27.06</v>
      </c>
      <c r="U16" s="65">
        <v>22.77</v>
      </c>
      <c r="V16" s="65">
        <v>252.75</v>
      </c>
      <c r="W16" s="65">
        <v>102.56</v>
      </c>
      <c r="X16" s="65"/>
      <c r="Y16" s="65">
        <v>44.02</v>
      </c>
      <c r="Z16" s="65">
        <v>96.83</v>
      </c>
      <c r="AA16" s="65">
        <v>47.21</v>
      </c>
    </row>
    <row r="17" spans="1:27" ht="15" customHeight="1" x14ac:dyDescent="0.3">
      <c r="A17" s="68">
        <v>45282</v>
      </c>
      <c r="B17" s="65">
        <v>598.75</v>
      </c>
      <c r="C17" s="65">
        <v>59.56</v>
      </c>
      <c r="D17" s="65">
        <v>735.94</v>
      </c>
      <c r="E17" s="65">
        <v>109.11</v>
      </c>
      <c r="F17" s="65">
        <v>63.91</v>
      </c>
      <c r="G17" s="65">
        <v>57.05</v>
      </c>
      <c r="H17" s="65">
        <v>85.68</v>
      </c>
      <c r="I17" s="65">
        <v>48.69</v>
      </c>
      <c r="J17" s="65">
        <v>120.98</v>
      </c>
      <c r="K17" s="65">
        <v>17.41</v>
      </c>
      <c r="L17" s="65">
        <v>99.57</v>
      </c>
      <c r="M17" s="65">
        <v>48.62</v>
      </c>
      <c r="N17" s="65">
        <v>405.25</v>
      </c>
      <c r="O17" s="65">
        <v>86.35</v>
      </c>
      <c r="P17" s="65">
        <v>105.82</v>
      </c>
      <c r="Q17" s="65">
        <v>51.9</v>
      </c>
      <c r="R17" s="65">
        <v>36.840000000000003</v>
      </c>
      <c r="S17" s="65">
        <v>63.81</v>
      </c>
      <c r="T17" s="65">
        <v>27.39</v>
      </c>
      <c r="U17" s="65">
        <v>22.89</v>
      </c>
      <c r="V17" s="65">
        <v>253.14</v>
      </c>
      <c r="W17" s="65">
        <v>103.26</v>
      </c>
      <c r="X17" s="65"/>
      <c r="Y17" s="65">
        <v>44.08</v>
      </c>
      <c r="Z17" s="65">
        <v>99.55</v>
      </c>
      <c r="AA17" s="65">
        <v>48.68</v>
      </c>
    </row>
    <row r="18" spans="1:27" ht="15" customHeight="1" x14ac:dyDescent="0.3">
      <c r="A18" s="68">
        <v>45289</v>
      </c>
      <c r="B18" s="65">
        <v>596.6</v>
      </c>
      <c r="C18" s="65">
        <v>58.88</v>
      </c>
      <c r="D18" s="65">
        <v>740.23</v>
      </c>
      <c r="E18" s="65">
        <v>108.56</v>
      </c>
      <c r="F18" s="65">
        <v>63.83</v>
      </c>
      <c r="G18" s="65">
        <v>56.92</v>
      </c>
      <c r="H18" s="65">
        <v>84.65</v>
      </c>
      <c r="I18" s="65">
        <v>49.38</v>
      </c>
      <c r="J18" s="65">
        <v>121.8</v>
      </c>
      <c r="K18" s="65">
        <v>17.170000000000002</v>
      </c>
      <c r="L18" s="65">
        <v>100.4</v>
      </c>
      <c r="M18" s="65">
        <v>47.87</v>
      </c>
      <c r="N18" s="65">
        <v>406.89</v>
      </c>
      <c r="O18" s="65">
        <v>86.03</v>
      </c>
      <c r="P18" s="65">
        <v>106.25</v>
      </c>
      <c r="Q18" s="65">
        <v>51.99</v>
      </c>
      <c r="R18" s="65">
        <v>36.96</v>
      </c>
      <c r="S18" s="65">
        <v>64.260000000000005</v>
      </c>
      <c r="T18" s="65">
        <v>27.33</v>
      </c>
      <c r="U18" s="65">
        <v>22.98</v>
      </c>
      <c r="V18" s="65">
        <v>255.02</v>
      </c>
      <c r="W18" s="65">
        <v>103.89</v>
      </c>
      <c r="X18" s="65"/>
      <c r="Y18" s="65">
        <v>44.31</v>
      </c>
      <c r="Z18" s="65">
        <v>100.35</v>
      </c>
      <c r="AA18" s="65">
        <v>48.69</v>
      </c>
    </row>
    <row r="19" spans="1:27" ht="15" customHeight="1" x14ac:dyDescent="0.3">
      <c r="A19" s="68">
        <v>45296</v>
      </c>
      <c r="B19" s="65">
        <v>564.6</v>
      </c>
      <c r="C19" s="65">
        <v>57.73</v>
      </c>
      <c r="D19" s="65">
        <v>687.83</v>
      </c>
      <c r="E19" s="65">
        <v>102.04</v>
      </c>
      <c r="F19" s="65">
        <v>61.87</v>
      </c>
      <c r="G19" s="65">
        <v>53.3</v>
      </c>
      <c r="H19" s="65">
        <v>82.78</v>
      </c>
      <c r="I19" s="65">
        <v>48.96</v>
      </c>
      <c r="J19" s="65">
        <v>119.3</v>
      </c>
      <c r="K19" s="65">
        <v>15.98</v>
      </c>
      <c r="L19" s="65">
        <v>96.16</v>
      </c>
      <c r="M19" s="65">
        <v>46.16</v>
      </c>
      <c r="N19" s="65">
        <v>416.5</v>
      </c>
      <c r="O19" s="65">
        <v>83.8</v>
      </c>
      <c r="P19" s="65">
        <v>107</v>
      </c>
      <c r="Q19" s="65">
        <v>51.76</v>
      </c>
      <c r="R19" s="65">
        <v>36.380000000000003</v>
      </c>
      <c r="S19" s="65">
        <v>63.6</v>
      </c>
      <c r="T19" s="65">
        <v>27.35</v>
      </c>
      <c r="U19" s="65">
        <v>23.05</v>
      </c>
      <c r="V19" s="65">
        <v>254.38</v>
      </c>
      <c r="W19" s="65">
        <v>104.12</v>
      </c>
      <c r="X19" s="65"/>
      <c r="Y19" s="65">
        <v>44.12</v>
      </c>
      <c r="Z19" s="65">
        <v>99.29</v>
      </c>
      <c r="AA19" s="65">
        <v>47.41</v>
      </c>
    </row>
    <row r="20" spans="1:27" ht="15" customHeight="1" x14ac:dyDescent="0.3">
      <c r="A20" s="68">
        <v>45303</v>
      </c>
      <c r="B20" s="65">
        <v>596.54</v>
      </c>
      <c r="C20" s="65">
        <v>63.01</v>
      </c>
      <c r="D20" s="65">
        <v>697.49</v>
      </c>
      <c r="E20" s="65">
        <v>107.72</v>
      </c>
      <c r="F20" s="65">
        <v>70.84</v>
      </c>
      <c r="G20" s="65">
        <v>54.89</v>
      </c>
      <c r="H20" s="65">
        <v>81.72</v>
      </c>
      <c r="I20" s="65">
        <v>54.55</v>
      </c>
      <c r="J20" s="65">
        <v>120.2</v>
      </c>
      <c r="K20" s="65">
        <v>16.760000000000002</v>
      </c>
      <c r="L20" s="65">
        <v>97.73</v>
      </c>
      <c r="M20" s="65">
        <v>49.36</v>
      </c>
      <c r="N20" s="65">
        <v>433.4</v>
      </c>
      <c r="O20" s="65">
        <v>82.85</v>
      </c>
      <c r="P20" s="65">
        <v>105.52</v>
      </c>
      <c r="Q20" s="65">
        <v>52.27</v>
      </c>
      <c r="R20" s="65">
        <v>37.380000000000003</v>
      </c>
      <c r="S20" s="65">
        <v>65.569999999999993</v>
      </c>
      <c r="T20" s="65">
        <v>27.29</v>
      </c>
      <c r="U20" s="65">
        <v>23.02</v>
      </c>
      <c r="V20" s="65">
        <v>258.76</v>
      </c>
      <c r="W20" s="65">
        <v>103.76</v>
      </c>
      <c r="X20" s="65"/>
      <c r="Y20" s="65">
        <v>44.57</v>
      </c>
      <c r="Z20" s="65">
        <v>102.05</v>
      </c>
      <c r="AA20" s="65">
        <v>49.22</v>
      </c>
    </row>
    <row r="21" spans="1:27" ht="15" customHeight="1" x14ac:dyDescent="0.3">
      <c r="A21" s="68">
        <v>45310</v>
      </c>
      <c r="B21" s="65">
        <v>611.54999999999995</v>
      </c>
      <c r="C21" s="65">
        <v>65.88</v>
      </c>
      <c r="D21" s="65">
        <v>741.12</v>
      </c>
      <c r="E21" s="65">
        <v>117.79</v>
      </c>
      <c r="F21" s="65">
        <v>72.64</v>
      </c>
      <c r="G21" s="65">
        <v>60.02</v>
      </c>
      <c r="H21" s="65">
        <v>86.8</v>
      </c>
      <c r="I21" s="65">
        <v>59.32</v>
      </c>
      <c r="J21" s="65">
        <v>117.36</v>
      </c>
      <c r="K21" s="65">
        <v>16.78</v>
      </c>
      <c r="L21" s="65">
        <v>110.24</v>
      </c>
      <c r="M21" s="65">
        <v>53.49</v>
      </c>
      <c r="N21" s="65">
        <v>435.02</v>
      </c>
      <c r="O21" s="65">
        <v>83.1</v>
      </c>
      <c r="P21" s="65">
        <v>104.13</v>
      </c>
      <c r="Q21" s="65">
        <v>52.58</v>
      </c>
      <c r="R21" s="65">
        <v>38.04</v>
      </c>
      <c r="S21" s="65">
        <v>66.959999999999994</v>
      </c>
      <c r="T21" s="65">
        <v>27.03</v>
      </c>
      <c r="U21" s="65">
        <v>23.12</v>
      </c>
      <c r="V21" s="65">
        <v>265.36</v>
      </c>
      <c r="W21" s="65">
        <v>103.89</v>
      </c>
      <c r="X21" s="65"/>
      <c r="Y21" s="65">
        <v>44.7</v>
      </c>
      <c r="Z21" s="65">
        <v>102.06</v>
      </c>
      <c r="AA21" s="65">
        <v>48.29</v>
      </c>
    </row>
    <row r="22" spans="1:27" ht="15" customHeight="1" x14ac:dyDescent="0.3">
      <c r="A22" s="68">
        <v>45317</v>
      </c>
      <c r="B22" s="65">
        <v>613.92999999999995</v>
      </c>
      <c r="C22" s="65">
        <v>66.099999999999994</v>
      </c>
      <c r="D22" s="65">
        <v>848.61</v>
      </c>
      <c r="E22" s="65">
        <v>117.18</v>
      </c>
      <c r="F22" s="65">
        <v>72.58</v>
      </c>
      <c r="G22" s="65">
        <v>58.69</v>
      </c>
      <c r="H22" s="65">
        <v>87.34</v>
      </c>
      <c r="I22" s="65">
        <v>60.85</v>
      </c>
      <c r="J22" s="65">
        <v>115.93</v>
      </c>
      <c r="K22" s="65">
        <v>16.350000000000001</v>
      </c>
      <c r="L22" s="65">
        <v>113.2</v>
      </c>
      <c r="M22" s="65">
        <v>53.28</v>
      </c>
      <c r="N22" s="65">
        <v>430.17</v>
      </c>
      <c r="O22" s="65">
        <v>85.06</v>
      </c>
      <c r="P22" s="65">
        <v>105.77</v>
      </c>
      <c r="Q22" s="65">
        <v>52.91</v>
      </c>
      <c r="R22" s="65">
        <v>38.340000000000003</v>
      </c>
      <c r="S22" s="65">
        <v>68.040000000000006</v>
      </c>
      <c r="T22" s="65">
        <v>27.25</v>
      </c>
      <c r="U22" s="65">
        <v>23.25</v>
      </c>
      <c r="V22" s="65">
        <v>262.45999999999998</v>
      </c>
      <c r="W22" s="65">
        <v>105.16</v>
      </c>
      <c r="X22" s="65"/>
      <c r="Y22" s="65">
        <v>45.08</v>
      </c>
      <c r="Z22" s="65">
        <v>103.15</v>
      </c>
      <c r="AA22" s="65">
        <v>57.04</v>
      </c>
    </row>
    <row r="23" spans="1:27" ht="15" customHeight="1" x14ac:dyDescent="0.3">
      <c r="A23" s="68">
        <v>45324</v>
      </c>
      <c r="B23" s="65">
        <v>634.76</v>
      </c>
      <c r="C23" s="65">
        <v>68.28</v>
      </c>
      <c r="D23" s="65">
        <v>871.02</v>
      </c>
      <c r="E23" s="65">
        <v>119.07</v>
      </c>
      <c r="F23" s="65">
        <v>75.89</v>
      </c>
      <c r="G23" s="65">
        <v>59.17</v>
      </c>
      <c r="H23" s="65">
        <v>85.78</v>
      </c>
      <c r="I23" s="65">
        <v>65.97</v>
      </c>
      <c r="J23" s="65">
        <v>118.1</v>
      </c>
      <c r="K23" s="65">
        <v>17.02</v>
      </c>
      <c r="L23" s="65">
        <v>111.74</v>
      </c>
      <c r="M23" s="65">
        <v>61.27</v>
      </c>
      <c r="N23" s="65">
        <v>424.68</v>
      </c>
      <c r="O23" s="65">
        <v>83.47</v>
      </c>
      <c r="P23" s="65">
        <v>104.41</v>
      </c>
      <c r="Q23" s="65">
        <v>53.66</v>
      </c>
      <c r="R23" s="65">
        <v>38.71</v>
      </c>
      <c r="S23" s="65">
        <v>71.150000000000006</v>
      </c>
      <c r="T23" s="65">
        <v>27.51</v>
      </c>
      <c r="U23" s="65">
        <v>23.24</v>
      </c>
      <c r="V23" s="65">
        <v>271.51</v>
      </c>
      <c r="W23" s="65">
        <v>105.29</v>
      </c>
      <c r="X23" s="65"/>
      <c r="Y23" s="65">
        <v>45.53</v>
      </c>
      <c r="Z23" s="65">
        <v>107.35</v>
      </c>
      <c r="AA23" s="65">
        <v>56.46</v>
      </c>
    </row>
    <row r="24" spans="1:27" ht="15" customHeight="1" x14ac:dyDescent="0.3">
      <c r="A24" s="68">
        <v>45331</v>
      </c>
      <c r="B24" s="65">
        <v>627.21</v>
      </c>
      <c r="C24" s="65">
        <v>70.61</v>
      </c>
      <c r="D24" s="65">
        <v>930.29</v>
      </c>
      <c r="E24" s="65">
        <v>124.82</v>
      </c>
      <c r="F24" s="65">
        <v>82.33</v>
      </c>
      <c r="G24" s="65">
        <v>63.63</v>
      </c>
      <c r="H24" s="65">
        <v>84.87</v>
      </c>
      <c r="I24" s="65">
        <v>71.92</v>
      </c>
      <c r="J24" s="65">
        <v>121.05</v>
      </c>
      <c r="K24" s="65">
        <v>24.38</v>
      </c>
      <c r="L24" s="65">
        <v>128.5</v>
      </c>
      <c r="M24" s="65">
        <v>63.31</v>
      </c>
      <c r="N24" s="65">
        <v>422.91</v>
      </c>
      <c r="O24" s="65">
        <v>84.22</v>
      </c>
      <c r="P24" s="65">
        <v>103.48</v>
      </c>
      <c r="Q24" s="65">
        <v>53.89</v>
      </c>
      <c r="R24" s="65">
        <v>39.119999999999997</v>
      </c>
      <c r="S24" s="65">
        <v>72.849999999999994</v>
      </c>
      <c r="T24" s="65">
        <v>27.65</v>
      </c>
      <c r="U24" s="65">
        <v>23.18</v>
      </c>
      <c r="V24" s="65">
        <v>271.27999999999997</v>
      </c>
      <c r="W24" s="65">
        <v>105.06</v>
      </c>
      <c r="X24" s="65"/>
      <c r="Y24" s="65">
        <v>45.5</v>
      </c>
      <c r="Z24" s="65">
        <v>109.51</v>
      </c>
      <c r="AA24" s="65">
        <v>56.13</v>
      </c>
    </row>
    <row r="25" spans="1:27" ht="15" customHeight="1" x14ac:dyDescent="0.3">
      <c r="A25" s="68">
        <v>45338</v>
      </c>
      <c r="B25" s="65">
        <v>546.66</v>
      </c>
      <c r="C25" s="65">
        <v>65.44</v>
      </c>
      <c r="D25" s="65">
        <v>910.05</v>
      </c>
      <c r="E25" s="65">
        <v>121.12</v>
      </c>
      <c r="F25" s="65">
        <v>82.31</v>
      </c>
      <c r="G25" s="65">
        <v>64.900000000000006</v>
      </c>
      <c r="H25" s="65">
        <v>78.86</v>
      </c>
      <c r="I25" s="65">
        <v>72.400000000000006</v>
      </c>
      <c r="J25" s="65">
        <v>121.88</v>
      </c>
      <c r="K25" s="65">
        <v>24.44</v>
      </c>
      <c r="L25" s="65">
        <v>122.3</v>
      </c>
      <c r="M25" s="65">
        <v>62.76</v>
      </c>
      <c r="N25" s="65">
        <v>422.2</v>
      </c>
      <c r="O25" s="65">
        <v>84.82</v>
      </c>
      <c r="P25" s="65">
        <v>104.69</v>
      </c>
      <c r="Q25" s="65">
        <v>53.59</v>
      </c>
      <c r="R25" s="65">
        <v>38.99</v>
      </c>
      <c r="S25" s="65">
        <v>73.459999999999994</v>
      </c>
      <c r="T25" s="65">
        <v>27.88</v>
      </c>
      <c r="U25" s="65">
        <v>23.24</v>
      </c>
      <c r="V25" s="65">
        <v>273.37</v>
      </c>
      <c r="W25" s="65">
        <v>106.04</v>
      </c>
      <c r="X25" s="65"/>
      <c r="Y25" s="65">
        <v>45.56</v>
      </c>
      <c r="Z25" s="65">
        <v>117.27</v>
      </c>
      <c r="AA25" s="65">
        <v>58.4</v>
      </c>
    </row>
    <row r="26" spans="1:27" ht="15" customHeight="1" x14ac:dyDescent="0.3">
      <c r="A26" s="68">
        <v>45345</v>
      </c>
      <c r="B26" s="65">
        <v>553.44000000000005</v>
      </c>
      <c r="C26" s="65">
        <v>66.92</v>
      </c>
      <c r="D26" s="65">
        <v>914.27</v>
      </c>
      <c r="E26" s="65">
        <v>126.07</v>
      </c>
      <c r="F26" s="65">
        <v>77.87</v>
      </c>
      <c r="G26" s="65">
        <v>65.63</v>
      </c>
      <c r="H26" s="65">
        <v>85.31</v>
      </c>
      <c r="I26" s="65">
        <v>78.59</v>
      </c>
      <c r="J26" s="65">
        <v>121.72</v>
      </c>
      <c r="K26" s="65">
        <v>22.97</v>
      </c>
      <c r="L26" s="65">
        <v>125.04</v>
      </c>
      <c r="M26" s="65">
        <v>62.49</v>
      </c>
      <c r="N26" s="65">
        <v>430.11</v>
      </c>
      <c r="O26" s="65">
        <v>84.54</v>
      </c>
      <c r="P26" s="65">
        <v>105.57</v>
      </c>
      <c r="Q26" s="65">
        <v>54</v>
      </c>
      <c r="R26" s="65">
        <v>39.479999999999997</v>
      </c>
      <c r="S26" s="65">
        <v>75.099999999999994</v>
      </c>
      <c r="T26" s="65">
        <v>28.49</v>
      </c>
      <c r="U26" s="65">
        <v>23.51</v>
      </c>
      <c r="V26" s="65">
        <v>278.31</v>
      </c>
      <c r="W26" s="65">
        <v>107.55</v>
      </c>
      <c r="X26" s="65"/>
      <c r="Y26" s="65">
        <v>46.09</v>
      </c>
      <c r="Z26" s="65">
        <v>120.55</v>
      </c>
      <c r="AA26" s="65">
        <v>58.36</v>
      </c>
    </row>
    <row r="27" spans="1:27" ht="15" customHeight="1" x14ac:dyDescent="0.3">
      <c r="A27" s="68">
        <v>45352</v>
      </c>
      <c r="B27" s="65">
        <v>570.92999999999995</v>
      </c>
      <c r="C27" s="65">
        <v>71.930000000000007</v>
      </c>
      <c r="D27" s="65">
        <v>970.78</v>
      </c>
      <c r="E27" s="65">
        <v>136.07</v>
      </c>
      <c r="F27" s="65">
        <v>78.650000000000006</v>
      </c>
      <c r="G27" s="65">
        <v>70.42</v>
      </c>
      <c r="H27" s="65">
        <v>94.38</v>
      </c>
      <c r="I27" s="65">
        <v>82.04</v>
      </c>
      <c r="J27" s="65">
        <v>122.99</v>
      </c>
      <c r="K27" s="65">
        <v>24.93</v>
      </c>
      <c r="L27" s="65">
        <v>129.26</v>
      </c>
      <c r="M27" s="65">
        <v>70.34</v>
      </c>
      <c r="N27" s="65">
        <v>432.76</v>
      </c>
      <c r="O27" s="65">
        <v>85.87</v>
      </c>
      <c r="P27" s="65">
        <v>105.59</v>
      </c>
      <c r="Q27" s="65">
        <v>54.34</v>
      </c>
      <c r="R27" s="65">
        <v>39.979999999999997</v>
      </c>
      <c r="S27" s="65">
        <v>77.209999999999994</v>
      </c>
      <c r="T27" s="65">
        <v>29.11</v>
      </c>
      <c r="U27" s="65">
        <v>23.59</v>
      </c>
      <c r="V27" s="65">
        <v>277.88</v>
      </c>
      <c r="W27" s="65">
        <v>108.11</v>
      </c>
      <c r="X27" s="65"/>
      <c r="Y27" s="65">
        <v>46.28</v>
      </c>
      <c r="Z27" s="65">
        <v>124.74</v>
      </c>
      <c r="AA27" s="65">
        <v>61.93</v>
      </c>
    </row>
    <row r="28" spans="1:27" ht="15" customHeight="1" x14ac:dyDescent="0.3">
      <c r="A28" s="68">
        <v>45359</v>
      </c>
      <c r="B28" s="65">
        <v>551.69000000000005</v>
      </c>
      <c r="C28" s="65">
        <v>68.28</v>
      </c>
      <c r="D28" s="65">
        <v>974.11</v>
      </c>
      <c r="E28" s="65">
        <v>127.27</v>
      </c>
      <c r="F28" s="65">
        <v>80.709999999999994</v>
      </c>
      <c r="G28" s="65">
        <v>68.62</v>
      </c>
      <c r="H28" s="65">
        <v>96.83</v>
      </c>
      <c r="I28" s="65">
        <v>87.28</v>
      </c>
      <c r="J28" s="65">
        <v>123.42</v>
      </c>
      <c r="K28" s="65">
        <v>26.04</v>
      </c>
      <c r="L28" s="65">
        <v>141.30000000000001</v>
      </c>
      <c r="M28" s="65">
        <v>69.14</v>
      </c>
      <c r="N28" s="65">
        <v>413.59</v>
      </c>
      <c r="O28" s="65">
        <v>85.97</v>
      </c>
      <c r="P28" s="65">
        <v>108.41</v>
      </c>
      <c r="Q28" s="65">
        <v>54.37</v>
      </c>
      <c r="R28" s="65">
        <v>39.92</v>
      </c>
      <c r="S28" s="65">
        <v>77.510000000000005</v>
      </c>
      <c r="T28" s="65">
        <v>29.69</v>
      </c>
      <c r="U28" s="65">
        <v>23.67</v>
      </c>
      <c r="V28" s="65">
        <v>274.82</v>
      </c>
      <c r="W28" s="65">
        <v>109.2</v>
      </c>
      <c r="X28" s="65"/>
      <c r="Y28" s="65">
        <v>46.51</v>
      </c>
      <c r="Z28" s="65">
        <v>132.06</v>
      </c>
      <c r="AA28" s="65">
        <v>60.48</v>
      </c>
    </row>
    <row r="29" spans="1:27" ht="15" customHeight="1" x14ac:dyDescent="0.3">
      <c r="A29" s="68">
        <v>45366</v>
      </c>
      <c r="B29" s="65">
        <v>492.46</v>
      </c>
      <c r="C29" s="65">
        <v>69.430000000000007</v>
      </c>
      <c r="D29" s="65">
        <v>921.09</v>
      </c>
      <c r="E29" s="65">
        <v>120.15</v>
      </c>
      <c r="F29" s="65">
        <v>78.91</v>
      </c>
      <c r="G29" s="65">
        <v>67.11</v>
      </c>
      <c r="H29" s="65">
        <v>92.5</v>
      </c>
      <c r="I29" s="65">
        <v>87.59</v>
      </c>
      <c r="J29" s="65">
        <v>118.76</v>
      </c>
      <c r="K29" s="65">
        <v>23.49</v>
      </c>
      <c r="L29" s="65">
        <v>132.22999999999999</v>
      </c>
      <c r="M29" s="65">
        <v>73.91</v>
      </c>
      <c r="N29" s="65">
        <v>407.69</v>
      </c>
      <c r="O29" s="65">
        <v>85.24</v>
      </c>
      <c r="P29" s="65">
        <v>108.06</v>
      </c>
      <c r="Q29" s="65">
        <v>54.38</v>
      </c>
      <c r="R29" s="65">
        <v>39.71</v>
      </c>
      <c r="S29" s="65">
        <v>77.11</v>
      </c>
      <c r="T29" s="65">
        <v>30.15</v>
      </c>
      <c r="U29" s="65">
        <v>23.71</v>
      </c>
      <c r="V29" s="65">
        <v>277.76</v>
      </c>
      <c r="W29" s="65">
        <v>109.43</v>
      </c>
      <c r="X29" s="65"/>
      <c r="Y29" s="65">
        <v>46.41</v>
      </c>
      <c r="Z29" s="65">
        <v>132.79</v>
      </c>
      <c r="AA29" s="65">
        <v>60.59</v>
      </c>
    </row>
    <row r="30" spans="1:27" ht="15" customHeight="1" x14ac:dyDescent="0.3">
      <c r="A30" s="68">
        <v>45373</v>
      </c>
      <c r="B30" s="65">
        <v>499.52</v>
      </c>
      <c r="C30" s="65">
        <v>76.61</v>
      </c>
      <c r="D30" s="65">
        <v>960.03</v>
      </c>
      <c r="E30" s="65">
        <v>132.19</v>
      </c>
      <c r="F30" s="65">
        <v>81.89</v>
      </c>
      <c r="G30" s="65">
        <v>69.73</v>
      </c>
      <c r="H30" s="65">
        <v>109.32</v>
      </c>
      <c r="I30" s="65">
        <v>94.02</v>
      </c>
      <c r="J30" s="65">
        <v>118.4</v>
      </c>
      <c r="K30" s="65">
        <v>24.18</v>
      </c>
      <c r="L30" s="65">
        <v>136.22</v>
      </c>
      <c r="M30" s="65">
        <v>82.25</v>
      </c>
      <c r="N30" s="65">
        <v>415.66</v>
      </c>
      <c r="O30" s="65">
        <v>87.57</v>
      </c>
      <c r="P30" s="65">
        <v>109.81</v>
      </c>
      <c r="Q30" s="65">
        <v>55.04</v>
      </c>
      <c r="R30" s="65">
        <v>40.729999999999997</v>
      </c>
      <c r="S30" s="65">
        <v>79.430000000000007</v>
      </c>
      <c r="T30" s="65">
        <v>30.88</v>
      </c>
      <c r="U30" s="65">
        <v>24.15</v>
      </c>
      <c r="V30" s="65">
        <v>277.98</v>
      </c>
      <c r="W30" s="65">
        <v>111.45</v>
      </c>
      <c r="X30" s="65"/>
      <c r="Y30" s="65">
        <v>46.81</v>
      </c>
      <c r="Z30" s="65">
        <v>137.71</v>
      </c>
      <c r="AA30" s="65">
        <v>62.8</v>
      </c>
    </row>
    <row r="31" spans="1:27" ht="15" customHeight="1" x14ac:dyDescent="0.3">
      <c r="A31" s="68">
        <v>45380</v>
      </c>
      <c r="B31" s="65">
        <v>504.6</v>
      </c>
      <c r="C31" s="65">
        <v>72.5</v>
      </c>
      <c r="D31" s="65">
        <v>950.73</v>
      </c>
      <c r="E31" s="65">
        <v>129.44999999999999</v>
      </c>
      <c r="F31" s="65">
        <v>80.150000000000006</v>
      </c>
      <c r="G31" s="65">
        <v>68.55</v>
      </c>
      <c r="H31" s="65">
        <v>117.05</v>
      </c>
      <c r="I31" s="65">
        <v>90.1</v>
      </c>
      <c r="J31" s="65">
        <v>119.87</v>
      </c>
      <c r="K31" s="65">
        <v>23.01</v>
      </c>
      <c r="L31" s="65">
        <v>131.87</v>
      </c>
      <c r="M31" s="65">
        <v>81.430000000000007</v>
      </c>
      <c r="N31" s="65">
        <v>418.01</v>
      </c>
      <c r="O31" s="65">
        <v>90.08</v>
      </c>
      <c r="P31" s="65">
        <v>112.58</v>
      </c>
      <c r="Q31" s="65">
        <v>55.08</v>
      </c>
      <c r="R31" s="65">
        <v>40.71</v>
      </c>
      <c r="S31" s="65">
        <v>78.83</v>
      </c>
      <c r="T31" s="65">
        <v>31.36</v>
      </c>
      <c r="U31" s="65">
        <v>24.53</v>
      </c>
      <c r="V31" s="65">
        <v>273.88</v>
      </c>
      <c r="W31" s="65">
        <v>113.24</v>
      </c>
      <c r="X31" s="65"/>
      <c r="Y31" s="65">
        <v>47.13</v>
      </c>
      <c r="Z31" s="65">
        <v>138.01</v>
      </c>
      <c r="AA31" s="65">
        <v>60.73</v>
      </c>
    </row>
    <row r="32" spans="1:27" ht="15" customHeight="1" x14ac:dyDescent="0.3">
      <c r="A32" s="68">
        <v>45387</v>
      </c>
      <c r="B32" s="65">
        <v>485.12</v>
      </c>
      <c r="C32" s="65">
        <v>74.400000000000006</v>
      </c>
      <c r="D32" s="65">
        <v>959.63</v>
      </c>
      <c r="E32" s="65">
        <v>130.82</v>
      </c>
      <c r="F32" s="65">
        <v>78.88</v>
      </c>
      <c r="G32" s="65">
        <v>67.010000000000005</v>
      </c>
      <c r="H32" s="65">
        <v>122.7</v>
      </c>
      <c r="I32" s="65">
        <v>87.76</v>
      </c>
      <c r="J32" s="65">
        <v>114.82</v>
      </c>
      <c r="K32" s="65">
        <v>22.96</v>
      </c>
      <c r="L32" s="65">
        <v>137.01</v>
      </c>
      <c r="M32" s="65">
        <v>85.09</v>
      </c>
      <c r="N32" s="65">
        <v>406.67</v>
      </c>
      <c r="O32" s="65">
        <v>88.14</v>
      </c>
      <c r="P32" s="65">
        <v>110.58</v>
      </c>
      <c r="Q32" s="65">
        <v>54.87</v>
      </c>
      <c r="R32" s="65">
        <v>40.54</v>
      </c>
      <c r="S32" s="65">
        <v>79.06</v>
      </c>
      <c r="T32" s="65">
        <v>31.28</v>
      </c>
      <c r="U32" s="65">
        <v>24.03</v>
      </c>
      <c r="V32" s="65">
        <v>271.97000000000003</v>
      </c>
      <c r="W32" s="65">
        <v>111.62</v>
      </c>
      <c r="X32" s="65"/>
      <c r="Y32" s="65">
        <v>46.77</v>
      </c>
      <c r="Z32" s="65">
        <v>153.97999999999999</v>
      </c>
      <c r="AA32" s="65">
        <v>63.62</v>
      </c>
    </row>
    <row r="33" spans="1:27" ht="15" customHeight="1" x14ac:dyDescent="0.3">
      <c r="A33" s="68">
        <v>45394</v>
      </c>
      <c r="B33" s="65">
        <v>474.09</v>
      </c>
      <c r="C33" s="65">
        <v>67.81</v>
      </c>
      <c r="D33" s="65">
        <v>942.28</v>
      </c>
      <c r="E33" s="65">
        <v>131.27000000000001</v>
      </c>
      <c r="F33" s="65">
        <v>77.260000000000005</v>
      </c>
      <c r="G33" s="65">
        <v>66.81</v>
      </c>
      <c r="H33" s="65">
        <v>121.65</v>
      </c>
      <c r="I33" s="65">
        <v>87.94</v>
      </c>
      <c r="J33" s="65">
        <v>109.54</v>
      </c>
      <c r="K33" s="65">
        <v>22.67</v>
      </c>
      <c r="L33" s="65">
        <v>138.13999999999999</v>
      </c>
      <c r="M33" s="65">
        <v>83.64</v>
      </c>
      <c r="N33" s="65">
        <v>396.55</v>
      </c>
      <c r="O33" s="65">
        <v>85.42</v>
      </c>
      <c r="P33" s="65">
        <v>107.42</v>
      </c>
      <c r="Q33" s="65">
        <v>54.52</v>
      </c>
      <c r="R33" s="65">
        <v>40.4</v>
      </c>
      <c r="S33" s="65">
        <v>77.95</v>
      </c>
      <c r="T33" s="65">
        <v>30.48</v>
      </c>
      <c r="U33" s="65">
        <v>23.36</v>
      </c>
      <c r="V33" s="65">
        <v>270.82</v>
      </c>
      <c r="W33" s="65">
        <v>108.66</v>
      </c>
      <c r="X33" s="65"/>
      <c r="Y33" s="65">
        <v>46.05</v>
      </c>
      <c r="Z33" s="65">
        <v>152.6</v>
      </c>
      <c r="AA33" s="65">
        <v>62.28</v>
      </c>
    </row>
    <row r="34" spans="1:27" ht="15" customHeight="1" x14ac:dyDescent="0.3">
      <c r="A34" s="68">
        <v>45401</v>
      </c>
      <c r="B34" s="65">
        <v>465.02</v>
      </c>
      <c r="C34" s="65">
        <v>61.52</v>
      </c>
      <c r="D34" s="65">
        <v>842.06</v>
      </c>
      <c r="E34" s="65">
        <v>117.66</v>
      </c>
      <c r="F34" s="65">
        <v>70.66</v>
      </c>
      <c r="G34" s="65">
        <v>61.64</v>
      </c>
      <c r="H34" s="65">
        <v>106.01</v>
      </c>
      <c r="I34" s="65">
        <v>75.98</v>
      </c>
      <c r="J34" s="65">
        <v>95.26</v>
      </c>
      <c r="K34" s="65">
        <v>20.47</v>
      </c>
      <c r="L34" s="65">
        <v>123.77</v>
      </c>
      <c r="M34" s="65">
        <v>74.790000000000006</v>
      </c>
      <c r="N34" s="65">
        <v>394.28</v>
      </c>
      <c r="O34" s="65">
        <v>84.65</v>
      </c>
      <c r="P34" s="65">
        <v>108.48</v>
      </c>
      <c r="Q34" s="65">
        <v>53.46</v>
      </c>
      <c r="R34" s="65">
        <v>38.46</v>
      </c>
      <c r="S34" s="65">
        <v>73.52</v>
      </c>
      <c r="T34" s="65">
        <v>29.94</v>
      </c>
      <c r="U34" s="65">
        <v>23.32</v>
      </c>
      <c r="V34" s="65">
        <v>264.75</v>
      </c>
      <c r="W34" s="65">
        <v>108.51</v>
      </c>
      <c r="X34" s="65"/>
      <c r="Y34" s="65">
        <v>45.44</v>
      </c>
      <c r="Z34" s="65">
        <v>146.12</v>
      </c>
      <c r="AA34" s="65">
        <v>55.5</v>
      </c>
    </row>
    <row r="35" spans="1:27" ht="15" customHeight="1" x14ac:dyDescent="0.3">
      <c r="A35" s="68">
        <v>45408</v>
      </c>
      <c r="B35" s="65">
        <v>477.56</v>
      </c>
      <c r="C35" s="65">
        <v>66.180000000000007</v>
      </c>
      <c r="D35" s="65">
        <v>902.15</v>
      </c>
      <c r="E35" s="65">
        <v>131.27000000000001</v>
      </c>
      <c r="F35" s="65">
        <v>76.02</v>
      </c>
      <c r="G35" s="65">
        <v>69.31</v>
      </c>
      <c r="H35" s="65">
        <v>114.02</v>
      </c>
      <c r="I35" s="65">
        <v>87.49</v>
      </c>
      <c r="J35" s="65">
        <v>95.79</v>
      </c>
      <c r="K35" s="65">
        <v>22.52</v>
      </c>
      <c r="L35" s="65">
        <v>134.05000000000001</v>
      </c>
      <c r="M35" s="65">
        <v>93.21</v>
      </c>
      <c r="N35" s="65">
        <v>397.48</v>
      </c>
      <c r="O35" s="65">
        <v>86.75</v>
      </c>
      <c r="P35" s="65">
        <v>109.47</v>
      </c>
      <c r="Q35" s="65">
        <v>54.56</v>
      </c>
      <c r="R35" s="65">
        <v>39.840000000000003</v>
      </c>
      <c r="S35" s="65">
        <v>75.73</v>
      </c>
      <c r="T35" s="65">
        <v>30.31</v>
      </c>
      <c r="U35" s="65">
        <v>23.57</v>
      </c>
      <c r="V35" s="65">
        <v>269.39999999999998</v>
      </c>
      <c r="W35" s="65">
        <v>109.85</v>
      </c>
      <c r="X35" s="65"/>
      <c r="Y35" s="65">
        <v>46.12</v>
      </c>
      <c r="Z35" s="65">
        <v>160.22</v>
      </c>
      <c r="AA35" s="65">
        <v>56.12</v>
      </c>
    </row>
    <row r="36" spans="1:27" ht="15" customHeight="1" x14ac:dyDescent="0.3">
      <c r="A36" s="68">
        <v>45415</v>
      </c>
      <c r="B36" s="65">
        <v>486.18</v>
      </c>
      <c r="C36" s="65">
        <v>68.599999999999994</v>
      </c>
      <c r="D36" s="65">
        <v>885.13</v>
      </c>
      <c r="E36" s="65">
        <v>124.83</v>
      </c>
      <c r="F36" s="65">
        <v>77.55</v>
      </c>
      <c r="G36" s="65">
        <v>68.36</v>
      </c>
      <c r="H36" s="65">
        <v>113.88</v>
      </c>
      <c r="I36" s="65">
        <v>88.54</v>
      </c>
      <c r="J36" s="65">
        <v>97.47</v>
      </c>
      <c r="K36" s="65">
        <v>23.33</v>
      </c>
      <c r="L36" s="65">
        <v>137.21</v>
      </c>
      <c r="M36" s="65">
        <v>92.73</v>
      </c>
      <c r="N36" s="65">
        <v>401.08</v>
      </c>
      <c r="O36" s="65">
        <v>87.34</v>
      </c>
      <c r="P36" s="65">
        <v>110.81</v>
      </c>
      <c r="Q36" s="65">
        <v>54.79</v>
      </c>
      <c r="R36" s="65">
        <v>40.24</v>
      </c>
      <c r="S36" s="65">
        <v>76.47</v>
      </c>
      <c r="T36" s="65">
        <v>29.84</v>
      </c>
      <c r="U36" s="65">
        <v>23.72</v>
      </c>
      <c r="V36" s="65">
        <v>263.49</v>
      </c>
      <c r="W36" s="65">
        <v>109.62</v>
      </c>
      <c r="X36" s="65"/>
      <c r="Y36" s="65">
        <v>46.21</v>
      </c>
      <c r="Z36" s="65">
        <v>161.96</v>
      </c>
      <c r="AA36" s="65">
        <v>57.93</v>
      </c>
    </row>
    <row r="37" spans="1:27" ht="15" customHeight="1" x14ac:dyDescent="0.3">
      <c r="A37" s="68">
        <v>45422</v>
      </c>
      <c r="B37" s="65">
        <v>482.29</v>
      </c>
      <c r="C37" s="65">
        <v>78.510000000000005</v>
      </c>
      <c r="D37" s="65">
        <v>913.26</v>
      </c>
      <c r="E37" s="65">
        <v>130.16999999999999</v>
      </c>
      <c r="F37" s="65">
        <v>80.19</v>
      </c>
      <c r="G37" s="65">
        <v>70.489999999999995</v>
      </c>
      <c r="H37" s="65">
        <v>120.38</v>
      </c>
      <c r="I37" s="65">
        <v>89.62</v>
      </c>
      <c r="J37" s="65">
        <v>98.95</v>
      </c>
      <c r="K37" s="65">
        <v>20.6</v>
      </c>
      <c r="L37" s="65">
        <v>144.66999999999999</v>
      </c>
      <c r="M37" s="65">
        <v>95.12</v>
      </c>
      <c r="N37" s="65">
        <v>422.78</v>
      </c>
      <c r="O37" s="65">
        <v>88.85</v>
      </c>
      <c r="P37" s="65">
        <v>113.55</v>
      </c>
      <c r="Q37" s="65">
        <v>55.64</v>
      </c>
      <c r="R37" s="65">
        <v>40.799999999999997</v>
      </c>
      <c r="S37" s="65">
        <v>78.17</v>
      </c>
      <c r="T37" s="65">
        <v>30.51</v>
      </c>
      <c r="U37" s="65">
        <v>24.12</v>
      </c>
      <c r="V37" s="65">
        <v>275.51</v>
      </c>
      <c r="W37" s="65">
        <v>112.19</v>
      </c>
      <c r="X37" s="65"/>
      <c r="Y37" s="65">
        <v>47.07</v>
      </c>
      <c r="Z37" s="65">
        <v>161.24</v>
      </c>
      <c r="AA37" s="65">
        <v>61.09</v>
      </c>
    </row>
    <row r="38" spans="1:27" ht="15" customHeight="1" x14ac:dyDescent="0.3">
      <c r="A38" s="68">
        <v>45429</v>
      </c>
      <c r="B38" s="65">
        <v>483.43</v>
      </c>
      <c r="C38" s="65">
        <v>79.97</v>
      </c>
      <c r="D38" s="65">
        <v>908.04</v>
      </c>
      <c r="E38" s="65">
        <v>136.27000000000001</v>
      </c>
      <c r="F38" s="65">
        <v>86.48</v>
      </c>
      <c r="G38" s="65">
        <v>73.52</v>
      </c>
      <c r="H38" s="65">
        <v>124.4</v>
      </c>
      <c r="I38" s="65">
        <v>92.22</v>
      </c>
      <c r="J38" s="65">
        <v>102.64</v>
      </c>
      <c r="K38" s="65">
        <v>21.76</v>
      </c>
      <c r="L38" s="65">
        <v>147.02000000000001</v>
      </c>
      <c r="M38" s="65">
        <v>96.52</v>
      </c>
      <c r="N38" s="65">
        <v>445.21</v>
      </c>
      <c r="O38" s="65">
        <v>89.83</v>
      </c>
      <c r="P38" s="65">
        <v>114.93</v>
      </c>
      <c r="Q38" s="65">
        <v>56.24</v>
      </c>
      <c r="R38" s="65">
        <v>41.29</v>
      </c>
      <c r="S38" s="65">
        <v>79.349999999999994</v>
      </c>
      <c r="T38" s="65">
        <v>30.8</v>
      </c>
      <c r="U38" s="65">
        <v>24.36</v>
      </c>
      <c r="V38" s="65">
        <v>275.39</v>
      </c>
      <c r="W38" s="65">
        <v>113.72</v>
      </c>
      <c r="X38" s="65"/>
      <c r="Y38" s="65">
        <v>47.3</v>
      </c>
      <c r="Z38" s="65">
        <v>157.80000000000001</v>
      </c>
      <c r="AA38" s="65">
        <v>62.11</v>
      </c>
    </row>
    <row r="39" spans="1:27" ht="15" customHeight="1" x14ac:dyDescent="0.3">
      <c r="A39" s="68">
        <v>45436</v>
      </c>
      <c r="B39" s="65">
        <v>475.43</v>
      </c>
      <c r="C39" s="65">
        <v>76.64</v>
      </c>
      <c r="D39" s="65">
        <v>938.72</v>
      </c>
      <c r="E39" s="65">
        <v>137.5</v>
      </c>
      <c r="F39" s="65">
        <v>87.87</v>
      </c>
      <c r="G39" s="65">
        <v>76.61</v>
      </c>
      <c r="H39" s="65">
        <v>128.57</v>
      </c>
      <c r="I39" s="65">
        <v>106.17</v>
      </c>
      <c r="J39" s="65">
        <v>96.42</v>
      </c>
      <c r="K39" s="65">
        <v>21.01</v>
      </c>
      <c r="L39" s="65">
        <v>155.08000000000001</v>
      </c>
      <c r="M39" s="65">
        <v>105.85</v>
      </c>
      <c r="N39" s="65">
        <v>456.95</v>
      </c>
      <c r="O39" s="65">
        <v>88.5</v>
      </c>
      <c r="P39" s="65">
        <v>112.58</v>
      </c>
      <c r="Q39" s="65">
        <v>56.3</v>
      </c>
      <c r="R39" s="65">
        <v>41.48</v>
      </c>
      <c r="S39" s="65">
        <v>80.900000000000006</v>
      </c>
      <c r="T39" s="65">
        <v>30.27</v>
      </c>
      <c r="U39" s="65">
        <v>23.76</v>
      </c>
      <c r="V39" s="65">
        <v>269.87</v>
      </c>
      <c r="W39" s="65">
        <v>111.73</v>
      </c>
      <c r="X39" s="65"/>
      <c r="Y39" s="65">
        <v>46.92</v>
      </c>
      <c r="Z39" s="65">
        <v>165.14</v>
      </c>
      <c r="AA39" s="65">
        <v>64.680000000000007</v>
      </c>
    </row>
    <row r="40" spans="1:27" ht="15" customHeight="1" x14ac:dyDescent="0.3">
      <c r="A40" s="68">
        <v>45443</v>
      </c>
      <c r="B40" s="65">
        <v>444.76</v>
      </c>
      <c r="C40" s="65">
        <v>74.41</v>
      </c>
      <c r="D40" s="65">
        <v>942.77</v>
      </c>
      <c r="E40" s="65">
        <v>129.75</v>
      </c>
      <c r="F40" s="65">
        <v>78.42</v>
      </c>
      <c r="G40" s="65">
        <v>74.69</v>
      </c>
      <c r="H40" s="65">
        <v>124.11</v>
      </c>
      <c r="I40" s="65">
        <v>109.32</v>
      </c>
      <c r="J40" s="65">
        <v>101.71</v>
      </c>
      <c r="K40" s="65">
        <v>21.68</v>
      </c>
      <c r="L40" s="65">
        <v>146.4</v>
      </c>
      <c r="M40" s="65">
        <v>97.78</v>
      </c>
      <c r="N40" s="65">
        <v>455.34</v>
      </c>
      <c r="O40" s="65">
        <v>89.45</v>
      </c>
      <c r="P40" s="65">
        <v>113.76</v>
      </c>
      <c r="Q40" s="65">
        <v>56.15</v>
      </c>
      <c r="R40" s="65">
        <v>41.34</v>
      </c>
      <c r="S40" s="65">
        <v>80.010000000000005</v>
      </c>
      <c r="T40" s="65">
        <v>30.62</v>
      </c>
      <c r="U40" s="65">
        <v>23.9</v>
      </c>
      <c r="V40" s="65">
        <v>267.88</v>
      </c>
      <c r="W40" s="65">
        <v>112.31</v>
      </c>
      <c r="X40" s="65"/>
      <c r="Y40" s="65">
        <v>46.84</v>
      </c>
      <c r="Z40" s="65">
        <v>162.97999999999999</v>
      </c>
      <c r="AA40" s="65">
        <v>64.16</v>
      </c>
    </row>
    <row r="41" spans="1:27" ht="15" customHeight="1" x14ac:dyDescent="0.3">
      <c r="A41" s="68">
        <v>45450</v>
      </c>
      <c r="B41" s="65">
        <v>465.43</v>
      </c>
      <c r="C41" s="65">
        <v>74.2</v>
      </c>
      <c r="D41" s="65">
        <v>1009.6</v>
      </c>
      <c r="E41" s="65">
        <v>137.38</v>
      </c>
      <c r="F41" s="65">
        <v>87.28</v>
      </c>
      <c r="G41" s="65">
        <v>75.61</v>
      </c>
      <c r="H41" s="65">
        <v>130.01</v>
      </c>
      <c r="I41" s="65">
        <v>120.54</v>
      </c>
      <c r="J41" s="65">
        <v>101.44</v>
      </c>
      <c r="K41" s="65">
        <v>23.31</v>
      </c>
      <c r="L41" s="65">
        <v>159.34</v>
      </c>
      <c r="M41" s="65">
        <v>87.42</v>
      </c>
      <c r="N41" s="65">
        <v>483.04</v>
      </c>
      <c r="O41" s="65">
        <v>86.4</v>
      </c>
      <c r="P41" s="65">
        <v>111.46</v>
      </c>
      <c r="Q41" s="65">
        <v>56.77</v>
      </c>
      <c r="R41" s="65">
        <v>41.92</v>
      </c>
      <c r="S41" s="65">
        <v>82.44</v>
      </c>
      <c r="T41" s="65">
        <v>29.97</v>
      </c>
      <c r="U41" s="65">
        <v>23.69</v>
      </c>
      <c r="V41" s="65">
        <v>273.98</v>
      </c>
      <c r="W41" s="65">
        <v>111.3</v>
      </c>
      <c r="X41" s="65"/>
      <c r="Y41" s="65">
        <v>46.88</v>
      </c>
      <c r="Z41" s="65">
        <v>159.80000000000001</v>
      </c>
      <c r="AA41" s="65">
        <v>64.150000000000006</v>
      </c>
    </row>
    <row r="42" spans="1:27" ht="15" customHeight="1" x14ac:dyDescent="0.3">
      <c r="A42" s="68">
        <v>45457</v>
      </c>
      <c r="B42" s="65">
        <v>525.30999999999995</v>
      </c>
      <c r="C42" s="65">
        <v>82.12</v>
      </c>
      <c r="D42" s="65">
        <v>1009.09</v>
      </c>
      <c r="E42" s="65">
        <v>169.45</v>
      </c>
      <c r="F42" s="65">
        <v>96.36</v>
      </c>
      <c r="G42" s="65">
        <v>81.11</v>
      </c>
      <c r="H42" s="65">
        <v>140.35</v>
      </c>
      <c r="I42" s="65">
        <v>131.52000000000001</v>
      </c>
      <c r="J42" s="65">
        <v>103.36</v>
      </c>
      <c r="K42" s="65">
        <v>23.57</v>
      </c>
      <c r="L42" s="65">
        <v>167.73</v>
      </c>
      <c r="M42" s="65">
        <v>91.21</v>
      </c>
      <c r="N42" s="65">
        <v>480.73</v>
      </c>
      <c r="O42" s="65">
        <v>84.34</v>
      </c>
      <c r="P42" s="65">
        <v>109.58</v>
      </c>
      <c r="Q42" s="65">
        <v>57.29</v>
      </c>
      <c r="R42" s="65">
        <v>42.45</v>
      </c>
      <c r="S42" s="65">
        <v>85.92</v>
      </c>
      <c r="T42" s="65">
        <v>29.91</v>
      </c>
      <c r="U42" s="65">
        <v>23.36</v>
      </c>
      <c r="V42" s="65">
        <v>266.11</v>
      </c>
      <c r="W42" s="65">
        <v>110.83</v>
      </c>
      <c r="X42" s="65"/>
      <c r="Y42" s="65">
        <v>46.62</v>
      </c>
      <c r="Z42" s="65">
        <v>153.84</v>
      </c>
      <c r="AA42" s="65">
        <v>66.94</v>
      </c>
    </row>
    <row r="43" spans="1:27" ht="15" customHeight="1" x14ac:dyDescent="0.3">
      <c r="A43" s="68">
        <v>45464</v>
      </c>
      <c r="B43" s="65">
        <v>533.44000000000005</v>
      </c>
      <c r="C43" s="65">
        <v>84.34</v>
      </c>
      <c r="D43" s="65">
        <v>1017.63</v>
      </c>
      <c r="E43" s="65">
        <v>161.99</v>
      </c>
      <c r="F43" s="65">
        <v>95.16</v>
      </c>
      <c r="G43" s="65">
        <v>80.290000000000006</v>
      </c>
      <c r="H43" s="65">
        <v>138.55000000000001</v>
      </c>
      <c r="I43" s="65">
        <v>126.22</v>
      </c>
      <c r="J43" s="65">
        <v>101.57</v>
      </c>
      <c r="K43" s="65">
        <v>23.84</v>
      </c>
      <c r="L43" s="65">
        <v>169.14</v>
      </c>
      <c r="M43" s="65">
        <v>90.38</v>
      </c>
      <c r="N43" s="65">
        <v>468.71</v>
      </c>
      <c r="O43" s="65">
        <v>85.25</v>
      </c>
      <c r="P43" s="65">
        <v>111.09</v>
      </c>
      <c r="Q43" s="65">
        <v>57.47</v>
      </c>
      <c r="R43" s="65">
        <v>42.49</v>
      </c>
      <c r="S43" s="65">
        <v>85.85</v>
      </c>
      <c r="T43" s="65">
        <v>30.2</v>
      </c>
      <c r="U43" s="65">
        <v>23.76</v>
      </c>
      <c r="V43" s="65">
        <v>270.58999999999997</v>
      </c>
      <c r="W43" s="65">
        <v>112.22</v>
      </c>
      <c r="X43" s="65"/>
      <c r="Y43" s="65">
        <v>47.03</v>
      </c>
      <c r="Z43" s="65">
        <v>162.09</v>
      </c>
      <c r="AA43" s="65">
        <v>68.61</v>
      </c>
    </row>
    <row r="44" spans="1:27" ht="15" customHeight="1" x14ac:dyDescent="0.3">
      <c r="A44" s="68">
        <v>45471</v>
      </c>
      <c r="B44" s="65">
        <v>555.54</v>
      </c>
      <c r="C44" s="65">
        <v>87.62</v>
      </c>
      <c r="D44" s="65">
        <v>1004.01</v>
      </c>
      <c r="E44" s="65">
        <v>157.30000000000001</v>
      </c>
      <c r="F44" s="65">
        <v>95.8</v>
      </c>
      <c r="G44" s="65">
        <v>81.08</v>
      </c>
      <c r="H44" s="65">
        <v>130.59</v>
      </c>
      <c r="I44" s="65">
        <v>123.2</v>
      </c>
      <c r="J44" s="65">
        <v>104.27</v>
      </c>
      <c r="K44" s="65">
        <v>25.33</v>
      </c>
      <c r="L44" s="65">
        <v>169</v>
      </c>
      <c r="M44" s="65">
        <v>86.34</v>
      </c>
      <c r="N44" s="65">
        <v>468.72</v>
      </c>
      <c r="O44" s="65">
        <v>86.67</v>
      </c>
      <c r="P44" s="65">
        <v>111.42</v>
      </c>
      <c r="Q44" s="65">
        <v>57.71</v>
      </c>
      <c r="R44" s="65">
        <v>42.69</v>
      </c>
      <c r="S44" s="65">
        <v>86.01</v>
      </c>
      <c r="T44" s="65">
        <v>30</v>
      </c>
      <c r="U44" s="65">
        <v>23.9</v>
      </c>
      <c r="V44" s="65">
        <v>258.05</v>
      </c>
      <c r="W44" s="65">
        <v>111.95</v>
      </c>
      <c r="X44" s="65"/>
      <c r="Y44" s="65">
        <v>47.02</v>
      </c>
      <c r="Z44" s="65">
        <v>156.88999999999999</v>
      </c>
      <c r="AA44" s="65">
        <v>67.489999999999995</v>
      </c>
    </row>
    <row r="45" spans="1:27" ht="15" customHeight="1" x14ac:dyDescent="0.3">
      <c r="A45" s="68">
        <v>45478</v>
      </c>
      <c r="B45" s="65">
        <v>578.34</v>
      </c>
      <c r="C45" s="65">
        <v>91.54</v>
      </c>
      <c r="D45" s="65">
        <v>1054.81</v>
      </c>
      <c r="E45" s="65">
        <v>166.88</v>
      </c>
      <c r="F45" s="65">
        <v>97.42</v>
      </c>
      <c r="G45" s="65">
        <v>84.1</v>
      </c>
      <c r="H45" s="65">
        <v>130.66</v>
      </c>
      <c r="I45" s="65">
        <v>125.48</v>
      </c>
      <c r="J45" s="65">
        <v>106.27</v>
      </c>
      <c r="K45" s="65">
        <v>27.23</v>
      </c>
      <c r="L45" s="65">
        <v>178.9</v>
      </c>
      <c r="M45" s="65">
        <v>91.53</v>
      </c>
      <c r="N45" s="65">
        <v>474.57</v>
      </c>
      <c r="O45" s="65">
        <v>85.24</v>
      </c>
      <c r="P45" s="65">
        <v>110.51</v>
      </c>
      <c r="Q45" s="65">
        <v>58.12</v>
      </c>
      <c r="R45" s="65">
        <v>43.31</v>
      </c>
      <c r="S45" s="65">
        <v>88.68</v>
      </c>
      <c r="T45" s="65">
        <v>29.41</v>
      </c>
      <c r="U45" s="65">
        <v>23.68</v>
      </c>
      <c r="V45" s="65">
        <v>265.81</v>
      </c>
      <c r="W45" s="65">
        <v>111.93</v>
      </c>
      <c r="X45" s="65"/>
      <c r="Y45" s="65">
        <v>47.04</v>
      </c>
      <c r="Z45" s="65">
        <v>158.4</v>
      </c>
      <c r="AA45" s="65">
        <v>69.069999999999993</v>
      </c>
    </row>
    <row r="46" spans="1:27" ht="15" customHeight="1" x14ac:dyDescent="0.3">
      <c r="A46" s="68">
        <v>45485</v>
      </c>
      <c r="B46" s="65">
        <v>559.04999999999995</v>
      </c>
      <c r="C46" s="65">
        <v>90.47</v>
      </c>
      <c r="D46" s="65">
        <v>1065.4000000000001</v>
      </c>
      <c r="E46" s="65">
        <v>166.62</v>
      </c>
      <c r="F46" s="65">
        <v>92.83</v>
      </c>
      <c r="G46" s="65">
        <v>84.34</v>
      </c>
      <c r="H46" s="65">
        <v>132.72</v>
      </c>
      <c r="I46" s="65">
        <v>128.88</v>
      </c>
      <c r="J46" s="65">
        <v>111.55</v>
      </c>
      <c r="K46" s="65">
        <v>28.07</v>
      </c>
      <c r="L46" s="65">
        <v>182.16</v>
      </c>
      <c r="M46" s="65">
        <v>89.43</v>
      </c>
      <c r="N46" s="65">
        <v>488.74</v>
      </c>
      <c r="O46" s="65">
        <v>89.99</v>
      </c>
      <c r="P46" s="65">
        <v>115.16</v>
      </c>
      <c r="Q46" s="65">
        <v>58.32</v>
      </c>
      <c r="R46" s="65">
        <v>43.28</v>
      </c>
      <c r="S46" s="65">
        <v>88.5</v>
      </c>
      <c r="T46" s="65">
        <v>30.54</v>
      </c>
      <c r="U46" s="65">
        <v>24.48</v>
      </c>
      <c r="V46" s="65">
        <v>261.27</v>
      </c>
      <c r="W46" s="65">
        <v>114.67</v>
      </c>
      <c r="X46" s="65"/>
      <c r="Y46" s="65">
        <v>47.48</v>
      </c>
      <c r="Z46" s="65">
        <v>157.19</v>
      </c>
      <c r="AA46" s="65">
        <v>64.760000000000005</v>
      </c>
    </row>
    <row r="47" spans="1:27" ht="15" customHeight="1" x14ac:dyDescent="0.3">
      <c r="A47" s="68">
        <v>45492</v>
      </c>
      <c r="B47" s="65">
        <v>551</v>
      </c>
      <c r="C47" s="65">
        <v>82.64</v>
      </c>
      <c r="D47" s="65">
        <v>878.98</v>
      </c>
      <c r="E47" s="65">
        <v>154.16</v>
      </c>
      <c r="F47" s="65">
        <v>76.239999999999995</v>
      </c>
      <c r="G47" s="65">
        <v>74.98</v>
      </c>
      <c r="H47" s="65">
        <v>113.55</v>
      </c>
      <c r="I47" s="65">
        <v>117.6</v>
      </c>
      <c r="J47" s="65">
        <v>114.9</v>
      </c>
      <c r="K47" s="65">
        <v>28.58</v>
      </c>
      <c r="L47" s="65">
        <v>161.18</v>
      </c>
      <c r="M47" s="65">
        <v>85.08</v>
      </c>
      <c r="N47" s="65">
        <v>491.57</v>
      </c>
      <c r="O47" s="65">
        <v>92.37</v>
      </c>
      <c r="P47" s="65">
        <v>116.79</v>
      </c>
      <c r="Q47" s="65">
        <v>57.93</v>
      </c>
      <c r="R47" s="65">
        <v>42</v>
      </c>
      <c r="S47" s="65">
        <v>84.92</v>
      </c>
      <c r="T47" s="65">
        <v>31</v>
      </c>
      <c r="U47" s="65">
        <v>24.93</v>
      </c>
      <c r="V47" s="65">
        <v>260.99</v>
      </c>
      <c r="W47" s="65">
        <v>115.57</v>
      </c>
      <c r="X47" s="65"/>
      <c r="Y47" s="65">
        <v>47.37</v>
      </c>
      <c r="Z47" s="65">
        <v>157.31</v>
      </c>
      <c r="AA47" s="65">
        <v>63.33</v>
      </c>
    </row>
    <row r="48" spans="1:27" ht="15" customHeight="1" x14ac:dyDescent="0.3">
      <c r="A48" s="68">
        <v>45499</v>
      </c>
      <c r="B48" s="65">
        <v>542.44000000000005</v>
      </c>
      <c r="C48" s="65">
        <v>79.8</v>
      </c>
      <c r="D48" s="65">
        <v>872.13</v>
      </c>
      <c r="E48" s="65">
        <v>148.56</v>
      </c>
      <c r="F48" s="65">
        <v>64.040000000000006</v>
      </c>
      <c r="G48" s="65">
        <v>77.430000000000007</v>
      </c>
      <c r="H48" s="65">
        <v>108.73</v>
      </c>
      <c r="I48" s="65">
        <v>112.75</v>
      </c>
      <c r="J48" s="65">
        <v>113.9</v>
      </c>
      <c r="K48" s="65">
        <v>27.18</v>
      </c>
      <c r="L48" s="65">
        <v>157.46</v>
      </c>
      <c r="M48" s="65">
        <v>76.91</v>
      </c>
      <c r="N48" s="65">
        <v>495.26</v>
      </c>
      <c r="O48" s="65">
        <v>95.72</v>
      </c>
      <c r="P48" s="65">
        <v>119.26</v>
      </c>
      <c r="Q48" s="65">
        <v>57.69</v>
      </c>
      <c r="R48" s="65">
        <v>41.05</v>
      </c>
      <c r="S48" s="65">
        <v>83.32</v>
      </c>
      <c r="T48" s="65">
        <v>31.56</v>
      </c>
      <c r="U48" s="65">
        <v>25.35</v>
      </c>
      <c r="V48" s="65">
        <v>255.09</v>
      </c>
      <c r="W48" s="65">
        <v>116.6</v>
      </c>
      <c r="X48" s="65"/>
      <c r="Y48" s="65">
        <v>47.53</v>
      </c>
      <c r="Z48" s="65">
        <v>167.87</v>
      </c>
      <c r="AA48" s="65">
        <v>63.14</v>
      </c>
    </row>
    <row r="49" spans="1:27" ht="15" customHeight="1" x14ac:dyDescent="0.3">
      <c r="A49" s="68">
        <v>45506</v>
      </c>
      <c r="B49" s="65">
        <v>526.16999999999996</v>
      </c>
      <c r="C49" s="65">
        <v>79.83</v>
      </c>
      <c r="D49" s="65">
        <v>796.01</v>
      </c>
      <c r="E49" s="65">
        <v>140.91</v>
      </c>
      <c r="F49" s="65">
        <v>54.47</v>
      </c>
      <c r="G49" s="65">
        <v>68.459999999999994</v>
      </c>
      <c r="H49" s="65">
        <v>92.12</v>
      </c>
      <c r="I49" s="65">
        <v>106.97</v>
      </c>
      <c r="J49" s="65">
        <v>115.11</v>
      </c>
      <c r="K49" s="65">
        <v>24.74</v>
      </c>
      <c r="L49" s="65">
        <v>145.71</v>
      </c>
      <c r="M49" s="65">
        <v>69.27</v>
      </c>
      <c r="N49" s="65">
        <v>494.46</v>
      </c>
      <c r="O49" s="65">
        <v>88.88</v>
      </c>
      <c r="P49" s="65">
        <v>117.54</v>
      </c>
      <c r="Q49" s="65">
        <v>57.07</v>
      </c>
      <c r="R49" s="65">
        <v>39.96</v>
      </c>
      <c r="S49" s="65">
        <v>80.84</v>
      </c>
      <c r="T49" s="65">
        <v>30.65</v>
      </c>
      <c r="U49" s="65">
        <v>24.84</v>
      </c>
      <c r="V49" s="65">
        <v>262.10000000000002</v>
      </c>
      <c r="W49" s="65">
        <v>113.85</v>
      </c>
      <c r="X49" s="65"/>
      <c r="Y49" s="65">
        <v>47.27</v>
      </c>
      <c r="Z49" s="65">
        <v>158.44999999999999</v>
      </c>
      <c r="AA49" s="65">
        <v>61.36</v>
      </c>
    </row>
    <row r="50" spans="1:27" ht="15" customHeight="1" x14ac:dyDescent="0.3">
      <c r="A50" s="68">
        <v>45513</v>
      </c>
      <c r="B50" s="65">
        <v>536.29999999999995</v>
      </c>
      <c r="C50" s="65">
        <v>83.95</v>
      </c>
      <c r="D50" s="65">
        <v>846.36</v>
      </c>
      <c r="E50" s="65">
        <v>145.26</v>
      </c>
      <c r="F50" s="65">
        <v>60.22</v>
      </c>
      <c r="G50" s="65">
        <v>73.430000000000007</v>
      </c>
      <c r="H50" s="65">
        <v>92.5</v>
      </c>
      <c r="I50" s="65">
        <v>104.46</v>
      </c>
      <c r="J50" s="65">
        <v>113.18</v>
      </c>
      <c r="K50" s="65">
        <v>30.01</v>
      </c>
      <c r="L50" s="65">
        <v>162.49</v>
      </c>
      <c r="M50" s="65">
        <v>71.27</v>
      </c>
      <c r="N50" s="65">
        <v>468.45</v>
      </c>
      <c r="O50" s="65">
        <v>87.31</v>
      </c>
      <c r="P50" s="65">
        <v>116.35</v>
      </c>
      <c r="Q50" s="65">
        <v>57.11</v>
      </c>
      <c r="R50" s="65">
        <v>40.07</v>
      </c>
      <c r="S50" s="65">
        <v>82.24</v>
      </c>
      <c r="T50" s="65">
        <v>30.62</v>
      </c>
      <c r="U50" s="65">
        <v>24.64</v>
      </c>
      <c r="V50" s="65">
        <v>255.9</v>
      </c>
      <c r="W50" s="65">
        <v>113.61</v>
      </c>
      <c r="X50" s="65"/>
      <c r="Y50" s="65">
        <v>47.3</v>
      </c>
      <c r="Z50" s="65">
        <v>165.22</v>
      </c>
      <c r="AA50" s="65">
        <v>63.39</v>
      </c>
    </row>
    <row r="51" spans="1:27" ht="15" customHeight="1" x14ac:dyDescent="0.3">
      <c r="A51" s="68">
        <v>45520</v>
      </c>
      <c r="B51" s="65">
        <v>553.46</v>
      </c>
      <c r="C51" s="65">
        <v>88.47</v>
      </c>
      <c r="D51" s="65">
        <v>903.52</v>
      </c>
      <c r="E51" s="65">
        <v>162.37</v>
      </c>
      <c r="F51" s="65">
        <v>65.64</v>
      </c>
      <c r="G51" s="65">
        <v>80.739999999999995</v>
      </c>
      <c r="H51" s="65">
        <v>107.32</v>
      </c>
      <c r="I51" s="65">
        <v>124.24</v>
      </c>
      <c r="J51" s="65">
        <v>114.06</v>
      </c>
      <c r="K51" s="65">
        <v>32.08</v>
      </c>
      <c r="L51" s="65">
        <v>169.71</v>
      </c>
      <c r="M51" s="65">
        <v>79.209999999999994</v>
      </c>
      <c r="N51" s="65">
        <v>477.37</v>
      </c>
      <c r="O51" s="65">
        <v>89.81</v>
      </c>
      <c r="P51" s="65">
        <v>119.33</v>
      </c>
      <c r="Q51" s="65">
        <v>58.6</v>
      </c>
      <c r="R51" s="65">
        <v>41.76</v>
      </c>
      <c r="S51" s="65">
        <v>86.93</v>
      </c>
      <c r="T51" s="65">
        <v>31.12</v>
      </c>
      <c r="U51" s="65">
        <v>25.2</v>
      </c>
      <c r="V51" s="65">
        <v>263.41000000000003</v>
      </c>
      <c r="W51" s="65">
        <v>116.79</v>
      </c>
      <c r="X51" s="65"/>
      <c r="Y51" s="65">
        <v>48.31</v>
      </c>
      <c r="Z51" s="65">
        <v>167.48</v>
      </c>
      <c r="AA51" s="65">
        <v>67.41</v>
      </c>
    </row>
    <row r="52" spans="1:27" ht="15" customHeight="1" x14ac:dyDescent="0.3">
      <c r="A52" s="68">
        <v>45527</v>
      </c>
      <c r="B52" s="65">
        <v>558.29999999999995</v>
      </c>
      <c r="C52" s="65">
        <v>88.78</v>
      </c>
      <c r="D52" s="65">
        <v>892.3</v>
      </c>
      <c r="E52" s="65">
        <v>162.99</v>
      </c>
      <c r="F52" s="65">
        <v>67.89</v>
      </c>
      <c r="G52" s="65">
        <v>80.569999999999993</v>
      </c>
      <c r="H52" s="65">
        <v>102.21</v>
      </c>
      <c r="I52" s="65">
        <v>129.01</v>
      </c>
      <c r="J52" s="65">
        <v>119.64</v>
      </c>
      <c r="K52" s="65">
        <v>31.78</v>
      </c>
      <c r="L52" s="65">
        <v>166.54</v>
      </c>
      <c r="M52" s="65">
        <v>78.34</v>
      </c>
      <c r="N52" s="65">
        <v>481.24</v>
      </c>
      <c r="O52" s="65">
        <v>92.6</v>
      </c>
      <c r="P52" s="65">
        <v>121.81</v>
      </c>
      <c r="Q52" s="65">
        <v>59.12</v>
      </c>
      <c r="R52" s="65">
        <v>42.11</v>
      </c>
      <c r="S52" s="65">
        <v>88.13</v>
      </c>
      <c r="T52" s="65">
        <v>32.14</v>
      </c>
      <c r="U52" s="65">
        <v>25.67</v>
      </c>
      <c r="V52" s="65">
        <v>263.47000000000003</v>
      </c>
      <c r="W52" s="65">
        <v>118.72</v>
      </c>
      <c r="X52" s="65"/>
      <c r="Y52" s="65">
        <v>48.73</v>
      </c>
      <c r="Z52" s="65">
        <v>169.26</v>
      </c>
      <c r="AA52" s="65">
        <v>68.67</v>
      </c>
    </row>
    <row r="53" spans="1:27" ht="15" customHeight="1" x14ac:dyDescent="0.3">
      <c r="A53" s="68">
        <v>45534</v>
      </c>
      <c r="B53" s="65">
        <v>574.41</v>
      </c>
      <c r="C53" s="65">
        <v>88.35</v>
      </c>
      <c r="D53" s="65">
        <v>888.97</v>
      </c>
      <c r="E53" s="65">
        <v>159.52000000000001</v>
      </c>
      <c r="F53" s="65">
        <v>69.319999999999993</v>
      </c>
      <c r="G53" s="65">
        <v>80.72</v>
      </c>
      <c r="H53" s="65">
        <v>95.64</v>
      </c>
      <c r="I53" s="65">
        <v>119.04</v>
      </c>
      <c r="J53" s="65">
        <v>118.67</v>
      </c>
      <c r="K53" s="65">
        <v>31.48</v>
      </c>
      <c r="L53" s="65">
        <v>166.95</v>
      </c>
      <c r="M53" s="65">
        <v>82.81</v>
      </c>
      <c r="N53" s="65">
        <v>495.89</v>
      </c>
      <c r="O53" s="65">
        <v>92.65</v>
      </c>
      <c r="P53" s="65">
        <v>123.48</v>
      </c>
      <c r="Q53" s="65">
        <v>59.33</v>
      </c>
      <c r="R53" s="65">
        <v>42.25</v>
      </c>
      <c r="S53" s="65">
        <v>87.78</v>
      </c>
      <c r="T53" s="65">
        <v>32.24</v>
      </c>
      <c r="U53" s="65">
        <v>25.99</v>
      </c>
      <c r="V53" s="65">
        <v>272.27</v>
      </c>
      <c r="W53" s="65">
        <v>120.22</v>
      </c>
      <c r="X53" s="65"/>
      <c r="Y53" s="65">
        <v>49.33</v>
      </c>
      <c r="Z53" s="65">
        <v>172.62</v>
      </c>
      <c r="AA53" s="65">
        <v>70.14</v>
      </c>
    </row>
    <row r="54" spans="1:27" ht="15" customHeight="1" x14ac:dyDescent="0.3">
      <c r="A54" s="68">
        <v>45541</v>
      </c>
      <c r="B54" s="65">
        <v>563.41</v>
      </c>
      <c r="C54" s="65">
        <v>78.58</v>
      </c>
      <c r="D54" s="65">
        <v>740.38</v>
      </c>
      <c r="E54" s="65">
        <v>134.22999999999999</v>
      </c>
      <c r="F54" s="65">
        <v>61.6</v>
      </c>
      <c r="G54" s="65">
        <v>69.23</v>
      </c>
      <c r="H54" s="65">
        <v>85.84</v>
      </c>
      <c r="I54" s="65">
        <v>102.55</v>
      </c>
      <c r="J54" s="65">
        <v>118.13</v>
      </c>
      <c r="K54" s="65">
        <v>30.33</v>
      </c>
      <c r="L54" s="65">
        <v>152.47999999999999</v>
      </c>
      <c r="M54" s="65">
        <v>71.58</v>
      </c>
      <c r="N54" s="65">
        <v>468</v>
      </c>
      <c r="O54" s="65">
        <v>87.4</v>
      </c>
      <c r="P54" s="65">
        <v>120.84</v>
      </c>
      <c r="Q54" s="65">
        <v>57.73</v>
      </c>
      <c r="R54" s="65">
        <v>40.549999999999997</v>
      </c>
      <c r="S54" s="65">
        <v>82.53</v>
      </c>
      <c r="T54" s="65">
        <v>30.91</v>
      </c>
      <c r="U54" s="65">
        <v>25.21</v>
      </c>
      <c r="V54" s="65">
        <v>275.22000000000003</v>
      </c>
      <c r="W54" s="65">
        <v>116.18</v>
      </c>
      <c r="X54" s="65"/>
      <c r="Y54" s="65">
        <v>48.57</v>
      </c>
      <c r="Z54" s="65">
        <v>159.38999999999999</v>
      </c>
      <c r="AA54" s="65">
        <v>66.58</v>
      </c>
    </row>
    <row r="55" spans="1:27" ht="15" customHeight="1" x14ac:dyDescent="0.3">
      <c r="A55" s="68">
        <v>45548</v>
      </c>
      <c r="B55" s="65">
        <v>536.87</v>
      </c>
      <c r="C55" s="65">
        <v>89.94</v>
      </c>
      <c r="D55" s="65">
        <v>802.9</v>
      </c>
      <c r="E55" s="65">
        <v>164.3</v>
      </c>
      <c r="F55" s="65">
        <v>64.78</v>
      </c>
      <c r="G55" s="65">
        <v>74.03</v>
      </c>
      <c r="H55" s="65">
        <v>90.65</v>
      </c>
      <c r="I55" s="65">
        <v>118.78</v>
      </c>
      <c r="J55" s="65">
        <v>120.68</v>
      </c>
      <c r="K55" s="65">
        <v>35.590000000000003</v>
      </c>
      <c r="L55" s="65">
        <v>168.34</v>
      </c>
      <c r="M55" s="65">
        <v>85.53</v>
      </c>
      <c r="N55" s="65">
        <v>485.37</v>
      </c>
      <c r="O55" s="65">
        <v>89.92</v>
      </c>
      <c r="P55" s="65">
        <v>123.08</v>
      </c>
      <c r="Q55" s="65">
        <v>59.23</v>
      </c>
      <c r="R55" s="65">
        <v>42.43</v>
      </c>
      <c r="S55" s="65">
        <v>87.61</v>
      </c>
      <c r="T55" s="65">
        <v>31.7</v>
      </c>
      <c r="U55" s="65">
        <v>25.63</v>
      </c>
      <c r="V55" s="65">
        <v>283.08</v>
      </c>
      <c r="W55" s="65">
        <v>118.96</v>
      </c>
      <c r="X55" s="65"/>
      <c r="Y55" s="65">
        <v>49.67</v>
      </c>
      <c r="Z55" s="65">
        <v>176.24</v>
      </c>
      <c r="AA55" s="65">
        <v>69.709999999999994</v>
      </c>
    </row>
    <row r="56" spans="1:27" ht="15" customHeight="1" x14ac:dyDescent="0.3">
      <c r="A56" s="68">
        <v>45555</v>
      </c>
      <c r="B56" s="65">
        <v>522.29999999999995</v>
      </c>
      <c r="C56" s="65">
        <v>96.11</v>
      </c>
      <c r="D56" s="65">
        <v>782.17</v>
      </c>
      <c r="E56" s="65">
        <v>168.19</v>
      </c>
      <c r="F56" s="65">
        <v>74.959999999999994</v>
      </c>
      <c r="G56" s="65">
        <v>74.760000000000005</v>
      </c>
      <c r="H56" s="65">
        <v>90.33</v>
      </c>
      <c r="I56" s="65">
        <v>115.69</v>
      </c>
      <c r="J56" s="65">
        <v>117.36</v>
      </c>
      <c r="K56" s="65">
        <v>37.200000000000003</v>
      </c>
      <c r="L56" s="65">
        <v>169.89</v>
      </c>
      <c r="M56" s="65">
        <v>94.31</v>
      </c>
      <c r="N56" s="65">
        <v>464.92</v>
      </c>
      <c r="O56" s="65">
        <v>92.64</v>
      </c>
      <c r="P56" s="65">
        <v>124.57</v>
      </c>
      <c r="Q56" s="65">
        <v>59.72</v>
      </c>
      <c r="R56" s="65">
        <v>42.96</v>
      </c>
      <c r="S56" s="65">
        <v>89.03</v>
      </c>
      <c r="T56" s="65">
        <v>32.25</v>
      </c>
      <c r="U56" s="65">
        <v>25.97</v>
      </c>
      <c r="V56" s="65">
        <v>280.54000000000002</v>
      </c>
      <c r="W56" s="65">
        <v>120.69</v>
      </c>
      <c r="X56" s="65"/>
      <c r="Y56" s="65">
        <v>49.94</v>
      </c>
      <c r="Z56" s="65">
        <v>185.29</v>
      </c>
      <c r="AA56" s="65">
        <v>70.099999999999994</v>
      </c>
    </row>
    <row r="57" spans="1:27" ht="15" customHeight="1" x14ac:dyDescent="0.3">
      <c r="A57" s="68">
        <v>45562</v>
      </c>
      <c r="B57" s="65">
        <v>515.48</v>
      </c>
      <c r="C57" s="65">
        <v>95.07</v>
      </c>
      <c r="D57" s="65">
        <v>827.67</v>
      </c>
      <c r="E57" s="65">
        <v>169.75</v>
      </c>
      <c r="F57" s="65">
        <v>71.459999999999994</v>
      </c>
      <c r="G57" s="65">
        <v>77.08</v>
      </c>
      <c r="H57" s="65">
        <v>106.83</v>
      </c>
      <c r="I57" s="65">
        <v>121.08</v>
      </c>
      <c r="J57" s="65">
        <v>117.47</v>
      </c>
      <c r="K57" s="65">
        <v>36.840000000000003</v>
      </c>
      <c r="L57" s="65">
        <v>173.68</v>
      </c>
      <c r="M57" s="65">
        <v>98.17</v>
      </c>
      <c r="N57" s="65">
        <v>462.88</v>
      </c>
      <c r="O57" s="65">
        <v>92.68</v>
      </c>
      <c r="P57" s="65">
        <v>125.53</v>
      </c>
      <c r="Q57" s="65">
        <v>60.13</v>
      </c>
      <c r="R57" s="65">
        <v>43.26</v>
      </c>
      <c r="S57" s="65">
        <v>88.91</v>
      </c>
      <c r="T57" s="65">
        <v>32.32</v>
      </c>
      <c r="U57" s="65">
        <v>26.13</v>
      </c>
      <c r="V57" s="65">
        <v>271.08</v>
      </c>
      <c r="W57" s="65">
        <v>121.41</v>
      </c>
      <c r="X57" s="65"/>
      <c r="Y57" s="65">
        <v>50.16</v>
      </c>
      <c r="Z57" s="65">
        <v>183.53</v>
      </c>
      <c r="AA57" s="65">
        <v>70.739999999999995</v>
      </c>
    </row>
    <row r="58" spans="1:27" ht="15" customHeight="1" x14ac:dyDescent="0.3">
      <c r="A58" s="68">
        <v>45569</v>
      </c>
      <c r="B58" s="65">
        <v>507.22</v>
      </c>
      <c r="C58" s="65">
        <v>98.99</v>
      </c>
      <c r="D58" s="65">
        <v>819.27</v>
      </c>
      <c r="E58" s="65">
        <v>173.63</v>
      </c>
      <c r="F58" s="65">
        <v>73.06</v>
      </c>
      <c r="G58" s="65">
        <v>77.569999999999993</v>
      </c>
      <c r="H58" s="65">
        <v>101.61</v>
      </c>
      <c r="I58" s="65">
        <v>124.59</v>
      </c>
      <c r="J58" s="65">
        <v>114.51</v>
      </c>
      <c r="K58" s="65">
        <v>40.01</v>
      </c>
      <c r="L58" s="65">
        <v>176.8</v>
      </c>
      <c r="M58" s="65">
        <v>104.95</v>
      </c>
      <c r="N58" s="65">
        <v>455.31</v>
      </c>
      <c r="O58" s="65">
        <v>92.94</v>
      </c>
      <c r="P58" s="65">
        <v>125.03</v>
      </c>
      <c r="Q58" s="65">
        <v>60.21</v>
      </c>
      <c r="R58" s="65">
        <v>43.36</v>
      </c>
      <c r="S58" s="65">
        <v>90.24</v>
      </c>
      <c r="T58" s="65">
        <v>32.92</v>
      </c>
      <c r="U58" s="65">
        <v>26.26</v>
      </c>
      <c r="V58" s="65">
        <v>273.8</v>
      </c>
      <c r="W58" s="65">
        <v>122.28</v>
      </c>
      <c r="X58" s="65"/>
      <c r="Y58" s="65">
        <v>50.27</v>
      </c>
      <c r="Z58" s="65">
        <v>185.22</v>
      </c>
      <c r="AA58" s="65">
        <v>71.97</v>
      </c>
    </row>
    <row r="59" spans="1:27" ht="15" customHeight="1" x14ac:dyDescent="0.3">
      <c r="A59" s="68">
        <v>45576</v>
      </c>
      <c r="B59" s="65">
        <v>495.42</v>
      </c>
      <c r="C59" s="65">
        <v>104.23</v>
      </c>
      <c r="D59" s="65">
        <v>826.83</v>
      </c>
      <c r="E59" s="65">
        <v>178.39</v>
      </c>
      <c r="F59" s="65">
        <v>80.05</v>
      </c>
      <c r="G59" s="65">
        <v>79.180000000000007</v>
      </c>
      <c r="H59" s="65">
        <v>106.37</v>
      </c>
      <c r="I59" s="65">
        <v>134.44</v>
      </c>
      <c r="J59" s="65">
        <v>112.47</v>
      </c>
      <c r="K59" s="65">
        <v>43.51</v>
      </c>
      <c r="L59" s="65">
        <v>186.21</v>
      </c>
      <c r="M59" s="65">
        <v>111.57</v>
      </c>
      <c r="N59" s="65">
        <v>481.71</v>
      </c>
      <c r="O59" s="65">
        <v>94.05</v>
      </c>
      <c r="P59" s="65">
        <v>125.1</v>
      </c>
      <c r="Q59" s="65">
        <v>60.7</v>
      </c>
      <c r="R59" s="65">
        <v>43.75</v>
      </c>
      <c r="S59" s="65">
        <v>92.19</v>
      </c>
      <c r="T59" s="65">
        <v>33.06</v>
      </c>
      <c r="U59" s="65">
        <v>26.56</v>
      </c>
      <c r="V59" s="65">
        <v>273.70999999999998</v>
      </c>
      <c r="W59" s="65">
        <v>123.64</v>
      </c>
      <c r="X59" s="65"/>
      <c r="Y59" s="65">
        <v>50.54</v>
      </c>
      <c r="Z59" s="65">
        <v>189.26</v>
      </c>
      <c r="AA59" s="65">
        <v>72.28</v>
      </c>
    </row>
    <row r="60" spans="1:27" ht="15" customHeight="1" x14ac:dyDescent="0.3">
      <c r="A60" s="68">
        <v>45583</v>
      </c>
      <c r="B60" s="65">
        <v>494.9</v>
      </c>
      <c r="C60" s="65">
        <v>100.5</v>
      </c>
      <c r="D60" s="65">
        <v>711.34</v>
      </c>
      <c r="E60" s="65">
        <v>176.83</v>
      </c>
      <c r="F60" s="65">
        <v>77.540000000000006</v>
      </c>
      <c r="G60" s="65">
        <v>66.84</v>
      </c>
      <c r="H60" s="65">
        <v>110.58</v>
      </c>
      <c r="I60" s="65">
        <v>137.63</v>
      </c>
      <c r="J60" s="65">
        <v>114.58</v>
      </c>
      <c r="K60" s="65">
        <v>42.97</v>
      </c>
      <c r="L60" s="65">
        <v>195.94</v>
      </c>
      <c r="M60" s="65">
        <v>111.98</v>
      </c>
      <c r="N60" s="65">
        <v>483</v>
      </c>
      <c r="O60" s="65">
        <v>95.23</v>
      </c>
      <c r="P60" s="65">
        <v>127.52</v>
      </c>
      <c r="Q60" s="65">
        <v>61.2</v>
      </c>
      <c r="R60" s="65">
        <v>44.08</v>
      </c>
      <c r="S60" s="65">
        <v>92.59</v>
      </c>
      <c r="T60" s="65">
        <v>32.9</v>
      </c>
      <c r="U60" s="65">
        <v>26.81</v>
      </c>
      <c r="V60" s="65">
        <v>286.3</v>
      </c>
      <c r="W60" s="65">
        <v>124.89</v>
      </c>
      <c r="X60" s="65"/>
      <c r="Y60" s="65">
        <v>50.91</v>
      </c>
      <c r="Z60" s="65">
        <v>190.69</v>
      </c>
      <c r="AA60" s="65">
        <v>76.39</v>
      </c>
    </row>
    <row r="61" spans="1:27" ht="15" customHeight="1" x14ac:dyDescent="0.3">
      <c r="A61" s="68">
        <v>45590</v>
      </c>
      <c r="B61" s="65">
        <v>483.72</v>
      </c>
      <c r="C61" s="65">
        <v>98.52</v>
      </c>
      <c r="D61" s="65">
        <v>699.97</v>
      </c>
      <c r="E61" s="65">
        <v>170.06</v>
      </c>
      <c r="F61" s="65">
        <v>75.150000000000006</v>
      </c>
      <c r="G61" s="65">
        <v>66.31</v>
      </c>
      <c r="H61" s="65">
        <v>107.36</v>
      </c>
      <c r="I61" s="65">
        <v>141.16</v>
      </c>
      <c r="J61" s="65">
        <v>109.94</v>
      </c>
      <c r="K61" s="65">
        <v>44.86</v>
      </c>
      <c r="L61" s="65">
        <v>198.54</v>
      </c>
      <c r="M61" s="65">
        <v>111.9</v>
      </c>
      <c r="N61" s="65">
        <v>477.7</v>
      </c>
      <c r="O61" s="65">
        <v>92.06</v>
      </c>
      <c r="P61" s="65">
        <v>124.51</v>
      </c>
      <c r="Q61" s="65">
        <v>61.03</v>
      </c>
      <c r="R61" s="65">
        <v>44.18</v>
      </c>
      <c r="S61" s="65">
        <v>91.23</v>
      </c>
      <c r="T61" s="65">
        <v>32.270000000000003</v>
      </c>
      <c r="U61" s="65">
        <v>26.19</v>
      </c>
      <c r="V61" s="65">
        <v>277.55</v>
      </c>
      <c r="W61" s="65">
        <v>122.04</v>
      </c>
      <c r="X61" s="65"/>
      <c r="Y61" s="65">
        <v>50.34</v>
      </c>
      <c r="Z61" s="65">
        <v>177.32</v>
      </c>
      <c r="AA61" s="65">
        <v>75.47</v>
      </c>
    </row>
    <row r="62" spans="1:27" ht="15" customHeight="1" x14ac:dyDescent="0.3">
      <c r="A62" s="68">
        <v>45597</v>
      </c>
      <c r="B62" s="65">
        <v>482.8</v>
      </c>
      <c r="C62" s="65">
        <v>98.54</v>
      </c>
      <c r="D62" s="65">
        <v>665.15</v>
      </c>
      <c r="E62" s="65">
        <v>166.04</v>
      </c>
      <c r="F62" s="65">
        <v>75.78</v>
      </c>
      <c r="G62" s="65">
        <v>65.94</v>
      </c>
      <c r="H62" s="65">
        <v>99.22</v>
      </c>
      <c r="I62" s="65">
        <v>135.04</v>
      </c>
      <c r="J62" s="65">
        <v>106.07</v>
      </c>
      <c r="K62" s="65">
        <v>41.92</v>
      </c>
      <c r="L62" s="65">
        <v>188.3</v>
      </c>
      <c r="M62" s="65">
        <v>106.64</v>
      </c>
      <c r="N62" s="65">
        <v>471.12</v>
      </c>
      <c r="O62" s="65">
        <v>91.84</v>
      </c>
      <c r="P62" s="65">
        <v>124.39</v>
      </c>
      <c r="Q62" s="65">
        <v>60.49</v>
      </c>
      <c r="R62" s="65">
        <v>43.81</v>
      </c>
      <c r="S62" s="65">
        <v>89.98</v>
      </c>
      <c r="T62" s="65">
        <v>32.29</v>
      </c>
      <c r="U62" s="65">
        <v>26.15</v>
      </c>
      <c r="V62" s="65">
        <v>286.42</v>
      </c>
      <c r="W62" s="65">
        <v>121.19</v>
      </c>
      <c r="X62" s="65"/>
      <c r="Y62" s="65">
        <v>50.01</v>
      </c>
      <c r="Z62" s="65">
        <v>169.99</v>
      </c>
      <c r="AA62" s="65">
        <v>75.61</v>
      </c>
    </row>
    <row r="63" spans="1:27" ht="15" customHeight="1" x14ac:dyDescent="0.3">
      <c r="A63" s="68">
        <v>45604</v>
      </c>
      <c r="B63" s="65">
        <v>494.68</v>
      </c>
      <c r="C63" s="65">
        <v>100.11</v>
      </c>
      <c r="D63" s="65">
        <v>659.96</v>
      </c>
      <c r="E63" s="65">
        <v>180.51</v>
      </c>
      <c r="F63" s="65">
        <v>82.51</v>
      </c>
      <c r="G63" s="65">
        <v>67.72</v>
      </c>
      <c r="H63" s="65">
        <v>111.33</v>
      </c>
      <c r="I63" s="65">
        <v>147.22999999999999</v>
      </c>
      <c r="J63" s="65">
        <v>108.34</v>
      </c>
      <c r="K63" s="65">
        <v>58.39</v>
      </c>
      <c r="L63" s="65">
        <v>196.35</v>
      </c>
      <c r="M63" s="65">
        <v>125.45</v>
      </c>
      <c r="N63" s="65">
        <v>516.74</v>
      </c>
      <c r="O63" s="65">
        <v>99.98</v>
      </c>
      <c r="P63" s="65">
        <v>128.71</v>
      </c>
      <c r="Q63" s="65">
        <v>61.96</v>
      </c>
      <c r="R63" s="65">
        <v>45.5</v>
      </c>
      <c r="S63" s="65">
        <v>95.36</v>
      </c>
      <c r="T63" s="65">
        <v>34.79</v>
      </c>
      <c r="U63" s="65">
        <v>27.06</v>
      </c>
      <c r="V63" s="65">
        <v>303.3</v>
      </c>
      <c r="W63" s="65">
        <v>125.91</v>
      </c>
      <c r="X63" s="65"/>
      <c r="Y63" s="65">
        <v>51.35</v>
      </c>
      <c r="Z63" s="65">
        <v>182.97</v>
      </c>
      <c r="AA63" s="65">
        <v>79.5</v>
      </c>
    </row>
    <row r="64" spans="1:27" ht="15" customHeight="1" x14ac:dyDescent="0.3">
      <c r="A64" s="68">
        <v>45611</v>
      </c>
      <c r="B64" s="65">
        <v>503.37</v>
      </c>
      <c r="C64" s="65">
        <v>93.6</v>
      </c>
      <c r="D64" s="65">
        <v>649.28</v>
      </c>
      <c r="E64" s="65">
        <v>162.03</v>
      </c>
      <c r="F64" s="65">
        <v>84.19</v>
      </c>
      <c r="G64" s="65">
        <v>60.53</v>
      </c>
      <c r="H64" s="65">
        <v>95.85</v>
      </c>
      <c r="I64" s="65">
        <v>141.6</v>
      </c>
      <c r="J64" s="65">
        <v>106.09</v>
      </c>
      <c r="K64" s="65">
        <v>65.77</v>
      </c>
      <c r="L64" s="65">
        <v>181.53</v>
      </c>
      <c r="M64" s="65">
        <v>120.58</v>
      </c>
      <c r="N64" s="65">
        <v>465.7</v>
      </c>
      <c r="O64" s="65">
        <v>98.04</v>
      </c>
      <c r="P64" s="65">
        <v>128.87</v>
      </c>
      <c r="Q64" s="65">
        <v>61.37</v>
      </c>
      <c r="R64" s="65">
        <v>44.75</v>
      </c>
      <c r="S64" s="65">
        <v>92.42</v>
      </c>
      <c r="T64" s="65">
        <v>34.26</v>
      </c>
      <c r="U64" s="65">
        <v>26.64</v>
      </c>
      <c r="V64" s="65">
        <v>305.62</v>
      </c>
      <c r="W64" s="65">
        <v>124.2</v>
      </c>
      <c r="X64" s="65"/>
      <c r="Y64" s="65">
        <v>50.7</v>
      </c>
      <c r="Z64" s="65">
        <v>175.17</v>
      </c>
      <c r="AA64" s="65">
        <v>82.4</v>
      </c>
    </row>
    <row r="65" spans="1:27" ht="15" customHeight="1" x14ac:dyDescent="0.3">
      <c r="A65" s="68">
        <v>45618</v>
      </c>
      <c r="B65" s="65">
        <v>512.15</v>
      </c>
      <c r="C65" s="65">
        <v>101.62</v>
      </c>
      <c r="D65" s="65">
        <v>663.32</v>
      </c>
      <c r="E65" s="65">
        <v>161.43</v>
      </c>
      <c r="F65" s="65">
        <v>93.07</v>
      </c>
      <c r="G65" s="65">
        <v>63.18</v>
      </c>
      <c r="H65" s="65">
        <v>102.11</v>
      </c>
      <c r="I65" s="65">
        <v>141.57</v>
      </c>
      <c r="J65" s="65">
        <v>108.31</v>
      </c>
      <c r="K65" s="65">
        <v>64.349999999999994</v>
      </c>
      <c r="L65" s="65">
        <v>185.5</v>
      </c>
      <c r="M65" s="65">
        <v>139.81</v>
      </c>
      <c r="N65" s="65">
        <v>450.97</v>
      </c>
      <c r="O65" s="65">
        <v>101.62</v>
      </c>
      <c r="P65" s="65">
        <v>132.37</v>
      </c>
      <c r="Q65" s="65">
        <v>61.83</v>
      </c>
      <c r="R65" s="65">
        <v>45.52</v>
      </c>
      <c r="S65" s="65">
        <v>94.07</v>
      </c>
      <c r="T65" s="65">
        <v>35.58</v>
      </c>
      <c r="U65" s="65">
        <v>27.31</v>
      </c>
      <c r="V65" s="65">
        <v>305.89999999999998</v>
      </c>
      <c r="W65" s="65">
        <v>126.98</v>
      </c>
      <c r="X65" s="65"/>
      <c r="Y65" s="65">
        <v>51.46</v>
      </c>
      <c r="Z65" s="65">
        <v>179.35</v>
      </c>
      <c r="AA65" s="65">
        <v>89.78</v>
      </c>
    </row>
    <row r="66" spans="1:27" ht="15" customHeight="1" x14ac:dyDescent="0.3">
      <c r="A66" s="68">
        <v>45625</v>
      </c>
      <c r="B66" s="65">
        <v>515.92999999999995</v>
      </c>
      <c r="C66" s="65">
        <v>101.46</v>
      </c>
      <c r="D66" s="65">
        <v>676.86</v>
      </c>
      <c r="E66" s="65">
        <v>159.32</v>
      </c>
      <c r="F66" s="65">
        <v>86.49</v>
      </c>
      <c r="G66" s="65">
        <v>63.92</v>
      </c>
      <c r="H66" s="65">
        <v>97.45</v>
      </c>
      <c r="I66" s="65">
        <v>137.88</v>
      </c>
      <c r="J66" s="65">
        <v>109.23</v>
      </c>
      <c r="K66" s="65">
        <v>67.08</v>
      </c>
      <c r="L66" s="65">
        <v>180.21</v>
      </c>
      <c r="M66" s="65">
        <v>127.29</v>
      </c>
      <c r="N66" s="65">
        <v>468.13</v>
      </c>
      <c r="O66" s="65">
        <v>102.31</v>
      </c>
      <c r="P66" s="65">
        <v>133.61000000000001</v>
      </c>
      <c r="Q66" s="65">
        <v>62.21</v>
      </c>
      <c r="R66" s="65">
        <v>45.94</v>
      </c>
      <c r="S66" s="65">
        <v>95.3</v>
      </c>
      <c r="T66" s="65">
        <v>35.65</v>
      </c>
      <c r="U66" s="65">
        <v>27.48</v>
      </c>
      <c r="V66" s="65">
        <v>310.99</v>
      </c>
      <c r="W66" s="65">
        <v>128.04</v>
      </c>
      <c r="X66" s="65"/>
      <c r="Y66" s="65">
        <v>52.03</v>
      </c>
      <c r="Z66" s="65">
        <v>180.35</v>
      </c>
      <c r="AA66" s="65">
        <v>88.68</v>
      </c>
    </row>
    <row r="67" spans="1:27" ht="15" customHeight="1" x14ac:dyDescent="0.3">
      <c r="A67" s="68">
        <v>45632</v>
      </c>
      <c r="B67" s="65">
        <v>552.96</v>
      </c>
      <c r="C67" s="65">
        <v>108.25</v>
      </c>
      <c r="D67" s="65">
        <v>698.91</v>
      </c>
      <c r="E67" s="65">
        <v>176.47</v>
      </c>
      <c r="F67" s="65">
        <v>91.41</v>
      </c>
      <c r="G67" s="65">
        <v>64.05</v>
      </c>
      <c r="H67" s="65">
        <v>100.65</v>
      </c>
      <c r="I67" s="65">
        <v>142.07</v>
      </c>
      <c r="J67" s="65">
        <v>104.76</v>
      </c>
      <c r="K67" s="65">
        <v>76.34</v>
      </c>
      <c r="L67" s="65">
        <v>198.13</v>
      </c>
      <c r="M67" s="65">
        <v>133.57</v>
      </c>
      <c r="N67" s="65">
        <v>462.1</v>
      </c>
      <c r="O67" s="65">
        <v>100.18</v>
      </c>
      <c r="P67" s="65">
        <v>130.22999999999999</v>
      </c>
      <c r="Q67" s="65">
        <v>62.44</v>
      </c>
      <c r="R67" s="65">
        <v>46.79</v>
      </c>
      <c r="S67" s="65">
        <v>97.14</v>
      </c>
      <c r="T67" s="65">
        <v>35.619999999999997</v>
      </c>
      <c r="U67" s="65">
        <v>26.82</v>
      </c>
      <c r="V67" s="65">
        <v>306.97000000000003</v>
      </c>
      <c r="W67" s="65">
        <v>126.2</v>
      </c>
      <c r="X67" s="65"/>
      <c r="Y67" s="65">
        <v>51.59</v>
      </c>
      <c r="Z67" s="65">
        <v>173.83</v>
      </c>
      <c r="AA67" s="65">
        <v>93.47</v>
      </c>
    </row>
    <row r="68" spans="1:27" ht="15" customHeight="1" x14ac:dyDescent="0.3">
      <c r="A68" s="68">
        <v>45639</v>
      </c>
      <c r="B68" s="65">
        <v>465.69</v>
      </c>
      <c r="C68" s="65">
        <v>112.37</v>
      </c>
      <c r="D68" s="65">
        <v>708.38</v>
      </c>
      <c r="E68" s="65">
        <v>220.97</v>
      </c>
      <c r="F68" s="65">
        <v>92</v>
      </c>
      <c r="G68" s="65">
        <v>64.58</v>
      </c>
      <c r="H68" s="65">
        <v>101.97</v>
      </c>
      <c r="I68" s="65">
        <v>133.9</v>
      </c>
      <c r="J68" s="65">
        <v>103.95</v>
      </c>
      <c r="K68" s="65">
        <v>76.069999999999993</v>
      </c>
      <c r="L68" s="65">
        <v>196.77</v>
      </c>
      <c r="M68" s="65">
        <v>125.51</v>
      </c>
      <c r="N68" s="65">
        <v>463.73</v>
      </c>
      <c r="O68" s="65">
        <v>98.94</v>
      </c>
      <c r="P68" s="65">
        <v>127.6</v>
      </c>
      <c r="Q68" s="65">
        <v>62.33</v>
      </c>
      <c r="R68" s="65">
        <v>46.97</v>
      </c>
      <c r="S68" s="65">
        <v>96.23</v>
      </c>
      <c r="T68" s="65">
        <v>34.14</v>
      </c>
      <c r="U68" s="65">
        <v>26.42</v>
      </c>
      <c r="V68" s="65">
        <v>310.64999999999998</v>
      </c>
      <c r="W68" s="65">
        <v>125.31</v>
      </c>
      <c r="X68" s="65"/>
      <c r="Y68" s="65">
        <v>51.17</v>
      </c>
      <c r="Z68" s="65">
        <v>164.36</v>
      </c>
      <c r="AA68" s="65">
        <v>91.89</v>
      </c>
    </row>
    <row r="69" spans="1:27" ht="15" customHeight="1" x14ac:dyDescent="0.3">
      <c r="A69" s="68">
        <v>45646</v>
      </c>
      <c r="B69" s="65">
        <v>447.17</v>
      </c>
      <c r="C69" s="65">
        <v>112.81</v>
      </c>
      <c r="D69" s="65">
        <v>695.66</v>
      </c>
      <c r="E69" s="65">
        <v>217.03</v>
      </c>
      <c r="F69" s="65">
        <v>90.57</v>
      </c>
      <c r="G69" s="65">
        <v>62.17</v>
      </c>
      <c r="H69" s="65">
        <v>89.66</v>
      </c>
      <c r="I69" s="65">
        <v>134.35</v>
      </c>
      <c r="J69" s="65">
        <v>97.48</v>
      </c>
      <c r="K69" s="65">
        <v>80.55</v>
      </c>
      <c r="L69" s="65">
        <v>193.07</v>
      </c>
      <c r="M69" s="65">
        <v>119.79</v>
      </c>
      <c r="N69" s="65">
        <v>397.27</v>
      </c>
      <c r="O69" s="65">
        <v>93.61</v>
      </c>
      <c r="P69" s="65">
        <v>123.57</v>
      </c>
      <c r="Q69" s="65">
        <v>61.57</v>
      </c>
      <c r="R69" s="65">
        <v>46.45</v>
      </c>
      <c r="S69" s="65">
        <v>94.07</v>
      </c>
      <c r="T69" s="65">
        <v>33.1</v>
      </c>
      <c r="U69" s="65">
        <v>25.63</v>
      </c>
      <c r="V69" s="65">
        <v>313.58999999999997</v>
      </c>
      <c r="W69" s="65">
        <v>121.73</v>
      </c>
      <c r="X69" s="65"/>
      <c r="Y69" s="65">
        <v>50.12</v>
      </c>
      <c r="Z69" s="65">
        <v>166.69</v>
      </c>
      <c r="AA69" s="65">
        <v>90.9</v>
      </c>
    </row>
    <row r="70" spans="1:27" ht="15" customHeight="1" x14ac:dyDescent="0.3">
      <c r="A70" s="68">
        <v>45653</v>
      </c>
      <c r="B70" s="65">
        <v>446.48</v>
      </c>
      <c r="C70" s="65">
        <v>113.03</v>
      </c>
      <c r="D70" s="65">
        <v>703.46</v>
      </c>
      <c r="E70" s="65">
        <v>238.27</v>
      </c>
      <c r="F70" s="65">
        <v>88.75</v>
      </c>
      <c r="G70" s="65">
        <v>63.7</v>
      </c>
      <c r="H70" s="65">
        <v>88.18</v>
      </c>
      <c r="I70" s="65">
        <v>136.65</v>
      </c>
      <c r="J70" s="65">
        <v>99.29</v>
      </c>
      <c r="K70" s="65">
        <v>79.08</v>
      </c>
      <c r="L70" s="65">
        <v>197.4</v>
      </c>
      <c r="M70" s="65">
        <v>114.87</v>
      </c>
      <c r="N70" s="65">
        <v>408.76</v>
      </c>
      <c r="O70" s="65">
        <v>93.98</v>
      </c>
      <c r="P70" s="65">
        <v>124.13</v>
      </c>
      <c r="Q70" s="65">
        <v>61.97</v>
      </c>
      <c r="R70" s="65">
        <v>46.88</v>
      </c>
      <c r="S70" s="65">
        <v>95.26</v>
      </c>
      <c r="T70" s="65">
        <v>33.409999999999997</v>
      </c>
      <c r="U70" s="65">
        <v>25.8</v>
      </c>
      <c r="V70" s="65">
        <v>314.52</v>
      </c>
      <c r="W70" s="65">
        <v>123.18</v>
      </c>
      <c r="X70" s="65"/>
      <c r="Y70" s="65">
        <v>50.34</v>
      </c>
      <c r="Z70" s="65">
        <v>168.66</v>
      </c>
      <c r="AA70" s="65">
        <v>90.75</v>
      </c>
    </row>
    <row r="71" spans="1:27" ht="15" customHeight="1" x14ac:dyDescent="0.3">
      <c r="A71" s="68">
        <v>45660</v>
      </c>
      <c r="B71" s="65">
        <v>430.57</v>
      </c>
      <c r="C71" s="65">
        <v>115.2</v>
      </c>
      <c r="D71" s="65">
        <v>704.22</v>
      </c>
      <c r="E71" s="65">
        <v>229.2</v>
      </c>
      <c r="F71" s="65">
        <v>89.75</v>
      </c>
      <c r="G71" s="65">
        <v>64.900000000000006</v>
      </c>
      <c r="H71" s="65">
        <v>89.53</v>
      </c>
      <c r="I71" s="65">
        <v>144.09</v>
      </c>
      <c r="J71" s="65">
        <v>99.66</v>
      </c>
      <c r="K71" s="65">
        <v>79.89</v>
      </c>
      <c r="L71" s="65">
        <v>204.23</v>
      </c>
      <c r="M71" s="65">
        <v>125.4</v>
      </c>
      <c r="N71" s="65">
        <v>407.11</v>
      </c>
      <c r="O71" s="65">
        <v>94.72</v>
      </c>
      <c r="P71" s="65">
        <v>124.06</v>
      </c>
      <c r="Q71" s="65">
        <v>61.72</v>
      </c>
      <c r="R71" s="65">
        <v>46.72</v>
      </c>
      <c r="S71" s="65">
        <v>95.55</v>
      </c>
      <c r="T71" s="65">
        <v>33.659999999999997</v>
      </c>
      <c r="U71" s="65">
        <v>25.77</v>
      </c>
      <c r="V71" s="65">
        <v>310.82</v>
      </c>
      <c r="W71" s="65">
        <v>122.97</v>
      </c>
      <c r="X71" s="65"/>
      <c r="Y71" s="65">
        <v>50.27</v>
      </c>
      <c r="Z71" s="65">
        <v>170.52</v>
      </c>
      <c r="AA71" s="65">
        <v>88.11</v>
      </c>
    </row>
    <row r="72" spans="1:27" ht="15" customHeight="1" x14ac:dyDescent="0.3">
      <c r="A72" s="68">
        <v>45667</v>
      </c>
      <c r="B72" s="65">
        <v>405.92</v>
      </c>
      <c r="C72" s="65">
        <v>114.34</v>
      </c>
      <c r="D72" s="65">
        <v>728.52</v>
      </c>
      <c r="E72" s="65">
        <v>221.08</v>
      </c>
      <c r="F72" s="65">
        <v>87.21</v>
      </c>
      <c r="G72" s="65">
        <v>67.48</v>
      </c>
      <c r="H72" s="65">
        <v>98.96</v>
      </c>
      <c r="I72" s="65">
        <v>135.56</v>
      </c>
      <c r="J72" s="65">
        <v>97.74</v>
      </c>
      <c r="K72" s="65">
        <v>67.260000000000005</v>
      </c>
      <c r="L72" s="65">
        <v>204</v>
      </c>
      <c r="M72" s="65">
        <v>128.66</v>
      </c>
      <c r="N72" s="65">
        <v>409.56</v>
      </c>
      <c r="O72" s="65">
        <v>92.23</v>
      </c>
      <c r="P72" s="65">
        <v>120.96</v>
      </c>
      <c r="Q72" s="65">
        <v>60.97</v>
      </c>
      <c r="R72" s="65">
        <v>45.82</v>
      </c>
      <c r="S72" s="65">
        <v>94.26</v>
      </c>
      <c r="T72" s="65">
        <v>33.659999999999997</v>
      </c>
      <c r="U72" s="65">
        <v>25.37</v>
      </c>
      <c r="V72" s="65">
        <v>303.72000000000003</v>
      </c>
      <c r="W72" s="65">
        <v>120.76</v>
      </c>
      <c r="X72" s="65"/>
      <c r="Y72" s="65">
        <v>49.47</v>
      </c>
      <c r="Z72" s="65">
        <v>170.26</v>
      </c>
      <c r="AA72" s="65">
        <v>83.77</v>
      </c>
    </row>
    <row r="73" spans="1:27" ht="15" customHeight="1" x14ac:dyDescent="0.3">
      <c r="A73" s="68">
        <v>45674</v>
      </c>
      <c r="B73" s="65">
        <v>429.99</v>
      </c>
      <c r="C73" s="65">
        <v>119.95</v>
      </c>
      <c r="D73" s="65">
        <v>745.59</v>
      </c>
      <c r="E73" s="65">
        <v>234.02</v>
      </c>
      <c r="F73" s="65">
        <v>89.25</v>
      </c>
      <c r="G73" s="65">
        <v>74.83</v>
      </c>
      <c r="H73" s="65">
        <v>105.34</v>
      </c>
      <c r="I73" s="65">
        <v>137.35</v>
      </c>
      <c r="J73" s="65">
        <v>103.29</v>
      </c>
      <c r="K73" s="65">
        <v>71.77</v>
      </c>
      <c r="L73" s="65">
        <v>207.06</v>
      </c>
      <c r="M73" s="65">
        <v>135.59</v>
      </c>
      <c r="N73" s="65">
        <v>422</v>
      </c>
      <c r="O73" s="65">
        <v>96.74</v>
      </c>
      <c r="P73" s="65">
        <v>126.81</v>
      </c>
      <c r="Q73" s="65">
        <v>62.02</v>
      </c>
      <c r="R73" s="65">
        <v>46.88</v>
      </c>
      <c r="S73" s="65">
        <v>97.29</v>
      </c>
      <c r="T73" s="65">
        <v>34.96</v>
      </c>
      <c r="U73" s="65">
        <v>26.29</v>
      </c>
      <c r="V73" s="65">
        <v>315.47000000000003</v>
      </c>
      <c r="W73" s="65">
        <v>126.1</v>
      </c>
      <c r="X73" s="65"/>
      <c r="Y73" s="65">
        <v>50.72</v>
      </c>
      <c r="Z73" s="65">
        <v>181.32</v>
      </c>
      <c r="AA73" s="65">
        <v>85.81</v>
      </c>
    </row>
    <row r="74" spans="1:27" ht="15" customHeight="1" x14ac:dyDescent="0.3">
      <c r="A74" s="68">
        <v>45681</v>
      </c>
      <c r="B74" s="65">
        <v>435.38</v>
      </c>
      <c r="C74" s="65">
        <v>129.16999999999999</v>
      </c>
      <c r="D74" s="65">
        <v>721.85</v>
      </c>
      <c r="E74" s="65">
        <v>241.18</v>
      </c>
      <c r="F74" s="65">
        <v>93.73</v>
      </c>
      <c r="G74" s="65">
        <v>74.069999999999993</v>
      </c>
      <c r="H74" s="65">
        <v>102.79</v>
      </c>
      <c r="I74" s="65">
        <v>142.25</v>
      </c>
      <c r="J74" s="65">
        <v>112.21</v>
      </c>
      <c r="K74" s="65">
        <v>78.98</v>
      </c>
      <c r="L74" s="65">
        <v>217.22</v>
      </c>
      <c r="M74" s="65">
        <v>146.01</v>
      </c>
      <c r="N74" s="65">
        <v>439.62</v>
      </c>
      <c r="O74" s="65">
        <v>97.23</v>
      </c>
      <c r="P74" s="65">
        <v>127.09</v>
      </c>
      <c r="Q74" s="65">
        <v>62.66</v>
      </c>
      <c r="R74" s="65">
        <v>47.53</v>
      </c>
      <c r="S74" s="65">
        <v>99.93</v>
      </c>
      <c r="T74" s="65">
        <v>35.049999999999997</v>
      </c>
      <c r="U74" s="65">
        <v>26.36</v>
      </c>
      <c r="V74" s="65">
        <v>325.91000000000003</v>
      </c>
      <c r="W74" s="65">
        <v>127.41</v>
      </c>
      <c r="X74" s="65"/>
      <c r="Y74" s="65">
        <v>51.24</v>
      </c>
      <c r="Z74" s="65">
        <v>195.11</v>
      </c>
      <c r="AA74" s="65">
        <v>97.76</v>
      </c>
    </row>
    <row r="75" spans="1:27" ht="15" customHeight="1" x14ac:dyDescent="0.3">
      <c r="A75" s="68">
        <v>45688</v>
      </c>
      <c r="B75" s="65">
        <v>437.45</v>
      </c>
      <c r="C75" s="65">
        <v>115.23</v>
      </c>
      <c r="D75" s="65">
        <v>728.81</v>
      </c>
      <c r="E75" s="65">
        <v>218.09</v>
      </c>
      <c r="F75" s="65">
        <v>99.52</v>
      </c>
      <c r="G75" s="65">
        <v>72.930000000000007</v>
      </c>
      <c r="H75" s="65">
        <v>90.89</v>
      </c>
      <c r="I75" s="65">
        <v>119.76</v>
      </c>
      <c r="J75" s="65">
        <v>112.51</v>
      </c>
      <c r="K75" s="65">
        <v>82.49</v>
      </c>
      <c r="L75" s="65">
        <v>204.93</v>
      </c>
      <c r="M75" s="65">
        <v>116.77</v>
      </c>
      <c r="N75" s="65">
        <v>461.68</v>
      </c>
      <c r="O75" s="65">
        <v>95.76</v>
      </c>
      <c r="P75" s="65">
        <v>126.76</v>
      </c>
      <c r="Q75" s="65">
        <v>62.12</v>
      </c>
      <c r="R75" s="65">
        <v>47.04</v>
      </c>
      <c r="S75" s="65">
        <v>98.66</v>
      </c>
      <c r="T75" s="65">
        <v>34.69</v>
      </c>
      <c r="U75" s="65">
        <v>26.14</v>
      </c>
      <c r="V75" s="65">
        <v>337.36</v>
      </c>
      <c r="W75" s="65">
        <v>126.74</v>
      </c>
      <c r="X75" s="65"/>
      <c r="Y75" s="65">
        <v>51.13</v>
      </c>
      <c r="Z75" s="65">
        <v>201.87</v>
      </c>
      <c r="AA75" s="65">
        <v>97.68</v>
      </c>
    </row>
    <row r="76" spans="1:27" ht="15" customHeight="1" x14ac:dyDescent="0.3">
      <c r="A76" s="68">
        <v>45695</v>
      </c>
      <c r="B76" s="65">
        <v>433.07</v>
      </c>
      <c r="C76" s="65">
        <v>118.47</v>
      </c>
      <c r="D76" s="65">
        <v>717.37</v>
      </c>
      <c r="E76" s="65">
        <v>221.63</v>
      </c>
      <c r="F76" s="65">
        <v>105.4</v>
      </c>
      <c r="G76" s="65">
        <v>73.86</v>
      </c>
      <c r="H76" s="65">
        <v>91.95</v>
      </c>
      <c r="I76" s="65">
        <v>129.5</v>
      </c>
      <c r="J76" s="65">
        <v>110.72</v>
      </c>
      <c r="K76" s="65">
        <v>110.85</v>
      </c>
      <c r="L76" s="65">
        <v>201.79</v>
      </c>
      <c r="M76" s="65">
        <v>121.12</v>
      </c>
      <c r="N76" s="65">
        <v>469.32</v>
      </c>
      <c r="O76" s="65">
        <v>94.65</v>
      </c>
      <c r="P76" s="65">
        <v>126.15</v>
      </c>
      <c r="Q76" s="65">
        <v>62.08</v>
      </c>
      <c r="R76" s="65">
        <v>47.16</v>
      </c>
      <c r="S76" s="65">
        <v>100.62</v>
      </c>
      <c r="T76" s="65">
        <v>34.43</v>
      </c>
      <c r="U76" s="65">
        <v>25.88</v>
      </c>
      <c r="V76" s="65">
        <v>343.5</v>
      </c>
      <c r="W76" s="65">
        <v>126.7</v>
      </c>
      <c r="X76" s="65"/>
      <c r="Y76" s="65">
        <v>51.25</v>
      </c>
      <c r="Z76" s="65">
        <v>203.57</v>
      </c>
      <c r="AA76" s="65">
        <v>101.39</v>
      </c>
    </row>
    <row r="77" spans="1:27" ht="15" customHeight="1" x14ac:dyDescent="0.3">
      <c r="A77" s="68">
        <v>45702</v>
      </c>
      <c r="B77" s="65">
        <v>460.16</v>
      </c>
      <c r="C77" s="65">
        <v>106.87</v>
      </c>
      <c r="D77" s="65">
        <v>742.44</v>
      </c>
      <c r="E77" s="65">
        <v>229.69</v>
      </c>
      <c r="F77" s="65">
        <v>112.93</v>
      </c>
      <c r="G77" s="65">
        <v>74.16</v>
      </c>
      <c r="H77" s="65">
        <v>99.14</v>
      </c>
      <c r="I77" s="65">
        <v>138.49</v>
      </c>
      <c r="J77" s="65">
        <v>114.02</v>
      </c>
      <c r="K77" s="65">
        <v>119.16</v>
      </c>
      <c r="L77" s="65">
        <v>199.62</v>
      </c>
      <c r="M77" s="65">
        <v>107.82</v>
      </c>
      <c r="N77" s="65">
        <v>459</v>
      </c>
      <c r="O77" s="65">
        <v>94.94</v>
      </c>
      <c r="P77" s="65">
        <v>127.66</v>
      </c>
      <c r="Q77" s="65">
        <v>62.73</v>
      </c>
      <c r="R77" s="65">
        <v>48.07</v>
      </c>
      <c r="S77" s="65">
        <v>101.64</v>
      </c>
      <c r="T77" s="65">
        <v>34.83</v>
      </c>
      <c r="U77" s="65">
        <v>26.1</v>
      </c>
      <c r="V77" s="65">
        <v>349.81</v>
      </c>
      <c r="W77" s="65">
        <v>128.09</v>
      </c>
      <c r="X77" s="65"/>
      <c r="Y77" s="65">
        <v>51.59</v>
      </c>
      <c r="Z77" s="65">
        <v>206.53</v>
      </c>
      <c r="AA77" s="65">
        <v>105.86</v>
      </c>
    </row>
    <row r="78" spans="1:27" ht="15" customHeight="1" x14ac:dyDescent="0.3">
      <c r="A78" s="68">
        <v>45709</v>
      </c>
      <c r="B78" s="65">
        <v>444.32</v>
      </c>
      <c r="C78" s="65">
        <v>98.3</v>
      </c>
      <c r="D78" s="65">
        <v>728.28</v>
      </c>
      <c r="E78" s="65">
        <v>215.51</v>
      </c>
      <c r="F78" s="65">
        <v>101.67</v>
      </c>
      <c r="G78" s="65">
        <v>74.510000000000005</v>
      </c>
      <c r="H78" s="65">
        <v>98.46</v>
      </c>
      <c r="I78" s="65">
        <v>134.08000000000001</v>
      </c>
      <c r="J78" s="65">
        <v>114.14</v>
      </c>
      <c r="K78" s="65">
        <v>101.35</v>
      </c>
      <c r="L78" s="65">
        <v>194.08</v>
      </c>
      <c r="M78" s="65">
        <v>95.79</v>
      </c>
      <c r="N78" s="65">
        <v>484.24</v>
      </c>
      <c r="O78" s="65">
        <v>91.47</v>
      </c>
      <c r="P78" s="65">
        <v>128.59</v>
      </c>
      <c r="Q78" s="65">
        <v>62.17</v>
      </c>
      <c r="R78" s="65">
        <v>47.49</v>
      </c>
      <c r="S78" s="65">
        <v>98.53</v>
      </c>
      <c r="T78" s="65">
        <v>34.71</v>
      </c>
      <c r="U78" s="65">
        <v>26.49</v>
      </c>
      <c r="V78" s="65">
        <v>344.59</v>
      </c>
      <c r="W78" s="65">
        <v>127.66</v>
      </c>
      <c r="X78" s="65"/>
      <c r="Y78" s="65">
        <v>51.55</v>
      </c>
      <c r="Z78" s="65">
        <v>198.16</v>
      </c>
      <c r="AA78" s="65">
        <v>100.32</v>
      </c>
    </row>
    <row r="79" spans="1:27" ht="15" customHeight="1" x14ac:dyDescent="0.3">
      <c r="A79" s="68">
        <v>45716</v>
      </c>
      <c r="B79" s="65">
        <v>438.56</v>
      </c>
      <c r="C79" s="65">
        <v>93.05</v>
      </c>
      <c r="D79" s="65">
        <v>700.49</v>
      </c>
      <c r="E79" s="65">
        <v>196.56</v>
      </c>
      <c r="F79" s="65">
        <v>97.42</v>
      </c>
      <c r="G79" s="65">
        <v>70.180000000000007</v>
      </c>
      <c r="H79" s="65">
        <v>93.27</v>
      </c>
      <c r="I79" s="65">
        <v>124.59</v>
      </c>
      <c r="J79" s="65">
        <v>116.92</v>
      </c>
      <c r="K79" s="65">
        <v>84.92</v>
      </c>
      <c r="L79" s="65">
        <v>176.74</v>
      </c>
      <c r="M79" s="65">
        <v>94.97</v>
      </c>
      <c r="N79" s="65">
        <v>479.79</v>
      </c>
      <c r="O79" s="65">
        <v>90.44</v>
      </c>
      <c r="P79" s="65">
        <v>129.91</v>
      </c>
      <c r="Q79" s="65">
        <v>61.77</v>
      </c>
      <c r="R79" s="65">
        <v>46.18</v>
      </c>
      <c r="S79" s="65">
        <v>98.42</v>
      </c>
      <c r="T79" s="65">
        <v>34.549999999999997</v>
      </c>
      <c r="U79" s="65">
        <v>26.8</v>
      </c>
      <c r="V79" s="65">
        <v>358.6</v>
      </c>
      <c r="W79" s="65">
        <v>128.36000000000001</v>
      </c>
      <c r="X79" s="65"/>
      <c r="Y79" s="65">
        <v>51.79</v>
      </c>
      <c r="Z79" s="65">
        <v>205.25</v>
      </c>
      <c r="AA79" s="65">
        <v>98.06</v>
      </c>
    </row>
    <row r="80" spans="1:27" ht="15" customHeight="1" x14ac:dyDescent="0.3">
      <c r="A80" s="68">
        <v>45723</v>
      </c>
      <c r="B80" s="65">
        <v>449.4</v>
      </c>
      <c r="C80" s="65">
        <v>83.36</v>
      </c>
      <c r="D80" s="65">
        <v>723.35</v>
      </c>
      <c r="E80" s="65">
        <v>192.16</v>
      </c>
      <c r="F80" s="65">
        <v>83.38</v>
      </c>
      <c r="G80" s="65">
        <v>70.42</v>
      </c>
      <c r="H80" s="65">
        <v>92.6</v>
      </c>
      <c r="I80" s="65">
        <v>112.4</v>
      </c>
      <c r="J80" s="65">
        <v>113.14</v>
      </c>
      <c r="K80" s="65">
        <v>84.91</v>
      </c>
      <c r="L80" s="65">
        <v>173.38</v>
      </c>
      <c r="M80" s="65">
        <v>84.86</v>
      </c>
      <c r="N80" s="65">
        <v>488.29</v>
      </c>
      <c r="O80" s="65">
        <v>86.38</v>
      </c>
      <c r="P80" s="65">
        <v>126.34</v>
      </c>
      <c r="Q80" s="65">
        <v>60.69</v>
      </c>
      <c r="R80" s="65">
        <v>44.73</v>
      </c>
      <c r="S80" s="65">
        <v>93.24</v>
      </c>
      <c r="T80" s="65">
        <v>34.049999999999997</v>
      </c>
      <c r="U80" s="65">
        <v>26.73</v>
      </c>
      <c r="V80" s="65">
        <v>341.41</v>
      </c>
      <c r="W80" s="65">
        <v>125.66</v>
      </c>
      <c r="X80" s="65"/>
      <c r="Y80" s="65">
        <v>51.02</v>
      </c>
      <c r="Z80" s="65">
        <v>192.23</v>
      </c>
      <c r="AA80" s="65">
        <v>89.11</v>
      </c>
    </row>
    <row r="81" spans="1:27" ht="15" customHeight="1" x14ac:dyDescent="0.3">
      <c r="A81" s="68">
        <v>45730</v>
      </c>
      <c r="B81" s="65">
        <v>394.74</v>
      </c>
      <c r="C81" s="65">
        <v>83.51</v>
      </c>
      <c r="D81" s="65">
        <v>705.35</v>
      </c>
      <c r="E81" s="65">
        <v>192.73</v>
      </c>
      <c r="F81" s="65">
        <v>88.43</v>
      </c>
      <c r="G81" s="65">
        <v>70.59</v>
      </c>
      <c r="H81" s="65">
        <v>100.4</v>
      </c>
      <c r="I81" s="65">
        <v>121.36</v>
      </c>
      <c r="J81" s="65">
        <v>105.57</v>
      </c>
      <c r="K81" s="65">
        <v>86.24</v>
      </c>
      <c r="L81" s="65">
        <v>170.44</v>
      </c>
      <c r="M81" s="65">
        <v>87.27</v>
      </c>
      <c r="N81" s="65">
        <v>504.77</v>
      </c>
      <c r="O81" s="65">
        <v>84.76</v>
      </c>
      <c r="P81" s="65">
        <v>125.28</v>
      </c>
      <c r="Q81" s="65">
        <v>59.83</v>
      </c>
      <c r="R81" s="65">
        <v>43.78</v>
      </c>
      <c r="S81" s="65">
        <v>92.57</v>
      </c>
      <c r="T81" s="65">
        <v>33.409999999999997</v>
      </c>
      <c r="U81" s="65">
        <v>25.96</v>
      </c>
      <c r="V81" s="65">
        <v>328.04</v>
      </c>
      <c r="W81" s="65">
        <v>122.84</v>
      </c>
      <c r="X81" s="65"/>
      <c r="Y81" s="65">
        <v>49.93</v>
      </c>
      <c r="Z81" s="65">
        <v>195.83</v>
      </c>
      <c r="AA81" s="65">
        <v>91.8</v>
      </c>
    </row>
    <row r="82" spans="1:27" ht="15" customHeight="1" x14ac:dyDescent="0.3">
      <c r="A82" s="68">
        <v>45737</v>
      </c>
      <c r="B82" s="65">
        <v>387.26</v>
      </c>
      <c r="C82" s="65">
        <v>83.13</v>
      </c>
      <c r="D82" s="65">
        <v>707.54</v>
      </c>
      <c r="E82" s="65">
        <v>189.47</v>
      </c>
      <c r="F82" s="65">
        <v>90.56</v>
      </c>
      <c r="G82" s="65">
        <v>69.95</v>
      </c>
      <c r="H82" s="65">
        <v>94.36</v>
      </c>
      <c r="I82" s="65">
        <v>117.4</v>
      </c>
      <c r="J82" s="65">
        <v>103.21</v>
      </c>
      <c r="K82" s="65">
        <v>90.96</v>
      </c>
      <c r="L82" s="65">
        <v>173.69</v>
      </c>
      <c r="M82" s="65">
        <v>88.48</v>
      </c>
      <c r="N82" s="65">
        <v>503.2</v>
      </c>
      <c r="O82" s="65">
        <v>85.58</v>
      </c>
      <c r="P82" s="65">
        <v>125.88</v>
      </c>
      <c r="Q82" s="65">
        <v>59.71</v>
      </c>
      <c r="R82" s="65">
        <v>43.94</v>
      </c>
      <c r="S82" s="65">
        <v>92.92</v>
      </c>
      <c r="T82" s="65">
        <v>33.979999999999997</v>
      </c>
      <c r="U82" s="65">
        <v>26.07</v>
      </c>
      <c r="V82" s="65">
        <v>331.86</v>
      </c>
      <c r="W82" s="65">
        <v>123.76</v>
      </c>
      <c r="X82" s="65"/>
      <c r="Y82" s="65">
        <v>50.07</v>
      </c>
      <c r="Z82" s="65">
        <v>202.8</v>
      </c>
      <c r="AA82" s="65">
        <v>96.03</v>
      </c>
    </row>
    <row r="83" spans="1:27" ht="15" customHeight="1" x14ac:dyDescent="0.3">
      <c r="A83" s="68">
        <v>45744</v>
      </c>
      <c r="B83" s="65">
        <v>385.71</v>
      </c>
      <c r="C83" s="65">
        <v>77.94</v>
      </c>
      <c r="D83" s="65">
        <v>666.41</v>
      </c>
      <c r="E83" s="65">
        <v>167.19</v>
      </c>
      <c r="F83" s="65">
        <v>89.28</v>
      </c>
      <c r="G83" s="65">
        <v>66.69</v>
      </c>
      <c r="H83" s="65">
        <v>88.1</v>
      </c>
      <c r="I83" s="65">
        <v>109.39</v>
      </c>
      <c r="J83" s="65">
        <v>105.14</v>
      </c>
      <c r="K83" s="65">
        <v>85.85</v>
      </c>
      <c r="L83" s="65">
        <v>162.41</v>
      </c>
      <c r="M83" s="65">
        <v>74.12</v>
      </c>
      <c r="N83" s="65">
        <v>492.69</v>
      </c>
      <c r="O83" s="65">
        <v>85.18</v>
      </c>
      <c r="P83" s="65">
        <v>125.85</v>
      </c>
      <c r="Q83" s="65">
        <v>59.02</v>
      </c>
      <c r="R83" s="65">
        <v>43.11</v>
      </c>
      <c r="S83" s="65">
        <v>91.09</v>
      </c>
      <c r="T83" s="65">
        <v>33.42</v>
      </c>
      <c r="U83" s="65">
        <v>26.14</v>
      </c>
      <c r="V83" s="65">
        <v>338.97</v>
      </c>
      <c r="W83" s="65">
        <v>122.94</v>
      </c>
      <c r="X83" s="65"/>
      <c r="Y83" s="65">
        <v>49.69</v>
      </c>
      <c r="Z83" s="65">
        <v>198.58</v>
      </c>
      <c r="AA83" s="65">
        <v>93.39</v>
      </c>
    </row>
    <row r="84" spans="1:27" ht="15" customHeight="1" x14ac:dyDescent="0.3">
      <c r="A84" s="68">
        <v>45751</v>
      </c>
      <c r="B84" s="65">
        <v>349.07</v>
      </c>
      <c r="C84" s="65">
        <v>64.37</v>
      </c>
      <c r="D84" s="65">
        <v>598.21</v>
      </c>
      <c r="E84" s="65">
        <v>144.62</v>
      </c>
      <c r="F84" s="65">
        <v>80.41</v>
      </c>
      <c r="G84" s="65">
        <v>57.08</v>
      </c>
      <c r="H84" s="65">
        <v>64.56</v>
      </c>
      <c r="I84" s="65">
        <v>94.07</v>
      </c>
      <c r="J84" s="65">
        <v>93.51</v>
      </c>
      <c r="K84" s="65">
        <v>74.010000000000005</v>
      </c>
      <c r="L84" s="65">
        <v>144.28</v>
      </c>
      <c r="M84" s="65">
        <v>59.31</v>
      </c>
      <c r="N84" s="65">
        <v>474.62</v>
      </c>
      <c r="O84" s="65">
        <v>76.260000000000005</v>
      </c>
      <c r="P84" s="65">
        <v>115.74</v>
      </c>
      <c r="Q84" s="65">
        <v>56.73</v>
      </c>
      <c r="R84" s="65">
        <v>39.19</v>
      </c>
      <c r="S84" s="65">
        <v>81.34</v>
      </c>
      <c r="T84" s="65">
        <v>30.33</v>
      </c>
      <c r="U84" s="65">
        <v>23.96</v>
      </c>
      <c r="V84" s="65">
        <v>309.58999999999997</v>
      </c>
      <c r="W84" s="65">
        <v>112.8</v>
      </c>
      <c r="X84" s="65"/>
      <c r="Y84" s="65">
        <v>46.04</v>
      </c>
      <c r="Z84" s="65">
        <v>165.73</v>
      </c>
      <c r="AA84" s="65">
        <v>85.59</v>
      </c>
    </row>
    <row r="85" spans="1:27" ht="15" customHeight="1" x14ac:dyDescent="0.3">
      <c r="A85" s="68">
        <v>45758</v>
      </c>
      <c r="B85" s="65">
        <v>352.47</v>
      </c>
      <c r="C85" s="65">
        <v>72.67</v>
      </c>
      <c r="D85" s="65">
        <v>660.71</v>
      </c>
      <c r="E85" s="65">
        <v>179.86</v>
      </c>
      <c r="F85" s="65">
        <v>94.47</v>
      </c>
      <c r="G85" s="65">
        <v>66.36</v>
      </c>
      <c r="H85" s="65">
        <v>69.37</v>
      </c>
      <c r="I85" s="65">
        <v>110.65</v>
      </c>
      <c r="J85" s="65">
        <v>91.6</v>
      </c>
      <c r="K85" s="65">
        <v>88.55</v>
      </c>
      <c r="L85" s="65">
        <v>154.38</v>
      </c>
      <c r="M85" s="65">
        <v>69.489999999999995</v>
      </c>
      <c r="N85" s="65">
        <v>484.22</v>
      </c>
      <c r="O85" s="65">
        <v>77.22</v>
      </c>
      <c r="P85" s="65">
        <v>117.6</v>
      </c>
      <c r="Q85" s="65">
        <v>57.8</v>
      </c>
      <c r="R85" s="65">
        <v>41.66</v>
      </c>
      <c r="S85" s="65">
        <v>88.75</v>
      </c>
      <c r="T85" s="65">
        <v>30.97</v>
      </c>
      <c r="U85" s="65">
        <v>23.98</v>
      </c>
      <c r="V85" s="65">
        <v>329.63</v>
      </c>
      <c r="W85" s="65">
        <v>116.65</v>
      </c>
      <c r="X85" s="65"/>
      <c r="Y85" s="65">
        <v>47.66</v>
      </c>
      <c r="Z85" s="65">
        <v>180.49</v>
      </c>
      <c r="AA85" s="65">
        <v>91.83</v>
      </c>
    </row>
    <row r="86" spans="1:27" ht="15" customHeight="1" x14ac:dyDescent="0.3">
      <c r="A86" s="68">
        <v>45765</v>
      </c>
      <c r="B86" s="65">
        <v>348.8</v>
      </c>
      <c r="C86" s="65">
        <v>71.2</v>
      </c>
      <c r="D86" s="65">
        <v>632.4</v>
      </c>
      <c r="E86" s="65">
        <v>169.04</v>
      </c>
      <c r="F86" s="65">
        <v>93.9</v>
      </c>
      <c r="G86" s="65">
        <v>62.81</v>
      </c>
      <c r="H86" s="65">
        <v>68.63</v>
      </c>
      <c r="I86" s="65">
        <v>101.23</v>
      </c>
      <c r="J86" s="65">
        <v>97.19</v>
      </c>
      <c r="K86" s="65">
        <v>93.78</v>
      </c>
      <c r="L86" s="65">
        <v>149.13</v>
      </c>
      <c r="M86" s="65">
        <v>73.09</v>
      </c>
      <c r="N86" s="65">
        <v>489.1</v>
      </c>
      <c r="O86" s="65">
        <v>78.66</v>
      </c>
      <c r="P86" s="65">
        <v>119.33</v>
      </c>
      <c r="Q86" s="65">
        <v>57.45</v>
      </c>
      <c r="R86" s="65">
        <v>40.99</v>
      </c>
      <c r="S86" s="65">
        <v>87.21</v>
      </c>
      <c r="T86" s="65">
        <v>31.18</v>
      </c>
      <c r="U86" s="65">
        <v>24.09</v>
      </c>
      <c r="V86" s="65">
        <v>325.88</v>
      </c>
      <c r="W86" s="65">
        <v>116.47</v>
      </c>
      <c r="X86" s="65"/>
      <c r="Y86" s="65">
        <v>47.47</v>
      </c>
      <c r="Z86" s="65">
        <v>180.61</v>
      </c>
      <c r="AA86" s="65">
        <v>97.3</v>
      </c>
    </row>
    <row r="87" spans="1:27" ht="15" customHeight="1" x14ac:dyDescent="0.3">
      <c r="A87" s="68">
        <v>45772</v>
      </c>
      <c r="B87" s="65">
        <v>367.72</v>
      </c>
      <c r="C87" s="65">
        <v>77.91</v>
      </c>
      <c r="D87" s="65">
        <v>669.06</v>
      </c>
      <c r="E87" s="65">
        <v>190.12</v>
      </c>
      <c r="F87" s="65">
        <v>106.22</v>
      </c>
      <c r="G87" s="65">
        <v>68.77</v>
      </c>
      <c r="H87" s="65">
        <v>79.58</v>
      </c>
      <c r="I87" s="65">
        <v>110.73</v>
      </c>
      <c r="J87" s="65">
        <v>97.32</v>
      </c>
      <c r="K87" s="65">
        <v>112.78</v>
      </c>
      <c r="L87" s="65">
        <v>162.26</v>
      </c>
      <c r="M87" s="65">
        <v>86.8</v>
      </c>
      <c r="N87" s="65">
        <v>493.84</v>
      </c>
      <c r="O87" s="65">
        <v>80.87</v>
      </c>
      <c r="P87" s="65">
        <v>121.04</v>
      </c>
      <c r="Q87" s="65">
        <v>58.47</v>
      </c>
      <c r="R87" s="65">
        <v>42.96</v>
      </c>
      <c r="S87" s="65">
        <v>92.9</v>
      </c>
      <c r="T87" s="65">
        <v>32.21</v>
      </c>
      <c r="U87" s="65">
        <v>24.33</v>
      </c>
      <c r="V87" s="65">
        <v>331.38</v>
      </c>
      <c r="W87" s="65">
        <v>118.85</v>
      </c>
      <c r="X87" s="65"/>
      <c r="Y87" s="65">
        <v>48.54</v>
      </c>
      <c r="Z87" s="65">
        <v>197.14</v>
      </c>
      <c r="AA87" s="65">
        <v>110.15</v>
      </c>
    </row>
    <row r="88" spans="1:27" ht="15" customHeight="1" x14ac:dyDescent="0.3">
      <c r="A88" s="68">
        <v>45779</v>
      </c>
      <c r="B88" s="65">
        <v>380.87</v>
      </c>
      <c r="C88" s="65">
        <v>91.02</v>
      </c>
      <c r="D88" s="65">
        <v>684.08</v>
      </c>
      <c r="E88" s="65">
        <v>201.32</v>
      </c>
      <c r="F88" s="65">
        <v>110.14</v>
      </c>
      <c r="G88" s="65">
        <v>69.12</v>
      </c>
      <c r="H88" s="65">
        <v>80.510000000000005</v>
      </c>
      <c r="I88" s="65">
        <v>114.21</v>
      </c>
      <c r="J88" s="65">
        <v>100.34</v>
      </c>
      <c r="K88" s="65">
        <v>124.28</v>
      </c>
      <c r="L88" s="65">
        <v>176.2</v>
      </c>
      <c r="M88" s="65">
        <v>94.84</v>
      </c>
      <c r="N88" s="65">
        <v>501.15</v>
      </c>
      <c r="O88" s="65">
        <v>83.61</v>
      </c>
      <c r="P88" s="65">
        <v>123.05</v>
      </c>
      <c r="Q88" s="65">
        <v>59.43</v>
      </c>
      <c r="R88" s="65">
        <v>43.81</v>
      </c>
      <c r="S88" s="65">
        <v>96.64</v>
      </c>
      <c r="T88" s="65">
        <v>32.83</v>
      </c>
      <c r="U88" s="65">
        <v>24.7</v>
      </c>
      <c r="V88" s="65">
        <v>343.67</v>
      </c>
      <c r="W88" s="65">
        <v>121.35</v>
      </c>
      <c r="X88" s="65"/>
      <c r="Y88" s="65">
        <v>49.58</v>
      </c>
      <c r="Z88" s="65">
        <v>206.35</v>
      </c>
      <c r="AA88" s="65">
        <v>115.65</v>
      </c>
    </row>
    <row r="89" spans="1:27" ht="15" customHeight="1" x14ac:dyDescent="0.3">
      <c r="A89" s="68">
        <v>45786</v>
      </c>
      <c r="B89" s="65">
        <v>383.28</v>
      </c>
      <c r="C89" s="65">
        <v>86.52</v>
      </c>
      <c r="D89" s="65">
        <v>699.81</v>
      </c>
      <c r="E89" s="65">
        <v>205.83</v>
      </c>
      <c r="F89" s="65">
        <v>102.64</v>
      </c>
      <c r="G89" s="65">
        <v>69.430000000000007</v>
      </c>
      <c r="H89" s="65">
        <v>85.64</v>
      </c>
      <c r="I89" s="65">
        <v>116.36</v>
      </c>
      <c r="J89" s="65">
        <v>101.77</v>
      </c>
      <c r="K89" s="65">
        <v>117.3</v>
      </c>
      <c r="L89" s="65">
        <v>173.49</v>
      </c>
      <c r="M89" s="65">
        <v>93.9</v>
      </c>
      <c r="N89" s="65">
        <v>424.99</v>
      </c>
      <c r="O89" s="65">
        <v>84.58</v>
      </c>
      <c r="P89" s="65">
        <v>122.9</v>
      </c>
      <c r="Q89" s="65">
        <v>59.28</v>
      </c>
      <c r="R89" s="65">
        <v>43.93</v>
      </c>
      <c r="S89" s="65">
        <v>97.31</v>
      </c>
      <c r="T89" s="65">
        <v>32.78</v>
      </c>
      <c r="U89" s="65">
        <v>24.38</v>
      </c>
      <c r="V89" s="65">
        <v>348.55</v>
      </c>
      <c r="W89" s="65">
        <v>121.2</v>
      </c>
      <c r="X89" s="65"/>
      <c r="Y89" s="65">
        <v>49.57</v>
      </c>
      <c r="Z89" s="65">
        <v>213.56</v>
      </c>
      <c r="AA89" s="65">
        <v>114.02</v>
      </c>
    </row>
    <row r="90" spans="1:27" ht="15" customHeight="1" x14ac:dyDescent="0.3">
      <c r="A90" s="68">
        <v>45793</v>
      </c>
      <c r="B90" s="65">
        <v>417.13</v>
      </c>
      <c r="C90" s="65">
        <v>96.42</v>
      </c>
      <c r="D90" s="65">
        <v>741.32</v>
      </c>
      <c r="E90" s="65">
        <v>226</v>
      </c>
      <c r="F90" s="65">
        <v>109.82</v>
      </c>
      <c r="G90" s="65">
        <v>78.33</v>
      </c>
      <c r="H90" s="65">
        <v>97.75</v>
      </c>
      <c r="I90" s="65">
        <v>135.06</v>
      </c>
      <c r="J90" s="65">
        <v>105.23</v>
      </c>
      <c r="K90" s="65">
        <v>129.52000000000001</v>
      </c>
      <c r="L90" s="65">
        <v>190.88</v>
      </c>
      <c r="M90" s="65">
        <v>105.86</v>
      </c>
      <c r="N90" s="65">
        <v>438.65</v>
      </c>
      <c r="O90" s="65">
        <v>88.72</v>
      </c>
      <c r="P90" s="65">
        <v>126.84</v>
      </c>
      <c r="Q90" s="65">
        <v>61.02</v>
      </c>
      <c r="R90" s="65">
        <v>44.69</v>
      </c>
      <c r="S90" s="65">
        <v>103.95</v>
      </c>
      <c r="T90" s="65">
        <v>34.19</v>
      </c>
      <c r="U90" s="65">
        <v>25.21</v>
      </c>
      <c r="V90" s="65">
        <v>361.59</v>
      </c>
      <c r="W90" s="65">
        <v>125.26</v>
      </c>
      <c r="X90" s="65"/>
      <c r="Y90" s="65">
        <v>50.1</v>
      </c>
      <c r="Z90" s="65">
        <v>230.27</v>
      </c>
      <c r="AA90" s="65">
        <v>119.15</v>
      </c>
    </row>
    <row r="91" spans="1:27" ht="15" customHeight="1" x14ac:dyDescent="0.3">
      <c r="A91" s="68">
        <v>45800</v>
      </c>
      <c r="B91" s="65">
        <v>407.69</v>
      </c>
      <c r="C91" s="65">
        <v>91.2</v>
      </c>
      <c r="D91" s="65">
        <v>725.86</v>
      </c>
      <c r="E91" s="65">
        <v>226.11</v>
      </c>
      <c r="F91" s="65">
        <v>113.9</v>
      </c>
      <c r="G91" s="65">
        <v>75.150000000000006</v>
      </c>
      <c r="H91" s="65">
        <v>93.13</v>
      </c>
      <c r="I91" s="65">
        <v>130.96</v>
      </c>
      <c r="J91" s="65">
        <v>99.04</v>
      </c>
      <c r="K91" s="65">
        <v>123.31</v>
      </c>
      <c r="L91" s="65">
        <v>188.68</v>
      </c>
      <c r="M91" s="65">
        <v>103.96</v>
      </c>
      <c r="N91" s="65">
        <v>436</v>
      </c>
      <c r="O91" s="65">
        <v>85.17</v>
      </c>
      <c r="P91" s="65">
        <v>123.56</v>
      </c>
      <c r="Q91" s="65">
        <v>60.01</v>
      </c>
      <c r="R91" s="65">
        <v>44.28</v>
      </c>
      <c r="S91" s="65">
        <v>101.63</v>
      </c>
      <c r="T91" s="65">
        <v>33</v>
      </c>
      <c r="U91" s="65">
        <v>24.53</v>
      </c>
      <c r="V91" s="65">
        <v>350.12</v>
      </c>
      <c r="W91" s="65">
        <v>122.5</v>
      </c>
      <c r="X91" s="65"/>
      <c r="Y91" s="65">
        <v>49.46</v>
      </c>
      <c r="Z91" s="65">
        <v>231.28</v>
      </c>
      <c r="AA91" s="65">
        <v>118.54</v>
      </c>
    </row>
    <row r="92" spans="1:27" ht="15" customHeight="1" x14ac:dyDescent="0.3">
      <c r="A92" s="68">
        <v>45807</v>
      </c>
      <c r="B92" s="65">
        <v>415.09</v>
      </c>
      <c r="C92" s="65">
        <v>86.64</v>
      </c>
      <c r="D92" s="65">
        <v>730.1</v>
      </c>
      <c r="E92" s="65">
        <v>239.31</v>
      </c>
      <c r="F92" s="65">
        <v>117.84</v>
      </c>
      <c r="G92" s="65">
        <v>75.12</v>
      </c>
      <c r="H92" s="65">
        <v>94.22</v>
      </c>
      <c r="I92" s="65">
        <v>134.79</v>
      </c>
      <c r="J92" s="65">
        <v>103.38</v>
      </c>
      <c r="K92" s="65">
        <v>131.78</v>
      </c>
      <c r="L92" s="65">
        <v>190</v>
      </c>
      <c r="M92" s="65">
        <v>107.75</v>
      </c>
      <c r="N92" s="65">
        <v>442.05</v>
      </c>
      <c r="O92" s="65">
        <v>86.17</v>
      </c>
      <c r="P92" s="65">
        <v>124.36</v>
      </c>
      <c r="Q92" s="65">
        <v>60.66</v>
      </c>
      <c r="R92" s="65">
        <v>44.78</v>
      </c>
      <c r="S92" s="65">
        <v>104.1</v>
      </c>
      <c r="T92" s="65">
        <v>33.26</v>
      </c>
      <c r="U92" s="65">
        <v>24.8</v>
      </c>
      <c r="V92" s="65">
        <v>361.66</v>
      </c>
      <c r="W92" s="65">
        <v>124.36</v>
      </c>
      <c r="X92" s="65"/>
      <c r="Y92" s="65">
        <v>49.96</v>
      </c>
      <c r="Z92" s="65">
        <v>244.31</v>
      </c>
      <c r="AA92" s="65">
        <v>120.72</v>
      </c>
    </row>
    <row r="93" spans="1:27" ht="15" customHeight="1" x14ac:dyDescent="0.3">
      <c r="A93" s="68">
        <v>45814</v>
      </c>
      <c r="B93" s="65">
        <v>416.92</v>
      </c>
      <c r="C93" s="65">
        <v>97.25</v>
      </c>
      <c r="D93" s="65">
        <v>746.2</v>
      </c>
      <c r="E93" s="65">
        <v>244.11</v>
      </c>
      <c r="F93" s="65">
        <v>117.1</v>
      </c>
      <c r="G93" s="65">
        <v>80.19</v>
      </c>
      <c r="H93" s="65">
        <v>108.28</v>
      </c>
      <c r="I93" s="65">
        <v>141.36000000000001</v>
      </c>
      <c r="J93" s="65">
        <v>103.56</v>
      </c>
      <c r="K93" s="65">
        <v>127.72</v>
      </c>
      <c r="L93" s="65">
        <v>201.66</v>
      </c>
      <c r="M93" s="65">
        <v>115.17</v>
      </c>
      <c r="N93" s="65">
        <v>450.5</v>
      </c>
      <c r="O93" s="65">
        <v>87.76</v>
      </c>
      <c r="P93" s="65">
        <v>124.82</v>
      </c>
      <c r="Q93" s="65">
        <v>61.25</v>
      </c>
      <c r="R93" s="65">
        <v>45.37</v>
      </c>
      <c r="S93" s="65">
        <v>105.65</v>
      </c>
      <c r="T93" s="65">
        <v>34.04</v>
      </c>
      <c r="U93" s="65">
        <v>25.15</v>
      </c>
      <c r="V93" s="65">
        <v>366.64</v>
      </c>
      <c r="W93" s="65">
        <v>125.73</v>
      </c>
      <c r="X93" s="65"/>
      <c r="Y93" s="65">
        <v>50.4</v>
      </c>
      <c r="Z93" s="65">
        <v>253.97</v>
      </c>
      <c r="AA93" s="65">
        <v>124.15</v>
      </c>
    </row>
    <row r="94" spans="1:27" ht="15" customHeight="1" x14ac:dyDescent="0.3">
      <c r="A94" s="68">
        <v>45821</v>
      </c>
      <c r="B94" s="65">
        <v>391.68</v>
      </c>
      <c r="C94" s="65">
        <v>92.35</v>
      </c>
      <c r="D94" s="65">
        <v>754.11</v>
      </c>
      <c r="E94" s="65">
        <v>245.86</v>
      </c>
      <c r="F94" s="65">
        <v>120.15</v>
      </c>
      <c r="G94" s="65">
        <v>86.11</v>
      </c>
      <c r="H94" s="65">
        <v>115.31</v>
      </c>
      <c r="I94" s="65">
        <v>141.62</v>
      </c>
      <c r="J94" s="65">
        <v>102.12</v>
      </c>
      <c r="K94" s="65">
        <v>137.4</v>
      </c>
      <c r="L94" s="65">
        <v>208.23</v>
      </c>
      <c r="M94" s="65">
        <v>110.78</v>
      </c>
      <c r="N94" s="65">
        <v>455.45</v>
      </c>
      <c r="O94" s="65">
        <v>87.23</v>
      </c>
      <c r="P94" s="65">
        <v>124.38</v>
      </c>
      <c r="Q94" s="65">
        <v>61.24</v>
      </c>
      <c r="R94" s="65">
        <v>45.28</v>
      </c>
      <c r="S94" s="65">
        <v>104.9</v>
      </c>
      <c r="T94" s="65">
        <v>34.49</v>
      </c>
      <c r="U94" s="65">
        <v>25.49</v>
      </c>
      <c r="V94" s="65">
        <v>349.44</v>
      </c>
      <c r="W94" s="65">
        <v>125.82</v>
      </c>
      <c r="X94" s="65"/>
      <c r="Y94" s="65">
        <v>50.4</v>
      </c>
      <c r="Z94" s="65">
        <v>235.06</v>
      </c>
      <c r="AA94" s="65">
        <v>121.21</v>
      </c>
    </row>
    <row r="95" spans="1:27" ht="15" customHeight="1" x14ac:dyDescent="0.3">
      <c r="A95" s="68">
        <v>45828</v>
      </c>
      <c r="B95" s="65">
        <v>376.92</v>
      </c>
      <c r="C95" s="65">
        <v>86.25</v>
      </c>
      <c r="D95" s="65">
        <v>749.68</v>
      </c>
      <c r="E95" s="65">
        <v>247.72</v>
      </c>
      <c r="F95" s="65">
        <v>119.07</v>
      </c>
      <c r="G95" s="65">
        <v>84.36</v>
      </c>
      <c r="H95" s="65">
        <v>123.29</v>
      </c>
      <c r="I95" s="65">
        <v>143.5</v>
      </c>
      <c r="J95" s="65">
        <v>101.57</v>
      </c>
      <c r="K95" s="65">
        <v>137.30000000000001</v>
      </c>
      <c r="L95" s="65">
        <v>206.66</v>
      </c>
      <c r="M95" s="65">
        <v>118.38</v>
      </c>
      <c r="N95" s="65">
        <v>440.87</v>
      </c>
      <c r="O95" s="65">
        <v>87.38</v>
      </c>
      <c r="P95" s="65">
        <v>124.75</v>
      </c>
      <c r="Q95" s="65">
        <v>61.29</v>
      </c>
      <c r="R95" s="65">
        <v>45.42</v>
      </c>
      <c r="S95" s="65">
        <v>105.64</v>
      </c>
      <c r="T95" s="65">
        <v>34.450000000000003</v>
      </c>
      <c r="U95" s="65">
        <v>25.3</v>
      </c>
      <c r="V95" s="65">
        <v>335.29</v>
      </c>
      <c r="W95" s="65">
        <v>125.77</v>
      </c>
      <c r="X95" s="65"/>
      <c r="Y95" s="65">
        <v>50.14</v>
      </c>
      <c r="Z95" s="65">
        <v>237.81</v>
      </c>
      <c r="AA95" s="65">
        <v>123.14</v>
      </c>
    </row>
    <row r="96" spans="1:27" ht="15" customHeight="1" x14ac:dyDescent="0.3">
      <c r="A96" s="68">
        <v>45835</v>
      </c>
      <c r="B96" s="65">
        <v>385.83</v>
      </c>
      <c r="C96" s="65">
        <v>99.39</v>
      </c>
      <c r="D96" s="65">
        <v>788.74</v>
      </c>
      <c r="E96" s="65">
        <v>266.89999999999998</v>
      </c>
      <c r="F96" s="65">
        <v>124.83</v>
      </c>
      <c r="G96" s="65">
        <v>88.32</v>
      </c>
      <c r="H96" s="65">
        <v>124.44</v>
      </c>
      <c r="I96" s="65">
        <v>157.36000000000001</v>
      </c>
      <c r="J96" s="65">
        <v>101.5</v>
      </c>
      <c r="K96" s="65">
        <v>130.74</v>
      </c>
      <c r="L96" s="65">
        <v>225.46</v>
      </c>
      <c r="M96" s="65">
        <v>126.99</v>
      </c>
      <c r="N96" s="65">
        <v>441.3</v>
      </c>
      <c r="O96" s="65">
        <v>89.61</v>
      </c>
      <c r="P96" s="65">
        <v>126.47</v>
      </c>
      <c r="Q96" s="65">
        <v>62.05</v>
      </c>
      <c r="R96" s="65">
        <v>46.73</v>
      </c>
      <c r="S96" s="65">
        <v>110.73</v>
      </c>
      <c r="T96" s="65">
        <v>34.75</v>
      </c>
      <c r="U96" s="65">
        <v>25.25</v>
      </c>
      <c r="V96" s="65">
        <v>345.24</v>
      </c>
      <c r="W96" s="65">
        <v>128.58000000000001</v>
      </c>
      <c r="X96" s="65"/>
      <c r="Y96" s="65">
        <v>50.96</v>
      </c>
      <c r="Z96" s="65">
        <v>252.85</v>
      </c>
      <c r="AA96" s="65">
        <v>132.31</v>
      </c>
    </row>
    <row r="97" spans="1:27" ht="15" customHeight="1" x14ac:dyDescent="0.3">
      <c r="A97" s="68">
        <v>45842</v>
      </c>
      <c r="B97" s="65">
        <v>379.31</v>
      </c>
      <c r="C97" s="65">
        <v>102.52</v>
      </c>
      <c r="D97" s="65">
        <v>787.3</v>
      </c>
      <c r="E97" s="65">
        <v>272.68</v>
      </c>
      <c r="F97" s="65">
        <v>128.52000000000001</v>
      </c>
      <c r="G97" s="65">
        <v>91.76</v>
      </c>
      <c r="H97" s="65">
        <v>121.98</v>
      </c>
      <c r="I97" s="65">
        <v>158.94999999999999</v>
      </c>
      <c r="J97" s="65">
        <v>103.81</v>
      </c>
      <c r="K97" s="65">
        <v>134.36000000000001</v>
      </c>
      <c r="L97" s="65">
        <v>231.61</v>
      </c>
      <c r="M97" s="65">
        <v>127.67</v>
      </c>
      <c r="N97" s="65">
        <v>459.62</v>
      </c>
      <c r="O97" s="65">
        <v>93.34</v>
      </c>
      <c r="P97" s="65">
        <v>130.79</v>
      </c>
      <c r="Q97" s="65">
        <v>62.46</v>
      </c>
      <c r="R97" s="65">
        <v>47.06</v>
      </c>
      <c r="S97" s="65">
        <v>111.39</v>
      </c>
      <c r="T97" s="65">
        <v>35.18</v>
      </c>
      <c r="U97" s="65">
        <v>26.17</v>
      </c>
      <c r="V97" s="65">
        <v>355.39</v>
      </c>
      <c r="W97" s="65">
        <v>131.78</v>
      </c>
      <c r="X97" s="65"/>
      <c r="Y97" s="65">
        <v>51.59</v>
      </c>
      <c r="Z97" s="65">
        <v>245.27</v>
      </c>
      <c r="AA97" s="65">
        <v>129.72</v>
      </c>
    </row>
    <row r="98" spans="1:27" ht="15" customHeight="1" x14ac:dyDescent="0.3">
      <c r="A98" s="68">
        <v>45849</v>
      </c>
      <c r="B98" s="65">
        <v>363.35</v>
      </c>
      <c r="C98" s="65">
        <v>108.57</v>
      </c>
      <c r="D98" s="65">
        <v>794.67</v>
      </c>
      <c r="E98" s="65">
        <v>271.89</v>
      </c>
      <c r="F98" s="65">
        <v>119.61</v>
      </c>
      <c r="G98" s="65">
        <v>91.76</v>
      </c>
      <c r="H98" s="65">
        <v>124.33</v>
      </c>
      <c r="I98" s="65">
        <v>164.52</v>
      </c>
      <c r="J98" s="65">
        <v>104.91</v>
      </c>
      <c r="K98" s="65">
        <v>142.1</v>
      </c>
      <c r="L98" s="65">
        <v>227.27</v>
      </c>
      <c r="M98" s="65">
        <v>123.13</v>
      </c>
      <c r="N98" s="65">
        <v>468.85</v>
      </c>
      <c r="O98" s="65">
        <v>93.22</v>
      </c>
      <c r="P98" s="65">
        <v>130.35</v>
      </c>
      <c r="Q98" s="65">
        <v>62.56</v>
      </c>
      <c r="R98" s="65">
        <v>47.23</v>
      </c>
      <c r="S98" s="65">
        <v>111.05</v>
      </c>
      <c r="T98" s="65">
        <v>35.270000000000003</v>
      </c>
      <c r="U98" s="65">
        <v>26.15</v>
      </c>
      <c r="V98" s="65">
        <v>344.56</v>
      </c>
      <c r="W98" s="65">
        <v>130.88999999999999</v>
      </c>
      <c r="X98" s="65"/>
      <c r="Y98" s="65">
        <v>51.41</v>
      </c>
      <c r="Z98" s="65">
        <v>254.13</v>
      </c>
      <c r="AA98" s="65">
        <v>124.51</v>
      </c>
    </row>
    <row r="99" spans="1:27" ht="15" customHeight="1" x14ac:dyDescent="0.3">
      <c r="A99" s="68">
        <v>45856</v>
      </c>
      <c r="B99" s="65">
        <v>365.79</v>
      </c>
      <c r="C99" s="65">
        <v>111.78</v>
      </c>
      <c r="D99" s="65">
        <v>727.93</v>
      </c>
      <c r="E99" s="65">
        <v>280.77</v>
      </c>
      <c r="F99" s="65">
        <v>118.99</v>
      </c>
      <c r="G99" s="65">
        <v>92.41</v>
      </c>
      <c r="H99" s="65">
        <v>114.21</v>
      </c>
      <c r="I99" s="65">
        <v>171.99</v>
      </c>
      <c r="J99" s="65">
        <v>102.61</v>
      </c>
      <c r="K99" s="65">
        <v>153.52000000000001</v>
      </c>
      <c r="L99" s="65">
        <v>237.13</v>
      </c>
      <c r="M99" s="65">
        <v>128.88999999999999</v>
      </c>
      <c r="N99" s="65">
        <v>459.81</v>
      </c>
      <c r="O99" s="65">
        <v>92.12</v>
      </c>
      <c r="P99" s="65">
        <v>129.80000000000001</v>
      </c>
      <c r="Q99" s="65">
        <v>62.78</v>
      </c>
      <c r="R99" s="65">
        <v>47.52</v>
      </c>
      <c r="S99" s="65">
        <v>112.7</v>
      </c>
      <c r="T99" s="65">
        <v>34.520000000000003</v>
      </c>
      <c r="U99" s="65">
        <v>25.86</v>
      </c>
      <c r="V99" s="65">
        <v>345.67</v>
      </c>
      <c r="W99" s="65">
        <v>130.69</v>
      </c>
      <c r="X99" s="65"/>
      <c r="Y99" s="65">
        <v>51.6</v>
      </c>
      <c r="Z99" s="65">
        <v>261.94</v>
      </c>
      <c r="AA99" s="65">
        <v>120.92</v>
      </c>
    </row>
    <row r="100" spans="1:27" ht="15" customHeight="1" x14ac:dyDescent="0.3">
      <c r="A100" s="68">
        <v>45863</v>
      </c>
      <c r="B100" s="65">
        <v>370.74</v>
      </c>
      <c r="C100" s="65">
        <v>114.28</v>
      </c>
      <c r="D100" s="65">
        <v>704.81</v>
      </c>
      <c r="E100" s="65">
        <v>287.55</v>
      </c>
      <c r="F100" s="65">
        <v>116.98</v>
      </c>
      <c r="G100" s="65">
        <v>89.53</v>
      </c>
      <c r="H100" s="65">
        <v>111.08</v>
      </c>
      <c r="I100" s="65">
        <v>173.08</v>
      </c>
      <c r="J100" s="65">
        <v>105.99</v>
      </c>
      <c r="K100" s="65">
        <v>158.80000000000001</v>
      </c>
      <c r="L100" s="65">
        <v>242.26</v>
      </c>
      <c r="M100" s="65">
        <v>137.29</v>
      </c>
      <c r="N100" s="65">
        <v>469.65</v>
      </c>
      <c r="O100" s="65">
        <v>93.48</v>
      </c>
      <c r="P100" s="65">
        <v>132.16</v>
      </c>
      <c r="Q100" s="65">
        <v>62.92</v>
      </c>
      <c r="R100" s="65">
        <v>47.86</v>
      </c>
      <c r="S100" s="65">
        <v>113.89</v>
      </c>
      <c r="T100" s="65">
        <v>35.28</v>
      </c>
      <c r="U100" s="65">
        <v>26.14</v>
      </c>
      <c r="V100" s="65">
        <v>353.59</v>
      </c>
      <c r="W100" s="65">
        <v>132.54</v>
      </c>
      <c r="X100" s="65"/>
      <c r="Y100" s="65">
        <v>51.92</v>
      </c>
      <c r="Z100" s="65">
        <v>270.22000000000003</v>
      </c>
      <c r="AA100" s="65">
        <v>118.05</v>
      </c>
    </row>
    <row r="101" spans="1:27" ht="15" customHeight="1" x14ac:dyDescent="0.3">
      <c r="A101" s="68">
        <v>45870</v>
      </c>
      <c r="B101" s="65">
        <v>347.8</v>
      </c>
      <c r="C101" s="65">
        <v>117.57</v>
      </c>
      <c r="D101" s="65">
        <v>685.31</v>
      </c>
      <c r="E101" s="65">
        <v>286.02</v>
      </c>
      <c r="F101" s="65">
        <v>111.67</v>
      </c>
      <c r="G101" s="65">
        <v>88</v>
      </c>
      <c r="H101" s="65">
        <v>104.71</v>
      </c>
      <c r="I101" s="65">
        <v>173.3</v>
      </c>
      <c r="J101" s="65">
        <v>100.82</v>
      </c>
      <c r="K101" s="65">
        <v>154.27000000000001</v>
      </c>
      <c r="L101" s="65">
        <v>232.01</v>
      </c>
      <c r="M101" s="65">
        <v>141.4</v>
      </c>
      <c r="N101" s="65">
        <v>462.13</v>
      </c>
      <c r="O101" s="65">
        <v>88.78</v>
      </c>
      <c r="P101" s="65">
        <v>128.19</v>
      </c>
      <c r="Q101" s="65">
        <v>62.26</v>
      </c>
      <c r="R101" s="65">
        <v>47.13</v>
      </c>
      <c r="S101" s="65">
        <v>112.1</v>
      </c>
      <c r="T101" s="65">
        <v>33.799999999999997</v>
      </c>
      <c r="U101" s="65">
        <v>25.24</v>
      </c>
      <c r="V101" s="65">
        <v>336.07</v>
      </c>
      <c r="W101" s="65">
        <v>128.94999999999999</v>
      </c>
      <c r="X101" s="65"/>
      <c r="Y101" s="65">
        <v>50.69</v>
      </c>
      <c r="Z101" s="65">
        <v>268.02</v>
      </c>
      <c r="AA101" s="65">
        <v>115.86</v>
      </c>
    </row>
    <row r="102" spans="1:27" ht="15" customHeight="1" x14ac:dyDescent="0.3">
      <c r="A102" s="68">
        <v>45877</v>
      </c>
      <c r="B102" s="65">
        <v>341.05</v>
      </c>
      <c r="C102" s="65">
        <v>139.18</v>
      </c>
      <c r="D102" s="65">
        <v>717.59</v>
      </c>
      <c r="E102" s="65">
        <v>302.2</v>
      </c>
      <c r="F102" s="65">
        <v>106.12</v>
      </c>
      <c r="G102" s="65">
        <v>90.79</v>
      </c>
      <c r="H102" s="65">
        <v>118.7</v>
      </c>
      <c r="I102" s="65">
        <v>182.25</v>
      </c>
      <c r="J102" s="65">
        <v>101.56</v>
      </c>
      <c r="K102" s="65">
        <v>186.96</v>
      </c>
      <c r="L102" s="65">
        <v>238.54</v>
      </c>
      <c r="M102" s="65">
        <v>139.74</v>
      </c>
      <c r="N102" s="65">
        <v>366.54</v>
      </c>
      <c r="O102" s="65">
        <v>90.85</v>
      </c>
      <c r="P102" s="65">
        <v>130.26</v>
      </c>
      <c r="Q102" s="65">
        <v>62.98</v>
      </c>
      <c r="R102" s="65">
        <v>48.46</v>
      </c>
      <c r="S102" s="65">
        <v>116.02</v>
      </c>
      <c r="T102" s="65">
        <v>34.14</v>
      </c>
      <c r="U102" s="65">
        <v>25.72</v>
      </c>
      <c r="V102" s="65">
        <v>333.52</v>
      </c>
      <c r="W102" s="65">
        <v>131.32</v>
      </c>
      <c r="X102" s="65"/>
      <c r="Y102" s="65">
        <v>51.1</v>
      </c>
      <c r="Z102" s="65">
        <v>273.62</v>
      </c>
      <c r="AA102" s="65">
        <v>121.16</v>
      </c>
    </row>
    <row r="103" spans="1:27" ht="15" customHeight="1" x14ac:dyDescent="0.3">
      <c r="A103" s="68">
        <v>45884</v>
      </c>
      <c r="B103" s="65">
        <v>354.85</v>
      </c>
      <c r="C103" s="65">
        <v>137.30000000000001</v>
      </c>
      <c r="D103" s="65">
        <v>737.3</v>
      </c>
      <c r="E103" s="65">
        <v>303.56</v>
      </c>
      <c r="F103" s="65">
        <v>106.97</v>
      </c>
      <c r="G103" s="65">
        <v>86.84</v>
      </c>
      <c r="H103" s="65">
        <v>120.68</v>
      </c>
      <c r="I103" s="65">
        <v>180.01</v>
      </c>
      <c r="J103" s="65">
        <v>102.43</v>
      </c>
      <c r="K103" s="65">
        <v>177.17</v>
      </c>
      <c r="L103" s="65">
        <v>235.63</v>
      </c>
      <c r="M103" s="65">
        <v>132.88999999999999</v>
      </c>
      <c r="N103" s="65">
        <v>392.79</v>
      </c>
      <c r="O103" s="65">
        <v>93.56</v>
      </c>
      <c r="P103" s="65">
        <v>132.26</v>
      </c>
      <c r="Q103" s="65">
        <v>63.44</v>
      </c>
      <c r="R103" s="65">
        <v>48.88</v>
      </c>
      <c r="S103" s="65">
        <v>116.14</v>
      </c>
      <c r="T103" s="65">
        <v>35.49</v>
      </c>
      <c r="U103" s="65">
        <v>26.15</v>
      </c>
      <c r="V103" s="65">
        <v>341.74</v>
      </c>
      <c r="W103" s="65">
        <v>132.91999999999999</v>
      </c>
      <c r="X103" s="65"/>
      <c r="Y103" s="65">
        <v>51.68</v>
      </c>
      <c r="Z103" s="65">
        <v>266.5</v>
      </c>
      <c r="AA103" s="65">
        <v>123.89</v>
      </c>
    </row>
    <row r="104" spans="1:27" ht="15" customHeight="1" x14ac:dyDescent="0.3">
      <c r="A104" s="68">
        <v>45891</v>
      </c>
      <c r="B104" s="65">
        <v>362.09</v>
      </c>
      <c r="C104" s="65">
        <v>133.25</v>
      </c>
      <c r="D104" s="65">
        <v>749.95</v>
      </c>
      <c r="E104" s="65">
        <v>291.33</v>
      </c>
      <c r="F104" s="65">
        <v>105.14</v>
      </c>
      <c r="G104" s="65">
        <v>86.56</v>
      </c>
      <c r="H104" s="65">
        <v>117.49</v>
      </c>
      <c r="I104" s="65">
        <v>177.55</v>
      </c>
      <c r="J104" s="65">
        <v>107.9</v>
      </c>
      <c r="K104" s="65">
        <v>158.74</v>
      </c>
      <c r="L104" s="65">
        <v>229.82</v>
      </c>
      <c r="M104" s="65">
        <v>125.8</v>
      </c>
      <c r="N104" s="65">
        <v>395.12</v>
      </c>
      <c r="O104" s="65">
        <v>97.28</v>
      </c>
      <c r="P104" s="65">
        <v>136.08000000000001</v>
      </c>
      <c r="Q104" s="65">
        <v>63.67</v>
      </c>
      <c r="R104" s="65">
        <v>48.76</v>
      </c>
      <c r="S104" s="65">
        <v>115.35</v>
      </c>
      <c r="T104" s="65">
        <v>36.409999999999997</v>
      </c>
      <c r="U104" s="65">
        <v>26.75</v>
      </c>
      <c r="V104" s="65">
        <v>347.26</v>
      </c>
      <c r="W104" s="65">
        <v>135.03</v>
      </c>
      <c r="X104" s="65"/>
      <c r="Y104" s="65">
        <v>52.3</v>
      </c>
      <c r="Z104" s="65">
        <v>265.18</v>
      </c>
      <c r="AA104" s="65">
        <v>120.46</v>
      </c>
    </row>
    <row r="105" spans="1:27" ht="15" customHeight="1" x14ac:dyDescent="0.3">
      <c r="A105" s="68">
        <v>45898</v>
      </c>
      <c r="B105" s="65">
        <v>356.7</v>
      </c>
      <c r="C105" s="65">
        <v>136.55000000000001</v>
      </c>
      <c r="D105" s="65">
        <v>737.76</v>
      </c>
      <c r="E105" s="65">
        <v>294.69</v>
      </c>
      <c r="F105" s="65">
        <v>105.93</v>
      </c>
      <c r="G105" s="65">
        <v>86.73</v>
      </c>
      <c r="H105" s="65">
        <v>118.82</v>
      </c>
      <c r="I105" s="65">
        <v>173.75</v>
      </c>
      <c r="J105" s="65">
        <v>109.34</v>
      </c>
      <c r="K105" s="65">
        <v>156.71</v>
      </c>
      <c r="L105" s="65">
        <v>227.73</v>
      </c>
      <c r="M105" s="65">
        <v>127.38</v>
      </c>
      <c r="N105" s="65">
        <v>391.02</v>
      </c>
      <c r="O105" s="65">
        <v>98.1</v>
      </c>
      <c r="P105" s="65">
        <v>135.78</v>
      </c>
      <c r="Q105" s="65">
        <v>63.68</v>
      </c>
      <c r="R105" s="65">
        <v>48.77</v>
      </c>
      <c r="S105" s="65">
        <v>115.32</v>
      </c>
      <c r="T105" s="65">
        <v>36.74</v>
      </c>
      <c r="U105" s="65">
        <v>26.72</v>
      </c>
      <c r="V105" s="65">
        <v>348.99</v>
      </c>
      <c r="W105" s="65">
        <v>135.05000000000001</v>
      </c>
      <c r="X105" s="65"/>
      <c r="Y105" s="65">
        <v>52.1</v>
      </c>
      <c r="Z105" s="65">
        <v>273.81</v>
      </c>
      <c r="AA105" s="65">
        <v>120.82</v>
      </c>
    </row>
    <row r="106" spans="1:27" ht="15" customHeight="1" x14ac:dyDescent="0.3">
      <c r="A106" s="68">
        <v>45905</v>
      </c>
      <c r="B106" s="65">
        <v>348.97</v>
      </c>
      <c r="C106" s="65">
        <v>142.85</v>
      </c>
      <c r="D106" s="65">
        <v>776.58</v>
      </c>
      <c r="E106" s="65">
        <v>331.85</v>
      </c>
      <c r="F106" s="65">
        <v>104.41</v>
      </c>
      <c r="G106" s="65">
        <v>90.02</v>
      </c>
      <c r="H106" s="65">
        <v>131.16</v>
      </c>
      <c r="I106" s="65">
        <v>166.61</v>
      </c>
      <c r="J106" s="65">
        <v>109.22</v>
      </c>
      <c r="K106" s="65">
        <v>153.11000000000001</v>
      </c>
      <c r="L106" s="65">
        <v>240.1</v>
      </c>
      <c r="M106" s="65">
        <v>123.83</v>
      </c>
      <c r="N106" s="65">
        <v>396.12</v>
      </c>
      <c r="O106" s="65">
        <v>99.17</v>
      </c>
      <c r="P106" s="65">
        <v>135.66</v>
      </c>
      <c r="Q106" s="65">
        <v>63.82</v>
      </c>
      <c r="R106" s="65">
        <v>49.25</v>
      </c>
      <c r="S106" s="65">
        <v>115.89</v>
      </c>
      <c r="T106" s="65">
        <v>37.020000000000003</v>
      </c>
      <c r="U106" s="65">
        <v>26.45</v>
      </c>
      <c r="V106" s="65">
        <v>340.5</v>
      </c>
      <c r="W106" s="65">
        <v>135.4</v>
      </c>
      <c r="X106" s="65"/>
      <c r="Y106" s="65">
        <v>52.1</v>
      </c>
      <c r="Z106" s="65">
        <v>277.82</v>
      </c>
      <c r="AA106" s="65">
        <v>124.38</v>
      </c>
    </row>
    <row r="107" spans="1:27" ht="15" customHeight="1" x14ac:dyDescent="0.3">
      <c r="A107" s="68">
        <v>45912</v>
      </c>
      <c r="B107" s="65">
        <v>349.36</v>
      </c>
      <c r="C107" s="65">
        <v>139.38999999999999</v>
      </c>
      <c r="D107" s="65">
        <v>808.54</v>
      </c>
      <c r="E107" s="65">
        <v>356.6</v>
      </c>
      <c r="F107" s="65">
        <v>109.03</v>
      </c>
      <c r="G107" s="65">
        <v>95.88</v>
      </c>
      <c r="H107" s="65">
        <v>156.97999999999999</v>
      </c>
      <c r="I107" s="65">
        <v>177.4</v>
      </c>
      <c r="J107" s="65">
        <v>110.85</v>
      </c>
      <c r="K107" s="65">
        <v>171.43</v>
      </c>
      <c r="L107" s="65">
        <v>255.81</v>
      </c>
      <c r="M107" s="65">
        <v>134.66</v>
      </c>
      <c r="N107" s="65">
        <v>394.53</v>
      </c>
      <c r="O107" s="65">
        <v>98.38</v>
      </c>
      <c r="P107" s="65">
        <v>135.84</v>
      </c>
      <c r="Q107" s="65">
        <v>64.36</v>
      </c>
      <c r="R107" s="65">
        <v>49.92</v>
      </c>
      <c r="S107" s="65">
        <v>119.28</v>
      </c>
      <c r="T107" s="65">
        <v>37.049999999999997</v>
      </c>
      <c r="U107" s="65">
        <v>26.3</v>
      </c>
      <c r="V107" s="65">
        <v>336.74</v>
      </c>
      <c r="W107" s="65">
        <v>137.18</v>
      </c>
      <c r="X107" s="65"/>
      <c r="Y107" s="65">
        <v>52.21</v>
      </c>
      <c r="Z107" s="65">
        <v>280.27</v>
      </c>
      <c r="AA107" s="65">
        <v>118.84</v>
      </c>
    </row>
    <row r="108" spans="1:27" ht="15" customHeight="1" x14ac:dyDescent="0.3">
      <c r="A108" s="68">
        <v>45919</v>
      </c>
      <c r="B108" s="65">
        <v>365.9</v>
      </c>
      <c r="C108" s="65">
        <v>149.61000000000001</v>
      </c>
      <c r="D108" s="65">
        <v>926.05</v>
      </c>
      <c r="E108" s="65">
        <v>341.81</v>
      </c>
      <c r="F108" s="65">
        <v>125.64</v>
      </c>
      <c r="G108" s="65">
        <v>103.92</v>
      </c>
      <c r="H108" s="65">
        <v>162.47</v>
      </c>
      <c r="I108" s="65">
        <v>176.25</v>
      </c>
      <c r="J108" s="65">
        <v>110.05</v>
      </c>
      <c r="K108" s="65">
        <v>182.39</v>
      </c>
      <c r="L108" s="65">
        <v>262.10000000000002</v>
      </c>
      <c r="M108" s="65">
        <v>143.44999999999999</v>
      </c>
      <c r="N108" s="65">
        <v>383.12</v>
      </c>
      <c r="O108" s="65">
        <v>98.94</v>
      </c>
      <c r="P108" s="65">
        <v>135.46</v>
      </c>
      <c r="Q108" s="65">
        <v>64.489999999999995</v>
      </c>
      <c r="R108" s="65">
        <v>50.47</v>
      </c>
      <c r="S108" s="65">
        <v>120.72</v>
      </c>
      <c r="T108" s="65">
        <v>37</v>
      </c>
      <c r="U108" s="65">
        <v>26.15</v>
      </c>
      <c r="V108" s="65">
        <v>338.9</v>
      </c>
      <c r="W108" s="65">
        <v>137.1</v>
      </c>
      <c r="X108" s="65"/>
      <c r="Y108" s="65">
        <v>52.17</v>
      </c>
      <c r="Z108" s="65">
        <v>299.62</v>
      </c>
      <c r="AA108" s="65">
        <v>122.7</v>
      </c>
    </row>
    <row r="109" spans="1:27" ht="15" customHeight="1" x14ac:dyDescent="0.3">
      <c r="A109" s="68">
        <v>45926</v>
      </c>
      <c r="B109" s="65">
        <v>360.37</v>
      </c>
      <c r="C109" s="65">
        <v>142.5</v>
      </c>
      <c r="D109" s="65">
        <v>945.29</v>
      </c>
      <c r="E109" s="65">
        <v>332.06</v>
      </c>
      <c r="F109" s="65">
        <v>120.36</v>
      </c>
      <c r="G109" s="65">
        <v>105.86</v>
      </c>
      <c r="H109" s="65">
        <v>157.02000000000001</v>
      </c>
      <c r="I109" s="65">
        <v>177.76</v>
      </c>
      <c r="J109" s="65">
        <v>110.71</v>
      </c>
      <c r="K109" s="65">
        <v>177.57</v>
      </c>
      <c r="L109" s="65">
        <v>270.5</v>
      </c>
      <c r="M109" s="65">
        <v>138.47</v>
      </c>
      <c r="N109" s="65">
        <v>385.74</v>
      </c>
      <c r="O109" s="65">
        <v>99.24</v>
      </c>
      <c r="P109" s="65">
        <v>136.5</v>
      </c>
      <c r="Q109" s="65">
        <v>64.510000000000005</v>
      </c>
      <c r="R109" s="65">
        <v>50.55</v>
      </c>
      <c r="S109" s="65">
        <v>119.57</v>
      </c>
      <c r="T109" s="65">
        <v>37.29</v>
      </c>
      <c r="U109" s="65">
        <v>26.29</v>
      </c>
      <c r="V109" s="65">
        <v>334.69</v>
      </c>
      <c r="W109" s="65">
        <v>137.41999999999999</v>
      </c>
      <c r="X109" s="65"/>
      <c r="Y109" s="65">
        <v>52.24</v>
      </c>
      <c r="Z109" s="65">
        <v>293.49</v>
      </c>
      <c r="AA109" s="65">
        <v>121.06</v>
      </c>
    </row>
    <row r="110" spans="1:27" ht="15" customHeight="1" x14ac:dyDescent="0.3">
      <c r="A110" s="68">
        <v>45933</v>
      </c>
      <c r="B110" s="65">
        <v>346.74</v>
      </c>
      <c r="C110" s="65">
        <v>145.5</v>
      </c>
      <c r="D110" s="65">
        <v>1025.47</v>
      </c>
      <c r="E110" s="65">
        <v>335.87</v>
      </c>
      <c r="F110" s="65">
        <v>122.47</v>
      </c>
      <c r="G110" s="65">
        <v>109.56</v>
      </c>
      <c r="H110" s="65">
        <v>187.65</v>
      </c>
      <c r="I110" s="65">
        <v>187.17</v>
      </c>
      <c r="J110" s="65">
        <v>113.5</v>
      </c>
      <c r="K110" s="65">
        <v>173.07</v>
      </c>
      <c r="L110" s="65">
        <v>289.13</v>
      </c>
      <c r="M110" s="65">
        <v>160.03</v>
      </c>
      <c r="N110" s="65">
        <v>403.3</v>
      </c>
      <c r="O110" s="65">
        <v>99.35</v>
      </c>
      <c r="P110" s="65">
        <v>138.19</v>
      </c>
      <c r="Q110" s="65">
        <v>64.72</v>
      </c>
      <c r="R110" s="65">
        <v>50.97</v>
      </c>
      <c r="S110" s="65">
        <v>119.08</v>
      </c>
      <c r="T110" s="65">
        <v>37.42</v>
      </c>
      <c r="U110" s="65">
        <v>26.48</v>
      </c>
      <c r="V110" s="65">
        <v>347.06</v>
      </c>
      <c r="W110" s="65">
        <v>138.16999999999999</v>
      </c>
      <c r="X110" s="65"/>
      <c r="Y110" s="65">
        <v>52.66</v>
      </c>
      <c r="Z110" s="65">
        <v>295.86</v>
      </c>
      <c r="AA110" s="65">
        <v>115.33</v>
      </c>
    </row>
    <row r="111" spans="1:27" ht="15" customHeight="1" x14ac:dyDescent="0.3">
      <c r="A111" s="68">
        <v>45940</v>
      </c>
      <c r="B111" s="65">
        <v>337.51</v>
      </c>
      <c r="C111" s="65">
        <v>154.1</v>
      </c>
      <c r="D111" s="65">
        <v>930.06</v>
      </c>
      <c r="E111" s="65">
        <v>322.23</v>
      </c>
      <c r="F111" s="65">
        <v>123.42</v>
      </c>
      <c r="G111" s="65">
        <v>97.75</v>
      </c>
      <c r="H111" s="65">
        <v>181.42</v>
      </c>
      <c r="I111" s="65">
        <v>182.72</v>
      </c>
      <c r="J111" s="65">
        <v>107.84</v>
      </c>
      <c r="K111" s="65">
        <v>175.44</v>
      </c>
      <c r="L111" s="65">
        <v>277.72000000000003</v>
      </c>
      <c r="M111" s="65">
        <v>168.83</v>
      </c>
      <c r="N111" s="65">
        <v>407.79</v>
      </c>
      <c r="O111" s="65">
        <v>93.95</v>
      </c>
      <c r="P111" s="65">
        <v>133.41</v>
      </c>
      <c r="Q111" s="65">
        <v>63.9</v>
      </c>
      <c r="R111" s="65">
        <v>50.12</v>
      </c>
      <c r="S111" s="65">
        <v>117.51</v>
      </c>
      <c r="T111" s="65">
        <v>36.18</v>
      </c>
      <c r="U111" s="65">
        <v>25.64</v>
      </c>
      <c r="V111" s="65">
        <v>340.92</v>
      </c>
      <c r="W111" s="65">
        <v>134.19</v>
      </c>
      <c r="X111" s="65"/>
      <c r="Y111" s="65">
        <v>51.71</v>
      </c>
      <c r="Z111" s="65">
        <v>290.37</v>
      </c>
      <c r="AA111" s="65">
        <v>122.01</v>
      </c>
    </row>
    <row r="112" spans="1:27" ht="15" customHeight="1" x14ac:dyDescent="0.3">
      <c r="A112" s="68">
        <v>45947</v>
      </c>
      <c r="B112" s="65">
        <v>333.26</v>
      </c>
      <c r="C112" s="65">
        <v>143.1</v>
      </c>
      <c r="D112" s="65">
        <v>1022.53</v>
      </c>
      <c r="E112" s="65">
        <v>346.75</v>
      </c>
      <c r="F112" s="65">
        <v>121.16</v>
      </c>
      <c r="G112" s="65">
        <v>110.07</v>
      </c>
      <c r="H112" s="65">
        <v>202.18</v>
      </c>
      <c r="I112" s="65">
        <v>182.78</v>
      </c>
      <c r="J112" s="65">
        <v>120.3</v>
      </c>
      <c r="K112" s="65">
        <v>178.15</v>
      </c>
      <c r="L112" s="65">
        <v>291.99</v>
      </c>
      <c r="M112" s="65">
        <v>173.81</v>
      </c>
      <c r="N112" s="65">
        <v>416.81</v>
      </c>
      <c r="O112" s="65">
        <v>95.79</v>
      </c>
      <c r="P112" s="65">
        <v>135.37</v>
      </c>
      <c r="Q112" s="65">
        <v>64.53</v>
      </c>
      <c r="R112" s="65">
        <v>51.15</v>
      </c>
      <c r="S112" s="65">
        <v>119.41</v>
      </c>
      <c r="T112" s="65">
        <v>36.69</v>
      </c>
      <c r="U112" s="65">
        <v>25.88</v>
      </c>
      <c r="V112" s="65">
        <v>339.18</v>
      </c>
      <c r="W112" s="65">
        <v>136.76</v>
      </c>
      <c r="X112" s="65"/>
      <c r="Y112" s="65">
        <v>52.5</v>
      </c>
      <c r="Z112" s="65">
        <v>298.99</v>
      </c>
      <c r="AA112" s="65">
        <v>119.94</v>
      </c>
    </row>
    <row r="113" spans="1:27" ht="15" customHeight="1" x14ac:dyDescent="0.3">
      <c r="A113" s="68">
        <v>45954</v>
      </c>
      <c r="B113" s="65">
        <v>353.52</v>
      </c>
      <c r="C113" s="65">
        <v>153.82</v>
      </c>
      <c r="D113" s="65">
        <v>1026.3399999999999</v>
      </c>
      <c r="E113" s="65">
        <v>351.52</v>
      </c>
      <c r="F113" s="65">
        <v>131.83000000000001</v>
      </c>
      <c r="G113" s="65">
        <v>117.65</v>
      </c>
      <c r="H113" s="65">
        <v>218.81</v>
      </c>
      <c r="I113" s="65">
        <v>185.81</v>
      </c>
      <c r="J113" s="65">
        <v>122.58</v>
      </c>
      <c r="K113" s="65">
        <v>184.63</v>
      </c>
      <c r="L113" s="65">
        <v>291.87</v>
      </c>
      <c r="M113" s="65">
        <v>185.86</v>
      </c>
      <c r="N113" s="65">
        <v>421.39</v>
      </c>
      <c r="O113" s="65">
        <v>98.61</v>
      </c>
      <c r="P113" s="65">
        <v>137.66999999999999</v>
      </c>
      <c r="Q113" s="65">
        <v>65.180000000000007</v>
      </c>
      <c r="R113" s="65">
        <v>52.1</v>
      </c>
      <c r="S113" s="65">
        <v>120.69</v>
      </c>
      <c r="T113" s="65">
        <v>37.64</v>
      </c>
      <c r="U113" s="65">
        <v>26.11</v>
      </c>
      <c r="V113" s="65">
        <v>344.62</v>
      </c>
      <c r="W113" s="65">
        <v>138.24</v>
      </c>
      <c r="X113" s="65"/>
      <c r="Y113" s="65">
        <v>53.05</v>
      </c>
      <c r="Z113" s="65">
        <v>302.7</v>
      </c>
      <c r="AA113" s="65">
        <v>109.47</v>
      </c>
    </row>
    <row r="114" spans="1:27" ht="15" customHeight="1" x14ac:dyDescent="0.3">
      <c r="A114" s="68">
        <v>45961</v>
      </c>
      <c r="B114" s="65">
        <v>340.31</v>
      </c>
      <c r="C114" s="65">
        <v>157.69</v>
      </c>
      <c r="D114" s="65">
        <v>1054.17</v>
      </c>
      <c r="E114" s="65">
        <v>366.9</v>
      </c>
      <c r="F114" s="65">
        <v>135.75</v>
      </c>
      <c r="G114" s="65">
        <v>120.23</v>
      </c>
      <c r="H114" s="65">
        <v>223.55</v>
      </c>
      <c r="I114" s="65">
        <v>202.01</v>
      </c>
      <c r="J114" s="65">
        <v>120.31</v>
      </c>
      <c r="K114" s="65">
        <v>200.47</v>
      </c>
      <c r="L114" s="65">
        <v>297.27999999999997</v>
      </c>
      <c r="M114" s="65">
        <v>192.65</v>
      </c>
      <c r="N114" s="65">
        <v>425.57</v>
      </c>
      <c r="O114" s="65">
        <v>96.52</v>
      </c>
      <c r="P114" s="65">
        <v>134.38999999999999</v>
      </c>
      <c r="Q114" s="65">
        <v>65.22</v>
      </c>
      <c r="R114" s="65">
        <v>52.59</v>
      </c>
      <c r="S114" s="65">
        <v>120.68</v>
      </c>
      <c r="T114" s="65">
        <v>37.409999999999997</v>
      </c>
      <c r="U114" s="65">
        <v>25.84</v>
      </c>
      <c r="V114" s="65">
        <v>338.04</v>
      </c>
      <c r="W114" s="65">
        <v>137.22</v>
      </c>
      <c r="X114" s="65"/>
      <c r="Y114" s="65">
        <v>52.52</v>
      </c>
      <c r="Z114" s="65">
        <v>307.76</v>
      </c>
      <c r="AA114" s="65">
        <v>111.89</v>
      </c>
    </row>
    <row r="115" spans="1:27" ht="15" customHeight="1" x14ac:dyDescent="0.3">
      <c r="A115" s="68">
        <v>45968</v>
      </c>
      <c r="B115" s="65">
        <v>326.95</v>
      </c>
      <c r="C115" s="65">
        <v>134.65</v>
      </c>
      <c r="D115" s="65">
        <v>1012.1</v>
      </c>
      <c r="E115" s="65">
        <v>346.85</v>
      </c>
      <c r="F115" s="65">
        <v>134.94999999999999</v>
      </c>
      <c r="G115" s="65">
        <v>118.7</v>
      </c>
      <c r="H115" s="65">
        <v>237.69</v>
      </c>
      <c r="I115" s="65">
        <v>187.7</v>
      </c>
      <c r="J115" s="65">
        <v>121.78</v>
      </c>
      <c r="K115" s="65">
        <v>177.93</v>
      </c>
      <c r="L115" s="65">
        <v>283.5</v>
      </c>
      <c r="M115" s="65">
        <v>179.61</v>
      </c>
      <c r="N115" s="65">
        <v>409.47</v>
      </c>
      <c r="O115" s="65">
        <v>96.46</v>
      </c>
      <c r="P115" s="65">
        <v>135.38999999999999</v>
      </c>
      <c r="Q115" s="65">
        <v>64.89</v>
      </c>
      <c r="R115" s="65">
        <v>51.77</v>
      </c>
      <c r="S115" s="65">
        <v>117.54</v>
      </c>
      <c r="T115" s="65">
        <v>37.49</v>
      </c>
      <c r="U115" s="65">
        <v>25.81</v>
      </c>
      <c r="V115" s="65">
        <v>333.35</v>
      </c>
      <c r="W115" s="65">
        <v>136.91999999999999</v>
      </c>
      <c r="X115" s="65"/>
      <c r="Y115" s="65">
        <v>52.44</v>
      </c>
      <c r="Z115" s="65">
        <v>306.08999999999997</v>
      </c>
      <c r="AA115" s="65">
        <v>110.37</v>
      </c>
    </row>
    <row r="116" spans="1:27" ht="15" customHeight="1" x14ac:dyDescent="0.3">
      <c r="A116" s="68">
        <v>45975</v>
      </c>
      <c r="B116" s="65">
        <v>331.11</v>
      </c>
      <c r="C116" s="65">
        <v>131.37</v>
      </c>
      <c r="D116" s="65">
        <v>1002.17</v>
      </c>
      <c r="E116" s="65">
        <v>339.93</v>
      </c>
      <c r="F116" s="65">
        <v>134.38999999999999</v>
      </c>
      <c r="G116" s="65">
        <v>112.82</v>
      </c>
      <c r="H116" s="65">
        <v>246.59</v>
      </c>
      <c r="I116" s="65">
        <v>189.72</v>
      </c>
      <c r="J116" s="65">
        <v>119.09</v>
      </c>
      <c r="K116" s="65">
        <v>174.01</v>
      </c>
      <c r="L116" s="65">
        <v>281.83999999999997</v>
      </c>
      <c r="M116" s="65">
        <v>170.79</v>
      </c>
      <c r="N116" s="65">
        <v>437.15</v>
      </c>
      <c r="O116" s="65">
        <v>96.32</v>
      </c>
      <c r="P116" s="65">
        <v>135.81</v>
      </c>
      <c r="Q116" s="65">
        <v>64.989999999999995</v>
      </c>
      <c r="R116" s="65">
        <v>51.87</v>
      </c>
      <c r="S116" s="65">
        <v>116.84</v>
      </c>
      <c r="T116" s="65">
        <v>37.909999999999997</v>
      </c>
      <c r="U116" s="65">
        <v>26.32</v>
      </c>
      <c r="V116" s="65">
        <v>328.05</v>
      </c>
      <c r="W116" s="65">
        <v>137.63999999999999</v>
      </c>
      <c r="X116" s="65"/>
      <c r="Y116" s="65">
        <v>52.71</v>
      </c>
      <c r="Z116" s="65">
        <v>303.64999999999998</v>
      </c>
      <c r="AA116" s="65">
        <v>111.22</v>
      </c>
    </row>
    <row r="117" spans="1:27" ht="15" customHeight="1" x14ac:dyDescent="0.3">
      <c r="A117" s="68">
        <v>45982</v>
      </c>
      <c r="B117" s="65">
        <v>324.19</v>
      </c>
      <c r="C117" s="65">
        <v>117.43</v>
      </c>
      <c r="D117" s="65">
        <v>961.95</v>
      </c>
      <c r="E117" s="65">
        <v>337.69</v>
      </c>
      <c r="F117" s="65">
        <v>122.67</v>
      </c>
      <c r="G117" s="65">
        <v>109.31</v>
      </c>
      <c r="H117" s="65">
        <v>207.17</v>
      </c>
      <c r="I117" s="65">
        <v>178.45</v>
      </c>
      <c r="J117" s="65">
        <v>121.96</v>
      </c>
      <c r="K117" s="65">
        <v>154.85</v>
      </c>
      <c r="L117" s="65">
        <v>272.18</v>
      </c>
      <c r="M117" s="65">
        <v>159.66</v>
      </c>
      <c r="N117" s="65">
        <v>426.76</v>
      </c>
      <c r="O117" s="65">
        <v>95.57</v>
      </c>
      <c r="P117" s="65">
        <v>135.13999999999999</v>
      </c>
      <c r="Q117" s="65">
        <v>64.41</v>
      </c>
      <c r="R117" s="65">
        <v>50.45</v>
      </c>
      <c r="S117" s="65">
        <v>113.34</v>
      </c>
      <c r="T117" s="65">
        <v>37.15</v>
      </c>
      <c r="U117" s="65">
        <v>26.18</v>
      </c>
      <c r="V117" s="65">
        <v>326.02</v>
      </c>
      <c r="W117" s="65">
        <v>136.75</v>
      </c>
      <c r="X117" s="65"/>
      <c r="Y117" s="65">
        <v>52.57</v>
      </c>
      <c r="Z117" s="65">
        <v>286.33999999999997</v>
      </c>
      <c r="AA117" s="65">
        <v>104.31</v>
      </c>
    </row>
    <row r="118" spans="1:27" ht="15" customHeight="1" x14ac:dyDescent="0.3">
      <c r="A118" s="68">
        <v>45989</v>
      </c>
      <c r="B118" s="65">
        <v>320.13</v>
      </c>
      <c r="C118" s="65">
        <v>130.68</v>
      </c>
      <c r="D118" s="65">
        <v>1054.93</v>
      </c>
      <c r="E118" s="65">
        <v>399.99</v>
      </c>
      <c r="F118" s="65">
        <v>127.29</v>
      </c>
      <c r="G118" s="65">
        <v>117.11</v>
      </c>
      <c r="H118" s="65">
        <v>236.25</v>
      </c>
      <c r="I118" s="65">
        <v>176.58</v>
      </c>
      <c r="J118" s="65">
        <v>124.62</v>
      </c>
      <c r="K118" s="65">
        <v>168.45</v>
      </c>
      <c r="L118" s="65">
        <v>288.45999999999998</v>
      </c>
      <c r="M118" s="65">
        <v>179.61</v>
      </c>
      <c r="N118" s="65">
        <v>433.61</v>
      </c>
      <c r="O118" s="65">
        <v>99.81</v>
      </c>
      <c r="P118" s="65">
        <v>138.62</v>
      </c>
      <c r="Q118" s="65">
        <v>65.81</v>
      </c>
      <c r="R118" s="65">
        <v>52.76</v>
      </c>
      <c r="S118" s="65">
        <v>119.11</v>
      </c>
      <c r="T118" s="65">
        <v>38.42</v>
      </c>
      <c r="U118" s="65">
        <v>26.66</v>
      </c>
      <c r="V118" s="65">
        <v>332.44</v>
      </c>
      <c r="W118" s="65">
        <v>141.96</v>
      </c>
      <c r="X118" s="65"/>
      <c r="Y118" s="65">
        <v>53.8</v>
      </c>
      <c r="Z118" s="65">
        <v>297.3</v>
      </c>
      <c r="AA118" s="65">
        <v>107.58</v>
      </c>
    </row>
    <row r="119" spans="1:27" ht="15" customHeight="1" x14ac:dyDescent="0.3">
      <c r="A119" s="68">
        <v>45996</v>
      </c>
      <c r="B119" s="65">
        <v>346.26</v>
      </c>
      <c r="C119" s="65">
        <v>128.59</v>
      </c>
      <c r="D119" s="65">
        <v>1094.21</v>
      </c>
      <c r="E119" s="65">
        <v>387.36</v>
      </c>
      <c r="F119" s="65">
        <v>128.01</v>
      </c>
      <c r="G119" s="65">
        <v>121</v>
      </c>
      <c r="H119" s="65">
        <v>236.99</v>
      </c>
      <c r="I119" s="65">
        <v>181.98</v>
      </c>
      <c r="J119" s="65">
        <v>124.08</v>
      </c>
      <c r="K119" s="65">
        <v>181.76</v>
      </c>
      <c r="L119" s="65">
        <v>291.63</v>
      </c>
      <c r="M119" s="65">
        <v>188.89</v>
      </c>
      <c r="N119" s="65">
        <v>455.48</v>
      </c>
      <c r="O119" s="65">
        <v>101.56</v>
      </c>
      <c r="P119" s="65">
        <v>136.97</v>
      </c>
      <c r="Q119" s="65">
        <v>65.959999999999994</v>
      </c>
      <c r="R119" s="65">
        <v>53.27</v>
      </c>
      <c r="S119" s="65">
        <v>119.84</v>
      </c>
      <c r="T119" s="65">
        <v>39.020000000000003</v>
      </c>
      <c r="U119" s="65">
        <v>26.77</v>
      </c>
      <c r="V119" s="65">
        <v>329.26</v>
      </c>
      <c r="W119" s="65">
        <v>141.74</v>
      </c>
      <c r="X119" s="65"/>
      <c r="Y119" s="65">
        <v>53.7</v>
      </c>
      <c r="Z119" s="65">
        <v>282.85000000000002</v>
      </c>
      <c r="AA119" s="65">
        <v>100.24</v>
      </c>
    </row>
    <row r="120" spans="1:27" ht="15" customHeight="1" x14ac:dyDescent="0.3">
      <c r="A120" s="68">
        <v>46003</v>
      </c>
      <c r="B120" s="65">
        <v>356.43</v>
      </c>
      <c r="C120" s="65">
        <v>124.76</v>
      </c>
      <c r="D120" s="65">
        <v>1075.68</v>
      </c>
      <c r="E120" s="65">
        <v>357.27</v>
      </c>
      <c r="F120" s="65">
        <v>126.19</v>
      </c>
      <c r="G120" s="65">
        <v>118.95</v>
      </c>
      <c r="H120" s="65">
        <v>240.9</v>
      </c>
      <c r="I120" s="65">
        <v>174.61</v>
      </c>
      <c r="J120" s="65">
        <v>126.22</v>
      </c>
      <c r="K120" s="65">
        <v>183.57</v>
      </c>
      <c r="L120" s="65">
        <v>289.76</v>
      </c>
      <c r="M120" s="65">
        <v>161.16</v>
      </c>
      <c r="N120" s="65">
        <v>452.04</v>
      </c>
      <c r="O120" s="65">
        <v>103.74</v>
      </c>
      <c r="P120" s="65">
        <v>139.19</v>
      </c>
      <c r="Q120" s="65">
        <v>65.88</v>
      </c>
      <c r="R120" s="65">
        <v>52.69</v>
      </c>
      <c r="S120" s="65">
        <v>118.1</v>
      </c>
      <c r="T120" s="65">
        <v>39.44</v>
      </c>
      <c r="U120" s="65">
        <v>27.02</v>
      </c>
      <c r="V120" s="65">
        <v>345.75</v>
      </c>
      <c r="W120" s="65">
        <v>142.52000000000001</v>
      </c>
      <c r="X120" s="65"/>
      <c r="Y120" s="65">
        <v>53.98</v>
      </c>
      <c r="Z120" s="65">
        <v>298.66000000000003</v>
      </c>
      <c r="AA120" s="65">
        <v>95.19</v>
      </c>
    </row>
    <row r="121" spans="1:27" ht="15" customHeight="1" x14ac:dyDescent="0.3">
      <c r="A121" s="68">
        <v>46010</v>
      </c>
      <c r="B121" s="65">
        <v>355.86</v>
      </c>
      <c r="C121" s="65">
        <v>131.12</v>
      </c>
      <c r="D121" s="65">
        <v>1050.97</v>
      </c>
      <c r="E121" s="65">
        <v>337.85</v>
      </c>
      <c r="F121" s="65">
        <v>120.32</v>
      </c>
      <c r="G121" s="65">
        <v>124.11</v>
      </c>
      <c r="H121" s="65">
        <v>265.66000000000003</v>
      </c>
      <c r="I121" s="65">
        <v>180.57</v>
      </c>
      <c r="J121" s="65">
        <v>124.32</v>
      </c>
      <c r="K121" s="65">
        <v>193.38</v>
      </c>
      <c r="L121" s="65">
        <v>286.7</v>
      </c>
      <c r="M121" s="65">
        <v>159.71</v>
      </c>
      <c r="N121" s="65">
        <v>456.2</v>
      </c>
      <c r="O121" s="65">
        <v>102.8</v>
      </c>
      <c r="P121" s="65">
        <v>138.55000000000001</v>
      </c>
      <c r="Q121" s="65">
        <v>66.03</v>
      </c>
      <c r="R121" s="65">
        <v>53.08</v>
      </c>
      <c r="S121" s="65">
        <v>118.53</v>
      </c>
      <c r="T121" s="65">
        <v>39.270000000000003</v>
      </c>
      <c r="U121" s="65">
        <v>26.8</v>
      </c>
      <c r="V121" s="65">
        <v>347.17</v>
      </c>
      <c r="W121" s="65">
        <v>140.83000000000001</v>
      </c>
      <c r="X121" s="65">
        <v>44.15</v>
      </c>
      <c r="Y121" s="65">
        <v>53.8</v>
      </c>
      <c r="Z121" s="65">
        <v>306.02999999999997</v>
      </c>
      <c r="AA121" s="65">
        <v>94.39</v>
      </c>
    </row>
    <row r="122" spans="1:27" ht="15" customHeight="1" x14ac:dyDescent="0.3">
      <c r="A122" s="68">
        <v>46017</v>
      </c>
      <c r="B122" s="65">
        <v>353.8</v>
      </c>
      <c r="C122" s="65">
        <v>131.84</v>
      </c>
      <c r="D122" s="65">
        <v>1067.6199999999999</v>
      </c>
      <c r="E122" s="65">
        <v>350.2</v>
      </c>
      <c r="F122" s="65">
        <v>120.3</v>
      </c>
      <c r="G122" s="65">
        <v>127.49</v>
      </c>
      <c r="H122" s="65">
        <v>284.51</v>
      </c>
      <c r="I122" s="65">
        <v>190.09</v>
      </c>
      <c r="J122" s="65">
        <v>125.76</v>
      </c>
      <c r="K122" s="65">
        <v>188.71</v>
      </c>
      <c r="L122" s="65">
        <v>300.48</v>
      </c>
      <c r="M122" s="65">
        <v>167.46</v>
      </c>
      <c r="N122" s="65">
        <v>462.9</v>
      </c>
      <c r="O122" s="65">
        <v>102.71</v>
      </c>
      <c r="P122" s="65">
        <v>139.28</v>
      </c>
      <c r="Q122" s="65">
        <v>66.73</v>
      </c>
      <c r="R122" s="65">
        <v>53.74</v>
      </c>
      <c r="S122" s="65">
        <v>120.66</v>
      </c>
      <c r="T122" s="65">
        <v>39.53</v>
      </c>
      <c r="U122" s="65">
        <v>26.98</v>
      </c>
      <c r="V122" s="65">
        <v>352.88</v>
      </c>
      <c r="W122" s="65">
        <v>142.56</v>
      </c>
      <c r="X122" s="65">
        <v>44.85</v>
      </c>
      <c r="Y122" s="65">
        <v>54.25</v>
      </c>
      <c r="Z122" s="65">
        <v>313.93</v>
      </c>
      <c r="AA122" s="65">
        <v>94.47</v>
      </c>
    </row>
    <row r="123" spans="1:27" ht="15" customHeight="1" x14ac:dyDescent="0.3">
      <c r="A123" s="68">
        <v>46024</v>
      </c>
      <c r="B123" s="65">
        <v>333.3</v>
      </c>
      <c r="C123" s="65">
        <v>133.6</v>
      </c>
      <c r="D123" s="65">
        <v>1158.22</v>
      </c>
      <c r="E123" s="65">
        <v>345.71</v>
      </c>
      <c r="F123" s="65">
        <v>113.39</v>
      </c>
      <c r="G123" s="65">
        <v>126.98</v>
      </c>
      <c r="H123" s="65">
        <v>315.24</v>
      </c>
      <c r="I123" s="65">
        <v>188.41</v>
      </c>
      <c r="J123" s="65">
        <v>126.1</v>
      </c>
      <c r="K123" s="65">
        <v>167.86</v>
      </c>
      <c r="L123" s="65">
        <v>317.12</v>
      </c>
      <c r="M123" s="65">
        <v>175.49</v>
      </c>
      <c r="N123" s="65">
        <v>452.13</v>
      </c>
      <c r="O123" s="65">
        <v>102.14</v>
      </c>
      <c r="P123" s="65">
        <v>139.29</v>
      </c>
      <c r="Q123" s="65">
        <v>66.180000000000007</v>
      </c>
      <c r="R123" s="65">
        <v>53.12</v>
      </c>
      <c r="S123" s="65">
        <v>118.96</v>
      </c>
      <c r="T123" s="65">
        <v>39.159999999999997</v>
      </c>
      <c r="U123" s="65">
        <v>27.06</v>
      </c>
      <c r="V123" s="65">
        <v>344.41</v>
      </c>
      <c r="W123" s="65">
        <v>142.24</v>
      </c>
      <c r="X123" s="65">
        <v>45.31</v>
      </c>
      <c r="Y123" s="65">
        <v>53.99</v>
      </c>
      <c r="Z123" s="65">
        <v>319.88</v>
      </c>
      <c r="AA123" s="65">
        <v>90.99</v>
      </c>
    </row>
    <row r="124" spans="1:27" ht="15" customHeight="1" x14ac:dyDescent="0.3">
      <c r="A124" s="68">
        <v>46031</v>
      </c>
      <c r="B124" s="65">
        <v>333.95</v>
      </c>
      <c r="C124" s="65">
        <v>122.89</v>
      </c>
      <c r="D124" s="65">
        <v>1267.79</v>
      </c>
      <c r="E124" s="65">
        <v>343.08</v>
      </c>
      <c r="F124" s="65">
        <v>117.65</v>
      </c>
      <c r="G124" s="65">
        <v>139.47999999999999</v>
      </c>
      <c r="H124" s="65">
        <v>344.89</v>
      </c>
      <c r="I124" s="65">
        <v>184.43</v>
      </c>
      <c r="J124" s="65">
        <v>126.44</v>
      </c>
      <c r="K124" s="65">
        <v>177.49</v>
      </c>
      <c r="L124" s="65">
        <v>321.11</v>
      </c>
      <c r="M124" s="65">
        <v>163.47</v>
      </c>
      <c r="N124" s="65">
        <v>463.86</v>
      </c>
      <c r="O124" s="65">
        <v>106.31</v>
      </c>
      <c r="P124" s="65">
        <v>142.21</v>
      </c>
      <c r="Q124" s="65">
        <v>66.78</v>
      </c>
      <c r="R124" s="65">
        <v>54.1</v>
      </c>
      <c r="S124" s="65">
        <v>119.31</v>
      </c>
      <c r="T124" s="65">
        <v>40.17</v>
      </c>
      <c r="U124" s="65">
        <v>27.86</v>
      </c>
      <c r="V124" s="65">
        <v>347.68</v>
      </c>
      <c r="W124" s="65">
        <v>144.69</v>
      </c>
      <c r="X124" s="65">
        <v>44.4</v>
      </c>
      <c r="Y124" s="65">
        <v>54.87</v>
      </c>
      <c r="Z124" s="65">
        <v>320.72000000000003</v>
      </c>
      <c r="AA124" s="65">
        <v>89.46</v>
      </c>
    </row>
    <row r="125" spans="1:27" ht="15" customHeight="1" x14ac:dyDescent="0.3">
      <c r="A125" s="68">
        <v>46038</v>
      </c>
      <c r="B125" s="65">
        <v>296.12</v>
      </c>
      <c r="C125" s="65">
        <v>129.83000000000001</v>
      </c>
      <c r="D125" s="65">
        <v>1352.07</v>
      </c>
      <c r="E125" s="65">
        <v>349.78</v>
      </c>
      <c r="F125" s="65">
        <v>113.47</v>
      </c>
      <c r="G125" s="65">
        <v>156.19999999999999</v>
      </c>
      <c r="H125" s="65">
        <v>362.54</v>
      </c>
      <c r="I125" s="65">
        <v>185.8</v>
      </c>
      <c r="J125" s="65">
        <v>130.16</v>
      </c>
      <c r="K125" s="65">
        <v>170.96</v>
      </c>
      <c r="L125" s="65">
        <v>339.73</v>
      </c>
      <c r="M125" s="65">
        <v>176.81</v>
      </c>
      <c r="N125" s="65">
        <v>441.36</v>
      </c>
      <c r="O125" s="65">
        <v>107.48</v>
      </c>
      <c r="P125" s="65">
        <v>144.06</v>
      </c>
      <c r="Q125" s="65">
        <v>66.48</v>
      </c>
      <c r="R125" s="65">
        <v>53.88</v>
      </c>
      <c r="S125" s="65">
        <v>119.28</v>
      </c>
      <c r="T125" s="65">
        <v>39.35</v>
      </c>
      <c r="U125" s="65">
        <v>28.21</v>
      </c>
      <c r="V125" s="65">
        <v>326.33999999999997</v>
      </c>
      <c r="W125" s="65">
        <v>146.28</v>
      </c>
      <c r="X125" s="65">
        <v>45.69</v>
      </c>
      <c r="Y125" s="65">
        <v>55.02</v>
      </c>
      <c r="Z125" s="65">
        <v>324.24</v>
      </c>
      <c r="AA125" s="65">
        <v>88</v>
      </c>
    </row>
    <row r="126" spans="1:27" ht="15" customHeight="1" x14ac:dyDescent="0.3">
      <c r="A126" s="68">
        <v>46045</v>
      </c>
      <c r="B126" s="65">
        <v>301.07</v>
      </c>
      <c r="C126" s="65">
        <v>136.34</v>
      </c>
      <c r="D126" s="65">
        <v>1382.4</v>
      </c>
      <c r="E126" s="65">
        <v>318.3</v>
      </c>
      <c r="F126" s="65">
        <v>113.12</v>
      </c>
      <c r="G126" s="65">
        <v>150.72</v>
      </c>
      <c r="H126" s="65">
        <v>399.42</v>
      </c>
      <c r="I126" s="65">
        <v>187.23</v>
      </c>
      <c r="J126" s="65">
        <v>124.24</v>
      </c>
      <c r="K126" s="65">
        <v>169.6</v>
      </c>
      <c r="L126" s="65">
        <v>332.26</v>
      </c>
      <c r="M126" s="65">
        <v>182.36</v>
      </c>
      <c r="N126" s="65">
        <v>468.41</v>
      </c>
      <c r="O126" s="65">
        <v>107.46</v>
      </c>
      <c r="P126" s="65">
        <v>144.41999999999999</v>
      </c>
      <c r="Q126" s="65">
        <v>66.459999999999994</v>
      </c>
      <c r="R126" s="65">
        <v>54.16</v>
      </c>
      <c r="S126" s="65">
        <v>117.22</v>
      </c>
      <c r="T126" s="65">
        <v>39.6</v>
      </c>
      <c r="U126" s="65">
        <v>28.44</v>
      </c>
      <c r="V126" s="65">
        <v>324.23</v>
      </c>
      <c r="W126" s="65">
        <v>145.12</v>
      </c>
      <c r="X126" s="65">
        <v>46.75</v>
      </c>
      <c r="Y126" s="65">
        <v>54.99</v>
      </c>
      <c r="Z126" s="65">
        <v>293.08</v>
      </c>
      <c r="AA126" s="65">
        <v>86.12</v>
      </c>
    </row>
    <row r="127" spans="1:27" ht="15" customHeight="1" x14ac:dyDescent="0.3">
      <c r="A127" s="68">
        <v>46052</v>
      </c>
      <c r="B127" s="65">
        <v>293.25</v>
      </c>
      <c r="C127" s="65">
        <v>141.74</v>
      </c>
      <c r="D127" s="65">
        <v>1416.2</v>
      </c>
      <c r="E127" s="65">
        <v>329.48</v>
      </c>
      <c r="F127" s="65">
        <v>110.35</v>
      </c>
      <c r="G127" s="65">
        <v>142.27000000000001</v>
      </c>
      <c r="H127" s="65">
        <v>414.64</v>
      </c>
      <c r="I127" s="65">
        <v>190.68</v>
      </c>
      <c r="J127" s="65">
        <v>127.57</v>
      </c>
      <c r="K127" s="65">
        <v>146.59</v>
      </c>
      <c r="L127" s="65">
        <v>327.98</v>
      </c>
      <c r="M127" s="65">
        <v>186.05</v>
      </c>
      <c r="N127" s="65">
        <v>469.9</v>
      </c>
      <c r="O127" s="65">
        <v>108.24</v>
      </c>
      <c r="P127" s="65">
        <v>146.93</v>
      </c>
      <c r="Q127" s="65">
        <v>66.7</v>
      </c>
      <c r="R127" s="65">
        <v>54.35</v>
      </c>
      <c r="S127" s="65">
        <v>119.15</v>
      </c>
      <c r="T127" s="65">
        <v>39.21</v>
      </c>
      <c r="U127" s="65">
        <v>29.1</v>
      </c>
      <c r="V127" s="65">
        <v>319.91000000000003</v>
      </c>
      <c r="W127" s="65">
        <v>147.35</v>
      </c>
      <c r="X127" s="65">
        <v>47.61</v>
      </c>
      <c r="Y127" s="65">
        <v>55.16</v>
      </c>
      <c r="Z127" s="65">
        <v>305.95999999999998</v>
      </c>
      <c r="AA127" s="65">
        <v>83.49</v>
      </c>
    </row>
    <row r="128" spans="1:27" ht="15" customHeight="1" x14ac:dyDescent="0.3">
      <c r="A128" s="68">
        <v>46059</v>
      </c>
      <c r="B128" s="65">
        <v>268.38</v>
      </c>
      <c r="C128" s="65">
        <v>137.49</v>
      </c>
      <c r="D128" s="65">
        <v>1406.25</v>
      </c>
      <c r="E128" s="65">
        <v>331.1</v>
      </c>
      <c r="F128" s="65">
        <v>98.88</v>
      </c>
      <c r="G128" s="65">
        <v>143.76</v>
      </c>
      <c r="H128" s="65">
        <v>394.46</v>
      </c>
      <c r="I128" s="65">
        <v>184.98</v>
      </c>
      <c r="J128" s="65">
        <v>133.82</v>
      </c>
      <c r="K128" s="65">
        <v>135.9</v>
      </c>
      <c r="L128" s="65">
        <v>346.13</v>
      </c>
      <c r="M128" s="65">
        <v>195.44</v>
      </c>
      <c r="N128" s="65">
        <v>477.92</v>
      </c>
      <c r="O128" s="65">
        <v>114.1</v>
      </c>
      <c r="P128" s="65">
        <v>151.79</v>
      </c>
      <c r="Q128" s="65">
        <v>66.89</v>
      </c>
      <c r="R128" s="65">
        <v>53.51</v>
      </c>
      <c r="S128" s="65">
        <v>119.12</v>
      </c>
      <c r="T128" s="65">
        <v>40.17</v>
      </c>
      <c r="U128" s="65">
        <v>30.71</v>
      </c>
      <c r="V128" s="65">
        <v>329.6</v>
      </c>
      <c r="W128" s="65">
        <v>152.76</v>
      </c>
      <c r="X128" s="65">
        <v>48.53</v>
      </c>
      <c r="Y128" s="65">
        <v>56.01</v>
      </c>
      <c r="Z128" s="65">
        <v>320.13</v>
      </c>
      <c r="AA128" s="65">
        <v>82.2</v>
      </c>
    </row>
    <row r="129" spans="1:27" ht="15" customHeight="1" x14ac:dyDescent="0.3">
      <c r="A129" s="68">
        <v>46066</v>
      </c>
      <c r="B129" s="65">
        <v>263.97000000000003</v>
      </c>
      <c r="C129" s="65">
        <v>141.59</v>
      </c>
      <c r="D129" s="65">
        <v>1401.73</v>
      </c>
      <c r="E129" s="65">
        <v>323.39</v>
      </c>
      <c r="F129" s="65">
        <v>107.41</v>
      </c>
      <c r="G129" s="65">
        <v>145.87</v>
      </c>
      <c r="H129" s="65">
        <v>411.42</v>
      </c>
      <c r="I129" s="65">
        <v>182.38</v>
      </c>
      <c r="J129" s="65">
        <v>135.79</v>
      </c>
      <c r="K129" s="65">
        <v>131.41</v>
      </c>
      <c r="L129" s="65">
        <v>363.5</v>
      </c>
      <c r="M129" s="65">
        <v>234.37</v>
      </c>
      <c r="N129" s="65">
        <v>491.47</v>
      </c>
      <c r="O129" s="65">
        <v>113.81</v>
      </c>
      <c r="P129" s="65">
        <v>154.22999999999999</v>
      </c>
      <c r="Q129" s="65">
        <v>66.31</v>
      </c>
      <c r="R129" s="65">
        <v>53.01</v>
      </c>
      <c r="S129" s="65">
        <v>117.54</v>
      </c>
      <c r="T129" s="65">
        <v>40</v>
      </c>
      <c r="U129" s="65">
        <v>30.85</v>
      </c>
      <c r="V129" s="65">
        <v>312.85000000000002</v>
      </c>
      <c r="W129" s="65">
        <v>152.66</v>
      </c>
      <c r="X129" s="65">
        <v>50.42</v>
      </c>
      <c r="Y129" s="65">
        <v>56.19</v>
      </c>
      <c r="Z129" s="65">
        <v>314.56</v>
      </c>
      <c r="AA129" s="65">
        <v>76.87</v>
      </c>
    </row>
    <row r="130" spans="1:27" ht="15" customHeight="1" x14ac:dyDescent="0.3">
      <c r="A130" s="68">
        <v>46073</v>
      </c>
      <c r="B130" s="65">
        <v>258.61</v>
      </c>
      <c r="C130" s="65">
        <v>132.79</v>
      </c>
      <c r="D130" s="65">
        <v>1464.49</v>
      </c>
      <c r="E130" s="65">
        <v>330.83</v>
      </c>
      <c r="F130" s="65">
        <v>97.15</v>
      </c>
      <c r="G130" s="65">
        <v>149.24</v>
      </c>
      <c r="H130" s="65">
        <v>427.92</v>
      </c>
      <c r="I130" s="65">
        <v>189.38</v>
      </c>
      <c r="J130" s="65">
        <v>138.27000000000001</v>
      </c>
      <c r="K130" s="65">
        <v>135.24</v>
      </c>
      <c r="L130" s="65">
        <v>367.65</v>
      </c>
      <c r="M130" s="65">
        <v>243.58</v>
      </c>
      <c r="N130" s="65">
        <v>476.9</v>
      </c>
      <c r="O130" s="65">
        <v>114.45</v>
      </c>
      <c r="P130" s="65">
        <v>153.13</v>
      </c>
      <c r="Q130" s="65">
        <v>66.760000000000005</v>
      </c>
      <c r="R130" s="65">
        <v>53.6</v>
      </c>
      <c r="S130" s="65">
        <v>119.24</v>
      </c>
      <c r="T130" s="65">
        <v>40.08</v>
      </c>
      <c r="U130" s="65">
        <v>30.85</v>
      </c>
      <c r="V130" s="65">
        <v>319.69</v>
      </c>
      <c r="W130" s="65">
        <v>152.85</v>
      </c>
      <c r="X130" s="65">
        <v>50.57</v>
      </c>
      <c r="Y130" s="65">
        <v>56.37</v>
      </c>
      <c r="Z130" s="65">
        <v>342.29</v>
      </c>
      <c r="AA130" s="65">
        <v>78.67</v>
      </c>
    </row>
    <row r="131" spans="1:27" ht="15" customHeight="1" x14ac:dyDescent="0.3">
      <c r="A131" s="68">
        <v>46080</v>
      </c>
      <c r="B131" s="65">
        <v>262.41000000000003</v>
      </c>
      <c r="C131" s="65">
        <v>133.5</v>
      </c>
      <c r="D131" s="65">
        <v>1445.53</v>
      </c>
      <c r="E131" s="65">
        <v>317.8</v>
      </c>
      <c r="F131" s="65">
        <v>93</v>
      </c>
      <c r="G131" s="65">
        <v>152.09</v>
      </c>
      <c r="H131" s="65">
        <v>412.13</v>
      </c>
      <c r="I131" s="65">
        <v>176.78</v>
      </c>
      <c r="J131" s="65">
        <v>139.31</v>
      </c>
      <c r="K131" s="65">
        <v>137.19</v>
      </c>
      <c r="L131" s="65">
        <v>371.66</v>
      </c>
      <c r="M131" s="65">
        <v>254.71</v>
      </c>
      <c r="N131" s="65">
        <v>496.83</v>
      </c>
      <c r="O131" s="65">
        <v>111.91</v>
      </c>
      <c r="P131" s="65">
        <v>152.62</v>
      </c>
      <c r="Q131" s="65">
        <v>66.38</v>
      </c>
      <c r="R131" s="65">
        <v>53.5</v>
      </c>
      <c r="S131" s="65">
        <v>118.76</v>
      </c>
      <c r="T131" s="65">
        <v>40.22</v>
      </c>
      <c r="U131" s="65">
        <v>31.01</v>
      </c>
      <c r="V131" s="65">
        <v>318.89</v>
      </c>
      <c r="W131" s="65">
        <v>152.35</v>
      </c>
      <c r="X131" s="65">
        <v>51.08</v>
      </c>
      <c r="Y131" s="65">
        <v>56.73</v>
      </c>
      <c r="Z131" s="65">
        <v>341.34</v>
      </c>
      <c r="AA131" s="65">
        <v>96.24</v>
      </c>
    </row>
    <row r="132" spans="1:27" ht="15" customHeight="1" x14ac:dyDescent="0.3">
      <c r="A132" s="68">
        <v>46087</v>
      </c>
      <c r="B132" s="65">
        <v>283.62</v>
      </c>
      <c r="C132" s="65">
        <v>132.88999999999999</v>
      </c>
      <c r="D132" s="65">
        <v>1288.32</v>
      </c>
      <c r="E132" s="65">
        <v>328.67</v>
      </c>
      <c r="F132" s="65">
        <v>107.25</v>
      </c>
      <c r="G132" s="65">
        <v>134.13</v>
      </c>
      <c r="H132" s="65">
        <v>370.09</v>
      </c>
      <c r="I132" s="65">
        <v>177.4</v>
      </c>
      <c r="J132" s="65">
        <v>131.46</v>
      </c>
      <c r="K132" s="65">
        <v>157.16</v>
      </c>
      <c r="L132" s="65">
        <v>336.25</v>
      </c>
      <c r="M132" s="65">
        <v>241.61</v>
      </c>
      <c r="N132" s="65">
        <v>456.69</v>
      </c>
      <c r="O132" s="65">
        <v>107.62</v>
      </c>
      <c r="P132" s="65">
        <v>148.85</v>
      </c>
      <c r="Q132" s="65">
        <v>65.63</v>
      </c>
      <c r="R132" s="65">
        <v>52.86</v>
      </c>
      <c r="S132" s="65">
        <v>117.53</v>
      </c>
      <c r="T132" s="65">
        <v>39.85</v>
      </c>
      <c r="U132" s="65">
        <v>30.38</v>
      </c>
      <c r="V132" s="65">
        <v>316.12</v>
      </c>
      <c r="W132" s="65">
        <v>148.11000000000001</v>
      </c>
      <c r="X132" s="65">
        <v>51.59</v>
      </c>
      <c r="Y132" s="65">
        <v>55.36</v>
      </c>
      <c r="Z132" s="65">
        <v>322.24</v>
      </c>
      <c r="AA132" s="65">
        <v>99.02</v>
      </c>
    </row>
    <row r="133" spans="1:27" ht="15" customHeight="1" x14ac:dyDescent="0.3">
      <c r="A133" s="68">
        <v>46094</v>
      </c>
      <c r="B133" s="65">
        <v>249.32</v>
      </c>
      <c r="C133" s="65">
        <v>133.57</v>
      </c>
      <c r="D133" s="65">
        <v>1341.02</v>
      </c>
      <c r="E133" s="65">
        <v>320.39</v>
      </c>
      <c r="F133" s="65">
        <v>110.44</v>
      </c>
      <c r="G133" s="65">
        <v>141.52000000000001</v>
      </c>
      <c r="H133" s="65">
        <v>425.89</v>
      </c>
      <c r="I133" s="65">
        <v>179.84</v>
      </c>
      <c r="J133" s="65">
        <v>128.72999999999999</v>
      </c>
      <c r="K133" s="65">
        <v>150.94999999999999</v>
      </c>
      <c r="L133" s="65">
        <v>335.67</v>
      </c>
      <c r="M133" s="65">
        <v>258.7</v>
      </c>
      <c r="N133" s="65">
        <v>469.34</v>
      </c>
      <c r="O133" s="65">
        <v>105.56</v>
      </c>
      <c r="P133" s="65">
        <v>147.04</v>
      </c>
      <c r="Q133" s="65">
        <v>64.75</v>
      </c>
      <c r="R133" s="65">
        <v>52.59</v>
      </c>
      <c r="S133" s="65">
        <v>115.49</v>
      </c>
      <c r="T133" s="65">
        <v>38.99</v>
      </c>
      <c r="U133" s="65">
        <v>30.06</v>
      </c>
      <c r="V133" s="65">
        <v>305.94</v>
      </c>
      <c r="W133" s="65">
        <v>145.84</v>
      </c>
      <c r="X133" s="65">
        <v>51.37</v>
      </c>
      <c r="Y133" s="65">
        <v>54.41</v>
      </c>
      <c r="Z133" s="65">
        <v>299.32</v>
      </c>
      <c r="AA133" s="65">
        <v>95.31</v>
      </c>
    </row>
    <row r="134" spans="1:27" ht="15" customHeight="1" x14ac:dyDescent="0.3">
      <c r="A134" s="68">
        <v>46101</v>
      </c>
      <c r="B134" s="65">
        <v>248.15</v>
      </c>
      <c r="C134" s="65">
        <v>131.22</v>
      </c>
      <c r="D134" s="65">
        <v>1312.68</v>
      </c>
      <c r="E134" s="65">
        <v>308.81</v>
      </c>
      <c r="F134" s="65">
        <v>102.25</v>
      </c>
      <c r="G134" s="65">
        <v>149.51</v>
      </c>
      <c r="H134" s="65">
        <v>422.66</v>
      </c>
      <c r="I134" s="65">
        <v>172.31</v>
      </c>
      <c r="J134" s="65">
        <v>126.09</v>
      </c>
      <c r="K134" s="65">
        <v>150.68</v>
      </c>
      <c r="L134" s="65">
        <v>327.58999999999997</v>
      </c>
      <c r="M134" s="65">
        <v>255.76</v>
      </c>
      <c r="N134" s="65">
        <v>454</v>
      </c>
      <c r="O134" s="65">
        <v>105.35</v>
      </c>
      <c r="P134" s="65">
        <v>143.6</v>
      </c>
      <c r="Q134" s="65">
        <v>64.03</v>
      </c>
      <c r="R134" s="65">
        <v>51.85</v>
      </c>
      <c r="S134" s="65">
        <v>113.1</v>
      </c>
      <c r="T134" s="65">
        <v>39.03</v>
      </c>
      <c r="U134" s="65">
        <v>29.66</v>
      </c>
      <c r="V134" s="65">
        <v>300.44</v>
      </c>
      <c r="W134" s="65">
        <v>143.47999999999999</v>
      </c>
      <c r="X134" s="65">
        <v>51.9</v>
      </c>
      <c r="Y134" s="65">
        <v>53.46</v>
      </c>
      <c r="Z134" s="65">
        <v>286.43</v>
      </c>
      <c r="AA134" s="65">
        <v>91.82</v>
      </c>
    </row>
    <row r="135" spans="1:27" ht="15" customHeight="1" x14ac:dyDescent="0.3">
      <c r="A135" s="68">
        <v>46108</v>
      </c>
      <c r="B135" s="65">
        <v>234.84</v>
      </c>
      <c r="C135" s="65">
        <v>120.77</v>
      </c>
      <c r="D135" s="65">
        <v>1297.95</v>
      </c>
      <c r="E135" s="65">
        <v>299.66000000000003</v>
      </c>
      <c r="F135" s="65">
        <v>92.39</v>
      </c>
      <c r="G135" s="65">
        <v>143.97</v>
      </c>
      <c r="H135" s="65">
        <v>357.02</v>
      </c>
      <c r="I135" s="65">
        <v>167.14</v>
      </c>
      <c r="J135" s="65">
        <v>126.96</v>
      </c>
      <c r="K135" s="65">
        <v>143.06</v>
      </c>
      <c r="L135" s="65">
        <v>325.10000000000002</v>
      </c>
      <c r="M135" s="65">
        <v>250.96</v>
      </c>
      <c r="N135" s="65">
        <v>433.07</v>
      </c>
      <c r="O135" s="65">
        <v>108.47</v>
      </c>
      <c r="P135" s="65">
        <v>147.11000000000001</v>
      </c>
      <c r="Q135" s="65">
        <v>63.21</v>
      </c>
      <c r="R135" s="65">
        <v>50.33</v>
      </c>
      <c r="S135" s="65">
        <v>109.96</v>
      </c>
      <c r="T135" s="65">
        <v>38.549999999999997</v>
      </c>
      <c r="U135" s="65">
        <v>29.96</v>
      </c>
      <c r="V135" s="65">
        <v>294.36</v>
      </c>
      <c r="W135" s="65">
        <v>144</v>
      </c>
      <c r="X135" s="65">
        <v>53.27</v>
      </c>
      <c r="Y135" s="65">
        <v>52.94</v>
      </c>
      <c r="Z135" s="65">
        <v>282.45999999999998</v>
      </c>
      <c r="AA135" s="65">
        <v>93.43</v>
      </c>
    </row>
    <row r="136" spans="1:27" ht="15" customHeight="1" x14ac:dyDescent="0.3">
      <c r="A136" s="68">
        <v>46115</v>
      </c>
      <c r="B136" s="65">
        <v>242.92</v>
      </c>
      <c r="C136" s="65">
        <v>126.68</v>
      </c>
      <c r="D136" s="65">
        <v>1312.66</v>
      </c>
      <c r="E136" s="65">
        <v>313.48</v>
      </c>
      <c r="F136" s="65">
        <v>99.78</v>
      </c>
      <c r="G136" s="65">
        <v>151.32</v>
      </c>
      <c r="H136" s="65">
        <v>366.18</v>
      </c>
      <c r="I136" s="65">
        <v>176.99</v>
      </c>
      <c r="J136" s="65">
        <v>131.76</v>
      </c>
      <c r="K136" s="65">
        <v>148.46</v>
      </c>
      <c r="L136" s="65">
        <v>337.34</v>
      </c>
      <c r="M136" s="65">
        <v>261.17</v>
      </c>
      <c r="N136" s="65">
        <v>438.71</v>
      </c>
      <c r="O136" s="65">
        <v>110.65</v>
      </c>
      <c r="P136" s="65">
        <v>149.24</v>
      </c>
      <c r="Q136" s="65">
        <v>63.95</v>
      </c>
      <c r="R136" s="65">
        <v>52.22</v>
      </c>
      <c r="S136" s="65">
        <v>114.38</v>
      </c>
      <c r="T136" s="65">
        <v>39.630000000000003</v>
      </c>
      <c r="U136" s="65">
        <v>30.08</v>
      </c>
      <c r="V136" s="65">
        <v>299.62</v>
      </c>
      <c r="W136" s="65">
        <v>146.38</v>
      </c>
      <c r="X136" s="65">
        <v>52.29</v>
      </c>
      <c r="Y136" s="65">
        <v>54.2</v>
      </c>
      <c r="Z136" s="65">
        <v>280.81</v>
      </c>
      <c r="AA136" s="65">
        <v>98.66</v>
      </c>
    </row>
    <row r="137" spans="1:27" ht="15" customHeight="1" x14ac:dyDescent="0.3">
      <c r="A137" s="68">
        <v>46122</v>
      </c>
      <c r="B137" s="65">
        <v>225.35</v>
      </c>
      <c r="C137" s="65">
        <v>147.35</v>
      </c>
      <c r="D137" s="65">
        <v>1473.15</v>
      </c>
      <c r="E137" s="65">
        <v>370.29</v>
      </c>
      <c r="F137" s="65">
        <v>94.75</v>
      </c>
      <c r="G137" s="65">
        <v>173.31</v>
      </c>
      <c r="H137" s="65">
        <v>420.53</v>
      </c>
      <c r="I137" s="65">
        <v>188.2</v>
      </c>
      <c r="J137" s="65">
        <v>135.13</v>
      </c>
      <c r="K137" s="65">
        <v>128.06</v>
      </c>
      <c r="L137" s="65">
        <v>368.74</v>
      </c>
      <c r="M137" s="65">
        <v>294.98</v>
      </c>
      <c r="N137" s="65">
        <v>436.27</v>
      </c>
      <c r="O137" s="65">
        <v>113.94</v>
      </c>
      <c r="P137" s="65">
        <v>150.01</v>
      </c>
      <c r="Q137" s="65">
        <v>65.25</v>
      </c>
      <c r="R137" s="65">
        <v>54.12</v>
      </c>
      <c r="S137" s="65">
        <v>122.95</v>
      </c>
      <c r="T137" s="65">
        <v>39.46</v>
      </c>
      <c r="U137" s="65">
        <v>30.08</v>
      </c>
      <c r="V137" s="65">
        <v>303.17</v>
      </c>
      <c r="W137" s="65">
        <v>150.29</v>
      </c>
      <c r="X137" s="65">
        <v>52.23</v>
      </c>
      <c r="Y137" s="65">
        <v>55.25</v>
      </c>
      <c r="Z137" s="65">
        <v>307.97000000000003</v>
      </c>
      <c r="AA137" s="65">
        <v>103.01</v>
      </c>
    </row>
    <row r="138" spans="1:27" ht="15" customHeight="1" x14ac:dyDescent="0.3">
      <c r="A138" s="68">
        <v>46129</v>
      </c>
      <c r="B138" s="65">
        <v>244.45</v>
      </c>
      <c r="C138" s="65">
        <v>164.23</v>
      </c>
      <c r="D138" s="65">
        <v>1454.74</v>
      </c>
      <c r="E138" s="65">
        <v>405.16</v>
      </c>
      <c r="F138" s="65">
        <v>105.99</v>
      </c>
      <c r="G138" s="65">
        <v>178.71</v>
      </c>
      <c r="H138" s="65">
        <v>455</v>
      </c>
      <c r="I138" s="65">
        <v>201.22</v>
      </c>
      <c r="J138" s="65">
        <v>142.91999999999999</v>
      </c>
      <c r="K138" s="65">
        <v>146.38999999999999</v>
      </c>
      <c r="L138" s="65">
        <v>368.65</v>
      </c>
      <c r="M138" s="65">
        <v>307.2</v>
      </c>
      <c r="N138" s="65">
        <v>441.2</v>
      </c>
      <c r="O138" s="65">
        <v>116.71</v>
      </c>
      <c r="P138" s="65">
        <v>150.69999999999999</v>
      </c>
      <c r="Q138" s="65">
        <v>66.930000000000007</v>
      </c>
      <c r="R138" s="65">
        <v>55.1</v>
      </c>
      <c r="S138" s="65">
        <v>127.89</v>
      </c>
      <c r="T138" s="65">
        <v>41.57</v>
      </c>
      <c r="U138" s="65">
        <v>30.56</v>
      </c>
      <c r="V138" s="65">
        <v>315.77999999999997</v>
      </c>
      <c r="W138" s="65">
        <v>153.30000000000001</v>
      </c>
      <c r="X138" s="65">
        <v>50.92</v>
      </c>
      <c r="Y138" s="65">
        <v>55.49</v>
      </c>
      <c r="Z138" s="65">
        <v>303.75</v>
      </c>
      <c r="AA138" s="65">
        <v>97.31</v>
      </c>
    </row>
    <row r="139" spans="1:27" ht="15" customHeight="1" x14ac:dyDescent="0.3">
      <c r="A139" s="68">
        <v>46136</v>
      </c>
      <c r="B139" s="65">
        <v>245.44</v>
      </c>
      <c r="C139" s="65">
        <v>176.91</v>
      </c>
      <c r="D139" s="65">
        <v>1452.64</v>
      </c>
      <c r="E139" s="65">
        <v>421.32</v>
      </c>
      <c r="F139" s="65">
        <v>112.03</v>
      </c>
      <c r="G139" s="65">
        <v>193.04</v>
      </c>
      <c r="H139" s="65">
        <v>496.64</v>
      </c>
      <c r="I139" s="65">
        <v>207.8</v>
      </c>
      <c r="J139" s="65">
        <v>139.96</v>
      </c>
      <c r="K139" s="65">
        <v>143.09</v>
      </c>
      <c r="L139" s="65">
        <v>400.45</v>
      </c>
      <c r="M139" s="65">
        <v>323.31</v>
      </c>
      <c r="N139" s="65">
        <v>430.29</v>
      </c>
      <c r="O139" s="65">
        <v>118.14</v>
      </c>
      <c r="P139" s="65">
        <v>149.47999999999999</v>
      </c>
      <c r="Q139" s="65">
        <v>67.08</v>
      </c>
      <c r="R139" s="65">
        <v>55.41</v>
      </c>
      <c r="S139" s="65">
        <v>131.1</v>
      </c>
      <c r="T139" s="65">
        <v>41.34</v>
      </c>
      <c r="U139" s="65">
        <v>30.71</v>
      </c>
      <c r="V139" s="65">
        <v>308.20999999999998</v>
      </c>
      <c r="W139" s="65">
        <v>153.13999999999999</v>
      </c>
      <c r="X139" s="65">
        <v>51.6</v>
      </c>
      <c r="Y139" s="65">
        <v>55.04</v>
      </c>
      <c r="Z139" s="65">
        <v>284.25</v>
      </c>
      <c r="AA139" s="65">
        <v>92.44</v>
      </c>
    </row>
    <row r="140" spans="1:27" ht="15" customHeight="1" x14ac:dyDescent="0.3">
      <c r="A140" s="68">
        <v>46143</v>
      </c>
      <c r="B140" s="65">
        <v>250.71</v>
      </c>
      <c r="C140" s="65">
        <v>172.7</v>
      </c>
      <c r="D140" s="65">
        <v>1425.18</v>
      </c>
      <c r="E140" s="65">
        <v>419.85</v>
      </c>
      <c r="F140" s="65">
        <v>113.91</v>
      </c>
      <c r="G140" s="65">
        <v>172.21</v>
      </c>
      <c r="H140" s="65">
        <v>542.13</v>
      </c>
      <c r="I140" s="65">
        <v>198</v>
      </c>
      <c r="J140" s="65">
        <v>139.29</v>
      </c>
      <c r="K140" s="65">
        <v>144.07</v>
      </c>
      <c r="L140" s="65">
        <v>395.68</v>
      </c>
      <c r="M140" s="65">
        <v>328.16</v>
      </c>
      <c r="N140" s="65">
        <v>423.92</v>
      </c>
      <c r="O140" s="65">
        <v>119.13</v>
      </c>
      <c r="P140" s="65">
        <v>152.16</v>
      </c>
      <c r="Q140" s="65">
        <v>67.349999999999994</v>
      </c>
      <c r="R140" s="65">
        <v>55.85</v>
      </c>
      <c r="S140" s="65">
        <v>134</v>
      </c>
      <c r="T140" s="65">
        <v>42.4</v>
      </c>
      <c r="U140" s="65">
        <v>31.36</v>
      </c>
      <c r="V140" s="65">
        <v>326.74</v>
      </c>
      <c r="W140" s="65">
        <v>154.69</v>
      </c>
      <c r="X140" s="65">
        <v>54.25</v>
      </c>
      <c r="Y140" s="65">
        <v>54.99</v>
      </c>
      <c r="Z140" s="65">
        <v>286.14999999999998</v>
      </c>
      <c r="AA140" s="65">
        <v>92.06</v>
      </c>
    </row>
    <row r="141" spans="1:27" ht="15" customHeight="1" x14ac:dyDescent="0.3">
      <c r="A141" s="68">
        <v>46150</v>
      </c>
      <c r="B141" s="65">
        <v>253.04</v>
      </c>
      <c r="C141" s="65">
        <v>141.77000000000001</v>
      </c>
      <c r="D141" s="65">
        <v>1589.96</v>
      </c>
      <c r="E141" s="65">
        <v>428.54</v>
      </c>
      <c r="F141" s="65">
        <v>131.94</v>
      </c>
      <c r="G141" s="65">
        <v>186.47</v>
      </c>
      <c r="H141" s="65">
        <v>746.7</v>
      </c>
      <c r="I141" s="65">
        <v>214.71</v>
      </c>
      <c r="J141" s="65">
        <v>141.91999999999999</v>
      </c>
      <c r="K141" s="65">
        <v>137.80000000000001</v>
      </c>
      <c r="L141" s="65">
        <v>409.62</v>
      </c>
      <c r="M141" s="65">
        <v>339.82</v>
      </c>
      <c r="N141" s="65">
        <v>429.82</v>
      </c>
      <c r="O141" s="65">
        <v>119.01</v>
      </c>
      <c r="P141" s="65">
        <v>149.85</v>
      </c>
      <c r="Q141" s="65">
        <v>67.48</v>
      </c>
      <c r="R141" s="65">
        <v>56.56</v>
      </c>
      <c r="S141" s="65">
        <v>143.36000000000001</v>
      </c>
      <c r="T141" s="65">
        <v>43.44</v>
      </c>
      <c r="U141" s="65">
        <v>31.12</v>
      </c>
      <c r="V141" s="65">
        <v>317.54000000000002</v>
      </c>
      <c r="W141" s="65">
        <v>153.65</v>
      </c>
      <c r="X141" s="65">
        <v>52.34</v>
      </c>
      <c r="Y141" s="65">
        <v>54.15</v>
      </c>
      <c r="Z141" s="65">
        <v>296.77999999999997</v>
      </c>
      <c r="AA141" s="65">
        <v>87.49</v>
      </c>
    </row>
    <row r="142" spans="1:27" ht="15" customHeight="1" x14ac:dyDescent="0.3">
      <c r="A142" s="68">
        <v>46157</v>
      </c>
      <c r="B142" s="65">
        <v>247.6</v>
      </c>
      <c r="C142" s="65">
        <v>141.97</v>
      </c>
      <c r="D142" s="65">
        <v>1499.87</v>
      </c>
      <c r="E142" s="65">
        <v>423.75</v>
      </c>
      <c r="F142" s="65">
        <v>148.52000000000001</v>
      </c>
      <c r="G142" s="65">
        <v>180</v>
      </c>
      <c r="H142" s="65">
        <v>724.55</v>
      </c>
      <c r="I142" s="65">
        <v>224.81</v>
      </c>
      <c r="J142" s="65">
        <v>138.41999999999999</v>
      </c>
      <c r="K142" s="65">
        <v>133.99</v>
      </c>
      <c r="L142" s="65">
        <v>402.33</v>
      </c>
      <c r="M142" s="65">
        <v>370.77</v>
      </c>
      <c r="N142" s="65">
        <v>436.95</v>
      </c>
      <c r="O142" s="65">
        <v>116.44</v>
      </c>
      <c r="P142" s="65">
        <v>148.55000000000001</v>
      </c>
      <c r="Q142" s="65">
        <v>67.5</v>
      </c>
      <c r="R142" s="65">
        <v>56.71</v>
      </c>
      <c r="S142" s="65">
        <v>143.03</v>
      </c>
      <c r="T142" s="65">
        <v>42.32</v>
      </c>
      <c r="U142" s="65">
        <v>31.22</v>
      </c>
      <c r="V142" s="65">
        <v>325.14999999999998</v>
      </c>
      <c r="W142" s="65">
        <v>153.94999999999999</v>
      </c>
      <c r="X142" s="65">
        <v>54.5</v>
      </c>
      <c r="Y142" s="65">
        <v>54.09</v>
      </c>
      <c r="Z142" s="65">
        <v>281.18</v>
      </c>
      <c r="AA142" s="65">
        <v>87.02</v>
      </c>
    </row>
    <row r="143" spans="1:27" ht="15" customHeight="1" x14ac:dyDescent="0.3">
      <c r="A143" s="68">
        <v>46164</v>
      </c>
      <c r="B143" s="65">
        <v>244.76</v>
      </c>
      <c r="C143" s="65">
        <v>154.03</v>
      </c>
      <c r="D143" s="65">
        <v>1630.79</v>
      </c>
      <c r="E143" s="65">
        <v>412.73</v>
      </c>
      <c r="F143" s="65">
        <v>165.87</v>
      </c>
      <c r="G143" s="65">
        <v>188.62</v>
      </c>
      <c r="H143" s="65">
        <v>750.88</v>
      </c>
      <c r="I143" s="65">
        <v>214.84</v>
      </c>
      <c r="J143" s="65">
        <v>143.71</v>
      </c>
      <c r="K143" s="65">
        <v>136.88</v>
      </c>
      <c r="L143" s="65">
        <v>402.5</v>
      </c>
      <c r="M143" s="65">
        <v>327.31</v>
      </c>
      <c r="N143" s="65">
        <v>434.52</v>
      </c>
      <c r="O143" s="65">
        <v>119.2</v>
      </c>
      <c r="P143" s="65">
        <v>153.27000000000001</v>
      </c>
      <c r="Q143" s="65">
        <v>67.55</v>
      </c>
      <c r="R143" s="65">
        <v>57.13</v>
      </c>
      <c r="S143" s="65">
        <v>144.47999999999999</v>
      </c>
      <c r="T143" s="65">
        <v>44</v>
      </c>
      <c r="U143" s="65">
        <v>32.31</v>
      </c>
      <c r="V143" s="65">
        <v>328.27</v>
      </c>
      <c r="W143" s="65">
        <v>156.85</v>
      </c>
      <c r="X143" s="65">
        <v>54.94</v>
      </c>
      <c r="Y143" s="65">
        <v>54.51</v>
      </c>
      <c r="Z143" s="65">
        <v>302.45999999999998</v>
      </c>
      <c r="AA143" s="65">
        <v>88.6</v>
      </c>
    </row>
    <row r="144" spans="1:27" ht="15" customHeight="1" x14ac:dyDescent="0.3">
      <c r="A144" s="68">
        <v>46171</v>
      </c>
      <c r="B144" s="65">
        <v>259.20999999999998</v>
      </c>
      <c r="C144" s="65">
        <v>159.47</v>
      </c>
      <c r="D144" s="65">
        <v>1610.68</v>
      </c>
      <c r="E144" s="65">
        <v>445.25</v>
      </c>
      <c r="F144" s="65">
        <v>182.75</v>
      </c>
      <c r="G144" s="65">
        <v>191.95</v>
      </c>
      <c r="H144" s="65">
        <v>970.85</v>
      </c>
      <c r="I144" s="65">
        <v>210.66</v>
      </c>
      <c r="J144" s="65">
        <v>141.31</v>
      </c>
      <c r="K144" s="65">
        <v>156.54</v>
      </c>
      <c r="L144" s="65">
        <v>416.36</v>
      </c>
      <c r="M144" s="65">
        <v>315.57</v>
      </c>
      <c r="N144" s="65">
        <v>447.54</v>
      </c>
      <c r="O144" s="65">
        <v>119.22</v>
      </c>
      <c r="P144" s="65">
        <v>152.49</v>
      </c>
      <c r="Q144" s="65">
        <v>67.84</v>
      </c>
      <c r="R144" s="65">
        <v>58.02</v>
      </c>
      <c r="S144" s="65">
        <v>150.11000000000001</v>
      </c>
      <c r="T144" s="65">
        <v>46.38</v>
      </c>
      <c r="U144" s="65">
        <v>31.99</v>
      </c>
      <c r="V144" s="65">
        <v>325.75</v>
      </c>
      <c r="W144" s="65">
        <v>157.34</v>
      </c>
      <c r="X144" s="65">
        <v>51.99</v>
      </c>
      <c r="Y144" s="65">
        <v>54.23</v>
      </c>
      <c r="Z144" s="65">
        <v>323.36</v>
      </c>
      <c r="AA144" s="65">
        <v>86.02</v>
      </c>
    </row>
    <row r="145" spans="1:27" ht="15" customHeight="1" x14ac:dyDescent="0.3">
      <c r="A145" s="68">
        <v>46178</v>
      </c>
      <c r="B145" s="65">
        <v>251.44</v>
      </c>
      <c r="C145" s="65">
        <v>154.27000000000001</v>
      </c>
      <c r="D145" s="65">
        <v>1639.62</v>
      </c>
      <c r="E145" s="65">
        <v>384.42</v>
      </c>
      <c r="F145" s="65">
        <v>167.76</v>
      </c>
      <c r="G145" s="65">
        <v>192.7</v>
      </c>
      <c r="H145" s="65">
        <v>863.88</v>
      </c>
      <c r="I145" s="65">
        <v>204.87</v>
      </c>
      <c r="J145" s="65">
        <v>142.37</v>
      </c>
      <c r="K145" s="65">
        <v>135.53</v>
      </c>
      <c r="L145" s="65">
        <v>413.09</v>
      </c>
      <c r="M145" s="65">
        <v>300.37</v>
      </c>
      <c r="N145" s="65">
        <v>446.83</v>
      </c>
      <c r="O145" s="65">
        <v>118.87</v>
      </c>
      <c r="P145" s="65">
        <v>152.91999999999999</v>
      </c>
      <c r="Q145" s="65">
        <v>67.13</v>
      </c>
      <c r="R145" s="65">
        <v>56.4</v>
      </c>
      <c r="S145" s="65">
        <v>143.82</v>
      </c>
      <c r="T145" s="65">
        <v>45.86</v>
      </c>
      <c r="U145" s="65">
        <v>31.79</v>
      </c>
      <c r="V145" s="65">
        <v>322.97000000000003</v>
      </c>
      <c r="W145" s="65">
        <v>156.4</v>
      </c>
      <c r="X145" s="65">
        <v>53.21</v>
      </c>
      <c r="Y145" s="65">
        <v>54.1</v>
      </c>
      <c r="Z145" s="65">
        <v>327.58999999999997</v>
      </c>
      <c r="AA145" s="65">
        <v>82.18</v>
      </c>
    </row>
    <row r="146" spans="1:27" ht="15" customHeight="1" x14ac:dyDescent="0.3">
      <c r="A146" s="68">
        <v>46185</v>
      </c>
      <c r="B146" s="65">
        <v>204.02</v>
      </c>
      <c r="C146" s="65">
        <v>163.24</v>
      </c>
      <c r="D146" s="65">
        <v>1861.14</v>
      </c>
      <c r="E146" s="65">
        <v>380.77</v>
      </c>
      <c r="F146" s="65">
        <v>170.7</v>
      </c>
      <c r="G146" s="65">
        <v>254.25</v>
      </c>
      <c r="H146" s="65">
        <v>981.46</v>
      </c>
      <c r="I146" s="65">
        <v>204.96</v>
      </c>
      <c r="J146" s="65">
        <v>146.51</v>
      </c>
      <c r="K146" s="65">
        <v>127.99</v>
      </c>
      <c r="L146" s="65">
        <v>422.8</v>
      </c>
      <c r="M146" s="65">
        <v>302.73</v>
      </c>
      <c r="N146" s="65">
        <v>444.93</v>
      </c>
      <c r="O146" s="65">
        <v>123.97</v>
      </c>
      <c r="P146" s="65">
        <v>156.30000000000001</v>
      </c>
      <c r="Q146" s="65">
        <v>67.16</v>
      </c>
      <c r="R146" s="65">
        <v>57.32</v>
      </c>
      <c r="S146" s="65">
        <v>152</v>
      </c>
      <c r="T146" s="65">
        <v>46.14</v>
      </c>
      <c r="U146" s="65">
        <v>32.299999999999997</v>
      </c>
      <c r="V146" s="65">
        <v>321.79000000000002</v>
      </c>
      <c r="W146" s="65">
        <v>158.46</v>
      </c>
      <c r="X146" s="65">
        <v>53.55</v>
      </c>
      <c r="Y146" s="65">
        <v>54.61</v>
      </c>
      <c r="Z146" s="65">
        <v>334.88</v>
      </c>
      <c r="AA146" s="65">
        <v>80.34</v>
      </c>
    </row>
    <row r="147" spans="1:27" ht="15" customHeight="1" x14ac:dyDescent="0.3">
      <c r="A147" s="68">
        <v>46192</v>
      </c>
      <c r="B147" s="65">
        <v>195.16</v>
      </c>
      <c r="C147" s="65">
        <v>169.67</v>
      </c>
      <c r="D147" s="65">
        <v>1927.19</v>
      </c>
      <c r="E147" s="65">
        <v>409.95</v>
      </c>
      <c r="F147" s="65">
        <v>171.21</v>
      </c>
      <c r="G147" s="65">
        <v>259.27</v>
      </c>
      <c r="H147" s="65">
        <v>1133.82</v>
      </c>
      <c r="I147" s="65">
        <v>210.45</v>
      </c>
      <c r="J147" s="65">
        <v>139.43</v>
      </c>
      <c r="K147" s="65">
        <v>128.47</v>
      </c>
      <c r="L147" s="65">
        <v>460.88</v>
      </c>
      <c r="M147" s="65">
        <v>332.97</v>
      </c>
      <c r="N147" s="65">
        <v>451.63</v>
      </c>
      <c r="O147" s="65">
        <v>121.6</v>
      </c>
      <c r="P147" s="65">
        <v>152.05000000000001</v>
      </c>
      <c r="Q147" s="65">
        <v>67.72</v>
      </c>
      <c r="R147" s="65">
        <v>58.74</v>
      </c>
      <c r="S147" s="65">
        <v>159.38999999999999</v>
      </c>
      <c r="T147" s="65">
        <v>45.11</v>
      </c>
      <c r="U147" s="65">
        <v>31.36</v>
      </c>
      <c r="V147" s="65">
        <v>326.63</v>
      </c>
      <c r="W147" s="65">
        <v>157.34</v>
      </c>
      <c r="X147" s="65">
        <v>52.37</v>
      </c>
      <c r="Y147" s="65">
        <v>54.67</v>
      </c>
      <c r="Z147" s="65">
        <v>357.19</v>
      </c>
      <c r="AA147" s="65">
        <v>77.38</v>
      </c>
    </row>
    <row r="148" spans="1:27" ht="15" customHeight="1" x14ac:dyDescent="0.3">
      <c r="A148" s="68">
        <v>46199</v>
      </c>
      <c r="B148" s="65">
        <v>202.73</v>
      </c>
      <c r="C148" s="65">
        <v>157.6</v>
      </c>
      <c r="D148" s="65">
        <v>1792.3</v>
      </c>
      <c r="E148" s="65">
        <v>364.36</v>
      </c>
      <c r="F148" s="65">
        <v>175.27</v>
      </c>
      <c r="G148" s="65">
        <v>248.36</v>
      </c>
      <c r="H148" s="65">
        <v>1132.1600000000001</v>
      </c>
      <c r="I148" s="65">
        <v>192.31</v>
      </c>
      <c r="J148" s="65">
        <v>138.87</v>
      </c>
      <c r="K148" s="65">
        <v>112.93</v>
      </c>
      <c r="L148" s="65">
        <v>431.19</v>
      </c>
      <c r="M148" s="65">
        <v>303.88</v>
      </c>
      <c r="N148" s="65">
        <v>491.34</v>
      </c>
      <c r="O148" s="65">
        <v>124.53</v>
      </c>
      <c r="P148" s="65">
        <v>156.87</v>
      </c>
      <c r="Q148" s="65">
        <v>66.989999999999995</v>
      </c>
      <c r="R148" s="65">
        <v>56.9</v>
      </c>
      <c r="S148" s="65">
        <v>153.94999999999999</v>
      </c>
      <c r="T148" s="65">
        <v>46.04</v>
      </c>
      <c r="U148" s="65">
        <v>31.84</v>
      </c>
      <c r="V148" s="65">
        <v>335.61</v>
      </c>
      <c r="W148" s="65">
        <v>157.35</v>
      </c>
      <c r="X148" s="65">
        <v>54.1</v>
      </c>
      <c r="Y148" s="65">
        <v>54.73</v>
      </c>
      <c r="Z148" s="65">
        <v>368.54</v>
      </c>
      <c r="AA148" s="65">
        <v>73.81</v>
      </c>
    </row>
    <row r="149" spans="1:27" ht="15" customHeight="1" x14ac:dyDescent="0.3">
      <c r="A149" s="68">
        <v>46206</v>
      </c>
      <c r="B149" s="65">
        <v>219.72</v>
      </c>
      <c r="C149" s="65">
        <v>159.99</v>
      </c>
      <c r="D149" s="65">
        <v>1767.03</v>
      </c>
      <c r="E149" s="65">
        <v>359.79</v>
      </c>
      <c r="F149" s="65">
        <v>193.98</v>
      </c>
      <c r="G149" s="65">
        <v>235.28</v>
      </c>
      <c r="H149" s="65">
        <v>975.41</v>
      </c>
      <c r="I149" s="65">
        <v>194.61</v>
      </c>
      <c r="J149" s="65">
        <v>138.33000000000001</v>
      </c>
      <c r="K149" s="65">
        <v>129.30000000000001</v>
      </c>
      <c r="L149" s="65">
        <v>433</v>
      </c>
      <c r="M149" s="65">
        <v>300.45999999999998</v>
      </c>
      <c r="N149" s="65">
        <v>528.04</v>
      </c>
      <c r="O149" s="65">
        <v>123.11</v>
      </c>
      <c r="P149" s="65">
        <v>157.78</v>
      </c>
      <c r="Q149" s="65">
        <v>67.5</v>
      </c>
      <c r="R149" s="65">
        <v>57.47</v>
      </c>
      <c r="S149" s="65">
        <v>150.58000000000001</v>
      </c>
      <c r="T149" s="65">
        <v>46.85</v>
      </c>
      <c r="U149" s="65">
        <v>32.130000000000003</v>
      </c>
      <c r="V149" s="65">
        <v>361.46</v>
      </c>
      <c r="W149" s="65">
        <v>158.6</v>
      </c>
      <c r="X149" s="65">
        <v>53.12</v>
      </c>
      <c r="Y149" s="65">
        <v>55.64</v>
      </c>
      <c r="Z149" s="65">
        <v>377.05</v>
      </c>
      <c r="AA149" s="65">
        <v>77.650000000000006</v>
      </c>
    </row>
    <row r="150" spans="1:27" ht="15" customHeight="1" x14ac:dyDescent="0.3">
      <c r="A150" s="68">
        <v>46213</v>
      </c>
      <c r="B150" s="65">
        <v>223.64</v>
      </c>
      <c r="C150" s="65">
        <v>186.96</v>
      </c>
      <c r="D150" s="65">
        <v>1795</v>
      </c>
      <c r="E150" s="65">
        <v>399.24</v>
      </c>
      <c r="F150" s="65">
        <v>187.18</v>
      </c>
      <c r="G150" s="65">
        <v>231.26</v>
      </c>
      <c r="H150" s="65">
        <v>979.3</v>
      </c>
      <c r="I150" s="65">
        <v>210.72</v>
      </c>
      <c r="J150" s="65">
        <v>139.76</v>
      </c>
      <c r="K150" s="65">
        <v>126.79</v>
      </c>
      <c r="L150" s="65">
        <v>432.95</v>
      </c>
      <c r="M150" s="65">
        <v>318.77999999999997</v>
      </c>
      <c r="N150" s="65">
        <v>485.39</v>
      </c>
      <c r="O150" s="65">
        <v>123.55</v>
      </c>
      <c r="P150" s="65">
        <v>158.15</v>
      </c>
      <c r="Q150" s="65">
        <v>68.239999999999995</v>
      </c>
      <c r="R150" s="65">
        <v>58.55</v>
      </c>
      <c r="S150" s="65">
        <v>153.5</v>
      </c>
      <c r="T150" s="65">
        <v>47.27</v>
      </c>
      <c r="U150" s="65">
        <v>32.14</v>
      </c>
      <c r="V150" s="65">
        <v>348.32</v>
      </c>
      <c r="W150" s="65">
        <v>160.16999999999999</v>
      </c>
      <c r="X150" s="65">
        <v>53.54</v>
      </c>
      <c r="Y150" s="65">
        <v>55.69</v>
      </c>
      <c r="Z150" s="65">
        <v>359.27</v>
      </c>
      <c r="AA150" s="65">
        <v>73.37</v>
      </c>
    </row>
    <row r="151" spans="1:27" ht="15" customHeight="1" x14ac:dyDescent="0.3">
      <c r="A151" s="68">
        <v>46220</v>
      </c>
      <c r="B151" s="65">
        <v>237.25</v>
      </c>
      <c r="C151" s="65">
        <v>168.61</v>
      </c>
      <c r="D151" s="65">
        <v>1745.32</v>
      </c>
      <c r="E151" s="65">
        <v>370.16</v>
      </c>
      <c r="F151" s="65">
        <v>203.08</v>
      </c>
      <c r="G151" s="65">
        <v>212.51</v>
      </c>
      <c r="H151" s="65">
        <v>848.95</v>
      </c>
      <c r="I151" s="65">
        <v>202.58</v>
      </c>
      <c r="J151" s="65">
        <v>148.61000000000001</v>
      </c>
      <c r="K151" s="65">
        <v>132.38</v>
      </c>
      <c r="L151" s="65">
        <v>397.3</v>
      </c>
      <c r="M151" s="65">
        <v>289.49</v>
      </c>
      <c r="N151" s="65">
        <v>485.65</v>
      </c>
      <c r="O151" s="65">
        <v>124.94</v>
      </c>
      <c r="P151" s="65">
        <v>160.51</v>
      </c>
      <c r="Q151" s="65">
        <v>67.61</v>
      </c>
      <c r="R151" s="65">
        <v>56.62</v>
      </c>
      <c r="S151" s="65">
        <v>143.66</v>
      </c>
      <c r="T151" s="65">
        <v>47.68</v>
      </c>
      <c r="U151" s="65">
        <v>32.65</v>
      </c>
      <c r="V151" s="65">
        <v>357.9</v>
      </c>
      <c r="W151" s="65">
        <v>159.28</v>
      </c>
      <c r="X151" s="65">
        <v>54.28</v>
      </c>
      <c r="Y151" s="65">
        <v>55.49</v>
      </c>
      <c r="Z151" s="65">
        <v>348.83</v>
      </c>
      <c r="AA151" s="65">
        <v>68.95</v>
      </c>
    </row>
    <row r="152" spans="1:27" ht="15" customHeight="1" x14ac:dyDescent="0.3">
      <c r="A152" s="68">
        <v>46227</v>
      </c>
      <c r="B152" s="65">
        <v>225.11</v>
      </c>
      <c r="C152" s="65">
        <v>173.99</v>
      </c>
      <c r="D152" s="65">
        <v>1754.82</v>
      </c>
      <c r="E152" s="65">
        <v>381.23</v>
      </c>
      <c r="F152" s="65">
        <v>183.28</v>
      </c>
      <c r="G152" s="65">
        <v>210.28</v>
      </c>
      <c r="H152" s="65">
        <v>920.95</v>
      </c>
      <c r="I152" s="65">
        <v>206.61</v>
      </c>
      <c r="J152" s="65">
        <v>146.47</v>
      </c>
      <c r="K152" s="65">
        <v>122.92</v>
      </c>
      <c r="L152" s="65">
        <v>402.33</v>
      </c>
      <c r="M152" s="65">
        <v>290.29000000000002</v>
      </c>
      <c r="N152" s="65">
        <v>477.36</v>
      </c>
      <c r="O152" s="65">
        <v>124.87</v>
      </c>
      <c r="P152" s="65">
        <v>161.66</v>
      </c>
      <c r="Q152" s="65">
        <v>67.489999999999995</v>
      </c>
      <c r="R152" s="65">
        <v>56.09</v>
      </c>
      <c r="S152" s="65">
        <v>146.27000000000001</v>
      </c>
      <c r="T152" s="65">
        <v>48.01</v>
      </c>
      <c r="U152" s="65">
        <v>33.03</v>
      </c>
      <c r="V152" s="65">
        <v>355.08</v>
      </c>
      <c r="W152" s="65">
        <v>161.33000000000001</v>
      </c>
      <c r="X152" s="65">
        <v>54.27</v>
      </c>
      <c r="Y152" s="65">
        <v>55.73</v>
      </c>
      <c r="Z152" s="65">
        <v>353.73</v>
      </c>
      <c r="AA152" s="65">
        <v>70.09</v>
      </c>
    </row>
    <row r="153" spans="1:27" ht="15" customHeight="1" x14ac:dyDescent="0.3">
      <c r="A153" s="68">
        <v>46234</v>
      </c>
      <c r="B153" s="65">
        <v>250.41</v>
      </c>
      <c r="C153" s="65">
        <v>180.35</v>
      </c>
      <c r="D153" s="65">
        <v>1629</v>
      </c>
      <c r="E153" s="65">
        <v>388.57</v>
      </c>
      <c r="F153" s="65">
        <v>190.86</v>
      </c>
      <c r="G153" s="65">
        <v>182.61</v>
      </c>
      <c r="H153" s="65">
        <v>823.03</v>
      </c>
      <c r="I153" s="65">
        <v>200.53</v>
      </c>
      <c r="J153" s="65">
        <v>143.47</v>
      </c>
      <c r="K153" s="65">
        <v>123.06</v>
      </c>
      <c r="L153" s="65">
        <v>403.17</v>
      </c>
      <c r="M153" s="65">
        <v>241.51</v>
      </c>
      <c r="N153" s="65">
        <v>477.1</v>
      </c>
      <c r="O153" s="65">
        <v>124.87</v>
      </c>
      <c r="P153" s="65">
        <v>159.88999999999999</v>
      </c>
      <c r="Q153" s="88">
        <v>68.36</v>
      </c>
      <c r="R153" s="65">
        <v>56.37</v>
      </c>
      <c r="S153" s="65">
        <v>143.6</v>
      </c>
      <c r="T153" s="65">
        <v>49.61</v>
      </c>
      <c r="U153" s="65">
        <v>33.21</v>
      </c>
      <c r="V153" s="65">
        <v>365.45</v>
      </c>
      <c r="W153" s="65">
        <v>161.07</v>
      </c>
      <c r="X153" s="65">
        <v>53.09</v>
      </c>
      <c r="Y153" s="65">
        <v>56.35</v>
      </c>
      <c r="Z153" s="65">
        <v>360.07</v>
      </c>
      <c r="AA153" s="65">
        <v>71.709999999999994</v>
      </c>
    </row>
    <row r="154" spans="1:27" ht="15" customHeight="1" x14ac:dyDescent="0.3">
      <c r="A154" s="68">
        <v>46241</v>
      </c>
      <c r="B154" s="65">
        <v>265.20999999999998</v>
      </c>
      <c r="C154" s="65">
        <v>188.67</v>
      </c>
      <c r="D154" s="65">
        <v>1740.99</v>
      </c>
      <c r="E154" s="65">
        <v>426.98</v>
      </c>
      <c r="F154" s="65">
        <v>214.42</v>
      </c>
      <c r="G154" s="65">
        <v>197.89</v>
      </c>
      <c r="H154" s="65">
        <v>877.57</v>
      </c>
      <c r="I154" s="65">
        <v>223.71</v>
      </c>
      <c r="J154" s="65">
        <v>139.06</v>
      </c>
      <c r="K154" s="65">
        <v>172.01</v>
      </c>
      <c r="L154" s="65">
        <v>418.92</v>
      </c>
      <c r="M154" s="65">
        <v>272.33</v>
      </c>
      <c r="N154" s="65">
        <v>496.07</v>
      </c>
      <c r="O154" s="65">
        <v>126.47</v>
      </c>
      <c r="P154" s="65">
        <v>160.58000000000001</v>
      </c>
      <c r="Q154" s="65">
        <v>69.77</v>
      </c>
      <c r="R154" s="65">
        <v>58.52</v>
      </c>
      <c r="S154" s="65">
        <v>149.44999999999999</v>
      </c>
      <c r="T154" s="65">
        <v>51.36</v>
      </c>
      <c r="U154" s="65">
        <v>33.630000000000003</v>
      </c>
      <c r="V154" s="65">
        <v>361.83</v>
      </c>
      <c r="W154" s="65">
        <v>164.72</v>
      </c>
      <c r="X154" s="65">
        <v>51.7</v>
      </c>
      <c r="Y154" s="65">
        <v>56.86</v>
      </c>
      <c r="Z154" s="65">
        <v>370.08</v>
      </c>
      <c r="AA154" s="65">
        <v>74.14</v>
      </c>
    </row>
    <row r="155" spans="1:27" ht="15" customHeight="1" x14ac:dyDescent="0.3">
      <c r="A155" s="68">
        <v>46248</v>
      </c>
      <c r="B155" s="65">
        <v>264.02</v>
      </c>
      <c r="C155" s="65">
        <v>198.82</v>
      </c>
      <c r="D155" s="65">
        <v>1844.08</v>
      </c>
      <c r="E155" s="65">
        <v>392.28</v>
      </c>
      <c r="F155" s="65">
        <v>216.95</v>
      </c>
      <c r="G155" s="65">
        <v>203.49</v>
      </c>
      <c r="H155" s="65">
        <v>971.66</v>
      </c>
      <c r="I155" s="65">
        <v>224.91</v>
      </c>
      <c r="J155" s="65">
        <v>139.91999999999999</v>
      </c>
      <c r="K155" s="65">
        <v>174.04</v>
      </c>
      <c r="L155" s="65">
        <v>425.21</v>
      </c>
      <c r="M155" s="65">
        <v>293.77</v>
      </c>
      <c r="N155" s="65">
        <v>505.75</v>
      </c>
      <c r="O155" s="65">
        <v>128.31</v>
      </c>
      <c r="P155" s="65">
        <v>164.15</v>
      </c>
      <c r="Q155" s="88">
        <v>70.06</v>
      </c>
      <c r="R155" s="65">
        <v>59.29</v>
      </c>
      <c r="S155" s="65">
        <v>153.06</v>
      </c>
      <c r="T155" s="65">
        <v>53.6</v>
      </c>
      <c r="U155" s="65">
        <v>34.25</v>
      </c>
      <c r="V155" s="65">
        <v>364.15</v>
      </c>
      <c r="W155" s="65">
        <v>165.6</v>
      </c>
      <c r="X155" s="65">
        <v>53.75</v>
      </c>
      <c r="Y155" s="65">
        <v>57.3</v>
      </c>
      <c r="Z155" s="65">
        <v>368.38</v>
      </c>
      <c r="AA155" s="65">
        <v>78.16</v>
      </c>
    </row>
    <row r="156" spans="1:27" ht="15" customHeight="1" x14ac:dyDescent="0.3">
      <c r="A156" s="68">
        <v>46255</v>
      </c>
      <c r="B156" s="65">
        <v>275.3</v>
      </c>
      <c r="C156" s="65">
        <v>188.65</v>
      </c>
      <c r="D156" s="65">
        <v>1763.76</v>
      </c>
      <c r="E156" s="65">
        <v>367.78</v>
      </c>
      <c r="F156" s="65">
        <v>191.95</v>
      </c>
      <c r="G156" s="65">
        <v>183.99</v>
      </c>
      <c r="H156" s="65">
        <v>966.78</v>
      </c>
      <c r="I156" s="65">
        <v>214.48</v>
      </c>
      <c r="J156" s="65">
        <v>140.68</v>
      </c>
      <c r="K156" s="65">
        <v>179.94</v>
      </c>
      <c r="L156" s="65">
        <v>417.83</v>
      </c>
      <c r="M156" s="65">
        <v>261.89</v>
      </c>
      <c r="N156" s="65">
        <v>548.04999999999995</v>
      </c>
      <c r="O156" s="65">
        <v>126.04</v>
      </c>
      <c r="P156" s="65">
        <v>162.75</v>
      </c>
      <c r="Q156" s="65">
        <v>69.319999999999993</v>
      </c>
      <c r="R156" s="65">
        <v>58.61</v>
      </c>
      <c r="S156" s="65">
        <v>148.49</v>
      </c>
      <c r="T156" s="65">
        <v>55.34</v>
      </c>
      <c r="U156" s="65">
        <v>34.83</v>
      </c>
      <c r="V156" s="65">
        <v>371.04</v>
      </c>
      <c r="W156" s="65">
        <v>164.06</v>
      </c>
      <c r="X156" s="65">
        <v>53.23</v>
      </c>
      <c r="Y156" s="65">
        <v>57.2</v>
      </c>
      <c r="Z156" s="65">
        <v>348.37</v>
      </c>
      <c r="AA156" s="65">
        <v>79.59</v>
      </c>
    </row>
    <row r="157" spans="1:27" ht="15" customHeight="1" x14ac:dyDescent="0.3">
      <c r="A157" s="68">
        <v>46262</v>
      </c>
      <c r="B157" s="65">
        <v>291.52</v>
      </c>
      <c r="C157" s="65">
        <v>195.38</v>
      </c>
      <c r="D157" s="65">
        <v>1696.16</v>
      </c>
      <c r="E157" s="65">
        <v>368.12</v>
      </c>
      <c r="F157" s="65">
        <v>218.4</v>
      </c>
      <c r="G157" s="65">
        <v>175.54</v>
      </c>
      <c r="H157" s="65">
        <v>932.86</v>
      </c>
      <c r="I157" s="65">
        <v>217.31</v>
      </c>
      <c r="J157" s="65">
        <v>139.59</v>
      </c>
      <c r="K157" s="65">
        <v>186.29</v>
      </c>
      <c r="L157" s="65">
        <v>416.4</v>
      </c>
      <c r="M157" s="65">
        <v>257.02</v>
      </c>
      <c r="N157" s="65">
        <v>541.69000000000005</v>
      </c>
      <c r="O157" s="65">
        <v>125.16</v>
      </c>
      <c r="P157" s="65">
        <v>162.46</v>
      </c>
      <c r="Q157" s="65">
        <v>69.599999999999994</v>
      </c>
      <c r="R157" s="65">
        <v>58.92</v>
      </c>
      <c r="S157" s="65">
        <v>146.54</v>
      </c>
      <c r="T157" s="65">
        <v>55.55</v>
      </c>
      <c r="U157" s="65">
        <v>34.619999999999997</v>
      </c>
      <c r="V157" s="65">
        <v>381.6</v>
      </c>
      <c r="W157" s="65">
        <v>163.34</v>
      </c>
      <c r="X157" s="65">
        <v>53.64</v>
      </c>
      <c r="Y157" s="65">
        <v>57.07</v>
      </c>
      <c r="Z157" s="65">
        <v>342.58</v>
      </c>
      <c r="AA157" s="65">
        <v>81.72</v>
      </c>
    </row>
    <row r="158" spans="1:27" ht="15" customHeight="1" x14ac:dyDescent="0.3">
      <c r="A158" s="68">
        <v>46269</v>
      </c>
      <c r="B158" s="65">
        <v>266.51</v>
      </c>
      <c r="C158" s="65">
        <v>193.78</v>
      </c>
      <c r="D158" s="65">
        <v>1714.88</v>
      </c>
      <c r="E158" s="65">
        <v>357.25</v>
      </c>
      <c r="F158" s="65">
        <v>213.1</v>
      </c>
      <c r="G158" s="65">
        <v>185.6</v>
      </c>
      <c r="H158" s="65">
        <v>1016.59</v>
      </c>
      <c r="I158" s="65">
        <v>230.1</v>
      </c>
      <c r="J158" s="65">
        <v>136.26</v>
      </c>
      <c r="K158" s="65">
        <v>174.33</v>
      </c>
      <c r="L158" s="65">
        <v>427.76</v>
      </c>
      <c r="M158" s="65">
        <v>280.45999999999998</v>
      </c>
      <c r="N158" s="65">
        <v>546.12</v>
      </c>
      <c r="O158" s="65">
        <v>126.52</v>
      </c>
      <c r="P158" s="65">
        <v>162.91</v>
      </c>
      <c r="Q158" s="65">
        <v>69.63</v>
      </c>
      <c r="R158" s="65">
        <v>59.32</v>
      </c>
      <c r="S158" s="65">
        <v>149.47999999999999</v>
      </c>
      <c r="T158" s="65">
        <v>55.18</v>
      </c>
      <c r="U158" s="65">
        <v>34.520000000000003</v>
      </c>
      <c r="V158" s="65">
        <v>375.07</v>
      </c>
      <c r="W158" s="65">
        <v>163.32</v>
      </c>
      <c r="X158" s="65">
        <v>53.99</v>
      </c>
      <c r="Y158" s="65">
        <v>56.87</v>
      </c>
      <c r="Z158" s="65">
        <v>337.12</v>
      </c>
      <c r="AA158" s="65">
        <v>78.25</v>
      </c>
    </row>
    <row r="159" spans="1:27" ht="15" customHeight="1" x14ac:dyDescent="0.3">
      <c r="A159" s="68">
        <v>46276</v>
      </c>
      <c r="B159" s="65">
        <v>252.23</v>
      </c>
      <c r="C159" s="65">
        <v>199.59</v>
      </c>
      <c r="D159" s="65">
        <v>1698.3</v>
      </c>
      <c r="E159" s="65">
        <v>361.33</v>
      </c>
      <c r="F159" s="65">
        <v>206.74</v>
      </c>
      <c r="G159" s="65">
        <v>180.64</v>
      </c>
      <c r="H159" s="65">
        <v>975.26</v>
      </c>
      <c r="I159" s="65">
        <v>218.29</v>
      </c>
      <c r="J159" s="65">
        <v>134.68</v>
      </c>
      <c r="K159" s="65">
        <v>167.23</v>
      </c>
      <c r="L159" s="65">
        <v>432.08</v>
      </c>
      <c r="M159" s="65">
        <v>257</v>
      </c>
      <c r="N159" s="65">
        <v>515.44000000000005</v>
      </c>
      <c r="O159" s="65">
        <v>124.5</v>
      </c>
      <c r="P159" s="65">
        <v>161.03</v>
      </c>
      <c r="Q159" s="65">
        <v>69.150000000000006</v>
      </c>
      <c r="R159" s="65">
        <v>59.23</v>
      </c>
      <c r="S159" s="65">
        <v>148.07</v>
      </c>
      <c r="T159" s="65">
        <v>53.88</v>
      </c>
      <c r="U159" s="65">
        <v>33.85</v>
      </c>
      <c r="V159" s="65">
        <v>370.45</v>
      </c>
      <c r="W159" s="65">
        <v>162.02000000000001</v>
      </c>
      <c r="X159" s="65">
        <v>53.36</v>
      </c>
      <c r="Y159" s="65">
        <v>56.31</v>
      </c>
      <c r="Z159" s="65">
        <v>323.66000000000003</v>
      </c>
      <c r="AA159" s="65">
        <v>77.400000000000006</v>
      </c>
    </row>
    <row r="160" spans="1:27" ht="15" customHeight="1" x14ac:dyDescent="0.3">
      <c r="A160" s="68">
        <v>46283</v>
      </c>
      <c r="B160" s="65">
        <v>248.92</v>
      </c>
      <c r="C160" s="65">
        <v>199.39</v>
      </c>
      <c r="D160" s="65">
        <v>1679.92</v>
      </c>
      <c r="E160" s="65">
        <v>356.96</v>
      </c>
      <c r="F160" s="65">
        <v>237.65</v>
      </c>
      <c r="G160" s="65">
        <v>176.99</v>
      </c>
      <c r="H160" s="65">
        <v>1015.8</v>
      </c>
      <c r="I160" s="65">
        <v>222.27</v>
      </c>
      <c r="J160" s="65">
        <v>134.84</v>
      </c>
      <c r="K160" s="65">
        <v>177.64</v>
      </c>
      <c r="L160" s="65">
        <v>434.67</v>
      </c>
      <c r="M160" s="65">
        <v>249.39</v>
      </c>
      <c r="N160" s="65">
        <v>508.34</v>
      </c>
      <c r="O160" s="65">
        <v>121.96</v>
      </c>
      <c r="P160" s="65">
        <v>158.24</v>
      </c>
      <c r="Q160" s="65">
        <v>68.989999999999995</v>
      </c>
      <c r="R160" s="65">
        <v>59.68</v>
      </c>
      <c r="S160" s="65">
        <v>148.97</v>
      </c>
      <c r="T160" s="65">
        <v>53</v>
      </c>
      <c r="U160" s="65">
        <v>33.409999999999997</v>
      </c>
      <c r="V160" s="65">
        <v>368.29</v>
      </c>
      <c r="W160" s="65">
        <v>159.26</v>
      </c>
      <c r="X160" s="65">
        <v>52.81</v>
      </c>
      <c r="Y160" s="65">
        <v>55.9</v>
      </c>
      <c r="Z160" s="65">
        <v>314.27</v>
      </c>
      <c r="AA160" s="65">
        <v>71.790000000000006</v>
      </c>
    </row>
    <row r="161" spans="1:27" ht="15" customHeight="1" x14ac:dyDescent="0.3">
      <c r="A161" s="68">
        <v>46290</v>
      </c>
      <c r="B161" s="65">
        <v>235.47</v>
      </c>
      <c r="C161" s="65">
        <v>206.55</v>
      </c>
      <c r="D161" s="65">
        <v>1743.94</v>
      </c>
      <c r="E161" s="65">
        <v>352.81</v>
      </c>
      <c r="F161" s="65">
        <v>252.13</v>
      </c>
      <c r="G161" s="65">
        <v>187.92</v>
      </c>
      <c r="H161" s="65">
        <v>1082.28</v>
      </c>
      <c r="I161" s="65">
        <v>225.07</v>
      </c>
      <c r="J161" s="65">
        <v>133.05000000000001</v>
      </c>
      <c r="K161" s="65">
        <v>189.67</v>
      </c>
      <c r="L161" s="65">
        <v>450.61</v>
      </c>
      <c r="M161" s="65">
        <v>253.28</v>
      </c>
      <c r="N161" s="65">
        <v>526.19000000000005</v>
      </c>
      <c r="O161" s="65">
        <v>120.41</v>
      </c>
      <c r="P161" s="65">
        <v>154.72999999999999</v>
      </c>
      <c r="Q161" s="65">
        <v>69.58</v>
      </c>
      <c r="R161" s="65">
        <v>60.67</v>
      </c>
      <c r="S161" s="65">
        <v>152.91999999999999</v>
      </c>
      <c r="T161" s="65">
        <v>51.6</v>
      </c>
      <c r="U161" s="65">
        <v>33.21</v>
      </c>
      <c r="V161" s="65">
        <v>367.38</v>
      </c>
      <c r="W161" s="65">
        <v>157.68</v>
      </c>
      <c r="X161" s="65">
        <v>51.1</v>
      </c>
      <c r="Y161" s="65">
        <v>56.42</v>
      </c>
      <c r="Z161" s="65">
        <v>327.08999999999997</v>
      </c>
      <c r="AA161" s="65">
        <v>71.150000000000006</v>
      </c>
    </row>
    <row r="162" spans="1:27" ht="15" customHeight="1" x14ac:dyDescent="0.3">
      <c r="A162" s="68">
        <v>46297</v>
      </c>
      <c r="B162" s="65">
        <v>237.69</v>
      </c>
      <c r="C162" s="65">
        <v>207.35</v>
      </c>
      <c r="D162" s="65">
        <v>1867.31</v>
      </c>
      <c r="E162" s="65">
        <v>355.14</v>
      </c>
      <c r="F162" s="65">
        <v>270.04000000000002</v>
      </c>
      <c r="G162" s="65">
        <v>206.89</v>
      </c>
      <c r="H162" s="65">
        <v>1074.8900000000001</v>
      </c>
      <c r="I162" s="65">
        <v>233.95</v>
      </c>
      <c r="J162" s="65">
        <v>128.91</v>
      </c>
      <c r="K162" s="65">
        <v>188.75</v>
      </c>
      <c r="L162" s="65">
        <v>472.78</v>
      </c>
      <c r="M162" s="65">
        <v>252.18</v>
      </c>
      <c r="N162" s="65">
        <v>504.73</v>
      </c>
      <c r="O162" s="65">
        <v>120.03</v>
      </c>
      <c r="P162" s="65">
        <v>153.05000000000001</v>
      </c>
      <c r="Q162" s="65">
        <v>69.42</v>
      </c>
      <c r="R162" s="65">
        <v>61.04</v>
      </c>
      <c r="S162" s="65">
        <v>153.22999999999999</v>
      </c>
      <c r="T162" s="65">
        <v>51.82</v>
      </c>
      <c r="U162" s="65">
        <v>32.72</v>
      </c>
      <c r="V162" s="65">
        <v>360.66</v>
      </c>
      <c r="W162" s="65">
        <v>156.46</v>
      </c>
      <c r="X162" s="65">
        <v>51.17</v>
      </c>
      <c r="Y162" s="65">
        <v>56.1</v>
      </c>
      <c r="Z162" s="65">
        <v>309.56</v>
      </c>
      <c r="AA162" s="65">
        <v>67.06</v>
      </c>
    </row>
    <row r="163" spans="1:27" ht="15" customHeight="1" x14ac:dyDescent="0.3">
      <c r="A163" s="68"/>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row>
    <row r="164" spans="1:27" ht="15" customHeight="1" x14ac:dyDescent="0.3"/>
    <row r="165" spans="1:27" ht="15" customHeight="1" x14ac:dyDescent="0.35">
      <c r="A165" s="89">
        <f>COUNT(A3:A163)</f>
        <v>160</v>
      </c>
      <c r="B165" s="89" t="s">
        <v>287</v>
      </c>
    </row>
  </sheetData>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2"/>
  <sheetViews>
    <sheetView showGridLines="0" zoomScaleNormal="100" workbookViewId="0">
      <pane ySplit="1" topLeftCell="A15" activePane="bottomLeft" state="frozen"/>
      <selection pane="bottomLeft" activeCell="Q34" sqref="Q34"/>
    </sheetView>
  </sheetViews>
  <sheetFormatPr defaultColWidth="8.6328125" defaultRowHeight="14.5" outlineLevelRow="1" x14ac:dyDescent="0.35"/>
  <cols>
    <col min="1" max="1" width="10" customWidth="1"/>
    <col min="2" max="2" width="18" customWidth="1"/>
    <col min="3" max="3" width="12" customWidth="1"/>
    <col min="5" max="5" width="10.1796875" customWidth="1"/>
    <col min="6" max="6" width="13" customWidth="1"/>
    <col min="7" max="8" width="9" customWidth="1"/>
    <col min="9" max="9" width="7.36328125" customWidth="1"/>
    <col min="10" max="10" width="8" customWidth="1"/>
  </cols>
  <sheetData>
    <row r="1" spans="1:10" ht="31.5" customHeight="1" x14ac:dyDescent="0.35">
      <c r="A1" s="90" t="s">
        <v>82</v>
      </c>
      <c r="B1" s="90" t="s">
        <v>288</v>
      </c>
      <c r="C1" s="90" t="s">
        <v>289</v>
      </c>
      <c r="D1" s="91" t="s">
        <v>290</v>
      </c>
      <c r="E1" s="91" t="s">
        <v>291</v>
      </c>
      <c r="F1" s="90" t="s">
        <v>292</v>
      </c>
      <c r="G1" s="90" t="s">
        <v>293</v>
      </c>
      <c r="H1" s="90" t="s">
        <v>294</v>
      </c>
      <c r="I1" s="90" t="s">
        <v>295</v>
      </c>
      <c r="J1" s="90" t="s">
        <v>296</v>
      </c>
    </row>
    <row r="2" spans="1:10" ht="15" customHeight="1" x14ac:dyDescent="0.35">
      <c r="A2" s="92" t="str">
        <f>IF(Scoring!A3="","",Scoring!A3)</f>
        <v>ADBE</v>
      </c>
      <c r="B2" s="93" t="str">
        <f>IF(Scoring!B3="","",Scoring!B3)</f>
        <v>Adobe Inc.</v>
      </c>
      <c r="C2" s="94">
        <f>IF(Scoring!C3="","",Scoring!C3)</f>
        <v>46295</v>
      </c>
      <c r="D2" s="95">
        <f>IF(Scoring!N3="","",Scoring!N3)</f>
        <v>4.5714285714285721</v>
      </c>
      <c r="E2" s="96">
        <f>IF(Scoring!AF3="","",Scoring!AF3)</f>
        <v>85.8</v>
      </c>
      <c r="F2" s="64" t="str">
        <f>IF(Scoring!AG3&lt;&gt;"",Scoring!AG3,IF(Scoring!AH3="OK","PENDING",""))</f>
        <v>STRONG BUY</v>
      </c>
      <c r="G2" s="64" t="str">
        <f>IF(Scoring!AH3="","",Scoring!AH3)</f>
        <v>OK</v>
      </c>
      <c r="H2" s="64" t="str">
        <f>IF(Scoring!AI3="","",Scoring!AI3)</f>
        <v>OK</v>
      </c>
      <c r="I2" s="64" t="str">
        <f>IF(Scoring!AJ3="","",Scoring!AJ3)</f>
        <v>OK</v>
      </c>
      <c r="J2" s="64" t="str">
        <f>IF(Scoring!AK3="","",Scoring!AK3)</f>
        <v>OK</v>
      </c>
    </row>
    <row r="3" spans="1:10" ht="15" customHeight="1" x14ac:dyDescent="0.35">
      <c r="A3" s="92" t="str">
        <f>IF(Scoring!A4="","",Scoring!A4)</f>
        <v>NVDA</v>
      </c>
      <c r="B3" s="93" t="str">
        <f>IF(Scoring!B4="","",Scoring!B4)</f>
        <v>NVIDIA Corporation</v>
      </c>
      <c r="C3" s="94">
        <f>IF(Scoring!C4="","",Scoring!C4)</f>
        <v>46278</v>
      </c>
      <c r="D3" s="95">
        <f>IF(Scoring!N4="","",Scoring!N4)</f>
        <v>4.2857142857142856</v>
      </c>
      <c r="E3" s="96">
        <f>IF(Scoring!AF4="","",Scoring!AF4)</f>
        <v>89.2</v>
      </c>
      <c r="F3" s="64" t="str">
        <f>IF(Scoring!AG4&lt;&gt;"",Scoring!AG4,IF(Scoring!AH4="OK","PENDING",""))</f>
        <v>STRONG BUY</v>
      </c>
      <c r="G3" s="64" t="str">
        <f>IF(Scoring!AH4="","",Scoring!AH4)</f>
        <v>OK</v>
      </c>
      <c r="H3" s="64" t="str">
        <f>IF(Scoring!AI4="","",Scoring!AI4)</f>
        <v>OK</v>
      </c>
      <c r="I3" s="64" t="str">
        <f>IF(Scoring!AJ4="","",Scoring!AJ4)</f>
        <v>OK</v>
      </c>
      <c r="J3" s="64" t="str">
        <f>IF(Scoring!AK4="","",Scoring!AK4)</f>
        <v>OK</v>
      </c>
    </row>
    <row r="4" spans="1:10" ht="15" customHeight="1" x14ac:dyDescent="0.35">
      <c r="A4" s="92" t="str">
        <f>IF(Scoring!A5="","",Scoring!A5)</f>
        <v>ANET</v>
      </c>
      <c r="B4" s="93" t="str">
        <f>IF(Scoring!B5="","",Scoring!B5)</f>
        <v>Arista Networks</v>
      </c>
      <c r="C4" s="94">
        <f>IF(Scoring!C5="","",Scoring!C5)</f>
        <v>46278</v>
      </c>
      <c r="D4" s="95">
        <f>IF(Scoring!N5="","",Scoring!N5)</f>
        <v>4.2857142857142856</v>
      </c>
      <c r="E4" s="96">
        <f>IF(Scoring!AF5="","",Scoring!AF5)</f>
        <v>81</v>
      </c>
      <c r="F4" s="64" t="str">
        <f>IF(Scoring!AG5&lt;&gt;"",Scoring!AG5,IF(Scoring!AH5="OK","PENDING",""))</f>
        <v>STRONG BUY</v>
      </c>
      <c r="G4" s="64" t="str">
        <f>IF(Scoring!AH5="","",Scoring!AH5)</f>
        <v>OK</v>
      </c>
      <c r="H4" s="64" t="str">
        <f>IF(Scoring!AI5="","",Scoring!AI5)</f>
        <v>OK</v>
      </c>
      <c r="I4" s="64" t="str">
        <f>IF(Scoring!AJ5="","",Scoring!AJ5)</f>
        <v>OK</v>
      </c>
      <c r="J4" s="64" t="str">
        <f>IF(Scoring!AK5="","",Scoring!AK5)</f>
        <v>OK</v>
      </c>
    </row>
    <row r="5" spans="1:10" ht="15" customHeight="1" x14ac:dyDescent="0.35">
      <c r="A5" s="92" t="str">
        <f>IF(Scoring!A6="","",Scoring!A6)</f>
        <v>VEEV</v>
      </c>
      <c r="B5" s="93" t="str">
        <f>IF(Scoring!B6="","",Scoring!B6)</f>
        <v>Veeva Systems Inc.</v>
      </c>
      <c r="C5" s="94">
        <f>IF(Scoring!C6="","",Scoring!C6)</f>
        <v>46297</v>
      </c>
      <c r="D5" s="95">
        <f>IF(Scoring!N6="","",Scoring!N6)</f>
        <v>4.2857142857142856</v>
      </c>
      <c r="E5" s="96">
        <f>IF(Scoring!AF6="","",Scoring!AF6)</f>
        <v>81.599999999999994</v>
      </c>
      <c r="F5" s="64" t="str">
        <f>IF(Scoring!AG6&lt;&gt;"",Scoring!AG6,IF(Scoring!AH6="OK","PENDING",""))</f>
        <v>STRONG BUY</v>
      </c>
      <c r="G5" s="64" t="str">
        <f>IF(Scoring!AH6="","",Scoring!AH6)</f>
        <v>OK</v>
      </c>
      <c r="H5" s="64" t="str">
        <f>IF(Scoring!AI6="","",Scoring!AI6)</f>
        <v>OK</v>
      </c>
      <c r="I5" s="64" t="str">
        <f>IF(Scoring!AJ6="","",Scoring!AJ6)</f>
        <v>OK</v>
      </c>
      <c r="J5" s="64" t="str">
        <f>IF(Scoring!AK6="","",Scoring!AK6)</f>
        <v>OK</v>
      </c>
    </row>
    <row r="6" spans="1:10" ht="15" customHeight="1" x14ac:dyDescent="0.35">
      <c r="A6" s="92" t="str">
        <f>IF(Scoring!A7="","",Scoring!A7)</f>
        <v>TSM</v>
      </c>
      <c r="B6" s="93" t="str">
        <f>IF(Scoring!B7="","",Scoring!B7)</f>
        <v>Taiwan Semiconductor Mfg.</v>
      </c>
      <c r="C6" s="94">
        <f>IF(Scoring!C7="","",Scoring!C7)</f>
        <v>46278</v>
      </c>
      <c r="D6" s="95">
        <f>IF(Scoring!N7="","",Scoring!N7)</f>
        <v>4.2142857142857144</v>
      </c>
      <c r="E6" s="96">
        <f>IF(Scoring!AF7="","",Scoring!AF7)</f>
        <v>84</v>
      </c>
      <c r="F6" s="64" t="str">
        <f>IF(Scoring!AG7&lt;&gt;"",Scoring!AG7,IF(Scoring!AH7="OK","PENDING",""))</f>
        <v>STRONG BUY</v>
      </c>
      <c r="G6" s="64" t="str">
        <f>IF(Scoring!AH7="","",Scoring!AH7)</f>
        <v>OK</v>
      </c>
      <c r="H6" s="64" t="str">
        <f>IF(Scoring!AI7="","",Scoring!AI7)</f>
        <v>OK</v>
      </c>
      <c r="I6" s="64" t="str">
        <f>IF(Scoring!AJ7="","",Scoring!AJ7)</f>
        <v>OK</v>
      </c>
      <c r="J6" s="64" t="str">
        <f>IF(Scoring!AK7="","",Scoring!AK7)</f>
        <v>OK</v>
      </c>
    </row>
    <row r="7" spans="1:10" ht="15" customHeight="1" x14ac:dyDescent="0.35">
      <c r="A7" s="92" t="str">
        <f>IF(Scoring!A8="","",Scoring!A8)</f>
        <v>NFLX</v>
      </c>
      <c r="B7" s="93" t="str">
        <f>IF(Scoring!B8="","",Scoring!B8)</f>
        <v>Netflix, Inc.</v>
      </c>
      <c r="C7" s="94">
        <f>IF(Scoring!C8="","",Scoring!C8)</f>
        <v>46278</v>
      </c>
      <c r="D7" s="95">
        <f>IF(Scoring!N8="","",Scoring!N8)</f>
        <v>4.2142857142857144</v>
      </c>
      <c r="E7" s="96">
        <f>IF(Scoring!AF8="","",Scoring!AF8)</f>
        <v>83.800000000000011</v>
      </c>
      <c r="F7" s="64" t="str">
        <f>IF(Scoring!AG8&lt;&gt;"",Scoring!AG8,IF(Scoring!AH8="OK","PENDING",""))</f>
        <v>STRONG BUY</v>
      </c>
      <c r="G7" s="64" t="str">
        <f>IF(Scoring!AH8="","",Scoring!AH8)</f>
        <v>OK</v>
      </c>
      <c r="H7" s="64" t="str">
        <f>IF(Scoring!AI8="","",Scoring!AI8)</f>
        <v>OK</v>
      </c>
      <c r="I7" s="64" t="str">
        <f>IF(Scoring!AJ8="","",Scoring!AJ8)</f>
        <v>OK</v>
      </c>
      <c r="J7" s="64" t="str">
        <f>IF(Scoring!AK8="","",Scoring!AK8)</f>
        <v>OK</v>
      </c>
    </row>
    <row r="8" spans="1:10" ht="15" hidden="1" customHeight="1" outlineLevel="1" x14ac:dyDescent="0.35">
      <c r="A8" s="92" t="str">
        <f>IF(Scoring!A9="","",Scoring!A9)</f>
        <v>COST</v>
      </c>
      <c r="B8" s="93" t="str">
        <f>IF(Scoring!B9="","",Scoring!B9)</f>
        <v>Costco Wholesale Corp.</v>
      </c>
      <c r="C8" s="94">
        <f>IF(Scoring!C9="","",Scoring!C9)</f>
        <v>46245</v>
      </c>
      <c r="D8" s="95">
        <f>IF(Scoring!N9="","",Scoring!N9)</f>
        <v>4.1428571428571432</v>
      </c>
      <c r="E8" s="96">
        <f>IF(Scoring!AF9="","",Scoring!AF9)</f>
        <v>77.400000000000006</v>
      </c>
      <c r="F8" s="64" t="str">
        <f>IF(Scoring!AG9&lt;&gt;"",Scoring!AG9,IF(Scoring!AH9="OK","PENDING",""))</f>
        <v>BUY</v>
      </c>
      <c r="G8" s="64" t="str">
        <f>IF(Scoring!AH9="","",Scoring!AH9)</f>
        <v>OK</v>
      </c>
      <c r="H8" s="64" t="str">
        <f>IF(Scoring!AI9="","",Scoring!AI9)</f>
        <v>OK</v>
      </c>
      <c r="I8" s="64" t="str">
        <f>IF(Scoring!AJ9="","",Scoring!AJ9)</f>
        <v>OK</v>
      </c>
      <c r="J8" s="64" t="str">
        <f>IF(Scoring!AK9="","",Scoring!AK9)</f>
        <v>OK</v>
      </c>
    </row>
    <row r="9" spans="1:10" ht="15" hidden="1" customHeight="1" outlineLevel="1" x14ac:dyDescent="0.35">
      <c r="A9" s="92" t="str">
        <f>IF(Scoring!A10="","",Scoring!A10)</f>
        <v>GE</v>
      </c>
      <c r="B9" s="93" t="str">
        <f>IF(Scoring!B10="","",Scoring!B10)</f>
        <v>GE Aerospace</v>
      </c>
      <c r="C9" s="94">
        <f>IF(Scoring!C10="","",Scoring!C10)</f>
        <v>46278</v>
      </c>
      <c r="D9" s="95">
        <f>IF(Scoring!N10="","",Scoring!N10)</f>
        <v>4.1428571428571432</v>
      </c>
      <c r="E9" s="96">
        <f>IF(Scoring!AF10="","",Scoring!AF10)</f>
        <v>84.2</v>
      </c>
      <c r="F9" s="64" t="str">
        <f>IF(Scoring!AG10&lt;&gt;"",Scoring!AG10,IF(Scoring!AH10="OK","PENDING",""))</f>
        <v>STRONG BUY</v>
      </c>
      <c r="G9" s="64" t="str">
        <f>IF(Scoring!AH10="","",Scoring!AH10)</f>
        <v>OK</v>
      </c>
      <c r="H9" s="64" t="str">
        <f>IF(Scoring!AI10="","",Scoring!AI10)</f>
        <v>OK</v>
      </c>
      <c r="I9" s="64" t="str">
        <f>IF(Scoring!AJ10="","",Scoring!AJ10)</f>
        <v>OK</v>
      </c>
      <c r="J9" s="64" t="str">
        <f>IF(Scoring!AK10="","",Scoring!AK10)</f>
        <v>OK</v>
      </c>
    </row>
    <row r="10" spans="1:10" ht="15" hidden="1" customHeight="1" outlineLevel="1" x14ac:dyDescent="0.35">
      <c r="A10" s="92" t="str">
        <f>IF(Scoring!A11="","",Scoring!A11)</f>
        <v>PLTR</v>
      </c>
      <c r="B10" s="93" t="str">
        <f>IF(Scoring!B11="","",Scoring!B11)</f>
        <v>Palantir Technologies</v>
      </c>
      <c r="C10" s="94">
        <f>IF(Scoring!C11="","",Scoring!C11)</f>
        <v>46278</v>
      </c>
      <c r="D10" s="95">
        <f>IF(Scoring!N11="","",Scoring!N11)</f>
        <v>4.0714285714285721</v>
      </c>
      <c r="E10" s="96">
        <f>IF(Scoring!AF11="","",Scoring!AF11)</f>
        <v>76.2</v>
      </c>
      <c r="F10" s="64" t="str">
        <f>IF(Scoring!AG11&lt;&gt;"",Scoring!AG11,IF(Scoring!AH11="OK","PENDING",""))</f>
        <v>BUY</v>
      </c>
      <c r="G10" s="64" t="str">
        <f>IF(Scoring!AH11="","",Scoring!AH11)</f>
        <v>OK</v>
      </c>
      <c r="H10" s="64" t="str">
        <f>IF(Scoring!AI11="","",Scoring!AI11)</f>
        <v>OK</v>
      </c>
      <c r="I10" s="64" t="str">
        <f>IF(Scoring!AJ11="","",Scoring!AJ11)</f>
        <v>OK</v>
      </c>
      <c r="J10" s="64" t="str">
        <f>IF(Scoring!AK11="","",Scoring!AK11)</f>
        <v>OK</v>
      </c>
    </row>
    <row r="11" spans="1:10" ht="15" customHeight="1" collapsed="1" x14ac:dyDescent="0.35">
      <c r="A11" s="92" t="str">
        <f>IF(Scoring!A12="","",Scoring!A12)</f>
        <v>PG</v>
      </c>
      <c r="B11" s="93" t="str">
        <f>IF(Scoring!B12="","",Scoring!B12)</f>
        <v>Procter &amp; Gamble Co.</v>
      </c>
      <c r="C11" s="94">
        <f>IF(Scoring!C12="","",Scoring!C12)</f>
        <v>46278</v>
      </c>
      <c r="D11" s="95">
        <f>IF(Scoring!N12="","",Scoring!N12)</f>
        <v>4</v>
      </c>
      <c r="E11" s="96" t="str">
        <f>IF(Scoring!AF12="","",Scoring!AF12)</f>
        <v/>
      </c>
      <c r="F11" s="64" t="str">
        <f>IF(Scoring!AG12&lt;&gt;"",Scoring!AG12,IF(Scoring!AH12="OK","PENDING",""))</f>
        <v>PENDING</v>
      </c>
      <c r="G11" s="64" t="str">
        <f>IF(Scoring!AH12="","",Scoring!AH12)</f>
        <v>OK</v>
      </c>
      <c r="H11" s="64" t="str">
        <f>IF(Scoring!AI12="","",Scoring!AI12)</f>
        <v>OK</v>
      </c>
      <c r="I11" s="64" t="str">
        <f>IF(Scoring!AJ12="","",Scoring!AJ12)</f>
        <v>OK</v>
      </c>
      <c r="J11" s="64" t="str">
        <f>IF(Scoring!AK12="","",Scoring!AK12)</f>
        <v>OK</v>
      </c>
    </row>
    <row r="12" spans="1:10" ht="15" customHeight="1" x14ac:dyDescent="0.35">
      <c r="A12" s="92" t="str">
        <f>IF(Scoring!A13="","",Scoring!A13)</f>
        <v>KGS</v>
      </c>
      <c r="B12" s="93" t="str">
        <f>IF(Scoring!B13="","",Scoring!B13)</f>
        <v>Kodiak Gas Services, Inc.</v>
      </c>
      <c r="C12" s="94">
        <f>IF(Scoring!C13="","",Scoring!C13)</f>
        <v>46276</v>
      </c>
      <c r="D12" s="95">
        <f>IF(Scoring!N13="","",Scoring!N13)</f>
        <v>4</v>
      </c>
      <c r="E12" s="96" t="str">
        <f>IF(Scoring!AF13="","",Scoring!AF13)</f>
        <v/>
      </c>
      <c r="F12" s="64" t="str">
        <f>IF(Scoring!AG13&lt;&gt;"",Scoring!AG13,IF(Scoring!AH13="OK","PENDING",""))</f>
        <v>PENDING</v>
      </c>
      <c r="G12" s="64" t="str">
        <f>IF(Scoring!AH13="","",Scoring!AH13)</f>
        <v>OK</v>
      </c>
      <c r="H12" s="64" t="str">
        <f>IF(Scoring!AI13="","",Scoring!AI13)</f>
        <v>OK</v>
      </c>
      <c r="I12" s="64" t="str">
        <f>IF(Scoring!AJ13="","",Scoring!AJ13)</f>
        <v>OK</v>
      </c>
      <c r="J12" s="64" t="str">
        <f>IF(Scoring!AK13="","",Scoring!AK13)</f>
        <v>OK</v>
      </c>
    </row>
    <row r="13" spans="1:10" ht="15" customHeight="1" x14ac:dyDescent="0.35">
      <c r="A13" s="92" t="str">
        <f>IF(Scoring!A14="","",Scoring!A14)</f>
        <v>PLD</v>
      </c>
      <c r="B13" s="93" t="str">
        <f>IF(Scoring!B14="","",Scoring!B14)</f>
        <v>Prologis Inc. (REIT-adapted)</v>
      </c>
      <c r="C13" s="94">
        <f>IF(Scoring!C14="","",Scoring!C14)</f>
        <v>46295</v>
      </c>
      <c r="D13" s="95">
        <f>IF(Scoring!N14="","",Scoring!N14)</f>
        <v>3.9285714285714288</v>
      </c>
      <c r="E13" s="96">
        <f>IF(Scoring!AF14="","",Scoring!AF14)</f>
        <v>76</v>
      </c>
      <c r="F13" s="64" t="str">
        <f>IF(Scoring!AG14&lt;&gt;"",Scoring!AG14,IF(Scoring!AH14="OK","PENDING",""))</f>
        <v>BUY</v>
      </c>
      <c r="G13" s="64" t="str">
        <f>IF(Scoring!AH14="","",Scoring!AH14)</f>
        <v>OK</v>
      </c>
      <c r="H13" s="64" t="str">
        <f>IF(Scoring!AI14="","",Scoring!AI14)</f>
        <v>OK</v>
      </c>
      <c r="I13" s="64" t="str">
        <f>IF(Scoring!AJ14="","",Scoring!AJ14)</f>
        <v>OK</v>
      </c>
      <c r="J13" s="64" t="str">
        <f>IF(Scoring!AK14="","",Scoring!AK14)</f>
        <v>OK</v>
      </c>
    </row>
    <row r="14" spans="1:10" ht="15" customHeight="1" x14ac:dyDescent="0.35">
      <c r="A14" s="92" t="str">
        <f>IF(Scoring!A15="","",Scoring!A15)</f>
        <v>VRT</v>
      </c>
      <c r="B14" s="93" t="str">
        <f>IF(Scoring!B15="","",Scoring!B15)</f>
        <v>Vertiv Holdings</v>
      </c>
      <c r="C14" s="94">
        <f>IF(Scoring!C15="","",Scoring!C15)</f>
        <v>46278</v>
      </c>
      <c r="D14" s="95">
        <f>IF(Scoring!N15="","",Scoring!N15)</f>
        <v>3.9285714285714288</v>
      </c>
      <c r="E14" s="96">
        <f>IF(Scoring!AF15="","",Scoring!AF15)</f>
        <v>76.8</v>
      </c>
      <c r="F14" s="64" t="str">
        <f>IF(Scoring!AG15&lt;&gt;"",Scoring!AG15,IF(Scoring!AH15="OK","PENDING",""))</f>
        <v>BUY</v>
      </c>
      <c r="G14" s="64" t="str">
        <f>IF(Scoring!AH15="","",Scoring!AH15)</f>
        <v>OK</v>
      </c>
      <c r="H14" s="64" t="str">
        <f>IF(Scoring!AI15="","",Scoring!AI15)</f>
        <v>OK</v>
      </c>
      <c r="I14" s="64" t="str">
        <f>IF(Scoring!AJ15="","",Scoring!AJ15)</f>
        <v>OK</v>
      </c>
      <c r="J14" s="64" t="str">
        <f>IF(Scoring!AK15="","",Scoring!AK15)</f>
        <v>OK</v>
      </c>
    </row>
    <row r="15" spans="1:10" ht="15" customHeight="1" x14ac:dyDescent="0.35">
      <c r="A15" s="92" t="str">
        <f>IF(Scoring!A16="","",Scoring!A16)</f>
        <v>DPZ</v>
      </c>
      <c r="B15" s="93" t="str">
        <f>IF(Scoring!B16="","",Scoring!B16)</f>
        <v>Domino's Pizza Inc.</v>
      </c>
      <c r="C15" s="94">
        <f>IF(Scoring!C16="","",Scoring!C16)</f>
        <v>46278</v>
      </c>
      <c r="D15" s="95">
        <f>IF(Scoring!N16="","",Scoring!N16)</f>
        <v>3.9285714285714288</v>
      </c>
      <c r="E15" s="96" t="str">
        <f>IF(Scoring!AF16="","",Scoring!AF16)</f>
        <v/>
      </c>
      <c r="F15" s="64" t="str">
        <f>IF(Scoring!AG16&lt;&gt;"",Scoring!AG16,IF(Scoring!AH16="OK","PENDING",""))</f>
        <v>PENDING</v>
      </c>
      <c r="G15" s="64" t="str">
        <f>IF(Scoring!AH16="","",Scoring!AH16)</f>
        <v>OK</v>
      </c>
      <c r="H15" s="64" t="str">
        <f>IF(Scoring!AI16="","",Scoring!AI16)</f>
        <v>OK</v>
      </c>
      <c r="I15" s="64" t="str">
        <f>IF(Scoring!AJ16="","",Scoring!AJ16)</f>
        <v>OK</v>
      </c>
      <c r="J15" s="64" t="str">
        <f>IF(Scoring!AK16="","",Scoring!AK16)</f>
        <v>OK</v>
      </c>
    </row>
    <row r="16" spans="1:10" ht="15" customHeight="1" x14ac:dyDescent="0.35">
      <c r="A16" s="92" t="str">
        <f>IF(Scoring!A17="","",Scoring!A17)</f>
        <v>ASML</v>
      </c>
      <c r="B16" s="93" t="str">
        <f>IF(Scoring!B17="","",Scoring!B17)</f>
        <v>ASML Holding</v>
      </c>
      <c r="C16" s="94">
        <f>IF(Scoring!C17="","",Scoring!C17)</f>
        <v>46278</v>
      </c>
      <c r="D16" s="95">
        <f>IF(Scoring!N17="","",Scoring!N17)</f>
        <v>3.8571428571428577</v>
      </c>
      <c r="E16" s="96">
        <f>IF(Scoring!AF17="","",Scoring!AF17)</f>
        <v>77.2</v>
      </c>
      <c r="F16" s="64" t="str">
        <f>IF(Scoring!AG17&lt;&gt;"",Scoring!AG17,IF(Scoring!AH17="OK","PENDING",""))</f>
        <v>BUY</v>
      </c>
      <c r="G16" s="64" t="str">
        <f>IF(Scoring!AH17="","",Scoring!AH17)</f>
        <v>OK</v>
      </c>
      <c r="H16" s="64" t="str">
        <f>IF(Scoring!AI17="","",Scoring!AI17)</f>
        <v>OK</v>
      </c>
      <c r="I16" s="64" t="str">
        <f>IF(Scoring!AJ17="","",Scoring!AJ17)</f>
        <v>OK</v>
      </c>
      <c r="J16" s="64" t="str">
        <f>IF(Scoring!AK17="","",Scoring!AK17)</f>
        <v>OK</v>
      </c>
    </row>
    <row r="17" spans="1:10" ht="15" customHeight="1" x14ac:dyDescent="0.35">
      <c r="A17" s="92" t="str">
        <f>IF(Scoring!A18="","",Scoring!A18)</f>
        <v>YUM</v>
      </c>
      <c r="B17" s="93" t="str">
        <f>IF(Scoring!B18="","",Scoring!B18)</f>
        <v>Yum! Brands Inc.</v>
      </c>
      <c r="C17" s="94">
        <f>IF(Scoring!C18="","",Scoring!C18)</f>
        <v>46278</v>
      </c>
      <c r="D17" s="95">
        <f>IF(Scoring!N18="","",Scoring!N18)</f>
        <v>3.785714285714286</v>
      </c>
      <c r="E17" s="96" t="str">
        <f>IF(Scoring!AF18="","",Scoring!AF18)</f>
        <v/>
      </c>
      <c r="F17" s="64" t="str">
        <f>IF(Scoring!AG18&lt;&gt;"",Scoring!AG18,IF(Scoring!AH18="OK","PENDING",""))</f>
        <v>PENDING</v>
      </c>
      <c r="G17" s="64" t="str">
        <f>IF(Scoring!AH18="","",Scoring!AH18)</f>
        <v>OK</v>
      </c>
      <c r="H17" s="64" t="str">
        <f>IF(Scoring!AI18="","",Scoring!AI18)</f>
        <v>OK</v>
      </c>
      <c r="I17" s="64" t="str">
        <f>IF(Scoring!AJ18="","",Scoring!AJ18)</f>
        <v>OK</v>
      </c>
      <c r="J17" s="64" t="str">
        <f>IF(Scoring!AK18="","",Scoring!AK18)</f>
        <v>OK</v>
      </c>
    </row>
    <row r="18" spans="1:10" ht="15" customHeight="1" x14ac:dyDescent="0.35">
      <c r="A18" s="92" t="str">
        <f>IF(Scoring!A19="","",Scoring!A19)</f>
        <v>KLAC</v>
      </c>
      <c r="B18" s="93" t="str">
        <f>IF(Scoring!B19="","",Scoring!B19)</f>
        <v>KLA Corporation</v>
      </c>
      <c r="C18" s="94">
        <f>IF(Scoring!C19="","",Scoring!C19)</f>
        <v>46278</v>
      </c>
      <c r="D18" s="95">
        <f>IF(Scoring!N19="","",Scoring!N19)</f>
        <v>3.7142857142857149</v>
      </c>
      <c r="E18" s="96">
        <f>IF(Scoring!AF19="","",Scoring!AF19)</f>
        <v>72.600000000000009</v>
      </c>
      <c r="F18" s="64" t="str">
        <f>IF(Scoring!AG19&lt;&gt;"",Scoring!AG19,IF(Scoring!AH19="OK","PENDING",""))</f>
        <v>BUY</v>
      </c>
      <c r="G18" s="64" t="str">
        <f>IF(Scoring!AH19="","",Scoring!AH19)</f>
        <v>OK</v>
      </c>
      <c r="H18" s="64" t="str">
        <f>IF(Scoring!AI19="","",Scoring!AI19)</f>
        <v>OK</v>
      </c>
      <c r="I18" s="64" t="str">
        <f>IF(Scoring!AJ19="","",Scoring!AJ19)</f>
        <v>OK</v>
      </c>
      <c r="J18" s="64" t="str">
        <f>IF(Scoring!AK19="","",Scoring!AK19)</f>
        <v>OK</v>
      </c>
    </row>
    <row r="19" spans="1:10" ht="15" customHeight="1" x14ac:dyDescent="0.35">
      <c r="A19" s="92" t="str">
        <f>IF(Scoring!A20="","",Scoring!A20)</f>
        <v>CMG</v>
      </c>
      <c r="B19" s="93" t="str">
        <f>IF(Scoring!B20="","",Scoring!B20)</f>
        <v>Chipotle Mexican Grill</v>
      </c>
      <c r="C19" s="94">
        <f>IF(Scoring!C20="","",Scoring!C20)</f>
        <v>46245</v>
      </c>
      <c r="D19" s="95">
        <f>IF(Scoring!N20="","",Scoring!N20)</f>
        <v>3.714285714285714</v>
      </c>
      <c r="E19" s="96" t="str">
        <f>IF(Scoring!AF20="","",Scoring!AF20)</f>
        <v/>
      </c>
      <c r="F19" s="64" t="str">
        <f>IF(Scoring!AG20&lt;&gt;"",Scoring!AG20,IF(Scoring!AH20="OK","PENDING",""))</f>
        <v>PENDING</v>
      </c>
      <c r="G19" s="64" t="str">
        <f>IF(Scoring!AH20="","",Scoring!AH20)</f>
        <v>OK</v>
      </c>
      <c r="H19" s="64" t="str">
        <f>IF(Scoring!AI20="","",Scoring!AI20)</f>
        <v>OK</v>
      </c>
      <c r="I19" s="64" t="str">
        <f>IF(Scoring!AJ20="","",Scoring!AJ20)</f>
        <v>OK</v>
      </c>
      <c r="J19" s="64" t="str">
        <f>IF(Scoring!AK20="","",Scoring!AK20)</f>
        <v>OK</v>
      </c>
    </row>
    <row r="20" spans="1:10" ht="15" hidden="1" customHeight="1" outlineLevel="1" x14ac:dyDescent="0.35">
      <c r="A20" s="92" t="str">
        <f>IF(Scoring!A21="","",Scoring!A21)</f>
        <v>AVGO</v>
      </c>
      <c r="B20" s="93" t="str">
        <f>IF(Scoring!B21="","",Scoring!B21)</f>
        <v>Broadcom Inc.</v>
      </c>
      <c r="C20" s="94">
        <f>IF(Scoring!C21="","",Scoring!C21)</f>
        <v>46300</v>
      </c>
      <c r="D20" s="95">
        <f>IF(Scoring!N21="","",Scoring!N21)</f>
        <v>3.6428571428571437</v>
      </c>
      <c r="E20" s="96">
        <f>IF(Scoring!AF21="","",Scoring!AF21)</f>
        <v>74.800000000000011</v>
      </c>
      <c r="F20" s="64" t="str">
        <f>IF(Scoring!AG21&lt;&gt;"",Scoring!AG21,IF(Scoring!AH21="OK","PENDING",""))</f>
        <v>BUY</v>
      </c>
      <c r="G20" s="64" t="str">
        <f>IF(Scoring!AH21="","",Scoring!AH21)</f>
        <v>OK</v>
      </c>
      <c r="H20" s="64" t="str">
        <f>IF(Scoring!AI21="","",Scoring!AI21)</f>
        <v>OK</v>
      </c>
      <c r="I20" s="64" t="str">
        <f>IF(Scoring!AJ21="","",Scoring!AJ21)</f>
        <v>OK</v>
      </c>
      <c r="J20" s="64" t="str">
        <f>IF(Scoring!AK21="","",Scoring!AK21)</f>
        <v>OK</v>
      </c>
    </row>
    <row r="21" spans="1:10" ht="15" hidden="1" customHeight="1" outlineLevel="1" x14ac:dyDescent="0.35">
      <c r="A21" s="92" t="str">
        <f>IF(Scoring!A22="","",Scoring!A22)</f>
        <v>V</v>
      </c>
      <c r="B21" s="93" t="str">
        <f>IF(Scoring!B22="","",Scoring!B22)</f>
        <v>Visa Inc.</v>
      </c>
      <c r="C21" s="94">
        <f>IF(Scoring!C22="","",Scoring!C22)</f>
        <v>46278</v>
      </c>
      <c r="D21" s="95">
        <f>IF(Scoring!N22="","",Scoring!N22)</f>
        <v>3.6428571428571437</v>
      </c>
      <c r="E21" s="96">
        <f>IF(Scoring!AF22="","",Scoring!AF22)</f>
        <v>73.400000000000006</v>
      </c>
      <c r="F21" s="64" t="str">
        <f>IF(Scoring!AG22&lt;&gt;"",Scoring!AG22,IF(Scoring!AH22="OK","PENDING",""))</f>
        <v>BUY</v>
      </c>
      <c r="G21" s="64" t="str">
        <f>IF(Scoring!AH22="","",Scoring!AH22)</f>
        <v>OK</v>
      </c>
      <c r="H21" s="64" t="str">
        <f>IF(Scoring!AI22="","",Scoring!AI22)</f>
        <v>OK</v>
      </c>
      <c r="I21" s="64" t="str">
        <f>IF(Scoring!AJ22="","",Scoring!AJ22)</f>
        <v>OK</v>
      </c>
      <c r="J21" s="64" t="str">
        <f>IF(Scoring!AK22="","",Scoring!AK22)</f>
        <v>OK</v>
      </c>
    </row>
    <row r="22" spans="1:10" ht="15" customHeight="1" collapsed="1" x14ac:dyDescent="0.35">
      <c r="A22" s="92" t="str">
        <f>IF(Scoring!A23="","",Scoring!A23)</f>
        <v>CRWD</v>
      </c>
      <c r="B22" s="93" t="str">
        <f>IF(Scoring!B23="","",Scoring!B23)</f>
        <v>CrowdStrike Holdings</v>
      </c>
      <c r="C22" s="94">
        <f>IF(Scoring!C23="","",Scoring!C23)</f>
        <v>46278</v>
      </c>
      <c r="D22" s="95">
        <f>IF(Scoring!N23="","",Scoring!N23)</f>
        <v>3.5000000000000004</v>
      </c>
      <c r="E22" s="96">
        <f>IF(Scoring!AF23="","",Scoring!AF23)</f>
        <v>63.400000000000006</v>
      </c>
      <c r="F22" s="64" t="str">
        <f>IF(Scoring!AG23&lt;&gt;"",Scoring!AG23,IF(Scoring!AH23="OK","PENDING",""))</f>
        <v>AVOID</v>
      </c>
      <c r="G22" s="64" t="str">
        <f>IF(Scoring!AH23="","",Scoring!AH23)</f>
        <v>OK</v>
      </c>
      <c r="H22" s="64" t="str">
        <f>IF(Scoring!AI23="","",Scoring!AI23)</f>
        <v>OK</v>
      </c>
      <c r="I22" s="64" t="str">
        <f>IF(Scoring!AJ23="","",Scoring!AJ23)</f>
        <v>AVOID</v>
      </c>
      <c r="J22" s="64" t="str">
        <f>IF(Scoring!AK23="","",Scoring!AK23)</f>
        <v>OK</v>
      </c>
    </row>
    <row r="23" spans="1:10" ht="15" hidden="1" customHeight="1" outlineLevel="1" x14ac:dyDescent="0.35">
      <c r="A23" s="92" t="str">
        <f>IF(Scoring!A24="","",Scoring!A24)</f>
        <v>ETN</v>
      </c>
      <c r="B23" s="93" t="str">
        <f>IF(Scoring!B24="","",Scoring!B24)</f>
        <v>Eaton Corporation plc</v>
      </c>
      <c r="C23" s="94">
        <f>IF(Scoring!C24="","",Scoring!C24)</f>
        <v>46247</v>
      </c>
      <c r="D23" s="95">
        <f>IF(Scoring!N24="","",Scoring!N24)</f>
        <v>3.5000000000000004</v>
      </c>
      <c r="E23" s="96" t="str">
        <f>IF(Scoring!AF24="","",Scoring!AF24)</f>
        <v/>
      </c>
      <c r="F23" s="64" t="str">
        <f>IF(Scoring!AG24&lt;&gt;"",Scoring!AG24,IF(Scoring!AH24="OK","PENDING",""))</f>
        <v>PENDING</v>
      </c>
      <c r="G23" s="64" t="str">
        <f>IF(Scoring!AH24="","",Scoring!AH24)</f>
        <v>OK</v>
      </c>
      <c r="H23" s="64" t="str">
        <f>IF(Scoring!AI24="","",Scoring!AI24)</f>
        <v>OK</v>
      </c>
      <c r="I23" s="64" t="str">
        <f>IF(Scoring!AJ24="","",Scoring!AJ24)</f>
        <v>OK</v>
      </c>
      <c r="J23" s="64" t="str">
        <f>IF(Scoring!AK24="","",Scoring!AK24)</f>
        <v>OK</v>
      </c>
    </row>
    <row r="24" spans="1:10" ht="15" hidden="1" customHeight="1" outlineLevel="1" x14ac:dyDescent="0.35">
      <c r="A24" s="92" t="str">
        <f>IF(Scoring!A25="","",Scoring!A25)</f>
        <v>ABT</v>
      </c>
      <c r="B24" s="93" t="str">
        <f>IF(Scoring!B25="","",Scoring!B25)</f>
        <v>Abbott Laboratories</v>
      </c>
      <c r="C24" s="94">
        <f>IF(Scoring!C25="","",Scoring!C25)</f>
        <v>46278</v>
      </c>
      <c r="D24" s="95">
        <f>IF(Scoring!N25="","",Scoring!N25)</f>
        <v>3.5000000000000004</v>
      </c>
      <c r="E24" s="96">
        <f>IF(Scoring!AF25="","",Scoring!AF25)</f>
        <v>70.800000000000011</v>
      </c>
      <c r="F24" s="64" t="str">
        <f>IF(Scoring!AG25&lt;&gt;"",Scoring!AG25,IF(Scoring!AH25="OK","PENDING",""))</f>
        <v>BUY</v>
      </c>
      <c r="G24" s="64" t="str">
        <f>IF(Scoring!AH25="","",Scoring!AH25)</f>
        <v>OK</v>
      </c>
      <c r="H24" s="64" t="str">
        <f>IF(Scoring!AI25="","",Scoring!AI25)</f>
        <v>OK</v>
      </c>
      <c r="I24" s="64" t="str">
        <f>IF(Scoring!AJ25="","",Scoring!AJ25)</f>
        <v>OK</v>
      </c>
      <c r="J24" s="64" t="str">
        <f>IF(Scoring!AK25="","",Scoring!AK25)</f>
        <v>OK</v>
      </c>
    </row>
    <row r="25" spans="1:10" ht="15" hidden="1" customHeight="1" outlineLevel="1" x14ac:dyDescent="0.35">
      <c r="A25" s="92" t="str">
        <f>IF(Scoring!A26="","",Scoring!A26)</f>
        <v>SLB</v>
      </c>
      <c r="B25" s="93" t="str">
        <f>IF(Scoring!B26="","",Scoring!B26)</f>
        <v>SLB N.V.</v>
      </c>
      <c r="C25" s="94">
        <f>IF(Scoring!C26="","",Scoring!C26)</f>
        <v>46278</v>
      </c>
      <c r="D25" s="95">
        <f>IF(Scoring!N26="","",Scoring!N26)</f>
        <v>3.5000000000000004</v>
      </c>
      <c r="E25" s="96">
        <f>IF(Scoring!AF26="","",Scoring!AF26)</f>
        <v>72.400000000000006</v>
      </c>
      <c r="F25" s="64" t="str">
        <f>IF(Scoring!AG26&lt;&gt;"",Scoring!AG26,IF(Scoring!AH26="OK","PENDING",""))</f>
        <v>BUY</v>
      </c>
      <c r="G25" s="64" t="str">
        <f>IF(Scoring!AH26="","",Scoring!AH26)</f>
        <v>OK</v>
      </c>
      <c r="H25" s="64" t="str">
        <f>IF(Scoring!AI26="","",Scoring!AI26)</f>
        <v>OK</v>
      </c>
      <c r="I25" s="64" t="str">
        <f>IF(Scoring!AJ26="","",Scoring!AJ26)</f>
        <v>OK</v>
      </c>
      <c r="J25" s="64" t="str">
        <f>IF(Scoring!AK26="","",Scoring!AK26)</f>
        <v>OK</v>
      </c>
    </row>
    <row r="26" spans="1:10" ht="15" hidden="1" customHeight="1" outlineLevel="1" x14ac:dyDescent="0.35">
      <c r="A26" s="92" t="str">
        <f>IF(Scoring!A27="","",Scoring!A27)</f>
        <v>VRTX</v>
      </c>
      <c r="B26" s="93" t="str">
        <f>IF(Scoring!B27="","",Scoring!B27)</f>
        <v>Vertex Pharmaceuticals</v>
      </c>
      <c r="C26" s="94">
        <f>IF(Scoring!C27="","",Scoring!C27)</f>
        <v>46300</v>
      </c>
      <c r="D26" s="95">
        <f>IF(Scoring!N27="","",Scoring!N27)</f>
        <v>3.4285714285714293</v>
      </c>
      <c r="E26" s="96">
        <f>IF(Scoring!AF27="","",Scoring!AF27)</f>
        <v>70.600000000000009</v>
      </c>
      <c r="F26" s="64" t="str">
        <f>IF(Scoring!AG27&lt;&gt;"",Scoring!AG27,IF(Scoring!AH27="OK","PENDING",""))</f>
        <v>BUY</v>
      </c>
      <c r="G26" s="64" t="str">
        <f>IF(Scoring!AH27="","",Scoring!AH27)</f>
        <v>OK</v>
      </c>
      <c r="H26" s="64" t="str">
        <f>IF(Scoring!AI27="","",Scoring!AI27)</f>
        <v>OK</v>
      </c>
      <c r="I26" s="64" t="str">
        <f>IF(Scoring!AJ27="","",Scoring!AJ27)</f>
        <v>OK</v>
      </c>
      <c r="J26" s="64" t="str">
        <f>IF(Scoring!AK27="","",Scoring!AK27)</f>
        <v>OK</v>
      </c>
    </row>
    <row r="27" spans="1:10" ht="15" customHeight="1" collapsed="1" x14ac:dyDescent="0.35">
      <c r="A27" s="92" t="str">
        <f>IF(Scoring!A28="","",Scoring!A28)</f>
        <v>ETSY</v>
      </c>
      <c r="B27" s="93" t="str">
        <f>IF(Scoring!B28="","",Scoring!B28)</f>
        <v>Etsy Inc.</v>
      </c>
      <c r="C27" s="94">
        <f>IF(Scoring!C28="","",Scoring!C28)</f>
        <v>46246</v>
      </c>
      <c r="D27" s="95">
        <f>IF(Scoring!N28="","",Scoring!N28)</f>
        <v>3.4285714285714288</v>
      </c>
      <c r="E27" s="96" t="str">
        <f>IF(Scoring!AF28="","",Scoring!AF28)</f>
        <v/>
      </c>
      <c r="F27" s="64" t="str">
        <f>IF(Scoring!AG28&lt;&gt;"",Scoring!AG28,IF(Scoring!AH28="OK","PENDING",""))</f>
        <v>PENDING</v>
      </c>
      <c r="G27" s="64" t="str">
        <f>IF(Scoring!AH28="","",Scoring!AH28)</f>
        <v>OK</v>
      </c>
      <c r="H27" s="64" t="str">
        <f>IF(Scoring!AI28="","",Scoring!AI28)</f>
        <v>OK</v>
      </c>
      <c r="I27" s="64" t="str">
        <f>IF(Scoring!AJ28="","",Scoring!AJ28)</f>
        <v>OK</v>
      </c>
      <c r="J27" s="64" t="str">
        <f>IF(Scoring!AK28="","",Scoring!AK28)</f>
        <v>OK</v>
      </c>
    </row>
    <row r="28" spans="1:10" ht="15" hidden="1" customHeight="1" outlineLevel="1" x14ac:dyDescent="0.35">
      <c r="A28" s="92" t="str">
        <f>IF(Scoring!A29="","",Scoring!A29)</f>
        <v>MU</v>
      </c>
      <c r="B28" s="93" t="str">
        <f>IF(Scoring!B29="","",Scoring!B29)</f>
        <v>Micron Technology</v>
      </c>
      <c r="C28" s="94">
        <f>IF(Scoring!C29="","",Scoring!C29)</f>
        <v>46278</v>
      </c>
      <c r="D28" s="95">
        <f>IF(Scoring!N29="","",Scoring!N29)</f>
        <v>3.3571428571428577</v>
      </c>
      <c r="E28" s="96">
        <f>IF(Scoring!AF29="","",Scoring!AF29)</f>
        <v>67.8</v>
      </c>
      <c r="F28" s="64" t="str">
        <f>IF(Scoring!AG29&lt;&gt;"",Scoring!AG29,IF(Scoring!AH29="OK","PENDING",""))</f>
        <v>BUY</v>
      </c>
      <c r="G28" s="64" t="str">
        <f>IF(Scoring!AH29="","",Scoring!AH29)</f>
        <v>OK</v>
      </c>
      <c r="H28" s="64" t="str">
        <f>IF(Scoring!AI29="","",Scoring!AI29)</f>
        <v>OK</v>
      </c>
      <c r="I28" s="64" t="str">
        <f>IF(Scoring!AJ29="","",Scoring!AJ29)</f>
        <v>OK</v>
      </c>
      <c r="J28" s="64" t="str">
        <f>IF(Scoring!AK29="","",Scoring!AK29)</f>
        <v>OK</v>
      </c>
    </row>
    <row r="29" spans="1:10" ht="15" hidden="1" customHeight="1" outlineLevel="1" x14ac:dyDescent="0.35">
      <c r="A29" s="92" t="str">
        <f>IF(Scoring!A30="","",Scoring!A30)</f>
        <v>PH</v>
      </c>
      <c r="B29" s="93" t="str">
        <f>IF(Scoring!B30="","",Scoring!B30)</f>
        <v>Parker-Hannifin Corporation</v>
      </c>
      <c r="C29" s="94">
        <f>IF(Scoring!C30="","",Scoring!C30)</f>
        <v>46247</v>
      </c>
      <c r="D29" s="95">
        <f>IF(Scoring!N30="","",Scoring!N30)</f>
        <v>3.2857142857142856</v>
      </c>
      <c r="E29" s="96" t="str">
        <f>IF(Scoring!AF30="","",Scoring!AF30)</f>
        <v/>
      </c>
      <c r="F29" s="64" t="str">
        <f>IF(Scoring!AG30&lt;&gt;"",Scoring!AG30,IF(Scoring!AH30="OK","PENDING",""))</f>
        <v>PENDING</v>
      </c>
      <c r="G29" s="64" t="str">
        <f>IF(Scoring!AH30="","",Scoring!AH30)</f>
        <v>OK</v>
      </c>
      <c r="H29" s="64" t="str">
        <f>IF(Scoring!AI30="","",Scoring!AI30)</f>
        <v>OK</v>
      </c>
      <c r="I29" s="64" t="str">
        <f>IF(Scoring!AJ30="","",Scoring!AJ30)</f>
        <v>OK</v>
      </c>
      <c r="J29" s="64" t="str">
        <f>IF(Scoring!AK30="","",Scoring!AK30)</f>
        <v>OK</v>
      </c>
    </row>
    <row r="30" spans="1:10" ht="15" hidden="1" customHeight="1" outlineLevel="1" x14ac:dyDescent="0.35">
      <c r="A30" s="92" t="str">
        <f>IF(Scoring!A31="","",Scoring!A31)</f>
        <v>ET</v>
      </c>
      <c r="B30" s="93" t="str">
        <f>IF(Scoring!B31="","",Scoring!B31)</f>
        <v>Energy Transfer LP</v>
      </c>
      <c r="C30" s="94">
        <f>IF(Scoring!C31="","",Scoring!C31)</f>
        <v>46276</v>
      </c>
      <c r="D30" s="95">
        <f>IF(Scoring!N31="","",Scoring!N31)</f>
        <v>3.0714285714285721</v>
      </c>
      <c r="E30" s="96" t="str">
        <f>IF(Scoring!AF31="","",Scoring!AF31)</f>
        <v/>
      </c>
      <c r="F30" s="64" t="str">
        <f>IF(Scoring!AG31&lt;&gt;"",Scoring!AG31,IF(Scoring!AH31="OK","PENDING",""))</f>
        <v>PENDING</v>
      </c>
      <c r="G30" s="64" t="str">
        <f>IF(Scoring!AH31="","",Scoring!AH31)</f>
        <v>OK</v>
      </c>
      <c r="H30" s="64" t="str">
        <f>IF(Scoring!AI31="","",Scoring!AI31)</f>
        <v>REVIEW</v>
      </c>
      <c r="I30" s="64" t="str">
        <f>IF(Scoring!AJ31="","",Scoring!AJ31)</f>
        <v>AVOID</v>
      </c>
      <c r="J30" s="64" t="str">
        <f>IF(Scoring!AK31="","",Scoring!AK31)</f>
        <v>OK</v>
      </c>
    </row>
    <row r="31" spans="1:10" ht="15" customHeight="1" collapsed="1" x14ac:dyDescent="0.35">
      <c r="A31" s="92" t="str">
        <f>IF(Scoring!A32="","",Scoring!A32)</f>
        <v>LIN</v>
      </c>
      <c r="B31" s="93" t="str">
        <f>IF(Scoring!B32="","",Scoring!B32)</f>
        <v>Linde plc</v>
      </c>
      <c r="C31" s="94">
        <f>IF(Scoring!C32="","",Scoring!C32)</f>
        <v>46276</v>
      </c>
      <c r="D31" s="95">
        <f>IF(Scoring!N32="","",Scoring!N32)</f>
        <v>3.0714285714285716</v>
      </c>
      <c r="E31" s="96" t="str">
        <f>IF(Scoring!AF32="","",Scoring!AF32)</f>
        <v/>
      </c>
      <c r="F31" s="64" t="str">
        <f>IF(Scoring!AG32&lt;&gt;"",Scoring!AG32,IF(Scoring!AH32="OK","PENDING",""))</f>
        <v>PENDING</v>
      </c>
      <c r="G31" s="64" t="str">
        <f>IF(Scoring!AH32="","",Scoring!AH32)</f>
        <v>OK</v>
      </c>
      <c r="H31" s="64" t="str">
        <f>IF(Scoring!AI32="","",Scoring!AI32)</f>
        <v>OK</v>
      </c>
      <c r="I31" s="64" t="str">
        <f>IF(Scoring!AJ32="","",Scoring!AJ32)</f>
        <v>AVOID</v>
      </c>
      <c r="J31" s="64" t="str">
        <f>IF(Scoring!AK32="","",Scoring!AK32)</f>
        <v>OK</v>
      </c>
    </row>
    <row r="32" spans="1:10" ht="15" customHeight="1" x14ac:dyDescent="0.35">
      <c r="A32" s="92" t="str">
        <f>IF(Scoring!A33="","",Scoring!A33)</f>
        <v>DIS</v>
      </c>
      <c r="B32" s="93" t="str">
        <f>IF(Scoring!B33="","",Scoring!B33)</f>
        <v>The Walt Disney Company</v>
      </c>
      <c r="C32" s="94">
        <f>IF(Scoring!C33="","",Scoring!C33)</f>
        <v>46258</v>
      </c>
      <c r="D32" s="95">
        <f>IF(Scoring!N33="","",Scoring!N33)</f>
        <v>2.9285714285714284</v>
      </c>
      <c r="E32" s="96" t="str">
        <f>IF(Scoring!AF33="","",Scoring!AF33)</f>
        <v/>
      </c>
      <c r="F32" s="64" t="str">
        <f>IF(Scoring!AG33&lt;&gt;"",Scoring!AG33,IF(Scoring!AH33="OK","PENDING",""))</f>
        <v/>
      </c>
      <c r="G32" s="64" t="str">
        <f>IF(Scoring!AH33="","",Scoring!AH33)</f>
        <v>FAIL</v>
      </c>
      <c r="H32" s="64" t="str">
        <f>IF(Scoring!AI33="","",Scoring!AI33)</f>
        <v>OK</v>
      </c>
      <c r="I32" s="64" t="str">
        <f>IF(Scoring!AJ33="","",Scoring!AJ33)</f>
        <v>AVOID</v>
      </c>
      <c r="J32" s="64" t="str">
        <f>IF(Scoring!AK33="","",Scoring!AK33)</f>
        <v>OK</v>
      </c>
    </row>
    <row r="33" spans="1:10" ht="15" customHeight="1" x14ac:dyDescent="0.35">
      <c r="A33" s="92" t="str">
        <f>IF(Scoring!A34="","",Scoring!A34)</f>
        <v>VFC</v>
      </c>
      <c r="B33" s="93" t="str">
        <f>IF(Scoring!B34="","",Scoring!B34)</f>
        <v>V.F. Corporation</v>
      </c>
      <c r="C33" s="94">
        <f>IF(Scoring!C34="","",Scoring!C34)</f>
        <v>46246</v>
      </c>
      <c r="D33" s="95">
        <f>IF(Scoring!N34="","",Scoring!N34)</f>
        <v>2.8571428571428572</v>
      </c>
      <c r="E33" s="96" t="str">
        <f>IF(Scoring!AF34="","",Scoring!AF34)</f>
        <v/>
      </c>
      <c r="F33" s="64" t="str">
        <f>IF(Scoring!AG34&lt;&gt;"",Scoring!AG34,IF(Scoring!AH34="OK","PENDING",""))</f>
        <v/>
      </c>
      <c r="G33" s="64" t="str">
        <f>IF(Scoring!AH34="","",Scoring!AH34)</f>
        <v>FAIL</v>
      </c>
      <c r="H33" s="64" t="str">
        <f>IF(Scoring!AI34="","",Scoring!AI34)</f>
        <v>OK</v>
      </c>
      <c r="I33" s="64" t="str">
        <f>IF(Scoring!AJ34="","",Scoring!AJ34)</f>
        <v>OK</v>
      </c>
      <c r="J33" s="64" t="str">
        <f>IF(Scoring!AK34="","",Scoring!AK34)</f>
        <v>OK</v>
      </c>
    </row>
    <row r="34" spans="1:10" ht="15" hidden="1" customHeight="1" outlineLevel="1" x14ac:dyDescent="0.35">
      <c r="A34" s="92" t="str">
        <f>IF(Scoring!A35="","",Scoring!A35)</f>
        <v>BABA</v>
      </c>
      <c r="B34" s="93" t="str">
        <f>IF(Scoring!B35="","",Scoring!B35)</f>
        <v>Alibaba Group Holding Ltd.</v>
      </c>
      <c r="C34" s="94">
        <f>IF(Scoring!C35="","",Scoring!C35)</f>
        <v>46246</v>
      </c>
      <c r="D34" s="95">
        <f>IF(Scoring!N35="","",Scoring!N35)</f>
        <v>2.785714285714286</v>
      </c>
      <c r="E34" s="96" t="str">
        <f>IF(Scoring!AF35="","",Scoring!AF35)</f>
        <v/>
      </c>
      <c r="F34" s="64" t="str">
        <f>IF(Scoring!AG35&lt;&gt;"",Scoring!AG35,IF(Scoring!AH35="OK","PENDING",""))</f>
        <v/>
      </c>
      <c r="G34" s="64" t="str">
        <f>IF(Scoring!AH35="","",Scoring!AH35)</f>
        <v>FAIL</v>
      </c>
      <c r="H34" s="64" t="str">
        <f>IF(Scoring!AI35="","",Scoring!AI35)</f>
        <v>OK</v>
      </c>
      <c r="I34" s="64" t="str">
        <f>IF(Scoring!AJ35="","",Scoring!AJ35)</f>
        <v>AVOID</v>
      </c>
      <c r="J34" s="64" t="str">
        <f>IF(Scoring!AK35="","",Scoring!AK35)</f>
        <v>OK</v>
      </c>
    </row>
    <row r="35" spans="1:10" ht="15" customHeight="1" collapsed="1" x14ac:dyDescent="0.35">
      <c r="A35" s="92" t="str">
        <f>IF(Scoring!A36="","",Scoring!A36)</f>
        <v>NOV</v>
      </c>
      <c r="B35" s="93" t="str">
        <f>IF(Scoring!B36="","",Scoring!B36)</f>
        <v>NOV Inc.</v>
      </c>
      <c r="C35" s="94">
        <f>IF(Scoring!C36="","",Scoring!C36)</f>
        <v>46245</v>
      </c>
      <c r="D35" s="95">
        <f>IF(Scoring!N36="","",Scoring!N36)</f>
        <v>2.6428571428571432</v>
      </c>
      <c r="E35" s="96" t="str">
        <f>IF(Scoring!AF36="","",Scoring!AF36)</f>
        <v/>
      </c>
      <c r="F35" s="64" t="str">
        <f>IF(Scoring!AG36&lt;&gt;"",Scoring!AG36,IF(Scoring!AH36="OK","PENDING",""))</f>
        <v/>
      </c>
      <c r="G35" s="64" t="str">
        <f>IF(Scoring!AH36="","",Scoring!AH36)</f>
        <v>FAIL</v>
      </c>
      <c r="H35" s="64" t="str">
        <f>IF(Scoring!AI36="","",Scoring!AI36)</f>
        <v>OK</v>
      </c>
      <c r="I35" s="64" t="str">
        <f>IF(Scoring!AJ36="","",Scoring!AJ36)</f>
        <v>AVOID</v>
      </c>
      <c r="J35" s="64" t="str">
        <f>IF(Scoring!AK36="","",Scoring!AK36)</f>
        <v>OK</v>
      </c>
    </row>
    <row r="36" spans="1:10" ht="15" hidden="1" customHeight="1" outlineLevel="1" x14ac:dyDescent="0.35">
      <c r="A36" s="92" t="str">
        <f>IF(Scoring!A37="","",Scoring!A37)</f>
        <v>ONON</v>
      </c>
      <c r="B36" s="93" t="str">
        <f>IF(Scoring!B37="","",Scoring!B37)</f>
        <v>On Holding AG</v>
      </c>
      <c r="C36" s="94">
        <f>IF(Scoring!C37="","",Scoring!C37)</f>
        <v>46240</v>
      </c>
      <c r="D36" s="95">
        <f>IF(Scoring!N37="","",Scoring!N37)</f>
        <v>2.6428571428571428</v>
      </c>
      <c r="E36" s="96" t="str">
        <f>IF(Scoring!AF37="","",Scoring!AF37)</f>
        <v/>
      </c>
      <c r="F36" s="64" t="str">
        <f>IF(Scoring!AG37&lt;&gt;"",Scoring!AG37,IF(Scoring!AH37="OK","PENDING",""))</f>
        <v/>
      </c>
      <c r="G36" s="64" t="str">
        <f>IF(Scoring!AH37="","",Scoring!AH37)</f>
        <v>FAIL</v>
      </c>
      <c r="H36" s="64" t="str">
        <f>IF(Scoring!AI37="","",Scoring!AI37)</f>
        <v>OK</v>
      </c>
      <c r="I36" s="64" t="str">
        <f>IF(Scoring!AJ37="","",Scoring!AJ37)</f>
        <v>AVOID</v>
      </c>
      <c r="J36" s="64" t="str">
        <f>IF(Scoring!AK37="","",Scoring!AK37)</f>
        <v>OK</v>
      </c>
    </row>
    <row r="37" spans="1:10" ht="15" hidden="1" customHeight="1" outlineLevel="1" x14ac:dyDescent="0.35">
      <c r="A37" s="92" t="str">
        <f>IF(Scoring!A38="","",Scoring!A38)</f>
        <v>NEE</v>
      </c>
      <c r="B37" s="93" t="str">
        <f>IF(Scoring!B38="","",Scoring!B38)</f>
        <v>NextEra Energy Inc.</v>
      </c>
      <c r="C37" s="94">
        <f>IF(Scoring!C38="","",Scoring!C38)</f>
        <v>46245</v>
      </c>
      <c r="D37" s="95">
        <f>IF(Scoring!N38="","",Scoring!N38)</f>
        <v>2.5</v>
      </c>
      <c r="E37" s="96" t="str">
        <f>IF(Scoring!AF38="","",Scoring!AF38)</f>
        <v/>
      </c>
      <c r="F37" s="64" t="str">
        <f>IF(Scoring!AG38&lt;&gt;"",Scoring!AG38,IF(Scoring!AH38="OK","PENDING",""))</f>
        <v/>
      </c>
      <c r="G37" s="64" t="str">
        <f>IF(Scoring!AH38="","",Scoring!AH38)</f>
        <v>FAIL</v>
      </c>
      <c r="H37" s="64" t="str">
        <f>IF(Scoring!AI38="","",Scoring!AI38)</f>
        <v>REVIEW</v>
      </c>
      <c r="I37" s="64" t="str">
        <f>IF(Scoring!AJ38="","",Scoring!AJ38)</f>
        <v>AVOID</v>
      </c>
      <c r="J37" s="64" t="str">
        <f>IF(Scoring!AK38="","",Scoring!AK38)</f>
        <v>OK</v>
      </c>
    </row>
    <row r="38" spans="1:10" ht="15" hidden="1" customHeight="1" outlineLevel="1" x14ac:dyDescent="0.35">
      <c r="A38" s="92" t="str">
        <f>IF(Scoring!A39="","",Scoring!A39)</f>
        <v>GOOS</v>
      </c>
      <c r="B38" s="93" t="str">
        <f>IF(Scoring!B39="","",Scoring!B39)</f>
        <v>Canada Goose Holdings</v>
      </c>
      <c r="C38" s="94">
        <f>IF(Scoring!C39="","",Scoring!C39)</f>
        <v>46246</v>
      </c>
      <c r="D38" s="95">
        <f>IF(Scoring!N39="","",Scoring!N39)</f>
        <v>2.5</v>
      </c>
      <c r="E38" s="96" t="str">
        <f>IF(Scoring!AF39="","",Scoring!AF39)</f>
        <v/>
      </c>
      <c r="F38" s="64" t="str">
        <f>IF(Scoring!AG39&lt;&gt;"",Scoring!AG39,IF(Scoring!AH39="OK","PENDING",""))</f>
        <v/>
      </c>
      <c r="G38" s="64" t="str">
        <f>IF(Scoring!AH39="","",Scoring!AH39)</f>
        <v>FAIL</v>
      </c>
      <c r="H38" s="64" t="str">
        <f>IF(Scoring!AI39="","",Scoring!AI39)</f>
        <v>REVIEW</v>
      </c>
      <c r="I38" s="64" t="str">
        <f>IF(Scoring!AJ39="","",Scoring!AJ39)</f>
        <v>AVOID</v>
      </c>
      <c r="J38" s="64" t="str">
        <f>IF(Scoring!AK39="","",Scoring!AK39)</f>
        <v>OK</v>
      </c>
    </row>
    <row r="39" spans="1:10" ht="15" hidden="1" customHeight="1" outlineLevel="1" x14ac:dyDescent="0.35">
      <c r="A39" s="92" t="str">
        <f>IF(Scoring!A40="","",Scoring!A40)</f>
        <v>DEO</v>
      </c>
      <c r="B39" s="93" t="str">
        <f>IF(Scoring!B40="","",Scoring!B40)</f>
        <v>Diageo plc</v>
      </c>
      <c r="C39" s="94">
        <f>IF(Scoring!C40="","",Scoring!C40)</f>
        <v>46245</v>
      </c>
      <c r="D39" s="95">
        <f>IF(Scoring!N40="","",Scoring!N40)</f>
        <v>2.3571428571428572</v>
      </c>
      <c r="E39" s="96" t="str">
        <f>IF(Scoring!AF40="","",Scoring!AF40)</f>
        <v/>
      </c>
      <c r="F39" s="64" t="str">
        <f>IF(Scoring!AG40&lt;&gt;"",Scoring!AG40,IF(Scoring!AH40="OK","PENDING",""))</f>
        <v/>
      </c>
      <c r="G39" s="64" t="str">
        <f>IF(Scoring!AH40="","",Scoring!AH40)</f>
        <v>FAIL</v>
      </c>
      <c r="H39" s="64" t="str">
        <f>IF(Scoring!AI40="","",Scoring!AI40)</f>
        <v>OK</v>
      </c>
      <c r="I39" s="64" t="str">
        <f>IF(Scoring!AJ40="","",Scoring!AJ40)</f>
        <v>AVOID</v>
      </c>
      <c r="J39" s="64" t="str">
        <f>IF(Scoring!AK40="","",Scoring!AK40)</f>
        <v>OK</v>
      </c>
    </row>
    <row r="40" spans="1:10" ht="15" hidden="1" customHeight="1" outlineLevel="1" x14ac:dyDescent="0.35">
      <c r="A40" s="92" t="str">
        <f>IF(Scoring!A41="","",Scoring!A41)</f>
        <v>EL</v>
      </c>
      <c r="B40" s="93" t="str">
        <f>IF(Scoring!B41="","",Scoring!B41)</f>
        <v>Estee Lauder Companies</v>
      </c>
      <c r="C40" s="94">
        <f>IF(Scoring!C41="","",Scoring!C41)</f>
        <v>46245</v>
      </c>
      <c r="D40" s="95">
        <f>IF(Scoring!N41="","",Scoring!N41)</f>
        <v>2.1428571428571428</v>
      </c>
      <c r="E40" s="96" t="str">
        <f>IF(Scoring!AF41="","",Scoring!AF41)</f>
        <v/>
      </c>
      <c r="F40" s="64" t="str">
        <f>IF(Scoring!AG41&lt;&gt;"",Scoring!AG41,IF(Scoring!AH41="OK","PENDING",""))</f>
        <v/>
      </c>
      <c r="G40" s="64" t="str">
        <f>IF(Scoring!AH41="","",Scoring!AH41)</f>
        <v>FAIL</v>
      </c>
      <c r="H40" s="64" t="str">
        <f>IF(Scoring!AI41="","",Scoring!AI41)</f>
        <v>REVIEW</v>
      </c>
      <c r="I40" s="64" t="str">
        <f>IF(Scoring!AJ41="","",Scoring!AJ41)</f>
        <v>AVOID</v>
      </c>
      <c r="J40" s="64" t="str">
        <f>IF(Scoring!AK41="","",Scoring!AK41)</f>
        <v>OK</v>
      </c>
    </row>
    <row r="41" spans="1:10" ht="15" customHeight="1" collapsed="1" x14ac:dyDescent="0.35">
      <c r="A41" s="92" t="str">
        <f>IF(Scoring!A42="","",Scoring!A42)</f>
        <v>LBRT</v>
      </c>
      <c r="B41" s="93" t="str">
        <f>IF(Scoring!B42="","",Scoring!B42)</f>
        <v>Liberty Energy Inc.</v>
      </c>
      <c r="C41" s="94">
        <f>IF(Scoring!C42="","",Scoring!C42)</f>
        <v>46245</v>
      </c>
      <c r="D41" s="95">
        <f>IF(Scoring!N42="","",Scoring!N42)</f>
        <v>2.0714285714285716</v>
      </c>
      <c r="E41" s="96" t="str">
        <f>IF(Scoring!AF42="","",Scoring!AF42)</f>
        <v/>
      </c>
      <c r="F41" s="64" t="str">
        <f>IF(Scoring!AG42&lt;&gt;"",Scoring!AG42,IF(Scoring!AH42="OK","PENDING",""))</f>
        <v/>
      </c>
      <c r="G41" s="64" t="str">
        <f>IF(Scoring!AH42="","",Scoring!AH42)</f>
        <v>FAIL</v>
      </c>
      <c r="H41" s="64" t="str">
        <f>IF(Scoring!AI42="","",Scoring!AI42)</f>
        <v>REVIEW</v>
      </c>
      <c r="I41" s="64" t="str">
        <f>IF(Scoring!AJ42="","",Scoring!AJ42)</f>
        <v>AVOID</v>
      </c>
      <c r="J41" s="64" t="str">
        <f>IF(Scoring!AK42="","",Scoring!AK42)</f>
        <v>OK</v>
      </c>
    </row>
    <row r="42" spans="1:10" ht="15" customHeight="1" x14ac:dyDescent="0.35">
      <c r="A42" s="92" t="str">
        <f>IF(Scoring!A43="","",Scoring!A43)</f>
        <v>TSLA</v>
      </c>
      <c r="B42" s="93" t="str">
        <f>IF(Scoring!B43="","",Scoring!B43)</f>
        <v>Tesla Inc.</v>
      </c>
      <c r="C42" s="94">
        <f>IF(Scoring!C43="","",Scoring!C43)</f>
        <v>46240</v>
      </c>
      <c r="D42" s="95">
        <f>IF(Scoring!N43="","",Scoring!N43)</f>
        <v>1.9285714285714288</v>
      </c>
      <c r="E42" s="96" t="str">
        <f>IF(Scoring!AF43="","",Scoring!AF43)</f>
        <v/>
      </c>
      <c r="F42" s="64" t="str">
        <f>IF(Scoring!AG43&lt;&gt;"",Scoring!AG43,IF(Scoring!AH43="OK","PENDING",""))</f>
        <v/>
      </c>
      <c r="G42" s="64" t="str">
        <f>IF(Scoring!AH43="","",Scoring!AH43)</f>
        <v>FAIL</v>
      </c>
      <c r="H42" s="64" t="str">
        <f>IF(Scoring!AI43="","",Scoring!AI43)</f>
        <v>REVIEW</v>
      </c>
      <c r="I42" s="64" t="str">
        <f>IF(Scoring!AJ43="","",Scoring!AJ43)</f>
        <v>AVOID</v>
      </c>
      <c r="J42" s="64" t="str">
        <f>IF(Scoring!AK43="","",Scoring!AK43)</f>
        <v>OK</v>
      </c>
    </row>
    <row r="43" spans="1:10" ht="15" customHeight="1" x14ac:dyDescent="0.35">
      <c r="A43" s="92" t="str">
        <f>IF(Scoring!A44="","",Scoring!A44)</f>
        <v>HRL</v>
      </c>
      <c r="B43" s="93" t="str">
        <f>IF(Scoring!B44="","",Scoring!B44)</f>
        <v>Hormel Foods Corp.</v>
      </c>
      <c r="C43" s="94">
        <f>IF(Scoring!C44="","",Scoring!C44)</f>
        <v>46245</v>
      </c>
      <c r="D43" s="95">
        <f>IF(Scoring!N44="","",Scoring!N44)</f>
        <v>1.9285714285714288</v>
      </c>
      <c r="E43" s="96" t="str">
        <f>IF(Scoring!AF44="","",Scoring!AF44)</f>
        <v/>
      </c>
      <c r="F43" s="64" t="str">
        <f>IF(Scoring!AG44&lt;&gt;"",Scoring!AG44,IF(Scoring!AH44="OK","PENDING",""))</f>
        <v/>
      </c>
      <c r="G43" s="64" t="str">
        <f>IF(Scoring!AH44="","",Scoring!AH44)</f>
        <v>FAIL</v>
      </c>
      <c r="H43" s="64" t="str">
        <f>IF(Scoring!AI44="","",Scoring!AI44)</f>
        <v>REVIEW</v>
      </c>
      <c r="I43" s="64" t="str">
        <f>IF(Scoring!AJ44="","",Scoring!AJ44)</f>
        <v>AVOID</v>
      </c>
      <c r="J43" s="64" t="str">
        <f>IF(Scoring!AK44="","",Scoring!AK44)</f>
        <v>OK</v>
      </c>
    </row>
    <row r="44" spans="1:10" ht="15" customHeight="1" x14ac:dyDescent="0.35">
      <c r="A44" s="92" t="str">
        <f>IF(Scoring!A45="","",Scoring!A45)</f>
        <v>SFM</v>
      </c>
      <c r="B44" s="93" t="str">
        <f>IF(Scoring!B45="","",Scoring!B45)</f>
        <v>Sprouts Farmers Market</v>
      </c>
      <c r="C44" s="94">
        <f>IF(Scoring!C45="","",Scoring!C45)</f>
        <v>46240</v>
      </c>
      <c r="D44" s="95">
        <f>IF(Scoring!N45="","",Scoring!N45)</f>
        <v>1.8571428571428574</v>
      </c>
      <c r="E44" s="96" t="str">
        <f>IF(Scoring!AF45="","",Scoring!AF45)</f>
        <v/>
      </c>
      <c r="F44" s="64" t="str">
        <f>IF(Scoring!AG45&lt;&gt;"",Scoring!AG45,IF(Scoring!AH45="OK","PENDING",""))</f>
        <v/>
      </c>
      <c r="G44" s="64" t="str">
        <f>IF(Scoring!AH45="","",Scoring!AH45)</f>
        <v>FAIL</v>
      </c>
      <c r="H44" s="64" t="str">
        <f>IF(Scoring!AI45="","",Scoring!AI45)</f>
        <v>REVIEW</v>
      </c>
      <c r="I44" s="64" t="str">
        <f>IF(Scoring!AJ45="","",Scoring!AJ45)</f>
        <v>AVOID</v>
      </c>
      <c r="J44" s="64" t="str">
        <f>IF(Scoring!AK45="","",Scoring!AK45)</f>
        <v>OK</v>
      </c>
    </row>
    <row r="45" spans="1:10" ht="15" hidden="1" customHeight="1" outlineLevel="1" x14ac:dyDescent="0.35">
      <c r="A45" s="92" t="str">
        <f>IF(Scoring!A46="","",Scoring!A46)</f>
        <v>CLF</v>
      </c>
      <c r="B45" s="93" t="str">
        <f>IF(Scoring!B46="","",Scoring!B46)</f>
        <v>Cleveland-Cliffs Inc.</v>
      </c>
      <c r="C45" s="94">
        <f>IF(Scoring!C46="","",Scoring!C46)</f>
        <v>46245</v>
      </c>
      <c r="D45" s="95">
        <f>IF(Scoring!N46="","",Scoring!N46)</f>
        <v>1.8571428571428574</v>
      </c>
      <c r="E45" s="96" t="str">
        <f>IF(Scoring!AF46="","",Scoring!AF46)</f>
        <v/>
      </c>
      <c r="F45" s="64" t="str">
        <f>IF(Scoring!AG46&lt;&gt;"",Scoring!AG46,IF(Scoring!AH46="OK","PENDING",""))</f>
        <v/>
      </c>
      <c r="G45" s="64" t="str">
        <f>IF(Scoring!AH46="","",Scoring!AH46)</f>
        <v>FAIL</v>
      </c>
      <c r="H45" s="64" t="str">
        <f>IF(Scoring!AI46="","",Scoring!AI46)</f>
        <v>REVIEW</v>
      </c>
      <c r="I45" s="64" t="str">
        <f>IF(Scoring!AJ46="","",Scoring!AJ46)</f>
        <v>AVOID</v>
      </c>
      <c r="J45" s="64" t="str">
        <f>IF(Scoring!AK46="","",Scoring!AK46)</f>
        <v>OK</v>
      </c>
    </row>
    <row r="46" spans="1:10" ht="15" customHeight="1" collapsed="1" x14ac:dyDescent="0.35">
      <c r="A46" s="97" t="str">
        <f>IF(Scoring!A47="","",Scoring!A47)</f>
        <v>CE</v>
      </c>
      <c r="B46" s="98" t="str">
        <f>IF(Scoring!B47="","",Scoring!B47)</f>
        <v>Celanese Corp.</v>
      </c>
      <c r="C46" s="99">
        <f>IF(Scoring!C47="","",Scoring!C47)</f>
        <v>46245</v>
      </c>
      <c r="D46" s="100">
        <f>IF(Scoring!N47="","",Scoring!N47)</f>
        <v>1.7857142857142858</v>
      </c>
      <c r="E46" s="101" t="str">
        <f>IF(Scoring!AF47="","",Scoring!AF47)</f>
        <v/>
      </c>
      <c r="F46" s="102" t="str">
        <f>IF(Scoring!AG47&lt;&gt;"",Scoring!AG47,IF(Scoring!AH47="OK","PENDING",""))</f>
        <v/>
      </c>
      <c r="G46" s="102" t="str">
        <f>IF(Scoring!AH47="","",Scoring!AH47)</f>
        <v>FAIL</v>
      </c>
      <c r="H46" s="102" t="str">
        <f>IF(Scoring!AI47="","",Scoring!AI47)</f>
        <v>REVIEW</v>
      </c>
      <c r="I46" s="102" t="str">
        <f>IF(Scoring!AJ47="","",Scoring!AJ47)</f>
        <v>AVOID</v>
      </c>
      <c r="J46" s="102" t="str">
        <f>IF(Scoring!AK47="","",Scoring!AK47)</f>
        <v>OK</v>
      </c>
    </row>
    <row r="47" spans="1:10" ht="14.25" customHeight="1" x14ac:dyDescent="0.35">
      <c r="A47" s="103" t="str">
        <f>IF(Scoring!A48="","",Scoring!A48)</f>
        <v>NKE</v>
      </c>
      <c r="B47" s="104" t="str">
        <f>IF(Scoring!B48="","",Scoring!B48)</f>
        <v>Nike Inc.</v>
      </c>
      <c r="C47" s="99">
        <f>IF(Scoring!C48="","",Scoring!C48)</f>
        <v>46246</v>
      </c>
      <c r="D47" s="100">
        <f>IF(Scoring!N48="","",Scoring!N48)</f>
        <v>1.5714285714285716</v>
      </c>
      <c r="E47" s="101" t="str">
        <f>IF(Scoring!AF48="","",Scoring!AF48)</f>
        <v/>
      </c>
      <c r="F47" s="102" t="str">
        <f>IF(Scoring!AG48&lt;&gt;"",Scoring!AG48,IF(Scoring!AH48="OK","PENDING",""))</f>
        <v/>
      </c>
      <c r="G47" s="102" t="str">
        <f>IF(Scoring!AH48="","",Scoring!AH48)</f>
        <v>FAIL</v>
      </c>
      <c r="H47" s="102" t="str">
        <f>IF(Scoring!AI48="","",Scoring!AI48)</f>
        <v>REVIEW</v>
      </c>
      <c r="I47" s="102" t="str">
        <f>IF(Scoring!AJ48="","",Scoring!AJ48)</f>
        <v>AVOID</v>
      </c>
      <c r="J47" s="102" t="str">
        <f>IF(Scoring!AK48="","",Scoring!AK48)</f>
        <v>OK</v>
      </c>
    </row>
    <row r="48" spans="1:10" ht="15" customHeight="1" x14ac:dyDescent="0.35">
      <c r="A48" s="103" t="str">
        <f>IF(Scoring!A49="","",Scoring!A49)</f>
        <v>PZZA</v>
      </c>
      <c r="B48" s="104" t="str">
        <f>IF(Scoring!B49="","",Scoring!B49)</f>
        <v>Papa John's Intl.</v>
      </c>
      <c r="C48" s="99">
        <f>IF(Scoring!C49="","",Scoring!C49)</f>
        <v>46245</v>
      </c>
      <c r="D48" s="100">
        <f>IF(Scoring!N49="","",Scoring!N49)</f>
        <v>1.357142857142857</v>
      </c>
      <c r="E48" s="101" t="str">
        <f>IF(Scoring!AF49="","",Scoring!AF49)</f>
        <v/>
      </c>
      <c r="F48" s="102" t="str">
        <f>IF(Scoring!AG49&lt;&gt;"",Scoring!AG49,IF(Scoring!AH49="OK","PENDING",""))</f>
        <v/>
      </c>
      <c r="G48" s="102" t="str">
        <f>IF(Scoring!AH49="","",Scoring!AH49)</f>
        <v>FAIL</v>
      </c>
      <c r="H48" s="102" t="str">
        <f>IF(Scoring!AI49="","",Scoring!AI49)</f>
        <v>REVIEW</v>
      </c>
      <c r="I48" s="102" t="str">
        <f>IF(Scoring!AJ49="","",Scoring!AJ49)</f>
        <v>AVOID</v>
      </c>
      <c r="J48" s="102" t="str">
        <f>IF(Scoring!AK49="","",Scoring!AK49)</f>
        <v>OK</v>
      </c>
    </row>
    <row r="49" spans="1:10" ht="15.75" customHeight="1" x14ac:dyDescent="0.35">
      <c r="A49" s="103" t="str">
        <f>IF(Scoring!A50="","",Scoring!A50)</f>
        <v>AAP</v>
      </c>
      <c r="B49" s="105" t="str">
        <f>IF(Scoring!B50="","",Scoring!B50)</f>
        <v>Advance Auto Parts Inc.</v>
      </c>
      <c r="C49" s="99">
        <f>IF(Scoring!C50="","",Scoring!C50)</f>
        <v>46246</v>
      </c>
      <c r="D49" s="100">
        <f>IF(Scoring!N50="","",Scoring!N50)</f>
        <v>1.357142857142857</v>
      </c>
      <c r="E49" s="101" t="str">
        <f>IF(Scoring!AF50="","",Scoring!AF50)</f>
        <v/>
      </c>
      <c r="F49" s="102" t="str">
        <f>IF(Scoring!AG50&lt;&gt;"",Scoring!AG50,IF(Scoring!AH50="OK","PENDING",""))</f>
        <v/>
      </c>
      <c r="G49" s="102" t="str">
        <f>IF(Scoring!AH50="","",Scoring!AH50)</f>
        <v>FAIL</v>
      </c>
      <c r="H49" s="102" t="str">
        <f>IF(Scoring!AI50="","",Scoring!AI50)</f>
        <v>REVIEW</v>
      </c>
      <c r="I49" s="102" t="str">
        <f>IF(Scoring!AJ50="","",Scoring!AJ50)</f>
        <v>AVOID</v>
      </c>
      <c r="J49" s="102" t="str">
        <f>IF(Scoring!AK50="","",Scoring!AK50)</f>
        <v>OK</v>
      </c>
    </row>
    <row r="50" spans="1:10" ht="15.75" customHeight="1" x14ac:dyDescent="0.35">
      <c r="A50" s="103" t="str">
        <f>IF(Scoring!A51="","",Scoring!A51)</f>
        <v>CRK</v>
      </c>
      <c r="B50" s="105" t="str">
        <f>IF(Scoring!B51="","",Scoring!B51)</f>
        <v>Comstock Resources Inc.</v>
      </c>
      <c r="C50" s="106">
        <f>IF(Scoring!C51="","",Scoring!C51)</f>
        <v>46245</v>
      </c>
      <c r="D50" s="107">
        <f>IF(Scoring!N51="","",Scoring!N51)</f>
        <v>1.2142857142857142</v>
      </c>
      <c r="E50" s="108" t="str">
        <f>IF(Scoring!AF51="","",Scoring!AF51)</f>
        <v/>
      </c>
      <c r="F50" s="109" t="str">
        <f>IF(Scoring!AG51&lt;&gt;"",Scoring!AG51,IF(Scoring!AH51="OK","PENDING",""))</f>
        <v/>
      </c>
      <c r="G50" s="109" t="str">
        <f>IF(Scoring!AH51="","",Scoring!AH51)</f>
        <v>FAIL</v>
      </c>
      <c r="H50" s="109" t="str">
        <f>IF(Scoring!AI51="","",Scoring!AI51)</f>
        <v>REVIEW</v>
      </c>
      <c r="I50" s="109" t="str">
        <f>IF(Scoring!AJ51="","",Scoring!AJ51)</f>
        <v>AVOID</v>
      </c>
      <c r="J50" s="109" t="str">
        <f>IF(Scoring!AK51="","",Scoring!AK51)</f>
        <v>OK</v>
      </c>
    </row>
    <row r="51" spans="1:10" ht="14.25" customHeight="1" x14ac:dyDescent="0.35">
      <c r="A51" t="s">
        <v>297</v>
      </c>
    </row>
    <row r="52" spans="1:10" ht="15" customHeight="1" x14ac:dyDescent="0.35">
      <c r="A52" s="110">
        <f>SUBTOTAL(103,A2:A50)</f>
        <v>30</v>
      </c>
      <c r="B52" s="110" t="s">
        <v>298</v>
      </c>
    </row>
  </sheetData>
  <conditionalFormatting sqref="F2:F50">
    <cfRule type="cellIs" dxfId="107" priority="2" operator="equal">
      <formula>"STRONG BUY"</formula>
    </cfRule>
    <cfRule type="cellIs" dxfId="106" priority="3" operator="equal">
      <formula>"BUY"</formula>
    </cfRule>
    <cfRule type="cellIs" dxfId="105" priority="4" operator="equal">
      <formula>"WATCH LIST"</formula>
    </cfRule>
    <cfRule type="cellIs" dxfId="104" priority="5" operator="equal">
      <formula>"AVOID"</formula>
    </cfRule>
    <cfRule type="cellIs" dxfId="103" priority="6" operator="equal">
      <formula>"PASS"</formula>
    </cfRule>
  </conditionalFormatting>
  <conditionalFormatting sqref="G2:G50">
    <cfRule type="cellIs" dxfId="102" priority="7" operator="equal">
      <formula>"FAIL"</formula>
    </cfRule>
  </conditionalFormatting>
  <conditionalFormatting sqref="H2:H50">
    <cfRule type="cellIs" dxfId="101" priority="9" operator="equal">
      <formula>"REVIEW"</formula>
    </cfRule>
  </conditionalFormatting>
  <conditionalFormatting sqref="I2:I50">
    <cfRule type="cellIs" dxfId="100" priority="8" operator="equal">
      <formula>"AVOID"</formula>
    </cfRule>
  </conditionalFormatting>
  <conditionalFormatting sqref="J2:J50">
    <cfRule type="cellIs" dxfId="99" priority="10" operator="equal">
      <formula>"CAP AT BUY"</formula>
    </cfRule>
  </conditionalFormatting>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AT64"/>
  <sheetViews>
    <sheetView showGridLines="0" zoomScaleNormal="100" workbookViewId="0">
      <pane xSplit="3" ySplit="2" topLeftCell="D3" activePane="bottomRight" state="frozen"/>
      <selection pane="topRight" activeCell="R1" sqref="R1"/>
      <selection pane="bottomLeft" activeCell="A3" sqref="A3"/>
      <selection pane="bottomRight" activeCell="Q73" sqref="Q73"/>
    </sheetView>
  </sheetViews>
  <sheetFormatPr defaultColWidth="8.6328125" defaultRowHeight="14" outlineLevelCol="1" x14ac:dyDescent="0.3"/>
  <cols>
    <col min="1" max="1" width="8" style="244" customWidth="1"/>
    <col min="2" max="2" width="19.81640625" style="244" customWidth="1"/>
    <col min="3" max="3" width="10" style="244" customWidth="1"/>
    <col min="4" max="4" width="8.81640625" style="244" customWidth="1" outlineLevel="1"/>
    <col min="5" max="5" width="7.1796875" style="244" customWidth="1" outlineLevel="1"/>
    <col min="6" max="6" width="7.6328125" style="244" customWidth="1" outlineLevel="1"/>
    <col min="7" max="7" width="6.81640625" style="244" customWidth="1" outlineLevel="1"/>
    <col min="8" max="8" width="7.1796875" style="244" customWidth="1" outlineLevel="1"/>
    <col min="9" max="9" width="6.54296875" style="244" customWidth="1" outlineLevel="1"/>
    <col min="10" max="10" width="7.81640625" style="244" customWidth="1" outlineLevel="1"/>
    <col min="11" max="11" width="6.54296875" style="244" customWidth="1" outlineLevel="1"/>
    <col min="12" max="12" width="7.453125" style="244" customWidth="1" outlineLevel="1"/>
    <col min="13" max="13" width="9.54296875" style="244" customWidth="1" outlineLevel="1"/>
    <col min="14" max="14" width="8.81640625" style="244" customWidth="1" outlineLevel="1"/>
    <col min="15" max="15" width="7.453125" style="244" customWidth="1" outlineLevel="1"/>
    <col min="16" max="16" width="8.81640625" style="244" customWidth="1" outlineLevel="1"/>
    <col min="17" max="17" width="6.54296875" style="244" customWidth="1" outlineLevel="1"/>
    <col min="18" max="18" width="6.81640625" style="244" customWidth="1" outlineLevel="1"/>
    <col min="19" max="19" width="6.36328125" style="244" customWidth="1" outlineLevel="1"/>
    <col min="20" max="20" width="7.81640625" style="244" customWidth="1" outlineLevel="1"/>
    <col min="21" max="21" width="6.36328125" style="244" customWidth="1" outlineLevel="1"/>
    <col min="22" max="22" width="8.81640625" style="244" customWidth="1" outlineLevel="1"/>
    <col min="23" max="23" width="6.36328125" style="244" customWidth="1" outlineLevel="1"/>
    <col min="24" max="24" width="7.1796875" style="244" customWidth="1" outlineLevel="1"/>
    <col min="25" max="25" width="8" style="244" customWidth="1" outlineLevel="1"/>
    <col min="26" max="26" width="6.1796875" style="244" customWidth="1" outlineLevel="1"/>
    <col min="27" max="27" width="9.54296875" style="244" customWidth="1" outlineLevel="1"/>
    <col min="28" max="28" width="6.81640625" style="244" customWidth="1" outlineLevel="1"/>
    <col min="29" max="29" width="8" style="244" customWidth="1" outlineLevel="1"/>
    <col min="30" max="30" width="6.54296875" style="244" customWidth="1" outlineLevel="1"/>
    <col min="31" max="31" width="7.6328125" style="244" customWidth="1" outlineLevel="1"/>
    <col min="32" max="32" width="9" style="244" customWidth="1" outlineLevel="1"/>
    <col min="33" max="33" width="12" style="244" customWidth="1"/>
    <col min="34" max="34" width="8" style="244" customWidth="1"/>
    <col min="35" max="35" width="6.54296875" style="244" customWidth="1"/>
    <col min="36" max="36" width="7" style="244" customWidth="1"/>
    <col min="37" max="37" width="7.6328125" style="244" customWidth="1"/>
    <col min="38" max="38" width="16.1796875" style="244" customWidth="1"/>
    <col min="39" max="39" width="24.81640625" style="244" customWidth="1"/>
    <col min="40" max="40" width="13.6328125" style="28" hidden="1" customWidth="1" outlineLevel="1"/>
    <col min="41" max="41" width="14.1796875" style="28" hidden="1" customWidth="1" outlineLevel="1"/>
    <col min="42" max="45" width="10" style="28" hidden="1" customWidth="1" outlineLevel="1"/>
    <col min="46" max="46" width="8.6328125" style="244" collapsed="1"/>
    <col min="47" max="16384" width="8.6328125" style="244"/>
  </cols>
  <sheetData>
    <row r="1" spans="1:45" ht="21.75" customHeight="1" x14ac:dyDescent="0.3">
      <c r="D1" s="245" t="s">
        <v>299</v>
      </c>
      <c r="E1" s="245"/>
      <c r="F1" s="245"/>
      <c r="G1" s="245"/>
      <c r="H1" s="245"/>
      <c r="I1" s="245"/>
      <c r="J1" s="245"/>
      <c r="K1" s="245"/>
      <c r="L1" s="245"/>
      <c r="M1" s="245"/>
      <c r="N1" s="245"/>
      <c r="O1" s="245"/>
      <c r="P1" s="245" t="s">
        <v>300</v>
      </c>
      <c r="Q1" s="245"/>
      <c r="R1" s="245"/>
      <c r="S1" s="245"/>
      <c r="T1" s="245"/>
      <c r="U1" s="245"/>
      <c r="V1" s="245"/>
      <c r="W1" s="245"/>
      <c r="X1" s="245"/>
      <c r="Y1" s="246" t="s">
        <v>301</v>
      </c>
      <c r="Z1" s="246"/>
      <c r="AA1" s="246"/>
      <c r="AB1" s="246"/>
      <c r="AC1" s="246"/>
      <c r="AD1" s="246"/>
      <c r="AE1" s="246"/>
      <c r="AH1" s="247" t="s">
        <v>302</v>
      </c>
      <c r="AI1" s="247"/>
      <c r="AJ1" s="247"/>
      <c r="AK1" s="247"/>
      <c r="AL1" s="247" t="s">
        <v>303</v>
      </c>
      <c r="AM1" s="247"/>
      <c r="AN1" s="221" t="s">
        <v>304</v>
      </c>
      <c r="AO1" s="221"/>
      <c r="AP1" s="221"/>
      <c r="AQ1" s="221"/>
      <c r="AR1" s="221"/>
      <c r="AS1" s="221"/>
    </row>
    <row r="2" spans="1:45" ht="39.75" customHeight="1" x14ac:dyDescent="0.3">
      <c r="A2" s="248" t="s">
        <v>82</v>
      </c>
      <c r="B2" s="248" t="s">
        <v>288</v>
      </c>
      <c r="C2" s="248" t="s">
        <v>305</v>
      </c>
      <c r="D2" s="248" t="s">
        <v>306</v>
      </c>
      <c r="E2" s="248" t="s">
        <v>307</v>
      </c>
      <c r="F2" s="248" t="s">
        <v>308</v>
      </c>
      <c r="G2" s="248" t="s">
        <v>307</v>
      </c>
      <c r="H2" s="248" t="s">
        <v>309</v>
      </c>
      <c r="I2" s="248" t="s">
        <v>307</v>
      </c>
      <c r="J2" s="248" t="s">
        <v>310</v>
      </c>
      <c r="K2" s="248" t="s">
        <v>307</v>
      </c>
      <c r="L2" s="248" t="s">
        <v>311</v>
      </c>
      <c r="M2" s="248" t="s">
        <v>312</v>
      </c>
      <c r="N2" s="248" t="s">
        <v>313</v>
      </c>
      <c r="O2" s="248" t="s">
        <v>314</v>
      </c>
      <c r="P2" s="248" t="s">
        <v>315</v>
      </c>
      <c r="Q2" s="248" t="s">
        <v>307</v>
      </c>
      <c r="R2" s="248" t="s">
        <v>316</v>
      </c>
      <c r="S2" s="248" t="s">
        <v>307</v>
      </c>
      <c r="T2" s="248" t="s">
        <v>317</v>
      </c>
      <c r="U2" s="248" t="s">
        <v>307</v>
      </c>
      <c r="V2" s="248" t="s">
        <v>318</v>
      </c>
      <c r="W2" s="248" t="s">
        <v>307</v>
      </c>
      <c r="X2" s="248" t="s">
        <v>319</v>
      </c>
      <c r="Y2" s="248" t="s">
        <v>320</v>
      </c>
      <c r="Z2" s="248" t="s">
        <v>307</v>
      </c>
      <c r="AA2" s="248" t="s">
        <v>321</v>
      </c>
      <c r="AB2" s="248" t="s">
        <v>307</v>
      </c>
      <c r="AC2" s="248" t="s">
        <v>322</v>
      </c>
      <c r="AD2" s="248" t="s">
        <v>307</v>
      </c>
      <c r="AE2" s="248" t="s">
        <v>323</v>
      </c>
      <c r="AF2" s="248" t="s">
        <v>324</v>
      </c>
      <c r="AG2" s="248" t="s">
        <v>292</v>
      </c>
      <c r="AH2" s="249" t="s">
        <v>325</v>
      </c>
      <c r="AI2" s="249" t="s">
        <v>326</v>
      </c>
      <c r="AJ2" s="249" t="s">
        <v>327</v>
      </c>
      <c r="AK2" s="249" t="s">
        <v>328</v>
      </c>
      <c r="AL2" s="250" t="s">
        <v>329</v>
      </c>
      <c r="AM2" s="251" t="s">
        <v>330</v>
      </c>
      <c r="AN2" s="112" t="s">
        <v>331</v>
      </c>
      <c r="AO2" s="112" t="s">
        <v>332</v>
      </c>
      <c r="AP2" s="112" t="s">
        <v>333</v>
      </c>
      <c r="AQ2" s="112" t="s">
        <v>334</v>
      </c>
      <c r="AR2" s="112" t="s">
        <v>335</v>
      </c>
      <c r="AS2" s="113" t="s">
        <v>336</v>
      </c>
    </row>
    <row r="3" spans="1:45" ht="15" customHeight="1" x14ac:dyDescent="0.3">
      <c r="A3" s="252" t="s">
        <v>94</v>
      </c>
      <c r="B3" s="253" t="s">
        <v>95</v>
      </c>
      <c r="C3" s="254">
        <v>46295</v>
      </c>
      <c r="D3" s="255">
        <v>5</v>
      </c>
      <c r="E3" s="255" t="s">
        <v>337</v>
      </c>
      <c r="F3" s="255">
        <v>4</v>
      </c>
      <c r="G3" s="255" t="s">
        <v>337</v>
      </c>
      <c r="H3" s="255">
        <v>4</v>
      </c>
      <c r="I3" s="255" t="s">
        <v>337</v>
      </c>
      <c r="J3" s="255">
        <v>5</v>
      </c>
      <c r="K3" s="255" t="s">
        <v>338</v>
      </c>
      <c r="L3" s="255">
        <v>5</v>
      </c>
      <c r="M3" s="255" t="s">
        <v>337</v>
      </c>
      <c r="N3" s="256">
        <f>IF(COUNT(D3,F3,H3,J3,L3)=0,"",(D3*0.2+F3*0.15+H3*0.15+J3*0.1+L3*0.1)/(IF(D3&lt;&gt;"",0.2,0)+IF(F3&lt;&gt;"",0.15,0)+IF(H3&lt;&gt;"",0.15,0)+IF(J3&lt;&gt;"",0.1,0)+IF(L3&lt;&gt;"",0.1,0)))</f>
        <v>4.5714285714285721</v>
      </c>
      <c r="O3" s="257">
        <f>IF(COUNT(D3,F3,H3,J3,L3)=0,"",D3*0.2+F3*0.15+H3*0.15+J3*0.1+L3*0.1)</f>
        <v>3.2</v>
      </c>
      <c r="P3" s="255">
        <v>3</v>
      </c>
      <c r="Q3" s="255" t="s">
        <v>337</v>
      </c>
      <c r="R3" s="255">
        <v>5</v>
      </c>
      <c r="S3" s="255" t="s">
        <v>338</v>
      </c>
      <c r="T3" s="255">
        <v>1</v>
      </c>
      <c r="U3" s="255" t="s">
        <v>338</v>
      </c>
      <c r="V3" s="255">
        <v>5</v>
      </c>
      <c r="W3" s="255" t="s">
        <v>338</v>
      </c>
      <c r="X3" s="257">
        <f>IF(COUNT(P3,R3,T3,V3)=0,"",P3*0.08+R3*0.06+T3*0.03+V3*0.08)</f>
        <v>0.97000000000000008</v>
      </c>
      <c r="Y3" s="255">
        <v>2</v>
      </c>
      <c r="Z3" s="255" t="s">
        <v>337</v>
      </c>
      <c r="AA3" s="255">
        <v>3</v>
      </c>
      <c r="AB3" s="255" t="s">
        <v>337</v>
      </c>
      <c r="AC3" s="255">
        <v>2</v>
      </c>
      <c r="AD3" s="255" t="s">
        <v>339</v>
      </c>
      <c r="AE3" s="257">
        <f>IF(COUNT(Y3,AA3,AC3)=0,"",Y3*0.02+AA3*0.02+AC3*0.01)</f>
        <v>0.12000000000000001</v>
      </c>
      <c r="AF3" s="258">
        <f>IF(OR(COUNT(D3,F3,H3,J3,L3)&lt;5,COUNT(P3,R3,T3,V3)&lt;4,COUNT(Y3,AA3,AC3)&lt;3),"",(O3+X3+AE3)*20)</f>
        <v>85.8</v>
      </c>
      <c r="AG3" s="259" t="str">
        <f>IF(AF3="","",IF(AJ3="AVOID","AVOID",IF(AF3&gt;=80,IF(AH3="FAIL","WATCH LIST",IF(AK3="CAP AT BUY","BUY","STRONG BUY")),IF(AF3&gt;=65,IF(AH3="FAIL","WATCH LIST","BUY"),IF(AF3&gt;=50,"WATCH LIST",IF(AF3&gt;=35,"AVOID","PASS"))))))</f>
        <v>STRONG BUY</v>
      </c>
      <c r="AH3" s="259" t="str">
        <f>IF(N3="","",IF(N3&lt;3,"FAIL","OK"))</f>
        <v>OK</v>
      </c>
      <c r="AI3" s="259" t="str">
        <f>IF(COUNT(D3:L3)=0,"",IF(COUNTIF(D3:L3,1)&gt;0,"REVIEW","OK"))</f>
        <v>OK</v>
      </c>
      <c r="AJ3" s="259" t="str">
        <f>IF(COUNT(D3:L3)=0,"",IF(COUNTIF(D3:L3,"&lt;=2")&gt;=2,"AVOID","OK"))</f>
        <v>OK</v>
      </c>
      <c r="AK3" s="259" t="str">
        <f>IF(COUNTA(E3:M3)=0,"",IF(COUNTIF(E3:M3,"L")&gt;=2,"CAP AT BUY","OK"))</f>
        <v>OK</v>
      </c>
      <c r="AL3" s="260" t="s">
        <v>340</v>
      </c>
      <c r="AM3" s="261" t="s">
        <v>353</v>
      </c>
      <c r="AN3" s="116"/>
      <c r="AO3" s="92"/>
      <c r="AP3" s="116" t="str">
        <f>IF(OR(AN3="",AO3=""),"",IF(AN3&gt;AO3,"OK","LOW CONF"))</f>
        <v/>
      </c>
      <c r="AQ3" s="116"/>
      <c r="AR3" s="92"/>
      <c r="AS3" s="124" t="str">
        <f>IF(OR(AQ3="",AR3=""),"",IF(AQ3&lt;AR3,"Decreased",IF(AQ3&gt;AR3,"Increased","Flat")))</f>
        <v/>
      </c>
    </row>
    <row r="4" spans="1:45" ht="15" customHeight="1" x14ac:dyDescent="0.3">
      <c r="A4" s="252" t="s">
        <v>109</v>
      </c>
      <c r="B4" s="253" t="s">
        <v>110</v>
      </c>
      <c r="C4" s="254">
        <v>46278</v>
      </c>
      <c r="D4" s="255">
        <v>3</v>
      </c>
      <c r="E4" s="255" t="s">
        <v>337</v>
      </c>
      <c r="F4" s="255">
        <v>5</v>
      </c>
      <c r="G4" s="255" t="s">
        <v>337</v>
      </c>
      <c r="H4" s="255">
        <v>5</v>
      </c>
      <c r="I4" s="255" t="s">
        <v>338</v>
      </c>
      <c r="J4" s="255">
        <v>4</v>
      </c>
      <c r="K4" s="255" t="s">
        <v>338</v>
      </c>
      <c r="L4" s="255">
        <v>5</v>
      </c>
      <c r="M4" s="255" t="s">
        <v>337</v>
      </c>
      <c r="N4" s="256">
        <f>IF(COUNT(D4,F4,H4,J4,L4)=0,"",(D4*0.2+F4*0.15+H4*0.15+J4*0.1+L4*0.1)/(IF(D4&lt;&gt;"",0.2,0)+IF(F4&lt;&gt;"",0.15,0)+IF(H4&lt;&gt;"",0.15,0)+IF(J4&lt;&gt;"",0.1,0)+IF(L4&lt;&gt;"",0.1,0)))</f>
        <v>4.2857142857142856</v>
      </c>
      <c r="O4" s="257">
        <f>IF(COUNT(D4,F4,H4,J4,L4)=0,"",D4*0.2+F4*0.15+H4*0.15+J4*0.1+L4*0.1)</f>
        <v>3</v>
      </c>
      <c r="P4" s="255">
        <v>5</v>
      </c>
      <c r="Q4" s="255" t="s">
        <v>338</v>
      </c>
      <c r="R4" s="255">
        <v>5</v>
      </c>
      <c r="S4" s="255" t="s">
        <v>338</v>
      </c>
      <c r="T4" s="255">
        <v>5</v>
      </c>
      <c r="U4" s="255" t="s">
        <v>338</v>
      </c>
      <c r="V4" s="255">
        <v>5</v>
      </c>
      <c r="W4" s="255" t="s">
        <v>337</v>
      </c>
      <c r="X4" s="257">
        <f>IF(COUNT(P4,R4,T4,V4)=0,"",P4*0.08+R4*0.06+T4*0.03+V4*0.08)</f>
        <v>1.25</v>
      </c>
      <c r="Y4" s="255">
        <v>4</v>
      </c>
      <c r="Z4" s="255" t="s">
        <v>337</v>
      </c>
      <c r="AA4" s="255">
        <v>5</v>
      </c>
      <c r="AB4" s="255" t="s">
        <v>337</v>
      </c>
      <c r="AC4" s="255">
        <v>3</v>
      </c>
      <c r="AD4" s="255" t="s">
        <v>339</v>
      </c>
      <c r="AE4" s="257">
        <f>IF(COUNT(Y4,AA4,AC4)=0,"",Y4*0.02+AA4*0.02+AC4*0.01)</f>
        <v>0.21</v>
      </c>
      <c r="AF4" s="258">
        <f>IF(OR(COUNT(D4,F4,H4,J4,L4)&lt;5,COUNT(P4,R4,T4,V4)&lt;4,COUNT(Y4,AA4,AC4)&lt;3),"",(O4+X4+AE4)*20)</f>
        <v>89.2</v>
      </c>
      <c r="AG4" s="259" t="str">
        <f>IF(AF4="","",IF(AJ4="AVOID","AVOID",IF(AF4&gt;=80,IF(AH4="FAIL","WATCH LIST",IF(AK4="CAP AT BUY","BUY","STRONG BUY")),IF(AF4&gt;=65,IF(AH4="FAIL","WATCH LIST","BUY"),IF(AF4&gt;=50,"WATCH LIST",IF(AF4&gt;=35,"AVOID","PASS"))))))</f>
        <v>STRONG BUY</v>
      </c>
      <c r="AH4" s="259" t="str">
        <f>IF(N4="","",IF(N4&lt;3,"FAIL","OK"))</f>
        <v>OK</v>
      </c>
      <c r="AI4" s="259" t="str">
        <f>IF(COUNT(D4:L4)=0,"",IF(COUNTIF(D4:L4,1)&gt;0,"REVIEW","OK"))</f>
        <v>OK</v>
      </c>
      <c r="AJ4" s="259" t="str">
        <f>IF(COUNT(D4:L4)=0,"",IF(COUNTIF(D4:L4,"&lt;=2")&gt;=2,"AVOID","OK"))</f>
        <v>OK</v>
      </c>
      <c r="AK4" s="259" t="str">
        <f>IF(COUNTA(E4:M4)=0,"",IF(COUNTIF(E4:M4,"L")&gt;=2,"CAP AT BUY","OK"))</f>
        <v>OK</v>
      </c>
      <c r="AL4" s="260" t="s">
        <v>340</v>
      </c>
      <c r="AM4" s="261" t="s">
        <v>341</v>
      </c>
      <c r="AN4" s="116"/>
      <c r="AO4" s="92"/>
      <c r="AP4" s="116" t="str">
        <f>IF(OR(AN4="",AO4=""),"",IF(AN4&gt;AO4,"OK","LOW CONF"))</f>
        <v/>
      </c>
      <c r="AQ4" s="116"/>
      <c r="AR4" s="92"/>
      <c r="AS4" s="124" t="str">
        <f>IF(OR(AQ4="",AR4=""),"",IF(AQ4&lt;AR4,"Decreased",IF(AQ4&gt;AR4,"Increased","Flat")))</f>
        <v/>
      </c>
    </row>
    <row r="5" spans="1:45" ht="15" customHeight="1" x14ac:dyDescent="0.3">
      <c r="A5" s="252" t="s">
        <v>99</v>
      </c>
      <c r="B5" s="253" t="s">
        <v>100</v>
      </c>
      <c r="C5" s="254">
        <v>46278</v>
      </c>
      <c r="D5" s="255">
        <v>3</v>
      </c>
      <c r="E5" s="255" t="s">
        <v>337</v>
      </c>
      <c r="F5" s="255">
        <v>5</v>
      </c>
      <c r="G5" s="255" t="s">
        <v>337</v>
      </c>
      <c r="H5" s="255">
        <v>5</v>
      </c>
      <c r="I5" s="255" t="s">
        <v>338</v>
      </c>
      <c r="J5" s="255">
        <v>4</v>
      </c>
      <c r="K5" s="255" t="s">
        <v>337</v>
      </c>
      <c r="L5" s="255">
        <v>5</v>
      </c>
      <c r="M5" s="255" t="s">
        <v>337</v>
      </c>
      <c r="N5" s="256">
        <f>IF(COUNT(D5,F5,H5,J5,L5)=0,"",(D5*0.2+F5*0.15+H5*0.15+J5*0.1+L5*0.1)/(IF(D5&lt;&gt;"",0.2,0)+IF(F5&lt;&gt;"",0.15,0)+IF(H5&lt;&gt;"",0.15,0)+IF(J5&lt;&gt;"",0.1,0)+IF(L5&lt;&gt;"",0.1,0)))</f>
        <v>4.2857142857142856</v>
      </c>
      <c r="O5" s="257">
        <f>IF(COUNT(D5,F5,H5,J5,L5)=0,"",D5*0.2+F5*0.15+H5*0.15+J5*0.1+L5*0.1)</f>
        <v>3</v>
      </c>
      <c r="P5" s="255">
        <v>4</v>
      </c>
      <c r="Q5" s="255" t="s">
        <v>338</v>
      </c>
      <c r="R5" s="255">
        <v>5</v>
      </c>
      <c r="S5" s="255" t="s">
        <v>338</v>
      </c>
      <c r="T5" s="255">
        <v>5</v>
      </c>
      <c r="U5" s="255" t="s">
        <v>337</v>
      </c>
      <c r="V5" s="255">
        <v>1</v>
      </c>
      <c r="W5" s="255" t="s">
        <v>338</v>
      </c>
      <c r="X5" s="257">
        <f>IF(COUNT(P5,R5,T5,V5)=0,"",P5*0.08+R5*0.06+T5*0.03+V5*0.08)</f>
        <v>0.85</v>
      </c>
      <c r="Y5" s="255">
        <v>4</v>
      </c>
      <c r="Z5" s="255" t="s">
        <v>337</v>
      </c>
      <c r="AA5" s="255">
        <v>5</v>
      </c>
      <c r="AB5" s="255" t="s">
        <v>338</v>
      </c>
      <c r="AC5" s="255">
        <v>2</v>
      </c>
      <c r="AD5" s="255" t="s">
        <v>337</v>
      </c>
      <c r="AE5" s="257">
        <f>IF(COUNT(Y5,AA5,AC5)=0,"",Y5*0.02+AA5*0.02+AC5*0.01)</f>
        <v>0.19999999999999998</v>
      </c>
      <c r="AF5" s="258">
        <f>IF(OR(COUNT(D5,F5,H5,J5,L5)&lt;5,COUNT(P5,R5,T5,V5)&lt;4,COUNT(Y5,AA5,AC5)&lt;3),"",(O5+X5+AE5)*20)</f>
        <v>81</v>
      </c>
      <c r="AG5" s="259" t="str">
        <f>IF(AF5="","",IF(AJ5="AVOID","AVOID",IF(AF5&gt;=80,IF(AH5="FAIL","WATCH LIST",IF(AK5="CAP AT BUY","BUY","STRONG BUY")),IF(AF5&gt;=65,IF(AH5="FAIL","WATCH LIST","BUY"),IF(AF5&gt;=50,"WATCH LIST",IF(AF5&gt;=35,"AVOID","PASS"))))))</f>
        <v>STRONG BUY</v>
      </c>
      <c r="AH5" s="259" t="str">
        <f>IF(N5="","",IF(N5&lt;3,"FAIL","OK"))</f>
        <v>OK</v>
      </c>
      <c r="AI5" s="259" t="str">
        <f>IF(COUNT(D5:L5)=0,"",IF(COUNTIF(D5:L5,1)&gt;0,"REVIEW","OK"))</f>
        <v>OK</v>
      </c>
      <c r="AJ5" s="259" t="str">
        <f>IF(COUNT(D5:L5)=0,"",IF(COUNTIF(D5:L5,"&lt;=2")&gt;=2,"AVOID","OK"))</f>
        <v>OK</v>
      </c>
      <c r="AK5" s="259" t="str">
        <f>IF(COUNTA(E5:M5)=0,"",IF(COUNTIF(E5:M5,"L")&gt;=2,"CAP AT BUY","OK"))</f>
        <v>OK</v>
      </c>
      <c r="AL5" s="260" t="s">
        <v>340</v>
      </c>
      <c r="AM5" s="261" t="s">
        <v>354</v>
      </c>
      <c r="AN5" s="116"/>
      <c r="AO5" s="92"/>
      <c r="AP5" s="116" t="str">
        <f>IF(OR(AN5="",AO5=""),"",IF(AN5&gt;AO5,"OK","LOW CONF"))</f>
        <v/>
      </c>
      <c r="AQ5" s="116"/>
      <c r="AR5" s="92"/>
      <c r="AS5" s="124" t="str">
        <f>IF(OR(AQ5="",AR5=""),"",IF(AQ5&lt;AR5,"Decreased",IF(AQ5&gt;AR5,"Increased","Flat")))</f>
        <v/>
      </c>
    </row>
    <row r="6" spans="1:45" ht="15" customHeight="1" x14ac:dyDescent="0.3">
      <c r="A6" s="252" t="s">
        <v>282</v>
      </c>
      <c r="B6" s="253" t="s">
        <v>413</v>
      </c>
      <c r="C6" s="254">
        <v>46297</v>
      </c>
      <c r="D6" s="255">
        <v>4</v>
      </c>
      <c r="E6" s="255" t="s">
        <v>337</v>
      </c>
      <c r="F6" s="255">
        <v>4</v>
      </c>
      <c r="G6" s="255" t="s">
        <v>337</v>
      </c>
      <c r="H6" s="255">
        <v>4</v>
      </c>
      <c r="I6" s="255" t="s">
        <v>337</v>
      </c>
      <c r="J6" s="255">
        <v>5</v>
      </c>
      <c r="K6" s="255" t="s">
        <v>337</v>
      </c>
      <c r="L6" s="255">
        <v>5</v>
      </c>
      <c r="M6" s="255" t="s">
        <v>337</v>
      </c>
      <c r="N6" s="256">
        <f>IF(COUNT(D6,F6,H6,J6,L6)=0,"",(D6*0.2+F6*0.15+H6*0.15+J6*0.1+L6*0.1)/(IF(D6&lt;&gt;"",0.2,0)+IF(F6&lt;&gt;"",0.15,0)+IF(H6&lt;&gt;"",0.15,0)+IF(J6&lt;&gt;"",0.1,0)+IF(L6&lt;&gt;"",0.1,0)))</f>
        <v>4.2857142857142856</v>
      </c>
      <c r="O6" s="257">
        <f>IF(COUNT(D6,F6,H6,J6,L6)=0,"",D6*0.2+F6*0.15+H6*0.15+J6*0.1+L6*0.1)</f>
        <v>3</v>
      </c>
      <c r="P6" s="255">
        <v>4</v>
      </c>
      <c r="Q6" s="255" t="s">
        <v>337</v>
      </c>
      <c r="R6" s="255">
        <v>2</v>
      </c>
      <c r="S6" s="255" t="s">
        <v>339</v>
      </c>
      <c r="T6" s="255">
        <v>4</v>
      </c>
      <c r="U6" s="255" t="s">
        <v>337</v>
      </c>
      <c r="V6" s="255">
        <v>4</v>
      </c>
      <c r="W6" s="255" t="s">
        <v>337</v>
      </c>
      <c r="X6" s="262">
        <f>IF(COUNT(P6,R6,T6,V6)=0,"",P6*0.08+R6*0.06+T6*0.03+V6*0.08)</f>
        <v>0.88000000000000012</v>
      </c>
      <c r="Y6" s="255">
        <v>5</v>
      </c>
      <c r="Z6" s="255" t="s">
        <v>337</v>
      </c>
      <c r="AA6" s="255">
        <v>4</v>
      </c>
      <c r="AB6" s="255" t="s">
        <v>337</v>
      </c>
      <c r="AC6" s="255">
        <v>2</v>
      </c>
      <c r="AD6" s="255" t="s">
        <v>337</v>
      </c>
      <c r="AE6" s="262">
        <f>IF(COUNT(Y6,AA6,AC6)=0,"",Y6*0.02+AA6*0.02+AC6*0.01)</f>
        <v>0.19999999999999998</v>
      </c>
      <c r="AF6" s="259">
        <f>IF(OR(COUNT(D6,F6,H6,J6,L6)&lt;5,COUNT(P6,R6,T6,V6)&lt;4,COUNT(Y6,AA6,AC6)&lt;3),"",(O6+X6+AE6)*20)</f>
        <v>81.599999999999994</v>
      </c>
      <c r="AG6" s="259" t="str">
        <f>IF(AF6="","",IF(AJ6="AVOID","AVOID",IF(AF6&gt;=80,IF(AH6="FAIL","WATCH LIST",IF(AK6="CAP AT BUY","BUY","STRONG BUY")),IF(AF6&gt;=65,IF(AH6="FAIL","WATCH LIST","BUY"),IF(AF6&gt;=50,"WATCH LIST",IF(AF6&gt;=35,"AVOID","PASS"))))))</f>
        <v>STRONG BUY</v>
      </c>
      <c r="AH6" s="259" t="str">
        <f>IF(N6="","",IF(N6&lt;3,"FAIL","OK"))</f>
        <v>OK</v>
      </c>
      <c r="AI6" s="259" t="str">
        <f>IF(COUNT(D6:L6)=0,"",IF(COUNTIF(D6:L6,1)&gt;0,"REVIEW","OK"))</f>
        <v>OK</v>
      </c>
      <c r="AJ6" s="259" t="str">
        <f>IF(COUNT(D6:L6)=0,"",IF(COUNTIF(D6:L6,"&lt;=2")&gt;=2,"AVOID","OK"))</f>
        <v>OK</v>
      </c>
      <c r="AK6" s="259" t="str">
        <f>IF(COUNTA(E6:M6)=0,"",IF(COUNTIF(E6:M6,"L")&gt;=2,"CAP AT BUY","OK"))</f>
        <v>OK</v>
      </c>
      <c r="AL6" s="261" t="s">
        <v>343</v>
      </c>
      <c r="AM6" s="261" t="s">
        <v>414</v>
      </c>
      <c r="AN6" s="116"/>
      <c r="AO6" s="92"/>
      <c r="AP6" s="116" t="str">
        <f>IF(OR(AN6="",AO6=""),"",IF(AN6&gt;AO6,"OK","LOW CONF"))</f>
        <v/>
      </c>
      <c r="AQ6" s="116"/>
      <c r="AR6" s="92"/>
      <c r="AS6" s="125" t="str">
        <f>IF(OR(AQ6="",AR6=""),"",IF(AQ6&lt;AR6,"Decreased",IF(AQ6&gt;AR6,"Increased","Flat")))</f>
        <v/>
      </c>
    </row>
    <row r="7" spans="1:45" ht="15" customHeight="1" x14ac:dyDescent="0.3">
      <c r="A7" s="252" t="s">
        <v>113</v>
      </c>
      <c r="B7" s="253" t="s">
        <v>356</v>
      </c>
      <c r="C7" s="254">
        <v>46278</v>
      </c>
      <c r="D7" s="255">
        <v>5</v>
      </c>
      <c r="E7" s="255" t="s">
        <v>337</v>
      </c>
      <c r="F7" s="255">
        <v>2</v>
      </c>
      <c r="G7" s="255" t="s">
        <v>337</v>
      </c>
      <c r="H7" s="255">
        <v>5</v>
      </c>
      <c r="I7" s="255" t="s">
        <v>338</v>
      </c>
      <c r="J7" s="255">
        <v>4</v>
      </c>
      <c r="K7" s="255" t="s">
        <v>337</v>
      </c>
      <c r="L7" s="255">
        <v>5</v>
      </c>
      <c r="M7" s="255" t="s">
        <v>337</v>
      </c>
      <c r="N7" s="256">
        <f>IF(COUNT(D7,F7,H7,J7,L7)=0,"",(D7*0.2+F7*0.15+H7*0.15+J7*0.1+L7*0.1)/(IF(D7&lt;&gt;"",0.2,0)+IF(F7&lt;&gt;"",0.15,0)+IF(H7&lt;&gt;"",0.15,0)+IF(J7&lt;&gt;"",0.1,0)+IF(L7&lt;&gt;"",0.1,0)))</f>
        <v>4.2142857142857144</v>
      </c>
      <c r="O7" s="257">
        <f>IF(COUNT(D7,F7,H7,J7,L7)=0,"",D7*0.2+F7*0.15+H7*0.15+J7*0.1+L7*0.1)</f>
        <v>2.9499999999999997</v>
      </c>
      <c r="P7" s="255">
        <v>4</v>
      </c>
      <c r="Q7" s="255" t="s">
        <v>338</v>
      </c>
      <c r="R7" s="255">
        <v>5</v>
      </c>
      <c r="S7" s="255" t="s">
        <v>338</v>
      </c>
      <c r="T7" s="255">
        <v>4</v>
      </c>
      <c r="U7" s="255" t="s">
        <v>337</v>
      </c>
      <c r="V7" s="255">
        <v>4</v>
      </c>
      <c r="W7" s="255" t="s">
        <v>337</v>
      </c>
      <c r="X7" s="257">
        <f>IF(COUNT(P7,R7,T7,V7)=0,"",P7*0.08+R7*0.06+T7*0.03+V7*0.08)</f>
        <v>1.06</v>
      </c>
      <c r="Y7" s="255">
        <v>3</v>
      </c>
      <c r="Z7" s="255" t="s">
        <v>337</v>
      </c>
      <c r="AA7" s="255">
        <v>5</v>
      </c>
      <c r="AB7" s="255" t="s">
        <v>338</v>
      </c>
      <c r="AC7" s="255">
        <v>3</v>
      </c>
      <c r="AD7" s="255" t="s">
        <v>339</v>
      </c>
      <c r="AE7" s="257">
        <f>IF(COUNT(Y7,AA7,AC7)=0,"",Y7*0.02+AA7*0.02+AC7*0.01)</f>
        <v>0.19</v>
      </c>
      <c r="AF7" s="258">
        <f>IF(OR(COUNT(D7,F7,H7,J7,L7)&lt;5,COUNT(P7,R7,T7,V7)&lt;4,COUNT(Y7,AA7,AC7)&lt;3),"",(O7+X7+AE7)*20)</f>
        <v>84</v>
      </c>
      <c r="AG7" s="259" t="str">
        <f>IF(AF7="","",IF(AJ7="AVOID","AVOID",IF(AF7&gt;=80,IF(AH7="FAIL","WATCH LIST",IF(AK7="CAP AT BUY","BUY","STRONG BUY")),IF(AF7&gt;=65,IF(AH7="FAIL","WATCH LIST","BUY"),IF(AF7&gt;=50,"WATCH LIST",IF(AF7&gt;=35,"AVOID","PASS"))))))</f>
        <v>STRONG BUY</v>
      </c>
      <c r="AH7" s="259" t="str">
        <f>IF(N7="","",IF(N7&lt;3,"FAIL","OK"))</f>
        <v>OK</v>
      </c>
      <c r="AI7" s="259" t="str">
        <f>IF(COUNT(D7:L7)=0,"",IF(COUNTIF(D7:L7,1)&gt;0,"REVIEW","OK"))</f>
        <v>OK</v>
      </c>
      <c r="AJ7" s="259" t="str">
        <f>IF(COUNT(D7:L7)=0,"",IF(COUNTIF(D7:L7,"&lt;=2")&gt;=2,"AVOID","OK"))</f>
        <v>OK</v>
      </c>
      <c r="AK7" s="259" t="str">
        <f>IF(COUNTA(E7:M7)=0,"",IF(COUNTIF(E7:M7,"L")&gt;=2,"CAP AT BUY","OK"))</f>
        <v>OK</v>
      </c>
      <c r="AL7" s="261" t="s">
        <v>340</v>
      </c>
      <c r="AM7" s="261" t="s">
        <v>341</v>
      </c>
      <c r="AN7" s="116"/>
      <c r="AO7" s="92"/>
      <c r="AP7" s="116" t="str">
        <f>IF(OR(AN7="",AO7=""),"",IF(AN7&gt;AO7,"OK","LOW CONF"))</f>
        <v/>
      </c>
      <c r="AQ7" s="116"/>
      <c r="AR7" s="92"/>
      <c r="AS7" s="124" t="str">
        <f>IF(OR(AQ7="",AR7=""),"",IF(AQ7&lt;AR7,"Decreased",IF(AQ7&gt;AR7,"Increased","Flat")))</f>
        <v/>
      </c>
    </row>
    <row r="8" spans="1:45" ht="15" customHeight="1" x14ac:dyDescent="0.3">
      <c r="A8" s="252" t="s">
        <v>142</v>
      </c>
      <c r="B8" s="253" t="s">
        <v>143</v>
      </c>
      <c r="C8" s="254">
        <v>46278</v>
      </c>
      <c r="D8" s="255">
        <v>4</v>
      </c>
      <c r="E8" s="255" t="s">
        <v>337</v>
      </c>
      <c r="F8" s="255">
        <v>4</v>
      </c>
      <c r="G8" s="255" t="s">
        <v>337</v>
      </c>
      <c r="H8" s="255">
        <v>5</v>
      </c>
      <c r="I8" s="255" t="s">
        <v>337</v>
      </c>
      <c r="J8" s="255">
        <v>4</v>
      </c>
      <c r="K8" s="255" t="s">
        <v>337</v>
      </c>
      <c r="L8" s="255">
        <v>4</v>
      </c>
      <c r="M8" s="255" t="s">
        <v>337</v>
      </c>
      <c r="N8" s="256">
        <f>IF(COUNT(D8,F8,H8,J8,L8)=0,"",(D8*0.2+F8*0.15+H8*0.15+J8*0.1+L8*0.1)/(IF(D8&lt;&gt;"",0.2,0)+IF(F8&lt;&gt;"",0.15,0)+IF(H8&lt;&gt;"",0.15,0)+IF(J8&lt;&gt;"",0.1,0)+IF(L8&lt;&gt;"",0.1,0)))</f>
        <v>4.2142857142857144</v>
      </c>
      <c r="O8" s="257">
        <f>IF(COUNT(D8,F8,H8,J8,L8)=0,"",D8*0.2+F8*0.15+H8*0.15+J8*0.1+L8*0.1)</f>
        <v>2.9499999999999997</v>
      </c>
      <c r="P8" s="255">
        <v>5</v>
      </c>
      <c r="Q8" s="255" t="s">
        <v>338</v>
      </c>
      <c r="R8" s="255">
        <v>5</v>
      </c>
      <c r="S8" s="255" t="s">
        <v>339</v>
      </c>
      <c r="T8" s="255">
        <v>1</v>
      </c>
      <c r="U8" s="255" t="s">
        <v>337</v>
      </c>
      <c r="V8" s="255">
        <v>4</v>
      </c>
      <c r="W8" s="255" t="s">
        <v>337</v>
      </c>
      <c r="X8" s="262">
        <f>IF(COUNT(P8,R8,T8,V8)=0,"",P8*0.08+R8*0.06+T8*0.03+V8*0.08)</f>
        <v>1.05</v>
      </c>
      <c r="Y8" s="255">
        <v>4</v>
      </c>
      <c r="Z8" s="255" t="s">
        <v>337</v>
      </c>
      <c r="AA8" s="255">
        <v>4</v>
      </c>
      <c r="AB8" s="255" t="s">
        <v>337</v>
      </c>
      <c r="AC8" s="255">
        <v>3</v>
      </c>
      <c r="AD8" s="255" t="s">
        <v>337</v>
      </c>
      <c r="AE8" s="262">
        <f>IF(COUNT(Y8,AA8,AC8)=0,"",Y8*0.02+AA8*0.02+AC8*0.01)</f>
        <v>0.19</v>
      </c>
      <c r="AF8" s="259">
        <f>IF(OR(COUNT(D8,F8,H8,J8,L8)&lt;5,COUNT(P8,R8,T8,V8)&lt;4,COUNT(Y8,AA8,AC8)&lt;3),"",(O8+X8+AE8)*20)</f>
        <v>83.800000000000011</v>
      </c>
      <c r="AG8" s="259" t="str">
        <f>IF(AF8="","",IF(AJ8="AVOID","AVOID",IF(AF8&gt;=80,IF(AH8="FAIL","WATCH LIST",IF(AK8="CAP AT BUY","BUY","STRONG BUY")),IF(AF8&gt;=65,IF(AH8="FAIL","WATCH LIST","BUY"),IF(AF8&gt;=50,"WATCH LIST",IF(AF8&gt;=35,"AVOID","PASS"))))))</f>
        <v>STRONG BUY</v>
      </c>
      <c r="AH8" s="259" t="str">
        <f>IF(N8="","",IF(N8&lt;3,"FAIL","OK"))</f>
        <v>OK</v>
      </c>
      <c r="AI8" s="259" t="str">
        <f>IF(COUNT(D8:L8)=0,"",IF(COUNTIF(D8:L8,1)&gt;0,"REVIEW","OK"))</f>
        <v>OK</v>
      </c>
      <c r="AJ8" s="259" t="str">
        <f>IF(COUNT(D8:L8)=0,"",IF(COUNTIF(D8:L8,"&lt;=2")&gt;=2,"AVOID","OK"))</f>
        <v>OK</v>
      </c>
      <c r="AK8" s="259" t="str">
        <f>IF(COUNTA(E8:M8)=0,"",IF(COUNTIF(E8:M8,"L")&gt;=2,"CAP AT BUY","OK"))</f>
        <v>OK</v>
      </c>
      <c r="AL8" s="261" t="s">
        <v>407</v>
      </c>
      <c r="AM8" s="261" t="s">
        <v>408</v>
      </c>
      <c r="AN8" s="116"/>
      <c r="AO8" s="92"/>
      <c r="AP8" s="116" t="str">
        <f>IF(OR(AN8="",AO8=""),"",IF(AN8&gt;AO8,"OK","LOW CONF"))</f>
        <v/>
      </c>
      <c r="AQ8" s="116"/>
      <c r="AR8" s="92"/>
      <c r="AS8" s="125" t="str">
        <f>IF(OR(AQ8="",AR8=""),"",IF(AQ8&lt;AR8,"Decreased",IF(AQ8&gt;AR8,"Increased","Flat")))</f>
        <v/>
      </c>
    </row>
    <row r="9" spans="1:45" ht="15" customHeight="1" x14ac:dyDescent="0.3">
      <c r="A9" s="252" t="s">
        <v>235</v>
      </c>
      <c r="B9" s="253" t="s">
        <v>359</v>
      </c>
      <c r="C9" s="254">
        <v>46245</v>
      </c>
      <c r="D9" s="255">
        <v>3</v>
      </c>
      <c r="E9" s="255" t="s">
        <v>337</v>
      </c>
      <c r="F9" s="255">
        <v>5</v>
      </c>
      <c r="G9" s="255" t="s">
        <v>338</v>
      </c>
      <c r="H9" s="255">
        <v>5</v>
      </c>
      <c r="I9" s="255" t="s">
        <v>338</v>
      </c>
      <c r="J9" s="255">
        <v>4</v>
      </c>
      <c r="K9" s="255" t="s">
        <v>337</v>
      </c>
      <c r="L9" s="255">
        <v>4</v>
      </c>
      <c r="M9" s="255" t="s">
        <v>338</v>
      </c>
      <c r="N9" s="256">
        <f>IF(COUNT(D9,F9,H9,J9,L9)=0,"",(D9*0.2+F9*0.15+H9*0.15+J9*0.1+L9*0.1)/(IF(D9&lt;&gt;"",0.2,0)+IF(F9&lt;&gt;"",0.15,0)+IF(H9&lt;&gt;"",0.15,0)+IF(J9&lt;&gt;"",0.1,0)+IF(L9&lt;&gt;"",0.1,0)))</f>
        <v>4.1428571428571432</v>
      </c>
      <c r="O9" s="257">
        <f>IF(COUNT(D9,F9,H9,J9,L9)=0,"",D9*0.2+F9*0.15+H9*0.15+J9*0.1+L9*0.1)</f>
        <v>2.9</v>
      </c>
      <c r="P9" s="255">
        <v>3</v>
      </c>
      <c r="Q9" s="255" t="s">
        <v>339</v>
      </c>
      <c r="R9" s="255">
        <v>5</v>
      </c>
      <c r="S9" s="255" t="s">
        <v>338</v>
      </c>
      <c r="T9" s="255">
        <v>5</v>
      </c>
      <c r="U9" s="255" t="s">
        <v>338</v>
      </c>
      <c r="V9" s="255">
        <v>1</v>
      </c>
      <c r="W9" s="255" t="s">
        <v>338</v>
      </c>
      <c r="X9" s="257">
        <f>IF(COUNT(P9,R9,T9,V9)=0,"",P9*0.08+R9*0.06+T9*0.03+V9*0.08)</f>
        <v>0.77</v>
      </c>
      <c r="Y9" s="255">
        <v>4</v>
      </c>
      <c r="Z9" s="255" t="s">
        <v>337</v>
      </c>
      <c r="AA9" s="255">
        <v>4</v>
      </c>
      <c r="AB9" s="255" t="s">
        <v>337</v>
      </c>
      <c r="AC9" s="255">
        <v>4</v>
      </c>
      <c r="AD9" s="255" t="s">
        <v>337</v>
      </c>
      <c r="AE9" s="257">
        <f>IF(COUNT(Y9,AA9,AC9)=0,"",Y9*0.02+AA9*0.02+AC9*0.01)</f>
        <v>0.2</v>
      </c>
      <c r="AF9" s="258">
        <f>IF(OR(COUNT(D9,F9,H9,J9,L9)&lt;5,COUNT(P9,R9,T9,V9)&lt;4,COUNT(Y9,AA9,AC9)&lt;3),"",(O9+X9+AE9)*20)</f>
        <v>77.400000000000006</v>
      </c>
      <c r="AG9" s="259" t="str">
        <f>IF(AF9="","",IF(AJ9="AVOID","AVOID",IF(AF9&gt;=80,IF(AH9="FAIL","WATCH LIST",IF(AK9="CAP AT BUY","BUY","STRONG BUY")),IF(AF9&gt;=65,IF(AH9="FAIL","WATCH LIST","BUY"),IF(AF9&gt;=50,"WATCH LIST",IF(AF9&gt;=35,"AVOID","PASS"))))))</f>
        <v>BUY</v>
      </c>
      <c r="AH9" s="259" t="str">
        <f>IF(N9="","",IF(N9&lt;3,"FAIL","OK"))</f>
        <v>OK</v>
      </c>
      <c r="AI9" s="259" t="str">
        <f>IF(COUNT(D9:L9)=0,"",IF(COUNTIF(D9:L9,1)&gt;0,"REVIEW","OK"))</f>
        <v>OK</v>
      </c>
      <c r="AJ9" s="259" t="str">
        <f>IF(COUNT(D9:L9)=0,"",IF(COUNTIF(D9:L9,"&lt;=2")&gt;=2,"AVOID","OK"))</f>
        <v>OK</v>
      </c>
      <c r="AK9" s="259" t="str">
        <f>IF(COUNTA(E9:M9)=0,"",IF(COUNTIF(E9:M9,"L")&gt;=2,"CAP AT BUY","OK"))</f>
        <v>OK</v>
      </c>
      <c r="AL9" s="261" t="s">
        <v>348</v>
      </c>
      <c r="AM9" s="261" t="s">
        <v>360</v>
      </c>
      <c r="AN9" s="116"/>
      <c r="AO9" s="92"/>
      <c r="AP9" s="116" t="str">
        <f>IF(OR(AN9="",AO9=""),"",IF(AN9&gt;AO9,"OK","LOW CONF"))</f>
        <v/>
      </c>
      <c r="AQ9" s="116"/>
      <c r="AR9" s="92"/>
      <c r="AS9" s="124" t="str">
        <f>IF(OR(AQ9="",AR9=""),"",IF(AQ9&lt;AR9,"Decreased",IF(AQ9&gt;AR9,"Increased","Flat")))</f>
        <v/>
      </c>
    </row>
    <row r="10" spans="1:45" ht="15" customHeight="1" x14ac:dyDescent="0.3">
      <c r="A10" s="252" t="s">
        <v>139</v>
      </c>
      <c r="B10" s="253" t="s">
        <v>140</v>
      </c>
      <c r="C10" s="254">
        <v>46278</v>
      </c>
      <c r="D10" s="255">
        <v>4</v>
      </c>
      <c r="E10" s="255" t="s">
        <v>337</v>
      </c>
      <c r="F10" s="255">
        <v>5</v>
      </c>
      <c r="G10" s="255" t="s">
        <v>337</v>
      </c>
      <c r="H10" s="255">
        <v>5</v>
      </c>
      <c r="I10" s="255" t="s">
        <v>337</v>
      </c>
      <c r="J10" s="255">
        <v>4</v>
      </c>
      <c r="K10" s="255" t="s">
        <v>337</v>
      </c>
      <c r="L10" s="255">
        <v>2</v>
      </c>
      <c r="M10" s="255" t="s">
        <v>337</v>
      </c>
      <c r="N10" s="256">
        <f>IF(COUNT(D10,F10,H10,J10,L10)=0,"",(D10*0.2+F10*0.15+H10*0.15+J10*0.1+L10*0.1)/(IF(D10&lt;&gt;"",0.2,0)+IF(F10&lt;&gt;"",0.15,0)+IF(H10&lt;&gt;"",0.15,0)+IF(J10&lt;&gt;"",0.1,0)+IF(L10&lt;&gt;"",0.1,0)))</f>
        <v>4.1428571428571432</v>
      </c>
      <c r="O10" s="257">
        <f>IF(COUNT(D10,F10,H10,J10,L10)=0,"",D10*0.2+F10*0.15+H10*0.15+J10*0.1+L10*0.1)</f>
        <v>2.9</v>
      </c>
      <c r="P10" s="255">
        <v>5</v>
      </c>
      <c r="Q10" s="255" t="s">
        <v>338</v>
      </c>
      <c r="R10" s="255">
        <v>5</v>
      </c>
      <c r="S10" s="255" t="s">
        <v>339</v>
      </c>
      <c r="T10" s="255">
        <v>3</v>
      </c>
      <c r="U10" s="255" t="s">
        <v>337</v>
      </c>
      <c r="V10" s="255">
        <v>4</v>
      </c>
      <c r="W10" s="255" t="s">
        <v>337</v>
      </c>
      <c r="X10" s="262">
        <f>IF(COUNT(P10,R10,T10,V10)=0,"",P10*0.08+R10*0.06+T10*0.03+V10*0.08)</f>
        <v>1.1099999999999999</v>
      </c>
      <c r="Y10" s="255">
        <v>5</v>
      </c>
      <c r="Z10" s="255" t="s">
        <v>337</v>
      </c>
      <c r="AA10" s="255">
        <v>4</v>
      </c>
      <c r="AB10" s="255" t="s">
        <v>337</v>
      </c>
      <c r="AC10" s="255">
        <v>2</v>
      </c>
      <c r="AD10" s="255" t="s">
        <v>337</v>
      </c>
      <c r="AE10" s="262">
        <f>IF(COUNT(Y10,AA10,AC10)=0,"",Y10*0.02+AA10*0.02+AC10*0.01)</f>
        <v>0.19999999999999998</v>
      </c>
      <c r="AF10" s="259">
        <f>IF(OR(COUNT(D10,F10,H10,J10,L10)&lt;5,COUNT(P10,R10,T10,V10)&lt;4,COUNT(Y10,AA10,AC10)&lt;3),"",(O10+X10+AE10)*20)</f>
        <v>84.2</v>
      </c>
      <c r="AG10" s="259" t="str">
        <f>IF(AF10="","",IF(AJ10="AVOID","AVOID",IF(AF10&gt;=80,IF(AH10="FAIL","WATCH LIST",IF(AK10="CAP AT BUY","BUY","STRONG BUY")),IF(AF10&gt;=65,IF(AH10="FAIL","WATCH LIST","BUY"),IF(AF10&gt;=50,"WATCH LIST",IF(AF10&gt;=35,"AVOID","PASS"))))))</f>
        <v>STRONG BUY</v>
      </c>
      <c r="AH10" s="259" t="str">
        <f>IF(N10="","",IF(N10&lt;3,"FAIL","OK"))</f>
        <v>OK</v>
      </c>
      <c r="AI10" s="259" t="str">
        <f>IF(COUNT(D10:L10)=0,"",IF(COUNTIF(D10:L10,1)&gt;0,"REVIEW","OK"))</f>
        <v>OK</v>
      </c>
      <c r="AJ10" s="259" t="str">
        <f>IF(COUNT(D10:L10)=0,"",IF(COUNTIF(D10:L10,"&lt;=2")&gt;=2,"AVOID","OK"))</f>
        <v>OK</v>
      </c>
      <c r="AK10" s="259" t="str">
        <f>IF(COUNTA(E10:M10)=0,"",IF(COUNTIF(E10:M10,"L")&gt;=2,"CAP AT BUY","OK"))</f>
        <v>OK</v>
      </c>
      <c r="AL10" s="261" t="s">
        <v>357</v>
      </c>
      <c r="AM10" s="261" t="s">
        <v>402</v>
      </c>
      <c r="AN10" s="116"/>
      <c r="AO10" s="92"/>
      <c r="AP10" s="116" t="str">
        <f>IF(OR(AN10="",AO10=""),"",IF(AN10&gt;AO10,"OK","LOW CONF"))</f>
        <v/>
      </c>
      <c r="AQ10" s="116"/>
      <c r="AR10" s="92"/>
      <c r="AS10" s="125" t="str">
        <f>IF(OR(AQ10="",AR10=""),"",IF(AQ10&lt;AR10,"Decreased",IF(AQ10&gt;AR10,"Increased","Flat")))</f>
        <v/>
      </c>
    </row>
    <row r="11" spans="1:45" ht="15" customHeight="1" x14ac:dyDescent="0.3">
      <c r="A11" s="252" t="s">
        <v>111</v>
      </c>
      <c r="B11" s="253" t="s">
        <v>112</v>
      </c>
      <c r="C11" s="254">
        <v>46278</v>
      </c>
      <c r="D11" s="255">
        <v>3</v>
      </c>
      <c r="E11" s="255" t="s">
        <v>337</v>
      </c>
      <c r="F11" s="255">
        <v>4</v>
      </c>
      <c r="G11" s="255" t="s">
        <v>337</v>
      </c>
      <c r="H11" s="255">
        <v>5</v>
      </c>
      <c r="I11" s="255" t="s">
        <v>337</v>
      </c>
      <c r="J11" s="255">
        <v>4</v>
      </c>
      <c r="K11" s="255" t="s">
        <v>337</v>
      </c>
      <c r="L11" s="255">
        <v>5</v>
      </c>
      <c r="M11" s="255" t="s">
        <v>337</v>
      </c>
      <c r="N11" s="256">
        <f>IF(COUNT(D11,F11,H11,J11,L11)=0,"",(D11*0.2+F11*0.15+H11*0.15+J11*0.1+L11*0.1)/(IF(D11&lt;&gt;"",0.2,0)+IF(F11&lt;&gt;"",0.15,0)+IF(H11&lt;&gt;"",0.15,0)+IF(J11&lt;&gt;"",0.1,0)+IF(L11&lt;&gt;"",0.1,0)))</f>
        <v>4.0714285714285721</v>
      </c>
      <c r="O11" s="257">
        <f>IF(COUNT(D11,F11,H11,J11,L11)=0,"",D11*0.2+F11*0.15+H11*0.15+J11*0.1+L11*0.1)</f>
        <v>2.85</v>
      </c>
      <c r="P11" s="255">
        <v>3</v>
      </c>
      <c r="Q11" s="255" t="s">
        <v>337</v>
      </c>
      <c r="R11" s="255">
        <v>5</v>
      </c>
      <c r="S11" s="255" t="s">
        <v>338</v>
      </c>
      <c r="T11" s="255">
        <v>3</v>
      </c>
      <c r="U11" s="255" t="s">
        <v>337</v>
      </c>
      <c r="V11" s="255">
        <v>2</v>
      </c>
      <c r="W11" s="255" t="s">
        <v>337</v>
      </c>
      <c r="X11" s="257">
        <f>IF(COUNT(P11,R11,T11,V11)=0,"",P11*0.08+R11*0.06+T11*0.03+V11*0.08)</f>
        <v>0.79</v>
      </c>
      <c r="Y11" s="255">
        <v>3</v>
      </c>
      <c r="Z11" s="255" t="s">
        <v>339</v>
      </c>
      <c r="AA11" s="255">
        <v>4</v>
      </c>
      <c r="AB11" s="255" t="s">
        <v>337</v>
      </c>
      <c r="AC11" s="255">
        <v>3</v>
      </c>
      <c r="AD11" s="255" t="s">
        <v>339</v>
      </c>
      <c r="AE11" s="257">
        <f>IF(COUNT(Y11,AA11,AC11)=0,"",Y11*0.02+AA11*0.02+AC11*0.01)</f>
        <v>0.17</v>
      </c>
      <c r="AF11" s="258">
        <f>IF(OR(COUNT(D11,F11,H11,J11,L11)&lt;5,COUNT(P11,R11,T11,V11)&lt;4,COUNT(Y11,AA11,AC11)&lt;3),"",(O11+X11+AE11)*20)</f>
        <v>76.2</v>
      </c>
      <c r="AG11" s="259" t="str">
        <f>IF(AF11="","",IF(AJ11="AVOID","AVOID",IF(AF11&gt;=80,IF(AH11="FAIL","WATCH LIST",IF(AK11="CAP AT BUY","BUY","STRONG BUY")),IF(AF11&gt;=65,IF(AH11="FAIL","WATCH LIST","BUY"),IF(AF11&gt;=50,"WATCH LIST",IF(AF11&gt;=35,"AVOID","PASS"))))))</f>
        <v>BUY</v>
      </c>
      <c r="AH11" s="259" t="str">
        <f>IF(N11="","",IF(N11&lt;3,"FAIL","OK"))</f>
        <v>OK</v>
      </c>
      <c r="AI11" s="259" t="str">
        <f>IF(COUNT(D11:L11)=0,"",IF(COUNTIF(D11:L11,1)&gt;0,"REVIEW","OK"))</f>
        <v>OK</v>
      </c>
      <c r="AJ11" s="259" t="str">
        <f>IF(COUNT(D11:L11)=0,"",IF(COUNTIF(D11:L11,"&lt;=2")&gt;=2,"AVOID","OK"))</f>
        <v>OK</v>
      </c>
      <c r="AK11" s="259" t="str">
        <f>IF(COUNTA(E11:M11)=0,"",IF(COUNTIF(E11:M11,"L")&gt;=2,"CAP AT BUY","OK"))</f>
        <v>OK</v>
      </c>
      <c r="AL11" s="260" t="s">
        <v>340</v>
      </c>
      <c r="AM11" s="261" t="s">
        <v>342</v>
      </c>
      <c r="AN11" s="116"/>
      <c r="AO11" s="92"/>
      <c r="AP11" s="116" t="str">
        <f>IF(OR(AN11="",AO11=""),"",IF(AN11&gt;AO11,"OK","LOW CONF"))</f>
        <v/>
      </c>
      <c r="AQ11" s="116"/>
      <c r="AR11" s="92"/>
      <c r="AS11" s="124" t="str">
        <f>IF(OR(AQ11="",AR11=""),"",IF(AQ11&lt;AR11,"Decreased",IF(AQ11&gt;AR11,"Increased","Flat")))</f>
        <v/>
      </c>
    </row>
    <row r="12" spans="1:45" ht="15" customHeight="1" x14ac:dyDescent="0.3">
      <c r="A12" s="252" t="s">
        <v>264</v>
      </c>
      <c r="B12" s="253" t="s">
        <v>387</v>
      </c>
      <c r="C12" s="254">
        <v>46278</v>
      </c>
      <c r="D12" s="255">
        <v>4</v>
      </c>
      <c r="E12" s="255" t="s">
        <v>337</v>
      </c>
      <c r="F12" s="255">
        <v>3</v>
      </c>
      <c r="G12" s="255" t="s">
        <v>337</v>
      </c>
      <c r="H12" s="255">
        <v>5</v>
      </c>
      <c r="I12" s="255" t="s">
        <v>338</v>
      </c>
      <c r="J12" s="255">
        <v>4</v>
      </c>
      <c r="K12" s="255" t="s">
        <v>337</v>
      </c>
      <c r="L12" s="255">
        <v>4</v>
      </c>
      <c r="M12" s="255" t="s">
        <v>337</v>
      </c>
      <c r="N12" s="256">
        <f>IF(COUNT(D12,F12,H12,J12,L12)=0,"",(D12*0.2+F12*0.15+H12*0.15+J12*0.1+L12*0.1)/(IF(D12&lt;&gt;"",0.2,0)+IF(F12&lt;&gt;"",0.15,0)+IF(H12&lt;&gt;"",0.15,0)+IF(J12&lt;&gt;"",0.1,0)+IF(L12&lt;&gt;"",0.1,0)))</f>
        <v>4</v>
      </c>
      <c r="O12" s="257">
        <f>IF(COUNT(D12,F12,H12,J12,L12)=0,"",D12*0.2+F12*0.15+H12*0.15+J12*0.1+L12*0.1)</f>
        <v>2.8</v>
      </c>
      <c r="P12" s="255"/>
      <c r="Q12" s="255"/>
      <c r="R12" s="255"/>
      <c r="S12" s="255"/>
      <c r="T12" s="255"/>
      <c r="U12" s="255"/>
      <c r="V12" s="255"/>
      <c r="W12" s="255"/>
      <c r="X12" s="262" t="str">
        <f>IF(COUNT(P12,R12,T12,V12)=0,"",P12*0.08+R12*0.06+T12*0.03+V12*0.08)</f>
        <v/>
      </c>
      <c r="Y12" s="255"/>
      <c r="Z12" s="255"/>
      <c r="AA12" s="255"/>
      <c r="AB12" s="255"/>
      <c r="AC12" s="255"/>
      <c r="AD12" s="255"/>
      <c r="AE12" s="262" t="str">
        <f>IF(COUNT(Y12,AA12,AC12)=0,"",Y12*0.02+AA12*0.02+AC12*0.01)</f>
        <v/>
      </c>
      <c r="AF12" s="259" t="str">
        <f>IF(OR(COUNT(D12,F12,H12,J12,L12)&lt;5,COUNT(P12,R12,T12,V12)&lt;4,COUNT(Y12,AA12,AC12)&lt;3),"",(O12+X12+AE12)*20)</f>
        <v/>
      </c>
      <c r="AG12" s="259" t="str">
        <f>IF(AF12="","",IF(AJ12="AVOID","AVOID",IF(AF12&gt;=80,IF(AH12="FAIL","WATCH LIST",IF(AK12="CAP AT BUY","BUY","STRONG BUY")),IF(AF12&gt;=65,IF(AH12="FAIL","WATCH LIST","BUY"),IF(AF12&gt;=50,"WATCH LIST",IF(AF12&gt;=35,"AVOID","PASS"))))))</f>
        <v/>
      </c>
      <c r="AH12" s="259" t="str">
        <f>IF(N12="","",IF(N12&lt;3,"FAIL","OK"))</f>
        <v>OK</v>
      </c>
      <c r="AI12" s="259" t="str">
        <f>IF(COUNT(D12:L12)=0,"",IF(COUNTIF(D12:L12,1)&gt;0,"REVIEW","OK"))</f>
        <v>OK</v>
      </c>
      <c r="AJ12" s="259" t="str">
        <f>IF(COUNT(D12:L12)=0,"",IF(COUNTIF(D12:L12,"&lt;=2")&gt;=2,"AVOID","OK"))</f>
        <v>OK</v>
      </c>
      <c r="AK12" s="259" t="str">
        <f>IF(COUNTA(E12:M12)=0,"",IF(COUNTIF(E12:M12,"L")&gt;=2,"CAP AT BUY","OK"))</f>
        <v>OK</v>
      </c>
      <c r="AL12" s="261" t="s">
        <v>348</v>
      </c>
      <c r="AM12" s="261" t="s">
        <v>384</v>
      </c>
      <c r="AN12" s="116"/>
      <c r="AO12" s="92"/>
      <c r="AP12" s="116" t="str">
        <f>IF(OR(AN12="",AO12=""),"",IF(AN12&gt;AO12,"OK","LOW CONF"))</f>
        <v/>
      </c>
      <c r="AQ12" s="116"/>
      <c r="AR12" s="92"/>
      <c r="AS12" s="125" t="str">
        <f>IF(OR(AQ12="",AR12=""),"",IF(AQ12&lt;AR12,"Decreased",IF(AQ12&gt;AR12,"Increased","Flat")))</f>
        <v/>
      </c>
    </row>
    <row r="13" spans="1:45" ht="15" customHeight="1" x14ac:dyDescent="0.3">
      <c r="A13" s="252" t="s">
        <v>276</v>
      </c>
      <c r="B13" s="253" t="s">
        <v>409</v>
      </c>
      <c r="C13" s="254">
        <v>46276</v>
      </c>
      <c r="D13" s="255">
        <v>4</v>
      </c>
      <c r="E13" s="255" t="s">
        <v>337</v>
      </c>
      <c r="F13" s="255">
        <v>4</v>
      </c>
      <c r="G13" s="255" t="s">
        <v>337</v>
      </c>
      <c r="H13" s="255"/>
      <c r="I13" s="255"/>
      <c r="J13" s="255"/>
      <c r="K13" s="255"/>
      <c r="L13" s="255">
        <v>4</v>
      </c>
      <c r="M13" s="255" t="s">
        <v>337</v>
      </c>
      <c r="N13" s="256">
        <f>IF(COUNT(D13,F13,H13,J13,L13)=0,"",(D13*0.2+F13*0.15+H13*0.15+J13*0.1+L13*0.1)/(IF(D13&lt;&gt;"",0.2,0)+IF(F13&lt;&gt;"",0.15,0)+IF(H13&lt;&gt;"",0.15,0)+IF(J13&lt;&gt;"",0.1,0)+IF(L13&lt;&gt;"",0.1,0)))</f>
        <v>4</v>
      </c>
      <c r="O13" s="257">
        <f>IF(COUNT(D13,F13,H13,J13,L13)=0,"",D13*0.2+F13*0.15+H13*0.15+J13*0.1+L13*0.1)</f>
        <v>1.7999999999999998</v>
      </c>
      <c r="P13" s="255"/>
      <c r="Q13" s="255"/>
      <c r="R13" s="255"/>
      <c r="S13" s="255"/>
      <c r="T13" s="255"/>
      <c r="U13" s="255"/>
      <c r="V13" s="255"/>
      <c r="W13" s="255"/>
      <c r="X13" s="257" t="str">
        <f>IF(COUNT(P13,R13,T13,V13)=0,"",P13*0.08+R13*0.06+T13*0.03+V13*0.08)</f>
        <v/>
      </c>
      <c r="Y13" s="255"/>
      <c r="Z13" s="255"/>
      <c r="AA13" s="255"/>
      <c r="AB13" s="255"/>
      <c r="AC13" s="255"/>
      <c r="AD13" s="255"/>
      <c r="AE13" s="257" t="str">
        <f>IF(COUNT(Y13,AA13,AC13)=0,"",Y13*0.02+AA13*0.02+AC13*0.01)</f>
        <v/>
      </c>
      <c r="AF13" s="259" t="str">
        <f>IF(OR(COUNT(D13,F13,H13,J13,L13)&lt;5,COUNT(P13,R13,T13,V13)&lt;4,COUNT(Y13,AA13,AC13)&lt;3),"",(O13+X13+AE13)*20)</f>
        <v/>
      </c>
      <c r="AG13" s="259" t="str">
        <f>IF(AF13="","",IF(AJ13="AVOID","AVOID",IF(AF13&gt;=80,IF(AH13="FAIL","WATCH LIST",IF(AK13="CAP AT BUY","BUY","STRONG BUY")),IF(AF13&gt;=65,IF(AH13="FAIL","WATCH LIST","BUY"),IF(AF13&gt;=50,"WATCH LIST",IF(AF13&gt;=35,"AVOID","PASS"))))))</f>
        <v/>
      </c>
      <c r="AH13" s="259" t="str">
        <f>IF(N13="","",IF(N13&lt;3,"FAIL","OK"))</f>
        <v>OK</v>
      </c>
      <c r="AI13" s="259" t="str">
        <f>IF(COUNT(D13:L13)=0,"",IF(COUNTIF(D13:L13,1)&gt;0,"REVIEW","OK"))</f>
        <v>OK</v>
      </c>
      <c r="AJ13" s="259" t="str">
        <f>IF(COUNT(D13:L13)=0,"",IF(COUNTIF(D13:L13,"&lt;=2")&gt;=2,"AVOID","OK"))</f>
        <v>OK</v>
      </c>
      <c r="AK13" s="259" t="str">
        <f>IF(COUNTA(E13:M13)=0,"",IF(COUNTIF(E13:M13,"L")&gt;=2,"CAP AT BUY","OK"))</f>
        <v>OK</v>
      </c>
      <c r="AL13" s="261" t="s">
        <v>367</v>
      </c>
      <c r="AM13" s="261" t="s">
        <v>372</v>
      </c>
      <c r="AN13" s="116"/>
      <c r="AO13" s="92"/>
      <c r="AP13" s="116" t="str">
        <f>IF(OR(AN13="",AO13=""),"",IF(AN13&gt;AO13,"OK","LOW CONF"))</f>
        <v/>
      </c>
      <c r="AQ13" s="116"/>
      <c r="AR13" s="92"/>
      <c r="AS13" s="125" t="str">
        <f>IF(OR(AQ13="",AR13=""),"",IF(AQ13&lt;AR13,"Decreased",IF(AQ13&gt;AR13,"Increased","Flat")))</f>
        <v/>
      </c>
    </row>
    <row r="14" spans="1:45" ht="15" customHeight="1" x14ac:dyDescent="0.3">
      <c r="A14" s="252" t="s">
        <v>169</v>
      </c>
      <c r="B14" s="253" t="s">
        <v>345</v>
      </c>
      <c r="C14" s="254">
        <v>46295</v>
      </c>
      <c r="D14" s="255">
        <v>4</v>
      </c>
      <c r="E14" s="255" t="s">
        <v>337</v>
      </c>
      <c r="F14" s="255">
        <v>2</v>
      </c>
      <c r="G14" s="255" t="s">
        <v>339</v>
      </c>
      <c r="H14" s="255">
        <v>5</v>
      </c>
      <c r="I14" s="255" t="s">
        <v>338</v>
      </c>
      <c r="J14" s="255">
        <v>4</v>
      </c>
      <c r="K14" s="255" t="s">
        <v>337</v>
      </c>
      <c r="L14" s="255">
        <v>5</v>
      </c>
      <c r="M14" s="255" t="s">
        <v>338</v>
      </c>
      <c r="N14" s="256">
        <f>IF(COUNT(D14,F14,H14,J14,L14)=0,"",(D14*0.2+F14*0.15+H14*0.15+J14*0.1+L14*0.1)/(IF(D14&lt;&gt;"",0.2,0)+IF(F14&lt;&gt;"",0.15,0)+IF(H14&lt;&gt;"",0.15,0)+IF(J14&lt;&gt;"",0.1,0)+IF(L14&lt;&gt;"",0.1,0)))</f>
        <v>3.9285714285714288</v>
      </c>
      <c r="O14" s="257">
        <f>IF(COUNT(D14,F14,H14,J14,L14)=0,"",D14*0.2+F14*0.15+H14*0.15+J14*0.1+L14*0.1)</f>
        <v>2.75</v>
      </c>
      <c r="P14" s="255">
        <v>5</v>
      </c>
      <c r="Q14" s="255" t="s">
        <v>338</v>
      </c>
      <c r="R14" s="255">
        <v>3</v>
      </c>
      <c r="S14" s="255" t="s">
        <v>339</v>
      </c>
      <c r="T14" s="255">
        <v>4</v>
      </c>
      <c r="U14" s="255" t="s">
        <v>339</v>
      </c>
      <c r="V14" s="255">
        <v>2</v>
      </c>
      <c r="W14" s="255" t="s">
        <v>338</v>
      </c>
      <c r="X14" s="257">
        <f>IF(COUNT(P14,R14,T14,V14)=0,"",P14*0.08+R14*0.06+T14*0.03+V14*0.08)</f>
        <v>0.8600000000000001</v>
      </c>
      <c r="Y14" s="255">
        <v>4</v>
      </c>
      <c r="Z14" s="255" t="s">
        <v>339</v>
      </c>
      <c r="AA14" s="255">
        <v>4</v>
      </c>
      <c r="AB14" s="255" t="s">
        <v>337</v>
      </c>
      <c r="AC14" s="255">
        <v>3</v>
      </c>
      <c r="AD14" s="255" t="s">
        <v>339</v>
      </c>
      <c r="AE14" s="257">
        <f>IF(COUNT(Y14,AA14,AC14)=0,"",Y14*0.02+AA14*0.02+AC14*0.01)</f>
        <v>0.19</v>
      </c>
      <c r="AF14" s="258">
        <f>IF(OR(COUNT(D14,F14,H14,J14,L14)&lt;5,COUNT(P14,R14,T14,V14)&lt;4,COUNT(Y14,AA14,AC14)&lt;3),"",(O14+X14+AE14)*20)</f>
        <v>76</v>
      </c>
      <c r="AG14" s="259" t="str">
        <f>IF(AF14="","",IF(AJ14="AVOID","AVOID",IF(AF14&gt;=80,IF(AH14="FAIL","WATCH LIST",IF(AK14="CAP AT BUY","BUY","STRONG BUY")),IF(AF14&gt;=65,IF(AH14="FAIL","WATCH LIST","BUY"),IF(AF14&gt;=50,"WATCH LIST",IF(AF14&gt;=35,"AVOID","PASS"))))))</f>
        <v>BUY</v>
      </c>
      <c r="AH14" s="259" t="str">
        <f>IF(N14="","",IF(N14&lt;3,"FAIL","OK"))</f>
        <v>OK</v>
      </c>
      <c r="AI14" s="259" t="str">
        <f>IF(COUNT(D14:L14)=0,"",IF(COUNTIF(D14:L14,1)&gt;0,"REVIEW","OK"))</f>
        <v>OK</v>
      </c>
      <c r="AJ14" s="259" t="str">
        <f>IF(COUNT(D14:L14)=0,"",IF(COUNTIF(D14:L14,"&lt;=2")&gt;=2,"AVOID","OK"))</f>
        <v>OK</v>
      </c>
      <c r="AK14" s="259" t="str">
        <f>IF(COUNTA(E14:M14)=0,"",IF(COUNTIF(E14:M14,"L")&gt;=2,"CAP AT BUY","OK"))</f>
        <v>OK</v>
      </c>
      <c r="AL14" s="260" t="s">
        <v>346</v>
      </c>
      <c r="AM14" s="261" t="s">
        <v>347</v>
      </c>
      <c r="AN14" s="116"/>
      <c r="AO14" s="92"/>
      <c r="AP14" s="116" t="str">
        <f>IF(OR(AN14="",AO14=""),"",IF(AN14&gt;AO14,"OK","LOW CONF"))</f>
        <v/>
      </c>
      <c r="AQ14" s="116"/>
      <c r="AR14" s="92"/>
      <c r="AS14" s="124" t="str">
        <f>IF(OR(AQ14="",AR14=""),"",IF(AQ14&lt;AR14,"Decreased",IF(AQ14&gt;AR14,"Increased","Flat")))</f>
        <v/>
      </c>
    </row>
    <row r="15" spans="1:45" ht="15" customHeight="1" x14ac:dyDescent="0.3">
      <c r="A15" s="252" t="s">
        <v>115</v>
      </c>
      <c r="B15" s="253" t="s">
        <v>116</v>
      </c>
      <c r="C15" s="254">
        <v>46278</v>
      </c>
      <c r="D15" s="255">
        <v>3</v>
      </c>
      <c r="E15" s="255" t="s">
        <v>337</v>
      </c>
      <c r="F15" s="255">
        <v>5</v>
      </c>
      <c r="G15" s="255" t="s">
        <v>337</v>
      </c>
      <c r="H15" s="255">
        <v>4</v>
      </c>
      <c r="I15" s="255" t="s">
        <v>337</v>
      </c>
      <c r="J15" s="255">
        <v>4</v>
      </c>
      <c r="K15" s="255" t="s">
        <v>337</v>
      </c>
      <c r="L15" s="255">
        <v>4</v>
      </c>
      <c r="M15" s="255" t="s">
        <v>337</v>
      </c>
      <c r="N15" s="256">
        <f>IF(COUNT(D15,F15,H15,J15,L15)=0,"",(D15*0.2+F15*0.15+H15*0.15+J15*0.1+L15*0.1)/(IF(D15&lt;&gt;"",0.2,0)+IF(F15&lt;&gt;"",0.15,0)+IF(H15&lt;&gt;"",0.15,0)+IF(J15&lt;&gt;"",0.1,0)+IF(L15&lt;&gt;"",0.1,0)))</f>
        <v>3.9285714285714288</v>
      </c>
      <c r="O15" s="257">
        <f>IF(COUNT(D15,F15,H15,J15,L15)=0,"",D15*0.2+F15*0.15+H15*0.15+J15*0.1+L15*0.1)</f>
        <v>2.75</v>
      </c>
      <c r="P15" s="255">
        <v>4</v>
      </c>
      <c r="Q15" s="255" t="s">
        <v>337</v>
      </c>
      <c r="R15" s="255">
        <v>5</v>
      </c>
      <c r="S15" s="255" t="s">
        <v>338</v>
      </c>
      <c r="T15" s="255">
        <v>4</v>
      </c>
      <c r="U15" s="255" t="s">
        <v>337</v>
      </c>
      <c r="V15" s="255">
        <v>2</v>
      </c>
      <c r="W15" s="255" t="s">
        <v>337</v>
      </c>
      <c r="X15" s="257">
        <f>IF(COUNT(P15,R15,T15,V15)=0,"",P15*0.08+R15*0.06+T15*0.03+V15*0.08)</f>
        <v>0.9</v>
      </c>
      <c r="Y15" s="255">
        <v>4</v>
      </c>
      <c r="Z15" s="255" t="s">
        <v>337</v>
      </c>
      <c r="AA15" s="255">
        <v>4</v>
      </c>
      <c r="AB15" s="255" t="s">
        <v>337</v>
      </c>
      <c r="AC15" s="255">
        <v>3</v>
      </c>
      <c r="AD15" s="255" t="s">
        <v>339</v>
      </c>
      <c r="AE15" s="257">
        <f>IF(COUNT(Y15,AA15,AC15)=0,"",Y15*0.02+AA15*0.02+AC15*0.01)</f>
        <v>0.19</v>
      </c>
      <c r="AF15" s="258">
        <f>IF(OR(COUNT(D15,F15,H15,J15,L15)&lt;5,COUNT(P15,R15,T15,V15)&lt;4,COUNT(Y15,AA15,AC15)&lt;3),"",(O15+X15+AE15)*20)</f>
        <v>76.8</v>
      </c>
      <c r="AG15" s="259" t="str">
        <f>IF(AF15="","",IF(AJ15="AVOID","AVOID",IF(AF15&gt;=80,IF(AH15="FAIL","WATCH LIST",IF(AK15="CAP AT BUY","BUY","STRONG BUY")),IF(AF15&gt;=65,IF(AH15="FAIL","WATCH LIST","BUY"),IF(AF15&gt;=50,"WATCH LIST",IF(AF15&gt;=35,"AVOID","PASS"))))))</f>
        <v>BUY</v>
      </c>
      <c r="AH15" s="259" t="str">
        <f>IF(N15="","",IF(N15&lt;3,"FAIL","OK"))</f>
        <v>OK</v>
      </c>
      <c r="AI15" s="259" t="str">
        <f>IF(COUNT(D15:L15)=0,"",IF(COUNTIF(D15:L15,1)&gt;0,"REVIEW","OK"))</f>
        <v>OK</v>
      </c>
      <c r="AJ15" s="259" t="str">
        <f>IF(COUNT(D15:L15)=0,"",IF(COUNTIF(D15:L15,"&lt;=2")&gt;=2,"AVOID","OK"))</f>
        <v>OK</v>
      </c>
      <c r="AK15" s="259" t="str">
        <f>IF(COUNTA(E15:M15)=0,"",IF(COUNTIF(E15:M15,"L")&gt;=2,"CAP AT BUY","OK"))</f>
        <v>OK</v>
      </c>
      <c r="AL15" s="261" t="s">
        <v>357</v>
      </c>
      <c r="AM15" s="261" t="s">
        <v>358</v>
      </c>
      <c r="AN15" s="121">
        <v>2113800000</v>
      </c>
      <c r="AO15" s="122">
        <v>1332800000</v>
      </c>
      <c r="AP15" s="116" t="str">
        <f>IF(OR(AN15="",AO15=""),"",IF(AN15&gt;AO15,"OK","LOW CONF"))</f>
        <v>OK</v>
      </c>
      <c r="AQ15" s="123">
        <v>1.71</v>
      </c>
      <c r="AR15" s="118">
        <v>2.7709999999999999</v>
      </c>
      <c r="AS15" s="124" t="str">
        <f>IF(OR(AQ15="",AR15=""),"",IF(AQ15&lt;AR15,"Decreased",IF(AQ15&gt;AR15,"Increased","Flat")))</f>
        <v>Decreased</v>
      </c>
    </row>
    <row r="16" spans="1:45" ht="15" customHeight="1" x14ac:dyDescent="0.3">
      <c r="A16" s="252" t="s">
        <v>240</v>
      </c>
      <c r="B16" s="253" t="s">
        <v>390</v>
      </c>
      <c r="C16" s="254">
        <v>46278</v>
      </c>
      <c r="D16" s="255">
        <v>5</v>
      </c>
      <c r="E16" s="255" t="s">
        <v>337</v>
      </c>
      <c r="F16" s="255">
        <v>2</v>
      </c>
      <c r="G16" s="255" t="s">
        <v>337</v>
      </c>
      <c r="H16" s="255">
        <v>5</v>
      </c>
      <c r="I16" s="255" t="s">
        <v>338</v>
      </c>
      <c r="J16" s="255">
        <v>4</v>
      </c>
      <c r="K16" s="255" t="s">
        <v>338</v>
      </c>
      <c r="L16" s="255">
        <v>3</v>
      </c>
      <c r="M16" s="255" t="s">
        <v>337</v>
      </c>
      <c r="N16" s="256">
        <f>IF(COUNT(D16,F16,H16,J16,L16)=0,"",(D16*0.2+F16*0.15+H16*0.15+J16*0.1+L16*0.1)/(IF(D16&lt;&gt;"",0.2,0)+IF(F16&lt;&gt;"",0.15,0)+IF(H16&lt;&gt;"",0.15,0)+IF(J16&lt;&gt;"",0.1,0)+IF(L16&lt;&gt;"",0.1,0)))</f>
        <v>3.9285714285714288</v>
      </c>
      <c r="O16" s="257">
        <f>IF(COUNT(D16,F16,H16,J16,L16)=0,"",D16*0.2+F16*0.15+H16*0.15+J16*0.1+L16*0.1)</f>
        <v>2.75</v>
      </c>
      <c r="P16" s="255"/>
      <c r="Q16" s="255"/>
      <c r="R16" s="255"/>
      <c r="S16" s="255"/>
      <c r="T16" s="255"/>
      <c r="U16" s="255"/>
      <c r="V16" s="255"/>
      <c r="W16" s="255"/>
      <c r="X16" s="262" t="str">
        <f>IF(COUNT(P16,R16,T16,V16)=0,"",P16*0.08+R16*0.06+T16*0.03+V16*0.08)</f>
        <v/>
      </c>
      <c r="Y16" s="255"/>
      <c r="Z16" s="255"/>
      <c r="AA16" s="255"/>
      <c r="AB16" s="255"/>
      <c r="AC16" s="255"/>
      <c r="AD16" s="255"/>
      <c r="AE16" s="262" t="str">
        <f>IF(COUNT(Y16,AA16,AC16)=0,"",Y16*0.02+AA16*0.02+AC16*0.01)</f>
        <v/>
      </c>
      <c r="AF16" s="259" t="str">
        <f>IF(OR(COUNT(D16,F16,H16,J16,L16)&lt;5,COUNT(P16,R16,T16,V16)&lt;4,COUNT(Y16,AA16,AC16)&lt;3),"",(O16+X16+AE16)*20)</f>
        <v/>
      </c>
      <c r="AG16" s="259" t="str">
        <f>IF(AF16="","",IF(AJ16="AVOID","AVOID",IF(AF16&gt;=80,IF(AH16="FAIL","WATCH LIST",IF(AK16="CAP AT BUY","BUY","STRONG BUY")),IF(AF16&gt;=65,IF(AH16="FAIL","WATCH LIST","BUY"),IF(AF16&gt;=50,"WATCH LIST",IF(AF16&gt;=35,"AVOID","PASS"))))))</f>
        <v/>
      </c>
      <c r="AH16" s="259" t="str">
        <f>IF(N16="","",IF(N16&lt;3,"FAIL","OK"))</f>
        <v>OK</v>
      </c>
      <c r="AI16" s="259" t="str">
        <f>IF(COUNT(D16:L16)=0,"",IF(COUNTIF(D16:L16,1)&gt;0,"REVIEW","OK"))</f>
        <v>OK</v>
      </c>
      <c r="AJ16" s="259" t="str">
        <f>IF(COUNT(D16:L16)=0,"",IF(COUNTIF(D16:L16,"&lt;=2")&gt;=2,"AVOID","OK"))</f>
        <v>OK</v>
      </c>
      <c r="AK16" s="259" t="str">
        <f>IF(COUNTA(E16:M16)=0,"",IF(COUNTIF(E16:M16,"L")&gt;=2,"CAP AT BUY","OK"))</f>
        <v>OK</v>
      </c>
      <c r="AL16" s="261" t="s">
        <v>350</v>
      </c>
      <c r="AM16" s="261" t="s">
        <v>389</v>
      </c>
      <c r="AN16" s="116"/>
      <c r="AO16" s="92"/>
      <c r="AP16" s="116" t="str">
        <f>IF(OR(AN16="",AO16=""),"",IF(AN16&gt;AO16,"OK","LOW CONF"))</f>
        <v/>
      </c>
      <c r="AQ16" s="116"/>
      <c r="AR16" s="92"/>
      <c r="AS16" s="125" t="str">
        <f>IF(OR(AQ16="",AR16=""),"",IF(AQ16&lt;AR16,"Decreased",IF(AQ16&gt;AR16,"Increased","Flat")))</f>
        <v/>
      </c>
    </row>
    <row r="17" spans="1:45" ht="15" customHeight="1" x14ac:dyDescent="0.3">
      <c r="A17" s="252" t="s">
        <v>101</v>
      </c>
      <c r="B17" s="253" t="s">
        <v>102</v>
      </c>
      <c r="C17" s="254">
        <v>46278</v>
      </c>
      <c r="D17" s="255">
        <v>3</v>
      </c>
      <c r="E17" s="255" t="s">
        <v>337</v>
      </c>
      <c r="F17" s="255">
        <v>3</v>
      </c>
      <c r="G17" s="255" t="s">
        <v>337</v>
      </c>
      <c r="H17" s="255">
        <v>5</v>
      </c>
      <c r="I17" s="255" t="s">
        <v>338</v>
      </c>
      <c r="J17" s="255">
        <v>4</v>
      </c>
      <c r="K17" s="255" t="s">
        <v>337</v>
      </c>
      <c r="L17" s="255">
        <v>5</v>
      </c>
      <c r="M17" s="255" t="s">
        <v>337</v>
      </c>
      <c r="N17" s="256">
        <f>IF(COUNT(D17,F17,H17,J17,L17)=0,"",(D17*0.2+F17*0.15+H17*0.15+J17*0.1+L17*0.1)/(IF(D17&lt;&gt;"",0.2,0)+IF(F17&lt;&gt;"",0.15,0)+IF(H17&lt;&gt;"",0.15,0)+IF(J17&lt;&gt;"",0.1,0)+IF(L17&lt;&gt;"",0.1,0)))</f>
        <v>3.8571428571428577</v>
      </c>
      <c r="O17" s="257">
        <f>IF(COUNT(D17,F17,H17,J17,L17)=0,"",D17*0.2+F17*0.15+H17*0.15+J17*0.1+L17*0.1)</f>
        <v>2.7</v>
      </c>
      <c r="P17" s="255">
        <v>4</v>
      </c>
      <c r="Q17" s="255" t="s">
        <v>337</v>
      </c>
      <c r="R17" s="255">
        <v>5</v>
      </c>
      <c r="S17" s="255" t="s">
        <v>338</v>
      </c>
      <c r="T17" s="255">
        <v>5</v>
      </c>
      <c r="U17" s="255" t="s">
        <v>338</v>
      </c>
      <c r="V17" s="255">
        <v>2</v>
      </c>
      <c r="W17" s="255" t="s">
        <v>337</v>
      </c>
      <c r="X17" s="257">
        <f>IF(COUNT(P17,R17,T17,V17)=0,"",P17*0.08+R17*0.06+T17*0.03+V17*0.08)</f>
        <v>0.93</v>
      </c>
      <c r="Y17" s="255">
        <v>5</v>
      </c>
      <c r="Z17" s="255" t="s">
        <v>337</v>
      </c>
      <c r="AA17" s="255">
        <v>5</v>
      </c>
      <c r="AB17" s="255" t="s">
        <v>338</v>
      </c>
      <c r="AC17" s="255">
        <v>3</v>
      </c>
      <c r="AD17" s="255" t="s">
        <v>339</v>
      </c>
      <c r="AE17" s="257">
        <f>IF(COUNT(Y17,AA17,AC17)=0,"",Y17*0.02+AA17*0.02+AC17*0.01)</f>
        <v>0.23</v>
      </c>
      <c r="AF17" s="258">
        <f>IF(OR(COUNT(D17,F17,H17,J17,L17)&lt;5,COUNT(P17,R17,T17,V17)&lt;4,COUNT(Y17,AA17,AC17)&lt;3),"",(O17+X17+AE17)*20)</f>
        <v>77.2</v>
      </c>
      <c r="AG17" s="259" t="str">
        <f>IF(AF17="","",IF(AJ17="AVOID","AVOID",IF(AF17&gt;=80,IF(AH17="FAIL","WATCH LIST",IF(AK17="CAP AT BUY","BUY","STRONG BUY")),IF(AF17&gt;=65,IF(AH17="FAIL","WATCH LIST","BUY"),IF(AF17&gt;=50,"WATCH LIST",IF(AF17&gt;=35,"AVOID","PASS"))))))</f>
        <v>BUY</v>
      </c>
      <c r="AH17" s="259" t="str">
        <f>IF(N17="","",IF(N17&lt;3,"FAIL","OK"))</f>
        <v>OK</v>
      </c>
      <c r="AI17" s="259" t="str">
        <f>IF(COUNT(D17:L17)=0,"",IF(COUNTIF(D17:L17,1)&gt;0,"REVIEW","OK"))</f>
        <v>OK</v>
      </c>
      <c r="AJ17" s="259" t="str">
        <f>IF(COUNT(D17:L17)=0,"",IF(COUNTIF(D17:L17,"&lt;=2")&gt;=2,"AVOID","OK"))</f>
        <v>OK</v>
      </c>
      <c r="AK17" s="259" t="str">
        <f>IF(COUNTA(E17:M17)=0,"",IF(COUNTIF(E17:M17,"L")&gt;=2,"CAP AT BUY","OK"))</f>
        <v>OK</v>
      </c>
      <c r="AL17" s="260" t="s">
        <v>340</v>
      </c>
      <c r="AM17" s="261" t="s">
        <v>355</v>
      </c>
      <c r="AN17" s="116"/>
      <c r="AO17" s="92"/>
      <c r="AP17" s="116" t="str">
        <f>IF(OR(AN17="",AO17=""),"",IF(AN17&gt;AO17,"OK","LOW CONF"))</f>
        <v/>
      </c>
      <c r="AQ17" s="116"/>
      <c r="AR17" s="92"/>
      <c r="AS17" s="124" t="str">
        <f>IF(OR(AQ17="",AR17=""),"",IF(AQ17&lt;AR17,"Decreased",IF(AQ17&gt;AR17,"Increased","Flat")))</f>
        <v/>
      </c>
    </row>
    <row r="18" spans="1:45" ht="15" customHeight="1" x14ac:dyDescent="0.3">
      <c r="A18" s="252" t="s">
        <v>274</v>
      </c>
      <c r="B18" s="253" t="s">
        <v>392</v>
      </c>
      <c r="C18" s="254">
        <v>46278</v>
      </c>
      <c r="D18" s="255">
        <v>4</v>
      </c>
      <c r="E18" s="255" t="s">
        <v>337</v>
      </c>
      <c r="F18" s="255">
        <v>3</v>
      </c>
      <c r="G18" s="255" t="s">
        <v>337</v>
      </c>
      <c r="H18" s="255">
        <v>4</v>
      </c>
      <c r="I18" s="255" t="s">
        <v>337</v>
      </c>
      <c r="J18" s="255">
        <v>4</v>
      </c>
      <c r="K18" s="255" t="s">
        <v>338</v>
      </c>
      <c r="L18" s="255">
        <v>4</v>
      </c>
      <c r="M18" s="255" t="s">
        <v>337</v>
      </c>
      <c r="N18" s="256">
        <f>IF(COUNT(D18,F18,H18,J18,L18)=0,"",(D18*0.2+F18*0.15+H18*0.15+J18*0.1+L18*0.1)/(IF(D18&lt;&gt;"",0.2,0)+IF(F18&lt;&gt;"",0.15,0)+IF(H18&lt;&gt;"",0.15,0)+IF(J18&lt;&gt;"",0.1,0)+IF(L18&lt;&gt;"",0.1,0)))</f>
        <v>3.785714285714286</v>
      </c>
      <c r="O18" s="257">
        <f>IF(COUNT(D18,F18,H18,J18,L18)=0,"",D18*0.2+F18*0.15+H18*0.15+J18*0.1+L18*0.1)</f>
        <v>2.65</v>
      </c>
      <c r="P18" s="255"/>
      <c r="Q18" s="255"/>
      <c r="R18" s="255"/>
      <c r="S18" s="255"/>
      <c r="T18" s="255"/>
      <c r="U18" s="255"/>
      <c r="V18" s="255"/>
      <c r="W18" s="255"/>
      <c r="X18" s="262" t="str">
        <f>IF(COUNT(P18,R18,T18,V18)=0,"",P18*0.08+R18*0.06+T18*0.03+V18*0.08)</f>
        <v/>
      </c>
      <c r="Y18" s="255"/>
      <c r="Z18" s="255"/>
      <c r="AA18" s="255"/>
      <c r="AB18" s="255"/>
      <c r="AC18" s="255"/>
      <c r="AD18" s="255"/>
      <c r="AE18" s="262" t="str">
        <f>IF(COUNT(Y18,AA18,AC18)=0,"",Y18*0.02+AA18*0.02+AC18*0.01)</f>
        <v/>
      </c>
      <c r="AF18" s="259" t="str">
        <f>IF(OR(COUNT(D18,F18,H18,J18,L18)&lt;5,COUNT(P18,R18,T18,V18)&lt;4,COUNT(Y18,AA18,AC18)&lt;3),"",(O18+X18+AE18)*20)</f>
        <v/>
      </c>
      <c r="AG18" s="259" t="str">
        <f>IF(AF18="","",IF(AJ18="AVOID","AVOID",IF(AF18&gt;=80,IF(AH18="FAIL","WATCH LIST",IF(AK18="CAP AT BUY","BUY","STRONG BUY")),IF(AF18&gt;=65,IF(AH18="FAIL","WATCH LIST","BUY"),IF(AF18&gt;=50,"WATCH LIST",IF(AF18&gt;=35,"AVOID","PASS"))))))</f>
        <v/>
      </c>
      <c r="AH18" s="259" t="str">
        <f>IF(N18="","",IF(N18&lt;3,"FAIL","OK"))</f>
        <v>OK</v>
      </c>
      <c r="AI18" s="259" t="str">
        <f>IF(COUNT(D18:L18)=0,"",IF(COUNTIF(D18:L18,1)&gt;0,"REVIEW","OK"))</f>
        <v>OK</v>
      </c>
      <c r="AJ18" s="259" t="str">
        <f>IF(COUNT(D18:L18)=0,"",IF(COUNTIF(D18:L18,"&lt;=2")&gt;=2,"AVOID","OK"))</f>
        <v>OK</v>
      </c>
      <c r="AK18" s="259" t="str">
        <f>IF(COUNTA(E18:M18)=0,"",IF(COUNTIF(E18:M18,"L")&gt;=2,"CAP AT BUY","OK"))</f>
        <v>OK</v>
      </c>
      <c r="AL18" s="261" t="s">
        <v>350</v>
      </c>
      <c r="AM18" s="261" t="s">
        <v>389</v>
      </c>
      <c r="AN18" s="116"/>
      <c r="AO18" s="92"/>
      <c r="AP18" s="116" t="str">
        <f>IF(OR(AN18="",AO18=""),"",IF(AN18&gt;AO18,"OK","LOW CONF"))</f>
        <v/>
      </c>
      <c r="AQ18" s="116"/>
      <c r="AR18" s="92"/>
      <c r="AS18" s="125" t="str">
        <f>IF(OR(AQ18="",AR18=""),"",IF(AQ18&lt;AR18,"Decreased",IF(AQ18&gt;AR18,"Increased","Flat")))</f>
        <v/>
      </c>
    </row>
    <row r="19" spans="1:45" ht="15" customHeight="1" x14ac:dyDescent="0.3">
      <c r="A19" s="252" t="s">
        <v>105</v>
      </c>
      <c r="B19" s="253" t="s">
        <v>106</v>
      </c>
      <c r="C19" s="254">
        <v>46278</v>
      </c>
      <c r="D19" s="255">
        <v>3</v>
      </c>
      <c r="E19" s="255" t="s">
        <v>337</v>
      </c>
      <c r="F19" s="255">
        <v>3</v>
      </c>
      <c r="G19" s="255" t="s">
        <v>337</v>
      </c>
      <c r="H19" s="255">
        <v>5</v>
      </c>
      <c r="I19" s="255" t="s">
        <v>338</v>
      </c>
      <c r="J19" s="255">
        <v>3</v>
      </c>
      <c r="K19" s="255" t="s">
        <v>337</v>
      </c>
      <c r="L19" s="255">
        <v>5</v>
      </c>
      <c r="M19" s="255" t="s">
        <v>337</v>
      </c>
      <c r="N19" s="256">
        <f>IF(COUNT(D19,F19,H19,J19,L19)=0,"",(D19*0.2+F19*0.15+H19*0.15+J19*0.1+L19*0.1)/(IF(D19&lt;&gt;"",0.2,0)+IF(F19&lt;&gt;"",0.15,0)+IF(H19&lt;&gt;"",0.15,0)+IF(J19&lt;&gt;"",0.1,0)+IF(L19&lt;&gt;"",0.1,0)))</f>
        <v>3.7142857142857149</v>
      </c>
      <c r="O19" s="257">
        <f>IF(COUNT(D19,F19,H19,J19,L19)=0,"",D19*0.2+F19*0.15+H19*0.15+J19*0.1+L19*0.1)</f>
        <v>2.6</v>
      </c>
      <c r="P19" s="255">
        <v>4</v>
      </c>
      <c r="Q19" s="255" t="s">
        <v>338</v>
      </c>
      <c r="R19" s="255">
        <v>5</v>
      </c>
      <c r="S19" s="255" t="s">
        <v>338</v>
      </c>
      <c r="T19" s="255">
        <v>3</v>
      </c>
      <c r="U19" s="255" t="s">
        <v>337</v>
      </c>
      <c r="V19" s="255">
        <v>2</v>
      </c>
      <c r="W19" s="255" t="s">
        <v>337</v>
      </c>
      <c r="X19" s="257">
        <f>IF(COUNT(P19,R19,T19,V19)=0,"",P19*0.08+R19*0.06+T19*0.03+V19*0.08)</f>
        <v>0.87</v>
      </c>
      <c r="Y19" s="255">
        <v>2</v>
      </c>
      <c r="Z19" s="255" t="s">
        <v>337</v>
      </c>
      <c r="AA19" s="255">
        <v>5</v>
      </c>
      <c r="AB19" s="255" t="s">
        <v>338</v>
      </c>
      <c r="AC19" s="255">
        <v>2</v>
      </c>
      <c r="AD19" s="255" t="s">
        <v>339</v>
      </c>
      <c r="AE19" s="257">
        <f>IF(COUNT(Y19,AA19,AC19)=0,"",Y19*0.02+AA19*0.02+AC19*0.01)</f>
        <v>0.16</v>
      </c>
      <c r="AF19" s="258">
        <f>IF(OR(COUNT(D19,F19,H19,J19,L19)&lt;5,COUNT(P19,R19,T19,V19)&lt;4,COUNT(Y19,AA19,AC19)&lt;3),"",(O19+X19+AE19)*20)</f>
        <v>72.600000000000009</v>
      </c>
      <c r="AG19" s="259" t="str">
        <f>IF(AF19="","",IF(AJ19="AVOID","AVOID",IF(AF19&gt;=80,IF(AH19="FAIL","WATCH LIST",IF(AK19="CAP AT BUY","BUY","STRONG BUY")),IF(AF19&gt;=65,IF(AH19="FAIL","WATCH LIST","BUY"),IF(AF19&gt;=50,"WATCH LIST",IF(AF19&gt;=35,"AVOID","PASS"))))))</f>
        <v>BUY</v>
      </c>
      <c r="AH19" s="259" t="str">
        <f>IF(N19="","",IF(N19&lt;3,"FAIL","OK"))</f>
        <v>OK</v>
      </c>
      <c r="AI19" s="259" t="str">
        <f>IF(COUNT(D19:L19)=0,"",IF(COUNTIF(D19:L19,1)&gt;0,"REVIEW","OK"))</f>
        <v>OK</v>
      </c>
      <c r="AJ19" s="259" t="str">
        <f>IF(COUNT(D19:L19)=0,"",IF(COUNTIF(D19:L19,"&lt;=2")&gt;=2,"AVOID","OK"))</f>
        <v>OK</v>
      </c>
      <c r="AK19" s="259" t="str">
        <f>IF(COUNTA(E19:M19)=0,"",IF(COUNTIF(E19:M19,"L")&gt;=2,"CAP AT BUY","OK"))</f>
        <v>OK</v>
      </c>
      <c r="AL19" s="260" t="s">
        <v>340</v>
      </c>
      <c r="AM19" s="261" t="s">
        <v>355</v>
      </c>
      <c r="AN19" s="121">
        <v>4143079000</v>
      </c>
      <c r="AO19" s="122">
        <v>4830771000</v>
      </c>
      <c r="AP19" s="116" t="str">
        <f>IF(OR(AN19="",AO19=""),"",IF(AN19&gt;AO19,"OK","LOW CONF"))</f>
        <v>LOW CONF</v>
      </c>
      <c r="AQ19" s="123">
        <v>1.633</v>
      </c>
      <c r="AR19" s="118">
        <v>1.625</v>
      </c>
      <c r="AS19" s="124" t="str">
        <f>IF(OR(AQ19="",AR19=""),"",IF(AQ19&lt;AR19,"Decreased",IF(AQ19&gt;AR19,"Increased","Flat")))</f>
        <v>Increased</v>
      </c>
    </row>
    <row r="20" spans="1:45" ht="15" customHeight="1" x14ac:dyDescent="0.3">
      <c r="A20" s="252" t="s">
        <v>233</v>
      </c>
      <c r="B20" s="253" t="s">
        <v>388</v>
      </c>
      <c r="C20" s="254">
        <v>46245</v>
      </c>
      <c r="D20" s="255">
        <v>4</v>
      </c>
      <c r="E20" s="255" t="s">
        <v>338</v>
      </c>
      <c r="F20" s="255">
        <v>4</v>
      </c>
      <c r="G20" s="255" t="s">
        <v>338</v>
      </c>
      <c r="H20" s="255">
        <v>4</v>
      </c>
      <c r="I20" s="255" t="s">
        <v>338</v>
      </c>
      <c r="J20" s="255">
        <v>3</v>
      </c>
      <c r="K20" s="255" t="s">
        <v>337</v>
      </c>
      <c r="L20" s="255">
        <v>3</v>
      </c>
      <c r="M20" s="255" t="s">
        <v>338</v>
      </c>
      <c r="N20" s="256">
        <f>IF(COUNT(D20,F20,H20,J20,L20)=0,"",(D20*0.2+F20*0.15+H20*0.15+J20*0.1+L20*0.1)/(IF(D20&lt;&gt;"",0.2,0)+IF(F20&lt;&gt;"",0.15,0)+IF(H20&lt;&gt;"",0.15,0)+IF(J20&lt;&gt;"",0.1,0)+IF(L20&lt;&gt;"",0.1,0)))</f>
        <v>3.714285714285714</v>
      </c>
      <c r="O20" s="257">
        <f>IF(COUNT(D20,F20,H20,J20,L20)=0,"",D20*0.2+F20*0.15+H20*0.15+J20*0.1+L20*0.1)</f>
        <v>2.5999999999999996</v>
      </c>
      <c r="P20" s="255"/>
      <c r="Q20" s="255"/>
      <c r="R20" s="255"/>
      <c r="S20" s="255"/>
      <c r="T20" s="255"/>
      <c r="U20" s="255"/>
      <c r="V20" s="255"/>
      <c r="W20" s="255"/>
      <c r="X20" s="262" t="str">
        <f>IF(COUNT(P20,R20,T20,V20)=0,"",P20*0.08+R20*0.06+T20*0.03+V20*0.08)</f>
        <v/>
      </c>
      <c r="Y20" s="255"/>
      <c r="Z20" s="255"/>
      <c r="AA20" s="255"/>
      <c r="AB20" s="255"/>
      <c r="AC20" s="255"/>
      <c r="AD20" s="255"/>
      <c r="AE20" s="262" t="str">
        <f>IF(COUNT(Y20,AA20,AC20)=0,"",Y20*0.02+AA20*0.02+AC20*0.01)</f>
        <v/>
      </c>
      <c r="AF20" s="259" t="str">
        <f>IF(OR(COUNT(D20,F20,H20,J20,L20)&lt;5,COUNT(P20,R20,T20,V20)&lt;4,COUNT(Y20,AA20,AC20)&lt;3),"",(O20+X20+AE20)*20)</f>
        <v/>
      </c>
      <c r="AG20" s="259" t="str">
        <f>IF(AF20="","",IF(AJ20="AVOID","AVOID",IF(AF20&gt;=80,IF(AH20="FAIL","WATCH LIST",IF(AK20="CAP AT BUY","BUY","STRONG BUY")),IF(AF20&gt;=65,IF(AH20="FAIL","WATCH LIST","BUY"),IF(AF20&gt;=50,"WATCH LIST",IF(AF20&gt;=35,"AVOID","PASS"))))))</f>
        <v/>
      </c>
      <c r="AH20" s="259" t="str">
        <f>IF(N20="","",IF(N20&lt;3,"FAIL","OK"))</f>
        <v>OK</v>
      </c>
      <c r="AI20" s="259" t="str">
        <f>IF(COUNT(D20:L20)=0,"",IF(COUNTIF(D20:L20,1)&gt;0,"REVIEW","OK"))</f>
        <v>OK</v>
      </c>
      <c r="AJ20" s="259" t="str">
        <f>IF(COUNT(D20:L20)=0,"",IF(COUNTIF(D20:L20,"&lt;=2")&gt;=2,"AVOID","OK"))</f>
        <v>OK</v>
      </c>
      <c r="AK20" s="259" t="str">
        <f>IF(COUNTA(E20:M20)=0,"",IF(COUNTIF(E20:M20,"L")&gt;=2,"CAP AT BUY","OK"))</f>
        <v>OK</v>
      </c>
      <c r="AL20" s="261" t="s">
        <v>350</v>
      </c>
      <c r="AM20" s="261" t="s">
        <v>389</v>
      </c>
      <c r="AN20" s="116"/>
      <c r="AO20" s="92"/>
      <c r="AP20" s="116" t="str">
        <f>IF(OR(AN20="",AO20=""),"",IF(AN20&gt;AO20,"OK","LOW CONF"))</f>
        <v/>
      </c>
      <c r="AQ20" s="116"/>
      <c r="AR20" s="92"/>
      <c r="AS20" s="125" t="str">
        <f>IF(OR(AQ20="",AR20=""),"",IF(AQ20&lt;AR20,"Decreased",IF(AQ20&gt;AR20,"Increased","Flat")))</f>
        <v/>
      </c>
    </row>
    <row r="21" spans="1:45" ht="15" customHeight="1" x14ac:dyDescent="0.3">
      <c r="A21" s="252" t="s">
        <v>164</v>
      </c>
      <c r="B21" s="253" t="s">
        <v>165</v>
      </c>
      <c r="C21" s="254">
        <v>46300</v>
      </c>
      <c r="D21" s="255">
        <v>3</v>
      </c>
      <c r="E21" s="255" t="s">
        <v>337</v>
      </c>
      <c r="F21" s="255">
        <v>4</v>
      </c>
      <c r="G21" s="255" t="s">
        <v>337</v>
      </c>
      <c r="H21" s="255">
        <v>5</v>
      </c>
      <c r="I21" s="255" t="s">
        <v>338</v>
      </c>
      <c r="J21" s="255">
        <v>4</v>
      </c>
      <c r="K21" s="255" t="s">
        <v>337</v>
      </c>
      <c r="L21" s="255">
        <v>2</v>
      </c>
      <c r="M21" s="255" t="s">
        <v>337</v>
      </c>
      <c r="N21" s="256">
        <f>IF(COUNT(D21,F21,H21,J21,L21)=0,"",(D21*0.2+F21*0.15+H21*0.15+J21*0.1+L21*0.1)/(IF(D21&lt;&gt;"",0.2,0)+IF(F21&lt;&gt;"",0.15,0)+IF(H21&lt;&gt;"",0.15,0)+IF(J21&lt;&gt;"",0.1,0)+IF(L21&lt;&gt;"",0.1,0)))</f>
        <v>3.6428571428571437</v>
      </c>
      <c r="O21" s="257">
        <f>IF(COUNT(D21,F21,H21,J21,L21)=0,"",D21*0.2+F21*0.15+H21*0.15+J21*0.1+L21*0.1)</f>
        <v>2.5500000000000003</v>
      </c>
      <c r="P21" s="255">
        <v>4</v>
      </c>
      <c r="Q21" s="255" t="s">
        <v>338</v>
      </c>
      <c r="R21" s="255">
        <v>4</v>
      </c>
      <c r="S21" s="255" t="s">
        <v>339</v>
      </c>
      <c r="T21" s="255">
        <v>4</v>
      </c>
      <c r="U21" s="255" t="s">
        <v>337</v>
      </c>
      <c r="V21" s="255">
        <v>4</v>
      </c>
      <c r="W21" s="255" t="s">
        <v>337</v>
      </c>
      <c r="X21" s="257">
        <f>IF(COUNT(P21,R21,T21,V21)=0,"",P21*0.08+R21*0.06+T21*0.03+V21*0.08)</f>
        <v>1</v>
      </c>
      <c r="Y21" s="255">
        <v>3</v>
      </c>
      <c r="Z21" s="255" t="s">
        <v>337</v>
      </c>
      <c r="AA21" s="255">
        <v>5</v>
      </c>
      <c r="AB21" s="255" t="s">
        <v>338</v>
      </c>
      <c r="AC21" s="255">
        <v>3</v>
      </c>
      <c r="AD21" s="255" t="s">
        <v>337</v>
      </c>
      <c r="AE21" s="257">
        <f>IF(COUNT(Y21,AA21,AC21)=0,"",Y21*0.02+AA21*0.02+AC21*0.01)</f>
        <v>0.19</v>
      </c>
      <c r="AF21" s="258">
        <f>IF(OR(COUNT(D21,F21,H21,J21,L21)&lt;5,COUNT(P21,R21,T21,V21)&lt;4,COUNT(Y21,AA21,AC21)&lt;3),"",(O21+X21+AE21)*20)</f>
        <v>74.800000000000011</v>
      </c>
      <c r="AG21" s="259" t="str">
        <f>IF(AF21="","",IF(AJ21="AVOID","AVOID",IF(AF21&gt;=80,IF(AH21="FAIL","WATCH LIST",IF(AK21="CAP AT BUY","BUY","STRONG BUY")),IF(AF21&gt;=65,IF(AH21="FAIL","WATCH LIST","BUY"),IF(AF21&gt;=50,"WATCH LIST",IF(AF21&gt;=35,"AVOID","PASS"))))))</f>
        <v>BUY</v>
      </c>
      <c r="AH21" s="259" t="str">
        <f>IF(N21="","",IF(N21&lt;3,"FAIL","OK"))</f>
        <v>OK</v>
      </c>
      <c r="AI21" s="259" t="str">
        <f>IF(COUNT(D21:L21)=0,"",IF(COUNTIF(D21:L21,1)&gt;0,"REVIEW","OK"))</f>
        <v>OK</v>
      </c>
      <c r="AJ21" s="259" t="str">
        <f>IF(COUNT(D21:L21)=0,"",IF(COUNTIF(D21:L21,"&lt;=2")&gt;=2,"AVOID","OK"))</f>
        <v>OK</v>
      </c>
      <c r="AK21" s="259" t="str">
        <f>IF(COUNTA(E21:M21)=0,"",IF(COUNTIF(E21:M21,"L")&gt;=2,"CAP AT BUY","OK"))</f>
        <v>OK</v>
      </c>
      <c r="AL21" s="260" t="s">
        <v>340</v>
      </c>
      <c r="AM21" s="261" t="s">
        <v>341</v>
      </c>
      <c r="AN21" s="116"/>
      <c r="AO21" s="92"/>
      <c r="AP21" s="116" t="str">
        <f>IF(OR(AN21="",AO21=""),"",IF(AN21&gt;AO21,"OK","LOW CONF"))</f>
        <v/>
      </c>
      <c r="AQ21" s="116"/>
      <c r="AR21" s="92"/>
      <c r="AS21" s="124" t="str">
        <f>IF(OR(AQ21="",AR21=""),"",IF(AQ21&lt;AR21,"Decreased",IF(AQ21&gt;AR21,"Increased","Flat")))</f>
        <v/>
      </c>
    </row>
    <row r="22" spans="1:45" ht="15" customHeight="1" x14ac:dyDescent="0.3">
      <c r="A22" s="252" t="s">
        <v>117</v>
      </c>
      <c r="B22" s="253" t="s">
        <v>118</v>
      </c>
      <c r="C22" s="254">
        <v>46278</v>
      </c>
      <c r="D22" s="255">
        <v>3</v>
      </c>
      <c r="E22" s="255" t="s">
        <v>337</v>
      </c>
      <c r="F22" s="255">
        <v>4</v>
      </c>
      <c r="G22" s="255" t="s">
        <v>337</v>
      </c>
      <c r="H22" s="255">
        <v>5</v>
      </c>
      <c r="I22" s="255" t="s">
        <v>338</v>
      </c>
      <c r="J22" s="255">
        <v>4</v>
      </c>
      <c r="K22" s="255" t="s">
        <v>337</v>
      </c>
      <c r="L22" s="255">
        <v>2</v>
      </c>
      <c r="M22" s="255" t="s">
        <v>337</v>
      </c>
      <c r="N22" s="256">
        <f>IF(COUNT(D22,F22,H22,J22,L22)=0,"",(D22*0.2+F22*0.15+H22*0.15+J22*0.1+L22*0.1)/(IF(D22&lt;&gt;"",0.2,0)+IF(F22&lt;&gt;"",0.15,0)+IF(H22&lt;&gt;"",0.15,0)+IF(J22&lt;&gt;"",0.1,0)+IF(L22&lt;&gt;"",0.1,0)))</f>
        <v>3.6428571428571437</v>
      </c>
      <c r="O22" s="257">
        <f>IF(COUNT(D22,F22,H22,J22,L22)=0,"",D22*0.2+F22*0.15+H22*0.15+J22*0.1+L22*0.1)</f>
        <v>2.5500000000000003</v>
      </c>
      <c r="P22" s="255">
        <v>4</v>
      </c>
      <c r="Q22" s="255" t="s">
        <v>337</v>
      </c>
      <c r="R22" s="255">
        <v>5</v>
      </c>
      <c r="S22" s="255" t="s">
        <v>338</v>
      </c>
      <c r="T22" s="255">
        <v>3</v>
      </c>
      <c r="U22" s="255" t="s">
        <v>337</v>
      </c>
      <c r="V22" s="255">
        <v>3</v>
      </c>
      <c r="W22" s="255" t="s">
        <v>337</v>
      </c>
      <c r="X22" s="257">
        <f>IF(COUNT(P22,R22,T22,V22)=0,"",P22*0.08+R22*0.06+T22*0.03+V22*0.08)</f>
        <v>0.95</v>
      </c>
      <c r="Y22" s="255">
        <v>3</v>
      </c>
      <c r="Z22" s="255" t="s">
        <v>337</v>
      </c>
      <c r="AA22" s="255">
        <v>4</v>
      </c>
      <c r="AB22" s="255" t="s">
        <v>337</v>
      </c>
      <c r="AC22" s="255">
        <v>3</v>
      </c>
      <c r="AD22" s="255" t="s">
        <v>339</v>
      </c>
      <c r="AE22" s="257">
        <f>IF(COUNT(Y22,AA22,AC22)=0,"",Y22*0.02+AA22*0.02+AC22*0.01)</f>
        <v>0.17</v>
      </c>
      <c r="AF22" s="258">
        <f>IF(OR(COUNT(D22,F22,H22,J22,L22)&lt;5,COUNT(P22,R22,T22,V22)&lt;4,COUNT(Y22,AA22,AC22)&lt;3),"",(O22+X22+AE22)*20)</f>
        <v>73.400000000000006</v>
      </c>
      <c r="AG22" s="259" t="str">
        <f>IF(AF22="","",IF(AJ22="AVOID","AVOID",IF(AF22&gt;=80,IF(AH22="FAIL","WATCH LIST",IF(AK22="CAP AT BUY","BUY","STRONG BUY")),IF(AF22&gt;=65,IF(AH22="FAIL","WATCH LIST","BUY"),IF(AF22&gt;=50,"WATCH LIST",IF(AF22&gt;=35,"AVOID","PASS"))))))</f>
        <v>BUY</v>
      </c>
      <c r="AH22" s="259" t="str">
        <f>IF(N22="","",IF(N22&lt;3,"FAIL","OK"))</f>
        <v>OK</v>
      </c>
      <c r="AI22" s="259" t="str">
        <f>IF(COUNT(D22:L22)=0,"",IF(COUNTIF(D22:L22,1)&gt;0,"REVIEW","OK"))</f>
        <v>OK</v>
      </c>
      <c r="AJ22" s="259" t="str">
        <f>IF(COUNT(D22:L22)=0,"",IF(COUNTIF(D22:L22,"&lt;=2")&gt;=2,"AVOID","OK"))</f>
        <v>OK</v>
      </c>
      <c r="AK22" s="259" t="str">
        <f>IF(COUNTA(E22:M22)=0,"",IF(COUNTIF(E22:M22,"L")&gt;=2,"CAP AT BUY","OK"))</f>
        <v>OK</v>
      </c>
      <c r="AL22" s="261" t="s">
        <v>361</v>
      </c>
      <c r="AM22" s="261" t="s">
        <v>362</v>
      </c>
      <c r="AN22" s="121">
        <v>23059000000</v>
      </c>
      <c r="AO22" s="122">
        <v>20058000000</v>
      </c>
      <c r="AP22" s="116" t="str">
        <f>IF(OR(AN22="",AO22=""),"",IF(AN22&gt;AO22,"OK","LOW CONF"))</f>
        <v>OK</v>
      </c>
      <c r="AQ22" s="123">
        <v>1.167</v>
      </c>
      <c r="AR22" s="118">
        <v>1.115</v>
      </c>
      <c r="AS22" s="124" t="str">
        <f>IF(OR(AQ22="",AR22=""),"",IF(AQ22&lt;AR22,"Decreased",IF(AQ22&gt;AR22,"Increased","Flat")))</f>
        <v>Increased</v>
      </c>
    </row>
    <row r="23" spans="1:45" ht="15" customHeight="1" x14ac:dyDescent="0.3">
      <c r="A23" s="252" t="s">
        <v>103</v>
      </c>
      <c r="B23" s="253" t="s">
        <v>104</v>
      </c>
      <c r="C23" s="254">
        <v>46278</v>
      </c>
      <c r="D23" s="255">
        <v>2</v>
      </c>
      <c r="E23" s="255" t="s">
        <v>337</v>
      </c>
      <c r="F23" s="255">
        <v>5</v>
      </c>
      <c r="G23" s="255" t="s">
        <v>337</v>
      </c>
      <c r="H23" s="255">
        <v>4</v>
      </c>
      <c r="I23" s="255" t="s">
        <v>337</v>
      </c>
      <c r="J23" s="255">
        <v>5</v>
      </c>
      <c r="K23" s="255" t="s">
        <v>338</v>
      </c>
      <c r="L23" s="255">
        <v>2</v>
      </c>
      <c r="M23" s="255" t="s">
        <v>337</v>
      </c>
      <c r="N23" s="256">
        <f>IF(COUNT(D23,F23,H23,J23,L23)=0,"",(D23*0.2+F23*0.15+H23*0.15+J23*0.1+L23*0.1)/(IF(D23&lt;&gt;"",0.2,0)+IF(F23&lt;&gt;"",0.15,0)+IF(H23&lt;&gt;"",0.15,0)+IF(J23&lt;&gt;"",0.1,0)+IF(L23&lt;&gt;"",0.1,0)))</f>
        <v>3.5000000000000004</v>
      </c>
      <c r="O23" s="257">
        <f>IF(COUNT(D23,F23,H23,J23,L23)=0,"",D23*0.2+F23*0.15+H23*0.15+J23*0.1+L23*0.1)</f>
        <v>2.4500000000000002</v>
      </c>
      <c r="P23" s="255">
        <v>3</v>
      </c>
      <c r="Q23" s="255" t="s">
        <v>337</v>
      </c>
      <c r="R23" s="255">
        <v>2</v>
      </c>
      <c r="S23" s="255" t="s">
        <v>337</v>
      </c>
      <c r="T23" s="255">
        <v>4</v>
      </c>
      <c r="U23" s="255" t="s">
        <v>338</v>
      </c>
      <c r="V23" s="255">
        <v>1</v>
      </c>
      <c r="W23" s="255" t="s">
        <v>338</v>
      </c>
      <c r="X23" s="257">
        <f>IF(COUNT(P23,R23,T23,V23)=0,"",P23*0.08+R23*0.06+T23*0.03+V23*0.08)</f>
        <v>0.55999999999999994</v>
      </c>
      <c r="Y23" s="255">
        <v>4</v>
      </c>
      <c r="Z23" s="255" t="s">
        <v>337</v>
      </c>
      <c r="AA23" s="255">
        <v>3</v>
      </c>
      <c r="AB23" s="255" t="s">
        <v>337</v>
      </c>
      <c r="AC23" s="255">
        <v>2</v>
      </c>
      <c r="AD23" s="255" t="s">
        <v>337</v>
      </c>
      <c r="AE23" s="257">
        <f>IF(COUNT(Y23,AA23,AC23)=0,"",Y23*0.02+AA23*0.02+AC23*0.01)</f>
        <v>0.16</v>
      </c>
      <c r="AF23" s="258">
        <f>IF(OR(COUNT(D23,F23,H23,J23,L23)&lt;5,COUNT(P23,R23,T23,V23)&lt;4,COUNT(Y23,AA23,AC23)&lt;3),"",(O23+X23+AE23)*20)</f>
        <v>63.400000000000006</v>
      </c>
      <c r="AG23" s="259" t="str">
        <f>IF(AF23="","",IF(AJ23="AVOID","AVOID",IF(AF23&gt;=80,IF(AH23="FAIL","WATCH LIST",IF(AK23="CAP AT BUY","BUY","STRONG BUY")),IF(AF23&gt;=65,IF(AH23="FAIL","WATCH LIST","BUY"),IF(AF23&gt;=50,"WATCH LIST",IF(AF23&gt;=35,"AVOID","PASS"))))))</f>
        <v>AVOID</v>
      </c>
      <c r="AH23" s="259" t="str">
        <f>IF(N23="","",IF(N23&lt;3,"FAIL","OK"))</f>
        <v>OK</v>
      </c>
      <c r="AI23" s="259" t="str">
        <f>IF(COUNT(D23:L23)=0,"",IF(COUNTIF(D23:L23,1)&gt;0,"REVIEW","OK"))</f>
        <v>OK</v>
      </c>
      <c r="AJ23" s="259" t="str">
        <f>IF(COUNT(D23:L23)=0,"",IF(COUNTIF(D23:L23,"&lt;=2")&gt;=2,"AVOID","OK"))</f>
        <v>AVOID</v>
      </c>
      <c r="AK23" s="259" t="str">
        <f>IF(COUNTA(E23:M23)=0,"",IF(COUNTIF(E23:M23,"L")&gt;=2,"CAP AT BUY","OK"))</f>
        <v>OK</v>
      </c>
      <c r="AL23" s="260" t="s">
        <v>340</v>
      </c>
      <c r="AM23" s="261" t="s">
        <v>342</v>
      </c>
      <c r="AN23" s="116"/>
      <c r="AO23" s="92"/>
      <c r="AP23" s="116" t="str">
        <f>IF(OR(AN23="",AO23=""),"",IF(AN23&gt;AO23,"OK","LOW CONF"))</f>
        <v/>
      </c>
      <c r="AQ23" s="116"/>
      <c r="AR23" s="92"/>
      <c r="AS23" s="124" t="str">
        <f>IF(OR(AQ23="",AR23=""),"",IF(AQ23&lt;AR23,"Decreased",IF(AQ23&gt;AR23,"Increased","Flat")))</f>
        <v/>
      </c>
    </row>
    <row r="24" spans="1:45" ht="15" customHeight="1" x14ac:dyDescent="0.3">
      <c r="A24" s="252" t="s">
        <v>245</v>
      </c>
      <c r="B24" s="253" t="s">
        <v>405</v>
      </c>
      <c r="C24" s="254">
        <v>46247</v>
      </c>
      <c r="D24" s="255">
        <v>4</v>
      </c>
      <c r="E24" s="255" t="s">
        <v>337</v>
      </c>
      <c r="F24" s="255">
        <v>3</v>
      </c>
      <c r="G24" s="255" t="s">
        <v>337</v>
      </c>
      <c r="H24" s="255">
        <v>4</v>
      </c>
      <c r="I24" s="255" t="s">
        <v>337</v>
      </c>
      <c r="J24" s="255">
        <v>3</v>
      </c>
      <c r="K24" s="255" t="s">
        <v>337</v>
      </c>
      <c r="L24" s="255">
        <v>3</v>
      </c>
      <c r="M24" s="255" t="s">
        <v>337</v>
      </c>
      <c r="N24" s="256">
        <f>IF(COUNT(D24,F24,H24,J24,L24)=0,"",(D24*0.2+F24*0.15+H24*0.15+J24*0.1+L24*0.1)/(IF(D24&lt;&gt;"",0.2,0)+IF(F24&lt;&gt;"",0.15,0)+IF(H24&lt;&gt;"",0.15,0)+IF(J24&lt;&gt;"",0.1,0)+IF(L24&lt;&gt;"",0.1,0)))</f>
        <v>3.5000000000000004</v>
      </c>
      <c r="O24" s="257">
        <f>IF(COUNT(D24,F24,H24,J24,L24)=0,"",D24*0.2+F24*0.15+H24*0.15+J24*0.1+L24*0.1)</f>
        <v>2.4500000000000002</v>
      </c>
      <c r="P24" s="255"/>
      <c r="Q24" s="255"/>
      <c r="R24" s="255"/>
      <c r="S24" s="255"/>
      <c r="T24" s="255"/>
      <c r="U24" s="255"/>
      <c r="V24" s="255"/>
      <c r="W24" s="255"/>
      <c r="X24" s="262" t="str">
        <f>IF(COUNT(P24,R24,T24,V24)=0,"",P24*0.08+R24*0.06+T24*0.03+V24*0.08)</f>
        <v/>
      </c>
      <c r="Y24" s="255"/>
      <c r="Z24" s="255"/>
      <c r="AA24" s="255">
        <v>4</v>
      </c>
      <c r="AB24" s="255" t="s">
        <v>337</v>
      </c>
      <c r="AC24" s="255"/>
      <c r="AD24" s="255"/>
      <c r="AE24" s="262">
        <f>IF(COUNT(Y24,AA24,AC24)=0,"",Y24*0.02+AA24*0.02+AC24*0.01)</f>
        <v>0.08</v>
      </c>
      <c r="AF24" s="259" t="str">
        <f>IF(OR(COUNT(D24,F24,H24,J24,L24)&lt;5,COUNT(P24,R24,T24,V24)&lt;4,COUNT(Y24,AA24,AC24)&lt;3),"",(O24+X24+AE24)*20)</f>
        <v/>
      </c>
      <c r="AG24" s="259" t="str">
        <f>IF(AF24="","",IF(AJ24="AVOID","AVOID",IF(AF24&gt;=80,IF(AH24="FAIL","WATCH LIST",IF(AK24="CAP AT BUY","BUY","STRONG BUY")),IF(AF24&gt;=65,IF(AH24="FAIL","WATCH LIST","BUY"),IF(AF24&gt;=50,"WATCH LIST",IF(AF24&gt;=35,"AVOID","PASS"))))))</f>
        <v/>
      </c>
      <c r="AH24" s="259" t="str">
        <f>IF(N24="","",IF(N24&lt;3,"FAIL","OK"))</f>
        <v>OK</v>
      </c>
      <c r="AI24" s="259" t="str">
        <f>IF(COUNT(D24:L24)=0,"",IF(COUNTIF(D24:L24,1)&gt;0,"REVIEW","OK"))</f>
        <v>OK</v>
      </c>
      <c r="AJ24" s="259" t="str">
        <f>IF(COUNT(D24:L24)=0,"",IF(COUNTIF(D24:L24,"&lt;=2")&gt;=2,"AVOID","OK"))</f>
        <v>OK</v>
      </c>
      <c r="AK24" s="259" t="str">
        <f>IF(COUNTA(E24:M24)=0,"",IF(COUNTIF(E24:M24,"L")&gt;=2,"CAP AT BUY","OK"))</f>
        <v>OK</v>
      </c>
      <c r="AL24" s="261" t="s">
        <v>357</v>
      </c>
      <c r="AM24" s="261" t="s">
        <v>404</v>
      </c>
      <c r="AN24" s="116"/>
      <c r="AO24" s="92"/>
      <c r="AP24" s="116" t="str">
        <f>IF(OR(AN24="",AO24=""),"",IF(AN24&gt;AO24,"OK","LOW CONF"))</f>
        <v/>
      </c>
      <c r="AQ24" s="116"/>
      <c r="AR24" s="92"/>
      <c r="AS24" s="125" t="str">
        <f>IF(OR(AQ24="",AR24=""),"",IF(AQ24&lt;AR24,"Decreased",IF(AQ24&gt;AR24,"Increased","Flat")))</f>
        <v/>
      </c>
    </row>
    <row r="25" spans="1:45" ht="15" customHeight="1" x14ac:dyDescent="0.3">
      <c r="A25" s="252" t="s">
        <v>278</v>
      </c>
      <c r="B25" s="253" t="s">
        <v>410</v>
      </c>
      <c r="C25" s="254">
        <v>46278</v>
      </c>
      <c r="D25" s="255">
        <v>3</v>
      </c>
      <c r="E25" s="255" t="s">
        <v>337</v>
      </c>
      <c r="F25" s="255">
        <v>2</v>
      </c>
      <c r="G25" s="255" t="s">
        <v>337</v>
      </c>
      <c r="H25" s="255">
        <v>5</v>
      </c>
      <c r="I25" s="255" t="s">
        <v>338</v>
      </c>
      <c r="J25" s="255">
        <v>4</v>
      </c>
      <c r="K25" s="255" t="s">
        <v>337</v>
      </c>
      <c r="L25" s="255">
        <v>4</v>
      </c>
      <c r="M25" s="255" t="s">
        <v>337</v>
      </c>
      <c r="N25" s="256">
        <f>IF(COUNT(D25,F25,H25,J25,L25)=0,"",(D25*0.2+F25*0.15+H25*0.15+J25*0.1+L25*0.1)/(IF(D25&lt;&gt;"",0.2,0)+IF(F25&lt;&gt;"",0.15,0)+IF(H25&lt;&gt;"",0.15,0)+IF(J25&lt;&gt;"",0.1,0)+IF(L25&lt;&gt;"",0.1,0)))</f>
        <v>3.5000000000000004</v>
      </c>
      <c r="O25" s="257">
        <f>IF(COUNT(D25,F25,H25,J25,L25)=0,"",D25*0.2+F25*0.15+H25*0.15+J25*0.1+L25*0.1)</f>
        <v>2.4500000000000002</v>
      </c>
      <c r="P25" s="255">
        <v>5</v>
      </c>
      <c r="Q25" s="255" t="s">
        <v>338</v>
      </c>
      <c r="R25" s="255">
        <v>3</v>
      </c>
      <c r="S25" s="255" t="s">
        <v>339</v>
      </c>
      <c r="T25" s="255">
        <v>1</v>
      </c>
      <c r="U25" s="255" t="s">
        <v>337</v>
      </c>
      <c r="V25" s="255">
        <v>4</v>
      </c>
      <c r="W25" s="255" t="s">
        <v>337</v>
      </c>
      <c r="X25" s="262">
        <f>IF(COUNT(P25,R25,T25,V25)=0,"",P25*0.08+R25*0.06+T25*0.03+V25*0.08)</f>
        <v>0.93000000000000016</v>
      </c>
      <c r="Y25" s="255">
        <v>2</v>
      </c>
      <c r="Z25" s="255" t="s">
        <v>337</v>
      </c>
      <c r="AA25" s="255">
        <v>5</v>
      </c>
      <c r="AB25" s="255" t="s">
        <v>337</v>
      </c>
      <c r="AC25" s="255">
        <v>2</v>
      </c>
      <c r="AD25" s="255" t="s">
        <v>337</v>
      </c>
      <c r="AE25" s="262">
        <f>IF(COUNT(Y25,AA25,AC25)=0,"",Y25*0.02+AA25*0.02+AC25*0.01)</f>
        <v>0.16</v>
      </c>
      <c r="AF25" s="259">
        <f>IF(OR(COUNT(D25,F25,H25,J25,L25)&lt;5,COUNT(P25,R25,T25,V25)&lt;4,COUNT(Y25,AA25,AC25)&lt;3),"",(O25+X25+AE25)*20)</f>
        <v>70.800000000000011</v>
      </c>
      <c r="AG25" s="259" t="str">
        <f>IF(AF25="","",IF(AJ25="AVOID","AVOID",IF(AF25&gt;=80,IF(AH25="FAIL","WATCH LIST",IF(AK25="CAP AT BUY","BUY","STRONG BUY")),IF(AF25&gt;=65,IF(AH25="FAIL","WATCH LIST","BUY"),IF(AF25&gt;=50,"WATCH LIST",IF(AF25&gt;=35,"AVOID","PASS"))))))</f>
        <v>BUY</v>
      </c>
      <c r="AH25" s="259" t="str">
        <f>IF(N25="","",IF(N25&lt;3,"FAIL","OK"))</f>
        <v>OK</v>
      </c>
      <c r="AI25" s="259" t="str">
        <f>IF(COUNT(D25:L25)=0,"",IF(COUNTIF(D25:L25,1)&gt;0,"REVIEW","OK"))</f>
        <v>OK</v>
      </c>
      <c r="AJ25" s="259" t="str">
        <f>IF(COUNT(D25:L25)=0,"",IF(COUNTIF(D25:L25,"&lt;=2")&gt;=2,"AVOID","OK"))</f>
        <v>OK</v>
      </c>
      <c r="AK25" s="259" t="str">
        <f>IF(COUNTA(E25:M25)=0,"",IF(COUNTIF(E25:M25,"L")&gt;=2,"CAP AT BUY","OK"))</f>
        <v>OK</v>
      </c>
      <c r="AL25" s="261" t="s">
        <v>343</v>
      </c>
      <c r="AM25" s="261" t="s">
        <v>411</v>
      </c>
      <c r="AN25" s="116"/>
      <c r="AO25" s="92"/>
      <c r="AP25" s="116" t="str">
        <f>IF(OR(AN25="",AO25=""),"",IF(AN25&gt;AO25,"OK","LOW CONF"))</f>
        <v/>
      </c>
      <c r="AQ25" s="116"/>
      <c r="AR25" s="92"/>
      <c r="AS25" s="125" t="str">
        <f>IF(OR(AQ25="",AR25=""),"",IF(AQ25&lt;AR25,"Decreased",IF(AQ25&gt;AR25,"Increased","Flat")))</f>
        <v/>
      </c>
    </row>
    <row r="26" spans="1:45" ht="15" customHeight="1" x14ac:dyDescent="0.3">
      <c r="A26" s="252" t="s">
        <v>280</v>
      </c>
      <c r="B26" s="253" t="s">
        <v>412</v>
      </c>
      <c r="C26" s="254">
        <v>46278</v>
      </c>
      <c r="D26" s="255">
        <v>4</v>
      </c>
      <c r="E26" s="255" t="s">
        <v>337</v>
      </c>
      <c r="F26" s="255">
        <v>3</v>
      </c>
      <c r="G26" s="255" t="s">
        <v>337</v>
      </c>
      <c r="H26" s="255">
        <v>4</v>
      </c>
      <c r="I26" s="255" t="s">
        <v>337</v>
      </c>
      <c r="J26" s="255">
        <v>3</v>
      </c>
      <c r="K26" s="255" t="s">
        <v>337</v>
      </c>
      <c r="L26" s="255">
        <v>3</v>
      </c>
      <c r="M26" s="255" t="s">
        <v>337</v>
      </c>
      <c r="N26" s="256">
        <f>IF(COUNT(D26,F26,H26,J26,L26)=0,"",(D26*0.2+F26*0.15+H26*0.15+J26*0.1+L26*0.1)/(IF(D26&lt;&gt;"",0.2,0)+IF(F26&lt;&gt;"",0.15,0)+IF(H26&lt;&gt;"",0.15,0)+IF(J26&lt;&gt;"",0.1,0)+IF(L26&lt;&gt;"",0.1,0)))</f>
        <v>3.5000000000000004</v>
      </c>
      <c r="O26" s="257">
        <f>IF(COUNT(D26,F26,H26,J26,L26)=0,"",D26*0.2+F26*0.15+H26*0.15+J26*0.1+L26*0.1)</f>
        <v>2.4500000000000002</v>
      </c>
      <c r="P26" s="255">
        <v>4</v>
      </c>
      <c r="Q26" s="255" t="s">
        <v>337</v>
      </c>
      <c r="R26" s="255">
        <v>3</v>
      </c>
      <c r="S26" s="255" t="s">
        <v>339</v>
      </c>
      <c r="T26" s="255">
        <v>5</v>
      </c>
      <c r="U26" s="255" t="s">
        <v>337</v>
      </c>
      <c r="V26" s="255">
        <v>4</v>
      </c>
      <c r="W26" s="255" t="s">
        <v>337</v>
      </c>
      <c r="X26" s="262">
        <f>IF(COUNT(P26,R26,T26,V26)=0,"",P26*0.08+R26*0.06+T26*0.03+V26*0.08)</f>
        <v>0.97</v>
      </c>
      <c r="Y26" s="255">
        <v>5</v>
      </c>
      <c r="Z26" s="255" t="s">
        <v>337</v>
      </c>
      <c r="AA26" s="255">
        <v>4</v>
      </c>
      <c r="AB26" s="255" t="s">
        <v>337</v>
      </c>
      <c r="AC26" s="255">
        <v>2</v>
      </c>
      <c r="AD26" s="255" t="s">
        <v>337</v>
      </c>
      <c r="AE26" s="262">
        <f>IF(COUNT(Y26,AA26,AC26)=0,"",Y26*0.02+AA26*0.02+AC26*0.01)</f>
        <v>0.19999999999999998</v>
      </c>
      <c r="AF26" s="259">
        <f>IF(OR(COUNT(D26,F26,H26,J26,L26)&lt;5,COUNT(P26,R26,T26,V26)&lt;4,COUNT(Y26,AA26,AC26)&lt;3),"",(O26+X26+AE26)*20)</f>
        <v>72.400000000000006</v>
      </c>
      <c r="AG26" s="259" t="str">
        <f>IF(AF26="","",IF(AJ26="AVOID","AVOID",IF(AF26&gt;=80,IF(AH26="FAIL","WATCH LIST",IF(AK26="CAP AT BUY","BUY","STRONG BUY")),IF(AF26&gt;=65,IF(AH26="FAIL","WATCH LIST","BUY"),IF(AF26&gt;=50,"WATCH LIST",IF(AF26&gt;=35,"AVOID","PASS"))))))</f>
        <v>BUY</v>
      </c>
      <c r="AH26" s="259" t="str">
        <f>IF(N26="","",IF(N26&lt;3,"FAIL","OK"))</f>
        <v>OK</v>
      </c>
      <c r="AI26" s="259" t="str">
        <f>IF(COUNT(D26:L26)=0,"",IF(COUNTIF(D26:L26,1)&gt;0,"REVIEW","OK"))</f>
        <v>OK</v>
      </c>
      <c r="AJ26" s="259" t="str">
        <f>IF(COUNT(D26:L26)=0,"",IF(COUNTIF(D26:L26,"&lt;=2")&gt;=2,"AVOID","OK"))</f>
        <v>OK</v>
      </c>
      <c r="AK26" s="259" t="str">
        <f>IF(COUNTA(E26:M26)=0,"",IF(COUNTIF(E26:M26,"L")&gt;=2,"CAP AT BUY","OK"))</f>
        <v>OK</v>
      </c>
      <c r="AL26" s="261" t="s">
        <v>367</v>
      </c>
      <c r="AM26" s="261" t="s">
        <v>372</v>
      </c>
      <c r="AN26" s="116"/>
      <c r="AO26" s="92"/>
      <c r="AP26" s="116" t="str">
        <f>IF(OR(AN26="",AO26=""),"",IF(AN26&gt;AO26,"OK","LOW CONF"))</f>
        <v/>
      </c>
      <c r="AQ26" s="116"/>
      <c r="AR26" s="92"/>
      <c r="AS26" s="125" t="str">
        <f>IF(OR(AQ26="",AR26=""),"",IF(AQ26&lt;AR26,"Decreased",IF(AQ26&gt;AR26,"Increased","Flat")))</f>
        <v/>
      </c>
    </row>
    <row r="27" spans="1:45" ht="15" customHeight="1" x14ac:dyDescent="0.3">
      <c r="A27" s="252" t="s">
        <v>166</v>
      </c>
      <c r="B27" s="253" t="s">
        <v>167</v>
      </c>
      <c r="C27" s="254">
        <v>46300</v>
      </c>
      <c r="D27" s="255">
        <v>3</v>
      </c>
      <c r="E27" s="255" t="s">
        <v>337</v>
      </c>
      <c r="F27" s="255">
        <v>4</v>
      </c>
      <c r="G27" s="255" t="s">
        <v>337</v>
      </c>
      <c r="H27" s="255">
        <v>4</v>
      </c>
      <c r="I27" s="255" t="s">
        <v>337</v>
      </c>
      <c r="J27" s="255">
        <v>4</v>
      </c>
      <c r="K27" s="255" t="s">
        <v>337</v>
      </c>
      <c r="L27" s="255">
        <v>2</v>
      </c>
      <c r="M27" s="255" t="s">
        <v>337</v>
      </c>
      <c r="N27" s="256">
        <f>IF(COUNT(D27,F27,H27,J27,L27)=0,"",(D27*0.2+F27*0.15+H27*0.15+J27*0.1+L27*0.1)/(IF(D27&lt;&gt;"",0.2,0)+IF(F27&lt;&gt;"",0.15,0)+IF(H27&lt;&gt;"",0.15,0)+IF(J27&lt;&gt;"",0.1,0)+IF(L27&lt;&gt;"",0.1,0)))</f>
        <v>3.4285714285714293</v>
      </c>
      <c r="O27" s="257">
        <f>IF(COUNT(D27,F27,H27,J27,L27)=0,"",D27*0.2+F27*0.15+H27*0.15+J27*0.1+L27*0.1)</f>
        <v>2.4000000000000004</v>
      </c>
      <c r="P27" s="255">
        <v>3</v>
      </c>
      <c r="Q27" s="255" t="s">
        <v>337</v>
      </c>
      <c r="R27" s="255">
        <v>4</v>
      </c>
      <c r="S27" s="255" t="s">
        <v>337</v>
      </c>
      <c r="T27" s="255">
        <v>4</v>
      </c>
      <c r="U27" s="255" t="s">
        <v>337</v>
      </c>
      <c r="V27" s="255">
        <v>4</v>
      </c>
      <c r="W27" s="255" t="s">
        <v>337</v>
      </c>
      <c r="X27" s="257">
        <f>IF(COUNT(P27,R27,T27,V27)=0,"",P27*0.08+R27*0.06+T27*0.03+V27*0.08)</f>
        <v>0.91999999999999993</v>
      </c>
      <c r="Y27" s="255">
        <v>4</v>
      </c>
      <c r="Z27" s="255" t="s">
        <v>337</v>
      </c>
      <c r="AA27" s="255">
        <v>5</v>
      </c>
      <c r="AB27" s="255" t="s">
        <v>338</v>
      </c>
      <c r="AC27" s="255">
        <v>3</v>
      </c>
      <c r="AD27" s="255" t="s">
        <v>339</v>
      </c>
      <c r="AE27" s="257">
        <f>IF(COUNT(Y27,AA27,AC27)=0,"",Y27*0.02+AA27*0.02+AC27*0.01)</f>
        <v>0.21</v>
      </c>
      <c r="AF27" s="258">
        <f>IF(OR(COUNT(D27,F27,H27,J27,L27)&lt;5,COUNT(P27,R27,T27,V27)&lt;4,COUNT(Y27,AA27,AC27)&lt;3),"",(O27+X27+AE27)*20)</f>
        <v>70.600000000000009</v>
      </c>
      <c r="AG27" s="259" t="str">
        <f>IF(AF27="","",IF(AJ27="AVOID","AVOID",IF(AF27&gt;=80,IF(AH27="FAIL","WATCH LIST",IF(AK27="CAP AT BUY","BUY","STRONG BUY")),IF(AF27&gt;=65,IF(AH27="FAIL","WATCH LIST","BUY"),IF(AF27&gt;=50,"WATCH LIST",IF(AF27&gt;=35,"AVOID","PASS"))))))</f>
        <v>BUY</v>
      </c>
      <c r="AH27" s="259" t="str">
        <f>IF(N27="","",IF(N27&lt;3,"FAIL","OK"))</f>
        <v>OK</v>
      </c>
      <c r="AI27" s="259" t="str">
        <f>IF(COUNT(D27:L27)=0,"",IF(COUNTIF(D27:L27,1)&gt;0,"REVIEW","OK"))</f>
        <v>OK</v>
      </c>
      <c r="AJ27" s="259" t="str">
        <f>IF(COUNT(D27:L27)=0,"",IF(COUNTIF(D27:L27,"&lt;=2")&gt;=2,"AVOID","OK"))</f>
        <v>OK</v>
      </c>
      <c r="AK27" s="259" t="str">
        <f>IF(COUNTA(E27:M27)=0,"",IF(COUNTIF(E27:M27,"L")&gt;=2,"CAP AT BUY","OK"))</f>
        <v>OK</v>
      </c>
      <c r="AL27" s="260" t="s">
        <v>343</v>
      </c>
      <c r="AM27" s="261" t="s">
        <v>344</v>
      </c>
      <c r="AN27" s="121">
        <v>3631400000</v>
      </c>
      <c r="AO27" s="122">
        <v>3953200000</v>
      </c>
      <c r="AP27" s="116" t="str">
        <f>IF(OR(AN27="",AO27=""),"",IF(AN27&gt;AO27,"OK","LOW CONF"))</f>
        <v>LOW CONF</v>
      </c>
      <c r="AQ27" s="123">
        <v>0.63600000000000001</v>
      </c>
      <c r="AR27" s="118">
        <v>-1.784</v>
      </c>
      <c r="AS27" s="124" t="str">
        <f>IF(OR(AQ27="",AR27=""),"",IF(AQ27&lt;AR27,"Decreased",IF(AQ27&gt;AR27,"Increased","Flat")))</f>
        <v>Increased</v>
      </c>
    </row>
    <row r="28" spans="1:45" ht="15" customHeight="1" x14ac:dyDescent="0.3">
      <c r="A28" s="252" t="s">
        <v>247</v>
      </c>
      <c r="B28" s="253" t="s">
        <v>401</v>
      </c>
      <c r="C28" s="254">
        <v>46246</v>
      </c>
      <c r="D28" s="255">
        <v>4</v>
      </c>
      <c r="E28" s="255" t="s">
        <v>338</v>
      </c>
      <c r="F28" s="255">
        <v>3</v>
      </c>
      <c r="G28" s="255" t="s">
        <v>338</v>
      </c>
      <c r="H28" s="255">
        <v>3</v>
      </c>
      <c r="I28" s="255" t="s">
        <v>337</v>
      </c>
      <c r="J28" s="255">
        <v>3</v>
      </c>
      <c r="K28" s="255" t="s">
        <v>337</v>
      </c>
      <c r="L28" s="255">
        <v>4</v>
      </c>
      <c r="M28" s="255" t="s">
        <v>338</v>
      </c>
      <c r="N28" s="256">
        <f>IF(COUNT(D28,F28,H28,J28,L28)=0,"",(D28*0.2+F28*0.15+H28*0.15+J28*0.1+L28*0.1)/(IF(D28&lt;&gt;"",0.2,0)+IF(F28&lt;&gt;"",0.15,0)+IF(H28&lt;&gt;"",0.15,0)+IF(J28&lt;&gt;"",0.1,0)+IF(L28&lt;&gt;"",0.1,0)))</f>
        <v>3.4285714285714288</v>
      </c>
      <c r="O28" s="257">
        <f>IF(COUNT(D28,F28,H28,J28,L28)=0,"",D28*0.2+F28*0.15+H28*0.15+J28*0.1+L28*0.1)</f>
        <v>2.4</v>
      </c>
      <c r="P28" s="255"/>
      <c r="Q28" s="255"/>
      <c r="R28" s="255"/>
      <c r="S28" s="255"/>
      <c r="T28" s="255"/>
      <c r="U28" s="255"/>
      <c r="V28" s="255"/>
      <c r="W28" s="255"/>
      <c r="X28" s="262" t="str">
        <f>IF(COUNT(P28,R28,T28,V28)=0,"",P28*0.08+R28*0.06+T28*0.03+V28*0.08)</f>
        <v/>
      </c>
      <c r="Y28" s="255"/>
      <c r="Z28" s="255"/>
      <c r="AA28" s="255"/>
      <c r="AB28" s="255"/>
      <c r="AC28" s="255"/>
      <c r="AD28" s="255"/>
      <c r="AE28" s="262" t="str">
        <f>IF(COUNT(Y28,AA28,AC28)=0,"",Y28*0.02+AA28*0.02+AC28*0.01)</f>
        <v/>
      </c>
      <c r="AF28" s="259" t="str">
        <f>IF(OR(COUNT(D28,F28,H28,J28,L28)&lt;5,COUNT(P28,R28,T28,V28)&lt;4,COUNT(Y28,AA28,AC28)&lt;3),"",(O28+X28+AE28)*20)</f>
        <v/>
      </c>
      <c r="AG28" s="259" t="str">
        <f>IF(AF28="","",IF(AJ28="AVOID","AVOID",IF(AF28&gt;=80,IF(AH28="FAIL","WATCH LIST",IF(AK28="CAP AT BUY","BUY","STRONG BUY")),IF(AF28&gt;=65,IF(AH28="FAIL","WATCH LIST","BUY"),IF(AF28&gt;=50,"WATCH LIST",IF(AF28&gt;=35,"AVOID","PASS"))))))</f>
        <v/>
      </c>
      <c r="AH28" s="259" t="str">
        <f>IF(N28="","",IF(N28&lt;3,"FAIL","OK"))</f>
        <v>OK</v>
      </c>
      <c r="AI28" s="259" t="str">
        <f>IF(COUNT(D28:L28)=0,"",IF(COUNTIF(D28:L28,1)&gt;0,"REVIEW","OK"))</f>
        <v>OK</v>
      </c>
      <c r="AJ28" s="259" t="str">
        <f>IF(COUNT(D28:L28)=0,"",IF(COUNTIF(D28:L28,"&lt;=2")&gt;=2,"AVOID","OK"))</f>
        <v>OK</v>
      </c>
      <c r="AK28" s="259" t="str">
        <f>IF(COUNTA(E28:M28)=0,"",IF(COUNTIF(E28:M28,"L")&gt;=2,"CAP AT BUY","OK"))</f>
        <v>OK</v>
      </c>
      <c r="AL28" s="261" t="s">
        <v>350</v>
      </c>
      <c r="AM28" s="261" t="s">
        <v>400</v>
      </c>
      <c r="AN28" s="116"/>
      <c r="AO28" s="92"/>
      <c r="AP28" s="116" t="str">
        <f>IF(OR(AN28="",AO28=""),"",IF(AN28&gt;AO28,"OK","LOW CONF"))</f>
        <v/>
      </c>
      <c r="AQ28" s="116"/>
      <c r="AR28" s="92"/>
      <c r="AS28" s="125" t="str">
        <f>IF(OR(AQ28="",AR28=""),"",IF(AQ28&lt;AR28,"Decreased",IF(AQ28&gt;AR28,"Increased","Flat")))</f>
        <v/>
      </c>
    </row>
    <row r="29" spans="1:45" ht="15" customHeight="1" x14ac:dyDescent="0.3">
      <c r="A29" s="252" t="s">
        <v>107</v>
      </c>
      <c r="B29" s="253" t="s">
        <v>108</v>
      </c>
      <c r="C29" s="254">
        <v>46278</v>
      </c>
      <c r="D29" s="255">
        <v>3</v>
      </c>
      <c r="E29" s="255" t="s">
        <v>337</v>
      </c>
      <c r="F29" s="255">
        <v>3</v>
      </c>
      <c r="G29" s="255" t="s">
        <v>337</v>
      </c>
      <c r="H29" s="255">
        <v>4</v>
      </c>
      <c r="I29" s="255" t="s">
        <v>338</v>
      </c>
      <c r="J29" s="255">
        <v>5</v>
      </c>
      <c r="K29" s="255" t="s">
        <v>338</v>
      </c>
      <c r="L29" s="255">
        <v>2</v>
      </c>
      <c r="M29" s="255" t="s">
        <v>337</v>
      </c>
      <c r="N29" s="256">
        <f>IF(COUNT(D29,F29,H29,J29,L29)=0,"",(D29*0.2+F29*0.15+H29*0.15+J29*0.1+L29*0.1)/(IF(D29&lt;&gt;"",0.2,0)+IF(F29&lt;&gt;"",0.15,0)+IF(H29&lt;&gt;"",0.15,0)+IF(J29&lt;&gt;"",0.1,0)+IF(L29&lt;&gt;"",0.1,0)))</f>
        <v>3.3571428571428577</v>
      </c>
      <c r="O29" s="257">
        <f>IF(COUNT(D29,F29,H29,J29,L29)=0,"",D29*0.2+F29*0.15+H29*0.15+J29*0.1+L29*0.1)</f>
        <v>2.35</v>
      </c>
      <c r="P29" s="255">
        <v>4</v>
      </c>
      <c r="Q29" s="255" t="s">
        <v>337</v>
      </c>
      <c r="R29" s="255">
        <v>5</v>
      </c>
      <c r="S29" s="255" t="s">
        <v>337</v>
      </c>
      <c r="T29" s="255">
        <v>5</v>
      </c>
      <c r="U29" s="255" t="s">
        <v>338</v>
      </c>
      <c r="V29" s="255">
        <v>1</v>
      </c>
      <c r="W29" s="255" t="s">
        <v>338</v>
      </c>
      <c r="X29" s="257">
        <f>IF(COUNT(P29,R29,T29,V29)=0,"",P29*0.08+R29*0.06+T29*0.03+V29*0.08)</f>
        <v>0.85</v>
      </c>
      <c r="Y29" s="255">
        <v>5</v>
      </c>
      <c r="Z29" s="255" t="s">
        <v>338</v>
      </c>
      <c r="AA29" s="255">
        <v>3</v>
      </c>
      <c r="AB29" s="255" t="s">
        <v>337</v>
      </c>
      <c r="AC29" s="255">
        <v>3</v>
      </c>
      <c r="AD29" s="255" t="s">
        <v>339</v>
      </c>
      <c r="AE29" s="257">
        <f>IF(COUNT(Y29,AA29,AC29)=0,"",Y29*0.02+AA29*0.02+AC29*0.01)</f>
        <v>0.19</v>
      </c>
      <c r="AF29" s="258">
        <f>IF(OR(COUNT(D29,F29,H29,J29,L29)&lt;5,COUNT(P29,R29,T29,V29)&lt;4,COUNT(Y29,AA29,AC29)&lt;3),"",(O29+X29+AE29)*20)</f>
        <v>67.8</v>
      </c>
      <c r="AG29" s="259" t="str">
        <f>IF(AF29="","",IF(AJ29="AVOID","AVOID",IF(AF29&gt;=80,IF(AH29="FAIL","WATCH LIST",IF(AK29="CAP AT BUY","BUY","STRONG BUY")),IF(AF29&gt;=65,IF(AH29="FAIL","WATCH LIST","BUY"),IF(AF29&gt;=50,"WATCH LIST",IF(AF29&gt;=35,"AVOID","PASS"))))))</f>
        <v>BUY</v>
      </c>
      <c r="AH29" s="259" t="str">
        <f>IF(N29="","",IF(N29&lt;3,"FAIL","OK"))</f>
        <v>OK</v>
      </c>
      <c r="AI29" s="259" t="str">
        <f>IF(COUNT(D29:L29)=0,"",IF(COUNTIF(D29:L29,1)&gt;0,"REVIEW","OK"))</f>
        <v>OK</v>
      </c>
      <c r="AJ29" s="259" t="str">
        <f>IF(COUNT(D29:L29)=0,"",IF(COUNTIF(D29:L29,"&lt;=2")&gt;=2,"AVOID","OK"))</f>
        <v>OK</v>
      </c>
      <c r="AK29" s="259" t="str">
        <f>IF(COUNTA(E29:M29)=0,"",IF(COUNTIF(E29:M29,"L")&gt;=2,"CAP AT BUY","OK"))</f>
        <v>OK</v>
      </c>
      <c r="AL29" s="260" t="s">
        <v>340</v>
      </c>
      <c r="AM29" s="261" t="s">
        <v>341</v>
      </c>
      <c r="AN29" s="121">
        <v>17525000000</v>
      </c>
      <c r="AO29" s="122">
        <v>8539000000</v>
      </c>
      <c r="AP29" s="116" t="str">
        <f>IF(OR(AN29="",AO29=""),"",IF(AN29&gt;AO29,"OK","LOW CONF"))</f>
        <v>OK</v>
      </c>
      <c r="AQ29" s="123">
        <v>9.1590000000000007</v>
      </c>
      <c r="AR29" s="118">
        <v>115.76</v>
      </c>
      <c r="AS29" s="124" t="str">
        <f>IF(OR(AQ29="",AR29=""),"",IF(AQ29&lt;AR29,"Decreased",IF(AQ29&gt;AR29,"Increased","Flat")))</f>
        <v>Decreased</v>
      </c>
    </row>
    <row r="30" spans="1:45" ht="15" customHeight="1" x14ac:dyDescent="0.3">
      <c r="A30" s="252" t="s">
        <v>266</v>
      </c>
      <c r="B30" s="253" t="s">
        <v>403</v>
      </c>
      <c r="C30" s="254">
        <v>46247</v>
      </c>
      <c r="D30" s="255">
        <v>4</v>
      </c>
      <c r="E30" s="255" t="s">
        <v>337</v>
      </c>
      <c r="F30" s="255">
        <v>3</v>
      </c>
      <c r="G30" s="255" t="s">
        <v>337</v>
      </c>
      <c r="H30" s="255">
        <v>3</v>
      </c>
      <c r="I30" s="255" t="s">
        <v>337</v>
      </c>
      <c r="J30" s="255">
        <v>2</v>
      </c>
      <c r="K30" s="255" t="s">
        <v>337</v>
      </c>
      <c r="L30" s="255">
        <v>4</v>
      </c>
      <c r="M30" s="255" t="s">
        <v>337</v>
      </c>
      <c r="N30" s="256">
        <f>IF(COUNT(D30,F30,H30,J30,L30)=0,"",(D30*0.2+F30*0.15+H30*0.15+J30*0.1+L30*0.1)/(IF(D30&lt;&gt;"",0.2,0)+IF(F30&lt;&gt;"",0.15,0)+IF(H30&lt;&gt;"",0.15,0)+IF(J30&lt;&gt;"",0.1,0)+IF(L30&lt;&gt;"",0.1,0)))</f>
        <v>3.2857142857142856</v>
      </c>
      <c r="O30" s="257">
        <f>IF(COUNT(D30,F30,H30,J30,L30)=0,"",D30*0.2+F30*0.15+H30*0.15+J30*0.1+L30*0.1)</f>
        <v>2.2999999999999998</v>
      </c>
      <c r="P30" s="255"/>
      <c r="Q30" s="255"/>
      <c r="R30" s="255"/>
      <c r="S30" s="255"/>
      <c r="T30" s="255"/>
      <c r="U30" s="255"/>
      <c r="V30" s="255"/>
      <c r="W30" s="255"/>
      <c r="X30" s="262" t="str">
        <f>IF(COUNT(P30,R30,T30,V30)=0,"",P30*0.08+R30*0.06+T30*0.03+V30*0.08)</f>
        <v/>
      </c>
      <c r="Y30" s="255"/>
      <c r="Z30" s="255"/>
      <c r="AA30" s="255">
        <v>4</v>
      </c>
      <c r="AB30" s="255" t="s">
        <v>337</v>
      </c>
      <c r="AC30" s="255"/>
      <c r="AD30" s="255"/>
      <c r="AE30" s="262">
        <f>IF(COUNT(Y30,AA30,AC30)=0,"",Y30*0.02+AA30*0.02+AC30*0.01)</f>
        <v>0.08</v>
      </c>
      <c r="AF30" s="259" t="str">
        <f>IF(OR(COUNT(D30,F30,H30,J30,L30)&lt;5,COUNT(P30,R30,T30,V30)&lt;4,COUNT(Y30,AA30,AC30)&lt;3),"",(O30+X30+AE30)*20)</f>
        <v/>
      </c>
      <c r="AG30" s="259" t="str">
        <f>IF(AF30="","",IF(AJ30="AVOID","AVOID",IF(AF30&gt;=80,IF(AH30="FAIL","WATCH LIST",IF(AK30="CAP AT BUY","BUY","STRONG BUY")),IF(AF30&gt;=65,IF(AH30="FAIL","WATCH LIST","BUY"),IF(AF30&gt;=50,"WATCH LIST",IF(AF30&gt;=35,"AVOID","PASS"))))))</f>
        <v/>
      </c>
      <c r="AH30" s="259" t="str">
        <f>IF(N30="","",IF(N30&lt;3,"FAIL","OK"))</f>
        <v>OK</v>
      </c>
      <c r="AI30" s="259" t="str">
        <f>IF(COUNT(D30:L30)=0,"",IF(COUNTIF(D30:L30,1)&gt;0,"REVIEW","OK"))</f>
        <v>OK</v>
      </c>
      <c r="AJ30" s="259" t="str">
        <f>IF(COUNT(D30:L30)=0,"",IF(COUNTIF(D30:L30,"&lt;=2")&gt;=2,"AVOID","OK"))</f>
        <v>OK</v>
      </c>
      <c r="AK30" s="259" t="str">
        <f>IF(COUNTA(E30:M30)=0,"",IF(COUNTIF(E30:M30,"L")&gt;=2,"CAP AT BUY","OK"))</f>
        <v>OK</v>
      </c>
      <c r="AL30" s="261" t="s">
        <v>357</v>
      </c>
      <c r="AM30" s="261" t="s">
        <v>404</v>
      </c>
      <c r="AN30" s="116"/>
      <c r="AO30" s="92"/>
      <c r="AP30" s="116" t="str">
        <f>IF(OR(AN30="",AO30=""),"",IF(AN30&gt;AO30,"OK","LOW CONF"))</f>
        <v/>
      </c>
      <c r="AQ30" s="116"/>
      <c r="AR30" s="92"/>
      <c r="AS30" s="125" t="str">
        <f>IF(OR(AQ30="",AR30=""),"",IF(AQ30&lt;AR30,"Decreased",IF(AQ30&gt;AR30,"Increased","Flat")))</f>
        <v/>
      </c>
    </row>
    <row r="31" spans="1:45" ht="15" customHeight="1" x14ac:dyDescent="0.3">
      <c r="A31" s="252" t="s">
        <v>243</v>
      </c>
      <c r="B31" s="253" t="s">
        <v>369</v>
      </c>
      <c r="C31" s="254">
        <v>46276</v>
      </c>
      <c r="D31" s="255">
        <v>4</v>
      </c>
      <c r="E31" s="255" t="s">
        <v>337</v>
      </c>
      <c r="F31" s="255">
        <v>1</v>
      </c>
      <c r="G31" s="255" t="s">
        <v>337</v>
      </c>
      <c r="H31" s="255">
        <v>4</v>
      </c>
      <c r="I31" s="255" t="s">
        <v>337</v>
      </c>
      <c r="J31" s="255">
        <v>4</v>
      </c>
      <c r="K31" s="255" t="s">
        <v>337</v>
      </c>
      <c r="L31" s="255">
        <v>2</v>
      </c>
      <c r="M31" s="255" t="s">
        <v>337</v>
      </c>
      <c r="N31" s="256">
        <f>IF(COUNT(D31,F31,H31,J31,L31)=0,"",(D31*0.2+F31*0.15+H31*0.15+J31*0.1+L31*0.1)/(IF(D31&lt;&gt;"",0.2,0)+IF(F31&lt;&gt;"",0.15,0)+IF(H31&lt;&gt;"",0.15,0)+IF(J31&lt;&gt;"",0.1,0)+IF(L31&lt;&gt;"",0.1,0)))</f>
        <v>3.0714285714285721</v>
      </c>
      <c r="O31" s="257">
        <f>IF(COUNT(D31,F31,H31,J31,L31)=0,"",D31*0.2+F31*0.15+H31*0.15+J31*0.1+L31*0.1)</f>
        <v>2.1500000000000004</v>
      </c>
      <c r="P31" s="255"/>
      <c r="Q31" s="255"/>
      <c r="R31" s="255"/>
      <c r="S31" s="255"/>
      <c r="T31" s="255"/>
      <c r="U31" s="255"/>
      <c r="V31" s="255"/>
      <c r="W31" s="255"/>
      <c r="X31" s="257" t="str">
        <f>IF(COUNT(P31,R31,T31,V31)=0,"",P31*0.08+R31*0.06+T31*0.03+V31*0.08)</f>
        <v/>
      </c>
      <c r="Y31" s="255"/>
      <c r="Z31" s="255"/>
      <c r="AA31" s="255"/>
      <c r="AB31" s="255"/>
      <c r="AC31" s="255"/>
      <c r="AD31" s="255"/>
      <c r="AE31" s="257" t="str">
        <f>IF(COUNT(Y31,AA31,AC31)=0,"",Y31*0.02+AA31*0.02+AC31*0.01)</f>
        <v/>
      </c>
      <c r="AF31" s="258" t="str">
        <f>IF(OR(COUNT(D31,F31,H31,J31,L31)&lt;5,COUNT(P31,R31,T31,V31)&lt;4,COUNT(Y31,AA31,AC31)&lt;3),"",(O31+X31+AE31)*20)</f>
        <v/>
      </c>
      <c r="AG31" s="259" t="str">
        <f>IF(AF31="","",IF(AJ31="AVOID","AVOID",IF(AF31&gt;=80,IF(AH31="FAIL","WATCH LIST",IF(AK31="CAP AT BUY","BUY","STRONG BUY")),IF(AF31&gt;=65,IF(AH31="FAIL","WATCH LIST","BUY"),IF(AF31&gt;=50,"WATCH LIST",IF(AF31&gt;=35,"AVOID","PASS"))))))</f>
        <v/>
      </c>
      <c r="AH31" s="259" t="str">
        <f>IF(N31="","",IF(N31&lt;3,"FAIL","OK"))</f>
        <v>OK</v>
      </c>
      <c r="AI31" s="259" t="str">
        <f>IF(COUNT(D31:L31)=0,"",IF(COUNTIF(D31:L31,1)&gt;0,"REVIEW","OK"))</f>
        <v>REVIEW</v>
      </c>
      <c r="AJ31" s="259" t="str">
        <f>IF(COUNT(D31:L31)=0,"",IF(COUNTIF(D31:L31,"&lt;=2")&gt;=2,"AVOID","OK"))</f>
        <v>AVOID</v>
      </c>
      <c r="AK31" s="259" t="str">
        <f>IF(COUNTA(E31:M31)=0,"",IF(COUNTIF(E31:M31,"L")&gt;=2,"CAP AT BUY","OK"))</f>
        <v>OK</v>
      </c>
      <c r="AL31" s="261" t="s">
        <v>367</v>
      </c>
      <c r="AM31" s="261" t="s">
        <v>370</v>
      </c>
      <c r="AN31" s="116"/>
      <c r="AO31" s="92"/>
      <c r="AP31" s="116" t="str">
        <f>IF(OR(AN31="",AO31=""),"",IF(AN31&gt;AO31,"OK","LOW CONF"))</f>
        <v/>
      </c>
      <c r="AQ31" s="116"/>
      <c r="AR31" s="92"/>
      <c r="AS31" s="124" t="str">
        <f>IF(OR(AQ31="",AR31=""),"",IF(AQ31&lt;AR31,"Decreased",IF(AQ31&gt;AR31,"Increased","Flat")))</f>
        <v/>
      </c>
    </row>
    <row r="32" spans="1:45" ht="15" customHeight="1" x14ac:dyDescent="0.3">
      <c r="A32" s="252" t="s">
        <v>253</v>
      </c>
      <c r="B32" s="253" t="s">
        <v>379</v>
      </c>
      <c r="C32" s="254">
        <v>46276</v>
      </c>
      <c r="D32" s="255">
        <v>2</v>
      </c>
      <c r="E32" s="255" t="s">
        <v>337</v>
      </c>
      <c r="F32" s="255">
        <v>2</v>
      </c>
      <c r="G32" s="255" t="s">
        <v>337</v>
      </c>
      <c r="H32" s="255">
        <v>5</v>
      </c>
      <c r="I32" s="255" t="s">
        <v>338</v>
      </c>
      <c r="J32" s="255">
        <v>5</v>
      </c>
      <c r="K32" s="255" t="s">
        <v>338</v>
      </c>
      <c r="L32" s="255">
        <v>2</v>
      </c>
      <c r="M32" s="255" t="s">
        <v>337</v>
      </c>
      <c r="N32" s="256">
        <f>IF(COUNT(D32,F32,H32,J32,L32)=0,"",(D32*0.2+F32*0.15+H32*0.15+J32*0.1+L32*0.1)/(IF(D32&lt;&gt;"",0.2,0)+IF(F32&lt;&gt;"",0.15,0)+IF(H32&lt;&gt;"",0.15,0)+IF(J32&lt;&gt;"",0.1,0)+IF(L32&lt;&gt;"",0.1,0)))</f>
        <v>3.0714285714285716</v>
      </c>
      <c r="O32" s="257">
        <f>IF(COUNT(D32,F32,H32,J32,L32)=0,"",D32*0.2+F32*0.15+H32*0.15+J32*0.1+L32*0.1)</f>
        <v>2.15</v>
      </c>
      <c r="P32" s="255"/>
      <c r="Q32" s="255"/>
      <c r="R32" s="255"/>
      <c r="S32" s="255"/>
      <c r="T32" s="255"/>
      <c r="U32" s="255"/>
      <c r="V32" s="255"/>
      <c r="W32" s="255"/>
      <c r="X32" s="262" t="str">
        <f>IF(COUNT(P32,R32,T32,V32)=0,"",P32*0.08+R32*0.06+T32*0.03+V32*0.08)</f>
        <v/>
      </c>
      <c r="Y32" s="255"/>
      <c r="Z32" s="255"/>
      <c r="AA32" s="255"/>
      <c r="AB32" s="255"/>
      <c r="AC32" s="255"/>
      <c r="AD32" s="255"/>
      <c r="AE32" s="262" t="str">
        <f>IF(COUNT(Y32,AA32,AC32)=0,"",Y32*0.02+AA32*0.02+AC32*0.01)</f>
        <v/>
      </c>
      <c r="AF32" s="259" t="str">
        <f>IF(OR(COUNT(D32,F32,H32,J32,L32)&lt;5,COUNT(P32,R32,T32,V32)&lt;4,COUNT(Y32,AA32,AC32)&lt;3),"",(O32+X32+AE32)*20)</f>
        <v/>
      </c>
      <c r="AG32" s="259" t="str">
        <f>IF(AF32="","",IF(AJ32="AVOID","AVOID",IF(AF32&gt;=80,IF(AH32="FAIL","WATCH LIST",IF(AK32="CAP AT BUY","BUY","STRONG BUY")),IF(AF32&gt;=65,IF(AH32="FAIL","WATCH LIST","BUY"),IF(AF32&gt;=50,"WATCH LIST",IF(AF32&gt;=35,"AVOID","PASS"))))))</f>
        <v/>
      </c>
      <c r="AH32" s="259" t="str">
        <f>IF(N32="","",IF(N32&lt;3,"FAIL","OK"))</f>
        <v>OK</v>
      </c>
      <c r="AI32" s="259" t="str">
        <f>IF(COUNT(D32:L32)=0,"",IF(COUNTIF(D32:L32,1)&gt;0,"REVIEW","OK"))</f>
        <v>OK</v>
      </c>
      <c r="AJ32" s="259" t="str">
        <f>IF(COUNT(D32:L32)=0,"",IF(COUNTIF(D32:L32,"&lt;=2")&gt;=2,"AVOID","OK"))</f>
        <v>AVOID</v>
      </c>
      <c r="AK32" s="259" t="str">
        <f>IF(COUNTA(E32:M32)=0,"",IF(COUNTIF(E32:M32,"L")&gt;=2,"CAP AT BUY","OK"))</f>
        <v>OK</v>
      </c>
      <c r="AL32" s="261" t="s">
        <v>375</v>
      </c>
      <c r="AM32" s="261" t="s">
        <v>380</v>
      </c>
      <c r="AN32" s="116"/>
      <c r="AO32" s="92"/>
      <c r="AP32" s="116" t="str">
        <f>IF(OR(AN32="",AO32=""),"",IF(AN32&gt;AO32,"OK","LOW CONF"))</f>
        <v/>
      </c>
      <c r="AQ32" s="116"/>
      <c r="AR32" s="92"/>
      <c r="AS32" s="125" t="str">
        <f>IF(OR(AQ32="",AR32=""),"",IF(AQ32&lt;AR32,"Decreased",IF(AQ32&gt;AR32,"Increased","Flat")))</f>
        <v/>
      </c>
    </row>
    <row r="33" spans="1:45" ht="15" customHeight="1" x14ac:dyDescent="0.3">
      <c r="A33" s="252" t="s">
        <v>238</v>
      </c>
      <c r="B33" s="253" t="s">
        <v>406</v>
      </c>
      <c r="C33" s="254">
        <v>46258</v>
      </c>
      <c r="D33" s="255">
        <v>4</v>
      </c>
      <c r="E33" s="255" t="s">
        <v>337</v>
      </c>
      <c r="F33" s="255">
        <v>2</v>
      </c>
      <c r="G33" s="255" t="s">
        <v>337</v>
      </c>
      <c r="H33" s="255">
        <v>3</v>
      </c>
      <c r="I33" s="255" t="s">
        <v>337</v>
      </c>
      <c r="J33" s="255">
        <v>2</v>
      </c>
      <c r="K33" s="255" t="s">
        <v>337</v>
      </c>
      <c r="L33" s="255">
        <v>3</v>
      </c>
      <c r="M33" s="255" t="s">
        <v>337</v>
      </c>
      <c r="N33" s="256">
        <f>IF(COUNT(D33,F33,H33,J33,L33)=0,"",(D33*0.2+F33*0.15+H33*0.15+J33*0.1+L33*0.1)/(IF(D33&lt;&gt;"",0.2,0)+IF(F33&lt;&gt;"",0.15,0)+IF(H33&lt;&gt;"",0.15,0)+IF(J33&lt;&gt;"",0.1,0)+IF(L33&lt;&gt;"",0.1,0)))</f>
        <v>2.9285714285714284</v>
      </c>
      <c r="O33" s="257">
        <f>IF(COUNT(D33,F33,H33,J33,L33)=0,"",D33*0.2+F33*0.15+H33*0.15+J33*0.1+L33*0.1)</f>
        <v>2.0499999999999998</v>
      </c>
      <c r="P33" s="255"/>
      <c r="Q33" s="255"/>
      <c r="R33" s="255"/>
      <c r="S33" s="255"/>
      <c r="T33" s="255"/>
      <c r="U33" s="255"/>
      <c r="V33" s="255"/>
      <c r="W33" s="255"/>
      <c r="X33" s="262" t="str">
        <f>IF(COUNT(P33,R33,T33,V33)=0,"",P33*0.08+R33*0.06+T33*0.03+V33*0.08)</f>
        <v/>
      </c>
      <c r="Y33" s="255"/>
      <c r="Z33" s="255"/>
      <c r="AA33" s="255"/>
      <c r="AB33" s="255"/>
      <c r="AC33" s="255"/>
      <c r="AD33" s="255"/>
      <c r="AE33" s="262" t="str">
        <f>IF(COUNT(Y33,AA33,AC33)=0,"",Y33*0.02+AA33*0.02+AC33*0.01)</f>
        <v/>
      </c>
      <c r="AF33" s="259" t="str">
        <f>IF(OR(COUNT(D33,F33,H33,J33,L33)&lt;5,COUNT(P33,R33,T33,V33)&lt;4,COUNT(Y33,AA33,AC33)&lt;3),"",(O33+X33+AE33)*20)</f>
        <v/>
      </c>
      <c r="AG33" s="259" t="str">
        <f>IF(AF33="","",IF(AJ33="AVOID","AVOID",IF(AF33&gt;=80,IF(AH33="FAIL","WATCH LIST",IF(AK33="CAP AT BUY","BUY","STRONG BUY")),IF(AF33&gt;=65,IF(AH33="FAIL","WATCH LIST","BUY"),IF(AF33&gt;=50,"WATCH LIST",IF(AF33&gt;=35,"AVOID","PASS"))))))</f>
        <v/>
      </c>
      <c r="AH33" s="259" t="str">
        <f>IF(N33="","",IF(N33&lt;3,"FAIL","OK"))</f>
        <v>FAIL</v>
      </c>
      <c r="AI33" s="259" t="str">
        <f>IF(COUNT(D33:L33)=0,"",IF(COUNTIF(D33:L33,1)&gt;0,"REVIEW","OK"))</f>
        <v>OK</v>
      </c>
      <c r="AJ33" s="259" t="str">
        <f>IF(COUNT(D33:L33)=0,"",IF(COUNTIF(D33:L33,"&lt;=2")&gt;=2,"AVOID","OK"))</f>
        <v>AVOID</v>
      </c>
      <c r="AK33" s="259" t="str">
        <f>IF(COUNTA(E33:M33)=0,"",IF(COUNTIF(E33:M33,"L")&gt;=2,"CAP AT BUY","OK"))</f>
        <v>OK</v>
      </c>
      <c r="AL33" s="261" t="s">
        <v>407</v>
      </c>
      <c r="AM33" s="261" t="s">
        <v>408</v>
      </c>
      <c r="AN33" s="116"/>
      <c r="AO33" s="92"/>
      <c r="AP33" s="116" t="str">
        <f>IF(OR(AN33="",AO33=""),"",IF(AN33&gt;AO33,"OK","LOW CONF"))</f>
        <v/>
      </c>
      <c r="AQ33" s="116"/>
      <c r="AR33" s="92"/>
      <c r="AS33" s="125" t="str">
        <f>IF(OR(AQ33="",AR33=""),"",IF(AQ33&lt;AR33,"Decreased",IF(AQ33&gt;AR33,"Increased","Flat")))</f>
        <v/>
      </c>
    </row>
    <row r="34" spans="1:45" ht="15" customHeight="1" x14ac:dyDescent="0.3">
      <c r="A34" s="252" t="s">
        <v>272</v>
      </c>
      <c r="B34" s="253" t="s">
        <v>394</v>
      </c>
      <c r="C34" s="254">
        <v>46246</v>
      </c>
      <c r="D34" s="255">
        <v>3</v>
      </c>
      <c r="E34" s="255" t="s">
        <v>337</v>
      </c>
      <c r="F34" s="255">
        <v>3</v>
      </c>
      <c r="G34" s="255" t="s">
        <v>337</v>
      </c>
      <c r="H34" s="255">
        <v>3</v>
      </c>
      <c r="I34" s="255" t="s">
        <v>337</v>
      </c>
      <c r="J34" s="255">
        <v>2</v>
      </c>
      <c r="K34" s="255" t="s">
        <v>337</v>
      </c>
      <c r="L34" s="255">
        <v>3</v>
      </c>
      <c r="M34" s="255" t="s">
        <v>337</v>
      </c>
      <c r="N34" s="256">
        <f>IF(COUNT(D34,F34,H34,J34,L34)=0,"",(D34*0.2+F34*0.15+H34*0.15+J34*0.1+L34*0.1)/(IF(D34&lt;&gt;"",0.2,0)+IF(F34&lt;&gt;"",0.15,0)+IF(H34&lt;&gt;"",0.15,0)+IF(J34&lt;&gt;"",0.1,0)+IF(L34&lt;&gt;"",0.1,0)))</f>
        <v>2.8571428571428572</v>
      </c>
      <c r="O34" s="257">
        <f>IF(COUNT(D34,F34,H34,J34,L34)=0,"",D34*0.2+F34*0.15+H34*0.15+J34*0.1+L34*0.1)</f>
        <v>2</v>
      </c>
      <c r="P34" s="255"/>
      <c r="Q34" s="255"/>
      <c r="R34" s="255"/>
      <c r="S34" s="255"/>
      <c r="T34" s="255"/>
      <c r="U34" s="255"/>
      <c r="V34" s="255"/>
      <c r="W34" s="255"/>
      <c r="X34" s="262" t="str">
        <f>IF(COUNT(P34,R34,T34,V34)=0,"",P34*0.08+R34*0.06+T34*0.03+V34*0.08)</f>
        <v/>
      </c>
      <c r="Y34" s="255"/>
      <c r="Z34" s="255"/>
      <c r="AA34" s="255"/>
      <c r="AB34" s="255"/>
      <c r="AC34" s="255"/>
      <c r="AD34" s="255"/>
      <c r="AE34" s="262" t="str">
        <f>IF(COUNT(Y34,AA34,AC34)=0,"",Y34*0.02+AA34*0.02+AC34*0.01)</f>
        <v/>
      </c>
      <c r="AF34" s="259" t="str">
        <f>IF(OR(COUNT(D34,F34,H34,J34,L34)&lt;5,COUNT(P34,R34,T34,V34)&lt;4,COUNT(Y34,AA34,AC34)&lt;3),"",(O34+X34+AE34)*20)</f>
        <v/>
      </c>
      <c r="AG34" s="259" t="str">
        <f>IF(AF34="","",IF(AJ34="AVOID","AVOID",IF(AF34&gt;=80,IF(AH34="FAIL","WATCH LIST",IF(AK34="CAP AT BUY","BUY","STRONG BUY")),IF(AF34&gt;=65,IF(AH34="FAIL","WATCH LIST","BUY"),IF(AF34&gt;=50,"WATCH LIST",IF(AF34&gt;=35,"AVOID","PASS"))))))</f>
        <v/>
      </c>
      <c r="AH34" s="259" t="str">
        <f>IF(N34="","",IF(N34&lt;3,"FAIL","OK"))</f>
        <v>FAIL</v>
      </c>
      <c r="AI34" s="259" t="str">
        <f>IF(COUNT(D34:L34)=0,"",IF(COUNTIF(D34:L34,1)&gt;0,"REVIEW","OK"))</f>
        <v>OK</v>
      </c>
      <c r="AJ34" s="259" t="str">
        <f>IF(COUNT(D34:L34)=0,"",IF(COUNTIF(D34:L34,"&lt;=2")&gt;=2,"AVOID","OK"))</f>
        <v>OK</v>
      </c>
      <c r="AK34" s="259" t="str">
        <f>IF(COUNTA(E34:M34)=0,"",IF(COUNTIF(E34:M34,"L")&gt;=2,"CAP AT BUY","OK"))</f>
        <v>OK</v>
      </c>
      <c r="AL34" s="261" t="s">
        <v>350</v>
      </c>
      <c r="AM34" s="261" t="s">
        <v>395</v>
      </c>
      <c r="AN34" s="116"/>
      <c r="AO34" s="92"/>
      <c r="AP34" s="116" t="str">
        <f>IF(OR(AN34="",AO34=""),"",IF(AN34&gt;AO34,"OK","LOW CONF"))</f>
        <v/>
      </c>
      <c r="AQ34" s="116"/>
      <c r="AR34" s="92"/>
      <c r="AS34" s="125" t="str">
        <f>IF(OR(AQ34="",AR34=""),"",IF(AQ34&lt;AR34,"Decreased",IF(AQ34&gt;AR34,"Increased","Flat")))</f>
        <v/>
      </c>
    </row>
    <row r="35" spans="1:45" ht="15" customHeight="1" x14ac:dyDescent="0.3">
      <c r="A35" s="252" t="s">
        <v>229</v>
      </c>
      <c r="B35" s="253" t="s">
        <v>399</v>
      </c>
      <c r="C35" s="254">
        <v>46246</v>
      </c>
      <c r="D35" s="255">
        <v>2</v>
      </c>
      <c r="E35" s="255" t="s">
        <v>337</v>
      </c>
      <c r="F35" s="255">
        <v>3</v>
      </c>
      <c r="G35" s="255" t="s">
        <v>338</v>
      </c>
      <c r="H35" s="255">
        <v>4</v>
      </c>
      <c r="I35" s="255" t="s">
        <v>337</v>
      </c>
      <c r="J35" s="255">
        <v>3</v>
      </c>
      <c r="K35" s="255" t="s">
        <v>337</v>
      </c>
      <c r="L35" s="255">
        <v>2</v>
      </c>
      <c r="M35" s="255" t="s">
        <v>338</v>
      </c>
      <c r="N35" s="256">
        <f>IF(COUNT(D35,F35,H35,J35,L35)=0,"",(D35*0.2+F35*0.15+H35*0.15+J35*0.1+L35*0.1)/(IF(D35&lt;&gt;"",0.2,0)+IF(F35&lt;&gt;"",0.15,0)+IF(H35&lt;&gt;"",0.15,0)+IF(J35&lt;&gt;"",0.1,0)+IF(L35&lt;&gt;"",0.1,0)))</f>
        <v>2.785714285714286</v>
      </c>
      <c r="O35" s="257">
        <f>IF(COUNT(D35,F35,H35,J35,L35)=0,"",D35*0.2+F35*0.15+H35*0.15+J35*0.1+L35*0.1)</f>
        <v>1.95</v>
      </c>
      <c r="P35" s="255"/>
      <c r="Q35" s="255"/>
      <c r="R35" s="255"/>
      <c r="S35" s="255"/>
      <c r="T35" s="255"/>
      <c r="U35" s="255"/>
      <c r="V35" s="255"/>
      <c r="W35" s="255"/>
      <c r="X35" s="262" t="str">
        <f>IF(COUNT(P35,R35,T35,V35)=0,"",P35*0.08+R35*0.06+T35*0.03+V35*0.08)</f>
        <v/>
      </c>
      <c r="Y35" s="255"/>
      <c r="Z35" s="255"/>
      <c r="AA35" s="255"/>
      <c r="AB35" s="255"/>
      <c r="AC35" s="255"/>
      <c r="AD35" s="255"/>
      <c r="AE35" s="262" t="str">
        <f>IF(COUNT(Y35,AA35,AC35)=0,"",Y35*0.02+AA35*0.02+AC35*0.01)</f>
        <v/>
      </c>
      <c r="AF35" s="259" t="str">
        <f>IF(OR(COUNT(D35,F35,H35,J35,L35)&lt;5,COUNT(P35,R35,T35,V35)&lt;4,COUNT(Y35,AA35,AC35)&lt;3),"",(O35+X35+AE35)*20)</f>
        <v/>
      </c>
      <c r="AG35" s="259" t="str">
        <f>IF(AF35="","",IF(AJ35="AVOID","AVOID",IF(AF35&gt;=80,IF(AH35="FAIL","WATCH LIST",IF(AK35="CAP AT BUY","BUY","STRONG BUY")),IF(AF35&gt;=65,IF(AH35="FAIL","WATCH LIST","BUY"),IF(AF35&gt;=50,"WATCH LIST",IF(AF35&gt;=35,"AVOID","PASS"))))))</f>
        <v/>
      </c>
      <c r="AH35" s="259" t="str">
        <f>IF(N35="","",IF(N35&lt;3,"FAIL","OK"))</f>
        <v>FAIL</v>
      </c>
      <c r="AI35" s="259" t="str">
        <f>IF(COUNT(D35:L35)=0,"",IF(COUNTIF(D35:L35,1)&gt;0,"REVIEW","OK"))</f>
        <v>OK</v>
      </c>
      <c r="AJ35" s="259" t="str">
        <f>IF(COUNT(D35:L35)=0,"",IF(COUNTIF(D35:L35,"&lt;=2")&gt;=2,"AVOID","OK"))</f>
        <v>AVOID</v>
      </c>
      <c r="AK35" s="259" t="str">
        <f>IF(COUNTA(E35:M35)=0,"",IF(COUNTIF(E35:M35,"L")&gt;=2,"CAP AT BUY","OK"))</f>
        <v>OK</v>
      </c>
      <c r="AL35" s="261" t="s">
        <v>350</v>
      </c>
      <c r="AM35" s="261" t="s">
        <v>400</v>
      </c>
      <c r="AN35" s="116"/>
      <c r="AO35" s="92"/>
      <c r="AP35" s="116" t="str">
        <f>IF(OR(AN35="",AO35=""),"",IF(AN35&gt;AO35,"OK","LOW CONF"))</f>
        <v/>
      </c>
      <c r="AQ35" s="116"/>
      <c r="AR35" s="92"/>
      <c r="AS35" s="125" t="str">
        <f>IF(OR(AQ35="",AR35=""),"",IF(AQ35&lt;AR35,"Decreased",IF(AQ35&gt;AR35,"Increased","Flat")))</f>
        <v/>
      </c>
    </row>
    <row r="36" spans="1:45" ht="15" customHeight="1" x14ac:dyDescent="0.3">
      <c r="A36" s="252" t="s">
        <v>260</v>
      </c>
      <c r="B36" s="253" t="s">
        <v>373</v>
      </c>
      <c r="C36" s="254">
        <v>46245</v>
      </c>
      <c r="D36" s="255">
        <v>3</v>
      </c>
      <c r="E36" s="255" t="s">
        <v>337</v>
      </c>
      <c r="F36" s="255">
        <v>2</v>
      </c>
      <c r="G36" s="255" t="s">
        <v>338</v>
      </c>
      <c r="H36" s="255">
        <v>3</v>
      </c>
      <c r="I36" s="255" t="s">
        <v>337</v>
      </c>
      <c r="J36" s="255">
        <v>3</v>
      </c>
      <c r="K36" s="255" t="s">
        <v>337</v>
      </c>
      <c r="L36" s="255">
        <v>2</v>
      </c>
      <c r="M36" s="255" t="s">
        <v>338</v>
      </c>
      <c r="N36" s="256">
        <f>IF(COUNT(D36,F36,H36,J36,L36)=0,"",(D36*0.2+F36*0.15+H36*0.15+J36*0.1+L36*0.1)/(IF(D36&lt;&gt;"",0.2,0)+IF(F36&lt;&gt;"",0.15,0)+IF(H36&lt;&gt;"",0.15,0)+IF(J36&lt;&gt;"",0.1,0)+IF(L36&lt;&gt;"",0.1,0)))</f>
        <v>2.6428571428571432</v>
      </c>
      <c r="O36" s="257">
        <f>IF(COUNT(D36,F36,H36,J36,L36)=0,"",D36*0.2+F36*0.15+H36*0.15+J36*0.1+L36*0.1)</f>
        <v>1.85</v>
      </c>
      <c r="P36" s="255"/>
      <c r="Q36" s="255"/>
      <c r="R36" s="255"/>
      <c r="S36" s="255"/>
      <c r="T36" s="255"/>
      <c r="U36" s="255"/>
      <c r="V36" s="255"/>
      <c r="W36" s="255"/>
      <c r="X36" s="257" t="str">
        <f>IF(COUNT(P36,R36,T36,V36)=0,"",P36*0.08+R36*0.06+T36*0.03+V36*0.08)</f>
        <v/>
      </c>
      <c r="Y36" s="255"/>
      <c r="Z36" s="255"/>
      <c r="AA36" s="255"/>
      <c r="AB36" s="255"/>
      <c r="AC36" s="255"/>
      <c r="AD36" s="255"/>
      <c r="AE36" s="257" t="str">
        <f>IF(COUNT(Y36,AA36,AC36)=0,"",Y36*0.02+AA36*0.02+AC36*0.01)</f>
        <v/>
      </c>
      <c r="AF36" s="258" t="str">
        <f>IF(OR(COUNT(D36,F36,H36,J36,L36)&lt;5,COUNT(P36,R36,T36,V36)&lt;4,COUNT(Y36,AA36,AC36)&lt;3),"",(O36+X36+AE36)*20)</f>
        <v/>
      </c>
      <c r="AG36" s="259" t="str">
        <f>IF(AF36="","",IF(AJ36="AVOID","AVOID",IF(AF36&gt;=80,IF(AH36="FAIL","WATCH LIST",IF(AK36="CAP AT BUY","BUY","STRONG BUY")),IF(AF36&gt;=65,IF(AH36="FAIL","WATCH LIST","BUY"),IF(AF36&gt;=50,"WATCH LIST",IF(AF36&gt;=35,"AVOID","PASS"))))))</f>
        <v/>
      </c>
      <c r="AH36" s="259" t="str">
        <f>IF(N36="","",IF(N36&lt;3,"FAIL","OK"))</f>
        <v>FAIL</v>
      </c>
      <c r="AI36" s="259" t="str">
        <f>IF(COUNT(D36:L36)=0,"",IF(COUNTIF(D36:L36,1)&gt;0,"REVIEW","OK"))</f>
        <v>OK</v>
      </c>
      <c r="AJ36" s="259" t="str">
        <f>IF(COUNT(D36:L36)=0,"",IF(COUNTIF(D36:L36,"&lt;=2")&gt;=2,"AVOID","OK"))</f>
        <v>AVOID</v>
      </c>
      <c r="AK36" s="259" t="str">
        <f>IF(COUNTA(E36:M36)=0,"",IF(COUNTIF(E36:M36,"L")&gt;=2,"CAP AT BUY","OK"))</f>
        <v>OK</v>
      </c>
      <c r="AL36" s="261" t="s">
        <v>367</v>
      </c>
      <c r="AM36" s="261" t="s">
        <v>372</v>
      </c>
      <c r="AN36" s="116"/>
      <c r="AO36" s="92"/>
      <c r="AP36" s="116" t="str">
        <f>IF(OR(AN36="",AO36=""),"",IF(AN36&gt;AO36,"OK","LOW CONF"))</f>
        <v/>
      </c>
      <c r="AQ36" s="116"/>
      <c r="AR36" s="92"/>
      <c r="AS36" s="124" t="str">
        <f>IF(OR(AQ36="",AR36=""),"",IF(AQ36&lt;AR36,"Decreased",IF(AQ36&gt;AR36,"Increased","Flat")))</f>
        <v/>
      </c>
    </row>
    <row r="37" spans="1:45" ht="15" customHeight="1" x14ac:dyDescent="0.3">
      <c r="A37" s="252" t="s">
        <v>183</v>
      </c>
      <c r="B37" s="253" t="s">
        <v>184</v>
      </c>
      <c r="C37" s="254">
        <v>46240</v>
      </c>
      <c r="D37" s="255">
        <v>2</v>
      </c>
      <c r="E37" s="255" t="s">
        <v>337</v>
      </c>
      <c r="F37" s="255">
        <v>4</v>
      </c>
      <c r="G37" s="255" t="s">
        <v>338</v>
      </c>
      <c r="H37" s="255">
        <v>3</v>
      </c>
      <c r="I37" s="255" t="s">
        <v>337</v>
      </c>
      <c r="J37" s="255">
        <v>2</v>
      </c>
      <c r="K37" s="255" t="s">
        <v>337</v>
      </c>
      <c r="L37" s="255">
        <v>2</v>
      </c>
      <c r="M37" s="255" t="s">
        <v>338</v>
      </c>
      <c r="N37" s="256">
        <f>IF(COUNT(D37,F37,H37,J37,L37)=0,"",(D37*0.2+F37*0.15+H37*0.15+J37*0.1+L37*0.1)/(IF(D37&lt;&gt;"",0.2,0)+IF(F37&lt;&gt;"",0.15,0)+IF(H37&lt;&gt;"",0.15,0)+IF(J37&lt;&gt;"",0.1,0)+IF(L37&lt;&gt;"",0.1,0)))</f>
        <v>2.6428571428571428</v>
      </c>
      <c r="O37" s="257">
        <f>IF(COUNT(D37,F37,H37,J37,L37)=0,"",D37*0.2+F37*0.15+H37*0.15+J37*0.1+L37*0.1)</f>
        <v>1.8499999999999999</v>
      </c>
      <c r="P37" s="255"/>
      <c r="Q37" s="255"/>
      <c r="R37" s="255"/>
      <c r="S37" s="255"/>
      <c r="T37" s="255"/>
      <c r="U37" s="255"/>
      <c r="V37" s="255"/>
      <c r="W37" s="255"/>
      <c r="X37" s="257" t="str">
        <f>IF(COUNT(P37,R37,T37,V37)=0,"",P37*0.08+R37*0.06+T37*0.03+V37*0.08)</f>
        <v/>
      </c>
      <c r="Y37" s="255"/>
      <c r="Z37" s="255"/>
      <c r="AA37" s="255"/>
      <c r="AB37" s="255"/>
      <c r="AC37" s="255"/>
      <c r="AD37" s="255"/>
      <c r="AE37" s="257" t="str">
        <f>IF(COUNT(Y37,AA37,AC37)=0,"",Y37*0.02+AA37*0.02+AC37*0.01)</f>
        <v/>
      </c>
      <c r="AF37" s="258" t="str">
        <f>IF(OR(COUNT(D37,F37,H37,J37,L37)&lt;5,COUNT(P37,R37,T37,V37)&lt;4,COUNT(Y37,AA37,AC37)&lt;3),"",(O37+X37+AE37)*20)</f>
        <v/>
      </c>
      <c r="AG37" s="259" t="str">
        <f>IF(AF37="","",IF(AJ37="AVOID","AVOID",IF(AF37&gt;=80,IF(AH37="FAIL","WATCH LIST",IF(AK37="CAP AT BUY","BUY","STRONG BUY")),IF(AF37&gt;=65,IF(AH37="FAIL","WATCH LIST","BUY"),IF(AF37&gt;=50,"WATCH LIST",IF(AF37&gt;=35,"AVOID","PASS"))))))</f>
        <v/>
      </c>
      <c r="AH37" s="259" t="str">
        <f>IF(N37="","",IF(N37&lt;3,"FAIL","OK"))</f>
        <v>FAIL</v>
      </c>
      <c r="AI37" s="259" t="str">
        <f>IF(COUNT(D37:L37)=0,"",IF(COUNTIF(D37:L37,1)&gt;0,"REVIEW","OK"))</f>
        <v>OK</v>
      </c>
      <c r="AJ37" s="259" t="str">
        <f>IF(COUNT(D37:L37)=0,"",IF(COUNTIF(D37:L37,"&lt;=2")&gt;=2,"AVOID","OK"))</f>
        <v>AVOID</v>
      </c>
      <c r="AK37" s="259" t="str">
        <f>IF(COUNTA(E37:M37)=0,"",IF(COUNTIF(E37:M37,"L")&gt;=2,"CAP AT BUY","OK"))</f>
        <v>OK</v>
      </c>
      <c r="AL37" s="260" t="s">
        <v>350</v>
      </c>
      <c r="AM37" s="261" t="s">
        <v>351</v>
      </c>
      <c r="AN37" s="121">
        <v>359500000</v>
      </c>
      <c r="AO37" s="122">
        <v>203700000</v>
      </c>
      <c r="AP37" s="116" t="str">
        <f>IF(OR(AN37="",AO37=""),"",IF(AN37&gt;AO37,"OK","LOW CONF"))</f>
        <v>OK</v>
      </c>
      <c r="AQ37" s="123">
        <v>1.857</v>
      </c>
      <c r="AR37" s="118">
        <v>0.78</v>
      </c>
      <c r="AS37" s="124" t="str">
        <f>IF(OR(AQ37="",AR37=""),"",IF(AQ37&lt;AR37,"Decreased",IF(AQ37&gt;AR37,"Increased","Flat")))</f>
        <v>Increased</v>
      </c>
    </row>
    <row r="38" spans="1:45" ht="15" customHeight="1" x14ac:dyDescent="0.3">
      <c r="A38" s="252" t="s">
        <v>255</v>
      </c>
      <c r="B38" s="253" t="s">
        <v>363</v>
      </c>
      <c r="C38" s="254">
        <v>46245</v>
      </c>
      <c r="D38" s="255">
        <v>1</v>
      </c>
      <c r="E38" s="255" t="s">
        <v>338</v>
      </c>
      <c r="F38" s="255">
        <v>3</v>
      </c>
      <c r="G38" s="255" t="s">
        <v>337</v>
      </c>
      <c r="H38" s="255">
        <v>4</v>
      </c>
      <c r="I38" s="255" t="s">
        <v>337</v>
      </c>
      <c r="J38" s="255">
        <v>4</v>
      </c>
      <c r="K38" s="255" t="s">
        <v>337</v>
      </c>
      <c r="L38" s="255">
        <v>1</v>
      </c>
      <c r="M38" s="255" t="s">
        <v>338</v>
      </c>
      <c r="N38" s="256">
        <f>IF(COUNT(D38,F38,H38,J38,L38)=0,"",(D38*0.2+F38*0.15+H38*0.15+J38*0.1+L38*0.1)/(IF(D38&lt;&gt;"",0.2,0)+IF(F38&lt;&gt;"",0.15,0)+IF(H38&lt;&gt;"",0.15,0)+IF(J38&lt;&gt;"",0.1,0)+IF(L38&lt;&gt;"",0.1,0)))</f>
        <v>2.5</v>
      </c>
      <c r="O38" s="257">
        <f>IF(COUNT(D38,F38,H38,J38,L38)=0,"",D38*0.2+F38*0.15+H38*0.15+J38*0.1+L38*0.1)</f>
        <v>1.75</v>
      </c>
      <c r="P38" s="255"/>
      <c r="Q38" s="255"/>
      <c r="R38" s="255"/>
      <c r="S38" s="255"/>
      <c r="T38" s="255"/>
      <c r="U38" s="255"/>
      <c r="V38" s="255"/>
      <c r="W38" s="255"/>
      <c r="X38" s="257" t="str">
        <f>IF(COUNT(P38,R38,T38,V38)=0,"",P38*0.08+R38*0.06+T38*0.03+V38*0.08)</f>
        <v/>
      </c>
      <c r="Y38" s="255"/>
      <c r="Z38" s="255"/>
      <c r="AA38" s="255"/>
      <c r="AB38" s="255"/>
      <c r="AC38" s="255"/>
      <c r="AD38" s="255"/>
      <c r="AE38" s="257" t="str">
        <f>IF(COUNT(Y38,AA38,AC38)=0,"",Y38*0.02+AA38*0.02+AC38*0.01)</f>
        <v/>
      </c>
      <c r="AF38" s="258" t="str">
        <f>IF(OR(COUNT(D38,F38,H38,J38,L38)&lt;5,COUNT(P38,R38,T38,V38)&lt;4,COUNT(Y38,AA38,AC38)&lt;3),"",(O38+X38+AE38)*20)</f>
        <v/>
      </c>
      <c r="AG38" s="259" t="str">
        <f>IF(AF38="","",IF(AJ38="AVOID","AVOID",IF(AF38&gt;=80,IF(AH38="FAIL","WATCH LIST",IF(AK38="CAP AT BUY","BUY","STRONG BUY")),IF(AF38&gt;=65,IF(AH38="FAIL","WATCH LIST","BUY"),IF(AF38&gt;=50,"WATCH LIST",IF(AF38&gt;=35,"AVOID","PASS"))))))</f>
        <v/>
      </c>
      <c r="AH38" s="259" t="str">
        <f>IF(N38="","",IF(N38&lt;3,"FAIL","OK"))</f>
        <v>FAIL</v>
      </c>
      <c r="AI38" s="259" t="str">
        <f>IF(COUNT(D38:L38)=0,"",IF(COUNTIF(D38:L38,1)&gt;0,"REVIEW","OK"))</f>
        <v>REVIEW</v>
      </c>
      <c r="AJ38" s="259" t="str">
        <f>IF(COUNT(D38:L38)=0,"",IF(COUNTIF(D38:L38,"&lt;=2")&gt;=2,"AVOID","OK"))</f>
        <v>AVOID</v>
      </c>
      <c r="AK38" s="259" t="str">
        <f>IF(COUNTA(E38:M38)=0,"",IF(COUNTIF(E38:M38,"L")&gt;=2,"CAP AT BUY","OK"))</f>
        <v>OK</v>
      </c>
      <c r="AL38" s="261" t="s">
        <v>364</v>
      </c>
      <c r="AM38" s="261" t="s">
        <v>365</v>
      </c>
      <c r="AN38" s="116"/>
      <c r="AO38" s="92"/>
      <c r="AP38" s="116" t="str">
        <f>IF(OR(AN38="",AO38=""),"",IF(AN38&gt;AO38,"OK","LOW CONF"))</f>
        <v/>
      </c>
      <c r="AQ38" s="116"/>
      <c r="AR38" s="92"/>
      <c r="AS38" s="124" t="str">
        <f>IF(OR(AQ38="",AR38=""),"",IF(AQ38&lt;AR38,"Decreased",IF(AQ38&gt;AR38,"Increased","Flat")))</f>
        <v/>
      </c>
    </row>
    <row r="39" spans="1:45" ht="15" customHeight="1" x14ac:dyDescent="0.3">
      <c r="A39" s="252" t="s">
        <v>249</v>
      </c>
      <c r="B39" s="253" t="s">
        <v>396</v>
      </c>
      <c r="C39" s="254">
        <v>46246</v>
      </c>
      <c r="D39" s="255">
        <v>2</v>
      </c>
      <c r="E39" s="255" t="s">
        <v>339</v>
      </c>
      <c r="F39" s="255">
        <v>4</v>
      </c>
      <c r="G39" s="255" t="s">
        <v>338</v>
      </c>
      <c r="H39" s="255">
        <v>3</v>
      </c>
      <c r="I39" s="255" t="s">
        <v>337</v>
      </c>
      <c r="J39" s="255">
        <v>2</v>
      </c>
      <c r="K39" s="255" t="s">
        <v>337</v>
      </c>
      <c r="L39" s="255">
        <v>1</v>
      </c>
      <c r="M39" s="255" t="s">
        <v>338</v>
      </c>
      <c r="N39" s="256">
        <f>IF(COUNT(D39,F39,H39,J39,L39)=0,"",(D39*0.2+F39*0.15+H39*0.15+J39*0.1+L39*0.1)/(IF(D39&lt;&gt;"",0.2,0)+IF(F39&lt;&gt;"",0.15,0)+IF(H39&lt;&gt;"",0.15,0)+IF(J39&lt;&gt;"",0.1,0)+IF(L39&lt;&gt;"",0.1,0)))</f>
        <v>2.5</v>
      </c>
      <c r="O39" s="257">
        <f>IF(COUNT(D39,F39,H39,J39,L39)=0,"",D39*0.2+F39*0.15+H39*0.15+J39*0.1+L39*0.1)</f>
        <v>1.75</v>
      </c>
      <c r="P39" s="255"/>
      <c r="Q39" s="255"/>
      <c r="R39" s="255"/>
      <c r="S39" s="255"/>
      <c r="T39" s="255"/>
      <c r="U39" s="255"/>
      <c r="V39" s="255"/>
      <c r="W39" s="255"/>
      <c r="X39" s="262" t="str">
        <f>IF(COUNT(P39,R39,T39,V39)=0,"",P39*0.08+R39*0.06+T39*0.03+V39*0.08)</f>
        <v/>
      </c>
      <c r="Y39" s="255"/>
      <c r="Z39" s="255"/>
      <c r="AA39" s="255"/>
      <c r="AB39" s="255"/>
      <c r="AC39" s="255"/>
      <c r="AD39" s="255"/>
      <c r="AE39" s="262" t="str">
        <f>IF(COUNT(Y39,AA39,AC39)=0,"",Y39*0.02+AA39*0.02+AC39*0.01)</f>
        <v/>
      </c>
      <c r="AF39" s="259" t="str">
        <f>IF(OR(COUNT(D39,F39,H39,J39,L39)&lt;5,COUNT(P39,R39,T39,V39)&lt;4,COUNT(Y39,AA39,AC39)&lt;3),"",(O39+X39+AE39)*20)</f>
        <v/>
      </c>
      <c r="AG39" s="259" t="str">
        <f>IF(AF39="","",IF(AJ39="AVOID","AVOID",IF(AF39&gt;=80,IF(AH39="FAIL","WATCH LIST",IF(AK39="CAP AT BUY","BUY","STRONG BUY")),IF(AF39&gt;=65,IF(AH39="FAIL","WATCH LIST","BUY"),IF(AF39&gt;=50,"WATCH LIST",IF(AF39&gt;=35,"AVOID","PASS"))))))</f>
        <v/>
      </c>
      <c r="AH39" s="259" t="str">
        <f>IF(N39="","",IF(N39&lt;3,"FAIL","OK"))</f>
        <v>FAIL</v>
      </c>
      <c r="AI39" s="259" t="str">
        <f>IF(COUNT(D39:L39)=0,"",IF(COUNTIF(D39:L39,1)&gt;0,"REVIEW","OK"))</f>
        <v>REVIEW</v>
      </c>
      <c r="AJ39" s="259" t="str">
        <f>IF(COUNT(D39:L39)=0,"",IF(COUNTIF(D39:L39,"&lt;=2")&gt;=2,"AVOID","OK"))</f>
        <v>AVOID</v>
      </c>
      <c r="AK39" s="259" t="str">
        <f>IF(COUNTA(E39:M39)=0,"",IF(COUNTIF(E39:M39,"L")&gt;=2,"CAP AT BUY","OK"))</f>
        <v>OK</v>
      </c>
      <c r="AL39" s="261" t="s">
        <v>350</v>
      </c>
      <c r="AM39" s="261" t="s">
        <v>395</v>
      </c>
      <c r="AN39" s="116"/>
      <c r="AO39" s="92"/>
      <c r="AP39" s="116" t="str">
        <f>IF(OR(AN39="",AO39=""),"",IF(AN39&gt;AO39,"OK","LOW CONF"))</f>
        <v/>
      </c>
      <c r="AQ39" s="116"/>
      <c r="AR39" s="92"/>
      <c r="AS39" s="125" t="str">
        <f>IF(OR(AQ39="",AR39=""),"",IF(AQ39&lt;AR39,"Decreased",IF(AQ39&gt;AR39,"Increased","Flat")))</f>
        <v/>
      </c>
    </row>
    <row r="40" spans="1:45" ht="15" customHeight="1" x14ac:dyDescent="0.3">
      <c r="A40" s="252" t="s">
        <v>237</v>
      </c>
      <c r="B40" s="253" t="s">
        <v>381</v>
      </c>
      <c r="C40" s="254">
        <v>46245</v>
      </c>
      <c r="D40" s="255">
        <v>2</v>
      </c>
      <c r="E40" s="255" t="s">
        <v>337</v>
      </c>
      <c r="F40" s="255">
        <v>2</v>
      </c>
      <c r="G40" s="255" t="s">
        <v>337</v>
      </c>
      <c r="H40" s="255">
        <v>3</v>
      </c>
      <c r="I40" s="255" t="s">
        <v>337</v>
      </c>
      <c r="J40" s="255">
        <v>3</v>
      </c>
      <c r="K40" s="255" t="s">
        <v>337</v>
      </c>
      <c r="L40" s="255">
        <v>2</v>
      </c>
      <c r="M40" s="255" t="s">
        <v>338</v>
      </c>
      <c r="N40" s="256">
        <f>IF(COUNT(D40,F40,H40,J40,L40)=0,"",(D40*0.2+F40*0.15+H40*0.15+J40*0.1+L40*0.1)/(IF(D40&lt;&gt;"",0.2,0)+IF(F40&lt;&gt;"",0.15,0)+IF(H40&lt;&gt;"",0.15,0)+IF(J40&lt;&gt;"",0.1,0)+IF(L40&lt;&gt;"",0.1,0)))</f>
        <v>2.3571428571428572</v>
      </c>
      <c r="O40" s="257">
        <f>IF(COUNT(D40,F40,H40,J40,L40)=0,"",D40*0.2+F40*0.15+H40*0.15+J40*0.1+L40*0.1)</f>
        <v>1.65</v>
      </c>
      <c r="P40" s="255"/>
      <c r="Q40" s="255"/>
      <c r="R40" s="255"/>
      <c r="S40" s="255"/>
      <c r="T40" s="255"/>
      <c r="U40" s="255"/>
      <c r="V40" s="255"/>
      <c r="W40" s="255"/>
      <c r="X40" s="262" t="str">
        <f>IF(COUNT(P40,R40,T40,V40)=0,"",P40*0.08+R40*0.06+T40*0.03+V40*0.08)</f>
        <v/>
      </c>
      <c r="Y40" s="255"/>
      <c r="Z40" s="255"/>
      <c r="AA40" s="255"/>
      <c r="AB40" s="255"/>
      <c r="AC40" s="255"/>
      <c r="AD40" s="255"/>
      <c r="AE40" s="262" t="str">
        <f>IF(COUNT(Y40,AA40,AC40)=0,"",Y40*0.02+AA40*0.02+AC40*0.01)</f>
        <v/>
      </c>
      <c r="AF40" s="259" t="str">
        <f>IF(OR(COUNT(D40,F40,H40,J40,L40)&lt;5,COUNT(P40,R40,T40,V40)&lt;4,COUNT(Y40,AA40,AC40)&lt;3),"",(O40+X40+AE40)*20)</f>
        <v/>
      </c>
      <c r="AG40" s="259" t="str">
        <f>IF(AF40="","",IF(AJ40="AVOID","AVOID",IF(AF40&gt;=80,IF(AH40="FAIL","WATCH LIST",IF(AK40="CAP AT BUY","BUY","STRONG BUY")),IF(AF40&gt;=65,IF(AH40="FAIL","WATCH LIST","BUY"),IF(AF40&gt;=50,"WATCH LIST",IF(AF40&gt;=35,"AVOID","PASS"))))))</f>
        <v/>
      </c>
      <c r="AH40" s="259" t="str">
        <f>IF(N40="","",IF(N40&lt;3,"FAIL","OK"))</f>
        <v>FAIL</v>
      </c>
      <c r="AI40" s="259" t="str">
        <f>IF(COUNT(D40:L40)=0,"",IF(COUNTIF(D40:L40,1)&gt;0,"REVIEW","OK"))</f>
        <v>OK</v>
      </c>
      <c r="AJ40" s="259" t="str">
        <f>IF(COUNT(D40:L40)=0,"",IF(COUNTIF(D40:L40,"&lt;=2")&gt;=2,"AVOID","OK"))</f>
        <v>AVOID</v>
      </c>
      <c r="AK40" s="259" t="str">
        <f>IF(COUNTA(E40:M40)=0,"",IF(COUNTIF(E40:M40,"L")&gt;=2,"CAP AT BUY","OK"))</f>
        <v>OK</v>
      </c>
      <c r="AL40" s="261" t="s">
        <v>348</v>
      </c>
      <c r="AM40" s="261" t="s">
        <v>382</v>
      </c>
      <c r="AN40" s="116"/>
      <c r="AO40" s="92"/>
      <c r="AP40" s="116" t="str">
        <f>IF(OR(AN40="",AO40=""),"",IF(AN40&gt;AO40,"OK","LOW CONF"))</f>
        <v/>
      </c>
      <c r="AQ40" s="116"/>
      <c r="AR40" s="92"/>
      <c r="AS40" s="125" t="str">
        <f>IF(OR(AQ40="",AR40=""),"",IF(AQ40&lt;AR40,"Decreased",IF(AQ40&gt;AR40,"Increased","Flat")))</f>
        <v/>
      </c>
    </row>
    <row r="41" spans="1:45" ht="15" customHeight="1" x14ac:dyDescent="0.3">
      <c r="A41" s="252" t="s">
        <v>241</v>
      </c>
      <c r="B41" s="253" t="s">
        <v>383</v>
      </c>
      <c r="C41" s="254">
        <v>46245</v>
      </c>
      <c r="D41" s="255">
        <v>2</v>
      </c>
      <c r="E41" s="255" t="s">
        <v>337</v>
      </c>
      <c r="F41" s="255">
        <v>1</v>
      </c>
      <c r="G41" s="255" t="s">
        <v>338</v>
      </c>
      <c r="H41" s="255">
        <v>3</v>
      </c>
      <c r="I41" s="255" t="s">
        <v>337</v>
      </c>
      <c r="J41" s="255">
        <v>2</v>
      </c>
      <c r="K41" s="255" t="s">
        <v>337</v>
      </c>
      <c r="L41" s="255">
        <v>3</v>
      </c>
      <c r="M41" s="255" t="s">
        <v>337</v>
      </c>
      <c r="N41" s="256">
        <f>IF(COUNT(D41,F41,H41,J41,L41)=0,"",(D41*0.2+F41*0.15+H41*0.15+J41*0.1+L41*0.1)/(IF(D41&lt;&gt;"",0.2,0)+IF(F41&lt;&gt;"",0.15,0)+IF(H41&lt;&gt;"",0.15,0)+IF(J41&lt;&gt;"",0.1,0)+IF(L41&lt;&gt;"",0.1,0)))</f>
        <v>2.1428571428571428</v>
      </c>
      <c r="O41" s="257">
        <f>IF(COUNT(D41,F41,H41,J41,L41)=0,"",D41*0.2+F41*0.15+H41*0.15+J41*0.1+L41*0.1)</f>
        <v>1.5</v>
      </c>
      <c r="P41" s="255"/>
      <c r="Q41" s="255"/>
      <c r="R41" s="255"/>
      <c r="S41" s="255"/>
      <c r="T41" s="255"/>
      <c r="U41" s="255"/>
      <c r="V41" s="255"/>
      <c r="W41" s="255"/>
      <c r="X41" s="262" t="str">
        <f>IF(COUNT(P41,R41,T41,V41)=0,"",P41*0.08+R41*0.06+T41*0.03+V41*0.08)</f>
        <v/>
      </c>
      <c r="Y41" s="255"/>
      <c r="Z41" s="255"/>
      <c r="AA41" s="255"/>
      <c r="AB41" s="255"/>
      <c r="AC41" s="255"/>
      <c r="AD41" s="255"/>
      <c r="AE41" s="262" t="str">
        <f>IF(COUNT(Y41,AA41,AC41)=0,"",Y41*0.02+AA41*0.02+AC41*0.01)</f>
        <v/>
      </c>
      <c r="AF41" s="259" t="str">
        <f>IF(OR(COUNT(D41,F41,H41,J41,L41)&lt;5,COUNT(P41,R41,T41,V41)&lt;4,COUNT(Y41,AA41,AC41)&lt;3),"",(O41+X41+AE41)*20)</f>
        <v/>
      </c>
      <c r="AG41" s="259" t="str">
        <f>IF(AF41="","",IF(AJ41="AVOID","AVOID",IF(AF41&gt;=80,IF(AH41="FAIL","WATCH LIST",IF(AK41="CAP AT BUY","BUY","STRONG BUY")),IF(AF41&gt;=65,IF(AH41="FAIL","WATCH LIST","BUY"),IF(AF41&gt;=50,"WATCH LIST",IF(AF41&gt;=35,"AVOID","PASS"))))))</f>
        <v/>
      </c>
      <c r="AH41" s="259" t="str">
        <f>IF(N41="","",IF(N41&lt;3,"FAIL","OK"))</f>
        <v>FAIL</v>
      </c>
      <c r="AI41" s="259" t="str">
        <f>IF(COUNT(D41:L41)=0,"",IF(COUNTIF(D41:L41,1)&gt;0,"REVIEW","OK"))</f>
        <v>REVIEW</v>
      </c>
      <c r="AJ41" s="259" t="str">
        <f>IF(COUNT(D41:L41)=0,"",IF(COUNTIF(D41:L41,"&lt;=2")&gt;=2,"AVOID","OK"))</f>
        <v>AVOID</v>
      </c>
      <c r="AK41" s="259" t="str">
        <f>IF(COUNTA(E41:M41)=0,"",IF(COUNTIF(E41:M41,"L")&gt;=2,"CAP AT BUY","OK"))</f>
        <v>OK</v>
      </c>
      <c r="AL41" s="261" t="s">
        <v>348</v>
      </c>
      <c r="AM41" s="261" t="s">
        <v>384</v>
      </c>
      <c r="AN41" s="116"/>
      <c r="AO41" s="92"/>
      <c r="AP41" s="116" t="str">
        <f>IF(OR(AN41="",AO41=""),"",IF(AN41&gt;AO41,"OK","LOW CONF"))</f>
        <v/>
      </c>
      <c r="AQ41" s="116"/>
      <c r="AR41" s="92"/>
      <c r="AS41" s="125" t="str">
        <f>IF(OR(AQ41="",AR41=""),"",IF(AQ41&lt;AR41,"Decreased",IF(AQ41&gt;AR41,"Increased","Flat")))</f>
        <v/>
      </c>
    </row>
    <row r="42" spans="1:45" ht="15" customHeight="1" x14ac:dyDescent="0.3">
      <c r="A42" s="252" t="s">
        <v>251</v>
      </c>
      <c r="B42" s="253" t="s">
        <v>371</v>
      </c>
      <c r="C42" s="254">
        <v>46245</v>
      </c>
      <c r="D42" s="255">
        <v>2</v>
      </c>
      <c r="E42" s="255" t="s">
        <v>339</v>
      </c>
      <c r="F42" s="255">
        <v>2</v>
      </c>
      <c r="G42" s="255" t="s">
        <v>337</v>
      </c>
      <c r="H42" s="255">
        <v>3</v>
      </c>
      <c r="I42" s="255" t="s">
        <v>337</v>
      </c>
      <c r="J42" s="255">
        <v>2</v>
      </c>
      <c r="K42" s="255" t="s">
        <v>337</v>
      </c>
      <c r="L42" s="255">
        <v>1</v>
      </c>
      <c r="M42" s="255" t="s">
        <v>338</v>
      </c>
      <c r="N42" s="256">
        <f>IF(COUNT(D42,F42,H42,J42,L42)=0,"",(D42*0.2+F42*0.15+H42*0.15+J42*0.1+L42*0.1)/(IF(D42&lt;&gt;"",0.2,0)+IF(F42&lt;&gt;"",0.15,0)+IF(H42&lt;&gt;"",0.15,0)+IF(J42&lt;&gt;"",0.1,0)+IF(L42&lt;&gt;"",0.1,0)))</f>
        <v>2.0714285714285716</v>
      </c>
      <c r="O42" s="257">
        <f>IF(COUNT(D42,F42,H42,J42,L42)=0,"",D42*0.2+F42*0.15+H42*0.15+J42*0.1+L42*0.1)</f>
        <v>1.45</v>
      </c>
      <c r="P42" s="255"/>
      <c r="Q42" s="255"/>
      <c r="R42" s="255"/>
      <c r="S42" s="255"/>
      <c r="T42" s="255"/>
      <c r="U42" s="255"/>
      <c r="V42" s="255"/>
      <c r="W42" s="255"/>
      <c r="X42" s="257" t="str">
        <f>IF(COUNT(P42,R42,T42,V42)=0,"",P42*0.08+R42*0.06+T42*0.03+V42*0.08)</f>
        <v/>
      </c>
      <c r="Y42" s="255"/>
      <c r="Z42" s="255"/>
      <c r="AA42" s="255"/>
      <c r="AB42" s="255"/>
      <c r="AC42" s="255"/>
      <c r="AD42" s="255"/>
      <c r="AE42" s="257" t="str">
        <f>IF(COUNT(Y42,AA42,AC42)=0,"",Y42*0.02+AA42*0.02+AC42*0.01)</f>
        <v/>
      </c>
      <c r="AF42" s="258" t="str">
        <f>IF(OR(COUNT(D42,F42,H42,J42,L42)&lt;5,COUNT(P42,R42,T42,V42)&lt;4,COUNT(Y42,AA42,AC42)&lt;3),"",(O42+X42+AE42)*20)</f>
        <v/>
      </c>
      <c r="AG42" s="259" t="str">
        <f>IF(AF42="","",IF(AJ42="AVOID","AVOID",IF(AF42&gt;=80,IF(AH42="FAIL","WATCH LIST",IF(AK42="CAP AT BUY","BUY","STRONG BUY")),IF(AF42&gt;=65,IF(AH42="FAIL","WATCH LIST","BUY"),IF(AF42&gt;=50,"WATCH LIST",IF(AF42&gt;=35,"AVOID","PASS"))))))</f>
        <v/>
      </c>
      <c r="AH42" s="259" t="str">
        <f>IF(N42="","",IF(N42&lt;3,"FAIL","OK"))</f>
        <v>FAIL</v>
      </c>
      <c r="AI42" s="259" t="str">
        <f>IF(COUNT(D42:L42)=0,"",IF(COUNTIF(D42:L42,1)&gt;0,"REVIEW","OK"))</f>
        <v>REVIEW</v>
      </c>
      <c r="AJ42" s="259" t="str">
        <f>IF(COUNT(D42:L42)=0,"",IF(COUNTIF(D42:L42,"&lt;=2")&gt;=2,"AVOID","OK"))</f>
        <v>AVOID</v>
      </c>
      <c r="AK42" s="259" t="str">
        <f>IF(COUNTA(E42:M42)=0,"",IF(COUNTIF(E42:M42,"L")&gt;=2,"CAP AT BUY","OK"))</f>
        <v>OK</v>
      </c>
      <c r="AL42" s="261" t="s">
        <v>367</v>
      </c>
      <c r="AM42" s="261" t="s">
        <v>372</v>
      </c>
      <c r="AN42" s="116"/>
      <c r="AO42" s="92"/>
      <c r="AP42" s="116" t="str">
        <f>IF(OR(AN42="",AO42=""),"",IF(AN42&gt;AO42,"OK","LOW CONF"))</f>
        <v/>
      </c>
      <c r="AQ42" s="116"/>
      <c r="AR42" s="92"/>
      <c r="AS42" s="124" t="str">
        <f>IF(OR(AQ42="",AR42=""),"",IF(AQ42&lt;AR42,"Decreased",IF(AQ42&gt;AR42,"Increased","Flat")))</f>
        <v/>
      </c>
    </row>
    <row r="43" spans="1:45" ht="15" customHeight="1" x14ac:dyDescent="0.3">
      <c r="A43" s="252" t="s">
        <v>175</v>
      </c>
      <c r="B43" s="253" t="s">
        <v>176</v>
      </c>
      <c r="C43" s="254">
        <v>46240</v>
      </c>
      <c r="D43" s="255">
        <v>1</v>
      </c>
      <c r="E43" s="255" t="s">
        <v>338</v>
      </c>
      <c r="F43" s="255">
        <v>2</v>
      </c>
      <c r="G43" s="255" t="s">
        <v>337</v>
      </c>
      <c r="H43" s="255">
        <v>3</v>
      </c>
      <c r="I43" s="255" t="s">
        <v>337</v>
      </c>
      <c r="J43" s="255">
        <v>3</v>
      </c>
      <c r="K43" s="255" t="s">
        <v>337</v>
      </c>
      <c r="L43" s="255">
        <v>1</v>
      </c>
      <c r="M43" s="255" t="s">
        <v>338</v>
      </c>
      <c r="N43" s="256">
        <f>IF(COUNT(D43,F43,H43,J43,L43)=0,"",(D43*0.2+F43*0.15+H43*0.15+J43*0.1+L43*0.1)/(IF(D43&lt;&gt;"",0.2,0)+IF(F43&lt;&gt;"",0.15,0)+IF(H43&lt;&gt;"",0.15,0)+IF(J43&lt;&gt;"",0.1,0)+IF(L43&lt;&gt;"",0.1,0)))</f>
        <v>1.9285714285714288</v>
      </c>
      <c r="O43" s="257">
        <f>IF(COUNT(D43,F43,H43,J43,L43)=0,"",D43*0.2+F43*0.15+H43*0.15+J43*0.1+L43*0.1)</f>
        <v>1.35</v>
      </c>
      <c r="P43" s="255"/>
      <c r="Q43" s="255"/>
      <c r="R43" s="255"/>
      <c r="S43" s="255"/>
      <c r="T43" s="255"/>
      <c r="U43" s="255"/>
      <c r="V43" s="255"/>
      <c r="W43" s="255"/>
      <c r="X43" s="257" t="str">
        <f>IF(COUNT(P43,R43,T43,V43)=0,"",P43*0.08+R43*0.06+T43*0.03+V43*0.08)</f>
        <v/>
      </c>
      <c r="Y43" s="255"/>
      <c r="Z43" s="255"/>
      <c r="AA43" s="255"/>
      <c r="AB43" s="255"/>
      <c r="AC43" s="255"/>
      <c r="AD43" s="255"/>
      <c r="AE43" s="257" t="str">
        <f>IF(COUNT(Y43,AA43,AC43)=0,"",Y43*0.02+AA43*0.02+AC43*0.01)</f>
        <v/>
      </c>
      <c r="AF43" s="258" t="str">
        <f>IF(OR(COUNT(D43,F43,H43,J43,L43)&lt;5,COUNT(P43,R43,T43,V43)&lt;4,COUNT(Y43,AA43,AC43)&lt;3),"",(O43+X43+AE43)*20)</f>
        <v/>
      </c>
      <c r="AG43" s="259" t="str">
        <f>IF(AF43="","",IF(AJ43="AVOID","AVOID",IF(AF43&gt;=80,IF(AH43="FAIL","WATCH LIST",IF(AK43="CAP AT BUY","BUY","STRONG BUY")),IF(AF43&gt;=65,IF(AH43="FAIL","WATCH LIST","BUY"),IF(AF43&gt;=50,"WATCH LIST",IF(AF43&gt;=35,"AVOID","PASS"))))))</f>
        <v/>
      </c>
      <c r="AH43" s="259" t="str">
        <f>IF(N43="","",IF(N43&lt;3,"FAIL","OK"))</f>
        <v>FAIL</v>
      </c>
      <c r="AI43" s="259" t="str">
        <f>IF(COUNT(D43:L43)=0,"",IF(COUNTIF(D43:L43,1)&gt;0,"REVIEW","OK"))</f>
        <v>REVIEW</v>
      </c>
      <c r="AJ43" s="259" t="str">
        <f>IF(COUNT(D43:L43)=0,"",IF(COUNTIF(D43:L43,"&lt;=2")&gt;=2,"AVOID","OK"))</f>
        <v>AVOID</v>
      </c>
      <c r="AK43" s="259" t="str">
        <f>IF(COUNTA(E43:M43)=0,"",IF(COUNTIF(E43:M43,"L")&gt;=2,"CAP AT BUY","OK"))</f>
        <v>OK</v>
      </c>
      <c r="AL43" s="260" t="s">
        <v>350</v>
      </c>
      <c r="AM43" s="261" t="s">
        <v>352</v>
      </c>
      <c r="AN43" s="121">
        <v>14747000000</v>
      </c>
      <c r="AO43" s="122">
        <v>3794000000</v>
      </c>
      <c r="AP43" s="116" t="str">
        <f>IF(OR(AN43="",AO43=""),"",IF(AN43&gt;AO43,"OK","LOW CONF"))</f>
        <v>OK</v>
      </c>
      <c r="AQ43" s="123">
        <v>2.3660000000000001</v>
      </c>
      <c r="AR43" s="118">
        <v>3.8039999999999998</v>
      </c>
      <c r="AS43" s="124" t="str">
        <f>IF(OR(AQ43="",AR43=""),"",IF(AQ43&lt;AR43,"Decreased",IF(AQ43&gt;AR43,"Increased","Flat")))</f>
        <v>Decreased</v>
      </c>
    </row>
    <row r="44" spans="1:45" ht="15" customHeight="1" x14ac:dyDescent="0.3">
      <c r="A44" s="252" t="s">
        <v>250</v>
      </c>
      <c r="B44" s="253" t="s">
        <v>385</v>
      </c>
      <c r="C44" s="254">
        <v>46245</v>
      </c>
      <c r="D44" s="255">
        <v>1</v>
      </c>
      <c r="E44" s="255" t="s">
        <v>338</v>
      </c>
      <c r="F44" s="255">
        <v>2</v>
      </c>
      <c r="G44" s="255" t="s">
        <v>337</v>
      </c>
      <c r="H44" s="255">
        <v>3</v>
      </c>
      <c r="I44" s="255" t="s">
        <v>337</v>
      </c>
      <c r="J44" s="255">
        <v>3</v>
      </c>
      <c r="K44" s="255" t="s">
        <v>337</v>
      </c>
      <c r="L44" s="255">
        <v>1</v>
      </c>
      <c r="M44" s="255" t="s">
        <v>338</v>
      </c>
      <c r="N44" s="256">
        <f>IF(COUNT(D44,F44,H44,J44,L44)=0,"",(D44*0.2+F44*0.15+H44*0.15+J44*0.1+L44*0.1)/(IF(D44&lt;&gt;"",0.2,0)+IF(F44&lt;&gt;"",0.15,0)+IF(H44&lt;&gt;"",0.15,0)+IF(J44&lt;&gt;"",0.1,0)+IF(L44&lt;&gt;"",0.1,0)))</f>
        <v>1.9285714285714288</v>
      </c>
      <c r="O44" s="257">
        <f>IF(COUNT(D44,F44,H44,J44,L44)=0,"",D44*0.2+F44*0.15+H44*0.15+J44*0.1+L44*0.1)</f>
        <v>1.35</v>
      </c>
      <c r="P44" s="255"/>
      <c r="Q44" s="255"/>
      <c r="R44" s="255"/>
      <c r="S44" s="255"/>
      <c r="T44" s="255"/>
      <c r="U44" s="255"/>
      <c r="V44" s="255"/>
      <c r="W44" s="255"/>
      <c r="X44" s="262" t="str">
        <f>IF(COUNT(P44,R44,T44,V44)=0,"",P44*0.08+R44*0.06+T44*0.03+V44*0.08)</f>
        <v/>
      </c>
      <c r="Y44" s="255"/>
      <c r="Z44" s="255"/>
      <c r="AA44" s="255"/>
      <c r="AB44" s="255"/>
      <c r="AC44" s="255"/>
      <c r="AD44" s="255"/>
      <c r="AE44" s="262" t="str">
        <f>IF(COUNT(Y44,AA44,AC44)=0,"",Y44*0.02+AA44*0.02+AC44*0.01)</f>
        <v/>
      </c>
      <c r="AF44" s="259" t="str">
        <f>IF(OR(COUNT(D44,F44,H44,J44,L44)&lt;5,COUNT(P44,R44,T44,V44)&lt;4,COUNT(Y44,AA44,AC44)&lt;3),"",(O44+X44+AE44)*20)</f>
        <v/>
      </c>
      <c r="AG44" s="259" t="str">
        <f>IF(AF44="","",IF(AJ44="AVOID","AVOID",IF(AF44&gt;=80,IF(AH44="FAIL","WATCH LIST",IF(AK44="CAP AT BUY","BUY","STRONG BUY")),IF(AF44&gt;=65,IF(AH44="FAIL","WATCH LIST","BUY"),IF(AF44&gt;=50,"WATCH LIST",IF(AF44&gt;=35,"AVOID","PASS"))))))</f>
        <v/>
      </c>
      <c r="AH44" s="259" t="str">
        <f>IF(N44="","",IF(N44&lt;3,"FAIL","OK"))</f>
        <v>FAIL</v>
      </c>
      <c r="AI44" s="259" t="str">
        <f>IF(COUNT(D44:L44)=0,"",IF(COUNTIF(D44:L44,1)&gt;0,"REVIEW","OK"))</f>
        <v>REVIEW</v>
      </c>
      <c r="AJ44" s="259" t="str">
        <f>IF(COUNT(D44:L44)=0,"",IF(COUNTIF(D44:L44,"&lt;=2")&gt;=2,"AVOID","OK"))</f>
        <v>AVOID</v>
      </c>
      <c r="AK44" s="259" t="str">
        <f>IF(COUNTA(E44:M44)=0,"",IF(COUNTIF(E44:M44,"L")&gt;=2,"CAP AT BUY","OK"))</f>
        <v>OK</v>
      </c>
      <c r="AL44" s="261" t="s">
        <v>348</v>
      </c>
      <c r="AM44" s="261" t="s">
        <v>386</v>
      </c>
      <c r="AN44" s="116"/>
      <c r="AO44" s="92"/>
      <c r="AP44" s="116" t="str">
        <f>IF(OR(AN44="",AO44=""),"",IF(AN44&gt;AO44,"OK","LOW CONF"))</f>
        <v/>
      </c>
      <c r="AQ44" s="116"/>
      <c r="AR44" s="92"/>
      <c r="AS44" s="125" t="str">
        <f>IF(OR(AQ44="",AR44=""),"",IF(AQ44&lt;AR44,"Decreased",IF(AQ44&gt;AR44,"Increased","Flat")))</f>
        <v/>
      </c>
    </row>
    <row r="45" spans="1:45" ht="15" customHeight="1" x14ac:dyDescent="0.3">
      <c r="A45" s="252" t="s">
        <v>172</v>
      </c>
      <c r="B45" s="253" t="s">
        <v>173</v>
      </c>
      <c r="C45" s="254">
        <v>46240</v>
      </c>
      <c r="D45" s="255">
        <v>2</v>
      </c>
      <c r="E45" s="255" t="s">
        <v>337</v>
      </c>
      <c r="F45" s="255">
        <v>2</v>
      </c>
      <c r="G45" s="255" t="s">
        <v>337</v>
      </c>
      <c r="H45" s="255">
        <v>2</v>
      </c>
      <c r="I45" s="255" t="s">
        <v>337</v>
      </c>
      <c r="J45" s="255">
        <v>2</v>
      </c>
      <c r="K45" s="255" t="s">
        <v>337</v>
      </c>
      <c r="L45" s="255">
        <v>1</v>
      </c>
      <c r="M45" s="255" t="s">
        <v>338</v>
      </c>
      <c r="N45" s="256">
        <f>IF(COUNT(D45,F45,H45,J45,L45)=0,"",(D45*0.2+F45*0.15+H45*0.15+J45*0.1+L45*0.1)/(IF(D45&lt;&gt;"",0.2,0)+IF(F45&lt;&gt;"",0.15,0)+IF(H45&lt;&gt;"",0.15,0)+IF(J45&lt;&gt;"",0.1,0)+IF(L45&lt;&gt;"",0.1,0)))</f>
        <v>1.8571428571428574</v>
      </c>
      <c r="O45" s="257">
        <f>IF(COUNT(D45,F45,H45,J45,L45)=0,"",D45*0.2+F45*0.15+H45*0.15+J45*0.1+L45*0.1)</f>
        <v>1.3</v>
      </c>
      <c r="P45" s="255"/>
      <c r="Q45" s="255"/>
      <c r="R45" s="255"/>
      <c r="S45" s="255"/>
      <c r="T45" s="255"/>
      <c r="U45" s="255"/>
      <c r="V45" s="255"/>
      <c r="W45" s="255"/>
      <c r="X45" s="257" t="str">
        <f>IF(COUNT(P45,R45,T45,V45)=0,"",P45*0.08+R45*0.06+T45*0.03+V45*0.08)</f>
        <v/>
      </c>
      <c r="Y45" s="255"/>
      <c r="Z45" s="255"/>
      <c r="AA45" s="255"/>
      <c r="AB45" s="255"/>
      <c r="AC45" s="255"/>
      <c r="AD45" s="255"/>
      <c r="AE45" s="257" t="str">
        <f>IF(COUNT(Y45,AA45,AC45)=0,"",Y45*0.02+AA45*0.02+AC45*0.01)</f>
        <v/>
      </c>
      <c r="AF45" s="258" t="str">
        <f>IF(OR(COUNT(D45,F45,H45,J45,L45)&lt;5,COUNT(P45,R45,T45,V45)&lt;4,COUNT(Y45,AA45,AC45)&lt;3),"",(O45+X45+AE45)*20)</f>
        <v/>
      </c>
      <c r="AG45" s="259" t="str">
        <f>IF(AF45="","",IF(AJ45="AVOID","AVOID",IF(AF45&gt;=80,IF(AH45="FAIL","WATCH LIST",IF(AK45="CAP AT BUY","BUY","STRONG BUY")),IF(AF45&gt;=65,IF(AH45="FAIL","WATCH LIST","BUY"),IF(AF45&gt;=50,"WATCH LIST",IF(AF45&gt;=35,"AVOID","PASS"))))))</f>
        <v/>
      </c>
      <c r="AH45" s="259" t="str">
        <f>IF(N45="","",IF(N45&lt;3,"FAIL","OK"))</f>
        <v>FAIL</v>
      </c>
      <c r="AI45" s="259" t="str">
        <f>IF(COUNT(D45:L45)=0,"",IF(COUNTIF(D45:L45,1)&gt;0,"REVIEW","OK"))</f>
        <v>REVIEW</v>
      </c>
      <c r="AJ45" s="259" t="str">
        <f>IF(COUNT(D45:L45)=0,"",IF(COUNTIF(D45:L45,"&lt;=2")&gt;=2,"AVOID","OK"))</f>
        <v>AVOID</v>
      </c>
      <c r="AK45" s="259" t="str">
        <f>IF(COUNTA(E45:M45)=0,"",IF(COUNTIF(E45:M45,"L")&gt;=2,"CAP AT BUY","OK"))</f>
        <v>OK</v>
      </c>
      <c r="AL45" s="260" t="s">
        <v>348</v>
      </c>
      <c r="AM45" s="261" t="s">
        <v>349</v>
      </c>
      <c r="AN45" s="121">
        <v>715998000</v>
      </c>
      <c r="AO45" s="122">
        <v>523670000</v>
      </c>
      <c r="AP45" s="116" t="str">
        <f>IF(OR(AN45="",AO45=""),"",IF(AN45&gt;AO45,"OK","LOW CONF"))</f>
        <v>OK</v>
      </c>
      <c r="AQ45" s="123">
        <v>4.1550000000000002</v>
      </c>
      <c r="AR45" s="118">
        <v>4.048</v>
      </c>
      <c r="AS45" s="124" t="str">
        <f>IF(OR(AQ45="",AR45=""),"",IF(AQ45&lt;AR45,"Decreased",IF(AQ45&gt;AR45,"Increased","Flat")))</f>
        <v>Increased</v>
      </c>
    </row>
    <row r="46" spans="1:45" ht="15" customHeight="1" x14ac:dyDescent="0.3">
      <c r="A46" s="252" t="s">
        <v>232</v>
      </c>
      <c r="B46" s="253" t="s">
        <v>377</v>
      </c>
      <c r="C46" s="254">
        <v>46245</v>
      </c>
      <c r="D46" s="255">
        <v>2</v>
      </c>
      <c r="E46" s="255" t="s">
        <v>338</v>
      </c>
      <c r="F46" s="255">
        <v>2</v>
      </c>
      <c r="G46" s="255" t="s">
        <v>337</v>
      </c>
      <c r="H46" s="255">
        <v>2</v>
      </c>
      <c r="I46" s="255" t="s">
        <v>337</v>
      </c>
      <c r="J46" s="255">
        <v>2</v>
      </c>
      <c r="K46" s="255" t="s">
        <v>337</v>
      </c>
      <c r="L46" s="255">
        <v>1</v>
      </c>
      <c r="M46" s="255" t="s">
        <v>338</v>
      </c>
      <c r="N46" s="256">
        <f>IF(COUNT(D46,F46,H46,J46,L46)=0,"",(D46*0.2+F46*0.15+H46*0.15+J46*0.1+L46*0.1)/(IF(D46&lt;&gt;"",0.2,0)+IF(F46&lt;&gt;"",0.15,0)+IF(H46&lt;&gt;"",0.15,0)+IF(J46&lt;&gt;"",0.1,0)+IF(L46&lt;&gt;"",0.1,0)))</f>
        <v>1.8571428571428574</v>
      </c>
      <c r="O46" s="257">
        <f>IF(COUNT(D46,F46,H46,J46,L46)=0,"",D46*0.2+F46*0.15+H46*0.15+J46*0.1+L46*0.1)</f>
        <v>1.3</v>
      </c>
      <c r="P46" s="255"/>
      <c r="Q46" s="255"/>
      <c r="R46" s="255"/>
      <c r="S46" s="255"/>
      <c r="T46" s="255"/>
      <c r="U46" s="255"/>
      <c r="V46" s="255"/>
      <c r="W46" s="255"/>
      <c r="X46" s="257" t="str">
        <f>IF(COUNT(P46,R46,T46,V46)=0,"",P46*0.08+R46*0.06+T46*0.03+V46*0.08)</f>
        <v/>
      </c>
      <c r="Y46" s="255"/>
      <c r="Z46" s="255"/>
      <c r="AA46" s="255"/>
      <c r="AB46" s="255"/>
      <c r="AC46" s="255"/>
      <c r="AD46" s="255"/>
      <c r="AE46" s="257" t="str">
        <f>IF(COUNT(Y46,AA46,AC46)=0,"",Y46*0.02+AA46*0.02+AC46*0.01)</f>
        <v/>
      </c>
      <c r="AF46" s="258" t="str">
        <f>IF(OR(COUNT(D46,F46,H46,J46,L46)&lt;5,COUNT(P46,R46,T46,V46)&lt;4,COUNT(Y46,AA46,AC46)&lt;3),"",(O46+X46+AE46)*20)</f>
        <v/>
      </c>
      <c r="AG46" s="259" t="str">
        <f>IF(AF46="","",IF(AJ46="AVOID","AVOID",IF(AF46&gt;=80,IF(AH46="FAIL","WATCH LIST",IF(AK46="CAP AT BUY","BUY","STRONG BUY")),IF(AF46&gt;=65,IF(AH46="FAIL","WATCH LIST","BUY"),IF(AF46&gt;=50,"WATCH LIST",IF(AF46&gt;=35,"AVOID","PASS"))))))</f>
        <v/>
      </c>
      <c r="AH46" s="259" t="str">
        <f>IF(N46="","",IF(N46&lt;3,"FAIL","OK"))</f>
        <v>FAIL</v>
      </c>
      <c r="AI46" s="259" t="str">
        <f>IF(COUNT(D46:L46)=0,"",IF(COUNTIF(D46:L46,1)&gt;0,"REVIEW","OK"))</f>
        <v>REVIEW</v>
      </c>
      <c r="AJ46" s="259" t="str">
        <f>IF(COUNT(D46:L46)=0,"",IF(COUNTIF(D46:L46,"&lt;=2")&gt;=2,"AVOID","OK"))</f>
        <v>AVOID</v>
      </c>
      <c r="AK46" s="259" t="str">
        <f>IF(COUNTA(E46:M46)=0,"",IF(COUNTIF(E46:M46,"L")&gt;=2,"CAP AT BUY","OK"))</f>
        <v>OK</v>
      </c>
      <c r="AL46" s="261" t="s">
        <v>375</v>
      </c>
      <c r="AM46" s="261" t="s">
        <v>378</v>
      </c>
      <c r="AN46" s="116"/>
      <c r="AO46" s="92"/>
      <c r="AP46" s="116" t="str">
        <f>IF(OR(AN46="",AO46=""),"",IF(AN46&gt;AO46,"OK","LOW CONF"))</f>
        <v/>
      </c>
      <c r="AQ46" s="116"/>
      <c r="AR46" s="92"/>
      <c r="AS46" s="124" t="str">
        <f>IF(OR(AQ46="",AR46=""),"",IF(AQ46&lt;AR46,"Decreased",IF(AQ46&gt;AR46,"Increased","Flat")))</f>
        <v/>
      </c>
    </row>
    <row r="47" spans="1:45" ht="15" customHeight="1" x14ac:dyDescent="0.3">
      <c r="A47" s="252" t="s">
        <v>231</v>
      </c>
      <c r="B47" s="253" t="s">
        <v>374</v>
      </c>
      <c r="C47" s="254">
        <v>46245</v>
      </c>
      <c r="D47" s="255">
        <v>2</v>
      </c>
      <c r="E47" s="255" t="s">
        <v>337</v>
      </c>
      <c r="F47" s="255">
        <v>1</v>
      </c>
      <c r="G47" s="255" t="s">
        <v>338</v>
      </c>
      <c r="H47" s="255">
        <v>2</v>
      </c>
      <c r="I47" s="255" t="s">
        <v>337</v>
      </c>
      <c r="J47" s="255">
        <v>2</v>
      </c>
      <c r="K47" s="255" t="s">
        <v>337</v>
      </c>
      <c r="L47" s="255">
        <v>2</v>
      </c>
      <c r="M47" s="255" t="s">
        <v>337</v>
      </c>
      <c r="N47" s="256">
        <f>IF(COUNT(D47,F47,H47,J47,L47)=0,"",(D47*0.2+F47*0.15+H47*0.15+J47*0.1+L47*0.1)/(IF(D47&lt;&gt;"",0.2,0)+IF(F47&lt;&gt;"",0.15,0)+IF(H47&lt;&gt;"",0.15,0)+IF(J47&lt;&gt;"",0.1,0)+IF(L47&lt;&gt;"",0.1,0)))</f>
        <v>1.7857142857142858</v>
      </c>
      <c r="O47" s="257">
        <f>IF(COUNT(D47,F47,H47,J47,L47)=0,"",D47*0.2+F47*0.15+H47*0.15+J47*0.1+L47*0.1)</f>
        <v>1.25</v>
      </c>
      <c r="P47" s="255"/>
      <c r="Q47" s="255"/>
      <c r="R47" s="255"/>
      <c r="S47" s="255"/>
      <c r="T47" s="255"/>
      <c r="U47" s="255"/>
      <c r="V47" s="255"/>
      <c r="W47" s="255"/>
      <c r="X47" s="257" t="str">
        <f>IF(COUNT(P47,R47,T47,V47)=0,"",P47*0.08+R47*0.06+T47*0.03+V47*0.08)</f>
        <v/>
      </c>
      <c r="Y47" s="255"/>
      <c r="Z47" s="255"/>
      <c r="AA47" s="255"/>
      <c r="AB47" s="255"/>
      <c r="AC47" s="255"/>
      <c r="AD47" s="255"/>
      <c r="AE47" s="257" t="str">
        <f>IF(COUNT(Y47,AA47,AC47)=0,"",Y47*0.02+AA47*0.02+AC47*0.01)</f>
        <v/>
      </c>
      <c r="AF47" s="258" t="str">
        <f>IF(OR(COUNT(D47,F47,H47,J47,L47)&lt;5,COUNT(P47,R47,T47,V47)&lt;4,COUNT(Y47,AA47,AC47)&lt;3),"",(O47+X47+AE47)*20)</f>
        <v/>
      </c>
      <c r="AG47" s="259" t="str">
        <f>IF(AF47="","",IF(AJ47="AVOID","AVOID",IF(AF47&gt;=80,IF(AH47="FAIL","WATCH LIST",IF(AK47="CAP AT BUY","BUY","STRONG BUY")),IF(AF47&gt;=65,IF(AH47="FAIL","WATCH LIST","BUY"),IF(AF47&gt;=50,"WATCH LIST",IF(AF47&gt;=35,"AVOID","PASS"))))))</f>
        <v/>
      </c>
      <c r="AH47" s="259" t="str">
        <f>IF(N47="","",IF(N47&lt;3,"FAIL","OK"))</f>
        <v>FAIL</v>
      </c>
      <c r="AI47" s="259" t="str">
        <f>IF(COUNT(D47:L47)=0,"",IF(COUNTIF(D47:L47,1)&gt;0,"REVIEW","OK"))</f>
        <v>REVIEW</v>
      </c>
      <c r="AJ47" s="259" t="str">
        <f>IF(COUNT(D47:L47)=0,"",IF(COUNTIF(D47:L47,"&lt;=2")&gt;=2,"AVOID","OK"))</f>
        <v>AVOID</v>
      </c>
      <c r="AK47" s="259" t="str">
        <f>IF(COUNTA(E47:M47)=0,"",IF(COUNTIF(E47:M47,"L")&gt;=2,"CAP AT BUY","OK"))</f>
        <v>OK</v>
      </c>
      <c r="AL47" s="261" t="s">
        <v>375</v>
      </c>
      <c r="AM47" s="261" t="s">
        <v>376</v>
      </c>
      <c r="AN47" s="116"/>
      <c r="AO47" s="92"/>
      <c r="AP47" s="116" t="str">
        <f>IF(OR(AN47="",AO47=""),"",IF(AN47&gt;AO47,"OK","LOW CONF"))</f>
        <v/>
      </c>
      <c r="AQ47" s="116"/>
      <c r="AR47" s="92"/>
      <c r="AS47" s="124" t="str">
        <f>IF(OR(AQ47="",AR47=""),"",IF(AQ47&lt;AR47,"Decreased",IF(AQ47&gt;AR47,"Increased","Flat")))</f>
        <v/>
      </c>
    </row>
    <row r="48" spans="1:45" ht="15" customHeight="1" x14ac:dyDescent="0.3">
      <c r="A48" s="252" t="s">
        <v>257</v>
      </c>
      <c r="B48" s="253" t="s">
        <v>393</v>
      </c>
      <c r="C48" s="254">
        <v>46246</v>
      </c>
      <c r="D48" s="255">
        <v>1</v>
      </c>
      <c r="E48" s="255" t="s">
        <v>338</v>
      </c>
      <c r="F48" s="255">
        <v>1</v>
      </c>
      <c r="G48" s="255" t="s">
        <v>338</v>
      </c>
      <c r="H48" s="255">
        <v>3</v>
      </c>
      <c r="I48" s="255" t="s">
        <v>337</v>
      </c>
      <c r="J48" s="255">
        <v>2</v>
      </c>
      <c r="K48" s="255" t="s">
        <v>337</v>
      </c>
      <c r="L48" s="255">
        <v>1</v>
      </c>
      <c r="M48" s="255" t="s">
        <v>338</v>
      </c>
      <c r="N48" s="256">
        <f>IF(COUNT(D48,F48,H48,J48,L48)=0,"",(D48*0.2+F48*0.15+H48*0.15+J48*0.1+L48*0.1)/(IF(D48&lt;&gt;"",0.2,0)+IF(F48&lt;&gt;"",0.15,0)+IF(H48&lt;&gt;"",0.15,0)+IF(J48&lt;&gt;"",0.1,0)+IF(L48&lt;&gt;"",0.1,0)))</f>
        <v>1.5714285714285716</v>
      </c>
      <c r="O48" s="257">
        <f>IF(COUNT(D48,F48,H48,J48,L48)=0,"",D48*0.2+F48*0.15+H48*0.15+J48*0.1+L48*0.1)</f>
        <v>1.1000000000000001</v>
      </c>
      <c r="P48" s="255"/>
      <c r="Q48" s="255"/>
      <c r="R48" s="255"/>
      <c r="S48" s="255"/>
      <c r="T48" s="255"/>
      <c r="U48" s="255"/>
      <c r="V48" s="255"/>
      <c r="W48" s="255"/>
      <c r="X48" s="262" t="str">
        <f>IF(COUNT(P48,R48,T48,V48)=0,"",P48*0.08+R48*0.06+T48*0.03+V48*0.08)</f>
        <v/>
      </c>
      <c r="Y48" s="255"/>
      <c r="Z48" s="255"/>
      <c r="AA48" s="255"/>
      <c r="AB48" s="255"/>
      <c r="AC48" s="255"/>
      <c r="AD48" s="255"/>
      <c r="AE48" s="262" t="str">
        <f>IF(COUNT(Y48,AA48,AC48)=0,"",Y48*0.02+AA48*0.02+AC48*0.01)</f>
        <v/>
      </c>
      <c r="AF48" s="259" t="str">
        <f>IF(OR(COUNT(D48,F48,H48,J48,L48)&lt;5,COUNT(P48,R48,T48,V48)&lt;4,COUNT(Y48,AA48,AC48)&lt;3),"",(O48+X48+AE48)*20)</f>
        <v/>
      </c>
      <c r="AG48" s="259" t="str">
        <f>IF(AF48="","",IF(AJ48="AVOID","AVOID",IF(AF48&gt;=80,IF(AH48="FAIL","WATCH LIST",IF(AK48="CAP AT BUY","BUY","STRONG BUY")),IF(AF48&gt;=65,IF(AH48="FAIL","WATCH LIST","BUY"),IF(AF48&gt;=50,"WATCH LIST",IF(AF48&gt;=35,"AVOID","PASS"))))))</f>
        <v/>
      </c>
      <c r="AH48" s="259" t="str">
        <f>IF(N48="","",IF(N48&lt;3,"FAIL","OK"))</f>
        <v>FAIL</v>
      </c>
      <c r="AI48" s="259" t="str">
        <f>IF(COUNT(D48:L48)=0,"",IF(COUNTIF(D48:L48,1)&gt;0,"REVIEW","OK"))</f>
        <v>REVIEW</v>
      </c>
      <c r="AJ48" s="259" t="str">
        <f>IF(COUNT(D48:L48)=0,"",IF(COUNTIF(D48:L48,"&lt;=2")&gt;=2,"AVOID","OK"))</f>
        <v>AVOID</v>
      </c>
      <c r="AK48" s="259" t="str">
        <f>IF(COUNTA(E48:M48)=0,"",IF(COUNTIF(E48:M48,"L")&gt;=2,"CAP AT BUY","OK"))</f>
        <v>OK</v>
      </c>
      <c r="AL48" s="261" t="s">
        <v>350</v>
      </c>
      <c r="AM48" s="261" t="s">
        <v>351</v>
      </c>
      <c r="AN48" s="116"/>
      <c r="AO48" s="92"/>
      <c r="AP48" s="116" t="str">
        <f>IF(OR(AN48="",AO48=""),"",IF(AN48&gt;AO48,"OK","LOW CONF"))</f>
        <v/>
      </c>
      <c r="AQ48" s="116"/>
      <c r="AR48" s="92"/>
      <c r="AS48" s="125" t="str">
        <f>IF(OR(AQ48="",AR48=""),"",IF(AQ48&lt;AR48,"Decreased",IF(AQ48&gt;AR48,"Increased","Flat")))</f>
        <v/>
      </c>
    </row>
    <row r="49" spans="1:45" ht="15" customHeight="1" x14ac:dyDescent="0.3">
      <c r="A49" s="252" t="s">
        <v>268</v>
      </c>
      <c r="B49" s="253" t="s">
        <v>391</v>
      </c>
      <c r="C49" s="254">
        <v>46245</v>
      </c>
      <c r="D49" s="255">
        <v>1</v>
      </c>
      <c r="E49" s="255" t="s">
        <v>338</v>
      </c>
      <c r="F49" s="255">
        <v>1</v>
      </c>
      <c r="G49" s="255" t="s">
        <v>338</v>
      </c>
      <c r="H49" s="255">
        <v>2</v>
      </c>
      <c r="I49" s="255" t="s">
        <v>337</v>
      </c>
      <c r="J49" s="255">
        <v>2</v>
      </c>
      <c r="K49" s="255" t="s">
        <v>337</v>
      </c>
      <c r="L49" s="255">
        <v>1</v>
      </c>
      <c r="M49" s="255" t="s">
        <v>338</v>
      </c>
      <c r="N49" s="256">
        <f>IF(COUNT(D49,F49,H49,J49,L49)=0,"",(D49*0.2+F49*0.15+H49*0.15+J49*0.1+L49*0.1)/(IF(D49&lt;&gt;"",0.2,0)+IF(F49&lt;&gt;"",0.15,0)+IF(H49&lt;&gt;"",0.15,0)+IF(J49&lt;&gt;"",0.1,0)+IF(L49&lt;&gt;"",0.1,0)))</f>
        <v>1.357142857142857</v>
      </c>
      <c r="O49" s="257">
        <f>IF(COUNT(D49,F49,H49,J49,L49)=0,"",D49*0.2+F49*0.15+H49*0.15+J49*0.1+L49*0.1)</f>
        <v>0.94999999999999984</v>
      </c>
      <c r="P49" s="255"/>
      <c r="Q49" s="255"/>
      <c r="R49" s="255"/>
      <c r="S49" s="255"/>
      <c r="T49" s="255"/>
      <c r="U49" s="255"/>
      <c r="V49" s="255"/>
      <c r="W49" s="255"/>
      <c r="X49" s="262" t="str">
        <f>IF(COUNT(P49,R49,T49,V49)=0,"",P49*0.08+R49*0.06+T49*0.03+V49*0.08)</f>
        <v/>
      </c>
      <c r="Y49" s="255"/>
      <c r="Z49" s="255"/>
      <c r="AA49" s="255"/>
      <c r="AB49" s="255"/>
      <c r="AC49" s="255"/>
      <c r="AD49" s="255"/>
      <c r="AE49" s="262" t="str">
        <f>IF(COUNT(Y49,AA49,AC49)=0,"",Y49*0.02+AA49*0.02+AC49*0.01)</f>
        <v/>
      </c>
      <c r="AF49" s="259" t="str">
        <f>IF(OR(COUNT(D49,F49,H49,J49,L49)&lt;5,COUNT(P49,R49,T49,V49)&lt;4,COUNT(Y49,AA49,AC49)&lt;3),"",(O49+X49+AE49)*20)</f>
        <v/>
      </c>
      <c r="AG49" s="259" t="str">
        <f>IF(AF49="","",IF(AJ49="AVOID","AVOID",IF(AF49&gt;=80,IF(AH49="FAIL","WATCH LIST",IF(AK49="CAP AT BUY","BUY","STRONG BUY")),IF(AF49&gt;=65,IF(AH49="FAIL","WATCH LIST","BUY"),IF(AF49&gt;=50,"WATCH LIST",IF(AF49&gt;=35,"AVOID","PASS"))))))</f>
        <v/>
      </c>
      <c r="AH49" s="259" t="str">
        <f>IF(N49="","",IF(N49&lt;3,"FAIL","OK"))</f>
        <v>FAIL</v>
      </c>
      <c r="AI49" s="259" t="str">
        <f>IF(COUNT(D49:L49)=0,"",IF(COUNTIF(D49:L49,1)&gt;0,"REVIEW","OK"))</f>
        <v>REVIEW</v>
      </c>
      <c r="AJ49" s="259" t="str">
        <f>IF(COUNT(D49:L49)=0,"",IF(COUNTIF(D49:L49,"&lt;=2")&gt;=2,"AVOID","OK"))</f>
        <v>AVOID</v>
      </c>
      <c r="AK49" s="259" t="str">
        <f>IF(COUNTA(E49:M49)=0,"",IF(COUNTIF(E49:M49,"L")&gt;=2,"CAP AT BUY","OK"))</f>
        <v>OK</v>
      </c>
      <c r="AL49" s="261" t="s">
        <v>350</v>
      </c>
      <c r="AM49" s="261" t="s">
        <v>389</v>
      </c>
      <c r="AN49" s="116"/>
      <c r="AO49" s="92"/>
      <c r="AP49" s="116" t="str">
        <f>IF(OR(AN49="",AO49=""),"",IF(AN49&gt;AO49,"OK","LOW CONF"))</f>
        <v/>
      </c>
      <c r="AQ49" s="116"/>
      <c r="AR49" s="92"/>
      <c r="AS49" s="125" t="str">
        <f>IF(OR(AQ49="",AR49=""),"",IF(AQ49&lt;AR49,"Decreased",IF(AQ49&gt;AR49,"Increased","Flat")))</f>
        <v/>
      </c>
    </row>
    <row r="50" spans="1:45" ht="15" customHeight="1" x14ac:dyDescent="0.3">
      <c r="A50" s="252" t="s">
        <v>227</v>
      </c>
      <c r="B50" s="253" t="s">
        <v>397</v>
      </c>
      <c r="C50" s="254">
        <v>46246</v>
      </c>
      <c r="D50" s="255">
        <v>1</v>
      </c>
      <c r="E50" s="255" t="s">
        <v>338</v>
      </c>
      <c r="F50" s="255">
        <v>1</v>
      </c>
      <c r="G50" s="255" t="s">
        <v>338</v>
      </c>
      <c r="H50" s="255">
        <v>2</v>
      </c>
      <c r="I50" s="255" t="s">
        <v>337</v>
      </c>
      <c r="J50" s="255">
        <v>2</v>
      </c>
      <c r="K50" s="255" t="s">
        <v>337</v>
      </c>
      <c r="L50" s="255">
        <v>1</v>
      </c>
      <c r="M50" s="255" t="s">
        <v>338</v>
      </c>
      <c r="N50" s="256">
        <f>IF(COUNT(D50,F50,H50,J50,L50)=0,"",(D50*0.2+F50*0.15+H50*0.15+J50*0.1+L50*0.1)/(IF(D50&lt;&gt;"",0.2,0)+IF(F50&lt;&gt;"",0.15,0)+IF(H50&lt;&gt;"",0.15,0)+IF(J50&lt;&gt;"",0.1,0)+IF(L50&lt;&gt;"",0.1,0)))</f>
        <v>1.357142857142857</v>
      </c>
      <c r="O50" s="257">
        <f>IF(COUNT(D50,F50,H50,J50,L50)=0,"",D50*0.2+F50*0.15+H50*0.15+J50*0.1+L50*0.1)</f>
        <v>0.94999999999999984</v>
      </c>
      <c r="P50" s="255"/>
      <c r="Q50" s="255"/>
      <c r="R50" s="255"/>
      <c r="S50" s="255"/>
      <c r="T50" s="255"/>
      <c r="U50" s="255"/>
      <c r="V50" s="255"/>
      <c r="W50" s="255"/>
      <c r="X50" s="262" t="str">
        <f>IF(COUNT(P50,R50,T50,V50)=0,"",P50*0.08+R50*0.06+T50*0.03+V50*0.08)</f>
        <v/>
      </c>
      <c r="Y50" s="255"/>
      <c r="Z50" s="255"/>
      <c r="AA50" s="255"/>
      <c r="AB50" s="255"/>
      <c r="AC50" s="255"/>
      <c r="AD50" s="255"/>
      <c r="AE50" s="262" t="str">
        <f>IF(COUNT(Y50,AA50,AC50)=0,"",Y50*0.02+AA50*0.02+AC50*0.01)</f>
        <v/>
      </c>
      <c r="AF50" s="259" t="str">
        <f>IF(OR(COUNT(D50,F50,H50,J50,L50)&lt;5,COUNT(P50,R50,T50,V50)&lt;4,COUNT(Y50,AA50,AC50)&lt;3),"",(O50+X50+AE50)*20)</f>
        <v/>
      </c>
      <c r="AG50" s="259" t="str">
        <f>IF(AF50="","",IF(AJ50="AVOID","AVOID",IF(AF50&gt;=80,IF(AH50="FAIL","WATCH LIST",IF(AK50="CAP AT BUY","BUY","STRONG BUY")),IF(AF50&gt;=65,IF(AH50="FAIL","WATCH LIST","BUY"),IF(AF50&gt;=50,"WATCH LIST",IF(AF50&gt;=35,"AVOID","PASS"))))))</f>
        <v/>
      </c>
      <c r="AH50" s="259" t="str">
        <f>IF(N50="","",IF(N50&lt;3,"FAIL","OK"))</f>
        <v>FAIL</v>
      </c>
      <c r="AI50" s="259" t="str">
        <f>IF(COUNT(D50:L50)=0,"",IF(COUNTIF(D50:L50,1)&gt;0,"REVIEW","OK"))</f>
        <v>REVIEW</v>
      </c>
      <c r="AJ50" s="259" t="str">
        <f>IF(COUNT(D50:L50)=0,"",IF(COUNTIF(D50:L50,"&lt;=2")&gt;=2,"AVOID","OK"))</f>
        <v>AVOID</v>
      </c>
      <c r="AK50" s="259" t="str">
        <f>IF(COUNTA(E50:M50)=0,"",IF(COUNTIF(E50:M50,"L")&gt;=2,"CAP AT BUY","OK"))</f>
        <v>OK</v>
      </c>
      <c r="AL50" s="261" t="s">
        <v>350</v>
      </c>
      <c r="AM50" s="261" t="s">
        <v>398</v>
      </c>
      <c r="AN50" s="116"/>
      <c r="AO50" s="92"/>
      <c r="AP50" s="116" t="str">
        <f>IF(OR(AN50="",AO50=""),"",IF(AN50&gt;AO50,"OK","LOW CONF"))</f>
        <v/>
      </c>
      <c r="AQ50" s="116"/>
      <c r="AR50" s="92"/>
      <c r="AS50" s="125" t="str">
        <f>IF(OR(AQ50="",AR50=""),"",IF(AQ50&lt;AR50,"Decreased",IF(AQ50&gt;AR50,"Increased","Flat")))</f>
        <v/>
      </c>
    </row>
    <row r="51" spans="1:45" ht="15" customHeight="1" x14ac:dyDescent="0.3">
      <c r="A51" s="252" t="s">
        <v>236</v>
      </c>
      <c r="B51" s="253" t="s">
        <v>366</v>
      </c>
      <c r="C51" s="254">
        <v>46245</v>
      </c>
      <c r="D51" s="255">
        <v>1</v>
      </c>
      <c r="E51" s="255" t="s">
        <v>338</v>
      </c>
      <c r="F51" s="255">
        <v>1</v>
      </c>
      <c r="G51" s="255" t="s">
        <v>338</v>
      </c>
      <c r="H51" s="255">
        <v>2</v>
      </c>
      <c r="I51" s="255" t="s">
        <v>337</v>
      </c>
      <c r="J51" s="255">
        <v>1</v>
      </c>
      <c r="K51" s="255" t="s">
        <v>338</v>
      </c>
      <c r="L51" s="255">
        <v>1</v>
      </c>
      <c r="M51" s="255" t="s">
        <v>338</v>
      </c>
      <c r="N51" s="256">
        <f>IF(COUNT(D51,F51,H51,J51,L51)=0,"",(D51*0.2+F51*0.15+H51*0.15+J51*0.1+L51*0.1)/(IF(D51&lt;&gt;"",0.2,0)+IF(F51&lt;&gt;"",0.15,0)+IF(H51&lt;&gt;"",0.15,0)+IF(J51&lt;&gt;"",0.1,0)+IF(L51&lt;&gt;"",0.1,0)))</f>
        <v>1.2142857142857142</v>
      </c>
      <c r="O51" s="257">
        <f>IF(COUNT(D51,F51,H51,J51,L51)=0,"",D51*0.2+F51*0.15+H51*0.15+J51*0.1+L51*0.1)</f>
        <v>0.84999999999999987</v>
      </c>
      <c r="P51" s="255"/>
      <c r="Q51" s="255"/>
      <c r="R51" s="255"/>
      <c r="S51" s="255"/>
      <c r="T51" s="255"/>
      <c r="U51" s="255"/>
      <c r="V51" s="255"/>
      <c r="W51" s="255"/>
      <c r="X51" s="257" t="str">
        <f>IF(COUNT(P51,R51,T51,V51)=0,"",P51*0.08+R51*0.06+T51*0.03+V51*0.08)</f>
        <v/>
      </c>
      <c r="Y51" s="255"/>
      <c r="Z51" s="255"/>
      <c r="AA51" s="255"/>
      <c r="AB51" s="255"/>
      <c r="AC51" s="255"/>
      <c r="AD51" s="255"/>
      <c r="AE51" s="257" t="str">
        <f>IF(COUNT(Y51,AA51,AC51)=0,"",Y51*0.02+AA51*0.02+AC51*0.01)</f>
        <v/>
      </c>
      <c r="AF51" s="258" t="str">
        <f>IF(OR(COUNT(D51,F51,H51,J51,L51)&lt;5,COUNT(P51,R51,T51,V51)&lt;4,COUNT(Y51,AA51,AC51)&lt;3),"",(O51+X51+AE51)*20)</f>
        <v/>
      </c>
      <c r="AG51" s="259" t="str">
        <f>IF(AF51="","",IF(AJ51="AVOID","AVOID",IF(AF51&gt;=80,IF(AH51="FAIL","WATCH LIST",IF(AK51="CAP AT BUY","BUY","STRONG BUY")),IF(AF51&gt;=65,IF(AH51="FAIL","WATCH LIST","BUY"),IF(AF51&gt;=50,"WATCH LIST",IF(AF51&gt;=35,"AVOID","PASS"))))))</f>
        <v/>
      </c>
      <c r="AH51" s="259" t="str">
        <f>IF(N51="","",IF(N51&lt;3,"FAIL","OK"))</f>
        <v>FAIL</v>
      </c>
      <c r="AI51" s="259" t="str">
        <f>IF(COUNT(D51:L51)=0,"",IF(COUNTIF(D51:L51,1)&gt;0,"REVIEW","OK"))</f>
        <v>REVIEW</v>
      </c>
      <c r="AJ51" s="259" t="str">
        <f>IF(COUNT(D51:L51)=0,"",IF(COUNTIF(D51:L51,"&lt;=2")&gt;=2,"AVOID","OK"))</f>
        <v>AVOID</v>
      </c>
      <c r="AK51" s="259" t="str">
        <f>IF(COUNTA(E51:M51)=0,"",IF(COUNTIF(E51:M51,"L")&gt;=2,"CAP AT BUY","OK"))</f>
        <v>OK</v>
      </c>
      <c r="AL51" s="261" t="s">
        <v>367</v>
      </c>
      <c r="AM51" s="261" t="s">
        <v>368</v>
      </c>
      <c r="AN51" s="116"/>
      <c r="AO51" s="92"/>
      <c r="AP51" s="116" t="str">
        <f>IF(OR(AN51="",AO51=""),"",IF(AN51&gt;AO51,"OK","LOW CONF"))</f>
        <v/>
      </c>
      <c r="AQ51" s="116"/>
      <c r="AR51" s="92"/>
      <c r="AS51" s="124" t="str">
        <f>IF(OR(AQ51="",AR51=""),"",IF(AQ51&lt;AR51,"Decreased",IF(AQ51&gt;AR51,"Increased","Flat")))</f>
        <v/>
      </c>
    </row>
    <row r="52" spans="1:45" s="28" customFormat="1" ht="15" hidden="1" customHeight="1" x14ac:dyDescent="0.3">
      <c r="A52" s="61"/>
      <c r="B52" s="114"/>
      <c r="C52" s="115"/>
      <c r="D52" s="116"/>
      <c r="E52" s="116"/>
      <c r="F52" s="116"/>
      <c r="G52" s="116"/>
      <c r="H52" s="116"/>
      <c r="I52" s="116"/>
      <c r="J52" s="116"/>
      <c r="K52" s="116"/>
      <c r="L52" s="116"/>
      <c r="M52" s="116"/>
      <c r="N52" s="117" t="str">
        <f>IF(COUNT(D52,F52,H52,J52,L52)=0,"",(D52*0.2+F52*0.15+H52*0.15+J52*0.1+L52*0.1)/(IF(D52&lt;&gt;"",0.2,0)+IF(F52&lt;&gt;"",0.15,0)+IF(H52&lt;&gt;"",0.15,0)+IF(J52&lt;&gt;"",0.1,0)+IF(L52&lt;&gt;"",0.1,0)))</f>
        <v/>
      </c>
      <c r="O52" s="92" t="str">
        <f>IF(COUNT(D52,F52,H52,J52,L52)=0,"",D52*0.2+F52*0.15+H52*0.15+J52*0.1+L52*0.1)</f>
        <v/>
      </c>
      <c r="P52" s="116"/>
      <c r="Q52" s="116"/>
      <c r="R52" s="116"/>
      <c r="S52" s="116"/>
      <c r="T52" s="116"/>
      <c r="U52" s="116"/>
      <c r="V52" s="116"/>
      <c r="W52" s="116"/>
      <c r="X52" s="64" t="str">
        <f>IF(COUNT(P52,R52,T52,V52)=0,"",P52*0.08+R52*0.06+T52*0.03+V52*0.08)</f>
        <v/>
      </c>
      <c r="Y52" s="116"/>
      <c r="Z52" s="116"/>
      <c r="AA52" s="116"/>
      <c r="AB52" s="116"/>
      <c r="AC52" s="116"/>
      <c r="AD52" s="116"/>
      <c r="AE52" s="64" t="str">
        <f>IF(COUNT(Y52,AA52,AC52)=0,"",Y52*0.02+AA52*0.02+AC52*0.01)</f>
        <v/>
      </c>
      <c r="AF52" s="92" t="str">
        <f>IF(OR(COUNT(D52,F52,H52,J52,L52)&lt;5,COUNT(P52,R52,T52,V52)&lt;4,COUNT(Y52,AA52,AC52)&lt;3),"",(O52+X52+AE52)*20)</f>
        <v/>
      </c>
      <c r="AG52" s="92" t="str">
        <f>IF(AF52="","",IF(AJ52="AVOID","AVOID",IF(AF52&gt;=80,IF(AH52="FAIL","WATCH LIST",IF(AK52="CAP AT BUY","BUY","STRONG BUY")),IF(AF52&gt;=65,IF(AH52="FAIL","WATCH LIST","BUY"),IF(AF52&gt;=50,"WATCH LIST",IF(AF52&gt;=35,"AVOID","PASS"))))))</f>
        <v/>
      </c>
      <c r="AH52" s="92" t="str">
        <f>IF(N52="","",IF(N52&lt;3,"FAIL","OK"))</f>
        <v/>
      </c>
      <c r="AI52" s="92" t="str">
        <f>IF(COUNT(D52:L52)=0,"",IF(COUNTIF(D52:L52,1)&gt;0,"REVIEW","OK"))</f>
        <v/>
      </c>
      <c r="AJ52" s="92" t="str">
        <f>IF(COUNT(D52:L52)=0,"",IF(COUNTIF(D52:L52,"&lt;=2")&gt;=2,"AVOID","OK"))</f>
        <v/>
      </c>
      <c r="AK52" s="92" t="str">
        <f>IF(COUNTA(E52:M52)=0,"",IF(COUNTIF(E52:M52,"L")&gt;=2,"CAP AT BUY","OK"))</f>
        <v/>
      </c>
      <c r="AL52" s="120"/>
      <c r="AM52" s="120"/>
      <c r="AN52" s="116"/>
      <c r="AO52" s="92"/>
      <c r="AP52" s="116" t="str">
        <f>IF(OR(AN52="",AO52=""),"",IF(AN52&gt;AO52,"OK","LOW CONF"))</f>
        <v/>
      </c>
      <c r="AQ52" s="116"/>
      <c r="AR52" s="92"/>
      <c r="AS52" s="125" t="str">
        <f>IF(OR(AQ52="",AR52=""),"",IF(AQ52&lt;AR52,"Decreased",IF(AQ52&gt;AR52,"Increased","Flat")))</f>
        <v/>
      </c>
    </row>
    <row r="53" spans="1:45" s="28" customFormat="1" ht="15" hidden="1" customHeight="1" x14ac:dyDescent="0.3">
      <c r="A53" s="61"/>
      <c r="B53" s="114"/>
      <c r="C53" s="115"/>
      <c r="D53" s="116"/>
      <c r="E53" s="116"/>
      <c r="F53" s="116"/>
      <c r="G53" s="116"/>
      <c r="H53" s="116"/>
      <c r="I53" s="116"/>
      <c r="J53" s="116"/>
      <c r="K53" s="116"/>
      <c r="L53" s="116"/>
      <c r="M53" s="116"/>
      <c r="N53" s="117" t="str">
        <f>IF(COUNT(D53,F53,H53,J53,L53)=0,"",(D53*0.2+F53*0.15+H53*0.15+J53*0.1+L53*0.1)/(IF(D53&lt;&gt;"",0.2,0)+IF(F53&lt;&gt;"",0.15,0)+IF(H53&lt;&gt;"",0.15,0)+IF(J53&lt;&gt;"",0.1,0)+IF(L53&lt;&gt;"",0.1,0)))</f>
        <v/>
      </c>
      <c r="O53" s="92" t="str">
        <f>IF(COUNT(D53,F53,H53,J53,L53)=0,"",D53*0.2+F53*0.15+H53*0.15+J53*0.1+L53*0.1)</f>
        <v/>
      </c>
      <c r="P53" s="116"/>
      <c r="Q53" s="116"/>
      <c r="R53" s="116"/>
      <c r="S53" s="116"/>
      <c r="T53" s="116"/>
      <c r="U53" s="116"/>
      <c r="V53" s="116"/>
      <c r="W53" s="116"/>
      <c r="X53" s="64" t="str">
        <f>IF(COUNT(P53,R53,T53,V53)=0,"",P53*0.08+R53*0.06+T53*0.03+V53*0.08)</f>
        <v/>
      </c>
      <c r="Y53" s="116"/>
      <c r="Z53" s="116"/>
      <c r="AA53" s="116"/>
      <c r="AB53" s="116"/>
      <c r="AC53" s="116"/>
      <c r="AD53" s="116"/>
      <c r="AE53" s="64" t="str">
        <f>IF(COUNT(Y53,AA53,AC53)=0,"",Y53*0.02+AA53*0.02+AC53*0.01)</f>
        <v/>
      </c>
      <c r="AF53" s="92" t="str">
        <f>IF(OR(COUNT(D53,F53,H53,J53,L53)&lt;5,COUNT(P53,R53,T53,V53)&lt;4,COUNT(Y53,AA53,AC53)&lt;3),"",(O53+X53+AE53)*20)</f>
        <v/>
      </c>
      <c r="AG53" s="92" t="str">
        <f>IF(AF53="","",IF(AJ53="AVOID","AVOID",IF(AF53&gt;=80,IF(AH53="FAIL","WATCH LIST",IF(AK53="CAP AT BUY","BUY","STRONG BUY")),IF(AF53&gt;=65,IF(AH53="FAIL","WATCH LIST","BUY"),IF(AF53&gt;=50,"WATCH LIST",IF(AF53&gt;=35,"AVOID","PASS"))))))</f>
        <v/>
      </c>
      <c r="AH53" s="92" t="str">
        <f>IF(N53="","",IF(N53&lt;3,"FAIL","OK"))</f>
        <v/>
      </c>
      <c r="AI53" s="92" t="str">
        <f>IF(COUNT(D53:L53)=0,"",IF(COUNTIF(D53:L53,1)&gt;0,"REVIEW","OK"))</f>
        <v/>
      </c>
      <c r="AJ53" s="92" t="str">
        <f>IF(COUNT(D53:L53)=0,"",IF(COUNTIF(D53:L53,"&lt;=2")&gt;=2,"AVOID","OK"))</f>
        <v/>
      </c>
      <c r="AK53" s="92" t="str">
        <f>IF(COUNTA(E53:M53)=0,"",IF(COUNTIF(E53:M53,"L")&gt;=2,"CAP AT BUY","OK"))</f>
        <v/>
      </c>
      <c r="AL53" s="120"/>
      <c r="AM53" s="120"/>
      <c r="AN53" s="116"/>
      <c r="AO53" s="92"/>
      <c r="AP53" s="116" t="str">
        <f>IF(OR(AN53="",AO53=""),"",IF(AN53&gt;AO53,"OK","LOW CONF"))</f>
        <v/>
      </c>
      <c r="AQ53" s="116"/>
      <c r="AR53" s="92"/>
      <c r="AS53" s="125" t="str">
        <f>IF(OR(AQ53="",AR53=""),"",IF(AQ53&lt;AR53,"Decreased",IF(AQ53&gt;AR53,"Increased","Flat")))</f>
        <v/>
      </c>
    </row>
    <row r="54" spans="1:45" s="28" customFormat="1" ht="15" hidden="1" customHeight="1" x14ac:dyDescent="0.3">
      <c r="A54" s="61"/>
      <c r="B54" s="114"/>
      <c r="C54" s="115"/>
      <c r="D54" s="116"/>
      <c r="E54" s="116"/>
      <c r="F54" s="116"/>
      <c r="G54" s="116"/>
      <c r="H54" s="116"/>
      <c r="I54" s="116"/>
      <c r="J54" s="116"/>
      <c r="K54" s="116"/>
      <c r="L54" s="116"/>
      <c r="M54" s="116"/>
      <c r="N54" s="117" t="str">
        <f>IF(COUNT(D54,F54,H54,J54,L54)=0,"",(D54*0.2+F54*0.15+H54*0.15+J54*0.1+L54*0.1)/(IF(D54&lt;&gt;"",0.2,0)+IF(F54&lt;&gt;"",0.15,0)+IF(H54&lt;&gt;"",0.15,0)+IF(J54&lt;&gt;"",0.1,0)+IF(L54&lt;&gt;"",0.1,0)))</f>
        <v/>
      </c>
      <c r="O54" s="92" t="str">
        <f>IF(COUNT(D54,F54,H54,J54,L54)=0,"",D54*0.2+F54*0.15+H54*0.15+J54*0.1+L54*0.1)</f>
        <v/>
      </c>
      <c r="P54" s="116"/>
      <c r="Q54" s="116"/>
      <c r="R54" s="116"/>
      <c r="S54" s="116"/>
      <c r="T54" s="116"/>
      <c r="U54" s="116"/>
      <c r="V54" s="116"/>
      <c r="W54" s="116"/>
      <c r="X54" s="64" t="str">
        <f>IF(COUNT(P54,R54,T54,V54)=0,"",P54*0.08+R54*0.06+T54*0.03+V54*0.08)</f>
        <v/>
      </c>
      <c r="Y54" s="116"/>
      <c r="Z54" s="116"/>
      <c r="AA54" s="116"/>
      <c r="AB54" s="116"/>
      <c r="AC54" s="116"/>
      <c r="AD54" s="116"/>
      <c r="AE54" s="64" t="str">
        <f>IF(COUNT(Y54,AA54,AC54)=0,"",Y54*0.02+AA54*0.02+AC54*0.01)</f>
        <v/>
      </c>
      <c r="AF54" s="92" t="str">
        <f>IF(OR(COUNT(D54,F54,H54,J54,L54)&lt;5,COUNT(P54,R54,T54,V54)&lt;4,COUNT(Y54,AA54,AC54)&lt;3),"",(O54+X54+AE54)*20)</f>
        <v/>
      </c>
      <c r="AG54" s="92" t="str">
        <f>IF(AF54="","",IF(AJ54="AVOID","AVOID",IF(AF54&gt;=80,IF(AH54="FAIL","WATCH LIST",IF(AK54="CAP AT BUY","BUY","STRONG BUY")),IF(AF54&gt;=65,IF(AH54="FAIL","WATCH LIST","BUY"),IF(AF54&gt;=50,"WATCH LIST",IF(AF54&gt;=35,"AVOID","PASS"))))))</f>
        <v/>
      </c>
      <c r="AH54" s="92" t="str">
        <f>IF(N54="","",IF(N54&lt;3,"FAIL","OK"))</f>
        <v/>
      </c>
      <c r="AI54" s="92" t="str">
        <f>IF(COUNT(D54:L54)=0,"",IF(COUNTIF(D54:L54,1)&gt;0,"REVIEW","OK"))</f>
        <v/>
      </c>
      <c r="AJ54" s="92" t="str">
        <f>IF(COUNT(D54:L54)=0,"",IF(COUNTIF(D54:L54,"&lt;=2")&gt;=2,"AVOID","OK"))</f>
        <v/>
      </c>
      <c r="AK54" s="92" t="str">
        <f>IF(COUNTA(E54:M54)=0,"",IF(COUNTIF(E54:M54,"L")&gt;=2,"CAP AT BUY","OK"))</f>
        <v/>
      </c>
      <c r="AL54" s="120"/>
      <c r="AM54" s="120"/>
      <c r="AN54" s="116"/>
      <c r="AO54" s="92"/>
      <c r="AP54" s="116" t="str">
        <f>IF(OR(AN54="",AO54=""),"",IF(AN54&gt;AO54,"OK","LOW CONF"))</f>
        <v/>
      </c>
      <c r="AQ54" s="116"/>
      <c r="AR54" s="92"/>
      <c r="AS54" s="125" t="str">
        <f>IF(OR(AQ54="",AR54=""),"",IF(AQ54&lt;AR54,"Decreased",IF(AQ54&gt;AR54,"Increased","Flat")))</f>
        <v/>
      </c>
    </row>
    <row r="55" spans="1:45" s="28" customFormat="1" ht="15" hidden="1" customHeight="1" x14ac:dyDescent="0.3">
      <c r="A55" s="61"/>
      <c r="B55" s="114"/>
      <c r="C55" s="115"/>
      <c r="D55" s="116"/>
      <c r="E55" s="116"/>
      <c r="F55" s="116"/>
      <c r="G55" s="116"/>
      <c r="H55" s="116"/>
      <c r="I55" s="116"/>
      <c r="J55" s="116"/>
      <c r="K55" s="116"/>
      <c r="L55" s="116"/>
      <c r="M55" s="116"/>
      <c r="N55" s="117" t="str">
        <f>IF(COUNT(D55,F55,H55,J55,L55)=0,"",(D55*0.2+F55*0.15+H55*0.15+J55*0.1+L55*0.1)/(IF(D55&lt;&gt;"",0.2,0)+IF(F55&lt;&gt;"",0.15,0)+IF(H55&lt;&gt;"",0.15,0)+IF(J55&lt;&gt;"",0.1,0)+IF(L55&lt;&gt;"",0.1,0)))</f>
        <v/>
      </c>
      <c r="O55" s="92" t="str">
        <f>IF(COUNT(D55,F55,H55,J55,L55)=0,"",D55*0.2+F55*0.15+H55*0.15+J55*0.1+L55*0.1)</f>
        <v/>
      </c>
      <c r="P55" s="116"/>
      <c r="Q55" s="116"/>
      <c r="R55" s="116"/>
      <c r="S55" s="116"/>
      <c r="T55" s="116"/>
      <c r="U55" s="116"/>
      <c r="V55" s="116"/>
      <c r="W55" s="116"/>
      <c r="X55" s="64" t="str">
        <f>IF(COUNT(P55,R55,T55,V55)=0,"",P55*0.08+R55*0.06+T55*0.03+V55*0.08)</f>
        <v/>
      </c>
      <c r="Y55" s="116"/>
      <c r="Z55" s="116"/>
      <c r="AA55" s="116"/>
      <c r="AB55" s="116"/>
      <c r="AC55" s="116"/>
      <c r="AD55" s="116"/>
      <c r="AE55" s="64" t="str">
        <f>IF(COUNT(Y55,AA55,AC55)=0,"",Y55*0.02+AA55*0.02+AC55*0.01)</f>
        <v/>
      </c>
      <c r="AF55" s="92" t="str">
        <f>IF(OR(COUNT(D55,F55,H55,J55,L55)&lt;5,COUNT(P55,R55,T55,V55)&lt;4,COUNT(Y55,AA55,AC55)&lt;3),"",(O55+X55+AE55)*20)</f>
        <v/>
      </c>
      <c r="AG55" s="92" t="str">
        <f>IF(AF55="","",IF(AJ55="AVOID","AVOID",IF(AF55&gt;=80,IF(AH55="FAIL","WATCH LIST",IF(AK55="CAP AT BUY","BUY","STRONG BUY")),IF(AF55&gt;=65,IF(AH55="FAIL","WATCH LIST","BUY"),IF(AF55&gt;=50,"WATCH LIST",IF(AF55&gt;=35,"AVOID","PASS"))))))</f>
        <v/>
      </c>
      <c r="AH55" s="92" t="str">
        <f>IF(N55="","",IF(N55&lt;3,"FAIL","OK"))</f>
        <v/>
      </c>
      <c r="AI55" s="92" t="str">
        <f>IF(COUNT(D55:L55)=0,"",IF(COUNTIF(D55:L55,1)&gt;0,"REVIEW","OK"))</f>
        <v/>
      </c>
      <c r="AJ55" s="92" t="str">
        <f>IF(COUNT(D55:L55)=0,"",IF(COUNTIF(D55:L55,"&lt;=2")&gt;=2,"AVOID","OK"))</f>
        <v/>
      </c>
      <c r="AK55" s="92" t="str">
        <f>IF(COUNTA(E55:M55)=0,"",IF(COUNTIF(E55:M55,"L")&gt;=2,"CAP AT BUY","OK"))</f>
        <v/>
      </c>
      <c r="AL55" s="120"/>
      <c r="AM55" s="120"/>
      <c r="AN55" s="116"/>
      <c r="AO55" s="92"/>
      <c r="AP55" s="116" t="str">
        <f>IF(OR(AN55="",AO55=""),"",IF(AN55&gt;AO55,"OK","LOW CONF"))</f>
        <v/>
      </c>
      <c r="AQ55" s="116"/>
      <c r="AR55" s="92"/>
      <c r="AS55" s="125" t="str">
        <f>IF(OR(AQ55="",AR55=""),"",IF(AQ55&lt;AR55,"Decreased",IF(AQ55&gt;AR55,"Increased","Flat")))</f>
        <v/>
      </c>
    </row>
    <row r="56" spans="1:45" s="28" customFormat="1" ht="15" hidden="1" customHeight="1" x14ac:dyDescent="0.3">
      <c r="A56" s="61"/>
      <c r="B56" s="114"/>
      <c r="C56" s="115"/>
      <c r="D56" s="116"/>
      <c r="E56" s="116"/>
      <c r="F56" s="116"/>
      <c r="G56" s="116"/>
      <c r="H56" s="116"/>
      <c r="I56" s="116"/>
      <c r="J56" s="116"/>
      <c r="K56" s="116"/>
      <c r="L56" s="116"/>
      <c r="M56" s="116"/>
      <c r="N56" s="117" t="str">
        <f>IF(COUNT(D56,F56,H56,J56,L56)=0,"",(D56*0.2+F56*0.15+H56*0.15+J56*0.1+L56*0.1)/(IF(D56&lt;&gt;"",0.2,0)+IF(F56&lt;&gt;"",0.15,0)+IF(H56&lt;&gt;"",0.15,0)+IF(J56&lt;&gt;"",0.1,0)+IF(L56&lt;&gt;"",0.1,0)))</f>
        <v/>
      </c>
      <c r="O56" s="92" t="str">
        <f>IF(COUNT(D56,F56,H56,J56,L56)=0,"",D56*0.2+F56*0.15+H56*0.15+J56*0.1+L56*0.1)</f>
        <v/>
      </c>
      <c r="P56" s="116"/>
      <c r="Q56" s="116"/>
      <c r="R56" s="116"/>
      <c r="S56" s="116"/>
      <c r="T56" s="116"/>
      <c r="U56" s="116"/>
      <c r="V56" s="116"/>
      <c r="W56" s="116"/>
      <c r="X56" s="64" t="str">
        <f>IF(COUNT(P56,R56,T56,V56)=0,"",P56*0.08+R56*0.06+T56*0.03+V56*0.08)</f>
        <v/>
      </c>
      <c r="Y56" s="116"/>
      <c r="Z56" s="116"/>
      <c r="AA56" s="116"/>
      <c r="AB56" s="116"/>
      <c r="AC56" s="116"/>
      <c r="AD56" s="116"/>
      <c r="AE56" s="64" t="str">
        <f>IF(COUNT(Y56,AA56,AC56)=0,"",Y56*0.02+AA56*0.02+AC56*0.01)</f>
        <v/>
      </c>
      <c r="AF56" s="92" t="str">
        <f>IF(OR(COUNT(D56,F56,H56,J56,L56)&lt;5,COUNT(P56,R56,T56,V56)&lt;4,COUNT(Y56,AA56,AC56)&lt;3),"",(O56+X56+AE56)*20)</f>
        <v/>
      </c>
      <c r="AG56" s="92" t="str">
        <f>IF(AF56="","",IF(AJ56="AVOID","AVOID",IF(AF56&gt;=80,IF(AH56="FAIL","WATCH LIST",IF(AK56="CAP AT BUY","BUY","STRONG BUY")),IF(AF56&gt;=65,IF(AH56="FAIL","WATCH LIST","BUY"),IF(AF56&gt;=50,"WATCH LIST",IF(AF56&gt;=35,"AVOID","PASS"))))))</f>
        <v/>
      </c>
      <c r="AH56" s="92" t="str">
        <f>IF(N56="","",IF(N56&lt;3,"FAIL","OK"))</f>
        <v/>
      </c>
      <c r="AI56" s="92" t="str">
        <f>IF(COUNT(D56:L56)=0,"",IF(COUNTIF(D56:L56,1)&gt;0,"REVIEW","OK"))</f>
        <v/>
      </c>
      <c r="AJ56" s="92" t="str">
        <f>IF(COUNT(D56:L56)=0,"",IF(COUNTIF(D56:L56,"&lt;=2")&gt;=2,"AVOID","OK"))</f>
        <v/>
      </c>
      <c r="AK56" s="92" t="str">
        <f>IF(COUNTA(E56:M56)=0,"",IF(COUNTIF(E56:M56,"L")&gt;=2,"CAP AT BUY","OK"))</f>
        <v/>
      </c>
      <c r="AL56" s="120"/>
      <c r="AM56" s="120"/>
      <c r="AN56" s="116"/>
      <c r="AO56" s="92"/>
      <c r="AP56" s="116" t="str">
        <f>IF(OR(AN56="",AO56=""),"",IF(AN56&gt;AO56,"OK","LOW CONF"))</f>
        <v/>
      </c>
      <c r="AQ56" s="116"/>
      <c r="AR56" s="92"/>
      <c r="AS56" s="125" t="str">
        <f>IF(OR(AQ56="",AR56=""),"",IF(AQ56&lt;AR56,"Decreased",IF(AQ56&gt;AR56,"Increased","Flat")))</f>
        <v/>
      </c>
    </row>
    <row r="57" spans="1:45" s="28" customFormat="1" ht="15" hidden="1" customHeight="1" x14ac:dyDescent="0.3">
      <c r="A57" s="61"/>
      <c r="B57" s="114"/>
      <c r="C57" s="115"/>
      <c r="D57" s="116"/>
      <c r="E57" s="116"/>
      <c r="F57" s="116"/>
      <c r="G57" s="116"/>
      <c r="H57" s="116"/>
      <c r="I57" s="116"/>
      <c r="J57" s="116"/>
      <c r="K57" s="116"/>
      <c r="L57" s="116"/>
      <c r="M57" s="116"/>
      <c r="N57" s="117" t="str">
        <f>IF(COUNT(D57,F57,H57,J57,L57)=0,"",(D57*0.2+F57*0.15+H57*0.15+J57*0.1+L57*0.1)/(IF(D57&lt;&gt;"",0.2,0)+IF(F57&lt;&gt;"",0.15,0)+IF(H57&lt;&gt;"",0.15,0)+IF(J57&lt;&gt;"",0.1,0)+IF(L57&lt;&gt;"",0.1,0)))</f>
        <v/>
      </c>
      <c r="O57" s="92" t="str">
        <f>IF(COUNT(D57,F57,H57,J57,L57)=0,"",D57*0.2+F57*0.15+H57*0.15+J57*0.1+L57*0.1)</f>
        <v/>
      </c>
      <c r="P57" s="116"/>
      <c r="Q57" s="116"/>
      <c r="R57" s="116"/>
      <c r="S57" s="116"/>
      <c r="T57" s="116"/>
      <c r="U57" s="116"/>
      <c r="V57" s="116"/>
      <c r="W57" s="116"/>
      <c r="X57" s="64" t="str">
        <f>IF(COUNT(P57,R57,T57,V57)=0,"",P57*0.08+R57*0.06+T57*0.03+V57*0.08)</f>
        <v/>
      </c>
      <c r="Y57" s="116"/>
      <c r="Z57" s="116"/>
      <c r="AA57" s="116"/>
      <c r="AB57" s="116"/>
      <c r="AC57" s="116"/>
      <c r="AD57" s="116"/>
      <c r="AE57" s="64" t="str">
        <f>IF(COUNT(Y57,AA57,AC57)=0,"",Y57*0.02+AA57*0.02+AC57*0.01)</f>
        <v/>
      </c>
      <c r="AF57" s="92" t="str">
        <f>IF(OR(COUNT(D57,F57,H57,J57,L57)&lt;5,COUNT(P57,R57,T57,V57)&lt;4,COUNT(Y57,AA57,AC57)&lt;3),"",(O57+X57+AE57)*20)</f>
        <v/>
      </c>
      <c r="AG57" s="92" t="str">
        <f>IF(AF57="","",IF(AJ57="AVOID","AVOID",IF(AF57&gt;=80,IF(AH57="FAIL","WATCH LIST",IF(AK57="CAP AT BUY","BUY","STRONG BUY")),IF(AF57&gt;=65,IF(AH57="FAIL","WATCH LIST","BUY"),IF(AF57&gt;=50,"WATCH LIST",IF(AF57&gt;=35,"AVOID","PASS"))))))</f>
        <v/>
      </c>
      <c r="AH57" s="92" t="str">
        <f>IF(N57="","",IF(N57&lt;3,"FAIL","OK"))</f>
        <v/>
      </c>
      <c r="AI57" s="92" t="str">
        <f>IF(COUNT(D57:L57)=0,"",IF(COUNTIF(D57:L57,1)&gt;0,"REVIEW","OK"))</f>
        <v/>
      </c>
      <c r="AJ57" s="92" t="str">
        <f>IF(COUNT(D57:L57)=0,"",IF(COUNTIF(D57:L57,"&lt;=2")&gt;=2,"AVOID","OK"))</f>
        <v/>
      </c>
      <c r="AK57" s="92" t="str">
        <f>IF(COUNTA(E57:M57)=0,"",IF(COUNTIF(E57:M57,"L")&gt;=2,"CAP AT BUY","OK"))</f>
        <v/>
      </c>
      <c r="AL57" s="120"/>
      <c r="AM57" s="120"/>
      <c r="AN57" s="116"/>
      <c r="AO57" s="92"/>
      <c r="AP57" s="116" t="str">
        <f>IF(OR(AN57="",AO57=""),"",IF(AN57&gt;AO57,"OK","LOW CONF"))</f>
        <v/>
      </c>
      <c r="AQ57" s="116"/>
      <c r="AR57" s="92"/>
      <c r="AS57" s="125" t="str">
        <f>IF(OR(AQ57="",AR57=""),"",IF(AQ57&lt;AR57,"Decreased",IF(AQ57&gt;AR57,"Increased","Flat")))</f>
        <v/>
      </c>
    </row>
    <row r="58" spans="1:45" s="28" customFormat="1" ht="15" hidden="1" customHeight="1" x14ac:dyDescent="0.3">
      <c r="A58" s="61"/>
      <c r="B58" s="114"/>
      <c r="C58" s="115"/>
      <c r="D58" s="116"/>
      <c r="E58" s="116"/>
      <c r="F58" s="116"/>
      <c r="G58" s="116"/>
      <c r="H58" s="116"/>
      <c r="I58" s="116"/>
      <c r="J58" s="116"/>
      <c r="K58" s="116"/>
      <c r="L58" s="116"/>
      <c r="M58" s="116"/>
      <c r="N58" s="117" t="str">
        <f>IF(COUNT(D58,F58,H58,J58,L58)=0,"",(D58*0.2+F58*0.15+H58*0.15+J58*0.1+L58*0.1)/(IF(D58&lt;&gt;"",0.2,0)+IF(F58&lt;&gt;"",0.15,0)+IF(H58&lt;&gt;"",0.15,0)+IF(J58&lt;&gt;"",0.1,0)+IF(L58&lt;&gt;"",0.1,0)))</f>
        <v/>
      </c>
      <c r="O58" s="92" t="str">
        <f>IF(COUNT(D58,F58,H58,J58,L58)=0,"",D58*0.2+F58*0.15+H58*0.15+J58*0.1+L58*0.1)</f>
        <v/>
      </c>
      <c r="P58" s="116"/>
      <c r="Q58" s="116"/>
      <c r="R58" s="116"/>
      <c r="S58" s="116"/>
      <c r="T58" s="116"/>
      <c r="U58" s="116"/>
      <c r="V58" s="116"/>
      <c r="W58" s="116"/>
      <c r="X58" s="64" t="str">
        <f>IF(COUNT(P58,R58,T58,V58)=0,"",P58*0.08+R58*0.06+T58*0.03+V58*0.08)</f>
        <v/>
      </c>
      <c r="Y58" s="116"/>
      <c r="Z58" s="116"/>
      <c r="AA58" s="116"/>
      <c r="AB58" s="116"/>
      <c r="AC58" s="116"/>
      <c r="AD58" s="116"/>
      <c r="AE58" s="64" t="str">
        <f>IF(COUNT(Y58,AA58,AC58)=0,"",Y58*0.02+AA58*0.02+AC58*0.01)</f>
        <v/>
      </c>
      <c r="AF58" s="92" t="str">
        <f>IF(OR(COUNT(D58,F58,H58,J58,L58)&lt;5,COUNT(P58,R58,T58,V58)&lt;4,COUNT(Y58,AA58,AC58)&lt;3),"",(O58+X58+AE58)*20)</f>
        <v/>
      </c>
      <c r="AG58" s="92" t="str">
        <f>IF(AF58="","",IF(AJ58="AVOID","AVOID",IF(AF58&gt;=80,IF(AH58="FAIL","WATCH LIST",IF(AK58="CAP AT BUY","BUY","STRONG BUY")),IF(AF58&gt;=65,IF(AH58="FAIL","WATCH LIST","BUY"),IF(AF58&gt;=50,"WATCH LIST",IF(AF58&gt;=35,"AVOID","PASS"))))))</f>
        <v/>
      </c>
      <c r="AH58" s="92" t="str">
        <f>IF(N58="","",IF(N58&lt;3,"FAIL","OK"))</f>
        <v/>
      </c>
      <c r="AI58" s="92" t="str">
        <f>IF(COUNT(D58:L58)=0,"",IF(COUNTIF(D58:L58,1)&gt;0,"REVIEW","OK"))</f>
        <v/>
      </c>
      <c r="AJ58" s="92" t="str">
        <f>IF(COUNT(D58:L58)=0,"",IF(COUNTIF(D58:L58,"&lt;=2")&gt;=2,"AVOID","OK"))</f>
        <v/>
      </c>
      <c r="AK58" s="92" t="str">
        <f>IF(COUNTA(E58:M58)=0,"",IF(COUNTIF(E58:M58,"L")&gt;=2,"CAP AT BUY","OK"))</f>
        <v/>
      </c>
      <c r="AL58" s="120"/>
      <c r="AM58" s="120"/>
      <c r="AN58" s="116"/>
      <c r="AO58" s="92"/>
      <c r="AP58" s="116" t="str">
        <f>IF(OR(AN58="",AO58=""),"",IF(AN58&gt;AO58,"OK","LOW CONF"))</f>
        <v/>
      </c>
      <c r="AQ58" s="116"/>
      <c r="AR58" s="92"/>
      <c r="AS58" s="125" t="str">
        <f>IF(OR(AQ58="",AR58=""),"",IF(AQ58&lt;AR58,"Decreased",IF(AQ58&gt;AR58,"Increased","Flat")))</f>
        <v/>
      </c>
    </row>
    <row r="59" spans="1:45" s="28" customFormat="1" ht="15" hidden="1" customHeight="1" x14ac:dyDescent="0.3">
      <c r="A59" s="61"/>
      <c r="B59" s="114"/>
      <c r="C59" s="115"/>
      <c r="D59" s="116"/>
      <c r="E59" s="116"/>
      <c r="F59" s="116"/>
      <c r="G59" s="116"/>
      <c r="H59" s="116"/>
      <c r="I59" s="116"/>
      <c r="J59" s="116"/>
      <c r="K59" s="116"/>
      <c r="L59" s="116"/>
      <c r="M59" s="116"/>
      <c r="N59" s="117" t="str">
        <f>IF(COUNT(D59,F59,H59,J59,L59)=0,"",(D59*0.2+F59*0.15+H59*0.15+J59*0.1+L59*0.1)/(IF(D59&lt;&gt;"",0.2,0)+IF(F59&lt;&gt;"",0.15,0)+IF(H59&lt;&gt;"",0.15,0)+IF(J59&lt;&gt;"",0.1,0)+IF(L59&lt;&gt;"",0.1,0)))</f>
        <v/>
      </c>
      <c r="O59" s="92" t="str">
        <f>IF(COUNT(D59,F59,H59,J59,L59)=0,"",D59*0.2+F59*0.15+H59*0.15+J59*0.1+L59*0.1)</f>
        <v/>
      </c>
      <c r="P59" s="116"/>
      <c r="Q59" s="116"/>
      <c r="R59" s="116"/>
      <c r="S59" s="116"/>
      <c r="T59" s="116"/>
      <c r="U59" s="116"/>
      <c r="V59" s="116"/>
      <c r="W59" s="116"/>
      <c r="X59" s="64" t="str">
        <f>IF(COUNT(P59,R59,T59,V59)=0,"",P59*0.08+R59*0.06+T59*0.03+V59*0.08)</f>
        <v/>
      </c>
      <c r="Y59" s="116"/>
      <c r="Z59" s="116"/>
      <c r="AA59" s="116"/>
      <c r="AB59" s="116"/>
      <c r="AC59" s="116"/>
      <c r="AD59" s="116"/>
      <c r="AE59" s="64" t="str">
        <f>IF(COUNT(Y59,AA59,AC59)=0,"",Y59*0.02+AA59*0.02+AC59*0.01)</f>
        <v/>
      </c>
      <c r="AF59" s="92" t="str">
        <f>IF(OR(COUNT(D59,F59,H59,J59,L59)&lt;5,COUNT(P59,R59,T59,V59)&lt;4,COUNT(Y59,AA59,AC59)&lt;3),"",(O59+X59+AE59)*20)</f>
        <v/>
      </c>
      <c r="AG59" s="92" t="str">
        <f>IF(AF59="","",IF(AJ59="AVOID","AVOID",IF(AF59&gt;=80,IF(AH59="FAIL","WATCH LIST",IF(AK59="CAP AT BUY","BUY","STRONG BUY")),IF(AF59&gt;=65,IF(AH59="FAIL","WATCH LIST","BUY"),IF(AF59&gt;=50,"WATCH LIST",IF(AF59&gt;=35,"AVOID","PASS"))))))</f>
        <v/>
      </c>
      <c r="AH59" s="92" t="str">
        <f>IF(N59="","",IF(N59&lt;3,"FAIL","OK"))</f>
        <v/>
      </c>
      <c r="AI59" s="92" t="str">
        <f>IF(COUNT(D59:L59)=0,"",IF(COUNTIF(D59:L59,1)&gt;0,"REVIEW","OK"))</f>
        <v/>
      </c>
      <c r="AJ59" s="92" t="str">
        <f>IF(COUNT(D59:L59)=0,"",IF(COUNTIF(D59:L59,"&lt;=2")&gt;=2,"AVOID","OK"))</f>
        <v/>
      </c>
      <c r="AK59" s="92" t="str">
        <f>IF(COUNTA(E59:M59)=0,"",IF(COUNTIF(E59:M59,"L")&gt;=2,"CAP AT BUY","OK"))</f>
        <v/>
      </c>
      <c r="AL59" s="120"/>
      <c r="AM59" s="120"/>
      <c r="AN59" s="116"/>
      <c r="AO59" s="92"/>
      <c r="AP59" s="116" t="str">
        <f>IF(OR(AN59="",AO59=""),"",IF(AN59&gt;AO59,"OK","LOW CONF"))</f>
        <v/>
      </c>
      <c r="AQ59" s="116"/>
      <c r="AR59" s="92"/>
      <c r="AS59" s="125" t="str">
        <f>IF(OR(AQ59="",AR59=""),"",IF(AQ59&lt;AR59,"Decreased",IF(AQ59&gt;AR59,"Increased","Flat")))</f>
        <v/>
      </c>
    </row>
    <row r="60" spans="1:45" s="28" customFormat="1" ht="15" hidden="1" customHeight="1" x14ac:dyDescent="0.3">
      <c r="A60" s="61"/>
      <c r="B60" s="114"/>
      <c r="C60" s="115"/>
      <c r="D60" s="116"/>
      <c r="E60" s="116"/>
      <c r="F60" s="116"/>
      <c r="G60" s="116"/>
      <c r="H60" s="116"/>
      <c r="I60" s="116"/>
      <c r="J60" s="116"/>
      <c r="K60" s="116"/>
      <c r="L60" s="116"/>
      <c r="M60" s="116"/>
      <c r="N60" s="117" t="str">
        <f>IF(COUNT(D60,F60,H60,J60,L60)=0,"",(D60*0.2+F60*0.15+H60*0.15+J60*0.1+L60*0.1)/(IF(D60&lt;&gt;"",0.2,0)+IF(F60&lt;&gt;"",0.15,0)+IF(H60&lt;&gt;"",0.15,0)+IF(J60&lt;&gt;"",0.1,0)+IF(L60&lt;&gt;"",0.1,0)))</f>
        <v/>
      </c>
      <c r="O60" s="92" t="str">
        <f>IF(COUNT(D60,F60,H60,J60,L60)=0,"",D60*0.2+F60*0.15+H60*0.15+J60*0.1+L60*0.1)</f>
        <v/>
      </c>
      <c r="P60" s="116"/>
      <c r="Q60" s="116"/>
      <c r="R60" s="116"/>
      <c r="S60" s="116"/>
      <c r="T60" s="116"/>
      <c r="U60" s="116"/>
      <c r="V60" s="116"/>
      <c r="W60" s="116"/>
      <c r="X60" s="64" t="str">
        <f>IF(COUNT(P60,R60,T60,V60)=0,"",P60*0.08+R60*0.06+T60*0.03+V60*0.08)</f>
        <v/>
      </c>
      <c r="Y60" s="116"/>
      <c r="Z60" s="116"/>
      <c r="AA60" s="116"/>
      <c r="AB60" s="116"/>
      <c r="AC60" s="116"/>
      <c r="AD60" s="116"/>
      <c r="AE60" s="64" t="str">
        <f>IF(COUNT(Y60,AA60,AC60)=0,"",Y60*0.02+AA60*0.02+AC60*0.01)</f>
        <v/>
      </c>
      <c r="AF60" s="92" t="str">
        <f>IF(OR(COUNT(D60,F60,H60,J60,L60)&lt;5,COUNT(P60,R60,T60,V60)&lt;4,COUNT(Y60,AA60,AC60)&lt;3),"",(O60+X60+AE60)*20)</f>
        <v/>
      </c>
      <c r="AG60" s="92" t="str">
        <f>IF(AF60="","",IF(AJ60="AVOID","AVOID",IF(AF60&gt;=80,IF(AH60="FAIL","WATCH LIST",IF(AK60="CAP AT BUY","BUY","STRONG BUY")),IF(AF60&gt;=65,IF(AH60="FAIL","WATCH LIST","BUY"),IF(AF60&gt;=50,"WATCH LIST",IF(AF60&gt;=35,"AVOID","PASS"))))))</f>
        <v/>
      </c>
      <c r="AH60" s="92" t="str">
        <f>IF(N60="","",IF(N60&lt;3,"FAIL","OK"))</f>
        <v/>
      </c>
      <c r="AI60" s="92" t="str">
        <f>IF(COUNT(D60:L60)=0,"",IF(COUNTIF(D60:L60,1)&gt;0,"REVIEW","OK"))</f>
        <v/>
      </c>
      <c r="AJ60" s="92" t="str">
        <f>IF(COUNT(D60:L60)=0,"",IF(COUNTIF(D60:L60,"&lt;=2")&gt;=2,"AVOID","OK"))</f>
        <v/>
      </c>
      <c r="AK60" s="92" t="str">
        <f>IF(COUNTA(E60:M60)=0,"",IF(COUNTIF(E60:M60,"L")&gt;=2,"CAP AT BUY","OK"))</f>
        <v/>
      </c>
      <c r="AL60" s="120"/>
      <c r="AM60" s="120"/>
      <c r="AN60" s="116"/>
      <c r="AO60" s="92"/>
      <c r="AP60" s="116" t="str">
        <f>IF(OR(AN60="",AO60=""),"",IF(AN60&gt;AO60,"OK","LOW CONF"))</f>
        <v/>
      </c>
      <c r="AQ60" s="116"/>
      <c r="AR60" s="92"/>
      <c r="AS60" s="125" t="str">
        <f>IF(OR(AQ60="",AR60=""),"",IF(AQ60&lt;AR60,"Decreased",IF(AQ60&gt;AR60,"Increased","Flat")))</f>
        <v/>
      </c>
    </row>
    <row r="61" spans="1:45" s="28" customFormat="1" ht="13.5" hidden="1" customHeight="1" x14ac:dyDescent="0.3">
      <c r="AM61" s="126"/>
    </row>
    <row r="62" spans="1:45" ht="15.75" customHeight="1" x14ac:dyDescent="0.35">
      <c r="A62" s="263">
        <f>SUBTOTAL(103,A3:A60)</f>
        <v>49</v>
      </c>
      <c r="B62" s="264" t="s">
        <v>298</v>
      </c>
    </row>
    <row r="63" spans="1:45" ht="13.5" customHeight="1" x14ac:dyDescent="0.3">
      <c r="C63" s="265"/>
    </row>
    <row r="64" spans="1:45" ht="13.5" customHeight="1" x14ac:dyDescent="0.3">
      <c r="C64" s="265"/>
    </row>
  </sheetData>
  <autoFilter ref="A2:AS61" xr:uid="{00000000-0009-0000-0000-000006000000}">
    <filterColumn colId="0">
      <customFilters>
        <customFilter operator="notEqual" val=" "/>
      </customFilters>
    </filterColumn>
    <sortState xmlns:xlrd2="http://schemas.microsoft.com/office/spreadsheetml/2017/richdata2" ref="A3:AS51">
      <sortCondition descending="1" ref="N2:N61"/>
    </sortState>
  </autoFilter>
  <mergeCells count="6">
    <mergeCell ref="AN1:AS1"/>
    <mergeCell ref="D1:O1"/>
    <mergeCell ref="P1:X1"/>
    <mergeCell ref="Y1:AE1"/>
    <mergeCell ref="AH1:AK1"/>
    <mergeCell ref="AL1:AM1"/>
  </mergeCells>
  <conditionalFormatting sqref="N3:N60">
    <cfRule type="cellIs" dxfId="25" priority="14" operator="greaterThanOrEqual">
      <formula>3.999</formula>
    </cfRule>
    <cfRule type="cellIs" dxfId="26" priority="1" operator="greaterThanOrEqual">
      <formula>3</formula>
    </cfRule>
  </conditionalFormatting>
  <conditionalFormatting sqref="AG3:AG60">
    <cfRule type="cellIs" dxfId="41" priority="3" operator="equal">
      <formula>"STRONG BUY"</formula>
    </cfRule>
    <cfRule type="cellIs" dxfId="40" priority="4" operator="equal">
      <formula>"BUY"</formula>
    </cfRule>
    <cfRule type="cellIs" dxfId="39" priority="5" operator="equal">
      <formula>"WATCH LIST"</formula>
    </cfRule>
    <cfRule type="cellIs" dxfId="38" priority="6" operator="equal">
      <formula>"AVOID"</formula>
    </cfRule>
    <cfRule type="cellIs" dxfId="37" priority="7" operator="equal">
      <formula>"PASS"</formula>
    </cfRule>
  </conditionalFormatting>
  <conditionalFormatting sqref="AH3:AH60">
    <cfRule type="cellIs" dxfId="36" priority="8" operator="equal">
      <formula>"FAIL"</formula>
    </cfRule>
    <cfRule type="cellIs" dxfId="35" priority="9" operator="equal">
      <formula>"OK"</formula>
    </cfRule>
  </conditionalFormatting>
  <conditionalFormatting sqref="AI3:AI60">
    <cfRule type="cellIs" dxfId="34" priority="12" operator="equal">
      <formula>"REVIEW"</formula>
    </cfRule>
  </conditionalFormatting>
  <conditionalFormatting sqref="AJ3:AJ60">
    <cfRule type="cellIs" dxfId="33" priority="10" operator="equal">
      <formula>"AVOID"</formula>
    </cfRule>
    <cfRule type="cellIs" dxfId="32" priority="11" operator="equal">
      <formula>"OK"</formula>
    </cfRule>
  </conditionalFormatting>
  <conditionalFormatting sqref="AK3:AK60">
    <cfRule type="cellIs" dxfId="31" priority="13" operator="equal">
      <formula>"CAP AT BUY"</formula>
    </cfRule>
  </conditionalFormatting>
  <conditionalFormatting sqref="AP3:AP60">
    <cfRule type="cellIs" dxfId="30" priority="15" operator="equal">
      <formula>"LOW CONF"</formula>
    </cfRule>
    <cfRule type="cellIs" dxfId="29" priority="16" operator="equal">
      <formula>"OK"</formula>
    </cfRule>
  </conditionalFormatting>
  <conditionalFormatting sqref="AS3:AS60">
    <cfRule type="cellIs" dxfId="28" priority="17" operator="equal">
      <formula>"Increased"</formula>
    </cfRule>
    <cfRule type="cellIs" dxfId="27" priority="18" operator="equal">
      <formula>"Decreased"</formula>
    </cfRule>
  </conditionalFormatting>
  <dataValidations count="2">
    <dataValidation type="list" allowBlank="1" sqref="D3:D60 F3:F60 H3:H60 J3:J60 L3:L60 P3:P60 R3:R60 T3:T60 V3:V60 Y3:Y60 AA3:AA60 AC3:AC60" xr:uid="{00000000-0002-0000-0600-000000000000}">
      <formula1>"1,2,3,4,5"</formula1>
      <formula2>0</formula2>
    </dataValidation>
    <dataValidation type="list" allowBlank="1" sqref="E3:E60 G3:G60 I3:I60 K3:K60 M3:M60 Q3:Q60 S3:S60 U3:U60 W3:W60 Z3:Z60 AB3:AB60 AD3:AD60" xr:uid="{00000000-0002-0000-0600-000001000000}">
      <formula1>"H,M,L"</formula1>
      <formula2>0</formula2>
    </dataValidation>
  </dataValidation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66"/>
  <sheetViews>
    <sheetView zoomScaleNormal="100" workbookViewId="0">
      <selection activeCell="C10" sqref="C10"/>
    </sheetView>
  </sheetViews>
  <sheetFormatPr defaultColWidth="8.6328125" defaultRowHeight="14.5" x14ac:dyDescent="0.35"/>
  <cols>
    <col min="1" max="1" width="8" customWidth="1"/>
    <col min="2" max="2" width="24.81640625" customWidth="1"/>
    <col min="3" max="3" width="9" style="27" customWidth="1"/>
    <col min="4" max="5" width="8.6328125" style="27"/>
    <col min="6" max="6" width="12.453125" style="27" customWidth="1"/>
    <col min="7" max="7" width="13.36328125" style="27" customWidth="1"/>
    <col min="8" max="8" width="11.1796875" customWidth="1"/>
    <col min="9" max="9" width="10.81640625" style="27" hidden="1" customWidth="1"/>
    <col min="10" max="10" width="9" style="27" customWidth="1"/>
    <col min="11" max="11" width="8.453125" style="27" customWidth="1"/>
    <col min="12" max="12" width="7.81640625" style="27" customWidth="1"/>
    <col min="13" max="13" width="6.81640625" style="27" customWidth="1"/>
    <col min="14" max="14" width="8" style="27" customWidth="1"/>
    <col min="15" max="15" width="7.453125" style="27" customWidth="1"/>
    <col min="16" max="16" width="10.54296875" style="27" customWidth="1"/>
    <col min="18" max="18" width="28" customWidth="1"/>
    <col min="19" max="19" width="12.81640625" customWidth="1"/>
  </cols>
  <sheetData>
    <row r="1" spans="1:19" ht="15" customHeight="1" x14ac:dyDescent="0.35">
      <c r="A1" s="127" t="s">
        <v>415</v>
      </c>
      <c r="B1" s="127"/>
      <c r="C1" s="128"/>
      <c r="D1" s="128"/>
      <c r="E1" s="128"/>
      <c r="F1" s="128"/>
      <c r="G1" s="128"/>
      <c r="H1" s="127"/>
      <c r="I1" s="128"/>
      <c r="J1" s="128"/>
      <c r="K1" s="128"/>
      <c r="L1" s="128"/>
      <c r="M1" s="128"/>
      <c r="N1" s="128"/>
      <c r="O1" s="128"/>
      <c r="P1" s="128"/>
      <c r="Q1" s="127"/>
      <c r="R1" s="127"/>
      <c r="S1" s="127"/>
    </row>
    <row r="2" spans="1:19" ht="68.25" customHeight="1" x14ac:dyDescent="0.35">
      <c r="A2" s="129" t="s">
        <v>82</v>
      </c>
      <c r="B2" s="129" t="s">
        <v>288</v>
      </c>
      <c r="C2" s="129" t="s">
        <v>416</v>
      </c>
      <c r="D2" s="129" t="s">
        <v>417</v>
      </c>
      <c r="E2" s="129" t="s">
        <v>418</v>
      </c>
      <c r="F2" s="129" t="s">
        <v>419</v>
      </c>
      <c r="G2" s="129" t="s">
        <v>420</v>
      </c>
      <c r="H2" s="129" t="s">
        <v>421</v>
      </c>
      <c r="I2" s="129" t="s">
        <v>422</v>
      </c>
      <c r="J2" s="129" t="s">
        <v>423</v>
      </c>
      <c r="K2" s="129" t="s">
        <v>424</v>
      </c>
      <c r="L2" s="129" t="s">
        <v>425</v>
      </c>
      <c r="M2" s="129" t="s">
        <v>426</v>
      </c>
      <c r="N2" s="129" t="s">
        <v>427</v>
      </c>
      <c r="O2" s="129" t="s">
        <v>428</v>
      </c>
      <c r="P2" s="129" t="s">
        <v>429</v>
      </c>
      <c r="Q2" s="129" t="s">
        <v>430</v>
      </c>
      <c r="R2" s="129" t="s">
        <v>431</v>
      </c>
      <c r="S2" s="129" t="s">
        <v>432</v>
      </c>
    </row>
    <row r="3" spans="1:19" ht="15" customHeight="1" x14ac:dyDescent="0.35">
      <c r="A3" s="130" t="str">
        <f>IF(Scoring!A3="","",Scoring!A3)</f>
        <v>ADBE</v>
      </c>
      <c r="B3" s="131" t="str">
        <f>IF(Scoring!B3="","",Scoring!B3)</f>
        <v>Adobe Inc.</v>
      </c>
      <c r="C3" s="130" t="str">
        <f>IF(Scoring!AG3="","",IF(OR(Scoring!AG3="STRONG BUY",Scoring!AG3="BUY"),"PASS","FAIL"))</f>
        <v>PASS</v>
      </c>
      <c r="D3" s="130" t="str">
        <f>IF(Scoring!AH3="","",IF(Scoring!AH3="OK","PASS","FAIL"))</f>
        <v>PASS</v>
      </c>
      <c r="E3" s="130" t="str">
        <f>IF(Scoring!AI3="","",IF(Scoring!AI3="OK","PASS","FAIL — mandatory review required"))</f>
        <v>PASS</v>
      </c>
      <c r="F3" s="130"/>
      <c r="G3" s="130"/>
      <c r="H3" s="131" t="str">
        <f t="shared" ref="H3:H47" si="0">IF(OR(F3="",G3=""),"",IF(AND(F3="Y",G3="Y"),"Standard initial size","50% of normal initial size + 90-day technical review"))</f>
        <v/>
      </c>
      <c r="I3" s="130"/>
      <c r="J3" s="130"/>
      <c r="K3" s="132" t="str">
        <f t="shared" ref="K3:K47" si="1">IF(I3="","",IF(I3="N","PASS",IF(J3="Y","PASS — risk documented in thesis","FAIL — undocumented binary risk")))</f>
        <v/>
      </c>
      <c r="L3" s="130" t="str">
        <f>IF('Implied-Return Calculator'!S4="","",'Implied-Return Calculator'!S4)</f>
        <v/>
      </c>
      <c r="M3" s="130" t="str">
        <f>IF('Implied-Return Calculator'!T4="","",'Implied-Return Calculator'!T4)</f>
        <v/>
      </c>
      <c r="N3" s="130" t="str">
        <f>IF('Implied-Return Calculator'!U4="","",'Implied-Return Calculator'!U4)</f>
        <v/>
      </c>
      <c r="O3" s="130"/>
      <c r="P3" s="130"/>
      <c r="Q3" s="132" t="str">
        <f t="shared" ref="Q3:Q47" si="2">IF(OR(N3="",O3=""),"",IF(N3&lt;=50,"PASS — within ceiling",IF(AND(O3&gt;0.3,L3="PASS"),"PASS — growth+bear case exception met","FAIL — exceeds 50x, exception not met")))</f>
        <v/>
      </c>
      <c r="R3" s="131" t="str">
        <f t="shared" ref="R3:R47" si="3">IF(OR(C3="",D3="",E3="",K3="",L3="",M3="",N3="",Q3=""),"",IF(AND(C3="PASS",D3="PASS",LEFT(E3,4)="PASS",LEFT(K3,4)="PASS",L3="PASS",M3="PASS",N3="OK",LEFT(Q3,4)="PASS"),"YES","NO — see failing rule(s)"))</f>
        <v/>
      </c>
      <c r="S3" s="131" t="str">
        <f t="shared" ref="S3:S47" si="4">IF(R3="","",IF(R3="YES","Initiate: "&amp;H3,"DO NOT ENTER — resolve failing Entry Rule(s) above first"))</f>
        <v/>
      </c>
    </row>
    <row r="4" spans="1:19" ht="15" customHeight="1" x14ac:dyDescent="0.35">
      <c r="A4" s="130" t="str">
        <f>IF(Scoring!A4="","",Scoring!A4)</f>
        <v>NVDA</v>
      </c>
      <c r="B4" s="131" t="str">
        <f>IF(Scoring!B4="","",Scoring!B4)</f>
        <v>NVIDIA Corporation</v>
      </c>
      <c r="C4" s="130" t="str">
        <f>IF(Scoring!AG4="","",IF(OR(Scoring!AG4="STRONG BUY",Scoring!AG4="BUY"),"PASS","FAIL"))</f>
        <v>PASS</v>
      </c>
      <c r="D4" s="130" t="str">
        <f>IF(Scoring!AH4="","",IF(Scoring!AH4="OK","PASS","FAIL"))</f>
        <v>PASS</v>
      </c>
      <c r="E4" s="130" t="str">
        <f>IF(Scoring!AI4="","",IF(Scoring!AI4="OK","PASS","FAIL — mandatory review required"))</f>
        <v>PASS</v>
      </c>
      <c r="F4" s="130"/>
      <c r="G4" s="130"/>
      <c r="H4" s="131" t="str">
        <f t="shared" si="0"/>
        <v/>
      </c>
      <c r="I4" s="130"/>
      <c r="J4" s="130"/>
      <c r="K4" s="132" t="str">
        <f t="shared" si="1"/>
        <v/>
      </c>
      <c r="L4" s="130" t="str">
        <f>IF('Implied-Return Calculator'!S5="","",'Implied-Return Calculator'!S5)</f>
        <v/>
      </c>
      <c r="M4" s="130" t="str">
        <f>IF('Implied-Return Calculator'!T5="","",'Implied-Return Calculator'!T5)</f>
        <v/>
      </c>
      <c r="N4" s="130" t="str">
        <f>IF('Implied-Return Calculator'!U5="","",'Implied-Return Calculator'!U5)</f>
        <v/>
      </c>
      <c r="O4" s="130"/>
      <c r="P4" s="130"/>
      <c r="Q4" s="132" t="str">
        <f t="shared" si="2"/>
        <v/>
      </c>
      <c r="R4" s="131" t="str">
        <f t="shared" si="3"/>
        <v/>
      </c>
      <c r="S4" s="131" t="str">
        <f t="shared" si="4"/>
        <v/>
      </c>
    </row>
    <row r="5" spans="1:19" ht="15" customHeight="1" x14ac:dyDescent="0.35">
      <c r="A5" s="130" t="str">
        <f>IF(Scoring!A5="","",Scoring!A5)</f>
        <v>ANET</v>
      </c>
      <c r="B5" s="131" t="str">
        <f>IF(Scoring!B5="","",Scoring!B5)</f>
        <v>Arista Networks</v>
      </c>
      <c r="C5" s="130" t="str">
        <f>IF(Scoring!AG5="","",IF(OR(Scoring!AG5="STRONG BUY",Scoring!AG5="BUY"),"PASS","FAIL"))</f>
        <v>PASS</v>
      </c>
      <c r="D5" s="130" t="str">
        <f>IF(Scoring!AH5="","",IF(Scoring!AH5="OK","PASS","FAIL"))</f>
        <v>PASS</v>
      </c>
      <c r="E5" s="130" t="str">
        <f>IF(Scoring!AI5="","",IF(Scoring!AI5="OK","PASS","FAIL — mandatory review required"))</f>
        <v>PASS</v>
      </c>
      <c r="F5" s="130"/>
      <c r="G5" s="130"/>
      <c r="H5" s="131" t="str">
        <f t="shared" si="0"/>
        <v/>
      </c>
      <c r="I5" s="130"/>
      <c r="J5" s="130"/>
      <c r="K5" s="132" t="str">
        <f t="shared" si="1"/>
        <v/>
      </c>
      <c r="L5" s="130" t="str">
        <f>IF('Implied-Return Calculator'!S6="","",'Implied-Return Calculator'!S6)</f>
        <v/>
      </c>
      <c r="M5" s="130" t="str">
        <f>IF('Implied-Return Calculator'!T6="","",'Implied-Return Calculator'!T6)</f>
        <v/>
      </c>
      <c r="N5" s="130" t="str">
        <f>IF('Implied-Return Calculator'!U6="","",'Implied-Return Calculator'!U6)</f>
        <v/>
      </c>
      <c r="O5" s="130"/>
      <c r="P5" s="130"/>
      <c r="Q5" s="132" t="str">
        <f t="shared" si="2"/>
        <v/>
      </c>
      <c r="R5" s="131" t="str">
        <f t="shared" si="3"/>
        <v/>
      </c>
      <c r="S5" s="131" t="str">
        <f t="shared" si="4"/>
        <v/>
      </c>
    </row>
    <row r="6" spans="1:19" ht="15" customHeight="1" x14ac:dyDescent="0.35">
      <c r="A6" s="130" t="str">
        <f>IF(Scoring!A6="","",Scoring!A6)</f>
        <v>VEEV</v>
      </c>
      <c r="B6" s="131" t="str">
        <f>IF(Scoring!B6="","",Scoring!B6)</f>
        <v>Veeva Systems Inc.</v>
      </c>
      <c r="C6" s="130" t="str">
        <f>IF(Scoring!AG6="","",IF(OR(Scoring!AG6="STRONG BUY",Scoring!AG6="BUY"),"PASS","FAIL"))</f>
        <v>PASS</v>
      </c>
      <c r="D6" s="130" t="str">
        <f>IF(Scoring!AH6="","",IF(Scoring!AH6="OK","PASS","FAIL"))</f>
        <v>PASS</v>
      </c>
      <c r="E6" s="130" t="str">
        <f>IF(Scoring!AI6="","",IF(Scoring!AI6="OK","PASS","FAIL — mandatory review required"))</f>
        <v>PASS</v>
      </c>
      <c r="F6" s="130"/>
      <c r="G6" s="130"/>
      <c r="H6" s="131" t="str">
        <f t="shared" si="0"/>
        <v/>
      </c>
      <c r="I6" s="130"/>
      <c r="J6" s="130"/>
      <c r="K6" s="132" t="str">
        <f t="shared" si="1"/>
        <v/>
      </c>
      <c r="L6" s="130" t="str">
        <f>IF('Implied-Return Calculator'!S7="","",'Implied-Return Calculator'!S7)</f>
        <v/>
      </c>
      <c r="M6" s="130" t="str">
        <f>IF('Implied-Return Calculator'!T7="","",'Implied-Return Calculator'!T7)</f>
        <v/>
      </c>
      <c r="N6" s="130" t="str">
        <f>IF('Implied-Return Calculator'!U7="","",'Implied-Return Calculator'!U7)</f>
        <v/>
      </c>
      <c r="O6" s="130"/>
      <c r="P6" s="130"/>
      <c r="Q6" s="132" t="str">
        <f t="shared" si="2"/>
        <v/>
      </c>
      <c r="R6" s="131" t="str">
        <f t="shared" si="3"/>
        <v/>
      </c>
      <c r="S6" s="131" t="str">
        <f t="shared" si="4"/>
        <v/>
      </c>
    </row>
    <row r="7" spans="1:19" ht="15" customHeight="1" x14ac:dyDescent="0.35">
      <c r="A7" s="130" t="str">
        <f>IF(Scoring!A7="","",Scoring!A7)</f>
        <v>TSM</v>
      </c>
      <c r="B7" s="131" t="str">
        <f>IF(Scoring!B7="","",Scoring!B7)</f>
        <v>Taiwan Semiconductor Mfg.</v>
      </c>
      <c r="C7" s="130" t="str">
        <f>IF(Scoring!AG7="","",IF(OR(Scoring!AG7="STRONG BUY",Scoring!AG7="BUY"),"PASS","FAIL"))</f>
        <v>PASS</v>
      </c>
      <c r="D7" s="130" t="str">
        <f>IF(Scoring!AH7="","",IF(Scoring!AH7="OK","PASS","FAIL"))</f>
        <v>PASS</v>
      </c>
      <c r="E7" s="130" t="str">
        <f>IF(Scoring!AI7="","",IF(Scoring!AI7="OK","PASS","FAIL — mandatory review required"))</f>
        <v>PASS</v>
      </c>
      <c r="F7" s="130"/>
      <c r="G7" s="130"/>
      <c r="H7" s="131" t="str">
        <f t="shared" si="0"/>
        <v/>
      </c>
      <c r="I7" s="130"/>
      <c r="J7" s="130"/>
      <c r="K7" s="132" t="str">
        <f t="shared" si="1"/>
        <v/>
      </c>
      <c r="L7" s="130" t="str">
        <f>IF('Implied-Return Calculator'!S8="","",'Implied-Return Calculator'!S8)</f>
        <v/>
      </c>
      <c r="M7" s="130" t="str">
        <f>IF('Implied-Return Calculator'!T8="","",'Implied-Return Calculator'!T8)</f>
        <v/>
      </c>
      <c r="N7" s="130" t="str">
        <f>IF('Implied-Return Calculator'!U8="","",'Implied-Return Calculator'!U8)</f>
        <v/>
      </c>
      <c r="O7" s="130"/>
      <c r="P7" s="130"/>
      <c r="Q7" s="132" t="str">
        <f t="shared" si="2"/>
        <v/>
      </c>
      <c r="R7" s="131" t="str">
        <f t="shared" si="3"/>
        <v/>
      </c>
      <c r="S7" s="131" t="str">
        <f t="shared" si="4"/>
        <v/>
      </c>
    </row>
    <row r="8" spans="1:19" ht="15" customHeight="1" x14ac:dyDescent="0.35">
      <c r="A8" s="130" t="str">
        <f>IF(Scoring!A8="","",Scoring!A8)</f>
        <v>NFLX</v>
      </c>
      <c r="B8" s="131" t="str">
        <f>IF(Scoring!B8="","",Scoring!B8)</f>
        <v>Netflix, Inc.</v>
      </c>
      <c r="C8" s="130" t="str">
        <f>IF(Scoring!AG8="","",IF(OR(Scoring!AG8="STRONG BUY",Scoring!AG8="BUY"),"PASS","FAIL"))</f>
        <v>PASS</v>
      </c>
      <c r="D8" s="130" t="str">
        <f>IF(Scoring!AH8="","",IF(Scoring!AH8="OK","PASS","FAIL"))</f>
        <v>PASS</v>
      </c>
      <c r="E8" s="130" t="str">
        <f>IF(Scoring!AI8="","",IF(Scoring!AI8="OK","PASS","FAIL — mandatory review required"))</f>
        <v>PASS</v>
      </c>
      <c r="F8" s="130"/>
      <c r="G8" s="130"/>
      <c r="H8" s="131" t="str">
        <f t="shared" si="0"/>
        <v/>
      </c>
      <c r="I8" s="130"/>
      <c r="J8" s="130"/>
      <c r="K8" s="132" t="str">
        <f t="shared" si="1"/>
        <v/>
      </c>
      <c r="L8" s="130" t="str">
        <f>IF('Implied-Return Calculator'!S9="","",'Implied-Return Calculator'!S9)</f>
        <v/>
      </c>
      <c r="M8" s="130" t="str">
        <f>IF('Implied-Return Calculator'!T9="","",'Implied-Return Calculator'!T9)</f>
        <v/>
      </c>
      <c r="N8" s="130" t="str">
        <f>IF('Implied-Return Calculator'!U9="","",'Implied-Return Calculator'!U9)</f>
        <v/>
      </c>
      <c r="O8" s="130"/>
      <c r="P8" s="130"/>
      <c r="Q8" s="132" t="str">
        <f t="shared" si="2"/>
        <v/>
      </c>
      <c r="R8" s="131" t="str">
        <f t="shared" si="3"/>
        <v/>
      </c>
      <c r="S8" s="131" t="str">
        <f t="shared" si="4"/>
        <v/>
      </c>
    </row>
    <row r="9" spans="1:19" ht="15" customHeight="1" x14ac:dyDescent="0.35">
      <c r="A9" s="130" t="str">
        <f>IF(Scoring!A9="","",Scoring!A9)</f>
        <v>COST</v>
      </c>
      <c r="B9" s="131" t="str">
        <f>IF(Scoring!B9="","",Scoring!B9)</f>
        <v>Costco Wholesale Corp.</v>
      </c>
      <c r="C9" s="130" t="str">
        <f>IF(Scoring!AG9="","",IF(OR(Scoring!AG9="STRONG BUY",Scoring!AG9="BUY"),"PASS","FAIL"))</f>
        <v>PASS</v>
      </c>
      <c r="D9" s="130" t="str">
        <f>IF(Scoring!AH9="","",IF(Scoring!AH9="OK","PASS","FAIL"))</f>
        <v>PASS</v>
      </c>
      <c r="E9" s="130" t="str">
        <f>IF(Scoring!AI9="","",IF(Scoring!AI9="OK","PASS","FAIL — mandatory review required"))</f>
        <v>PASS</v>
      </c>
      <c r="F9" s="130"/>
      <c r="G9" s="130"/>
      <c r="H9" s="131" t="str">
        <f t="shared" si="0"/>
        <v/>
      </c>
      <c r="I9" s="130"/>
      <c r="J9" s="130"/>
      <c r="K9" s="132" t="str">
        <f t="shared" si="1"/>
        <v/>
      </c>
      <c r="L9" s="130" t="str">
        <f>IF('Implied-Return Calculator'!S10="","",'Implied-Return Calculator'!S10)</f>
        <v/>
      </c>
      <c r="M9" s="130" t="str">
        <f>IF('Implied-Return Calculator'!T10="","",'Implied-Return Calculator'!T10)</f>
        <v/>
      </c>
      <c r="N9" s="130" t="str">
        <f>IF('Implied-Return Calculator'!U10="","",'Implied-Return Calculator'!U10)</f>
        <v/>
      </c>
      <c r="O9" s="130"/>
      <c r="P9" s="130"/>
      <c r="Q9" s="132" t="str">
        <f t="shared" si="2"/>
        <v/>
      </c>
      <c r="R9" s="131" t="str">
        <f t="shared" si="3"/>
        <v/>
      </c>
      <c r="S9" s="131" t="str">
        <f t="shared" si="4"/>
        <v/>
      </c>
    </row>
    <row r="10" spans="1:19" ht="15" customHeight="1" x14ac:dyDescent="0.35">
      <c r="A10" s="130" t="str">
        <f>IF(Scoring!A10="","",Scoring!A10)</f>
        <v>GE</v>
      </c>
      <c r="B10" s="131" t="str">
        <f>IF(Scoring!B10="","",Scoring!B10)</f>
        <v>GE Aerospace</v>
      </c>
      <c r="C10" s="130" t="str">
        <f>IF(Scoring!AG10="","",IF(OR(Scoring!AG10="STRONG BUY",Scoring!AG10="BUY"),"PASS","FAIL"))</f>
        <v>PASS</v>
      </c>
      <c r="D10" s="130" t="str">
        <f>IF(Scoring!AH10="","",IF(Scoring!AH10="OK","PASS","FAIL"))</f>
        <v>PASS</v>
      </c>
      <c r="E10" s="130" t="str">
        <f>IF(Scoring!AI10="","",IF(Scoring!AI10="OK","PASS","FAIL — mandatory review required"))</f>
        <v>PASS</v>
      </c>
      <c r="F10" s="130"/>
      <c r="G10" s="130"/>
      <c r="H10" s="131" t="str">
        <f t="shared" si="0"/>
        <v/>
      </c>
      <c r="I10" s="130"/>
      <c r="J10" s="130"/>
      <c r="K10" s="132" t="str">
        <f t="shared" si="1"/>
        <v/>
      </c>
      <c r="L10" s="130" t="str">
        <f>IF('Implied-Return Calculator'!S11="","",'Implied-Return Calculator'!S11)</f>
        <v/>
      </c>
      <c r="M10" s="130" t="str">
        <f>IF('Implied-Return Calculator'!T11="","",'Implied-Return Calculator'!T11)</f>
        <v/>
      </c>
      <c r="N10" s="130" t="str">
        <f>IF('Implied-Return Calculator'!U11="","",'Implied-Return Calculator'!U11)</f>
        <v/>
      </c>
      <c r="O10" s="130"/>
      <c r="P10" s="130"/>
      <c r="Q10" s="132" t="str">
        <f t="shared" si="2"/>
        <v/>
      </c>
      <c r="R10" s="131" t="str">
        <f t="shared" si="3"/>
        <v/>
      </c>
      <c r="S10" s="131" t="str">
        <f t="shared" si="4"/>
        <v/>
      </c>
    </row>
    <row r="11" spans="1:19" ht="15" customHeight="1" x14ac:dyDescent="0.35">
      <c r="A11" s="130" t="str">
        <f>IF(Scoring!A11="","",Scoring!A11)</f>
        <v>PLTR</v>
      </c>
      <c r="B11" s="131" t="str">
        <f>IF(Scoring!B11="","",Scoring!B11)</f>
        <v>Palantir Technologies</v>
      </c>
      <c r="C11" s="130" t="str">
        <f>IF(Scoring!AG11="","",IF(OR(Scoring!AG11="STRONG BUY",Scoring!AG11="BUY"),"PASS","FAIL"))</f>
        <v>PASS</v>
      </c>
      <c r="D11" s="130" t="str">
        <f>IF(Scoring!AH11="","",IF(Scoring!AH11="OK","PASS","FAIL"))</f>
        <v>PASS</v>
      </c>
      <c r="E11" s="130" t="str">
        <f>IF(Scoring!AI11="","",IF(Scoring!AI11="OK","PASS","FAIL — mandatory review required"))</f>
        <v>PASS</v>
      </c>
      <c r="F11" s="130"/>
      <c r="G11" s="130"/>
      <c r="H11" s="131" t="str">
        <f t="shared" si="0"/>
        <v/>
      </c>
      <c r="I11" s="130"/>
      <c r="J11" s="130"/>
      <c r="K11" s="132" t="str">
        <f t="shared" si="1"/>
        <v/>
      </c>
      <c r="L11" s="130" t="str">
        <f>IF('Implied-Return Calculator'!S12="","",'Implied-Return Calculator'!S12)</f>
        <v/>
      </c>
      <c r="M11" s="130" t="str">
        <f>IF('Implied-Return Calculator'!T12="","",'Implied-Return Calculator'!T12)</f>
        <v/>
      </c>
      <c r="N11" s="130" t="str">
        <f>IF('Implied-Return Calculator'!U12="","",'Implied-Return Calculator'!U12)</f>
        <v/>
      </c>
      <c r="O11" s="130"/>
      <c r="P11" s="130"/>
      <c r="Q11" s="132" t="str">
        <f t="shared" si="2"/>
        <v/>
      </c>
      <c r="R11" s="131" t="str">
        <f t="shared" si="3"/>
        <v/>
      </c>
      <c r="S11" s="131" t="str">
        <f t="shared" si="4"/>
        <v/>
      </c>
    </row>
    <row r="12" spans="1:19" ht="15" customHeight="1" x14ac:dyDescent="0.35">
      <c r="A12" s="130" t="str">
        <f>IF(Scoring!A12="","",Scoring!A12)</f>
        <v>PG</v>
      </c>
      <c r="B12" s="131" t="str">
        <f>IF(Scoring!B12="","",Scoring!B12)</f>
        <v>Procter &amp; Gamble Co.</v>
      </c>
      <c r="C12" s="130" t="str">
        <f>IF(Scoring!AG12="","",IF(OR(Scoring!AG12="STRONG BUY",Scoring!AG12="BUY"),"PASS","FAIL"))</f>
        <v/>
      </c>
      <c r="D12" s="130" t="str">
        <f>IF(Scoring!AH12="","",IF(Scoring!AH12="OK","PASS","FAIL"))</f>
        <v>PASS</v>
      </c>
      <c r="E12" s="130" t="str">
        <f>IF(Scoring!AI12="","",IF(Scoring!AI12="OK","PASS","FAIL — mandatory review required"))</f>
        <v>PASS</v>
      </c>
      <c r="F12" s="130"/>
      <c r="G12" s="130"/>
      <c r="H12" s="131" t="str">
        <f t="shared" si="0"/>
        <v/>
      </c>
      <c r="I12" s="130"/>
      <c r="J12" s="130"/>
      <c r="K12" s="132" t="str">
        <f t="shared" si="1"/>
        <v/>
      </c>
      <c r="L12" s="130" t="str">
        <f>IF('Implied-Return Calculator'!S13="","",'Implied-Return Calculator'!S13)</f>
        <v/>
      </c>
      <c r="M12" s="130" t="str">
        <f>IF('Implied-Return Calculator'!T13="","",'Implied-Return Calculator'!T13)</f>
        <v/>
      </c>
      <c r="N12" s="130" t="str">
        <f>IF('Implied-Return Calculator'!U13="","",'Implied-Return Calculator'!U13)</f>
        <v/>
      </c>
      <c r="O12" s="130"/>
      <c r="P12" s="130"/>
      <c r="Q12" s="132" t="str">
        <f t="shared" si="2"/>
        <v/>
      </c>
      <c r="R12" s="131" t="str">
        <f t="shared" si="3"/>
        <v/>
      </c>
      <c r="S12" s="131" t="str">
        <f t="shared" si="4"/>
        <v/>
      </c>
    </row>
    <row r="13" spans="1:19" ht="15" customHeight="1" x14ac:dyDescent="0.35">
      <c r="A13" s="130" t="str">
        <f>IF(Scoring!A13="","",Scoring!A13)</f>
        <v>KGS</v>
      </c>
      <c r="B13" s="131" t="str">
        <f>IF(Scoring!B13="","",Scoring!B13)</f>
        <v>Kodiak Gas Services, Inc.</v>
      </c>
      <c r="C13" s="130" t="str">
        <f>IF(Scoring!AG13="","",IF(OR(Scoring!AG13="STRONG BUY",Scoring!AG13="BUY"),"PASS","FAIL"))</f>
        <v/>
      </c>
      <c r="D13" s="130" t="str">
        <f>IF(Scoring!AH13="","",IF(Scoring!AH13="OK","PASS","FAIL"))</f>
        <v>PASS</v>
      </c>
      <c r="E13" s="130" t="str">
        <f>IF(Scoring!AI13="","",IF(Scoring!AI13="OK","PASS","FAIL — mandatory review required"))</f>
        <v>PASS</v>
      </c>
      <c r="F13" s="130"/>
      <c r="G13" s="130"/>
      <c r="H13" s="131" t="str">
        <f t="shared" si="0"/>
        <v/>
      </c>
      <c r="I13" s="130"/>
      <c r="J13" s="130"/>
      <c r="K13" s="132" t="str">
        <f t="shared" si="1"/>
        <v/>
      </c>
      <c r="L13" s="130" t="str">
        <f>IF('Implied-Return Calculator'!S14="","",'Implied-Return Calculator'!S14)</f>
        <v/>
      </c>
      <c r="M13" s="130" t="str">
        <f>IF('Implied-Return Calculator'!T14="","",'Implied-Return Calculator'!T14)</f>
        <v/>
      </c>
      <c r="N13" s="130" t="str">
        <f>IF('Implied-Return Calculator'!U14="","",'Implied-Return Calculator'!U14)</f>
        <v/>
      </c>
      <c r="O13" s="130"/>
      <c r="P13" s="130"/>
      <c r="Q13" s="132" t="str">
        <f t="shared" si="2"/>
        <v/>
      </c>
      <c r="R13" s="131" t="str">
        <f t="shared" si="3"/>
        <v/>
      </c>
      <c r="S13" s="131" t="str">
        <f t="shared" si="4"/>
        <v/>
      </c>
    </row>
    <row r="14" spans="1:19" ht="15" customHeight="1" x14ac:dyDescent="0.35">
      <c r="A14" s="130" t="str">
        <f>IF(Scoring!A14="","",Scoring!A14)</f>
        <v>PLD</v>
      </c>
      <c r="B14" s="131" t="str">
        <f>IF(Scoring!B14="","",Scoring!B14)</f>
        <v>Prologis Inc. (REIT-adapted)</v>
      </c>
      <c r="C14" s="130" t="str">
        <f>IF(Scoring!AG14="","",IF(OR(Scoring!AG14="STRONG BUY",Scoring!AG14="BUY"),"PASS","FAIL"))</f>
        <v>PASS</v>
      </c>
      <c r="D14" s="130" t="str">
        <f>IF(Scoring!AH14="","",IF(Scoring!AH14="OK","PASS","FAIL"))</f>
        <v>PASS</v>
      </c>
      <c r="E14" s="130" t="str">
        <f>IF(Scoring!AI14="","",IF(Scoring!AI14="OK","PASS","FAIL — mandatory review required"))</f>
        <v>PASS</v>
      </c>
      <c r="F14" s="130"/>
      <c r="G14" s="130"/>
      <c r="H14" s="131" t="str">
        <f t="shared" si="0"/>
        <v/>
      </c>
      <c r="I14" s="130"/>
      <c r="J14" s="130"/>
      <c r="K14" s="132" t="str">
        <f t="shared" si="1"/>
        <v/>
      </c>
      <c r="L14" s="130" t="str">
        <f>IF('Implied-Return Calculator'!S15="","",'Implied-Return Calculator'!S15)</f>
        <v/>
      </c>
      <c r="M14" s="130" t="str">
        <f>IF('Implied-Return Calculator'!T15="","",'Implied-Return Calculator'!T15)</f>
        <v/>
      </c>
      <c r="N14" s="130" t="str">
        <f>IF('Implied-Return Calculator'!U15="","",'Implied-Return Calculator'!U15)</f>
        <v/>
      </c>
      <c r="O14" s="130"/>
      <c r="P14" s="130"/>
      <c r="Q14" s="132" t="str">
        <f t="shared" si="2"/>
        <v/>
      </c>
      <c r="R14" s="131" t="str">
        <f t="shared" si="3"/>
        <v/>
      </c>
      <c r="S14" s="131" t="str">
        <f t="shared" si="4"/>
        <v/>
      </c>
    </row>
    <row r="15" spans="1:19" ht="15" customHeight="1" x14ac:dyDescent="0.35">
      <c r="A15" s="130" t="str">
        <f>IF(Scoring!A15="","",Scoring!A15)</f>
        <v>VRT</v>
      </c>
      <c r="B15" s="131" t="str">
        <f>IF(Scoring!B15="","",Scoring!B15)</f>
        <v>Vertiv Holdings</v>
      </c>
      <c r="C15" s="130" t="str">
        <f>IF(Scoring!AG15="","",IF(OR(Scoring!AG15="STRONG BUY",Scoring!AG15="BUY"),"PASS","FAIL"))</f>
        <v>PASS</v>
      </c>
      <c r="D15" s="130" t="str">
        <f>IF(Scoring!AH15="","",IF(Scoring!AH15="OK","PASS","FAIL"))</f>
        <v>PASS</v>
      </c>
      <c r="E15" s="130" t="str">
        <f>IF(Scoring!AI15="","",IF(Scoring!AI15="OK","PASS","FAIL — mandatory review required"))</f>
        <v>PASS</v>
      </c>
      <c r="F15" s="130"/>
      <c r="G15" s="130"/>
      <c r="H15" s="131" t="str">
        <f t="shared" si="0"/>
        <v/>
      </c>
      <c r="I15" s="130"/>
      <c r="J15" s="130"/>
      <c r="K15" s="132" t="str">
        <f t="shared" si="1"/>
        <v/>
      </c>
      <c r="L15" s="130" t="str">
        <f>IF('Implied-Return Calculator'!S16="","",'Implied-Return Calculator'!S16)</f>
        <v/>
      </c>
      <c r="M15" s="130" t="str">
        <f>IF('Implied-Return Calculator'!T16="","",'Implied-Return Calculator'!T16)</f>
        <v/>
      </c>
      <c r="N15" s="130" t="str">
        <f>IF('Implied-Return Calculator'!U16="","",'Implied-Return Calculator'!U16)</f>
        <v/>
      </c>
      <c r="O15" s="130"/>
      <c r="P15" s="130"/>
      <c r="Q15" s="132" t="str">
        <f t="shared" si="2"/>
        <v/>
      </c>
      <c r="R15" s="131" t="str">
        <f t="shared" si="3"/>
        <v/>
      </c>
      <c r="S15" s="131" t="str">
        <f t="shared" si="4"/>
        <v/>
      </c>
    </row>
    <row r="16" spans="1:19" ht="15" customHeight="1" x14ac:dyDescent="0.35">
      <c r="A16" s="130" t="str">
        <f>IF(Scoring!A16="","",Scoring!A16)</f>
        <v>DPZ</v>
      </c>
      <c r="B16" s="131" t="str">
        <f>IF(Scoring!B16="","",Scoring!B16)</f>
        <v>Domino's Pizza Inc.</v>
      </c>
      <c r="C16" s="130" t="str">
        <f>IF(Scoring!AG16="","",IF(OR(Scoring!AG16="STRONG BUY",Scoring!AG16="BUY"),"PASS","FAIL"))</f>
        <v/>
      </c>
      <c r="D16" s="130" t="str">
        <f>IF(Scoring!AH16="","",IF(Scoring!AH16="OK","PASS","FAIL"))</f>
        <v>PASS</v>
      </c>
      <c r="E16" s="130" t="str">
        <f>IF(Scoring!AI16="","",IF(Scoring!AI16="OK","PASS","FAIL — mandatory review required"))</f>
        <v>PASS</v>
      </c>
      <c r="F16" s="130"/>
      <c r="G16" s="130"/>
      <c r="H16" s="131" t="str">
        <f t="shared" si="0"/>
        <v/>
      </c>
      <c r="I16" s="130"/>
      <c r="J16" s="130"/>
      <c r="K16" s="132" t="str">
        <f t="shared" si="1"/>
        <v/>
      </c>
      <c r="L16" s="130" t="str">
        <f>IF('Implied-Return Calculator'!S17="","",'Implied-Return Calculator'!S17)</f>
        <v/>
      </c>
      <c r="M16" s="130" t="str">
        <f>IF('Implied-Return Calculator'!T17="","",'Implied-Return Calculator'!T17)</f>
        <v/>
      </c>
      <c r="N16" s="130" t="str">
        <f>IF('Implied-Return Calculator'!U17="","",'Implied-Return Calculator'!U17)</f>
        <v/>
      </c>
      <c r="O16" s="130"/>
      <c r="P16" s="130"/>
      <c r="Q16" s="132" t="str">
        <f t="shared" si="2"/>
        <v/>
      </c>
      <c r="R16" s="131" t="str">
        <f t="shared" si="3"/>
        <v/>
      </c>
      <c r="S16" s="131" t="str">
        <f t="shared" si="4"/>
        <v/>
      </c>
    </row>
    <row r="17" spans="1:19" ht="15" customHeight="1" x14ac:dyDescent="0.35">
      <c r="A17" s="130" t="str">
        <f>IF(Scoring!A17="","",Scoring!A17)</f>
        <v>ASML</v>
      </c>
      <c r="B17" s="131" t="str">
        <f>IF(Scoring!B17="","",Scoring!B17)</f>
        <v>ASML Holding</v>
      </c>
      <c r="C17" s="130" t="str">
        <f>IF(Scoring!AG17="","",IF(OR(Scoring!AG17="STRONG BUY",Scoring!AG17="BUY"),"PASS","FAIL"))</f>
        <v>PASS</v>
      </c>
      <c r="D17" s="130" t="str">
        <f>IF(Scoring!AH17="","",IF(Scoring!AH17="OK","PASS","FAIL"))</f>
        <v>PASS</v>
      </c>
      <c r="E17" s="130" t="str">
        <f>IF(Scoring!AI17="","",IF(Scoring!AI17="OK","PASS","FAIL — mandatory review required"))</f>
        <v>PASS</v>
      </c>
      <c r="F17" s="130"/>
      <c r="G17" s="130"/>
      <c r="H17" s="131" t="str">
        <f t="shared" si="0"/>
        <v/>
      </c>
      <c r="I17" s="130"/>
      <c r="J17" s="130"/>
      <c r="K17" s="132" t="str">
        <f t="shared" si="1"/>
        <v/>
      </c>
      <c r="L17" s="130" t="str">
        <f>IF('Implied-Return Calculator'!S18="","",'Implied-Return Calculator'!S18)</f>
        <v/>
      </c>
      <c r="M17" s="130" t="str">
        <f>IF('Implied-Return Calculator'!T18="","",'Implied-Return Calculator'!T18)</f>
        <v/>
      </c>
      <c r="N17" s="130" t="str">
        <f>IF('Implied-Return Calculator'!U18="","",'Implied-Return Calculator'!U18)</f>
        <v/>
      </c>
      <c r="O17" s="130"/>
      <c r="P17" s="130"/>
      <c r="Q17" s="132" t="str">
        <f t="shared" si="2"/>
        <v/>
      </c>
      <c r="R17" s="131" t="str">
        <f t="shared" si="3"/>
        <v/>
      </c>
      <c r="S17" s="131" t="str">
        <f t="shared" si="4"/>
        <v/>
      </c>
    </row>
    <row r="18" spans="1:19" ht="15" customHeight="1" x14ac:dyDescent="0.35">
      <c r="A18" s="130" t="str">
        <f>IF(Scoring!A18="","",Scoring!A18)</f>
        <v>YUM</v>
      </c>
      <c r="B18" s="131" t="str">
        <f>IF(Scoring!B18="","",Scoring!B18)</f>
        <v>Yum! Brands Inc.</v>
      </c>
      <c r="C18" s="130" t="str">
        <f>IF(Scoring!AG18="","",IF(OR(Scoring!AG18="STRONG BUY",Scoring!AG18="BUY"),"PASS","FAIL"))</f>
        <v/>
      </c>
      <c r="D18" s="130" t="str">
        <f>IF(Scoring!AH18="","",IF(Scoring!AH18="OK","PASS","FAIL"))</f>
        <v>PASS</v>
      </c>
      <c r="E18" s="130" t="str">
        <f>IF(Scoring!AI18="","",IF(Scoring!AI18="OK","PASS","FAIL — mandatory review required"))</f>
        <v>PASS</v>
      </c>
      <c r="F18" s="130"/>
      <c r="G18" s="130"/>
      <c r="H18" s="131" t="str">
        <f t="shared" si="0"/>
        <v/>
      </c>
      <c r="I18" s="130"/>
      <c r="J18" s="130"/>
      <c r="K18" s="132" t="str">
        <f t="shared" si="1"/>
        <v/>
      </c>
      <c r="L18" s="130" t="str">
        <f>IF('Implied-Return Calculator'!S19="","",'Implied-Return Calculator'!S19)</f>
        <v/>
      </c>
      <c r="M18" s="130" t="str">
        <f>IF('Implied-Return Calculator'!T19="","",'Implied-Return Calculator'!T19)</f>
        <v/>
      </c>
      <c r="N18" s="130" t="str">
        <f>IF('Implied-Return Calculator'!U19="","",'Implied-Return Calculator'!U19)</f>
        <v/>
      </c>
      <c r="O18" s="130"/>
      <c r="P18" s="130"/>
      <c r="Q18" s="132" t="str">
        <f t="shared" si="2"/>
        <v/>
      </c>
      <c r="R18" s="131" t="str">
        <f t="shared" si="3"/>
        <v/>
      </c>
      <c r="S18" s="131" t="str">
        <f t="shared" si="4"/>
        <v/>
      </c>
    </row>
    <row r="19" spans="1:19" ht="15" customHeight="1" x14ac:dyDescent="0.35">
      <c r="A19" s="130" t="str">
        <f>IF(Scoring!A19="","",Scoring!A19)</f>
        <v>KLAC</v>
      </c>
      <c r="B19" s="131" t="str">
        <f>IF(Scoring!B19="","",Scoring!B19)</f>
        <v>KLA Corporation</v>
      </c>
      <c r="C19" s="130" t="str">
        <f>IF(Scoring!AG19="","",IF(OR(Scoring!AG19="STRONG BUY",Scoring!AG19="BUY"),"PASS","FAIL"))</f>
        <v>PASS</v>
      </c>
      <c r="D19" s="130" t="str">
        <f>IF(Scoring!AH19="","",IF(Scoring!AH19="OK","PASS","FAIL"))</f>
        <v>PASS</v>
      </c>
      <c r="E19" s="130" t="str">
        <f>IF(Scoring!AI19="","",IF(Scoring!AI19="OK","PASS","FAIL — mandatory review required"))</f>
        <v>PASS</v>
      </c>
      <c r="F19" s="130" t="s">
        <v>213</v>
      </c>
      <c r="G19" s="130" t="s">
        <v>213</v>
      </c>
      <c r="H19" s="131" t="str">
        <f t="shared" si="0"/>
        <v>Standard initial size</v>
      </c>
      <c r="I19" s="130" t="s">
        <v>215</v>
      </c>
      <c r="J19" s="130"/>
      <c r="K19" s="132" t="str">
        <f t="shared" si="1"/>
        <v>PASS</v>
      </c>
      <c r="L19" s="130" t="str">
        <f>IF('Implied-Return Calculator'!S20="","",'Implied-Return Calculator'!S20)</f>
        <v>FAIL</v>
      </c>
      <c r="M19" s="130" t="str">
        <f>IF('Implied-Return Calculator'!T20="","",'Implied-Return Calculator'!T20)</f>
        <v>PASS</v>
      </c>
      <c r="N19" s="130" t="str">
        <f>IF('Implied-Return Calculator'!U20="","",'Implied-Return Calculator'!U20)</f>
        <v>OK</v>
      </c>
      <c r="O19" s="130">
        <v>61.48</v>
      </c>
      <c r="P19" s="130">
        <v>7.0000000000000007E-2</v>
      </c>
      <c r="Q19" s="132" t="str">
        <f t="shared" si="2"/>
        <v>FAIL — exceeds 50x, exception not met</v>
      </c>
      <c r="R19" s="131" t="str">
        <f t="shared" si="3"/>
        <v>NO — see failing rule(s)</v>
      </c>
      <c r="S19" s="131" t="str">
        <f t="shared" si="4"/>
        <v>DO NOT ENTER — resolve failing Entry Rule(s) above first</v>
      </c>
    </row>
    <row r="20" spans="1:19" ht="15" customHeight="1" x14ac:dyDescent="0.35">
      <c r="A20" s="130" t="str">
        <f>IF(Scoring!A20="","",Scoring!A20)</f>
        <v>CMG</v>
      </c>
      <c r="B20" s="131" t="str">
        <f>IF(Scoring!B20="","",Scoring!B20)</f>
        <v>Chipotle Mexican Grill</v>
      </c>
      <c r="C20" s="130" t="str">
        <f>IF(Scoring!AG20="","",IF(OR(Scoring!AG20="STRONG BUY",Scoring!AG20="BUY"),"PASS","FAIL"))</f>
        <v/>
      </c>
      <c r="D20" s="130" t="str">
        <f>IF(Scoring!AH20="","",IF(Scoring!AH20="OK","PASS","FAIL"))</f>
        <v>PASS</v>
      </c>
      <c r="E20" s="130" t="str">
        <f>IF(Scoring!AI20="","",IF(Scoring!AI20="OK","PASS","FAIL — mandatory review required"))</f>
        <v>PASS</v>
      </c>
      <c r="F20" s="130" t="s">
        <v>213</v>
      </c>
      <c r="G20" s="130" t="s">
        <v>213</v>
      </c>
      <c r="H20" s="131" t="str">
        <f t="shared" si="0"/>
        <v>Standard initial size</v>
      </c>
      <c r="I20" s="130" t="s">
        <v>213</v>
      </c>
      <c r="J20" s="130" t="s">
        <v>213</v>
      </c>
      <c r="K20" s="132" t="str">
        <f t="shared" si="1"/>
        <v>PASS — risk documented in thesis</v>
      </c>
      <c r="L20" s="130" t="str">
        <f>IF('Implied-Return Calculator'!S21="","",'Implied-Return Calculator'!S21)</f>
        <v>PASS</v>
      </c>
      <c r="M20" s="130" t="str">
        <f>IF('Implied-Return Calculator'!T21="","",'Implied-Return Calculator'!T21)</f>
        <v>PASS</v>
      </c>
      <c r="N20" s="130" t="str">
        <f>IF('Implied-Return Calculator'!U21="","",'Implied-Return Calculator'!U21)</f>
        <v>OK</v>
      </c>
      <c r="O20" s="130">
        <v>34.36</v>
      </c>
      <c r="P20" s="130">
        <v>0.11</v>
      </c>
      <c r="Q20" s="132" t="str">
        <f t="shared" si="2"/>
        <v>PASS — growth+bear case exception met</v>
      </c>
      <c r="R20" s="131" t="str">
        <f t="shared" si="3"/>
        <v/>
      </c>
      <c r="S20" s="131" t="str">
        <f t="shared" si="4"/>
        <v/>
      </c>
    </row>
    <row r="21" spans="1:19" ht="15" customHeight="1" x14ac:dyDescent="0.35">
      <c r="A21" s="130" t="str">
        <f>IF(Scoring!A21="","",Scoring!A21)</f>
        <v>AVGO</v>
      </c>
      <c r="B21" s="131" t="str">
        <f>IF(Scoring!B21="","",Scoring!B21)</f>
        <v>Broadcom Inc.</v>
      </c>
      <c r="C21" s="130" t="str">
        <f>IF(Scoring!AG21="","",IF(OR(Scoring!AG21="STRONG BUY",Scoring!AG21="BUY"),"PASS","FAIL"))</f>
        <v>PASS</v>
      </c>
      <c r="D21" s="130" t="str">
        <f>IF(Scoring!AH21="","",IF(Scoring!AH21="OK","PASS","FAIL"))</f>
        <v>PASS</v>
      </c>
      <c r="E21" s="130" t="str">
        <f>IF(Scoring!AI21="","",IF(Scoring!AI21="OK","PASS","FAIL — mandatory review required"))</f>
        <v>PASS</v>
      </c>
      <c r="F21" s="130"/>
      <c r="G21" s="130"/>
      <c r="H21" s="131" t="str">
        <f t="shared" si="0"/>
        <v/>
      </c>
      <c r="I21" s="130"/>
      <c r="J21" s="130"/>
      <c r="K21" s="132" t="str">
        <f t="shared" si="1"/>
        <v/>
      </c>
      <c r="L21" s="130" t="str">
        <f>IF('Implied-Return Calculator'!S22="","",'Implied-Return Calculator'!S22)</f>
        <v/>
      </c>
      <c r="M21" s="130" t="str">
        <f>IF('Implied-Return Calculator'!T22="","",'Implied-Return Calculator'!T22)</f>
        <v/>
      </c>
      <c r="N21" s="130" t="str">
        <f>IF('Implied-Return Calculator'!U22="","",'Implied-Return Calculator'!U22)</f>
        <v/>
      </c>
      <c r="O21" s="130"/>
      <c r="P21" s="130"/>
      <c r="Q21" s="132" t="str">
        <f t="shared" si="2"/>
        <v/>
      </c>
      <c r="R21" s="131" t="str">
        <f t="shared" si="3"/>
        <v/>
      </c>
      <c r="S21" s="131" t="str">
        <f t="shared" si="4"/>
        <v/>
      </c>
    </row>
    <row r="22" spans="1:19" ht="15" customHeight="1" x14ac:dyDescent="0.35">
      <c r="A22" s="130" t="str">
        <f>IF(Scoring!A22="","",Scoring!A22)</f>
        <v>V</v>
      </c>
      <c r="B22" s="131" t="str">
        <f>IF(Scoring!B22="","",Scoring!B22)</f>
        <v>Visa Inc.</v>
      </c>
      <c r="C22" s="130" t="str">
        <f>IF(Scoring!AG22="","",IF(OR(Scoring!AG22="STRONG BUY",Scoring!AG22="BUY"),"PASS","FAIL"))</f>
        <v>PASS</v>
      </c>
      <c r="D22" s="130" t="str">
        <f>IF(Scoring!AH22="","",IF(Scoring!AH22="OK","PASS","FAIL"))</f>
        <v>PASS</v>
      </c>
      <c r="E22" s="130" t="str">
        <f>IF(Scoring!AI22="","",IF(Scoring!AI22="OK","PASS","FAIL — mandatory review required"))</f>
        <v>PASS</v>
      </c>
      <c r="F22" s="130"/>
      <c r="G22" s="130"/>
      <c r="H22" s="131" t="str">
        <f t="shared" si="0"/>
        <v/>
      </c>
      <c r="I22" s="130"/>
      <c r="J22" s="130"/>
      <c r="K22" s="132" t="str">
        <f t="shared" si="1"/>
        <v/>
      </c>
      <c r="L22" s="130" t="str">
        <f>IF('Implied-Return Calculator'!S23="","",'Implied-Return Calculator'!S23)</f>
        <v/>
      </c>
      <c r="M22" s="130" t="str">
        <f>IF('Implied-Return Calculator'!T23="","",'Implied-Return Calculator'!T23)</f>
        <v/>
      </c>
      <c r="N22" s="130" t="str">
        <f>IF('Implied-Return Calculator'!U23="","",'Implied-Return Calculator'!U23)</f>
        <v/>
      </c>
      <c r="O22" s="130"/>
      <c r="P22" s="130"/>
      <c r="Q22" s="132" t="str">
        <f t="shared" si="2"/>
        <v/>
      </c>
      <c r="R22" s="131" t="str">
        <f t="shared" si="3"/>
        <v/>
      </c>
      <c r="S22" s="131" t="str">
        <f t="shared" si="4"/>
        <v/>
      </c>
    </row>
    <row r="23" spans="1:19" ht="15" customHeight="1" x14ac:dyDescent="0.35">
      <c r="A23" s="130" t="str">
        <f>IF(Scoring!A23="","",Scoring!A23)</f>
        <v>CRWD</v>
      </c>
      <c r="B23" s="131" t="str">
        <f>IF(Scoring!B23="","",Scoring!B23)</f>
        <v>CrowdStrike Holdings</v>
      </c>
      <c r="C23" s="130" t="str">
        <f>IF(Scoring!AG23="","",IF(OR(Scoring!AG23="STRONG BUY",Scoring!AG23="BUY"),"PASS","FAIL"))</f>
        <v>FAIL</v>
      </c>
      <c r="D23" s="130" t="str">
        <f>IF(Scoring!AH23="","",IF(Scoring!AH23="OK","PASS","FAIL"))</f>
        <v>PASS</v>
      </c>
      <c r="E23" s="130" t="str">
        <f>IF(Scoring!AI23="","",IF(Scoring!AI23="OK","PASS","FAIL — mandatory review required"))</f>
        <v>PASS</v>
      </c>
      <c r="F23" s="130"/>
      <c r="G23" s="130"/>
      <c r="H23" s="131" t="str">
        <f t="shared" si="0"/>
        <v/>
      </c>
      <c r="I23" s="130"/>
      <c r="J23" s="130"/>
      <c r="K23" s="132" t="str">
        <f t="shared" si="1"/>
        <v/>
      </c>
      <c r="L23" s="130" t="str">
        <f>IF('Implied-Return Calculator'!S24="","",'Implied-Return Calculator'!S24)</f>
        <v/>
      </c>
      <c r="M23" s="130" t="str">
        <f>IF('Implied-Return Calculator'!T24="","",'Implied-Return Calculator'!T24)</f>
        <v/>
      </c>
      <c r="N23" s="130" t="str">
        <f>IF('Implied-Return Calculator'!U24="","",'Implied-Return Calculator'!U24)</f>
        <v/>
      </c>
      <c r="O23" s="130"/>
      <c r="P23" s="130"/>
      <c r="Q23" s="132" t="str">
        <f t="shared" si="2"/>
        <v/>
      </c>
      <c r="R23" s="131" t="str">
        <f t="shared" si="3"/>
        <v/>
      </c>
      <c r="S23" s="131" t="str">
        <f t="shared" si="4"/>
        <v/>
      </c>
    </row>
    <row r="24" spans="1:19" ht="15" customHeight="1" x14ac:dyDescent="0.35">
      <c r="A24" s="130" t="str">
        <f>IF(Scoring!A24="","",Scoring!A24)</f>
        <v>ETN</v>
      </c>
      <c r="B24" s="131" t="str">
        <f>IF(Scoring!B24="","",Scoring!B24)</f>
        <v>Eaton Corporation plc</v>
      </c>
      <c r="C24" s="130" t="str">
        <f>IF(Scoring!AG24="","",IF(OR(Scoring!AG24="STRONG BUY",Scoring!AG24="BUY"),"PASS","FAIL"))</f>
        <v/>
      </c>
      <c r="D24" s="130" t="str">
        <f>IF(Scoring!AH24="","",IF(Scoring!AH24="OK","PASS","FAIL"))</f>
        <v>PASS</v>
      </c>
      <c r="E24" s="130" t="str">
        <f>IF(Scoring!AI24="","",IF(Scoring!AI24="OK","PASS","FAIL — mandatory review required"))</f>
        <v>PASS</v>
      </c>
      <c r="F24" s="130"/>
      <c r="G24" s="130"/>
      <c r="H24" s="131" t="str">
        <f t="shared" si="0"/>
        <v/>
      </c>
      <c r="I24" s="130"/>
      <c r="J24" s="130"/>
      <c r="K24" s="132" t="str">
        <f t="shared" si="1"/>
        <v/>
      </c>
      <c r="L24" s="130" t="str">
        <f>IF('Implied-Return Calculator'!S25="","",'Implied-Return Calculator'!S25)</f>
        <v/>
      </c>
      <c r="M24" s="130" t="str">
        <f>IF('Implied-Return Calculator'!T25="","",'Implied-Return Calculator'!T25)</f>
        <v/>
      </c>
      <c r="N24" s="130" t="str">
        <f>IF('Implied-Return Calculator'!U25="","",'Implied-Return Calculator'!U25)</f>
        <v/>
      </c>
      <c r="O24" s="130"/>
      <c r="P24" s="130"/>
      <c r="Q24" s="132" t="str">
        <f t="shared" si="2"/>
        <v/>
      </c>
      <c r="R24" s="131" t="str">
        <f t="shared" si="3"/>
        <v/>
      </c>
      <c r="S24" s="131" t="str">
        <f t="shared" si="4"/>
        <v/>
      </c>
    </row>
    <row r="25" spans="1:19" ht="15" customHeight="1" x14ac:dyDescent="0.35">
      <c r="A25" s="130" t="str">
        <f>IF(Scoring!A25="","",Scoring!A25)</f>
        <v>ABT</v>
      </c>
      <c r="B25" s="131" t="str">
        <f>IF(Scoring!B25="","",Scoring!B25)</f>
        <v>Abbott Laboratories</v>
      </c>
      <c r="C25" s="130" t="str">
        <f>IF(Scoring!AG25="","",IF(OR(Scoring!AG25="STRONG BUY",Scoring!AG25="BUY"),"PASS","FAIL"))</f>
        <v>PASS</v>
      </c>
      <c r="D25" s="130" t="str">
        <f>IF(Scoring!AH25="","",IF(Scoring!AH25="OK","PASS","FAIL"))</f>
        <v>PASS</v>
      </c>
      <c r="E25" s="130" t="str">
        <f>IF(Scoring!AI25="","",IF(Scoring!AI25="OK","PASS","FAIL — mandatory review required"))</f>
        <v>PASS</v>
      </c>
      <c r="F25" s="130"/>
      <c r="G25" s="130"/>
      <c r="H25" s="131" t="str">
        <f t="shared" si="0"/>
        <v/>
      </c>
      <c r="I25" s="130"/>
      <c r="J25" s="130"/>
      <c r="K25" s="132" t="str">
        <f t="shared" si="1"/>
        <v/>
      </c>
      <c r="L25" s="130" t="str">
        <f>IF('Implied-Return Calculator'!S26="","",'Implied-Return Calculator'!S26)</f>
        <v/>
      </c>
      <c r="M25" s="130" t="str">
        <f>IF('Implied-Return Calculator'!T26="","",'Implied-Return Calculator'!T26)</f>
        <v/>
      </c>
      <c r="N25" s="130" t="str">
        <f>IF('Implied-Return Calculator'!U26="","",'Implied-Return Calculator'!U26)</f>
        <v/>
      </c>
      <c r="O25" s="130"/>
      <c r="P25" s="130"/>
      <c r="Q25" s="132" t="str">
        <f t="shared" si="2"/>
        <v/>
      </c>
      <c r="R25" s="131" t="str">
        <f t="shared" si="3"/>
        <v/>
      </c>
      <c r="S25" s="131" t="str">
        <f t="shared" si="4"/>
        <v/>
      </c>
    </row>
    <row r="26" spans="1:19" ht="15" customHeight="1" x14ac:dyDescent="0.35">
      <c r="A26" s="130" t="str">
        <f>IF(Scoring!A26="","",Scoring!A26)</f>
        <v>SLB</v>
      </c>
      <c r="B26" s="131" t="str">
        <f>IF(Scoring!B26="","",Scoring!B26)</f>
        <v>SLB N.V.</v>
      </c>
      <c r="C26" s="130" t="str">
        <f>IF(Scoring!AG26="","",IF(OR(Scoring!AG26="STRONG BUY",Scoring!AG26="BUY"),"PASS","FAIL"))</f>
        <v>PASS</v>
      </c>
      <c r="D26" s="130" t="str">
        <f>IF(Scoring!AH26="","",IF(Scoring!AH26="OK","PASS","FAIL"))</f>
        <v>PASS</v>
      </c>
      <c r="E26" s="130" t="str">
        <f>IF(Scoring!AI26="","",IF(Scoring!AI26="OK","PASS","FAIL — mandatory review required"))</f>
        <v>PASS</v>
      </c>
      <c r="F26" s="130"/>
      <c r="G26" s="130"/>
      <c r="H26" s="131" t="str">
        <f t="shared" si="0"/>
        <v/>
      </c>
      <c r="I26" s="130"/>
      <c r="J26" s="130"/>
      <c r="K26" s="132" t="str">
        <f t="shared" si="1"/>
        <v/>
      </c>
      <c r="L26" s="130" t="str">
        <f>IF('Implied-Return Calculator'!S27="","",'Implied-Return Calculator'!S27)</f>
        <v/>
      </c>
      <c r="M26" s="130" t="str">
        <f>IF('Implied-Return Calculator'!T27="","",'Implied-Return Calculator'!T27)</f>
        <v/>
      </c>
      <c r="N26" s="130" t="str">
        <f>IF('Implied-Return Calculator'!U27="","",'Implied-Return Calculator'!U27)</f>
        <v/>
      </c>
      <c r="O26" s="130"/>
      <c r="P26" s="130"/>
      <c r="Q26" s="132" t="str">
        <f t="shared" si="2"/>
        <v/>
      </c>
      <c r="R26" s="131" t="str">
        <f t="shared" si="3"/>
        <v/>
      </c>
      <c r="S26" s="131" t="str">
        <f t="shared" si="4"/>
        <v/>
      </c>
    </row>
    <row r="27" spans="1:19" ht="15" customHeight="1" x14ac:dyDescent="0.35">
      <c r="A27" s="130" t="str">
        <f>IF(Scoring!A27="","",Scoring!A27)</f>
        <v>VRTX</v>
      </c>
      <c r="B27" s="131" t="str">
        <f>IF(Scoring!B27="","",Scoring!B27)</f>
        <v>Vertex Pharmaceuticals</v>
      </c>
      <c r="C27" s="130" t="str">
        <f>IF(Scoring!AG27="","",IF(OR(Scoring!AG27="STRONG BUY",Scoring!AG27="BUY"),"PASS","FAIL"))</f>
        <v>PASS</v>
      </c>
      <c r="D27" s="130" t="str">
        <f>IF(Scoring!AH27="","",IF(Scoring!AH27="OK","PASS","FAIL"))</f>
        <v>PASS</v>
      </c>
      <c r="E27" s="130" t="str">
        <f>IF(Scoring!AI27="","",IF(Scoring!AI27="OK","PASS","FAIL — mandatory review required"))</f>
        <v>PASS</v>
      </c>
      <c r="F27" s="130"/>
      <c r="G27" s="130"/>
      <c r="H27" s="131" t="str">
        <f t="shared" si="0"/>
        <v/>
      </c>
      <c r="I27" s="130"/>
      <c r="J27" s="130"/>
      <c r="K27" s="132" t="str">
        <f t="shared" si="1"/>
        <v/>
      </c>
      <c r="L27" s="130" t="str">
        <f>IF('Implied-Return Calculator'!S28="","",'Implied-Return Calculator'!S28)</f>
        <v/>
      </c>
      <c r="M27" s="130" t="str">
        <f>IF('Implied-Return Calculator'!T28="","",'Implied-Return Calculator'!T28)</f>
        <v/>
      </c>
      <c r="N27" s="130" t="str">
        <f>IF('Implied-Return Calculator'!U28="","",'Implied-Return Calculator'!U28)</f>
        <v/>
      </c>
      <c r="O27" s="130"/>
      <c r="P27" s="130"/>
      <c r="Q27" s="132" t="str">
        <f t="shared" si="2"/>
        <v/>
      </c>
      <c r="R27" s="131" t="str">
        <f t="shared" si="3"/>
        <v/>
      </c>
      <c r="S27" s="131" t="str">
        <f t="shared" si="4"/>
        <v/>
      </c>
    </row>
    <row r="28" spans="1:19" ht="15" customHeight="1" x14ac:dyDescent="0.35">
      <c r="A28" s="130" t="str">
        <f>IF(Scoring!A28="","",Scoring!A28)</f>
        <v>ETSY</v>
      </c>
      <c r="B28" s="131" t="str">
        <f>IF(Scoring!B28="","",Scoring!B28)</f>
        <v>Etsy Inc.</v>
      </c>
      <c r="C28" s="130" t="str">
        <f>IF(Scoring!AG28="","",IF(OR(Scoring!AG28="STRONG BUY",Scoring!AG28="BUY"),"PASS","FAIL"))</f>
        <v/>
      </c>
      <c r="D28" s="130" t="str">
        <f>IF(Scoring!AH28="","",IF(Scoring!AH28="OK","PASS","FAIL"))</f>
        <v>PASS</v>
      </c>
      <c r="E28" s="130" t="str">
        <f>IF(Scoring!AI28="","",IF(Scoring!AI28="OK","PASS","FAIL — mandatory review required"))</f>
        <v>PASS</v>
      </c>
      <c r="F28" s="130"/>
      <c r="G28" s="130"/>
      <c r="H28" s="131" t="str">
        <f t="shared" si="0"/>
        <v/>
      </c>
      <c r="I28" s="130"/>
      <c r="J28" s="130"/>
      <c r="K28" s="132" t="str">
        <f t="shared" si="1"/>
        <v/>
      </c>
      <c r="L28" s="130" t="str">
        <f>IF('Implied-Return Calculator'!S29="","",'Implied-Return Calculator'!S29)</f>
        <v/>
      </c>
      <c r="M28" s="130" t="str">
        <f>IF('Implied-Return Calculator'!T29="","",'Implied-Return Calculator'!T29)</f>
        <v/>
      </c>
      <c r="N28" s="130" t="str">
        <f>IF('Implied-Return Calculator'!U29="","",'Implied-Return Calculator'!U29)</f>
        <v/>
      </c>
      <c r="O28" s="130"/>
      <c r="P28" s="130"/>
      <c r="Q28" s="132" t="str">
        <f t="shared" si="2"/>
        <v/>
      </c>
      <c r="R28" s="131" t="str">
        <f t="shared" si="3"/>
        <v/>
      </c>
      <c r="S28" s="131" t="str">
        <f t="shared" si="4"/>
        <v/>
      </c>
    </row>
    <row r="29" spans="1:19" ht="15" customHeight="1" x14ac:dyDescent="0.35">
      <c r="A29" s="130" t="str">
        <f>IF(Scoring!A29="","",Scoring!A29)</f>
        <v>MU</v>
      </c>
      <c r="B29" s="131" t="str">
        <f>IF(Scoring!B29="","",Scoring!B29)</f>
        <v>Micron Technology</v>
      </c>
      <c r="C29" s="130" t="str">
        <f>IF(Scoring!AG29="","",IF(OR(Scoring!AG29="STRONG BUY",Scoring!AG29="BUY"),"PASS","FAIL"))</f>
        <v>PASS</v>
      </c>
      <c r="D29" s="130" t="str">
        <f>IF(Scoring!AH29="","",IF(Scoring!AH29="OK","PASS","FAIL"))</f>
        <v>PASS</v>
      </c>
      <c r="E29" s="130" t="str">
        <f>IF(Scoring!AI29="","",IF(Scoring!AI29="OK","PASS","FAIL — mandatory review required"))</f>
        <v>PASS</v>
      </c>
      <c r="F29" s="130"/>
      <c r="G29" s="130"/>
      <c r="H29" s="131" t="str">
        <f t="shared" si="0"/>
        <v/>
      </c>
      <c r="I29" s="130"/>
      <c r="J29" s="130"/>
      <c r="K29" s="132" t="str">
        <f t="shared" si="1"/>
        <v/>
      </c>
      <c r="L29" s="130" t="str">
        <f>IF('Implied-Return Calculator'!S30="","",'Implied-Return Calculator'!S30)</f>
        <v/>
      </c>
      <c r="M29" s="130" t="str">
        <f>IF('Implied-Return Calculator'!T30="","",'Implied-Return Calculator'!T30)</f>
        <v/>
      </c>
      <c r="N29" s="130" t="str">
        <f>IF('Implied-Return Calculator'!U30="","",'Implied-Return Calculator'!U30)</f>
        <v/>
      </c>
      <c r="O29" s="130"/>
      <c r="P29" s="130"/>
      <c r="Q29" s="132" t="str">
        <f t="shared" si="2"/>
        <v/>
      </c>
      <c r="R29" s="131" t="str">
        <f t="shared" si="3"/>
        <v/>
      </c>
      <c r="S29" s="131" t="str">
        <f t="shared" si="4"/>
        <v/>
      </c>
    </row>
    <row r="30" spans="1:19" ht="15" customHeight="1" x14ac:dyDescent="0.35">
      <c r="A30" s="130" t="str">
        <f>IF(Scoring!A30="","",Scoring!A30)</f>
        <v>PH</v>
      </c>
      <c r="B30" s="131" t="str">
        <f>IF(Scoring!B30="","",Scoring!B30)</f>
        <v>Parker-Hannifin Corporation</v>
      </c>
      <c r="C30" s="130" t="str">
        <f>IF(Scoring!AG30="","",IF(OR(Scoring!AG30="STRONG BUY",Scoring!AG30="BUY"),"PASS","FAIL"))</f>
        <v/>
      </c>
      <c r="D30" s="130" t="str">
        <f>IF(Scoring!AH30="","",IF(Scoring!AH30="OK","PASS","FAIL"))</f>
        <v>PASS</v>
      </c>
      <c r="E30" s="130" t="str">
        <f>IF(Scoring!AI30="","",IF(Scoring!AI30="OK","PASS","FAIL — mandatory review required"))</f>
        <v>PASS</v>
      </c>
      <c r="F30" s="130"/>
      <c r="G30" s="130"/>
      <c r="H30" s="131" t="str">
        <f t="shared" si="0"/>
        <v/>
      </c>
      <c r="I30" s="130"/>
      <c r="J30" s="130"/>
      <c r="K30" s="132" t="str">
        <f t="shared" si="1"/>
        <v/>
      </c>
      <c r="L30" s="130" t="str">
        <f>IF('Implied-Return Calculator'!S31="","",'Implied-Return Calculator'!S31)</f>
        <v/>
      </c>
      <c r="M30" s="130" t="str">
        <f>IF('Implied-Return Calculator'!T31="","",'Implied-Return Calculator'!T31)</f>
        <v/>
      </c>
      <c r="N30" s="130" t="str">
        <f>IF('Implied-Return Calculator'!U31="","",'Implied-Return Calculator'!U31)</f>
        <v/>
      </c>
      <c r="O30" s="130"/>
      <c r="P30" s="130"/>
      <c r="Q30" s="132" t="str">
        <f t="shared" si="2"/>
        <v/>
      </c>
      <c r="R30" s="131" t="str">
        <f t="shared" si="3"/>
        <v/>
      </c>
      <c r="S30" s="131" t="str">
        <f t="shared" si="4"/>
        <v/>
      </c>
    </row>
    <row r="31" spans="1:19" ht="15" customHeight="1" x14ac:dyDescent="0.35">
      <c r="A31" s="130" t="str">
        <f>IF(Scoring!A31="","",Scoring!A31)</f>
        <v>ET</v>
      </c>
      <c r="B31" s="131" t="str">
        <f>IF(Scoring!B31="","",Scoring!B31)</f>
        <v>Energy Transfer LP</v>
      </c>
      <c r="C31" s="130" t="str">
        <f>IF(Scoring!AG31="","",IF(OR(Scoring!AG31="STRONG BUY",Scoring!AG31="BUY"),"PASS","FAIL"))</f>
        <v/>
      </c>
      <c r="D31" s="130" t="str">
        <f>IF(Scoring!AH31="","",IF(Scoring!AH31="OK","PASS","FAIL"))</f>
        <v>PASS</v>
      </c>
      <c r="E31" s="132" t="str">
        <f>IF(Scoring!AI31="","",IF(Scoring!AI31="OK","PASS","FAIL — mandatory review required"))</f>
        <v>FAIL — mandatory review required</v>
      </c>
      <c r="F31" s="130"/>
      <c r="G31" s="130"/>
      <c r="H31" s="131" t="str">
        <f t="shared" si="0"/>
        <v/>
      </c>
      <c r="I31" s="130"/>
      <c r="J31" s="130"/>
      <c r="K31" s="132" t="str">
        <f t="shared" si="1"/>
        <v/>
      </c>
      <c r="L31" s="130" t="str">
        <f>IF('Implied-Return Calculator'!S32="","",'Implied-Return Calculator'!S32)</f>
        <v/>
      </c>
      <c r="M31" s="130" t="str">
        <f>IF('Implied-Return Calculator'!T32="","",'Implied-Return Calculator'!T32)</f>
        <v/>
      </c>
      <c r="N31" s="130" t="str">
        <f>IF('Implied-Return Calculator'!U32="","",'Implied-Return Calculator'!U32)</f>
        <v/>
      </c>
      <c r="O31" s="130"/>
      <c r="P31" s="130"/>
      <c r="Q31" s="132" t="str">
        <f t="shared" si="2"/>
        <v/>
      </c>
      <c r="R31" s="131" t="str">
        <f t="shared" si="3"/>
        <v/>
      </c>
      <c r="S31" s="131" t="str">
        <f t="shared" si="4"/>
        <v/>
      </c>
    </row>
    <row r="32" spans="1:19" ht="15" customHeight="1" x14ac:dyDescent="0.35">
      <c r="A32" s="130" t="str">
        <f>IF(Scoring!A32="","",Scoring!A32)</f>
        <v>LIN</v>
      </c>
      <c r="B32" s="131" t="str">
        <f>IF(Scoring!B32="","",Scoring!B32)</f>
        <v>Linde plc</v>
      </c>
      <c r="C32" s="130" t="str">
        <f>IF(Scoring!AG32="","",IF(OR(Scoring!AG32="STRONG BUY",Scoring!AG32="BUY"),"PASS","FAIL"))</f>
        <v/>
      </c>
      <c r="D32" s="130" t="str">
        <f>IF(Scoring!AH32="","",IF(Scoring!AH32="OK","PASS","FAIL"))</f>
        <v>PASS</v>
      </c>
      <c r="E32" s="130" t="str">
        <f>IF(Scoring!AI32="","",IF(Scoring!AI32="OK","PASS","FAIL — mandatory review required"))</f>
        <v>PASS</v>
      </c>
      <c r="F32" s="130"/>
      <c r="G32" s="130"/>
      <c r="H32" s="131" t="str">
        <f t="shared" si="0"/>
        <v/>
      </c>
      <c r="I32" s="130"/>
      <c r="J32" s="130"/>
      <c r="K32" s="132" t="str">
        <f t="shared" si="1"/>
        <v/>
      </c>
      <c r="L32" s="130" t="str">
        <f>IF('Implied-Return Calculator'!S33="","",'Implied-Return Calculator'!S33)</f>
        <v/>
      </c>
      <c r="M32" s="130" t="str">
        <f>IF('Implied-Return Calculator'!T33="","",'Implied-Return Calculator'!T33)</f>
        <v/>
      </c>
      <c r="N32" s="130" t="str">
        <f>IF('Implied-Return Calculator'!U33="","",'Implied-Return Calculator'!U33)</f>
        <v/>
      </c>
      <c r="O32" s="130"/>
      <c r="P32" s="130"/>
      <c r="Q32" s="132" t="str">
        <f t="shared" si="2"/>
        <v/>
      </c>
      <c r="R32" s="131" t="str">
        <f t="shared" si="3"/>
        <v/>
      </c>
      <c r="S32" s="131" t="str">
        <f t="shared" si="4"/>
        <v/>
      </c>
    </row>
    <row r="33" spans="1:19" ht="15" customHeight="1" x14ac:dyDescent="0.35">
      <c r="A33" s="130" t="str">
        <f>IF(Scoring!A33="","",Scoring!A33)</f>
        <v>DIS</v>
      </c>
      <c r="B33" s="131" t="str">
        <f>IF(Scoring!B33="","",Scoring!B33)</f>
        <v>The Walt Disney Company</v>
      </c>
      <c r="C33" s="130" t="str">
        <f>IF(Scoring!AG33="","",IF(OR(Scoring!AG33="STRONG BUY",Scoring!AG33="BUY"),"PASS","FAIL"))</f>
        <v/>
      </c>
      <c r="D33" s="130" t="str">
        <f>IF(Scoring!AH33="","",IF(Scoring!AH33="OK","PASS","FAIL"))</f>
        <v>FAIL</v>
      </c>
      <c r="E33" s="130" t="str">
        <f>IF(Scoring!AI33="","",IF(Scoring!AI33="OK","PASS","FAIL — mandatory review required"))</f>
        <v>PASS</v>
      </c>
      <c r="F33" s="130"/>
      <c r="G33" s="130"/>
      <c r="H33" s="131" t="str">
        <f t="shared" si="0"/>
        <v/>
      </c>
      <c r="I33" s="130"/>
      <c r="J33" s="130"/>
      <c r="K33" s="132" t="str">
        <f t="shared" si="1"/>
        <v/>
      </c>
      <c r="L33" s="130" t="str">
        <f>IF('Implied-Return Calculator'!S34="","",'Implied-Return Calculator'!S34)</f>
        <v/>
      </c>
      <c r="M33" s="130" t="str">
        <f>IF('Implied-Return Calculator'!T34="","",'Implied-Return Calculator'!T34)</f>
        <v/>
      </c>
      <c r="N33" s="130" t="str">
        <f>IF('Implied-Return Calculator'!U34="","",'Implied-Return Calculator'!U34)</f>
        <v/>
      </c>
      <c r="O33" s="130"/>
      <c r="P33" s="130"/>
      <c r="Q33" s="132" t="str">
        <f t="shared" si="2"/>
        <v/>
      </c>
      <c r="R33" s="131" t="str">
        <f t="shared" si="3"/>
        <v/>
      </c>
      <c r="S33" s="131" t="str">
        <f t="shared" si="4"/>
        <v/>
      </c>
    </row>
    <row r="34" spans="1:19" ht="15" customHeight="1" x14ac:dyDescent="0.35">
      <c r="A34" s="130" t="str">
        <f>IF(Scoring!A34="","",Scoring!A34)</f>
        <v>VFC</v>
      </c>
      <c r="B34" s="131" t="str">
        <f>IF(Scoring!B34="","",Scoring!B34)</f>
        <v>V.F. Corporation</v>
      </c>
      <c r="C34" s="130" t="str">
        <f>IF(Scoring!AG34="","",IF(OR(Scoring!AG34="STRONG BUY",Scoring!AG34="BUY"),"PASS","FAIL"))</f>
        <v/>
      </c>
      <c r="D34" s="130" t="str">
        <f>IF(Scoring!AH34="","",IF(Scoring!AH34="OK","PASS","FAIL"))</f>
        <v>FAIL</v>
      </c>
      <c r="E34" s="130" t="str">
        <f>IF(Scoring!AI34="","",IF(Scoring!AI34="OK","PASS","FAIL — mandatory review required"))</f>
        <v>PASS</v>
      </c>
      <c r="F34" s="130"/>
      <c r="G34" s="130"/>
      <c r="H34" s="131" t="str">
        <f t="shared" si="0"/>
        <v/>
      </c>
      <c r="I34" s="130"/>
      <c r="J34" s="130"/>
      <c r="K34" s="132" t="str">
        <f t="shared" si="1"/>
        <v/>
      </c>
      <c r="L34" s="130" t="str">
        <f>IF('Implied-Return Calculator'!S35="","",'Implied-Return Calculator'!S35)</f>
        <v/>
      </c>
      <c r="M34" s="130" t="str">
        <f>IF('Implied-Return Calculator'!T35="","",'Implied-Return Calculator'!T35)</f>
        <v/>
      </c>
      <c r="N34" s="130" t="str">
        <f>IF('Implied-Return Calculator'!U35="","",'Implied-Return Calculator'!U35)</f>
        <v/>
      </c>
      <c r="O34" s="130"/>
      <c r="P34" s="130"/>
      <c r="Q34" s="132" t="str">
        <f t="shared" si="2"/>
        <v/>
      </c>
      <c r="R34" s="131" t="str">
        <f t="shared" si="3"/>
        <v/>
      </c>
      <c r="S34" s="131" t="str">
        <f t="shared" si="4"/>
        <v/>
      </c>
    </row>
    <row r="35" spans="1:19" ht="15" customHeight="1" x14ac:dyDescent="0.35">
      <c r="A35" s="130" t="str">
        <f>IF(Scoring!A35="","",Scoring!A35)</f>
        <v>BABA</v>
      </c>
      <c r="B35" s="131" t="str">
        <f>IF(Scoring!B35="","",Scoring!B35)</f>
        <v>Alibaba Group Holding Ltd.</v>
      </c>
      <c r="C35" s="130" t="str">
        <f>IF(Scoring!AG35="","",IF(OR(Scoring!AG35="STRONG BUY",Scoring!AG35="BUY"),"PASS","FAIL"))</f>
        <v/>
      </c>
      <c r="D35" s="130" t="str">
        <f>IF(Scoring!AH35="","",IF(Scoring!AH35="OK","PASS","FAIL"))</f>
        <v>FAIL</v>
      </c>
      <c r="E35" s="130" t="str">
        <f>IF(Scoring!AI35="","",IF(Scoring!AI35="OK","PASS","FAIL — mandatory review required"))</f>
        <v>PASS</v>
      </c>
      <c r="F35" s="130"/>
      <c r="G35" s="130"/>
      <c r="H35" s="131" t="str">
        <f t="shared" si="0"/>
        <v/>
      </c>
      <c r="I35" s="130"/>
      <c r="J35" s="130"/>
      <c r="K35" s="132" t="str">
        <f t="shared" si="1"/>
        <v/>
      </c>
      <c r="L35" s="130" t="str">
        <f>IF('Implied-Return Calculator'!S36="","",'Implied-Return Calculator'!S36)</f>
        <v/>
      </c>
      <c r="M35" s="130" t="str">
        <f>IF('Implied-Return Calculator'!T36="","",'Implied-Return Calculator'!T36)</f>
        <v/>
      </c>
      <c r="N35" s="130" t="str">
        <f>IF('Implied-Return Calculator'!U36="","",'Implied-Return Calculator'!U36)</f>
        <v/>
      </c>
      <c r="O35" s="130"/>
      <c r="P35" s="130"/>
      <c r="Q35" s="132" t="str">
        <f t="shared" si="2"/>
        <v/>
      </c>
      <c r="R35" s="131" t="str">
        <f t="shared" si="3"/>
        <v/>
      </c>
      <c r="S35" s="131" t="str">
        <f t="shared" si="4"/>
        <v/>
      </c>
    </row>
    <row r="36" spans="1:19" ht="15" customHeight="1" x14ac:dyDescent="0.35">
      <c r="A36" s="130" t="str">
        <f>IF(Scoring!A36="","",Scoring!A36)</f>
        <v>NOV</v>
      </c>
      <c r="B36" s="131" t="str">
        <f>IF(Scoring!B36="","",Scoring!B36)</f>
        <v>NOV Inc.</v>
      </c>
      <c r="C36" s="130" t="str">
        <f>IF(Scoring!AG36="","",IF(OR(Scoring!AG36="STRONG BUY",Scoring!AG36="BUY"),"PASS","FAIL"))</f>
        <v/>
      </c>
      <c r="D36" s="130" t="str">
        <f>IF(Scoring!AH36="","",IF(Scoring!AH36="OK","PASS","FAIL"))</f>
        <v>FAIL</v>
      </c>
      <c r="E36" s="130" t="str">
        <f>IF(Scoring!AI36="","",IF(Scoring!AI36="OK","PASS","FAIL — mandatory review required"))</f>
        <v>PASS</v>
      </c>
      <c r="F36" s="130"/>
      <c r="G36" s="130"/>
      <c r="H36" s="131" t="str">
        <f t="shared" si="0"/>
        <v/>
      </c>
      <c r="I36" s="130"/>
      <c r="J36" s="130"/>
      <c r="K36" s="132" t="str">
        <f t="shared" si="1"/>
        <v/>
      </c>
      <c r="L36" s="130" t="str">
        <f>IF('Implied-Return Calculator'!S37="","",'Implied-Return Calculator'!S37)</f>
        <v/>
      </c>
      <c r="M36" s="130" t="str">
        <f>IF('Implied-Return Calculator'!T37="","",'Implied-Return Calculator'!T37)</f>
        <v/>
      </c>
      <c r="N36" s="130" t="str">
        <f>IF('Implied-Return Calculator'!U37="","",'Implied-Return Calculator'!U37)</f>
        <v/>
      </c>
      <c r="O36" s="130"/>
      <c r="P36" s="130"/>
      <c r="Q36" s="132" t="str">
        <f t="shared" si="2"/>
        <v/>
      </c>
      <c r="R36" s="131" t="str">
        <f t="shared" si="3"/>
        <v/>
      </c>
      <c r="S36" s="131" t="str">
        <f t="shared" si="4"/>
        <v/>
      </c>
    </row>
    <row r="37" spans="1:19" ht="15" customHeight="1" x14ac:dyDescent="0.35">
      <c r="A37" s="130" t="str">
        <f>IF(Scoring!A37="","",Scoring!A37)</f>
        <v>ONON</v>
      </c>
      <c r="B37" s="131" t="str">
        <f>IF(Scoring!B37="","",Scoring!B37)</f>
        <v>On Holding AG</v>
      </c>
      <c r="C37" s="130" t="str">
        <f>IF(Scoring!AG37="","",IF(OR(Scoring!AG37="STRONG BUY",Scoring!AG37="BUY"),"PASS","FAIL"))</f>
        <v/>
      </c>
      <c r="D37" s="130" t="str">
        <f>IF(Scoring!AH37="","",IF(Scoring!AH37="OK","PASS","FAIL"))</f>
        <v>FAIL</v>
      </c>
      <c r="E37" s="130" t="str">
        <f>IF(Scoring!AI37="","",IF(Scoring!AI37="OK","PASS","FAIL — mandatory review required"))</f>
        <v>PASS</v>
      </c>
      <c r="F37" s="130"/>
      <c r="G37" s="130"/>
      <c r="H37" s="131" t="str">
        <f t="shared" si="0"/>
        <v/>
      </c>
      <c r="I37" s="130"/>
      <c r="J37" s="130"/>
      <c r="K37" s="132" t="str">
        <f t="shared" si="1"/>
        <v/>
      </c>
      <c r="L37" s="130" t="str">
        <f>IF('Implied-Return Calculator'!S38="","",'Implied-Return Calculator'!S38)</f>
        <v/>
      </c>
      <c r="M37" s="130" t="str">
        <f>IF('Implied-Return Calculator'!T38="","",'Implied-Return Calculator'!T38)</f>
        <v/>
      </c>
      <c r="N37" s="130" t="str">
        <f>IF('Implied-Return Calculator'!U38="","",'Implied-Return Calculator'!U38)</f>
        <v/>
      </c>
      <c r="O37" s="130"/>
      <c r="P37" s="130"/>
      <c r="Q37" s="132" t="str">
        <f t="shared" si="2"/>
        <v/>
      </c>
      <c r="R37" s="131" t="str">
        <f t="shared" si="3"/>
        <v/>
      </c>
      <c r="S37" s="131" t="str">
        <f t="shared" si="4"/>
        <v/>
      </c>
    </row>
    <row r="38" spans="1:19" ht="15" customHeight="1" x14ac:dyDescent="0.35">
      <c r="A38" s="130" t="str">
        <f>IF(Scoring!A38="","",Scoring!A38)</f>
        <v>NEE</v>
      </c>
      <c r="B38" s="131" t="str">
        <f>IF(Scoring!B38="","",Scoring!B38)</f>
        <v>NextEra Energy Inc.</v>
      </c>
      <c r="C38" s="130" t="str">
        <f>IF(Scoring!AG38="","",IF(OR(Scoring!AG38="STRONG BUY",Scoring!AG38="BUY"),"PASS","FAIL"))</f>
        <v/>
      </c>
      <c r="D38" s="130" t="str">
        <f>IF(Scoring!AH38="","",IF(Scoring!AH38="OK","PASS","FAIL"))</f>
        <v>FAIL</v>
      </c>
      <c r="E38" s="132" t="str">
        <f>IF(Scoring!AI38="","",IF(Scoring!AI38="OK","PASS","FAIL — mandatory review required"))</f>
        <v>FAIL — mandatory review required</v>
      </c>
      <c r="F38" s="130"/>
      <c r="G38" s="130"/>
      <c r="H38" s="131" t="str">
        <f t="shared" si="0"/>
        <v/>
      </c>
      <c r="I38" s="130"/>
      <c r="J38" s="130"/>
      <c r="K38" s="132" t="str">
        <f t="shared" si="1"/>
        <v/>
      </c>
      <c r="L38" s="130" t="str">
        <f>IF('Implied-Return Calculator'!S39="","",'Implied-Return Calculator'!S39)</f>
        <v/>
      </c>
      <c r="M38" s="130" t="str">
        <f>IF('Implied-Return Calculator'!T39="","",'Implied-Return Calculator'!T39)</f>
        <v/>
      </c>
      <c r="N38" s="130" t="str">
        <f>IF('Implied-Return Calculator'!U39="","",'Implied-Return Calculator'!U39)</f>
        <v/>
      </c>
      <c r="O38" s="130"/>
      <c r="P38" s="130"/>
      <c r="Q38" s="132" t="str">
        <f t="shared" si="2"/>
        <v/>
      </c>
      <c r="R38" s="131" t="str">
        <f t="shared" si="3"/>
        <v/>
      </c>
      <c r="S38" s="131" t="str">
        <f t="shared" si="4"/>
        <v/>
      </c>
    </row>
    <row r="39" spans="1:19" ht="15" customHeight="1" x14ac:dyDescent="0.35">
      <c r="A39" s="130" t="str">
        <f>IF(Scoring!A39="","",Scoring!A39)</f>
        <v>GOOS</v>
      </c>
      <c r="B39" s="131" t="str">
        <f>IF(Scoring!B39="","",Scoring!B39)</f>
        <v>Canada Goose Holdings</v>
      </c>
      <c r="C39" s="130" t="str">
        <f>IF(Scoring!AG39="","",IF(OR(Scoring!AG39="STRONG BUY",Scoring!AG39="BUY"),"PASS","FAIL"))</f>
        <v/>
      </c>
      <c r="D39" s="130" t="str">
        <f>IF(Scoring!AH39="","",IF(Scoring!AH39="OK","PASS","FAIL"))</f>
        <v>FAIL</v>
      </c>
      <c r="E39" s="132" t="str">
        <f>IF(Scoring!AI39="","",IF(Scoring!AI39="OK","PASS","FAIL — mandatory review required"))</f>
        <v>FAIL — mandatory review required</v>
      </c>
      <c r="F39" s="130"/>
      <c r="G39" s="130"/>
      <c r="H39" s="131" t="str">
        <f t="shared" si="0"/>
        <v/>
      </c>
      <c r="I39" s="130"/>
      <c r="J39" s="130"/>
      <c r="K39" s="132" t="str">
        <f t="shared" si="1"/>
        <v/>
      </c>
      <c r="L39" s="130" t="str">
        <f>IF('Implied-Return Calculator'!S40="","",'Implied-Return Calculator'!S40)</f>
        <v/>
      </c>
      <c r="M39" s="130" t="str">
        <f>IF('Implied-Return Calculator'!T40="","",'Implied-Return Calculator'!T40)</f>
        <v/>
      </c>
      <c r="N39" s="130" t="str">
        <f>IF('Implied-Return Calculator'!U40="","",'Implied-Return Calculator'!U40)</f>
        <v/>
      </c>
      <c r="O39" s="130"/>
      <c r="P39" s="130"/>
      <c r="Q39" s="132" t="str">
        <f t="shared" si="2"/>
        <v/>
      </c>
      <c r="R39" s="131" t="str">
        <f t="shared" si="3"/>
        <v/>
      </c>
      <c r="S39" s="131" t="str">
        <f t="shared" si="4"/>
        <v/>
      </c>
    </row>
    <row r="40" spans="1:19" ht="15" customHeight="1" x14ac:dyDescent="0.35">
      <c r="A40" s="130" t="str">
        <f>IF(Scoring!A40="","",Scoring!A40)</f>
        <v>DEO</v>
      </c>
      <c r="B40" s="131" t="str">
        <f>IF(Scoring!B40="","",Scoring!B40)</f>
        <v>Diageo plc</v>
      </c>
      <c r="C40" s="130" t="str">
        <f>IF(Scoring!AG40="","",IF(OR(Scoring!AG40="STRONG BUY",Scoring!AG40="BUY"),"PASS","FAIL"))</f>
        <v/>
      </c>
      <c r="D40" s="130" t="str">
        <f>IF(Scoring!AH40="","",IF(Scoring!AH40="OK","PASS","FAIL"))</f>
        <v>FAIL</v>
      </c>
      <c r="E40" s="130" t="str">
        <f>IF(Scoring!AI40="","",IF(Scoring!AI40="OK","PASS","FAIL — mandatory review required"))</f>
        <v>PASS</v>
      </c>
      <c r="F40" s="130"/>
      <c r="G40" s="130"/>
      <c r="H40" s="131" t="str">
        <f t="shared" si="0"/>
        <v/>
      </c>
      <c r="I40" s="130"/>
      <c r="J40" s="130"/>
      <c r="K40" s="132" t="str">
        <f t="shared" si="1"/>
        <v/>
      </c>
      <c r="L40" s="130" t="str">
        <f>IF('Implied-Return Calculator'!S41="","",'Implied-Return Calculator'!S41)</f>
        <v/>
      </c>
      <c r="M40" s="130" t="str">
        <f>IF('Implied-Return Calculator'!T41="","",'Implied-Return Calculator'!T41)</f>
        <v/>
      </c>
      <c r="N40" s="130" t="str">
        <f>IF('Implied-Return Calculator'!U41="","",'Implied-Return Calculator'!U41)</f>
        <v/>
      </c>
      <c r="O40" s="130"/>
      <c r="P40" s="130"/>
      <c r="Q40" s="132" t="str">
        <f t="shared" si="2"/>
        <v/>
      </c>
      <c r="R40" s="131" t="str">
        <f t="shared" si="3"/>
        <v/>
      </c>
      <c r="S40" s="131" t="str">
        <f t="shared" si="4"/>
        <v/>
      </c>
    </row>
    <row r="41" spans="1:19" ht="15" customHeight="1" x14ac:dyDescent="0.35">
      <c r="A41" s="130" t="str">
        <f>IF(Scoring!A41="","",Scoring!A41)</f>
        <v>EL</v>
      </c>
      <c r="B41" s="131" t="str">
        <f>IF(Scoring!B41="","",Scoring!B41)</f>
        <v>Estee Lauder Companies</v>
      </c>
      <c r="C41" s="130" t="str">
        <f>IF(Scoring!AG41="","",IF(OR(Scoring!AG41="STRONG BUY",Scoring!AG41="BUY"),"PASS","FAIL"))</f>
        <v/>
      </c>
      <c r="D41" s="130" t="str">
        <f>IF(Scoring!AH41="","",IF(Scoring!AH41="OK","PASS","FAIL"))</f>
        <v>FAIL</v>
      </c>
      <c r="E41" s="132" t="str">
        <f>IF(Scoring!AI41="","",IF(Scoring!AI41="OK","PASS","FAIL — mandatory review required"))</f>
        <v>FAIL — mandatory review required</v>
      </c>
      <c r="F41" s="130"/>
      <c r="G41" s="130"/>
      <c r="H41" s="131" t="str">
        <f t="shared" si="0"/>
        <v/>
      </c>
      <c r="I41" s="130"/>
      <c r="J41" s="130"/>
      <c r="K41" s="132" t="str">
        <f t="shared" si="1"/>
        <v/>
      </c>
      <c r="L41" s="130" t="str">
        <f>IF('Implied-Return Calculator'!S42="","",'Implied-Return Calculator'!S42)</f>
        <v/>
      </c>
      <c r="M41" s="130" t="str">
        <f>IF('Implied-Return Calculator'!T42="","",'Implied-Return Calculator'!T42)</f>
        <v/>
      </c>
      <c r="N41" s="130" t="str">
        <f>IF('Implied-Return Calculator'!U42="","",'Implied-Return Calculator'!U42)</f>
        <v/>
      </c>
      <c r="O41" s="130"/>
      <c r="P41" s="130"/>
      <c r="Q41" s="132" t="str">
        <f t="shared" si="2"/>
        <v/>
      </c>
      <c r="R41" s="131" t="str">
        <f t="shared" si="3"/>
        <v/>
      </c>
      <c r="S41" s="131" t="str">
        <f t="shared" si="4"/>
        <v/>
      </c>
    </row>
    <row r="42" spans="1:19" ht="15" customHeight="1" x14ac:dyDescent="0.35">
      <c r="A42" s="130" t="str">
        <f>IF(Scoring!A42="","",Scoring!A42)</f>
        <v>LBRT</v>
      </c>
      <c r="B42" s="131" t="str">
        <f>IF(Scoring!B42="","",Scoring!B42)</f>
        <v>Liberty Energy Inc.</v>
      </c>
      <c r="C42" s="130" t="str">
        <f>IF(Scoring!AG42="","",IF(OR(Scoring!AG42="STRONG BUY",Scoring!AG42="BUY"),"PASS","FAIL"))</f>
        <v/>
      </c>
      <c r="D42" s="130" t="str">
        <f>IF(Scoring!AH42="","",IF(Scoring!AH42="OK","PASS","FAIL"))</f>
        <v>FAIL</v>
      </c>
      <c r="E42" s="132" t="str">
        <f>IF(Scoring!AI42="","",IF(Scoring!AI42="OK","PASS","FAIL — mandatory review required"))</f>
        <v>FAIL — mandatory review required</v>
      </c>
      <c r="F42" s="130"/>
      <c r="G42" s="130"/>
      <c r="H42" s="131" t="str">
        <f t="shared" si="0"/>
        <v/>
      </c>
      <c r="I42" s="130"/>
      <c r="J42" s="130"/>
      <c r="K42" s="132" t="str">
        <f t="shared" si="1"/>
        <v/>
      </c>
      <c r="L42" s="130" t="str">
        <f>IF('Implied-Return Calculator'!S43="","",'Implied-Return Calculator'!S43)</f>
        <v/>
      </c>
      <c r="M42" s="130" t="str">
        <f>IF('Implied-Return Calculator'!T43="","",'Implied-Return Calculator'!T43)</f>
        <v/>
      </c>
      <c r="N42" s="130" t="str">
        <f>IF('Implied-Return Calculator'!U43="","",'Implied-Return Calculator'!U43)</f>
        <v/>
      </c>
      <c r="O42" s="130"/>
      <c r="P42" s="130"/>
      <c r="Q42" s="132" t="str">
        <f t="shared" si="2"/>
        <v/>
      </c>
      <c r="R42" s="131" t="str">
        <f t="shared" si="3"/>
        <v/>
      </c>
      <c r="S42" s="131" t="str">
        <f t="shared" si="4"/>
        <v/>
      </c>
    </row>
    <row r="43" spans="1:19" ht="15" customHeight="1" x14ac:dyDescent="0.35">
      <c r="A43" s="130" t="str">
        <f>IF(Scoring!A43="","",Scoring!A43)</f>
        <v>TSLA</v>
      </c>
      <c r="B43" s="131" t="str">
        <f>IF(Scoring!B43="","",Scoring!B43)</f>
        <v>Tesla Inc.</v>
      </c>
      <c r="C43" s="130" t="str">
        <f>IF(Scoring!AG43="","",IF(OR(Scoring!AG43="STRONG BUY",Scoring!AG43="BUY"),"PASS","FAIL"))</f>
        <v/>
      </c>
      <c r="D43" s="130" t="str">
        <f>IF(Scoring!AH43="","",IF(Scoring!AH43="OK","PASS","FAIL"))</f>
        <v>FAIL</v>
      </c>
      <c r="E43" s="132" t="str">
        <f>IF(Scoring!AI43="","",IF(Scoring!AI43="OK","PASS","FAIL — mandatory review required"))</f>
        <v>FAIL — mandatory review required</v>
      </c>
      <c r="F43" s="130"/>
      <c r="G43" s="130"/>
      <c r="H43" s="131" t="str">
        <f t="shared" si="0"/>
        <v/>
      </c>
      <c r="I43" s="130"/>
      <c r="J43" s="130"/>
      <c r="K43" s="132" t="str">
        <f t="shared" si="1"/>
        <v/>
      </c>
      <c r="L43" s="130" t="str">
        <f>IF('Implied-Return Calculator'!S44="","",'Implied-Return Calculator'!S44)</f>
        <v/>
      </c>
      <c r="M43" s="130" t="str">
        <f>IF('Implied-Return Calculator'!T44="","",'Implied-Return Calculator'!T44)</f>
        <v/>
      </c>
      <c r="N43" s="130" t="str">
        <f>IF('Implied-Return Calculator'!U44="","",'Implied-Return Calculator'!U44)</f>
        <v/>
      </c>
      <c r="O43" s="130"/>
      <c r="P43" s="130"/>
      <c r="Q43" s="132" t="str">
        <f t="shared" si="2"/>
        <v/>
      </c>
      <c r="R43" s="131" t="str">
        <f t="shared" si="3"/>
        <v/>
      </c>
      <c r="S43" s="131" t="str">
        <f t="shared" si="4"/>
        <v/>
      </c>
    </row>
    <row r="44" spans="1:19" ht="15" customHeight="1" x14ac:dyDescent="0.35">
      <c r="A44" s="130" t="str">
        <f>IF(Scoring!A44="","",Scoring!A44)</f>
        <v>HRL</v>
      </c>
      <c r="B44" s="131" t="str">
        <f>IF(Scoring!B44="","",Scoring!B44)</f>
        <v>Hormel Foods Corp.</v>
      </c>
      <c r="C44" s="130" t="str">
        <f>IF(Scoring!AG44="","",IF(OR(Scoring!AG44="STRONG BUY",Scoring!AG44="BUY"),"PASS","FAIL"))</f>
        <v/>
      </c>
      <c r="D44" s="130" t="str">
        <f>IF(Scoring!AH44="","",IF(Scoring!AH44="OK","PASS","FAIL"))</f>
        <v>FAIL</v>
      </c>
      <c r="E44" s="132" t="str">
        <f>IF(Scoring!AI44="","",IF(Scoring!AI44="OK","PASS","FAIL — mandatory review required"))</f>
        <v>FAIL — mandatory review required</v>
      </c>
      <c r="F44" s="130"/>
      <c r="G44" s="130"/>
      <c r="H44" s="131" t="str">
        <f t="shared" si="0"/>
        <v/>
      </c>
      <c r="I44" s="130"/>
      <c r="J44" s="130"/>
      <c r="K44" s="132" t="str">
        <f t="shared" si="1"/>
        <v/>
      </c>
      <c r="L44" s="130" t="str">
        <f>IF('Implied-Return Calculator'!S45="","",'Implied-Return Calculator'!S45)</f>
        <v/>
      </c>
      <c r="M44" s="130" t="str">
        <f>IF('Implied-Return Calculator'!T45="","",'Implied-Return Calculator'!T45)</f>
        <v/>
      </c>
      <c r="N44" s="130" t="str">
        <f>IF('Implied-Return Calculator'!U45="","",'Implied-Return Calculator'!U45)</f>
        <v/>
      </c>
      <c r="O44" s="130"/>
      <c r="P44" s="130"/>
      <c r="Q44" s="132" t="str">
        <f t="shared" si="2"/>
        <v/>
      </c>
      <c r="R44" s="131" t="str">
        <f t="shared" si="3"/>
        <v/>
      </c>
      <c r="S44" s="131" t="str">
        <f t="shared" si="4"/>
        <v/>
      </c>
    </row>
    <row r="45" spans="1:19" ht="15" customHeight="1" x14ac:dyDescent="0.35">
      <c r="A45" s="130" t="str">
        <f>IF(Scoring!A45="","",Scoring!A45)</f>
        <v>SFM</v>
      </c>
      <c r="B45" s="131" t="str">
        <f>IF(Scoring!B45="","",Scoring!B45)</f>
        <v>Sprouts Farmers Market</v>
      </c>
      <c r="C45" s="130" t="str">
        <f>IF(Scoring!AG45="","",IF(OR(Scoring!AG45="STRONG BUY",Scoring!AG45="BUY"),"PASS","FAIL"))</f>
        <v/>
      </c>
      <c r="D45" s="130" t="str">
        <f>IF(Scoring!AH45="","",IF(Scoring!AH45="OK","PASS","FAIL"))</f>
        <v>FAIL</v>
      </c>
      <c r="E45" s="132" t="str">
        <f>IF(Scoring!AI45="","",IF(Scoring!AI45="OK","PASS","FAIL — mandatory review required"))</f>
        <v>FAIL — mandatory review required</v>
      </c>
      <c r="F45" s="130"/>
      <c r="G45" s="130"/>
      <c r="H45" s="131" t="str">
        <f t="shared" si="0"/>
        <v/>
      </c>
      <c r="I45" s="130"/>
      <c r="J45" s="130"/>
      <c r="K45" s="132" t="str">
        <f t="shared" si="1"/>
        <v/>
      </c>
      <c r="L45" s="130" t="str">
        <f>IF('Implied-Return Calculator'!S46="","",'Implied-Return Calculator'!S46)</f>
        <v/>
      </c>
      <c r="M45" s="130" t="str">
        <f>IF('Implied-Return Calculator'!T46="","",'Implied-Return Calculator'!T46)</f>
        <v/>
      </c>
      <c r="N45" s="130" t="str">
        <f>IF('Implied-Return Calculator'!U46="","",'Implied-Return Calculator'!U46)</f>
        <v/>
      </c>
      <c r="O45" s="130"/>
      <c r="P45" s="130"/>
      <c r="Q45" s="132" t="str">
        <f t="shared" si="2"/>
        <v/>
      </c>
      <c r="R45" s="131" t="str">
        <f t="shared" si="3"/>
        <v/>
      </c>
      <c r="S45" s="131" t="str">
        <f t="shared" si="4"/>
        <v/>
      </c>
    </row>
    <row r="46" spans="1:19" ht="15" customHeight="1" x14ac:dyDescent="0.35">
      <c r="A46" s="130" t="str">
        <f>IF(Scoring!A46="","",Scoring!A46)</f>
        <v>CLF</v>
      </c>
      <c r="B46" s="131" t="str">
        <f>IF(Scoring!B46="","",Scoring!B46)</f>
        <v>Cleveland-Cliffs Inc.</v>
      </c>
      <c r="C46" s="130" t="str">
        <f>IF(Scoring!AG46="","",IF(OR(Scoring!AG46="STRONG BUY",Scoring!AG46="BUY"),"PASS","FAIL"))</f>
        <v/>
      </c>
      <c r="D46" s="130" t="str">
        <f>IF(Scoring!AH46="","",IF(Scoring!AH46="OK","PASS","FAIL"))</f>
        <v>FAIL</v>
      </c>
      <c r="E46" s="132" t="str">
        <f>IF(Scoring!AI46="","",IF(Scoring!AI46="OK","PASS","FAIL — mandatory review required"))</f>
        <v>FAIL — mandatory review required</v>
      </c>
      <c r="F46" s="130"/>
      <c r="G46" s="130"/>
      <c r="H46" s="131" t="str">
        <f t="shared" si="0"/>
        <v/>
      </c>
      <c r="I46" s="130"/>
      <c r="J46" s="130"/>
      <c r="K46" s="132" t="str">
        <f t="shared" si="1"/>
        <v/>
      </c>
      <c r="L46" s="130" t="str">
        <f>IF('Implied-Return Calculator'!S47="","",'Implied-Return Calculator'!S47)</f>
        <v/>
      </c>
      <c r="M46" s="130" t="str">
        <f>IF('Implied-Return Calculator'!T47="","",'Implied-Return Calculator'!T47)</f>
        <v/>
      </c>
      <c r="N46" s="130" t="str">
        <f>IF('Implied-Return Calculator'!U47="","",'Implied-Return Calculator'!U47)</f>
        <v/>
      </c>
      <c r="O46" s="130"/>
      <c r="P46" s="130"/>
      <c r="Q46" s="132" t="str">
        <f t="shared" si="2"/>
        <v/>
      </c>
      <c r="R46" s="131" t="str">
        <f t="shared" si="3"/>
        <v/>
      </c>
      <c r="S46" s="131" t="str">
        <f t="shared" si="4"/>
        <v/>
      </c>
    </row>
    <row r="47" spans="1:19" ht="15" customHeight="1" x14ac:dyDescent="0.35">
      <c r="A47" s="130" t="str">
        <f>IF(Scoring!A47="","",Scoring!A47)</f>
        <v>CE</v>
      </c>
      <c r="B47" s="131" t="str">
        <f>IF(Scoring!B47="","",Scoring!B47)</f>
        <v>Celanese Corp.</v>
      </c>
      <c r="C47" s="130" t="str">
        <f>IF(Scoring!AG47="","",IF(OR(Scoring!AG47="STRONG BUY",Scoring!AG47="BUY"),"PASS","FAIL"))</f>
        <v/>
      </c>
      <c r="D47" s="130" t="str">
        <f>IF(Scoring!AH47="","",IF(Scoring!AH47="OK","PASS","FAIL"))</f>
        <v>FAIL</v>
      </c>
      <c r="E47" s="132" t="str">
        <f>IF(Scoring!AI47="","",IF(Scoring!AI47="OK","PASS","FAIL — mandatory review required"))</f>
        <v>FAIL — mandatory review required</v>
      </c>
      <c r="F47" s="130"/>
      <c r="G47" s="130"/>
      <c r="H47" s="131" t="str">
        <f t="shared" si="0"/>
        <v/>
      </c>
      <c r="I47" s="130"/>
      <c r="J47" s="130"/>
      <c r="K47" s="132" t="str">
        <f t="shared" si="1"/>
        <v/>
      </c>
      <c r="L47" s="130" t="str">
        <f>IF('Implied-Return Calculator'!S48="","",'Implied-Return Calculator'!S48)</f>
        <v/>
      </c>
      <c r="M47" s="130" t="str">
        <f>IF('Implied-Return Calculator'!T48="","",'Implied-Return Calculator'!T48)</f>
        <v/>
      </c>
      <c r="N47" s="130" t="str">
        <f>IF('Implied-Return Calculator'!U48="","",'Implied-Return Calculator'!U48)</f>
        <v/>
      </c>
      <c r="O47" s="130"/>
      <c r="P47" s="130"/>
      <c r="Q47" s="132" t="str">
        <f t="shared" si="2"/>
        <v/>
      </c>
      <c r="R47" s="131" t="str">
        <f t="shared" si="3"/>
        <v/>
      </c>
      <c r="S47" s="131" t="str">
        <f t="shared" si="4"/>
        <v/>
      </c>
    </row>
    <row r="48" spans="1:19" ht="15" customHeight="1" x14ac:dyDescent="0.35">
      <c r="K48" s="133"/>
      <c r="Q48" s="133"/>
    </row>
    <row r="49" spans="11:17" ht="15" customHeight="1" x14ac:dyDescent="0.35">
      <c r="K49" s="133"/>
      <c r="Q49" s="133"/>
    </row>
    <row r="50" spans="11:17" ht="15" customHeight="1" x14ac:dyDescent="0.35">
      <c r="K50" s="133"/>
      <c r="Q50" s="133"/>
    </row>
    <row r="51" spans="11:17" ht="15" customHeight="1" x14ac:dyDescent="0.35">
      <c r="K51" s="133"/>
      <c r="Q51" s="133"/>
    </row>
    <row r="52" spans="11:17" ht="15" customHeight="1" x14ac:dyDescent="0.35">
      <c r="K52" s="133"/>
      <c r="Q52" s="133"/>
    </row>
    <row r="53" spans="11:17" ht="15" customHeight="1" x14ac:dyDescent="0.35">
      <c r="K53" s="133"/>
      <c r="Q53" s="133"/>
    </row>
    <row r="54" spans="11:17" ht="15" customHeight="1" x14ac:dyDescent="0.35">
      <c r="K54" s="133"/>
      <c r="Q54" s="133"/>
    </row>
    <row r="55" spans="11:17" ht="15" customHeight="1" x14ac:dyDescent="0.35">
      <c r="K55" s="133"/>
      <c r="Q55" s="133"/>
    </row>
    <row r="56" spans="11:17" ht="15" customHeight="1" x14ac:dyDescent="0.35">
      <c r="K56" s="133"/>
      <c r="Q56" s="133"/>
    </row>
    <row r="57" spans="11:17" ht="15" customHeight="1" x14ac:dyDescent="0.35">
      <c r="K57" s="133"/>
      <c r="Q57" s="133"/>
    </row>
    <row r="58" spans="11:17" ht="15" customHeight="1" x14ac:dyDescent="0.35">
      <c r="K58" s="133"/>
      <c r="Q58" s="133"/>
    </row>
    <row r="59" spans="11:17" ht="15" customHeight="1" x14ac:dyDescent="0.35">
      <c r="K59" s="133"/>
      <c r="Q59" s="133"/>
    </row>
    <row r="60" spans="11:17" ht="15" customHeight="1" x14ac:dyDescent="0.35">
      <c r="K60" s="133"/>
      <c r="Q60" s="133"/>
    </row>
    <row r="61" spans="11:17" ht="15" customHeight="1" x14ac:dyDescent="0.35">
      <c r="K61" s="133"/>
      <c r="Q61" s="133"/>
    </row>
    <row r="62" spans="11:17" ht="15" customHeight="1" x14ac:dyDescent="0.35">
      <c r="K62" s="133"/>
      <c r="Q62" s="133"/>
    </row>
    <row r="63" spans="11:17" ht="15" customHeight="1" x14ac:dyDescent="0.35">
      <c r="K63" s="133"/>
      <c r="Q63" s="133"/>
    </row>
    <row r="64" spans="11:17" ht="15" customHeight="1" x14ac:dyDescent="0.35">
      <c r="K64" s="133"/>
      <c r="Q64" s="133"/>
    </row>
    <row r="65" spans="11:17" ht="15" customHeight="1" x14ac:dyDescent="0.35">
      <c r="K65" s="133"/>
      <c r="Q65" s="133"/>
    </row>
    <row r="66" spans="11:17" ht="15" customHeight="1" x14ac:dyDescent="0.35">
      <c r="K66" s="133"/>
      <c r="Q66" s="133"/>
    </row>
  </sheetData>
  <conditionalFormatting sqref="K3:M66">
    <cfRule type="containsText" dxfId="98" priority="2" operator="containsText" text="pass">
      <formula>NOT(ISERROR(SEARCH("pass",K3)))</formula>
    </cfRule>
    <cfRule type="containsText" dxfId="97" priority="3" operator="containsText" text="fail">
      <formula>NOT(ISERROR(SEARCH("fail",K3)))</formula>
    </cfRule>
  </conditionalFormatting>
  <conditionalFormatting sqref="Q3:Q66">
    <cfRule type="containsText" dxfId="96" priority="4" operator="containsText" text="pass">
      <formula>NOT(ISERROR(SEARCH("pass",Q3)))</formula>
    </cfRule>
    <cfRule type="containsText" dxfId="95" priority="5" operator="containsText" text="fail">
      <formula>NOT(ISERROR(SEARCH("fail",Q3)))</formula>
    </cfRule>
  </conditionalFormatting>
  <conditionalFormatting sqref="R3:R122">
    <cfRule type="containsText" dxfId="94" priority="6" operator="containsText" text="yes">
      <formula>NOT(ISERROR(SEARCH("yes",R3)))</formula>
    </cfRule>
  </conditionalFormatting>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2"/>
  <sheetViews>
    <sheetView showGridLines="0" zoomScaleNormal="100" workbookViewId="0">
      <pane ySplit="2" topLeftCell="A3" activePane="bottomLeft" state="frozen"/>
      <selection pane="bottomLeft" activeCell="W29" sqref="W29"/>
    </sheetView>
  </sheetViews>
  <sheetFormatPr defaultColWidth="8.6328125" defaultRowHeight="14.5" x14ac:dyDescent="0.35"/>
  <cols>
    <col min="1" max="1" width="10" customWidth="1"/>
    <col min="2" max="2" width="25.36328125" style="133" customWidth="1"/>
    <col min="3" max="3" width="9.36328125" customWidth="1"/>
    <col min="4" max="5" width="13" customWidth="1"/>
    <col min="6" max="6" width="6.36328125" customWidth="1"/>
    <col min="7" max="7" width="9.54296875" customWidth="1"/>
    <col min="8" max="8" width="9.1796875" customWidth="1"/>
    <col min="9" max="9" width="8" customWidth="1"/>
  </cols>
  <sheetData>
    <row r="1" spans="1:9" ht="42" customHeight="1" x14ac:dyDescent="0.35">
      <c r="A1" s="222" t="s">
        <v>433</v>
      </c>
      <c r="B1" s="222"/>
      <c r="C1" s="222"/>
      <c r="D1" s="222"/>
      <c r="E1" s="222"/>
      <c r="F1" s="222"/>
      <c r="G1" s="222"/>
      <c r="H1" s="222"/>
      <c r="I1" s="222"/>
    </row>
    <row r="2" spans="1:9" s="60" customFormat="1" ht="25.5" customHeight="1" x14ac:dyDescent="0.35">
      <c r="A2" s="58" t="s">
        <v>82</v>
      </c>
      <c r="B2" s="58" t="s">
        <v>288</v>
      </c>
      <c r="C2" s="58" t="s">
        <v>434</v>
      </c>
      <c r="D2" s="58" t="s">
        <v>435</v>
      </c>
      <c r="E2" s="58" t="s">
        <v>436</v>
      </c>
      <c r="F2" s="58" t="s">
        <v>437</v>
      </c>
      <c r="G2" s="58" t="s">
        <v>972</v>
      </c>
      <c r="H2" s="58" t="s">
        <v>973</v>
      </c>
      <c r="I2" s="58" t="s">
        <v>438</v>
      </c>
    </row>
    <row r="3" spans="1:9" ht="15" customHeight="1" x14ac:dyDescent="0.35">
      <c r="A3" s="116" t="s">
        <v>278</v>
      </c>
      <c r="B3" s="114" t="s">
        <v>410</v>
      </c>
      <c r="C3" s="134">
        <v>97.5</v>
      </c>
      <c r="D3" s="121">
        <v>8644982</v>
      </c>
      <c r="E3" s="135">
        <v>168712.37222399999</v>
      </c>
      <c r="F3" s="136">
        <v>31.451613999999999</v>
      </c>
      <c r="G3" s="134">
        <v>81.97</v>
      </c>
      <c r="H3" s="134">
        <v>135.24</v>
      </c>
      <c r="I3" s="123">
        <v>2.58</v>
      </c>
    </row>
    <row r="4" spans="1:9" ht="15" customHeight="1" x14ac:dyDescent="0.35">
      <c r="A4" s="116" t="s">
        <v>94</v>
      </c>
      <c r="B4" s="114" t="s">
        <v>95</v>
      </c>
      <c r="C4" s="134">
        <v>237.69</v>
      </c>
      <c r="D4" s="121">
        <v>3115208</v>
      </c>
      <c r="E4" s="135">
        <v>92508.946431999997</v>
      </c>
      <c r="F4" s="136">
        <v>13.263951</v>
      </c>
      <c r="G4" s="134">
        <v>190.12</v>
      </c>
      <c r="H4" s="134">
        <v>363.7</v>
      </c>
      <c r="I4" s="123"/>
    </row>
    <row r="5" spans="1:9" ht="15" customHeight="1" x14ac:dyDescent="0.35">
      <c r="A5" s="116" t="s">
        <v>99</v>
      </c>
      <c r="B5" s="114" t="s">
        <v>100</v>
      </c>
      <c r="C5" s="134">
        <v>207.35</v>
      </c>
      <c r="D5" s="121">
        <v>4113045</v>
      </c>
      <c r="E5" s="135">
        <v>261514.952704</v>
      </c>
      <c r="F5" s="136">
        <v>65.825389999999999</v>
      </c>
      <c r="G5" s="134">
        <v>114.52</v>
      </c>
      <c r="H5" s="134">
        <v>214.89</v>
      </c>
      <c r="I5" s="123"/>
    </row>
    <row r="6" spans="1:9" ht="15" customHeight="1" x14ac:dyDescent="0.35">
      <c r="A6" s="116" t="s">
        <v>101</v>
      </c>
      <c r="B6" s="114" t="s">
        <v>102</v>
      </c>
      <c r="C6" s="134">
        <v>1867.31</v>
      </c>
      <c r="D6" s="121">
        <v>1345027</v>
      </c>
      <c r="E6" s="135">
        <v>717233.78278400004</v>
      </c>
      <c r="F6" s="136">
        <v>64.927329999999998</v>
      </c>
      <c r="G6" s="134">
        <v>935.41</v>
      </c>
      <c r="H6" s="134">
        <v>1999.96</v>
      </c>
      <c r="I6" s="123">
        <v>0.49</v>
      </c>
    </row>
    <row r="7" spans="1:9" ht="15" customHeight="1" x14ac:dyDescent="0.35">
      <c r="A7" s="116" t="s">
        <v>164</v>
      </c>
      <c r="B7" s="114" t="s">
        <v>165</v>
      </c>
      <c r="C7" s="134">
        <v>355.14</v>
      </c>
      <c r="D7" s="121">
        <v>24639562</v>
      </c>
      <c r="E7" s="135">
        <v>1695307.0059519999</v>
      </c>
      <c r="F7" s="136">
        <v>45.240769999999998</v>
      </c>
      <c r="G7" s="134">
        <v>289.95999999999998</v>
      </c>
      <c r="H7" s="134">
        <v>495</v>
      </c>
      <c r="I7" s="123">
        <v>0.73</v>
      </c>
    </row>
    <row r="8" spans="1:9" s="273" customFormat="1" ht="15" customHeight="1" x14ac:dyDescent="0.35">
      <c r="A8" s="266" t="s">
        <v>155</v>
      </c>
      <c r="B8" s="267" t="s">
        <v>156</v>
      </c>
      <c r="C8" s="268">
        <v>120.03</v>
      </c>
      <c r="D8" s="269">
        <v>1577333</v>
      </c>
      <c r="E8" s="270"/>
      <c r="F8" s="271">
        <v>11.920055</v>
      </c>
      <c r="G8" s="268">
        <v>93.87</v>
      </c>
      <c r="H8" s="268">
        <v>129.05000000000001</v>
      </c>
      <c r="I8" s="272">
        <v>1.25</v>
      </c>
    </row>
    <row r="9" spans="1:9" ht="15" customHeight="1" x14ac:dyDescent="0.35">
      <c r="A9" s="116" t="s">
        <v>233</v>
      </c>
      <c r="B9" s="114" t="s">
        <v>388</v>
      </c>
      <c r="C9" s="134">
        <v>32.36</v>
      </c>
      <c r="D9" s="121">
        <v>15057494</v>
      </c>
      <c r="E9" s="135">
        <v>40948.928511999999</v>
      </c>
      <c r="F9" s="136">
        <v>29.962962999999998</v>
      </c>
      <c r="G9" s="134">
        <v>28.04</v>
      </c>
      <c r="H9" s="134">
        <v>42.82</v>
      </c>
      <c r="I9" s="123"/>
    </row>
    <row r="10" spans="1:9" ht="15" customHeight="1" x14ac:dyDescent="0.35">
      <c r="A10" s="116" t="s">
        <v>235</v>
      </c>
      <c r="B10" s="114" t="s">
        <v>359</v>
      </c>
      <c r="C10" s="134">
        <v>920.65</v>
      </c>
      <c r="D10" s="121">
        <v>2025566</v>
      </c>
      <c r="E10" s="135">
        <v>408092.83584000001</v>
      </c>
      <c r="F10" s="136">
        <v>44.454371999999999</v>
      </c>
      <c r="G10" s="134">
        <v>844.06</v>
      </c>
      <c r="H10" s="134">
        <v>1096.5</v>
      </c>
      <c r="I10" s="123">
        <v>0.64</v>
      </c>
    </row>
    <row r="11" spans="1:9" ht="15" customHeight="1" x14ac:dyDescent="0.35">
      <c r="A11" s="116" t="s">
        <v>103</v>
      </c>
      <c r="B11" s="114" t="s">
        <v>104</v>
      </c>
      <c r="C11" s="134">
        <v>270.04000000000002</v>
      </c>
      <c r="D11" s="121">
        <v>5857040</v>
      </c>
      <c r="E11" s="135">
        <v>276503.36358399998</v>
      </c>
      <c r="F11" s="136">
        <v>4500.6670000000004</v>
      </c>
      <c r="G11" s="134">
        <v>85.68</v>
      </c>
      <c r="H11" s="134">
        <v>273.5351</v>
      </c>
      <c r="I11" s="123"/>
    </row>
    <row r="12" spans="1:9" ht="15" customHeight="1" x14ac:dyDescent="0.35">
      <c r="A12" s="116" t="s">
        <v>240</v>
      </c>
      <c r="B12" s="114" t="s">
        <v>390</v>
      </c>
      <c r="C12" s="134">
        <v>297.61500000000001</v>
      </c>
      <c r="D12" s="121">
        <v>579133</v>
      </c>
      <c r="E12" s="135">
        <v>9845.6207360000008</v>
      </c>
      <c r="F12" s="136">
        <v>16.86204</v>
      </c>
      <c r="G12" s="134">
        <v>282</v>
      </c>
      <c r="H12" s="134">
        <v>442.35</v>
      </c>
      <c r="I12" s="123">
        <v>2.67</v>
      </c>
    </row>
    <row r="13" spans="1:9" s="273" customFormat="1" ht="15" customHeight="1" x14ac:dyDescent="0.35">
      <c r="A13" s="266" t="s">
        <v>125</v>
      </c>
      <c r="B13" s="267" t="s">
        <v>126</v>
      </c>
      <c r="C13" s="268">
        <v>153.05000000000001</v>
      </c>
      <c r="D13" s="269">
        <v>307298</v>
      </c>
      <c r="E13" s="270"/>
      <c r="F13" s="271">
        <v>14.554879</v>
      </c>
      <c r="G13" s="268">
        <v>137.16</v>
      </c>
      <c r="H13" s="268">
        <v>167.06</v>
      </c>
      <c r="I13" s="272">
        <v>3.24</v>
      </c>
    </row>
    <row r="14" spans="1:9" ht="15" customHeight="1" x14ac:dyDescent="0.35">
      <c r="A14" s="116" t="s">
        <v>243</v>
      </c>
      <c r="B14" s="114" t="s">
        <v>369</v>
      </c>
      <c r="C14" s="134">
        <v>20.47</v>
      </c>
      <c r="D14" s="121">
        <v>11114908</v>
      </c>
      <c r="E14" s="135">
        <v>70484.336639999994</v>
      </c>
      <c r="F14" s="136">
        <v>14.020547000000001</v>
      </c>
      <c r="G14" s="134">
        <v>16.18</v>
      </c>
      <c r="H14" s="134">
        <v>21.84</v>
      </c>
      <c r="I14" s="123">
        <v>6.64</v>
      </c>
    </row>
    <row r="15" spans="1:9" ht="15" customHeight="1" x14ac:dyDescent="0.35">
      <c r="A15" s="116" t="s">
        <v>245</v>
      </c>
      <c r="B15" s="114" t="s">
        <v>405</v>
      </c>
      <c r="C15" s="134">
        <v>436.11</v>
      </c>
      <c r="D15" s="121">
        <v>2088721</v>
      </c>
      <c r="E15" s="135">
        <v>169385.11564800001</v>
      </c>
      <c r="F15" s="136">
        <v>44.455654000000003</v>
      </c>
      <c r="G15" s="134">
        <v>311.92</v>
      </c>
      <c r="H15" s="134">
        <v>478</v>
      </c>
      <c r="I15" s="123">
        <v>1.01</v>
      </c>
    </row>
    <row r="16" spans="1:9" ht="15" customHeight="1" x14ac:dyDescent="0.35">
      <c r="A16" s="116" t="s">
        <v>247</v>
      </c>
      <c r="B16" s="114" t="s">
        <v>401</v>
      </c>
      <c r="C16" s="134">
        <v>72.77</v>
      </c>
      <c r="D16" s="121">
        <v>1975132</v>
      </c>
      <c r="E16" s="135">
        <v>6678.9570560000002</v>
      </c>
      <c r="F16" s="136">
        <v>23.028479000000001</v>
      </c>
      <c r="G16" s="134">
        <v>44</v>
      </c>
      <c r="H16" s="134">
        <v>87.974000000000004</v>
      </c>
      <c r="I16" s="123"/>
    </row>
    <row r="17" spans="1:9" ht="15" customHeight="1" x14ac:dyDescent="0.35">
      <c r="A17" s="116" t="s">
        <v>139</v>
      </c>
      <c r="B17" s="114" t="s">
        <v>140</v>
      </c>
      <c r="C17" s="134">
        <v>309.56</v>
      </c>
      <c r="D17" s="121">
        <v>4148627</v>
      </c>
      <c r="E17" s="135">
        <v>321187.84000000003</v>
      </c>
      <c r="F17" s="136">
        <v>36.504719999999999</v>
      </c>
      <c r="G17" s="134">
        <v>268.91000000000003</v>
      </c>
      <c r="H17" s="134">
        <v>388.84</v>
      </c>
      <c r="I17" s="123">
        <v>0.61</v>
      </c>
    </row>
    <row r="18" spans="1:9" s="273" customFormat="1" ht="15" customHeight="1" x14ac:dyDescent="0.35">
      <c r="A18" s="266" t="s">
        <v>161</v>
      </c>
      <c r="B18" s="267" t="s">
        <v>162</v>
      </c>
      <c r="C18" s="268">
        <v>69.42</v>
      </c>
      <c r="D18" s="269">
        <v>273443</v>
      </c>
      <c r="E18" s="270"/>
      <c r="F18" s="271">
        <v>24.468174000000001</v>
      </c>
      <c r="G18" s="268">
        <v>63.24</v>
      </c>
      <c r="H18" s="268">
        <v>70.23</v>
      </c>
      <c r="I18" s="272">
        <v>0.62</v>
      </c>
    </row>
    <row r="19" spans="1:9" s="273" customFormat="1" ht="15" customHeight="1" x14ac:dyDescent="0.35">
      <c r="A19" s="266" t="s">
        <v>186</v>
      </c>
      <c r="B19" s="267" t="s">
        <v>187</v>
      </c>
      <c r="C19" s="268">
        <v>56.1</v>
      </c>
      <c r="D19" s="269">
        <v>4897921</v>
      </c>
      <c r="E19" s="270"/>
      <c r="F19" s="271">
        <v>24.939985</v>
      </c>
      <c r="G19" s="268">
        <v>55.1</v>
      </c>
      <c r="H19" s="268">
        <v>59.9</v>
      </c>
      <c r="I19" s="272">
        <v>7.97</v>
      </c>
    </row>
    <row r="20" spans="1:9" s="273" customFormat="1" ht="15" customHeight="1" x14ac:dyDescent="0.35">
      <c r="A20" s="266" t="s">
        <v>151</v>
      </c>
      <c r="B20" s="267" t="s">
        <v>152</v>
      </c>
      <c r="C20" s="268">
        <v>61.04</v>
      </c>
      <c r="D20" s="269">
        <v>7333590</v>
      </c>
      <c r="E20" s="270">
        <v>225986.3</v>
      </c>
      <c r="F20" s="271">
        <v>29.525686</v>
      </c>
      <c r="G20" s="268">
        <v>53.51</v>
      </c>
      <c r="H20" s="268">
        <v>61.72</v>
      </c>
      <c r="I20" s="272">
        <v>10.84</v>
      </c>
    </row>
    <row r="21" spans="1:9" ht="15" customHeight="1" x14ac:dyDescent="0.35">
      <c r="A21" s="116" t="s">
        <v>276</v>
      </c>
      <c r="B21" s="114" t="s">
        <v>409</v>
      </c>
      <c r="C21" s="134">
        <v>54.33</v>
      </c>
      <c r="D21" s="121">
        <v>1354391</v>
      </c>
      <c r="E21" s="135">
        <v>5492.9822720000002</v>
      </c>
      <c r="F21" s="136">
        <v>61.738639999999997</v>
      </c>
      <c r="G21" s="134">
        <v>32.549999999999997</v>
      </c>
      <c r="H21" s="134">
        <v>77.680000000000007</v>
      </c>
      <c r="I21" s="123">
        <v>3.61</v>
      </c>
    </row>
    <row r="22" spans="1:9" ht="15" customHeight="1" x14ac:dyDescent="0.35">
      <c r="A22" s="116" t="s">
        <v>105</v>
      </c>
      <c r="B22" s="114" t="s">
        <v>106</v>
      </c>
      <c r="C22" s="134">
        <v>206.89</v>
      </c>
      <c r="D22" s="121">
        <v>7356292</v>
      </c>
      <c r="E22" s="135">
        <v>269992.78796799999</v>
      </c>
      <c r="F22" s="136">
        <v>56.527320000000003</v>
      </c>
      <c r="G22" s="134">
        <v>98.096999999999994</v>
      </c>
      <c r="H22" s="134">
        <v>307.37</v>
      </c>
      <c r="I22" s="123">
        <v>0.44</v>
      </c>
    </row>
    <row r="23" spans="1:9" ht="15" customHeight="1" x14ac:dyDescent="0.35">
      <c r="A23" s="116" t="s">
        <v>253</v>
      </c>
      <c r="B23" s="114" t="s">
        <v>379</v>
      </c>
      <c r="C23" s="134">
        <v>479.48</v>
      </c>
      <c r="D23" s="121">
        <v>2534284</v>
      </c>
      <c r="E23" s="135">
        <v>221030.776832</v>
      </c>
      <c r="F23" s="136">
        <v>30.954165</v>
      </c>
      <c r="G23" s="134">
        <v>387.78</v>
      </c>
      <c r="H23" s="134">
        <v>548.20000000000005</v>
      </c>
      <c r="I23" s="123">
        <v>1.33</v>
      </c>
    </row>
    <row r="24" spans="1:9" s="273" customFormat="1" ht="15" customHeight="1" x14ac:dyDescent="0.35">
      <c r="A24" s="266" t="s">
        <v>135</v>
      </c>
      <c r="B24" s="267" t="s">
        <v>136</v>
      </c>
      <c r="C24" s="268">
        <v>51.17</v>
      </c>
      <c r="D24" s="269">
        <v>347350</v>
      </c>
      <c r="E24" s="270"/>
      <c r="F24" s="271">
        <v>17.65314</v>
      </c>
      <c r="G24" s="268">
        <v>49.15</v>
      </c>
      <c r="H24" s="268">
        <v>58.47</v>
      </c>
      <c r="I24" s="272"/>
    </row>
    <row r="25" spans="1:9" ht="15" customHeight="1" x14ac:dyDescent="0.35">
      <c r="A25" s="116" t="s">
        <v>107</v>
      </c>
      <c r="B25" s="114" t="s">
        <v>108</v>
      </c>
      <c r="C25" s="134">
        <v>1074.8900000000001</v>
      </c>
      <c r="D25" s="121">
        <v>27337514</v>
      </c>
      <c r="E25" s="135">
        <v>1213973.397504</v>
      </c>
      <c r="F25" s="136">
        <v>14.461052</v>
      </c>
      <c r="G25" s="134">
        <v>179.61</v>
      </c>
      <c r="H25" s="134">
        <v>1255</v>
      </c>
      <c r="I25" s="123">
        <v>0.06</v>
      </c>
    </row>
    <row r="26" spans="1:9" ht="15" customHeight="1" x14ac:dyDescent="0.35">
      <c r="A26" s="116" t="s">
        <v>142</v>
      </c>
      <c r="B26" s="114" t="s">
        <v>143</v>
      </c>
      <c r="C26" s="134">
        <v>67.06</v>
      </c>
      <c r="D26" s="121">
        <v>38672123</v>
      </c>
      <c r="E26" s="135">
        <v>279233.78995200002</v>
      </c>
      <c r="F26" s="136">
        <v>21.088049000000002</v>
      </c>
      <c r="G26" s="134">
        <v>65.08</v>
      </c>
      <c r="H26" s="134">
        <v>124.86</v>
      </c>
      <c r="I26" s="123"/>
    </row>
    <row r="27" spans="1:9" ht="15" customHeight="1" x14ac:dyDescent="0.35">
      <c r="A27" s="116" t="s">
        <v>109</v>
      </c>
      <c r="B27" s="114" t="s">
        <v>110</v>
      </c>
      <c r="C27" s="134">
        <v>233.95</v>
      </c>
      <c r="D27" s="121">
        <v>135167817</v>
      </c>
      <c r="E27" s="135">
        <v>5649190.6170880003</v>
      </c>
      <c r="F27" s="136">
        <v>29.576487</v>
      </c>
      <c r="G27" s="134">
        <v>164.27</v>
      </c>
      <c r="H27" s="134">
        <v>237.88</v>
      </c>
      <c r="I27" s="123">
        <v>0.43</v>
      </c>
    </row>
    <row r="28" spans="1:9" ht="15" customHeight="1" x14ac:dyDescent="0.35">
      <c r="A28" s="116" t="s">
        <v>264</v>
      </c>
      <c r="B28" s="114" t="s">
        <v>387</v>
      </c>
      <c r="C28" s="134">
        <v>144.91</v>
      </c>
      <c r="D28" s="121">
        <v>6219527</v>
      </c>
      <c r="E28" s="135">
        <v>336578.47807999997</v>
      </c>
      <c r="F28" s="136">
        <v>21.889728999999999</v>
      </c>
      <c r="G28" s="134">
        <v>137.62</v>
      </c>
      <c r="H28" s="134">
        <v>167.25</v>
      </c>
      <c r="I28" s="123">
        <v>3</v>
      </c>
    </row>
    <row r="29" spans="1:9" ht="15" customHeight="1" x14ac:dyDescent="0.35">
      <c r="A29" s="116" t="s">
        <v>266</v>
      </c>
      <c r="B29" s="114" t="s">
        <v>403</v>
      </c>
      <c r="C29" s="134">
        <v>972.55</v>
      </c>
      <c r="D29" s="121">
        <v>343039</v>
      </c>
      <c r="E29" s="135">
        <v>122650.632192</v>
      </c>
      <c r="F29" s="136">
        <v>34.148524999999999</v>
      </c>
      <c r="G29" s="134">
        <v>715.37</v>
      </c>
      <c r="H29" s="134">
        <v>1099.94</v>
      </c>
      <c r="I29" s="123">
        <v>0.82</v>
      </c>
    </row>
    <row r="30" spans="1:9" ht="15" customHeight="1" x14ac:dyDescent="0.35">
      <c r="A30" s="116" t="s">
        <v>169</v>
      </c>
      <c r="B30" s="114" t="s">
        <v>345</v>
      </c>
      <c r="C30" s="134">
        <v>128.91</v>
      </c>
      <c r="D30" s="121">
        <v>3811300</v>
      </c>
      <c r="E30" s="135">
        <v>125312.30310400001</v>
      </c>
      <c r="F30" s="136">
        <v>28.646667000000001</v>
      </c>
      <c r="G30" s="134">
        <v>111.03</v>
      </c>
      <c r="H30" s="134">
        <v>153.35</v>
      </c>
      <c r="I30" s="123">
        <v>3.32</v>
      </c>
    </row>
    <row r="31" spans="1:9" ht="15" customHeight="1" x14ac:dyDescent="0.35">
      <c r="A31" s="116" t="s">
        <v>111</v>
      </c>
      <c r="B31" s="114" t="s">
        <v>112</v>
      </c>
      <c r="C31" s="134">
        <v>188.75</v>
      </c>
      <c r="D31" s="121">
        <v>17932108</v>
      </c>
      <c r="E31" s="135">
        <v>453577.27743999998</v>
      </c>
      <c r="F31" s="136">
        <v>161.32480000000001</v>
      </c>
      <c r="G31" s="134">
        <v>106.37</v>
      </c>
      <c r="H31" s="134">
        <v>207.52</v>
      </c>
      <c r="I31" s="123"/>
    </row>
    <row r="32" spans="1:9" s="273" customFormat="1" ht="15" customHeight="1" x14ac:dyDescent="0.35">
      <c r="A32" s="266" t="s">
        <v>131</v>
      </c>
      <c r="B32" s="267" t="s">
        <v>132</v>
      </c>
      <c r="C32" s="268">
        <v>32.72</v>
      </c>
      <c r="D32" s="269">
        <v>20649814</v>
      </c>
      <c r="E32" s="270"/>
      <c r="F32" s="271">
        <v>18.057316</v>
      </c>
      <c r="G32" s="268">
        <v>26.32</v>
      </c>
      <c r="H32" s="268">
        <v>35.31</v>
      </c>
      <c r="I32" s="272">
        <v>3</v>
      </c>
    </row>
    <row r="33" spans="1:9" ht="15" customHeight="1" x14ac:dyDescent="0.35">
      <c r="A33" s="116" t="s">
        <v>280</v>
      </c>
      <c r="B33" s="114" t="s">
        <v>412</v>
      </c>
      <c r="C33" s="134">
        <v>48.74</v>
      </c>
      <c r="D33" s="121">
        <v>11141176</v>
      </c>
      <c r="E33" s="135">
        <v>72337.145856000003</v>
      </c>
      <c r="F33" s="136">
        <v>23.775611999999999</v>
      </c>
      <c r="G33" s="134">
        <v>31.64</v>
      </c>
      <c r="H33" s="134">
        <v>60.46</v>
      </c>
      <c r="I33" s="123">
        <v>2.42</v>
      </c>
    </row>
    <row r="34" spans="1:9" s="273" customFormat="1" ht="15" customHeight="1" x14ac:dyDescent="0.35">
      <c r="A34" s="266" t="s">
        <v>137</v>
      </c>
      <c r="B34" s="267" t="s">
        <v>138</v>
      </c>
      <c r="C34" s="268">
        <v>153.22999999999999</v>
      </c>
      <c r="D34" s="269">
        <v>2110789</v>
      </c>
      <c r="E34" s="270">
        <v>100824.6</v>
      </c>
      <c r="F34" s="271">
        <v>28.292862</v>
      </c>
      <c r="G34" s="268">
        <v>107.24</v>
      </c>
      <c r="H34" s="268">
        <v>162.30000000000001</v>
      </c>
      <c r="I34" s="272">
        <v>0.71</v>
      </c>
    </row>
    <row r="35" spans="1:9" ht="15" customHeight="1" x14ac:dyDescent="0.35">
      <c r="A35" s="116" t="s">
        <v>113</v>
      </c>
      <c r="B35" s="114" t="s">
        <v>356</v>
      </c>
      <c r="C35" s="134">
        <v>472.78</v>
      </c>
      <c r="D35" s="121">
        <v>9722477</v>
      </c>
      <c r="E35" s="135">
        <v>2452061.159424</v>
      </c>
      <c r="F35" s="136">
        <v>35.334826999999997</v>
      </c>
      <c r="G35" s="134">
        <v>266.82</v>
      </c>
      <c r="H35" s="134">
        <v>479</v>
      </c>
      <c r="I35" s="123">
        <v>0.8</v>
      </c>
    </row>
    <row r="36" spans="1:9" ht="15" customHeight="1" x14ac:dyDescent="0.35">
      <c r="A36" s="116" t="s">
        <v>117</v>
      </c>
      <c r="B36" s="114" t="s">
        <v>118</v>
      </c>
      <c r="C36" s="134">
        <v>360.66</v>
      </c>
      <c r="D36" s="121">
        <v>3987848</v>
      </c>
      <c r="E36" s="135">
        <v>677086.95347199996</v>
      </c>
      <c r="F36" s="136">
        <v>30.668367</v>
      </c>
      <c r="G36" s="134">
        <v>293.89</v>
      </c>
      <c r="H36" s="134">
        <v>385.57</v>
      </c>
      <c r="I36" s="123">
        <v>0.74</v>
      </c>
    </row>
    <row r="37" spans="1:9" ht="15" customHeight="1" x14ac:dyDescent="0.35">
      <c r="A37" s="116" t="s">
        <v>282</v>
      </c>
      <c r="B37" s="114" t="s">
        <v>413</v>
      </c>
      <c r="C37" s="134">
        <v>273.33</v>
      </c>
      <c r="D37" s="121">
        <v>1077706</v>
      </c>
      <c r="E37" s="135">
        <v>44254.543872000002</v>
      </c>
      <c r="F37" s="136">
        <v>44.808197</v>
      </c>
      <c r="G37" s="134">
        <v>148.05000000000001</v>
      </c>
      <c r="H37" s="134">
        <v>310.5</v>
      </c>
      <c r="I37" s="123"/>
    </row>
    <row r="38" spans="1:9" s="273" customFormat="1" ht="15" customHeight="1" x14ac:dyDescent="0.35">
      <c r="A38" s="266" t="s">
        <v>128</v>
      </c>
      <c r="B38" s="267" t="s">
        <v>129</v>
      </c>
      <c r="C38" s="268">
        <v>51.82</v>
      </c>
      <c r="D38" s="269">
        <v>3089053</v>
      </c>
      <c r="E38" s="270"/>
      <c r="F38" s="271">
        <v>16.458015</v>
      </c>
      <c r="G38" s="268">
        <v>36.56</v>
      </c>
      <c r="H38" s="268">
        <v>56.44</v>
      </c>
      <c r="I38" s="272">
        <v>1.01</v>
      </c>
    </row>
    <row r="39" spans="1:9" ht="15" customHeight="1" x14ac:dyDescent="0.35">
      <c r="A39" s="116" t="s">
        <v>115</v>
      </c>
      <c r="B39" s="114" t="s">
        <v>116</v>
      </c>
      <c r="C39" s="134">
        <v>252.18</v>
      </c>
      <c r="D39" s="121">
        <v>3336969</v>
      </c>
      <c r="E39" s="135">
        <v>97086.308351999993</v>
      </c>
      <c r="F39" s="136">
        <v>57.183674000000003</v>
      </c>
      <c r="G39" s="134">
        <v>147.82</v>
      </c>
      <c r="H39" s="134">
        <v>379.935</v>
      </c>
      <c r="I39" s="123">
        <v>0.1</v>
      </c>
    </row>
    <row r="40" spans="1:9" ht="15" customHeight="1" x14ac:dyDescent="0.35">
      <c r="A40" s="116" t="s">
        <v>166</v>
      </c>
      <c r="B40" s="114" t="s">
        <v>167</v>
      </c>
      <c r="C40" s="134">
        <v>504.73</v>
      </c>
      <c r="D40" s="121">
        <v>939658</v>
      </c>
      <c r="E40" s="135">
        <v>127929.335808</v>
      </c>
      <c r="F40" s="136">
        <v>29.413171999999999</v>
      </c>
      <c r="G40" s="134">
        <v>400.74</v>
      </c>
      <c r="H40" s="134">
        <v>560.25</v>
      </c>
      <c r="I40" s="123"/>
    </row>
    <row r="41" spans="1:9" ht="15" customHeight="1" x14ac:dyDescent="0.35">
      <c r="A41" s="116" t="s">
        <v>133</v>
      </c>
      <c r="B41" s="114" t="s">
        <v>134</v>
      </c>
      <c r="C41" s="134">
        <v>156.46</v>
      </c>
      <c r="D41" s="121">
        <v>1229990</v>
      </c>
      <c r="E41" s="135"/>
      <c r="F41" s="136">
        <v>19.653794999999999</v>
      </c>
      <c r="G41" s="134">
        <v>137.41999999999999</v>
      </c>
      <c r="H41" s="134">
        <v>167.61</v>
      </c>
      <c r="I41" s="123">
        <v>2.2200000000000002</v>
      </c>
    </row>
    <row r="42" spans="1:9" ht="15" customHeight="1" x14ac:dyDescent="0.35">
      <c r="A42" s="116" t="s">
        <v>274</v>
      </c>
      <c r="B42" s="114" t="s">
        <v>392</v>
      </c>
      <c r="C42" s="134">
        <v>136.12</v>
      </c>
      <c r="D42" s="121">
        <v>1751563</v>
      </c>
      <c r="E42" s="135">
        <v>37147.295744000003</v>
      </c>
      <c r="F42" s="136">
        <v>17.143575999999999</v>
      </c>
      <c r="G42" s="134">
        <v>134.26</v>
      </c>
      <c r="H42" s="134">
        <v>170.14</v>
      </c>
      <c r="I42" s="123">
        <v>2.2000000000000002</v>
      </c>
    </row>
  </sheetData>
  <autoFilter ref="A2:I44" xr:uid="{00000000-0009-0000-0000-000008000000}"/>
  <mergeCells count="1">
    <mergeCell ref="A1:I1"/>
  </mergeCell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T162"/>
  <sheetViews>
    <sheetView showGridLines="0" topLeftCell="G158" zoomScaleNormal="100" workbookViewId="0">
      <selection activeCell="AO3" sqref="AO3"/>
    </sheetView>
  </sheetViews>
  <sheetFormatPr defaultColWidth="8.6328125" defaultRowHeight="14.5" x14ac:dyDescent="0.35"/>
  <cols>
    <col min="1" max="1" width="10.81640625" customWidth="1"/>
    <col min="2" max="5" width="5.6328125" customWidth="1"/>
    <col min="6" max="6" width="6.6328125" customWidth="1"/>
    <col min="7" max="21" width="5.6328125" customWidth="1"/>
    <col min="22" max="22" width="4.1796875" customWidth="1"/>
    <col min="23" max="40" width="6.1796875" customWidth="1"/>
    <col min="41" max="41" width="6.453125" bestFit="1" customWidth="1"/>
    <col min="42" max="46" width="4.1796875" customWidth="1"/>
  </cols>
  <sheetData>
    <row r="1" spans="1:46" ht="27" customHeight="1" x14ac:dyDescent="0.35">
      <c r="A1" s="223" t="s">
        <v>439</v>
      </c>
      <c r="B1" s="223"/>
      <c r="C1" s="223"/>
      <c r="D1" s="223"/>
      <c r="E1" s="223"/>
      <c r="F1" s="223"/>
      <c r="G1" s="223"/>
      <c r="H1" s="223"/>
      <c r="I1" s="223"/>
      <c r="J1" s="223"/>
      <c r="K1" s="223"/>
      <c r="L1" s="223"/>
      <c r="M1" s="223"/>
      <c r="N1" s="223"/>
      <c r="O1" s="223"/>
      <c r="P1" s="223"/>
      <c r="Q1" s="223"/>
      <c r="R1" s="223"/>
      <c r="S1" s="223"/>
      <c r="T1" s="223"/>
      <c r="U1" s="223"/>
    </row>
    <row r="2" spans="1:46" ht="34.5" customHeight="1" x14ac:dyDescent="0.35">
      <c r="A2" s="112" t="s">
        <v>286</v>
      </c>
      <c r="B2" s="112" t="str">
        <f>'Price History'!B2</f>
        <v>ADBE</v>
      </c>
      <c r="C2" s="112" t="str">
        <f>'Price History'!C2</f>
        <v>ANET</v>
      </c>
      <c r="D2" s="112" t="str">
        <f>'Price History'!D2</f>
        <v>ASML</v>
      </c>
      <c r="E2" s="112" t="str">
        <f>'Price History'!E2</f>
        <v>AVGO</v>
      </c>
      <c r="F2" s="112" t="str">
        <f>'Price History'!F2</f>
        <v>CRWD</v>
      </c>
      <c r="G2" s="112" t="str">
        <f>'Price History'!G2</f>
        <v>KLAC</v>
      </c>
      <c r="H2" s="112" t="str">
        <f>'Price History'!H2</f>
        <v>MU</v>
      </c>
      <c r="I2" s="112" t="str">
        <f>'Price History'!I2</f>
        <v>NVDA</v>
      </c>
      <c r="J2" s="112" t="str">
        <f>'Price History'!J2</f>
        <v>PLD</v>
      </c>
      <c r="K2" s="112" t="str">
        <f>'Price History'!K2</f>
        <v>PLTR</v>
      </c>
      <c r="L2" s="112" t="str">
        <f>'Price History'!L2</f>
        <v>TSM</v>
      </c>
      <c r="M2" s="112" t="str">
        <f>'Price History'!M2</f>
        <v>VRT</v>
      </c>
      <c r="N2" s="112" t="str">
        <f>'Price History'!N2</f>
        <v>VRTX</v>
      </c>
      <c r="O2" s="112" t="str">
        <f>'Price History'!O2</f>
        <v>AVUV</v>
      </c>
      <c r="P2" s="112" t="str">
        <f>'Price History'!P2</f>
        <v>DVY</v>
      </c>
      <c r="Q2" s="112" t="str">
        <f>'Price History'!Q2</f>
        <v>HELO</v>
      </c>
      <c r="R2" s="112" t="str">
        <f>'Price History'!R2</f>
        <v>JEPQ</v>
      </c>
      <c r="S2" s="112" t="str">
        <f>'Price History'!S2</f>
        <v>SPMO</v>
      </c>
      <c r="T2" s="112" t="str">
        <f>'Price History'!T2</f>
        <v>VFLO</v>
      </c>
      <c r="U2" s="112" t="str">
        <f>'Price History'!U2</f>
        <v>SCHD</v>
      </c>
      <c r="V2" s="138" t="str">
        <f>'Price History'!V2</f>
        <v>V</v>
      </c>
      <c r="W2" s="112" t="s">
        <v>440</v>
      </c>
      <c r="X2" s="112" t="s">
        <v>441</v>
      </c>
      <c r="Y2" s="112" t="s">
        <v>442</v>
      </c>
      <c r="Z2" s="112" t="s">
        <v>443</v>
      </c>
      <c r="AA2" s="112" t="s">
        <v>444</v>
      </c>
      <c r="AB2" s="112" t="s">
        <v>445</v>
      </c>
      <c r="AC2" s="112" t="s">
        <v>446</v>
      </c>
      <c r="AD2" s="112" t="s">
        <v>447</v>
      </c>
      <c r="AE2" s="112" t="s">
        <v>448</v>
      </c>
      <c r="AF2" s="112" t="s">
        <v>449</v>
      </c>
      <c r="AG2" s="112" t="s">
        <v>450</v>
      </c>
      <c r="AH2" s="112" t="s">
        <v>451</v>
      </c>
      <c r="AI2" s="112" t="s">
        <v>452</v>
      </c>
      <c r="AJ2" s="112" t="s">
        <v>453</v>
      </c>
      <c r="AK2" s="112" t="s">
        <v>454</v>
      </c>
      <c r="AL2" s="112" t="s">
        <v>455</v>
      </c>
      <c r="AM2" s="112" t="s">
        <v>456</v>
      </c>
      <c r="AN2" s="112" t="s">
        <v>457</v>
      </c>
      <c r="AO2" s="138" t="s">
        <v>458</v>
      </c>
      <c r="AP2" s="138" t="str">
        <f>'Price History'!W2</f>
        <v>VYM</v>
      </c>
      <c r="AQ2" s="138" t="str">
        <f>'Price History'!X2</f>
        <v>MLPI</v>
      </c>
      <c r="AR2" s="138" t="str">
        <f>'Price History'!Y2</f>
        <v>JEPI</v>
      </c>
      <c r="AS2" s="138" t="str">
        <f>'Price History'!Z2</f>
        <v>GE</v>
      </c>
      <c r="AT2" s="138" t="str">
        <f>'Price History'!AA2</f>
        <v>NFLX</v>
      </c>
    </row>
    <row r="3" spans="1:46" ht="15" customHeight="1" x14ac:dyDescent="0.35">
      <c r="A3" s="140">
        <f>IF('Price History'!A4="","",'Price History'!A4)</f>
        <v>45191</v>
      </c>
      <c r="B3" s="141">
        <f>IFERROR(IF(OR(NOT(ISNUMBER('Price History'!B4)),NOT(ISNUMBER('Price History'!B3)),'Price History'!B3=0),"",'Price History'!B4/'Price History'!B3-1),"")</f>
        <v>-3.02331297623325E-2</v>
      </c>
      <c r="C3" s="141">
        <f>IFERROR(IF(OR(NOT(ISNUMBER('Price History'!C4)),NOT(ISNUMBER('Price History'!C3)),'Price History'!C3=0),"",'Price History'!C4/'Price History'!C3-1),"")</f>
        <v>-2.3819835426591607E-2</v>
      </c>
      <c r="D3" s="141">
        <f>IFERROR(IF(OR(NOT(ISNUMBER('Price History'!D4)),NOT(ISNUMBER('Price History'!D3)),'Price History'!D3=0),"",'Price History'!D4/'Price History'!D3-1),"")</f>
        <v>-1.6013470558924991E-2</v>
      </c>
      <c r="E3" s="141">
        <f>IFERROR(IF(OR(NOT(ISNUMBER('Price History'!E4)),NOT(ISNUMBER('Price History'!E3)),'Price History'!E3=0),"",'Price History'!E4/'Price History'!E3-1),"")</f>
        <v>-2.1219512195121859E-2</v>
      </c>
      <c r="F3" s="141">
        <f>IFERROR(IF(OR(NOT(ISNUMBER('Price History'!F4)),NOT(ISNUMBER('Price History'!F3)),'Price History'!F3=0),"",'Price History'!F4/'Price History'!F3-1),"")</f>
        <v>-1.7408123791102459E-2</v>
      </c>
      <c r="G3" s="141">
        <f>IFERROR(IF(OR(NOT(ISNUMBER('Price History'!G4)),NOT(ISNUMBER('Price History'!G3)),'Price History'!G3=0),"",'Price History'!G4/'Price History'!G3-1),"")</f>
        <v>-5.1860202931229837E-3</v>
      </c>
      <c r="H3" s="141">
        <f>IFERROR(IF(OR(NOT(ISNUMBER('Price History'!H4)),NOT(ISNUMBER('Price History'!H3)),'Price History'!H3=0),"",'Price History'!H4/'Price History'!H3-1),"")</f>
        <v>-1.432498914773539E-2</v>
      </c>
      <c r="I3" s="141">
        <f>IFERROR(IF(OR(NOT(ISNUMBER('Price History'!I4)),NOT(ISNUMBER('Price History'!I3)),'Price History'!I3=0),"",'Price History'!I4/'Price History'!I3-1),"")</f>
        <v>-5.2090472926662135E-2</v>
      </c>
      <c r="J3" s="141">
        <f>IFERROR(IF(OR(NOT(ISNUMBER('Price History'!J4)),NOT(ISNUMBER('Price History'!J3)),'Price History'!J3=0),"",'Price History'!J4/'Price History'!J3-1),"")</f>
        <v>-7.3944921316166035E-2</v>
      </c>
      <c r="K3" s="141">
        <f>IFERROR(IF(OR(NOT(ISNUMBER('Price History'!K4)),NOT(ISNUMBER('Price History'!K3)),'Price History'!K3=0),"",'Price History'!K4/'Price History'!K3-1),"")</f>
        <v>-7.8277886497064575E-2</v>
      </c>
      <c r="L3" s="141">
        <f>IFERROR(IF(OR(NOT(ISNUMBER('Price History'!L4)),NOT(ISNUMBER('Price History'!L3)),'Price History'!L3=0),"",'Price History'!L4/'Price History'!L3-1),"")</f>
        <v>-4.0466472303206991E-2</v>
      </c>
      <c r="M3" s="141">
        <f>IFERROR(IF(OR(NOT(ISNUMBER('Price History'!M4)),NOT(ISNUMBER('Price History'!M3)),'Price History'!M3=0),"",'Price History'!M4/'Price History'!M3-1),"")</f>
        <v>-4.4976328248290343E-2</v>
      </c>
      <c r="N3" s="141">
        <f>IFERROR(IF(OR(NOT(ISNUMBER('Price History'!N4)),NOT(ISNUMBER('Price History'!N3)),'Price History'!N3=0),"",'Price History'!N4/'Price History'!N3-1),"")</f>
        <v>1.8056749785038129E-3</v>
      </c>
      <c r="O3" s="141">
        <f>IFERROR(IF(OR(NOT(ISNUMBER('Price History'!O4)),NOT(ISNUMBER('Price History'!O3)),'Price History'!O3=0),"",'Price History'!O4/'Price History'!O3-1),"")</f>
        <v>-2.9212587969725146E-2</v>
      </c>
      <c r="P3" s="141">
        <f>IFERROR(IF(OR(NOT(ISNUMBER('Price History'!P4)),NOT(ISNUMBER('Price History'!P3)),'Price History'!P3=0),"",'Price History'!P4/'Price History'!P3-1),"")</f>
        <v>-2.1373894025251028E-2</v>
      </c>
      <c r="Q3" s="141" t="str">
        <f>IFERROR(IF(OR(NOT(ISNUMBER('Price History'!Q4)),NOT(ISNUMBER('Price History'!Q3)),'Price History'!Q3=0),"",'Price History'!Q4/'Price History'!Q3-1),"")</f>
        <v/>
      </c>
      <c r="R3" s="141">
        <f>IFERROR(IF(OR(NOT(ISNUMBER('Price History'!R4)),NOT(ISNUMBER('Price History'!R3)),'Price History'!R3=0),"",'Price History'!R4/'Price History'!R3-1),"")</f>
        <v>-2.6972157772621852E-2</v>
      </c>
      <c r="S3" s="141">
        <f>IFERROR(IF(OR(NOT(ISNUMBER('Price History'!S4)),NOT(ISNUMBER('Price History'!S3)),'Price History'!S3=0),"",'Price History'!S4/'Price History'!S3-1),"")</f>
        <v>-2.4292903001908783E-2</v>
      </c>
      <c r="T3" s="141">
        <f>IFERROR(IF(OR(NOT(ISNUMBER('Price History'!T4)),NOT(ISNUMBER('Price History'!T3)),'Price History'!T3=0),"",'Price History'!T4/'Price History'!T3-1),"")</f>
        <v>-1.465927099841513E-2</v>
      </c>
      <c r="U3" s="141">
        <f>IFERROR(IF(OR(NOT(ISNUMBER('Price History'!U4)),NOT(ISNUMBER('Price History'!U3)),'Price History'!U3=0),"",'Price History'!U4/'Price History'!U3-1),"")</f>
        <v>-2.2935779816513735E-2</v>
      </c>
      <c r="V3" s="142">
        <f>IFERROR(IF(OR(NOT(ISNUMBER('Price History'!V4)),NOT(ISNUMBER('Price History'!V3)),'Price History'!V3=0),"",'Price History'!V4/'Price History'!V3-1),"")</f>
        <v>-2.482705937274543E-2</v>
      </c>
      <c r="W3" s="143">
        <f>IFERROR('Price History'!B3+(INDEX('Price History'!B:B,MATCH(9.99E+307,'Returns (Calc)'!$A:$A)+1)-'Price History'!B3)*(ROW()-3)/(MATCH(9.99E+307,'Returns (Calc)'!$A:$A)-3),"")</f>
        <v>528.89</v>
      </c>
      <c r="X3" s="143">
        <f>IFERROR('Price History'!C3+(INDEX('Price History'!C:C,MATCH(9.99E+307,'Returns (Calc)'!$A:$A)+1)-'Price History'!C3)*(ROW()-3)/(MATCH(9.99E+307,'Returns (Calc)'!$A:$A)-3),"")</f>
        <v>46.18</v>
      </c>
      <c r="Y3" s="143">
        <f>IFERROR('Price History'!D3+(INDEX('Price History'!D:D,MATCH(9.99E+307,'Returns (Calc)'!$A:$A)+1)-'Price History'!D3)*(ROW()-3)/(MATCH(9.99E+307,'Returns (Calc)'!$A:$A)-3),"")</f>
        <v>582.01</v>
      </c>
      <c r="Z3" s="143">
        <f>IFERROR('Price History'!E3+(INDEX('Price History'!E:E,MATCH(9.99E+307,'Returns (Calc)'!$A:$A)+1)-'Price History'!E3)*(ROW()-3)/(MATCH(9.99E+307,'Returns (Calc)'!$A:$A)-3),"")</f>
        <v>82</v>
      </c>
      <c r="AA3" s="143">
        <f>IFERROR('Price History'!F3+(INDEX('Price History'!F:F,MATCH(9.99E+307,'Returns (Calc)'!$A:$A)+1)-'Price History'!F3)*(ROW()-3)/(MATCH(9.99E+307,'Returns (Calc)'!$A:$A)-3),"")</f>
        <v>41.36</v>
      </c>
      <c r="AB3" s="143">
        <f>IFERROR('Price History'!G3+(INDEX('Price History'!G:G,MATCH(9.99E+307,'Returns (Calc)'!$A:$A)+1)-'Price History'!G3)*(ROW()-3)/(MATCH(9.99E+307,'Returns (Calc)'!$A:$A)-3),"")</f>
        <v>44.35</v>
      </c>
      <c r="AC3" s="143">
        <f>IFERROR('Price History'!H3+(INDEX('Price History'!H:H,MATCH(9.99E+307,'Returns (Calc)'!$A:$A)+1)-'Price History'!H3)*(ROW()-3)/(MATCH(9.99E+307,'Returns (Calc)'!$A:$A)-3),"")</f>
        <v>69.11</v>
      </c>
      <c r="AD3" s="143">
        <f>IFERROR('Price History'!I3+(INDEX('Price History'!I:I,MATCH(9.99E+307,'Returns (Calc)'!$A:$A)+1)-'Price History'!I3)*(ROW()-3)/(MATCH(9.99E+307,'Returns (Calc)'!$A:$A)-3),"")</f>
        <v>43.77</v>
      </c>
      <c r="AE3" s="143">
        <f>IFERROR('Price History'!J3+(INDEX('Price History'!J:J,MATCH(9.99E+307,'Returns (Calc)'!$A:$A)+1)-'Price History'!J3)*(ROW()-3)/(MATCH(9.99E+307,'Returns (Calc)'!$A:$A)-3),"")</f>
        <v>111.84</v>
      </c>
      <c r="AF3" s="143">
        <f>IFERROR('Price History'!K3+(INDEX('Price History'!K:K,MATCH(9.99E+307,'Returns (Calc)'!$A:$A)+1)-'Price History'!K3)*(ROW()-3)/(MATCH(9.99E+307,'Returns (Calc)'!$A:$A)-3),"")</f>
        <v>15.33</v>
      </c>
      <c r="AG3" s="143">
        <f>IFERROR('Price History'!L3+(INDEX('Price History'!L:L,MATCH(9.99E+307,'Returns (Calc)'!$A:$A)+1)-'Price History'!L3)*(ROW()-3)/(MATCH(9.99E+307,'Returns (Calc)'!$A:$A)-3),"")</f>
        <v>85.75</v>
      </c>
      <c r="AH3" s="143">
        <f>IFERROR('Price History'!M3+(INDEX('Price History'!M:M,MATCH(9.99E+307,'Returns (Calc)'!$A:$A)+1)-'Price History'!M3)*(ROW()-3)/(MATCH(9.99E+307,'Returns (Calc)'!$A:$A)-3),"")</f>
        <v>38.020000000000003</v>
      </c>
      <c r="AI3" s="143">
        <f>IFERROR('Price History'!N3+(INDEX('Price History'!N:N,MATCH(9.99E+307,'Returns (Calc)'!$A:$A)+1)-'Price History'!N3)*(ROW()-3)/(MATCH(9.99E+307,'Returns (Calc)'!$A:$A)-3),"")</f>
        <v>348.9</v>
      </c>
      <c r="AJ3" s="143">
        <f>IFERROR('Price History'!O3+(INDEX('Price History'!O:O,MATCH(9.99E+307,'Returns (Calc)'!$A:$A)+1)-'Price History'!O3)*(ROW()-3)/(MATCH(9.99E+307,'Returns (Calc)'!$A:$A)-3),"")</f>
        <v>75.31</v>
      </c>
      <c r="AK3" s="143">
        <f>IFERROR('Price History'!Q3+(INDEX('Price History'!Q:Q,MATCH(9.99E+307,'Returns (Calc)'!$A:$A)+1)-'Price History'!Q3)*(ROW()-3)/(MATCH(9.99E+307,'Returns (Calc)'!$A:$A)-3),"")</f>
        <v>0</v>
      </c>
      <c r="AL3" s="143">
        <f>IFERROR('Price History'!R3+(INDEX('Price History'!R:R,MATCH(9.99E+307,'Returns (Calc)'!$A:$A)+1)-'Price History'!R3)*(ROW()-3)/(MATCH(9.99E+307,'Returns (Calc)'!$A:$A)-3),"")</f>
        <v>34.479999999999997</v>
      </c>
      <c r="AM3" s="143">
        <f>IFERROR('Price History'!S3+(INDEX('Price History'!S:S,MATCH(9.99E+307,'Returns (Calc)'!$A:$A)+1)-'Price History'!S3)*(ROW()-3)/(MATCH(9.99E+307,'Returns (Calc)'!$A:$A)-3),"")</f>
        <v>57.63</v>
      </c>
      <c r="AN3" s="143">
        <f>IFERROR('Price History'!T3+(INDEX('Price History'!T:T,MATCH(9.99E+307,'Returns (Calc)'!$A:$A)+1)-'Price History'!T3)*(ROW()-3)/(MATCH(9.99E+307,'Returns (Calc)'!$A:$A)-3),"")</f>
        <v>25.24</v>
      </c>
      <c r="AO3" s="144">
        <f>IFERROR('Price History'!V3+(INDEX('Price History'!V:V,MATCH(9.99E+307,'Returns (Calc)'!$A:$A)+1)-'Price History'!V3)*(ROW()-3)/(MATCH(9.99E+307,'Returns (Calc)'!$A:$A)-3),"")</f>
        <v>235.63</v>
      </c>
      <c r="AP3" s="142">
        <f>IFERROR(IF(OR(NOT(ISNUMBER('Price History'!W4)),NOT(ISNUMBER('Price History'!W3)),'Price History'!W3=0),"",'Price History'!W4/'Price History'!W3-1),"")</f>
        <v>-2.1807485546201488E-2</v>
      </c>
      <c r="AQ3" s="142" t="str">
        <f>IFERROR(IF(OR(NOT(ISNUMBER('Price History'!X4)),NOT(ISNUMBER('Price History'!X3)),'Price History'!X3=0),"",'Price History'!X4/'Price History'!X3-1),"")</f>
        <v/>
      </c>
      <c r="AR3" s="142">
        <f>IFERROR(IF(OR(NOT(ISNUMBER('Price History'!Y4)),NOT(ISNUMBER('Price History'!Y3)),'Price History'!Y3=0),"",'Price History'!Y4/'Price History'!Y3-1),"")</f>
        <v>-1.8736988202636917E-2</v>
      </c>
      <c r="AS3" s="142">
        <f>IFERROR(IF(OR(NOT(ISNUMBER('Price History'!Z4)),NOT(ISNUMBER('Price History'!Z3)),'Price History'!Z3=0),"",'Price History'!Z4/'Price History'!Z3-1),"")</f>
        <v>-3.6722540802823223E-2</v>
      </c>
      <c r="AT3" s="142">
        <f>IFERROR(IF(OR(NOT(ISNUMBER('Price History'!AA4)),NOT(ISNUMBER('Price History'!AA3)),'Price History'!AA3=0),"",'Price History'!AA4/'Price History'!AA3-1),"")</f>
        <v>-4.3083900226757343E-2</v>
      </c>
    </row>
    <row r="4" spans="1:46" ht="15" customHeight="1" x14ac:dyDescent="0.35">
      <c r="A4" s="140">
        <f>IF('Price History'!A5="","",'Price History'!A5)</f>
        <v>45198</v>
      </c>
      <c r="B4" s="141">
        <f>IFERROR(IF(OR(NOT(ISNUMBER('Price History'!B5)),NOT(ISNUMBER('Price History'!B4)),'Price History'!B4=0),"",'Price History'!B5/'Price History'!B4-1),"")</f>
        <v>-5.849093390524418E-3</v>
      </c>
      <c r="C4" s="141">
        <f>IFERROR(IF(OR(NOT(ISNUMBER('Price History'!C5)),NOT(ISNUMBER('Price History'!C4)),'Price History'!C4=0),"",'Price History'!C5/'Price History'!C4-1),"")</f>
        <v>1.9964507542147292E-2</v>
      </c>
      <c r="D4" s="141">
        <f>IFERROR(IF(OR(NOT(ISNUMBER('Price History'!D5)),NOT(ISNUMBER('Price History'!D4)),'Price History'!D4=0),"",'Price History'!D5/'Price History'!D4-1),"")</f>
        <v>2.6541409837783636E-3</v>
      </c>
      <c r="E4" s="141">
        <f>IFERROR(IF(OR(NOT(ISNUMBER('Price History'!E5)),NOT(ISNUMBER('Price History'!E4)),'Price History'!E4=0),"",'Price History'!E5/'Price History'!E4-1),"")</f>
        <v>1.8689259905306788E-3</v>
      </c>
      <c r="F4" s="141">
        <f>IFERROR(IF(OR(NOT(ISNUMBER('Price History'!F5)),NOT(ISNUMBER('Price History'!F4)),'Price History'!F4=0),"",'Price History'!F5/'Price History'!F4-1),"")</f>
        <v>2.9773622047244208E-2</v>
      </c>
      <c r="G4" s="141">
        <f>IFERROR(IF(OR(NOT(ISNUMBER('Price History'!G5)),NOT(ISNUMBER('Price History'!G4)),'Price History'!G4=0),"",'Price History'!G5/'Price History'!G4-1),"")</f>
        <v>1.5185856754306393E-2</v>
      </c>
      <c r="H4" s="141">
        <f>IFERROR(IF(OR(NOT(ISNUMBER('Price History'!H5)),NOT(ISNUMBER('Price History'!H4)),'Price History'!H4=0),"",'Price History'!H5/'Price History'!H4-1),"")</f>
        <v>-1.2331180270111597E-2</v>
      </c>
      <c r="I4" s="141">
        <f>IFERROR(IF(OR(NOT(ISNUMBER('Price History'!I5)),NOT(ISNUMBER('Price History'!I4)),'Price History'!I4=0),"",'Price History'!I5/'Price History'!I4-1),"")</f>
        <v>4.5312123403229654E-2</v>
      </c>
      <c r="J4" s="141">
        <f>IFERROR(IF(OR(NOT(ISNUMBER('Price History'!J5)),NOT(ISNUMBER('Price History'!J4)),'Price History'!J4=0),"",'Price History'!J5/'Price History'!J4-1),"")</f>
        <v>-1.6317466447813067E-2</v>
      </c>
      <c r="K4" s="141">
        <f>IFERROR(IF(OR(NOT(ISNUMBER('Price History'!K5)),NOT(ISNUMBER('Price History'!K4)),'Price History'!K4=0),"",'Price History'!K5/'Price History'!K4-1),"")</f>
        <v>0.13234253361641901</v>
      </c>
      <c r="L4" s="141">
        <f>IFERROR(IF(OR(NOT(ISNUMBER('Price History'!L5)),NOT(ISNUMBER('Price History'!L4)),'Price History'!L4=0),"",'Price History'!L5/'Price History'!L4-1),"")</f>
        <v>1.4705882352941124E-2</v>
      </c>
      <c r="M4" s="141">
        <f>IFERROR(IF(OR(NOT(ISNUMBER('Price History'!M5)),NOT(ISNUMBER('Price History'!M4)),'Price History'!M4=0),"",'Price History'!M5/'Price History'!M4-1),"")</f>
        <v>2.0655466813549905E-2</v>
      </c>
      <c r="N4" s="141">
        <f>IFERROR(IF(OR(NOT(ISNUMBER('Price History'!N5)),NOT(ISNUMBER('Price History'!N4)),'Price History'!N4=0),"",'Price History'!N5/'Price History'!N4-1),"")</f>
        <v>-5.1211627042027086E-3</v>
      </c>
      <c r="O4" s="141">
        <f>IFERROR(IF(OR(NOT(ISNUMBER('Price History'!O5)),NOT(ISNUMBER('Price History'!O4)),'Price History'!O4=0),"",'Price History'!O5/'Price History'!O4-1),"")</f>
        <v>1.6413623307345082E-2</v>
      </c>
      <c r="P4" s="141">
        <f>IFERROR(IF(OR(NOT(ISNUMBER('Price History'!P5)),NOT(ISNUMBER('Price History'!P4)),'Price History'!P4=0),"",'Price History'!P5/'Price History'!P4-1),"")</f>
        <v>-1.8793173506704508E-2</v>
      </c>
      <c r="Q4" s="141" t="str">
        <f>IFERROR(IF(OR(NOT(ISNUMBER('Price History'!Q5)),NOT(ISNUMBER('Price History'!Q4)),'Price History'!Q4=0),"",'Price History'!Q5/'Price History'!Q4-1),"")</f>
        <v/>
      </c>
      <c r="R4" s="141">
        <f>IFERROR(IF(OR(NOT(ISNUMBER('Price History'!R5)),NOT(ISNUMBER('Price History'!R4)),'Price History'!R4=0),"",'Price History'!R5/'Price History'!R4-1),"")</f>
        <v>5.9612518628915367E-4</v>
      </c>
      <c r="S4" s="141">
        <f>IFERROR(IF(OR(NOT(ISNUMBER('Price History'!S5)),NOT(ISNUMBER('Price History'!S4)),'Price History'!S4=0),"",'Price History'!S5/'Price History'!S4-1),"")</f>
        <v>-3.0232971723278546E-3</v>
      </c>
      <c r="T4" s="141">
        <f>IFERROR(IF(OR(NOT(ISNUMBER('Price History'!T5)),NOT(ISNUMBER('Price History'!T4)),'Price History'!T4=0),"",'Price History'!T5/'Price History'!T4-1),"")</f>
        <v>2.8146361077603377E-3</v>
      </c>
      <c r="U4" s="141">
        <f>IFERROR(IF(OR(NOT(ISNUMBER('Price History'!U5)),NOT(ISNUMBER('Price History'!U4)),'Price History'!U4=0),"",'Price History'!U5/'Price History'!U4-1),"")</f>
        <v>-7.5117370892018309E-3</v>
      </c>
      <c r="V4" s="142">
        <f>IFERROR(IF(OR(NOT(ISNUMBER('Price History'!V5)),NOT(ISNUMBER('Price History'!V4)),'Price History'!V4=0),"",'Price History'!V5/'Price History'!V4-1),"")</f>
        <v>-2.1585864740186311E-2</v>
      </c>
      <c r="W4" s="143">
        <f>IFERROR('Price History'!B3+(INDEX('Price History'!B:B,MATCH(9.99E+307,'Returns (Calc)'!$A:$A)+1)-'Price History'!B3)*(ROW()-3)/(MATCH(9.99E+307,'Returns (Calc)'!$A:$A)-3),"")</f>
        <v>527.04696202531647</v>
      </c>
      <c r="X4" s="143">
        <f>IFERROR('Price History'!C3+(INDEX('Price History'!C:C,MATCH(9.99E+307,'Returns (Calc)'!$A:$A)+1)-'Price History'!C3)*(ROW()-3)/(MATCH(9.99E+307,'Returns (Calc)'!$A:$A)-3),"")</f>
        <v>47.200063291139237</v>
      </c>
      <c r="Y4" s="143">
        <f>IFERROR('Price History'!D3+(INDEX('Price History'!D:D,MATCH(9.99E+307,'Returns (Calc)'!$A:$A)+1)-'Price History'!D3)*(ROW()-3)/(MATCH(9.99E+307,'Returns (Calc)'!$A:$A)-3),"")</f>
        <v>590.14481012658223</v>
      </c>
      <c r="Z4" s="143">
        <f>IFERROR('Price History'!E3+(INDEX('Price History'!E:E,MATCH(9.99E+307,'Returns (Calc)'!$A:$A)+1)-'Price History'!E3)*(ROW()-3)/(MATCH(9.99E+307,'Returns (Calc)'!$A:$A)-3),"")</f>
        <v>83.728734177215188</v>
      </c>
      <c r="AA4" s="143">
        <f>IFERROR('Price History'!F3+(INDEX('Price History'!F:F,MATCH(9.99E+307,'Returns (Calc)'!$A:$A)+1)-'Price History'!F3)*(ROW()-3)/(MATCH(9.99E+307,'Returns (Calc)'!$A:$A)-3),"")</f>
        <v>42.807341772151901</v>
      </c>
      <c r="AB4" s="143">
        <f>IFERROR('Price History'!G3+(INDEX('Price History'!G:G,MATCH(9.99E+307,'Returns (Calc)'!$A:$A)+1)-'Price History'!G3)*(ROW()-3)/(MATCH(9.99E+307,'Returns (Calc)'!$A:$A)-3),"")</f>
        <v>45.378734177215193</v>
      </c>
      <c r="AC4" s="143">
        <f>IFERROR('Price History'!H3+(INDEX('Price History'!H:H,MATCH(9.99E+307,'Returns (Calc)'!$A:$A)+1)-'Price History'!H3)*(ROW()-3)/(MATCH(9.99E+307,'Returns (Calc)'!$A:$A)-3),"")</f>
        <v>75.475696202531651</v>
      </c>
      <c r="AD4" s="143">
        <f>IFERROR('Price History'!I3+(INDEX('Price History'!I:I,MATCH(9.99E+307,'Returns (Calc)'!$A:$A)+1)-'Price History'!I3)*(ROW()-3)/(MATCH(9.99E+307,'Returns (Calc)'!$A:$A)-3),"")</f>
        <v>44.973670886075951</v>
      </c>
      <c r="AE4" s="143">
        <f>IFERROR('Price History'!J3+(INDEX('Price History'!J:J,MATCH(9.99E+307,'Returns (Calc)'!$A:$A)+1)-'Price History'!J3)*(ROW()-3)/(MATCH(9.99E+307,'Returns (Calc)'!$A:$A)-3),"")</f>
        <v>111.94803797468354</v>
      </c>
      <c r="AF4" s="143">
        <f>IFERROR('Price History'!K3+(INDEX('Price History'!K:K,MATCH(9.99E+307,'Returns (Calc)'!$A:$A)+1)-'Price History'!K3)*(ROW()-3)/(MATCH(9.99E+307,'Returns (Calc)'!$A:$A)-3),"")</f>
        <v>16.427594936708861</v>
      </c>
      <c r="AG4" s="143">
        <f>IFERROR('Price History'!L3+(INDEX('Price History'!L:L,MATCH(9.99E+307,'Returns (Calc)'!$A:$A)+1)-'Price History'!L3)*(ROW()-3)/(MATCH(9.99E+307,'Returns (Calc)'!$A:$A)-3),"")</f>
        <v>88.199556962025312</v>
      </c>
      <c r="AH4" s="143">
        <f>IFERROR('Price History'!M3+(INDEX('Price History'!M:M,MATCH(9.99E+307,'Returns (Calc)'!$A:$A)+1)-'Price History'!M3)*(ROW()-3)/(MATCH(9.99E+307,'Returns (Calc)'!$A:$A)-3),"")</f>
        <v>39.375443037974684</v>
      </c>
      <c r="AI4" s="143">
        <f>IFERROR('Price History'!N3+(INDEX('Price History'!N:N,MATCH(9.99E+307,'Returns (Calc)'!$A:$A)+1)-'Price History'!N3)*(ROW()-3)/(MATCH(9.99E+307,'Returns (Calc)'!$A:$A)-3),"")</f>
        <v>349.88626582278476</v>
      </c>
      <c r="AJ4" s="143">
        <f>IFERROR('Price History'!O3+(INDEX('Price History'!O:O,MATCH(9.99E+307,'Returns (Calc)'!$A:$A)+1)-'Price History'!O3)*(ROW()-3)/(MATCH(9.99E+307,'Returns (Calc)'!$A:$A)-3),"")</f>
        <v>75.59303797468354</v>
      </c>
      <c r="AK4" s="143">
        <f>IFERROR('Price History'!Q3+(INDEX('Price History'!Q:Q,MATCH(9.99E+307,'Returns (Calc)'!$A:$A)+1)-'Price History'!Q3)*(ROW()-3)/(MATCH(9.99E+307,'Returns (Calc)'!$A:$A)-3),"")</f>
        <v>0.43936708860759494</v>
      </c>
      <c r="AL4" s="143">
        <f>IFERROR('Price History'!R3+(INDEX('Price History'!R:R,MATCH(9.99E+307,'Returns (Calc)'!$A:$A)+1)-'Price History'!R3)*(ROW()-3)/(MATCH(9.99E+307,'Returns (Calc)'!$A:$A)-3),"")</f>
        <v>34.648101265822781</v>
      </c>
      <c r="AM4" s="143">
        <f>IFERROR('Price History'!S3+(INDEX('Price History'!S:S,MATCH(9.99E+307,'Returns (Calc)'!$A:$A)+1)-'Price History'!S3)*(ROW()-3)/(MATCH(9.99E+307,'Returns (Calc)'!$A:$A)-3),"")</f>
        <v>58.235063291139241</v>
      </c>
      <c r="AN4" s="143">
        <f>IFERROR('Price History'!T3+(INDEX('Price History'!T:T,MATCH(9.99E+307,'Returns (Calc)'!$A:$A)+1)-'Price History'!T3)*(ROW()-3)/(MATCH(9.99E+307,'Returns (Calc)'!$A:$A)-3),"")</f>
        <v>25.408227848101266</v>
      </c>
      <c r="AO4" s="144">
        <f>IFERROR('Price History'!V3+(INDEX('Price History'!V:V,MATCH(9.99E+307,'Returns (Calc)'!$A:$A)+1)-'Price History'!V3)*(ROW()-3)/(MATCH(9.99E+307,'Returns (Calc)'!$A:$A)-3),"")</f>
        <v>236.42132911392406</v>
      </c>
      <c r="AP4" s="142">
        <f>IFERROR(IF(OR(NOT(ISNUMBER('Price History'!W5)),NOT(ISNUMBER('Price History'!W4)),'Price History'!W4=0),"",'Price History'!W5/'Price History'!W4-1),"")</f>
        <v>-1.2754043965159778E-2</v>
      </c>
      <c r="AQ4" s="142" t="str">
        <f>IFERROR(IF(OR(NOT(ISNUMBER('Price History'!X5)),NOT(ISNUMBER('Price History'!X4)),'Price History'!X4=0),"",'Price History'!X5/'Price History'!X4-1),"")</f>
        <v/>
      </c>
      <c r="AR4" s="142">
        <f>IFERROR(IF(OR(NOT(ISNUMBER('Price History'!Y5)),NOT(ISNUMBER('Price History'!Y4)),'Price History'!Y4=0),"",'Price History'!Y5/'Price History'!Y4-1),"")</f>
        <v>-1.1079679396511E-2</v>
      </c>
      <c r="AS4" s="142">
        <f>IFERROR(IF(OR(NOT(ISNUMBER('Price History'!Z5)),NOT(ISNUMBER('Price History'!Z4)),'Price History'!Z4=0),"",'Price History'!Z5/'Price History'!Z4-1),"")</f>
        <v>-5.6096164854034791E-3</v>
      </c>
      <c r="AT4" s="142">
        <f>IFERROR(IF(OR(NOT(ISNUMBER('Price History'!AA5)),NOT(ISNUMBER('Price History'!AA4)),'Price History'!AA4=0),"",'Price History'!AA5/'Price History'!AA4-1),"")</f>
        <v>-5.7925223802001158E-3</v>
      </c>
    </row>
    <row r="5" spans="1:46" ht="15" customHeight="1" x14ac:dyDescent="0.35">
      <c r="A5" s="140">
        <f>IF('Price History'!A6="","",'Price History'!A6)</f>
        <v>45205</v>
      </c>
      <c r="B5" s="141">
        <f>IFERROR(IF(OR(NOT(ISNUMBER('Price History'!B6)),NOT(ISNUMBER('Price History'!B5)),'Price History'!B5=0),"",'Price History'!B6/'Price History'!B5-1),"")</f>
        <v>3.2908413414394877E-2</v>
      </c>
      <c r="C5" s="141">
        <f>IFERROR(IF(OR(NOT(ISNUMBER('Price History'!C6)),NOT(ISNUMBER('Price History'!C5)),'Price History'!C5=0),"",'Price History'!C6/'Price History'!C5-1),"")</f>
        <v>5.5023923444976086E-2</v>
      </c>
      <c r="D5" s="141">
        <f>IFERROR(IF(OR(NOT(ISNUMBER('Price History'!D6)),NOT(ISNUMBER('Price History'!D5)),'Price History'!D5=0),"",'Price History'!D6/'Price History'!D5-1),"")</f>
        <v>1.4768116194423753E-2</v>
      </c>
      <c r="E5" s="141">
        <f>IFERROR(IF(OR(NOT(ISNUMBER('Price History'!E6)),NOT(ISNUMBER('Price History'!E5)),'Price History'!E5=0),"",'Price History'!E6/'Price History'!E5-1),"")</f>
        <v>1.7659495087675614E-2</v>
      </c>
      <c r="F5" s="141">
        <f>IFERROR(IF(OR(NOT(ISNUMBER('Price History'!F6)),NOT(ISNUMBER('Price History'!F5)),'Price History'!F5=0),"",'Price History'!F6/'Price History'!F5-1),"")</f>
        <v>5.5436081242532964E-2</v>
      </c>
      <c r="G5" s="141">
        <f>IFERROR(IF(OR(NOT(ISNUMBER('Price History'!G6)),NOT(ISNUMBER('Price History'!G5)),'Price History'!G5=0),"",'Price History'!G6/'Price History'!G5-1),"")</f>
        <v>2.031703505246707E-2</v>
      </c>
      <c r="H5" s="141">
        <f>IFERROR(IF(OR(NOT(ISNUMBER('Price History'!H6)),NOT(ISNUMBER('Price History'!H5)),'Price History'!H5=0),"",'Price History'!H6/'Price History'!H5-1),"")</f>
        <v>3.0023781212841882E-2</v>
      </c>
      <c r="I5" s="141">
        <f>IFERROR(IF(OR(NOT(ISNUMBER('Price History'!I6)),NOT(ISNUMBER('Price History'!I5)),'Price History'!I5=0),"",'Price History'!I6/'Price History'!I5-1),"")</f>
        <v>5.210975328568157E-2</v>
      </c>
      <c r="J5" s="141">
        <f>IFERROR(IF(OR(NOT(ISNUMBER('Price History'!J6)),NOT(ISNUMBER('Price History'!J5)),'Price History'!J5=0),"",'Price History'!J6/'Price History'!J5-1),"")</f>
        <v>-2.9446407538280317E-2</v>
      </c>
      <c r="K5" s="141">
        <f>IFERROR(IF(OR(NOT(ISNUMBER('Price History'!K6)),NOT(ISNUMBER('Price History'!K5)),'Price History'!K5=0),"",'Price History'!K6/'Price History'!K5-1),"")</f>
        <v>3.8124999999999964E-2</v>
      </c>
      <c r="L5" s="141">
        <f>IFERROR(IF(OR(NOT(ISNUMBER('Price History'!L6)),NOT(ISNUMBER('Price History'!L5)),'Price History'!L5=0),"",'Price History'!L6/'Price History'!L5-1),"")</f>
        <v>2.7548209366391241E-2</v>
      </c>
      <c r="M5" s="141">
        <f>IFERROR(IF(OR(NOT(ISNUMBER('Price History'!M6)),NOT(ISNUMBER('Price History'!M5)),'Price History'!M5=0),"",'Price History'!M6/'Price History'!M5-1),"")</f>
        <v>6.907717215326481E-2</v>
      </c>
      <c r="N5" s="141">
        <f>IFERROR(IF(OR(NOT(ISNUMBER('Price History'!N6)),NOT(ISNUMBER('Price History'!N5)),'Price History'!N5=0),"",'Price History'!N6/'Price History'!N5-1),"")</f>
        <v>3.7039167193880562E-2</v>
      </c>
      <c r="O5" s="141">
        <f>IFERROR(IF(OR(NOT(ISNUMBER('Price History'!O6)),NOT(ISNUMBER('Price History'!O5)),'Price History'!O5=0),"",'Price History'!O6/'Price History'!O5-1),"")</f>
        <v>-3.0143991387431179E-2</v>
      </c>
      <c r="P5" s="141">
        <f>IFERROR(IF(OR(NOT(ISNUMBER('Price History'!P6)),NOT(ISNUMBER('Price History'!P5)),'Price History'!P5=0),"",'Price History'!P6/'Price History'!P5-1),"")</f>
        <v>-2.2259033026193253E-2</v>
      </c>
      <c r="Q5" s="141">
        <f>IFERROR(IF(OR(NOT(ISNUMBER('Price History'!Q6)),NOT(ISNUMBER('Price History'!Q5)),'Price History'!Q5=0),"",'Price History'!Q6/'Price History'!Q5-1),"")</f>
        <v>3.2719836400818547E-3</v>
      </c>
      <c r="R5" s="141">
        <f>IFERROR(IF(OR(NOT(ISNUMBER('Price History'!R6)),NOT(ISNUMBER('Price History'!R5)),'Price History'!R5=0),"",'Price History'!R6/'Price History'!R5-1),"")</f>
        <v>1.3106940720881699E-2</v>
      </c>
      <c r="S5" s="141">
        <f>IFERROR(IF(OR(NOT(ISNUMBER('Price History'!S6)),NOT(ISNUMBER('Price History'!S5)),'Price History'!S5=0),"",'Price History'!S6/'Price History'!S5-1),"")</f>
        <v>1.1059579022475896E-2</v>
      </c>
      <c r="T5" s="141">
        <f>IFERROR(IF(OR(NOT(ISNUMBER('Price History'!T6)),NOT(ISNUMBER('Price History'!T5)),'Price History'!T5=0),"",'Price History'!T6/'Price History'!T5-1),"")</f>
        <v>-1.8845228548516557E-2</v>
      </c>
      <c r="U5" s="141">
        <f>IFERROR(IF(OR(NOT(ISNUMBER('Price History'!U6)),NOT(ISNUMBER('Price History'!U5)),'Price History'!U5=0),"",'Price History'!U6/'Price History'!U5-1),"")</f>
        <v>-1.6083254493850507E-2</v>
      </c>
      <c r="V5" s="142">
        <f>IFERROR(IF(OR(NOT(ISNUMBER('Price History'!V6)),NOT(ISNUMBER('Price History'!V5)),'Price History'!V5=0),"",'Price History'!V6/'Price History'!V5-1),"")</f>
        <v>2.1884174005871504E-2</v>
      </c>
      <c r="W5" s="143">
        <f>IFERROR('Price History'!B3+(INDEX('Price History'!B:B,MATCH(9.99E+307,'Returns (Calc)'!$A:$A)+1)-'Price History'!B3)*(ROW()-3)/(MATCH(9.99E+307,'Returns (Calc)'!$A:$A)-3),"")</f>
        <v>525.20392405063285</v>
      </c>
      <c r="X5" s="143">
        <f>IFERROR('Price History'!C3+(INDEX('Price History'!C:C,MATCH(9.99E+307,'Returns (Calc)'!$A:$A)+1)-'Price History'!C3)*(ROW()-3)/(MATCH(9.99E+307,'Returns (Calc)'!$A:$A)-3),"")</f>
        <v>48.220126582278482</v>
      </c>
      <c r="Y5" s="143">
        <f>IFERROR('Price History'!D3+(INDEX('Price History'!D:D,MATCH(9.99E+307,'Returns (Calc)'!$A:$A)+1)-'Price History'!D3)*(ROW()-3)/(MATCH(9.99E+307,'Returns (Calc)'!$A:$A)-3),"")</f>
        <v>598.27962025316458</v>
      </c>
      <c r="Z5" s="143">
        <f>IFERROR('Price History'!E3+(INDEX('Price History'!E:E,MATCH(9.99E+307,'Returns (Calc)'!$A:$A)+1)-'Price History'!E3)*(ROW()-3)/(MATCH(9.99E+307,'Returns (Calc)'!$A:$A)-3),"")</f>
        <v>85.457468354430375</v>
      </c>
      <c r="AA5" s="143">
        <f>IFERROR('Price History'!F3+(INDEX('Price History'!F:F,MATCH(9.99E+307,'Returns (Calc)'!$A:$A)+1)-'Price History'!F3)*(ROW()-3)/(MATCH(9.99E+307,'Returns (Calc)'!$A:$A)-3),"")</f>
        <v>44.254683544303795</v>
      </c>
      <c r="AB5" s="143">
        <f>IFERROR('Price History'!G3+(INDEX('Price History'!G:G,MATCH(9.99E+307,'Returns (Calc)'!$A:$A)+1)-'Price History'!G3)*(ROW()-3)/(MATCH(9.99E+307,'Returns (Calc)'!$A:$A)-3),"")</f>
        <v>46.407468354430378</v>
      </c>
      <c r="AC5" s="143">
        <f>IFERROR('Price History'!H3+(INDEX('Price History'!H:H,MATCH(9.99E+307,'Returns (Calc)'!$A:$A)+1)-'Price History'!H3)*(ROW()-3)/(MATCH(9.99E+307,'Returns (Calc)'!$A:$A)-3),"")</f>
        <v>81.841392405063289</v>
      </c>
      <c r="AD5" s="143">
        <f>IFERROR('Price History'!I3+(INDEX('Price History'!I:I,MATCH(9.99E+307,'Returns (Calc)'!$A:$A)+1)-'Price History'!I3)*(ROW()-3)/(MATCH(9.99E+307,'Returns (Calc)'!$A:$A)-3),"")</f>
        <v>46.177341772151905</v>
      </c>
      <c r="AE5" s="143">
        <f>IFERROR('Price History'!J3+(INDEX('Price History'!J:J,MATCH(9.99E+307,'Returns (Calc)'!$A:$A)+1)-'Price History'!J3)*(ROW()-3)/(MATCH(9.99E+307,'Returns (Calc)'!$A:$A)-3),"")</f>
        <v>112.0560759493671</v>
      </c>
      <c r="AF5" s="143">
        <f>IFERROR('Price History'!K3+(INDEX('Price History'!K:K,MATCH(9.99E+307,'Returns (Calc)'!$A:$A)+1)-'Price History'!K3)*(ROW()-3)/(MATCH(9.99E+307,'Returns (Calc)'!$A:$A)-3),"")</f>
        <v>17.525189873417723</v>
      </c>
      <c r="AG5" s="143">
        <f>IFERROR('Price History'!L3+(INDEX('Price History'!L:L,MATCH(9.99E+307,'Returns (Calc)'!$A:$A)+1)-'Price History'!L3)*(ROW()-3)/(MATCH(9.99E+307,'Returns (Calc)'!$A:$A)-3),"")</f>
        <v>90.649113924050639</v>
      </c>
      <c r="AH5" s="143">
        <f>IFERROR('Price History'!M3+(INDEX('Price History'!M:M,MATCH(9.99E+307,'Returns (Calc)'!$A:$A)+1)-'Price History'!M3)*(ROW()-3)/(MATCH(9.99E+307,'Returns (Calc)'!$A:$A)-3),"")</f>
        <v>40.730886075949371</v>
      </c>
      <c r="AI5" s="143">
        <f>IFERROR('Price History'!N3+(INDEX('Price History'!N:N,MATCH(9.99E+307,'Returns (Calc)'!$A:$A)+1)-'Price History'!N3)*(ROW()-3)/(MATCH(9.99E+307,'Returns (Calc)'!$A:$A)-3),"")</f>
        <v>350.87253164556961</v>
      </c>
      <c r="AJ5" s="143">
        <f>IFERROR('Price History'!O3+(INDEX('Price History'!O:O,MATCH(9.99E+307,'Returns (Calc)'!$A:$A)+1)-'Price History'!O3)*(ROW()-3)/(MATCH(9.99E+307,'Returns (Calc)'!$A:$A)-3),"")</f>
        <v>75.876075949367092</v>
      </c>
      <c r="AK5" s="143">
        <f>IFERROR('Price History'!Q3+(INDEX('Price History'!Q:Q,MATCH(9.99E+307,'Returns (Calc)'!$A:$A)+1)-'Price History'!Q3)*(ROW()-3)/(MATCH(9.99E+307,'Returns (Calc)'!$A:$A)-3),"")</f>
        <v>0.87873417721518987</v>
      </c>
      <c r="AL5" s="143">
        <f>IFERROR('Price History'!R3+(INDEX('Price History'!R:R,MATCH(9.99E+307,'Returns (Calc)'!$A:$A)+1)-'Price History'!R3)*(ROW()-3)/(MATCH(9.99E+307,'Returns (Calc)'!$A:$A)-3),"")</f>
        <v>34.816202531645565</v>
      </c>
      <c r="AM5" s="143">
        <f>IFERROR('Price History'!S3+(INDEX('Price History'!S:S,MATCH(9.99E+307,'Returns (Calc)'!$A:$A)+1)-'Price History'!S3)*(ROW()-3)/(MATCH(9.99E+307,'Returns (Calc)'!$A:$A)-3),"")</f>
        <v>58.840126582278486</v>
      </c>
      <c r="AN5" s="143">
        <f>IFERROR('Price History'!T3+(INDEX('Price History'!T:T,MATCH(9.99E+307,'Returns (Calc)'!$A:$A)+1)-'Price History'!T3)*(ROW()-3)/(MATCH(9.99E+307,'Returns (Calc)'!$A:$A)-3),"")</f>
        <v>25.57645569620253</v>
      </c>
      <c r="AO5" s="144">
        <f>IFERROR('Price History'!V3+(INDEX('Price History'!V:V,MATCH(9.99E+307,'Returns (Calc)'!$A:$A)+1)-'Price History'!V3)*(ROW()-3)/(MATCH(9.99E+307,'Returns (Calc)'!$A:$A)-3),"")</f>
        <v>237.2126582278481</v>
      </c>
      <c r="AP5" s="142">
        <f>IFERROR(IF(OR(NOT(ISNUMBER('Price History'!W6)),NOT(ISNUMBER('Price History'!W5)),'Price History'!W5=0),"",'Price History'!W6/'Price History'!W5-1),"")</f>
        <v>-1.9430732065959355E-2</v>
      </c>
      <c r="AQ5" s="142" t="str">
        <f>IFERROR(IF(OR(NOT(ISNUMBER('Price History'!X6)),NOT(ISNUMBER('Price History'!X5)),'Price History'!X5=0),"",'Price History'!X6/'Price History'!X5-1),"")</f>
        <v/>
      </c>
      <c r="AR5" s="142">
        <f>IFERROR(IF(OR(NOT(ISNUMBER('Price History'!Y6)),NOT(ISNUMBER('Price History'!Y5)),'Price History'!Y5=0),"",'Price History'!Y6/'Price History'!Y5-1),"")</f>
        <v>-3.5756853396902155E-3</v>
      </c>
      <c r="AS5" s="142">
        <f>IFERROR(IF(OR(NOT(ISNUMBER('Price History'!Z6)),NOT(ISNUMBER('Price History'!Z5)),'Price History'!Z5=0),"",'Price History'!Z6/'Price History'!Z5-1),"")</f>
        <v>8.4043288049735487E-3</v>
      </c>
      <c r="AT5" s="142">
        <f>IFERROR(IF(OR(NOT(ISNUMBER('Price History'!AA6)),NOT(ISNUMBER('Price History'!AA5)),'Price History'!AA5=0),"",'Price History'!AA6/'Price History'!AA5-1),"")</f>
        <v>1.0328389830508433E-2</v>
      </c>
    </row>
    <row r="6" spans="1:46" ht="15" customHeight="1" x14ac:dyDescent="0.35">
      <c r="A6" s="140">
        <f>IF('Price History'!A7="","",'Price History'!A7)</f>
        <v>45212</v>
      </c>
      <c r="B6" s="141">
        <f>IFERROR(IF(OR(NOT(ISNUMBER('Price History'!B7)),NOT(ISNUMBER('Price History'!B6)),'Price History'!B6=0),"",'Price History'!B7/'Price History'!B6-1),"")</f>
        <v>4.1922989291410362E-2</v>
      </c>
      <c r="C6" s="141">
        <f>IFERROR(IF(OR(NOT(ISNUMBER('Price History'!C7)),NOT(ISNUMBER('Price History'!C6)),'Price History'!C6=0),"",'Price History'!C7/'Price History'!C6-1),"")</f>
        <v>-2.1645021645021578E-2</v>
      </c>
      <c r="D6" s="141">
        <f>IFERROR(IF(OR(NOT(ISNUMBER('Price History'!D7)),NOT(ISNUMBER('Price History'!D6)),'Price History'!D6=0),"",'Price History'!D7/'Price History'!D6-1),"")</f>
        <v>4.0158574885442722E-3</v>
      </c>
      <c r="E6" s="141">
        <f>IFERROR(IF(OR(NOT(ISNUMBER('Price History'!E7)),NOT(ISNUMBER('Price History'!E6)),'Price History'!E6=0),"",'Price History'!E7/'Price History'!E6-1),"")</f>
        <v>4.4849077355493039E-2</v>
      </c>
      <c r="F6" s="141">
        <f>IFERROR(IF(OR(NOT(ISNUMBER('Price History'!F7)),NOT(ISNUMBER('Price History'!F6)),'Price History'!F6=0),"",'Price History'!F7/'Price History'!F6-1),"")</f>
        <v>5.1165949739642169E-2</v>
      </c>
      <c r="G6" s="141">
        <f>IFERROR(IF(OR(NOT(ISNUMBER('Price History'!G7)),NOT(ISNUMBER('Price History'!G6)),'Price History'!G6=0),"",'Price History'!G7/'Price History'!G6-1),"")</f>
        <v>4.0262582056892704E-2</v>
      </c>
      <c r="H6" s="141">
        <f>IFERROR(IF(OR(NOT(ISNUMBER('Price History'!H7)),NOT(ISNUMBER('Price History'!H6)),'Price History'!H6=0),"",'Price History'!H7/'Price History'!H6-1),"")</f>
        <v>-1.067821067821062E-2</v>
      </c>
      <c r="I6" s="141">
        <f>IFERROR(IF(OR(NOT(ISNUMBER('Price History'!I7)),NOT(ISNUMBER('Price History'!I6)),'Price History'!I6=0),"",'Price History'!I7/'Price History'!I6-1),"")</f>
        <v>-6.5746219592374144E-3</v>
      </c>
      <c r="J6" s="141">
        <f>IFERROR(IF(OR(NOT(ISNUMBER('Price History'!J7)),NOT(ISNUMBER('Price History'!J6)),'Price History'!J6=0),"",'Price History'!J7/'Price History'!J6-1),"")</f>
        <v>6.8770226537218093E-3</v>
      </c>
      <c r="K6" s="141">
        <f>IFERROR(IF(OR(NOT(ISNUMBER('Price History'!K7)),NOT(ISNUMBER('Price History'!K6)),'Price History'!K6=0),"",'Price History'!K7/'Price History'!K6-1),"")</f>
        <v>4.5153521974714117E-2</v>
      </c>
      <c r="L6" s="141">
        <f>IFERROR(IF(OR(NOT(ISNUMBER('Price History'!L7)),NOT(ISNUMBER('Price History'!L6)),'Price History'!L6=0),"",'Price History'!L7/'Price History'!L6-1),"")</f>
        <v>1.3171698333138915E-2</v>
      </c>
      <c r="M6" s="141">
        <f>IFERROR(IF(OR(NOT(ISNUMBER('Price History'!M7)),NOT(ISNUMBER('Price History'!M6)),'Price History'!M6=0),"",'Price History'!M7/'Price History'!M6-1),"")</f>
        <v>-1.6910651186269443E-2</v>
      </c>
      <c r="N6" s="141">
        <f>IFERROR(IF(OR(NOT(ISNUMBER('Price History'!N7)),NOT(ISNUMBER('Price History'!N6)),'Price History'!N6=0),"",'Price History'!N7/'Price History'!N6-1),"")</f>
        <v>2.8783761299983279E-2</v>
      </c>
      <c r="O6" s="141">
        <f>IFERROR(IF(OR(NOT(ISNUMBER('Price History'!O7)),NOT(ISNUMBER('Price History'!O6)),'Price History'!O6=0),"",'Price History'!O7/'Price History'!O6-1),"")</f>
        <v>2.6363257943666785E-3</v>
      </c>
      <c r="P6" s="141">
        <f>IFERROR(IF(OR(NOT(ISNUMBER('Price History'!P7)),NOT(ISNUMBER('Price History'!P6)),'Price History'!P6=0),"",'Price History'!P7/'Price History'!P6-1),"")</f>
        <v>1.365946632782733E-2</v>
      </c>
      <c r="Q6" s="141">
        <f>IFERROR(IF(OR(NOT(ISNUMBER('Price History'!Q7)),NOT(ISNUMBER('Price History'!Q6)),'Price History'!Q6=0),"",'Price History'!Q7/'Price History'!Q6-1),"")</f>
        <v>3.4651447207501018E-3</v>
      </c>
      <c r="R6" s="141">
        <f>IFERROR(IF(OR(NOT(ISNUMBER('Price History'!R7)),NOT(ISNUMBER('Price History'!R6)),'Price History'!R6=0),"",'Price History'!R7/'Price History'!R6-1),"")</f>
        <v>2.646280505733678E-3</v>
      </c>
      <c r="S6" s="141">
        <f>IFERROR(IF(OR(NOT(ISNUMBER('Price History'!S7)),NOT(ISNUMBER('Price History'!S6)),'Price History'!S6=0),"",'Price History'!S7/'Price History'!S6-1),"")</f>
        <v>5.6457304163726185E-3</v>
      </c>
      <c r="T6" s="141">
        <f>IFERROR(IF(OR(NOT(ISNUMBER('Price History'!T7)),NOT(ISNUMBER('Price History'!T6)),'Price History'!T6=0),"",'Price History'!T7/'Price History'!T6-1),"")</f>
        <v>1.4303228442991367E-2</v>
      </c>
      <c r="U6" s="141">
        <f>IFERROR(IF(OR(NOT(ISNUMBER('Price History'!U7)),NOT(ISNUMBER('Price History'!U6)),'Price History'!U6=0),"",'Price History'!U7/'Price History'!U6-1),"")</f>
        <v>1.0096153846153921E-2</v>
      </c>
      <c r="V6" s="142">
        <f>IFERROR(IF(OR(NOT(ISNUMBER('Price History'!V7)),NOT(ISNUMBER('Price History'!V6)),'Price History'!V6=0),"",'Price History'!V7/'Price History'!V6-1),"")</f>
        <v>1.1186558718551343E-2</v>
      </c>
      <c r="W6" s="143">
        <f>IFERROR('Price History'!B3+(INDEX('Price History'!B:B,MATCH(9.99E+307,'Returns (Calc)'!$A:$A)+1)-'Price History'!B3)*(ROW()-3)/(MATCH(9.99E+307,'Returns (Calc)'!$A:$A)-3),"")</f>
        <v>523.36088607594934</v>
      </c>
      <c r="X6" s="143">
        <f>IFERROR('Price History'!C3+(INDEX('Price History'!C:C,MATCH(9.99E+307,'Returns (Calc)'!$A:$A)+1)-'Price History'!C3)*(ROW()-3)/(MATCH(9.99E+307,'Returns (Calc)'!$A:$A)-3),"")</f>
        <v>49.240189873417719</v>
      </c>
      <c r="Y6" s="143">
        <f>IFERROR('Price History'!D3+(INDEX('Price History'!D:D,MATCH(9.99E+307,'Returns (Calc)'!$A:$A)+1)-'Price History'!D3)*(ROW()-3)/(MATCH(9.99E+307,'Returns (Calc)'!$A:$A)-3),"")</f>
        <v>606.41443037974682</v>
      </c>
      <c r="Z6" s="143">
        <f>IFERROR('Price History'!E3+(INDEX('Price History'!E:E,MATCH(9.99E+307,'Returns (Calc)'!$A:$A)+1)-'Price History'!E3)*(ROW()-3)/(MATCH(9.99E+307,'Returns (Calc)'!$A:$A)-3),"")</f>
        <v>87.186202531645563</v>
      </c>
      <c r="AA6" s="143">
        <f>IFERROR('Price History'!F3+(INDEX('Price History'!F:F,MATCH(9.99E+307,'Returns (Calc)'!$A:$A)+1)-'Price History'!F3)*(ROW()-3)/(MATCH(9.99E+307,'Returns (Calc)'!$A:$A)-3),"")</f>
        <v>45.702025316455696</v>
      </c>
      <c r="AB6" s="143">
        <f>IFERROR('Price History'!G3+(INDEX('Price History'!G:G,MATCH(9.99E+307,'Returns (Calc)'!$A:$A)+1)-'Price History'!G3)*(ROW()-3)/(MATCH(9.99E+307,'Returns (Calc)'!$A:$A)-3),"")</f>
        <v>47.43620253164557</v>
      </c>
      <c r="AC6" s="143">
        <f>IFERROR('Price History'!H3+(INDEX('Price History'!H:H,MATCH(9.99E+307,'Returns (Calc)'!$A:$A)+1)-'Price History'!H3)*(ROW()-3)/(MATCH(9.99E+307,'Returns (Calc)'!$A:$A)-3),"")</f>
        <v>88.20708860759494</v>
      </c>
      <c r="AD6" s="143">
        <f>IFERROR('Price History'!I3+(INDEX('Price History'!I:I,MATCH(9.99E+307,'Returns (Calc)'!$A:$A)+1)-'Price History'!I3)*(ROW()-3)/(MATCH(9.99E+307,'Returns (Calc)'!$A:$A)-3),"")</f>
        <v>47.381012658227853</v>
      </c>
      <c r="AE6" s="143">
        <f>IFERROR('Price History'!J3+(INDEX('Price History'!J:J,MATCH(9.99E+307,'Returns (Calc)'!$A:$A)+1)-'Price History'!J3)*(ROW()-3)/(MATCH(9.99E+307,'Returns (Calc)'!$A:$A)-3),"")</f>
        <v>112.16411392405064</v>
      </c>
      <c r="AF6" s="143">
        <f>IFERROR('Price History'!K3+(INDEX('Price History'!K:K,MATCH(9.99E+307,'Returns (Calc)'!$A:$A)+1)-'Price History'!K3)*(ROW()-3)/(MATCH(9.99E+307,'Returns (Calc)'!$A:$A)-3),"")</f>
        <v>18.622784810126582</v>
      </c>
      <c r="AG6" s="143">
        <f>IFERROR('Price History'!L3+(INDEX('Price History'!L:L,MATCH(9.99E+307,'Returns (Calc)'!$A:$A)+1)-'Price History'!L3)*(ROW()-3)/(MATCH(9.99E+307,'Returns (Calc)'!$A:$A)-3),"")</f>
        <v>93.098670886075951</v>
      </c>
      <c r="AH6" s="143">
        <f>IFERROR('Price History'!M3+(INDEX('Price History'!M:M,MATCH(9.99E+307,'Returns (Calc)'!$A:$A)+1)-'Price History'!M3)*(ROW()-3)/(MATCH(9.99E+307,'Returns (Calc)'!$A:$A)-3),"")</f>
        <v>42.086329113924052</v>
      </c>
      <c r="AI6" s="143">
        <f>IFERROR('Price History'!N3+(INDEX('Price History'!N:N,MATCH(9.99E+307,'Returns (Calc)'!$A:$A)+1)-'Price History'!N3)*(ROW()-3)/(MATCH(9.99E+307,'Returns (Calc)'!$A:$A)-3),"")</f>
        <v>351.8587974683544</v>
      </c>
      <c r="AJ6" s="143">
        <f>IFERROR('Price History'!O3+(INDEX('Price History'!O:O,MATCH(9.99E+307,'Returns (Calc)'!$A:$A)+1)-'Price History'!O3)*(ROW()-3)/(MATCH(9.99E+307,'Returns (Calc)'!$A:$A)-3),"")</f>
        <v>76.159113924050629</v>
      </c>
      <c r="AK6" s="143">
        <f>IFERROR('Price History'!Q3+(INDEX('Price History'!Q:Q,MATCH(9.99E+307,'Returns (Calc)'!$A:$A)+1)-'Price History'!Q3)*(ROW()-3)/(MATCH(9.99E+307,'Returns (Calc)'!$A:$A)-3),"")</f>
        <v>1.3181012658227849</v>
      </c>
      <c r="AL6" s="143">
        <f>IFERROR('Price History'!R3+(INDEX('Price History'!R:R,MATCH(9.99E+307,'Returns (Calc)'!$A:$A)+1)-'Price History'!R3)*(ROW()-3)/(MATCH(9.99E+307,'Returns (Calc)'!$A:$A)-3),"")</f>
        <v>34.98430379746835</v>
      </c>
      <c r="AM6" s="143">
        <f>IFERROR('Price History'!S3+(INDEX('Price History'!S:S,MATCH(9.99E+307,'Returns (Calc)'!$A:$A)+1)-'Price History'!S3)*(ROW()-3)/(MATCH(9.99E+307,'Returns (Calc)'!$A:$A)-3),"")</f>
        <v>59.445189873417725</v>
      </c>
      <c r="AN6" s="143">
        <f>IFERROR('Price History'!T3+(INDEX('Price History'!T:T,MATCH(9.99E+307,'Returns (Calc)'!$A:$A)+1)-'Price History'!T3)*(ROW()-3)/(MATCH(9.99E+307,'Returns (Calc)'!$A:$A)-3),"")</f>
        <v>25.744683544303797</v>
      </c>
      <c r="AO6" s="144">
        <f>IFERROR('Price History'!V3+(INDEX('Price History'!V:V,MATCH(9.99E+307,'Returns (Calc)'!$A:$A)+1)-'Price History'!V3)*(ROW()-3)/(MATCH(9.99E+307,'Returns (Calc)'!$A:$A)-3),"")</f>
        <v>238.00398734177216</v>
      </c>
      <c r="AP6" s="142">
        <f>IFERROR(IF(OR(NOT(ISNUMBER('Price History'!W7)),NOT(ISNUMBER('Price History'!W6)),'Price History'!W6=0),"",'Price History'!W7/'Price History'!W6-1),"")</f>
        <v>1.1353898886032665E-2</v>
      </c>
      <c r="AQ6" s="142" t="str">
        <f>IFERROR(IF(OR(NOT(ISNUMBER('Price History'!X7)),NOT(ISNUMBER('Price History'!X6)),'Price History'!X6=0),"",'Price History'!X7/'Price History'!X6-1),"")</f>
        <v/>
      </c>
      <c r="AR6" s="142">
        <f>IFERROR(IF(OR(NOT(ISNUMBER('Price History'!Y7)),NOT(ISNUMBER('Price History'!Y6)),'Price History'!Y6=0),"",'Price History'!Y7/'Price History'!Y6-1),"")</f>
        <v>8.612440191387627E-3</v>
      </c>
      <c r="AS6" s="142">
        <f>IFERROR(IF(OR(NOT(ISNUMBER('Price History'!Z7)),NOT(ISNUMBER('Price History'!Z6)),'Price History'!Z6=0),"",'Price History'!Z7/'Price History'!Z6-1),"")</f>
        <v>-1.8837766868364025E-2</v>
      </c>
      <c r="AT6" s="142">
        <f>IFERROR(IF(OR(NOT(ISNUMBER('Price History'!AA7)),NOT(ISNUMBER('Price History'!AA6)),'Price History'!AA6=0),"",'Price History'!AA7/'Price History'!AA6-1),"")</f>
        <v>-6.7627785058977707E-2</v>
      </c>
    </row>
    <row r="7" spans="1:46" ht="15" customHeight="1" x14ac:dyDescent="0.35">
      <c r="A7" s="140">
        <f>IF('Price History'!A8="","",'Price History'!A8)</f>
        <v>45219</v>
      </c>
      <c r="B7" s="141">
        <f>IFERROR(IF(OR(NOT(ISNUMBER('Price History'!B8)),NOT(ISNUMBER('Price History'!B7)),'Price History'!B7=0),"",'Price History'!B8/'Price History'!B7-1),"")</f>
        <v>-1.4213863984255282E-2</v>
      </c>
      <c r="C7" s="141">
        <f>IFERROR(IF(OR(NOT(ISNUMBER('Price History'!C8)),NOT(ISNUMBER('Price History'!C7)),'Price History'!C7=0),"",'Price History'!C8/'Price History'!C7-1),"")</f>
        <v>-1.9595448798988668E-2</v>
      </c>
      <c r="D7" s="141">
        <f>IFERROR(IF(OR(NOT(ISNUMBER('Price History'!D8)),NOT(ISNUMBER('Price History'!D7)),'Price History'!D7=0),"",'Price History'!D8/'Price History'!D7-1),"")</f>
        <v>-3.2767550382031607E-2</v>
      </c>
      <c r="E7" s="141">
        <f>IFERROR(IF(OR(NOT(ISNUMBER('Price History'!E8)),NOT(ISNUMBER('Price History'!E7)),'Price History'!E7=0),"",'Price History'!E8/'Price History'!E7-1),"")</f>
        <v>-3.3450292397660841E-2</v>
      </c>
      <c r="F7" s="141">
        <f>IFERROR(IF(OR(NOT(ISNUMBER('Price History'!F8)),NOT(ISNUMBER('Price History'!F7)),'Price History'!F7=0),"",'Price History'!F8/'Price History'!F7-1),"")</f>
        <v>-3.7475769976308415E-2</v>
      </c>
      <c r="G7" s="141">
        <f>IFERROR(IF(OR(NOT(ISNUMBER('Price History'!G8)),NOT(ISNUMBER('Price History'!G7)),'Price History'!G7=0),"",'Price History'!G8/'Price History'!G7-1),"")</f>
        <v>-5.006310475389153E-2</v>
      </c>
      <c r="H7" s="141">
        <f>IFERROR(IF(OR(NOT(ISNUMBER('Price History'!H8)),NOT(ISNUMBER('Price History'!H7)),'Price History'!H7=0),"",'Price History'!H8/'Price History'!H7-1),"")</f>
        <v>-2.87339556592765E-2</v>
      </c>
      <c r="I7" s="141">
        <f>IFERROR(IF(OR(NOT(ISNUMBER('Price History'!I8)),NOT(ISNUMBER('Price History'!I7)),'Price History'!I7=0),"",'Price History'!I8/'Price History'!I7-1),"")</f>
        <v>-8.9786013677476295E-2</v>
      </c>
      <c r="J7" s="141">
        <f>IFERROR(IF(OR(NOT(ISNUMBER('Price History'!J8)),NOT(ISNUMBER('Price History'!J7)),'Price History'!J7=0),"",'Price History'!J8/'Price History'!J7-1),"")</f>
        <v>-6.588991562876656E-2</v>
      </c>
      <c r="K7" s="141">
        <f>IFERROR(IF(OR(NOT(ISNUMBER('Price History'!K8)),NOT(ISNUMBER('Price History'!K7)),'Price History'!K7=0),"",'Price History'!K8/'Price History'!K7-1),"")</f>
        <v>-7.2004608294930827E-2</v>
      </c>
      <c r="L7" s="141">
        <f>IFERROR(IF(OR(NOT(ISNUMBER('Price History'!L8)),NOT(ISNUMBER('Price History'!L7)),'Price History'!L7=0),"",'Price History'!L8/'Price History'!L7-1),"")</f>
        <v>9.3189139438565327E-3</v>
      </c>
      <c r="M7" s="141">
        <f>IFERROR(IF(OR(NOT(ISNUMBER('Price History'!M8)),NOT(ISNUMBER('Price History'!M7)),'Price History'!M7=0),"",'Price History'!M8/'Price History'!M7-1),"")</f>
        <v>-6.0333761232349237E-2</v>
      </c>
      <c r="N7" s="141">
        <f>IFERROR(IF(OR(NOT(ISNUMBER('Price History'!N8)),NOT(ISNUMBER('Price History'!N7)),'Price History'!N7=0),"",'Price History'!N8/'Price History'!N7-1),"")</f>
        <v>-2.4636118598382661E-2</v>
      </c>
      <c r="O7" s="141">
        <f>IFERROR(IF(OR(NOT(ISNUMBER('Price History'!O8)),NOT(ISNUMBER('Price History'!O7)),'Price History'!O7=0),"",'Price History'!O8/'Price History'!O7-1),"")</f>
        <v>-1.6745087185164764E-2</v>
      </c>
      <c r="P7" s="141">
        <f>IFERROR(IF(OR(NOT(ISNUMBER('Price History'!P8)),NOT(ISNUMBER('Price History'!P7)),'Price History'!P7=0),"",'Price History'!P8/'Price History'!P7-1),"")</f>
        <v>-1.9011804032173951E-2</v>
      </c>
      <c r="Q7" s="141">
        <f>IFERROR(IF(OR(NOT(ISNUMBER('Price History'!Q8)),NOT(ISNUMBER('Price History'!Q7)),'Price History'!Q7=0),"",'Price History'!Q8/'Price History'!Q7-1),"")</f>
        <v>-1.137517773715202E-2</v>
      </c>
      <c r="R7" s="141">
        <f>IFERROR(IF(OR(NOT(ISNUMBER('Price History'!R8)),NOT(ISNUMBER('Price History'!R7)),'Price History'!R7=0),"",'Price History'!R8/'Price History'!R7-1),"")</f>
        <v>-1.9648093841642233E-2</v>
      </c>
      <c r="S7" s="141">
        <f>IFERROR(IF(OR(NOT(ISNUMBER('Price History'!S8)),NOT(ISNUMBER('Price History'!S7)),'Price History'!S7=0),"",'Price History'!S8/'Price History'!S7-1),"")</f>
        <v>-2.8947368421052611E-2</v>
      </c>
      <c r="T7" s="141">
        <f>IFERROR(IF(OR(NOT(ISNUMBER('Price History'!T8)),NOT(ISNUMBER('Price History'!T7)),'Price History'!T7=0),"",'Price History'!T8/'Price History'!T7-1),"")</f>
        <v>-1.248992747784039E-2</v>
      </c>
      <c r="U7" s="141">
        <f>IFERROR(IF(OR(NOT(ISNUMBER('Price History'!U8)),NOT(ISNUMBER('Price History'!U7)),'Price History'!U7=0),"",'Price History'!U8/'Price History'!U7-1),"")</f>
        <v>-1.4754878629224311E-2</v>
      </c>
      <c r="V7" s="142">
        <f>IFERROR(IF(OR(NOT(ISNUMBER('Price History'!V8)),NOT(ISNUMBER('Price History'!V7)),'Price History'!V7=0),"",'Price History'!V8/'Price History'!V7-1),"")</f>
        <v>-1.8036244673066193E-2</v>
      </c>
      <c r="W7" s="143">
        <f>IFERROR('Price History'!B3+(INDEX('Price History'!B:B,MATCH(9.99E+307,'Returns (Calc)'!$A:$A)+1)-'Price History'!B3)*(ROW()-3)/(MATCH(9.99E+307,'Returns (Calc)'!$A:$A)-3),"")</f>
        <v>521.51784810126583</v>
      </c>
      <c r="X7" s="143">
        <f>IFERROR('Price History'!C3+(INDEX('Price History'!C:C,MATCH(9.99E+307,'Returns (Calc)'!$A:$A)+1)-'Price History'!C3)*(ROW()-3)/(MATCH(9.99E+307,'Returns (Calc)'!$A:$A)-3),"")</f>
        <v>50.260253164556964</v>
      </c>
      <c r="Y7" s="143">
        <f>IFERROR('Price History'!D3+(INDEX('Price History'!D:D,MATCH(9.99E+307,'Returns (Calc)'!$A:$A)+1)-'Price History'!D3)*(ROW()-3)/(MATCH(9.99E+307,'Returns (Calc)'!$A:$A)-3),"")</f>
        <v>614.54924050632906</v>
      </c>
      <c r="Z7" s="143">
        <f>IFERROR('Price History'!E3+(INDEX('Price History'!E:E,MATCH(9.99E+307,'Returns (Calc)'!$A:$A)+1)-'Price History'!E3)*(ROW()-3)/(MATCH(9.99E+307,'Returns (Calc)'!$A:$A)-3),"")</f>
        <v>88.914936708860765</v>
      </c>
      <c r="AA7" s="143">
        <f>IFERROR('Price History'!F3+(INDEX('Price History'!F:F,MATCH(9.99E+307,'Returns (Calc)'!$A:$A)+1)-'Price History'!F3)*(ROW()-3)/(MATCH(9.99E+307,'Returns (Calc)'!$A:$A)-3),"")</f>
        <v>47.149367088607598</v>
      </c>
      <c r="AB7" s="143">
        <f>IFERROR('Price History'!G3+(INDEX('Price History'!G:G,MATCH(9.99E+307,'Returns (Calc)'!$A:$A)+1)-'Price History'!G3)*(ROW()-3)/(MATCH(9.99E+307,'Returns (Calc)'!$A:$A)-3),"")</f>
        <v>48.464936708860762</v>
      </c>
      <c r="AC7" s="143">
        <f>IFERROR('Price History'!H3+(INDEX('Price History'!H:H,MATCH(9.99E+307,'Returns (Calc)'!$A:$A)+1)-'Price History'!H3)*(ROW()-3)/(MATCH(9.99E+307,'Returns (Calc)'!$A:$A)-3),"")</f>
        <v>94.572784810126592</v>
      </c>
      <c r="AD7" s="143">
        <f>IFERROR('Price History'!I3+(INDEX('Price History'!I:I,MATCH(9.99E+307,'Returns (Calc)'!$A:$A)+1)-'Price History'!I3)*(ROW()-3)/(MATCH(9.99E+307,'Returns (Calc)'!$A:$A)-3),"")</f>
        <v>48.5846835443038</v>
      </c>
      <c r="AE7" s="143">
        <f>IFERROR('Price History'!J3+(INDEX('Price History'!J:J,MATCH(9.99E+307,'Returns (Calc)'!$A:$A)+1)-'Price History'!J3)*(ROW()-3)/(MATCH(9.99E+307,'Returns (Calc)'!$A:$A)-3),"")</f>
        <v>112.27215189873418</v>
      </c>
      <c r="AF7" s="143">
        <f>IFERROR('Price History'!K3+(INDEX('Price History'!K:K,MATCH(9.99E+307,'Returns (Calc)'!$A:$A)+1)-'Price History'!K3)*(ROW()-3)/(MATCH(9.99E+307,'Returns (Calc)'!$A:$A)-3),"")</f>
        <v>19.720379746835441</v>
      </c>
      <c r="AG7" s="143">
        <f>IFERROR('Price History'!L3+(INDEX('Price History'!L:L,MATCH(9.99E+307,'Returns (Calc)'!$A:$A)+1)-'Price History'!L3)*(ROW()-3)/(MATCH(9.99E+307,'Returns (Calc)'!$A:$A)-3),"")</f>
        <v>95.548227848101263</v>
      </c>
      <c r="AH7" s="143">
        <f>IFERROR('Price History'!M3+(INDEX('Price History'!M:M,MATCH(9.99E+307,'Returns (Calc)'!$A:$A)+1)-'Price History'!M3)*(ROW()-3)/(MATCH(9.99E+307,'Returns (Calc)'!$A:$A)-3),"")</f>
        <v>43.441772151898739</v>
      </c>
      <c r="AI7" s="143">
        <f>IFERROR('Price History'!N3+(INDEX('Price History'!N:N,MATCH(9.99E+307,'Returns (Calc)'!$A:$A)+1)-'Price History'!N3)*(ROW()-3)/(MATCH(9.99E+307,'Returns (Calc)'!$A:$A)-3),"")</f>
        <v>352.84506329113924</v>
      </c>
      <c r="AJ7" s="143">
        <f>IFERROR('Price History'!O3+(INDEX('Price History'!O:O,MATCH(9.99E+307,'Returns (Calc)'!$A:$A)+1)-'Price History'!O3)*(ROW()-3)/(MATCH(9.99E+307,'Returns (Calc)'!$A:$A)-3),"")</f>
        <v>76.442151898734181</v>
      </c>
      <c r="AK7" s="143">
        <f>IFERROR('Price History'!Q3+(INDEX('Price History'!Q:Q,MATCH(9.99E+307,'Returns (Calc)'!$A:$A)+1)-'Price History'!Q3)*(ROW()-3)/(MATCH(9.99E+307,'Returns (Calc)'!$A:$A)-3),"")</f>
        <v>1.7574683544303797</v>
      </c>
      <c r="AL7" s="143">
        <f>IFERROR('Price History'!R3+(INDEX('Price History'!R:R,MATCH(9.99E+307,'Returns (Calc)'!$A:$A)+1)-'Price History'!R3)*(ROW()-3)/(MATCH(9.99E+307,'Returns (Calc)'!$A:$A)-3),"")</f>
        <v>35.152405063291134</v>
      </c>
      <c r="AM7" s="143">
        <f>IFERROR('Price History'!S3+(INDEX('Price History'!S:S,MATCH(9.99E+307,'Returns (Calc)'!$A:$A)+1)-'Price History'!S3)*(ROW()-3)/(MATCH(9.99E+307,'Returns (Calc)'!$A:$A)-3),"")</f>
        <v>60.050253164556963</v>
      </c>
      <c r="AN7" s="143">
        <f>IFERROR('Price History'!T3+(INDEX('Price History'!T:T,MATCH(9.99E+307,'Returns (Calc)'!$A:$A)+1)-'Price History'!T3)*(ROW()-3)/(MATCH(9.99E+307,'Returns (Calc)'!$A:$A)-3),"")</f>
        <v>25.912911392405061</v>
      </c>
      <c r="AO7" s="144">
        <f>IFERROR('Price History'!V3+(INDEX('Price History'!V:V,MATCH(9.99E+307,'Returns (Calc)'!$A:$A)+1)-'Price History'!V3)*(ROW()-3)/(MATCH(9.99E+307,'Returns (Calc)'!$A:$A)-3),"")</f>
        <v>238.7953164556962</v>
      </c>
      <c r="AP7" s="142">
        <f>IFERROR(IF(OR(NOT(ISNUMBER('Price History'!W8)),NOT(ISNUMBER('Price History'!W7)),'Price History'!W7=0),"",'Price History'!W8/'Price History'!W7-1),"")</f>
        <v>-1.2179622961237091E-2</v>
      </c>
      <c r="AQ7" s="142" t="str">
        <f>IFERROR(IF(OR(NOT(ISNUMBER('Price History'!X8)),NOT(ISNUMBER('Price History'!X7)),'Price History'!X7=0),"",'Price History'!X8/'Price History'!X7-1),"")</f>
        <v/>
      </c>
      <c r="AR7" s="142">
        <f>IFERROR(IF(OR(NOT(ISNUMBER('Price History'!Y8)),NOT(ISNUMBER('Price History'!Y7)),'Price History'!Y7=0),"",'Price History'!Y8/'Price History'!Y7-1),"")</f>
        <v>-1.4705882352941124E-2</v>
      </c>
      <c r="AS7" s="142">
        <f>IFERROR(IF(OR(NOT(ISNUMBER('Price History'!Z8)),NOT(ISNUMBER('Price History'!Z7)),'Price History'!Z7=0),"",'Price History'!Z8/'Price History'!Z7-1),"")</f>
        <v>-3.0137305096579081E-2</v>
      </c>
      <c r="AT7" s="142">
        <f>IFERROR(IF(OR(NOT(ISNUMBER('Price History'!AA8)),NOT(ISNUMBER('Price History'!AA7)),'Price History'!AA7=0),"",'Price History'!AA8/'Price History'!AA7-1),"")</f>
        <v>0.12735451222940686</v>
      </c>
    </row>
    <row r="8" spans="1:46" ht="15" customHeight="1" x14ac:dyDescent="0.35">
      <c r="A8" s="140">
        <f>IF('Price History'!A9="","",'Price History'!A9)</f>
        <v>45226</v>
      </c>
      <c r="B8" s="141">
        <f>IFERROR(IF(OR(NOT(ISNUMBER('Price History'!B9)),NOT(ISNUMBER('Price History'!B8)),'Price History'!B8=0),"",'Price History'!B9/'Price History'!B8-1),"")</f>
        <v>-6.0706891452233069E-2</v>
      </c>
      <c r="C8" s="141">
        <f>IFERROR(IF(OR(NOT(ISNUMBER('Price History'!C9)),NOT(ISNUMBER('Price History'!C8)),'Price History'!C8=0),"",'Price History'!C9/'Price History'!C8-1),"")</f>
        <v>-5.3298946915968259E-2</v>
      </c>
      <c r="D8" s="141">
        <f>IFERROR(IF(OR(NOT(ISNUMBER('Price History'!D9)),NOT(ISNUMBER('Price History'!D8)),'Price History'!D8=0),"",'Price History'!D9/'Price History'!D8-1),"")</f>
        <v>1.7071360407167724E-2</v>
      </c>
      <c r="E8" s="141">
        <f>IFERROR(IF(OR(NOT(ISNUMBER('Price History'!E9)),NOT(ISNUMBER('Price History'!E8)),'Price History'!E8=0),"",'Price History'!E9/'Price History'!E8-1),"")</f>
        <v>-1.7909002904162641E-2</v>
      </c>
      <c r="F8" s="141">
        <f>IFERROR(IF(OR(NOT(ISNUMBER('Price History'!F9)),NOT(ISNUMBER('Price History'!F8)),'Price History'!F8=0),"",'Price History'!F9/'Price History'!F8-1),"")</f>
        <v>-3.3117028417990579E-2</v>
      </c>
      <c r="G8" s="141">
        <f>IFERROR(IF(OR(NOT(ISNUMBER('Price History'!G9)),NOT(ISNUMBER('Price History'!G8)),'Price History'!G8=0),"",'Price History'!G9/'Price History'!G8-1),"")</f>
        <v>-9.7431355181576418E-3</v>
      </c>
      <c r="H8" s="141">
        <f>IFERROR(IF(OR(NOT(ISNUMBER('Price History'!H9)),NOT(ISNUMBER('Price History'!H8)),'Price History'!H8=0),"",'Price History'!H9/'Price History'!H8-1),"")</f>
        <v>-2.3426940982129496E-2</v>
      </c>
      <c r="I8" s="141">
        <f>IFERROR(IF(OR(NOT(ISNUMBER('Price History'!I9)),NOT(ISNUMBER('Price History'!I8)),'Price History'!I8=0),"",'Price History'!I9/'Price History'!I8-1),"")</f>
        <v>-2.1328162869607259E-2</v>
      </c>
      <c r="J8" s="141">
        <f>IFERROR(IF(OR(NOT(ISNUMBER('Price History'!J9)),NOT(ISNUMBER('Price History'!J8)),'Price History'!J8=0),"",'Price History'!J9/'Price History'!J8-1),"")</f>
        <v>-4.9892473118279601E-2</v>
      </c>
      <c r="K8" s="141">
        <f>IFERROR(IF(OR(NOT(ISNUMBER('Price History'!K9)),NOT(ISNUMBER('Price History'!K8)),'Price History'!K8=0),"",'Price History'!K9/'Price History'!K8-1),"")</f>
        <v>-6.4556176288019795E-2</v>
      </c>
      <c r="L8" s="141">
        <f>IFERROR(IF(OR(NOT(ISNUMBER('Price History'!L9)),NOT(ISNUMBER('Price History'!L8)),'Price History'!L8=0),"",'Price History'!L9/'Price History'!L8-1),"")</f>
        <v>-5.8246893878946771E-2</v>
      </c>
      <c r="M8" s="141">
        <f>IFERROR(IF(OR(NOT(ISNUMBER('Price History'!M9)),NOT(ISNUMBER('Price History'!M8)),'Price History'!M8=0),"",'Price History'!M9/'Price History'!M8-1),"")</f>
        <v>-8.7431693989070691E-3</v>
      </c>
      <c r="N8" s="141">
        <f>IFERROR(IF(OR(NOT(ISNUMBER('Price History'!N9)),NOT(ISNUMBER('Price History'!N8)),'Price History'!N8=0),"",'Price History'!N9/'Price History'!N8-1),"")</f>
        <v>-1.8183827999779023E-2</v>
      </c>
      <c r="O8" s="141">
        <f>IFERROR(IF(OR(NOT(ISNUMBER('Price History'!O9)),NOT(ISNUMBER('Price History'!O8)),'Price History'!O8=0),"",'Price History'!O9/'Price History'!O8-1),"")</f>
        <v>-1.5482054890921804E-2</v>
      </c>
      <c r="P8" s="141">
        <f>IFERROR(IF(OR(NOT(ISNUMBER('Price History'!P9)),NOT(ISNUMBER('Price History'!P8)),'Price History'!P8=0),"",'Price History'!P9/'Price History'!P8-1),"")</f>
        <v>-1.6079224789692148E-2</v>
      </c>
      <c r="Q8" s="141">
        <f>IFERROR(IF(OR(NOT(ISNUMBER('Price History'!Q9)),NOT(ISNUMBER('Price History'!Q8)),'Price History'!Q8=0),"",'Price History'!Q9/'Price History'!Q8-1),"")</f>
        <v>-1.7259091843024543E-2</v>
      </c>
      <c r="R8" s="141">
        <f>IFERROR(IF(OR(NOT(ISNUMBER('Price History'!R9)),NOT(ISNUMBER('Price History'!R8)),'Price History'!R8=0),"",'Price History'!R9/'Price History'!R8-1),"")</f>
        <v>-2.0939276099312121E-2</v>
      </c>
      <c r="S8" s="141">
        <f>IFERROR(IF(OR(NOT(ISNUMBER('Price History'!S9)),NOT(ISNUMBER('Price History'!S8)),'Price History'!S8=0),"",'Price History'!S9/'Price History'!S8-1),"")</f>
        <v>-2.0234869015356871E-2</v>
      </c>
      <c r="T8" s="141">
        <f>IFERROR(IF(OR(NOT(ISNUMBER('Price History'!T9)),NOT(ISNUMBER('Price History'!T8)),'Price History'!T8=0),"",'Price History'!T9/'Price History'!T8-1),"")</f>
        <v>-3.3047735618115137E-2</v>
      </c>
      <c r="U8" s="141">
        <f>IFERROR(IF(OR(NOT(ISNUMBER('Price History'!U9)),NOT(ISNUMBER('Price History'!U8)),'Price History'!U8=0),"",'Price History'!U9/'Price History'!U8-1),"")</f>
        <v>-3.4299516908212646E-2</v>
      </c>
      <c r="V8" s="142">
        <f>IFERROR(IF(OR(NOT(ISNUMBER('Price History'!V9)),NOT(ISNUMBER('Price History'!V8)),'Price History'!V8=0),"",'Price History'!V9/'Price History'!V8-1),"")</f>
        <v>-1.7622304050499804E-2</v>
      </c>
      <c r="W8" s="143">
        <f>IFERROR('Price History'!B3+(INDEX('Price History'!B:B,MATCH(9.99E+307,'Returns (Calc)'!$A:$A)+1)-'Price History'!B3)*(ROW()-3)/(MATCH(9.99E+307,'Returns (Calc)'!$A:$A)-3),"")</f>
        <v>519.67481012658232</v>
      </c>
      <c r="X8" s="143">
        <f>IFERROR('Price History'!C3+(INDEX('Price History'!C:C,MATCH(9.99E+307,'Returns (Calc)'!$A:$A)+1)-'Price History'!C3)*(ROW()-3)/(MATCH(9.99E+307,'Returns (Calc)'!$A:$A)-3),"")</f>
        <v>51.280316455696202</v>
      </c>
      <c r="Y8" s="143">
        <f>IFERROR('Price History'!D3+(INDEX('Price History'!D:D,MATCH(9.99E+307,'Returns (Calc)'!$A:$A)+1)-'Price History'!D3)*(ROW()-3)/(MATCH(9.99E+307,'Returns (Calc)'!$A:$A)-3),"")</f>
        <v>622.68405063291141</v>
      </c>
      <c r="Z8" s="143">
        <f>IFERROR('Price History'!E3+(INDEX('Price History'!E:E,MATCH(9.99E+307,'Returns (Calc)'!$A:$A)+1)-'Price History'!E3)*(ROW()-3)/(MATCH(9.99E+307,'Returns (Calc)'!$A:$A)-3),"")</f>
        <v>90.643670886075952</v>
      </c>
      <c r="AA8" s="143">
        <f>IFERROR('Price History'!F3+(INDEX('Price History'!F:F,MATCH(9.99E+307,'Returns (Calc)'!$A:$A)+1)-'Price History'!F3)*(ROW()-3)/(MATCH(9.99E+307,'Returns (Calc)'!$A:$A)-3),"")</f>
        <v>48.596708860759492</v>
      </c>
      <c r="AB8" s="143">
        <f>IFERROR('Price History'!G3+(INDEX('Price History'!G:G,MATCH(9.99E+307,'Returns (Calc)'!$A:$A)+1)-'Price History'!G3)*(ROW()-3)/(MATCH(9.99E+307,'Returns (Calc)'!$A:$A)-3),"")</f>
        <v>49.493670886075947</v>
      </c>
      <c r="AC8" s="143">
        <f>IFERROR('Price History'!H3+(INDEX('Price History'!H:H,MATCH(9.99E+307,'Returns (Calc)'!$A:$A)+1)-'Price History'!H3)*(ROW()-3)/(MATCH(9.99E+307,'Returns (Calc)'!$A:$A)-3),"")</f>
        <v>100.93848101265823</v>
      </c>
      <c r="AD8" s="143">
        <f>IFERROR('Price History'!I3+(INDEX('Price History'!I:I,MATCH(9.99E+307,'Returns (Calc)'!$A:$A)+1)-'Price History'!I3)*(ROW()-3)/(MATCH(9.99E+307,'Returns (Calc)'!$A:$A)-3),"")</f>
        <v>49.788354430379748</v>
      </c>
      <c r="AE8" s="143">
        <f>IFERROR('Price History'!J3+(INDEX('Price History'!J:J,MATCH(9.99E+307,'Returns (Calc)'!$A:$A)+1)-'Price History'!J3)*(ROW()-3)/(MATCH(9.99E+307,'Returns (Calc)'!$A:$A)-3),"")</f>
        <v>112.38018987341772</v>
      </c>
      <c r="AF8" s="143">
        <f>IFERROR('Price History'!K3+(INDEX('Price History'!K:K,MATCH(9.99E+307,'Returns (Calc)'!$A:$A)+1)-'Price History'!K3)*(ROW()-3)/(MATCH(9.99E+307,'Returns (Calc)'!$A:$A)-3),"")</f>
        <v>20.817974683544303</v>
      </c>
      <c r="AG8" s="143">
        <f>IFERROR('Price History'!L3+(INDEX('Price History'!L:L,MATCH(9.99E+307,'Returns (Calc)'!$A:$A)+1)-'Price History'!L3)*(ROW()-3)/(MATCH(9.99E+307,'Returns (Calc)'!$A:$A)-3),"")</f>
        <v>97.997784810126575</v>
      </c>
      <c r="AH8" s="143">
        <f>IFERROR('Price History'!M3+(INDEX('Price History'!M:M,MATCH(9.99E+307,'Returns (Calc)'!$A:$A)+1)-'Price History'!M3)*(ROW()-3)/(MATCH(9.99E+307,'Returns (Calc)'!$A:$A)-3),"")</f>
        <v>44.79721518987342</v>
      </c>
      <c r="AI8" s="143">
        <f>IFERROR('Price History'!N3+(INDEX('Price History'!N:N,MATCH(9.99E+307,'Returns (Calc)'!$A:$A)+1)-'Price History'!N3)*(ROW()-3)/(MATCH(9.99E+307,'Returns (Calc)'!$A:$A)-3),"")</f>
        <v>353.83132911392403</v>
      </c>
      <c r="AJ8" s="143">
        <f>IFERROR('Price History'!O3+(INDEX('Price History'!O:O,MATCH(9.99E+307,'Returns (Calc)'!$A:$A)+1)-'Price History'!O3)*(ROW()-3)/(MATCH(9.99E+307,'Returns (Calc)'!$A:$A)-3),"")</f>
        <v>76.725189873417719</v>
      </c>
      <c r="AK8" s="143">
        <f>IFERROR('Price History'!Q3+(INDEX('Price History'!Q:Q,MATCH(9.99E+307,'Returns (Calc)'!$A:$A)+1)-'Price History'!Q3)*(ROW()-3)/(MATCH(9.99E+307,'Returns (Calc)'!$A:$A)-3),"")</f>
        <v>2.1968354430379748</v>
      </c>
      <c r="AL8" s="143">
        <f>IFERROR('Price History'!R3+(INDEX('Price History'!R:R,MATCH(9.99E+307,'Returns (Calc)'!$A:$A)+1)-'Price History'!R3)*(ROW()-3)/(MATCH(9.99E+307,'Returns (Calc)'!$A:$A)-3),"")</f>
        <v>35.320506329113918</v>
      </c>
      <c r="AM8" s="143">
        <f>IFERROR('Price History'!S3+(INDEX('Price History'!S:S,MATCH(9.99E+307,'Returns (Calc)'!$A:$A)+1)-'Price History'!S3)*(ROW()-3)/(MATCH(9.99E+307,'Returns (Calc)'!$A:$A)-3),"")</f>
        <v>60.655316455696209</v>
      </c>
      <c r="AN8" s="143">
        <f>IFERROR('Price History'!T3+(INDEX('Price History'!T:T,MATCH(9.99E+307,'Returns (Calc)'!$A:$A)+1)-'Price History'!T3)*(ROW()-3)/(MATCH(9.99E+307,'Returns (Calc)'!$A:$A)-3),"")</f>
        <v>26.081139240506328</v>
      </c>
      <c r="AO8" s="144">
        <f>IFERROR('Price History'!V3+(INDEX('Price History'!V:V,MATCH(9.99E+307,'Returns (Calc)'!$A:$A)+1)-'Price History'!V3)*(ROW()-3)/(MATCH(9.99E+307,'Returns (Calc)'!$A:$A)-3),"")</f>
        <v>239.58664556962026</v>
      </c>
      <c r="AP8" s="142">
        <f>IFERROR(IF(OR(NOT(ISNUMBER('Price History'!W9)),NOT(ISNUMBER('Price History'!W8)),'Price History'!W8=0),"",'Price History'!W9/'Price History'!W8-1),"")</f>
        <v>-2.4766806046960466E-2</v>
      </c>
      <c r="AQ8" s="142" t="str">
        <f>IFERROR(IF(OR(NOT(ISNUMBER('Price History'!X9)),NOT(ISNUMBER('Price History'!X8)),'Price History'!X8=0),"",'Price History'!X9/'Price History'!X8-1),"")</f>
        <v/>
      </c>
      <c r="AR8" s="142">
        <f>IFERROR(IF(OR(NOT(ISNUMBER('Price History'!Y9)),NOT(ISNUMBER('Price History'!Y8)),'Price History'!Y8=0),"",'Price History'!Y9/'Price History'!Y8-1),"")</f>
        <v>-2.2147327876745337E-2</v>
      </c>
      <c r="AS8" s="142">
        <f>IFERROR(IF(OR(NOT(ISNUMBER('Price History'!Z9)),NOT(ISNUMBER('Price History'!Z8)),'Price History'!Z8=0),"",'Price History'!Z9/'Price History'!Z8-1),"")</f>
        <v>2.5194961007799499E-3</v>
      </c>
      <c r="AT8" s="142">
        <f>IFERROR(IF(OR(NOT(ISNUMBER('Price History'!AA9)),NOT(ISNUMBER('Price History'!AA8)),'Price History'!AA8=0),"",'Price History'!AA9/'Price History'!AA8-1),"")</f>
        <v>-7.7306733167082919E-3</v>
      </c>
    </row>
    <row r="9" spans="1:46" ht="15" customHeight="1" x14ac:dyDescent="0.35">
      <c r="A9" s="140">
        <f>IF('Price History'!A10="","",'Price History'!A10)</f>
        <v>45233</v>
      </c>
      <c r="B9" s="141">
        <f>IFERROR(IF(OR(NOT(ISNUMBER('Price History'!B10)),NOT(ISNUMBER('Price History'!B9)),'Price History'!B9=0),"",'Price History'!B10/'Price History'!B9-1),"")</f>
        <v>0.10930488860899001</v>
      </c>
      <c r="C9" s="141">
        <f>IFERROR(IF(OR(NOT(ISNUMBER('Price History'!C10)),NOT(ISNUMBER('Price History'!C9)),'Price History'!C9=0),"",'Price History'!C10/'Price History'!C9-1),"")</f>
        <v>0.20590238365493763</v>
      </c>
      <c r="D9" s="141">
        <f>IFERROR(IF(OR(NOT(ISNUMBER('Price History'!D10)),NOT(ISNUMBER('Price History'!D9)),'Price History'!D9=0),"",'Price History'!D10/'Price History'!D9-1),"")</f>
        <v>9.1604114539894477E-2</v>
      </c>
      <c r="E9" s="141">
        <f>IFERROR(IF(OR(NOT(ISNUMBER('Price History'!E10)),NOT(ISNUMBER('Price History'!E9)),'Price History'!E9=0),"",'Price History'!E10/'Price History'!E9-1),"")</f>
        <v>5.2858551010350086E-2</v>
      </c>
      <c r="F9" s="141">
        <f>IFERROR(IF(OR(NOT(ISNUMBER('Price History'!F10)),NOT(ISNUMBER('Price History'!F9)),'Price History'!F9=0),"",'Price History'!F10/'Price History'!F9-1),"")</f>
        <v>8.9099745429298771E-2</v>
      </c>
      <c r="G9" s="141">
        <f>IFERROR(IF(OR(NOT(ISNUMBER('Price History'!G10)),NOT(ISNUMBER('Price History'!G9)),'Price History'!G9=0),"",'Price History'!G10/'Price History'!G9-1),"")</f>
        <v>9.1010733452594028E-2</v>
      </c>
      <c r="H9" s="141">
        <f>IFERROR(IF(OR(NOT(ISNUMBER('Price History'!H10)),NOT(ISNUMBER('Price History'!H9)),'Price History'!H9=0),"",'Price History'!H10/'Price History'!H9-1),"")</f>
        <v>0.10564354913117024</v>
      </c>
      <c r="I9" s="141">
        <f>IFERROR(IF(OR(NOT(ISNUMBER('Price History'!I10)),NOT(ISNUMBER('Price History'!I9)),'Price History'!I9=0),"",'Price History'!I10/'Price History'!I9-1),"")</f>
        <v>0.11119366022783539</v>
      </c>
      <c r="J9" s="141">
        <f>IFERROR(IF(OR(NOT(ISNUMBER('Price History'!J10)),NOT(ISNUMBER('Price History'!J9)),'Price History'!J9=0),"",'Price History'!J10/'Price History'!J9-1),"")</f>
        <v>9.4839293798098634E-2</v>
      </c>
      <c r="K9" s="141">
        <f>IFERROR(IF(OR(NOT(ISNUMBER('Price History'!K10)),NOT(ISNUMBER('Price History'!K9)),'Price History'!K9=0),"",'Price History'!K10/'Price History'!K9-1),"")</f>
        <v>0.25348374253483752</v>
      </c>
      <c r="L9" s="141">
        <f>IFERROR(IF(OR(NOT(ISNUMBER('Price History'!L10)),NOT(ISNUMBER('Price History'!L9)),'Price History'!L9=0),"",'Price History'!L10/'Price History'!L9-1),"")</f>
        <v>6.7417090292907211E-2</v>
      </c>
      <c r="M9" s="141">
        <f>IFERROR(IF(OR(NOT(ISNUMBER('Price History'!M10)),NOT(ISNUMBER('Price History'!M9)),'Price History'!M9=0),"",'Price History'!M10/'Price History'!M9-1),"")</f>
        <v>0.11025358324145529</v>
      </c>
      <c r="N9" s="141">
        <f>IFERROR(IF(OR(NOT(ISNUMBER('Price History'!N10)),NOT(ISNUMBER('Price History'!N9)),'Price History'!N9=0),"",'Price History'!N10/'Price History'!N9-1),"")</f>
        <v>5.8883134429182693E-2</v>
      </c>
      <c r="O9" s="141">
        <f>IFERROR(IF(OR(NOT(ISNUMBER('Price History'!O10)),NOT(ISNUMBER('Price History'!O9)),'Price History'!O9=0),"",'Price History'!O10/'Price History'!O9-1),"")</f>
        <v>7.1622587562544471E-2</v>
      </c>
      <c r="P9" s="141">
        <f>IFERROR(IF(OR(NOT(ISNUMBER('Price History'!P10)),NOT(ISNUMBER('Price History'!P9)),'Price History'!P9=0),"",'Price History'!P10/'Price History'!P9-1),"")</f>
        <v>5.8658008658008409E-2</v>
      </c>
      <c r="Q9" s="141">
        <f>IFERROR(IF(OR(NOT(ISNUMBER('Price History'!Q10)),NOT(ISNUMBER('Price History'!Q9)),'Price History'!Q9=0),"",'Price History'!Q10/'Price History'!Q9-1),"")</f>
        <v>4.035124398912826E-2</v>
      </c>
      <c r="R9" s="141">
        <f>IFERROR(IF(OR(NOT(ISNUMBER('Price History'!R10)),NOT(ISNUMBER('Price History'!R9)),'Price History'!R9=0),"",'Price History'!R10/'Price History'!R9-1),"")</f>
        <v>5.7439657806293898E-2</v>
      </c>
      <c r="S9" s="141">
        <f>IFERROR(IF(OR(NOT(ISNUMBER('Price History'!S10)),NOT(ISNUMBER('Price History'!S9)),'Price History'!S9=0),"",'Price History'!S10/'Price History'!S9-1),"")</f>
        <v>5.8454729854324317E-2</v>
      </c>
      <c r="T9" s="141">
        <f>IFERROR(IF(OR(NOT(ISNUMBER('Price History'!T10)),NOT(ISNUMBER('Price History'!T9)),'Price History'!T9=0),"",'Price History'!T10/'Price History'!T9-1),"")</f>
        <v>5.8649789029535881E-2</v>
      </c>
      <c r="U9" s="141">
        <f>IFERROR(IF(OR(NOT(ISNUMBER('Price History'!U10)),NOT(ISNUMBER('Price History'!U9)),'Price History'!U9=0),"",'Price History'!U10/'Price History'!U9-1),"")</f>
        <v>5.002501250625313E-2</v>
      </c>
      <c r="V9" s="142">
        <f>IFERROR(IF(OR(NOT(ISNUMBER('Price History'!V10)),NOT(ISNUMBER('Price History'!V9)),'Price History'!V9=0),"",'Price History'!V10/'Price History'!V9-1),"")</f>
        <v>6.2516733601071017E-2</v>
      </c>
      <c r="W9" s="143">
        <f>IFERROR('Price History'!B3+(INDEX('Price History'!B:B,MATCH(9.99E+307,'Returns (Calc)'!$A:$A)+1)-'Price History'!B3)*(ROW()-3)/(MATCH(9.99E+307,'Returns (Calc)'!$A:$A)-3),"")</f>
        <v>517.83177215189869</v>
      </c>
      <c r="X9" s="143">
        <f>IFERROR('Price History'!C3+(INDEX('Price History'!C:C,MATCH(9.99E+307,'Returns (Calc)'!$A:$A)+1)-'Price History'!C3)*(ROW()-3)/(MATCH(9.99E+307,'Returns (Calc)'!$A:$A)-3),"")</f>
        <v>52.300379746835446</v>
      </c>
      <c r="Y9" s="143">
        <f>IFERROR('Price History'!D3+(INDEX('Price History'!D:D,MATCH(9.99E+307,'Returns (Calc)'!$A:$A)+1)-'Price History'!D3)*(ROW()-3)/(MATCH(9.99E+307,'Returns (Calc)'!$A:$A)-3),"")</f>
        <v>630.81886075949365</v>
      </c>
      <c r="Z9" s="143">
        <f>IFERROR('Price History'!E3+(INDEX('Price History'!E:E,MATCH(9.99E+307,'Returns (Calc)'!$A:$A)+1)-'Price History'!E3)*(ROW()-3)/(MATCH(9.99E+307,'Returns (Calc)'!$A:$A)-3),"")</f>
        <v>92.37240506329114</v>
      </c>
      <c r="AA9" s="143">
        <f>IFERROR('Price History'!F3+(INDEX('Price History'!F:F,MATCH(9.99E+307,'Returns (Calc)'!$A:$A)+1)-'Price History'!F3)*(ROW()-3)/(MATCH(9.99E+307,'Returns (Calc)'!$A:$A)-3),"")</f>
        <v>50.044050632911393</v>
      </c>
      <c r="AB9" s="143">
        <f>IFERROR('Price History'!G3+(INDEX('Price History'!G:G,MATCH(9.99E+307,'Returns (Calc)'!$A:$A)+1)-'Price History'!G3)*(ROW()-3)/(MATCH(9.99E+307,'Returns (Calc)'!$A:$A)-3),"")</f>
        <v>50.522405063291139</v>
      </c>
      <c r="AC9" s="143">
        <f>IFERROR('Price History'!H3+(INDEX('Price History'!H:H,MATCH(9.99E+307,'Returns (Calc)'!$A:$A)+1)-'Price History'!H3)*(ROW()-3)/(MATCH(9.99E+307,'Returns (Calc)'!$A:$A)-3),"")</f>
        <v>107.30417721518987</v>
      </c>
      <c r="AD9" s="143">
        <f>IFERROR('Price History'!I3+(INDEX('Price History'!I:I,MATCH(9.99E+307,'Returns (Calc)'!$A:$A)+1)-'Price History'!I3)*(ROW()-3)/(MATCH(9.99E+307,'Returns (Calc)'!$A:$A)-3),"")</f>
        <v>50.992025316455695</v>
      </c>
      <c r="AE9" s="143">
        <f>IFERROR('Price History'!J3+(INDEX('Price History'!J:J,MATCH(9.99E+307,'Returns (Calc)'!$A:$A)+1)-'Price History'!J3)*(ROW()-3)/(MATCH(9.99E+307,'Returns (Calc)'!$A:$A)-3),"")</f>
        <v>112.48822784810127</v>
      </c>
      <c r="AF9" s="143">
        <f>IFERROR('Price History'!K3+(INDEX('Price History'!K:K,MATCH(9.99E+307,'Returns (Calc)'!$A:$A)+1)-'Price History'!K3)*(ROW()-3)/(MATCH(9.99E+307,'Returns (Calc)'!$A:$A)-3),"")</f>
        <v>21.915569620253166</v>
      </c>
      <c r="AG9" s="143">
        <f>IFERROR('Price History'!L3+(INDEX('Price History'!L:L,MATCH(9.99E+307,'Returns (Calc)'!$A:$A)+1)-'Price History'!L3)*(ROW()-3)/(MATCH(9.99E+307,'Returns (Calc)'!$A:$A)-3),"")</f>
        <v>100.4473417721519</v>
      </c>
      <c r="AH9" s="143">
        <f>IFERROR('Price History'!M3+(INDEX('Price History'!M:M,MATCH(9.99E+307,'Returns (Calc)'!$A:$A)+1)-'Price History'!M3)*(ROW()-3)/(MATCH(9.99E+307,'Returns (Calc)'!$A:$A)-3),"")</f>
        <v>46.152658227848107</v>
      </c>
      <c r="AI9" s="143">
        <f>IFERROR('Price History'!N3+(INDEX('Price History'!N:N,MATCH(9.99E+307,'Returns (Calc)'!$A:$A)+1)-'Price History'!N3)*(ROW()-3)/(MATCH(9.99E+307,'Returns (Calc)'!$A:$A)-3),"")</f>
        <v>354.81759493670882</v>
      </c>
      <c r="AJ9" s="143">
        <f>IFERROR('Price History'!O3+(INDEX('Price History'!O:O,MATCH(9.99E+307,'Returns (Calc)'!$A:$A)+1)-'Price History'!O3)*(ROW()-3)/(MATCH(9.99E+307,'Returns (Calc)'!$A:$A)-3),"")</f>
        <v>77.008227848101271</v>
      </c>
      <c r="AK9" s="143">
        <f>IFERROR('Price History'!Q3+(INDEX('Price History'!Q:Q,MATCH(9.99E+307,'Returns (Calc)'!$A:$A)+1)-'Price History'!Q3)*(ROW()-3)/(MATCH(9.99E+307,'Returns (Calc)'!$A:$A)-3),"")</f>
        <v>2.6362025316455697</v>
      </c>
      <c r="AL9" s="143">
        <f>IFERROR('Price History'!R3+(INDEX('Price History'!R:R,MATCH(9.99E+307,'Returns (Calc)'!$A:$A)+1)-'Price History'!R3)*(ROW()-3)/(MATCH(9.99E+307,'Returns (Calc)'!$A:$A)-3),"")</f>
        <v>35.488607594936703</v>
      </c>
      <c r="AM9" s="143">
        <f>IFERROR('Price History'!S3+(INDEX('Price History'!S:S,MATCH(9.99E+307,'Returns (Calc)'!$A:$A)+1)-'Price History'!S3)*(ROW()-3)/(MATCH(9.99E+307,'Returns (Calc)'!$A:$A)-3),"")</f>
        <v>61.260379746835447</v>
      </c>
      <c r="AN9" s="143">
        <f>IFERROR('Price History'!T3+(INDEX('Price History'!T:T,MATCH(9.99E+307,'Returns (Calc)'!$A:$A)+1)-'Price History'!T3)*(ROW()-3)/(MATCH(9.99E+307,'Returns (Calc)'!$A:$A)-3),"")</f>
        <v>26.249367088607592</v>
      </c>
      <c r="AO9" s="144">
        <f>IFERROR('Price History'!V3+(INDEX('Price History'!V:V,MATCH(9.99E+307,'Returns (Calc)'!$A:$A)+1)-'Price History'!V3)*(ROW()-3)/(MATCH(9.99E+307,'Returns (Calc)'!$A:$A)-3),"")</f>
        <v>240.37797468354429</v>
      </c>
      <c r="AP9" s="142">
        <f>IFERROR(IF(OR(NOT(ISNUMBER('Price History'!W10)),NOT(ISNUMBER('Price History'!W9)),'Price History'!W9=0),"",'Price History'!W10/'Price History'!W9-1),"")</f>
        <v>5.1781002638522589E-2</v>
      </c>
      <c r="AQ9" s="142" t="str">
        <f>IFERROR(IF(OR(NOT(ISNUMBER('Price History'!X10)),NOT(ISNUMBER('Price History'!X9)),'Price History'!X9=0),"",'Price History'!X10/'Price History'!X9-1),"")</f>
        <v/>
      </c>
      <c r="AR9" s="142">
        <f>IFERROR(IF(OR(NOT(ISNUMBER('Price History'!Y10)),NOT(ISNUMBER('Price History'!Y9)),'Price History'!Y9=0),"",'Price History'!Y10/'Price History'!Y9-1),"")</f>
        <v>4.7513540128015785E-2</v>
      </c>
      <c r="AS9" s="142">
        <f>IFERROR(IF(OR(NOT(ISNUMBER('Price History'!Z10)),NOT(ISNUMBER('Price History'!Z9)),'Price History'!Z9=0),"",'Price History'!Z10/'Price History'!Z9-1),"")</f>
        <v>2.4174246050741921E-2</v>
      </c>
      <c r="AT9" s="142">
        <f>IFERROR(IF(OR(NOT(ISNUMBER('Price History'!AA10)),NOT(ISNUMBER('Price History'!AA9)),'Price History'!AA9=0),"",'Price History'!AA10/'Price History'!AA9-1),"")</f>
        <v>8.6705202312138852E-2</v>
      </c>
    </row>
    <row r="10" spans="1:46" ht="15" customHeight="1" x14ac:dyDescent="0.35">
      <c r="A10" s="140">
        <f>IF('Price History'!A11="","",'Price History'!A11)</f>
        <v>45240</v>
      </c>
      <c r="B10" s="141">
        <f>IFERROR(IF(OR(NOT(ISNUMBER('Price History'!B11)),NOT(ISNUMBER('Price History'!B10)),'Price History'!B10=0),"",'Price History'!B11/'Price History'!B10-1),"")</f>
        <v>5.953943866870115E-2</v>
      </c>
      <c r="C10" s="141">
        <f>IFERROR(IF(OR(NOT(ISNUMBER('Price History'!C11)),NOT(ISNUMBER('Price History'!C10)),'Price History'!C10=0),"",'Price History'!C11/'Price History'!C10-1),"")</f>
        <v>-2.654367469879515E-2</v>
      </c>
      <c r="D10" s="141">
        <f>IFERROR(IF(OR(NOT(ISNUMBER('Price History'!D11)),NOT(ISNUMBER('Price History'!D10)),'Price History'!D10=0),"",'Price History'!D11/'Price History'!D10-1),"")</f>
        <v>2.9383675028651579E-2</v>
      </c>
      <c r="E10" s="141">
        <f>IFERROR(IF(OR(NOT(ISNUMBER('Price History'!E11)),NOT(ISNUMBER('Price History'!E10)),'Price History'!E10=0),"",'Price History'!E11/'Price History'!E10-1),"")</f>
        <v>8.4727911059098826E-2</v>
      </c>
      <c r="F10" s="141">
        <f>IFERROR(IF(OR(NOT(ISNUMBER('Price History'!F11)),NOT(ISNUMBER('Price History'!F10)),'Price History'!F10=0),"",'Price History'!F11/'Price History'!F10-1),"")</f>
        <v>4.2923926901827336E-2</v>
      </c>
      <c r="G10" s="141">
        <f>IFERROR(IF(OR(NOT(ISNUMBER('Price History'!G11)),NOT(ISNUMBER('Price History'!G10)),'Price History'!G10=0),"",'Price History'!G11/'Price History'!G10-1),"")</f>
        <v>6.9276491084238723E-2</v>
      </c>
      <c r="H10" s="141">
        <f>IFERROR(IF(OR(NOT(ISNUMBER('Price History'!H11)),NOT(ISNUMBER('Price History'!H10)),'Price History'!H10=0),"",'Price History'!H11/'Price History'!H10-1),"")</f>
        <v>3.8247566063977834E-2</v>
      </c>
      <c r="I10" s="141">
        <f>IFERROR(IF(OR(NOT(ISNUMBER('Price History'!I11)),NOT(ISNUMBER('Price History'!I10)),'Price History'!I10=0),"",'Price History'!I11/'Price History'!I10-1),"")</f>
        <v>7.3991531089814933E-2</v>
      </c>
      <c r="J10" s="141">
        <f>IFERROR(IF(OR(NOT(ISNUMBER('Price History'!J11)),NOT(ISNUMBER('Price History'!J10)),'Price History'!J10=0),"",'Price History'!J11/'Price History'!J10-1),"")</f>
        <v>-1.8709944180276938E-2</v>
      </c>
      <c r="K10" s="141">
        <f>IFERROR(IF(OR(NOT(ISNUMBER('Price History'!K11)),NOT(ISNUMBER('Price History'!K10)),'Price History'!K10=0),"",'Price History'!K11/'Price History'!K10-1),"")</f>
        <v>4.1291688724192754E-2</v>
      </c>
      <c r="L10" s="141">
        <f>IFERROR(IF(OR(NOT(ISNUMBER('Price History'!L11)),NOT(ISNUMBER('Price History'!L10)),'Price History'!L10=0),"",'Price History'!L11/'Price History'!L10-1),"")</f>
        <v>6.1571606758135999E-2</v>
      </c>
      <c r="M10" s="141">
        <f>IFERROR(IF(OR(NOT(ISNUMBER('Price History'!M11)),NOT(ISNUMBER('Price History'!M10)),'Price History'!M10=0),"",'Price History'!M11/'Price History'!M10-1),"")</f>
        <v>3.4508440913604721E-2</v>
      </c>
      <c r="N10" s="141">
        <f>IFERROR(IF(OR(NOT(ISNUMBER('Price History'!N11)),NOT(ISNUMBER('Price History'!N10)),'Price History'!N10=0),"",'Price History'!N11/'Price History'!N10-1),"")</f>
        <v>-6.7783094098884389E-3</v>
      </c>
      <c r="O10" s="141">
        <f>IFERROR(IF(OR(NOT(ISNUMBER('Price History'!O11)),NOT(ISNUMBER('Price History'!O10)),'Price History'!O10=0),"",'Price History'!O11/'Price History'!O10-1),"")</f>
        <v>-3.415154749199556E-2</v>
      </c>
      <c r="P10" s="141">
        <f>IFERROR(IF(OR(NOT(ISNUMBER('Price History'!P11)),NOT(ISNUMBER('Price History'!P10)),'Price History'!P10=0),"",'Price History'!P11/'Price History'!P10-1),"")</f>
        <v>-2.2592516867716128E-2</v>
      </c>
      <c r="Q10" s="141">
        <f>IFERROR(IF(OR(NOT(ISNUMBER('Price History'!Q11)),NOT(ISNUMBER('Price History'!Q10)),'Price History'!Q10=0),"",'Price History'!Q11/'Price History'!Q10-1),"")</f>
        <v>1.0048231511254002E-2</v>
      </c>
      <c r="R10" s="141">
        <f>IFERROR(IF(OR(NOT(ISNUMBER('Price History'!R11)),NOT(ISNUMBER('Price History'!R10)),'Price History'!R10=0),"",'Price History'!R11/'Price History'!R10-1),"")</f>
        <v>2.080323605894252E-2</v>
      </c>
      <c r="S10" s="141">
        <f>IFERROR(IF(OR(NOT(ISNUMBER('Price History'!S11)),NOT(ISNUMBER('Price History'!S10)),'Price History'!S10=0),"",'Price History'!S11/'Price History'!S10-1),"")</f>
        <v>2.9442508710801452E-2</v>
      </c>
      <c r="T10" s="141">
        <f>IFERROR(IF(OR(NOT(ISNUMBER('Price History'!T11)),NOT(ISNUMBER('Price History'!T10)),'Price History'!T10=0),"",'Price History'!T11/'Price History'!T10-1),"")</f>
        <v>-6.3770426464726526E-3</v>
      </c>
      <c r="U10" s="141">
        <f>IFERROR(IF(OR(NOT(ISNUMBER('Price History'!U11)),NOT(ISNUMBER('Price History'!U10)),'Price History'!U10=0),"",'Price History'!U11/'Price History'!U10-1),"")</f>
        <v>-1.1434016198189512E-2</v>
      </c>
      <c r="V10" s="142">
        <f>IFERROR(IF(OR(NOT(ISNUMBER('Price History'!V11)),NOT(ISNUMBER('Price History'!V10)),'Price History'!V10=0),"",'Price History'!V11/'Price History'!V10-1),"")</f>
        <v>8.9034479862246663E-3</v>
      </c>
      <c r="W10" s="143">
        <f>IFERROR('Price History'!B3+(INDEX('Price History'!B:B,MATCH(9.99E+307,'Returns (Calc)'!$A:$A)+1)-'Price History'!B3)*(ROW()-3)/(MATCH(9.99E+307,'Returns (Calc)'!$A:$A)-3),"")</f>
        <v>515.98873417721518</v>
      </c>
      <c r="X10" s="143">
        <f>IFERROR('Price History'!C3+(INDEX('Price History'!C:C,MATCH(9.99E+307,'Returns (Calc)'!$A:$A)+1)-'Price History'!C3)*(ROW()-3)/(MATCH(9.99E+307,'Returns (Calc)'!$A:$A)-3),"")</f>
        <v>53.320443037974684</v>
      </c>
      <c r="Y10" s="143">
        <f>IFERROR('Price History'!D3+(INDEX('Price History'!D:D,MATCH(9.99E+307,'Returns (Calc)'!$A:$A)+1)-'Price History'!D3)*(ROW()-3)/(MATCH(9.99E+307,'Returns (Calc)'!$A:$A)-3),"")</f>
        <v>638.953670886076</v>
      </c>
      <c r="Z10" s="143">
        <f>IFERROR('Price History'!E3+(INDEX('Price History'!E:E,MATCH(9.99E+307,'Returns (Calc)'!$A:$A)+1)-'Price History'!E3)*(ROW()-3)/(MATCH(9.99E+307,'Returns (Calc)'!$A:$A)-3),"")</f>
        <v>94.101139240506328</v>
      </c>
      <c r="AA10" s="143">
        <f>IFERROR('Price History'!F3+(INDEX('Price History'!F:F,MATCH(9.99E+307,'Returns (Calc)'!$A:$A)+1)-'Price History'!F3)*(ROW()-3)/(MATCH(9.99E+307,'Returns (Calc)'!$A:$A)-3),"")</f>
        <v>51.491392405063294</v>
      </c>
      <c r="AB10" s="143">
        <f>IFERROR('Price History'!G3+(INDEX('Price History'!G:G,MATCH(9.99E+307,'Returns (Calc)'!$A:$A)+1)-'Price History'!G3)*(ROW()-3)/(MATCH(9.99E+307,'Returns (Calc)'!$A:$A)-3),"")</f>
        <v>51.55113924050633</v>
      </c>
      <c r="AC10" s="143">
        <f>IFERROR('Price History'!H3+(INDEX('Price History'!H:H,MATCH(9.99E+307,'Returns (Calc)'!$A:$A)+1)-'Price History'!H3)*(ROW()-3)/(MATCH(9.99E+307,'Returns (Calc)'!$A:$A)-3),"")</f>
        <v>113.66987341772153</v>
      </c>
      <c r="AD10" s="143">
        <f>IFERROR('Price History'!I3+(INDEX('Price History'!I:I,MATCH(9.99E+307,'Returns (Calc)'!$A:$A)+1)-'Price History'!I3)*(ROW()-3)/(MATCH(9.99E+307,'Returns (Calc)'!$A:$A)-3),"")</f>
        <v>52.19569620253165</v>
      </c>
      <c r="AE10" s="143">
        <f>IFERROR('Price History'!J3+(INDEX('Price History'!J:J,MATCH(9.99E+307,'Returns (Calc)'!$A:$A)+1)-'Price History'!J3)*(ROW()-3)/(MATCH(9.99E+307,'Returns (Calc)'!$A:$A)-3),"")</f>
        <v>112.59626582278482</v>
      </c>
      <c r="AF10" s="143">
        <f>IFERROR('Price History'!K3+(INDEX('Price History'!K:K,MATCH(9.99E+307,'Returns (Calc)'!$A:$A)+1)-'Price History'!K3)*(ROW()-3)/(MATCH(9.99E+307,'Returns (Calc)'!$A:$A)-3),"")</f>
        <v>23.013164556962025</v>
      </c>
      <c r="AG10" s="143">
        <f>IFERROR('Price History'!L3+(INDEX('Price History'!L:L,MATCH(9.99E+307,'Returns (Calc)'!$A:$A)+1)-'Price History'!L3)*(ROW()-3)/(MATCH(9.99E+307,'Returns (Calc)'!$A:$A)-3),"")</f>
        <v>102.89689873417721</v>
      </c>
      <c r="AH10" s="143">
        <f>IFERROR('Price History'!M3+(INDEX('Price History'!M:M,MATCH(9.99E+307,'Returns (Calc)'!$A:$A)+1)-'Price History'!M3)*(ROW()-3)/(MATCH(9.99E+307,'Returns (Calc)'!$A:$A)-3),"")</f>
        <v>47.508101265822788</v>
      </c>
      <c r="AI10" s="143">
        <f>IFERROR('Price History'!N3+(INDEX('Price History'!N:N,MATCH(9.99E+307,'Returns (Calc)'!$A:$A)+1)-'Price History'!N3)*(ROW()-3)/(MATCH(9.99E+307,'Returns (Calc)'!$A:$A)-3),"")</f>
        <v>355.80386075949366</v>
      </c>
      <c r="AJ10" s="143">
        <f>IFERROR('Price History'!O3+(INDEX('Price History'!O:O,MATCH(9.99E+307,'Returns (Calc)'!$A:$A)+1)-'Price History'!O3)*(ROW()-3)/(MATCH(9.99E+307,'Returns (Calc)'!$A:$A)-3),"")</f>
        <v>77.291265822784808</v>
      </c>
      <c r="AK10" s="143">
        <f>IFERROR('Price History'!Q3+(INDEX('Price History'!Q:Q,MATCH(9.99E+307,'Returns (Calc)'!$A:$A)+1)-'Price History'!Q3)*(ROW()-3)/(MATCH(9.99E+307,'Returns (Calc)'!$A:$A)-3),"")</f>
        <v>3.0755696202531646</v>
      </c>
      <c r="AL10" s="143">
        <f>IFERROR('Price History'!R3+(INDEX('Price History'!R:R,MATCH(9.99E+307,'Returns (Calc)'!$A:$A)+1)-'Price History'!R3)*(ROW()-3)/(MATCH(9.99E+307,'Returns (Calc)'!$A:$A)-3),"")</f>
        <v>35.656708860759494</v>
      </c>
      <c r="AM10" s="143">
        <f>IFERROR('Price History'!S3+(INDEX('Price History'!S:S,MATCH(9.99E+307,'Returns (Calc)'!$A:$A)+1)-'Price History'!S3)*(ROW()-3)/(MATCH(9.99E+307,'Returns (Calc)'!$A:$A)-3),"")</f>
        <v>61.865443037974686</v>
      </c>
      <c r="AN10" s="143">
        <f>IFERROR('Price History'!T3+(INDEX('Price History'!T:T,MATCH(9.99E+307,'Returns (Calc)'!$A:$A)+1)-'Price History'!T3)*(ROW()-3)/(MATCH(9.99E+307,'Returns (Calc)'!$A:$A)-3),"")</f>
        <v>26.417594936708859</v>
      </c>
      <c r="AO10" s="144">
        <f>IFERROR('Price History'!V3+(INDEX('Price History'!V:V,MATCH(9.99E+307,'Returns (Calc)'!$A:$A)+1)-'Price History'!V3)*(ROW()-3)/(MATCH(9.99E+307,'Returns (Calc)'!$A:$A)-3),"")</f>
        <v>241.16930379746836</v>
      </c>
      <c r="AP10" s="142">
        <f>IFERROR(IF(OR(NOT(ISNUMBER('Price History'!W11)),NOT(ISNUMBER('Price History'!W10)),'Price History'!W10=0),"",'Price History'!W11/'Price History'!W10-1),"")</f>
        <v>-1.1288805268109159E-2</v>
      </c>
      <c r="AQ10" s="142" t="str">
        <f>IFERROR(IF(OR(NOT(ISNUMBER('Price History'!X11)),NOT(ISNUMBER('Price History'!X10)),'Price History'!X10=0),"",'Price History'!X11/'Price History'!X10-1),"")</f>
        <v/>
      </c>
      <c r="AR10" s="142">
        <f>IFERROR(IF(OR(NOT(ISNUMBER('Price History'!Y11)),NOT(ISNUMBER('Price History'!Y10)),'Price History'!Y10=0),"",'Price History'!Y11/'Price History'!Y10-1),"")</f>
        <v>3.9952996474736935E-3</v>
      </c>
      <c r="AS10" s="142">
        <f>IFERROR(IF(OR(NOT(ISNUMBER('Price History'!Z11)),NOT(ISNUMBER('Price History'!Z10)),'Price History'!Z10=0),"",'Price History'!Z11/'Price History'!Z10-1),"")</f>
        <v>5.8308015891563425E-2</v>
      </c>
      <c r="AT10" s="142">
        <f>IFERROR(IF(OR(NOT(ISNUMBER('Price History'!AA11)),NOT(ISNUMBER('Price History'!AA10)),'Price History'!AA10=0),"",'Price History'!AA11/'Price History'!AA10-1),"")</f>
        <v>3.4227567067530051E-2</v>
      </c>
    </row>
    <row r="11" spans="1:46" ht="15" customHeight="1" x14ac:dyDescent="0.35">
      <c r="A11" s="140">
        <f>IF('Price History'!A12="","",'Price History'!A12)</f>
        <v>45247</v>
      </c>
      <c r="B11" s="141">
        <f>IFERROR(IF(OR(NOT(ISNUMBER('Price History'!B12)),NOT(ISNUMBER('Price History'!B11)),'Price History'!B11=0),"",'Price History'!B12/'Price History'!B11-1),"")</f>
        <v>9.1088711027760283E-3</v>
      </c>
      <c r="C11" s="141">
        <f>IFERROR(IF(OR(NOT(ISNUMBER('Price History'!C12)),NOT(ISNUMBER('Price History'!C11)),'Price History'!C11=0),"",'Price History'!C12/'Price History'!C11-1),"")</f>
        <v>3.7710307484045469E-2</v>
      </c>
      <c r="D11" s="141">
        <f>IFERROR(IF(OR(NOT(ISNUMBER('Price History'!D12)),NOT(ISNUMBER('Price History'!D11)),'Price History'!D11=0),"",'Price History'!D12/'Price History'!D11-1),"")</f>
        <v>3.7513530230400383E-2</v>
      </c>
      <c r="E11" s="141">
        <f>IFERROR(IF(OR(NOT(ISNUMBER('Price History'!E12)),NOT(ISNUMBER('Price History'!E11)),'Price History'!E11=0),"",'Price History'!E12/'Price History'!E11-1),"")</f>
        <v>2.1145754666091365E-2</v>
      </c>
      <c r="F11" s="141">
        <f>IFERROR(IF(OR(NOT(ISNUMBER('Price History'!F12)),NOT(ISNUMBER('Price History'!F11)),'Price History'!F11=0),"",'Price History'!F12/'Price History'!F11-1),"")</f>
        <v>5.4808475957620395E-2</v>
      </c>
      <c r="G11" s="141">
        <f>IFERROR(IF(OR(NOT(ISNUMBER('Price History'!G12)),NOT(ISNUMBER('Price History'!G11)),'Price History'!G11=0),"",'Price History'!G12/'Price History'!G11-1),"")</f>
        <v>2.204331991566022E-2</v>
      </c>
      <c r="H11" s="141">
        <f>IFERROR(IF(OR(NOT(ISNUMBER('Price History'!H12)),NOT(ISNUMBER('Price History'!H11)),'Price History'!H11=0),"",'Price History'!H12/'Price History'!H11-1),"")</f>
        <v>2.920294708640303E-2</v>
      </c>
      <c r="I11" s="141">
        <f>IFERROR(IF(OR(NOT(ISNUMBER('Price History'!I12)),NOT(ISNUMBER('Price History'!I11)),'Price History'!I11=0),"",'Price History'!I12/'Price History'!I11-1),"")</f>
        <v>1.9921145465864321E-2</v>
      </c>
      <c r="J11" s="141">
        <f>IFERROR(IF(OR(NOT(ISNUMBER('Price History'!J12)),NOT(ISNUMBER('Price History'!J11)),'Price History'!J11=0),"",'Price History'!J12/'Price History'!J11-1),"")</f>
        <v>5.2775729484883405E-2</v>
      </c>
      <c r="K11" s="141">
        <f>IFERROR(IF(OR(NOT(ISNUMBER('Price History'!K12)),NOT(ISNUMBER('Price History'!K11)),'Price History'!K11=0),"",'Price History'!K12/'Price History'!K11-1),"")</f>
        <v>4.1687849517030751E-2</v>
      </c>
      <c r="L11" s="141">
        <f>IFERROR(IF(OR(NOT(ISNUMBER('Price History'!L12)),NOT(ISNUMBER('Price History'!L11)),'Price History'!L11=0),"",'Price History'!L12/'Price History'!L11-1),"")</f>
        <v>2.2003845332194016E-2</v>
      </c>
      <c r="M11" s="141">
        <f>IFERROR(IF(OR(NOT(ISNUMBER('Price History'!M12)),NOT(ISNUMBER('Price History'!M11)),'Price History'!M11=0),"",'Price History'!M12/'Price History'!M11-1),"")</f>
        <v>3.4797216222702154E-2</v>
      </c>
      <c r="N11" s="141">
        <f>IFERROR(IF(OR(NOT(ISNUMBER('Price History'!N12)),NOT(ISNUMBER('Price History'!N11)),'Price History'!N11=0),"",'Price History'!N12/'Price History'!N11-1),"")</f>
        <v>-6.1956376287970016E-2</v>
      </c>
      <c r="O11" s="141">
        <f>IFERROR(IF(OR(NOT(ISNUMBER('Price History'!O12)),NOT(ISNUMBER('Price History'!O11)),'Price History'!O11=0),"",'Price History'!O12/'Price History'!O11-1),"")</f>
        <v>5.5524861878452958E-2</v>
      </c>
      <c r="P11" s="141">
        <f>IFERROR(IF(OR(NOT(ISNUMBER('Price History'!P12)),NOT(ISNUMBER('Price History'!P11)),'Price History'!P11=0),"",'Price History'!P12/'Price History'!P11-1),"")</f>
        <v>3.5456542202698449E-2</v>
      </c>
      <c r="Q11" s="141">
        <f>IFERROR(IF(OR(NOT(ISNUMBER('Price History'!Q12)),NOT(ISNUMBER('Price History'!Q11)),'Price History'!Q11=0),"",'Price History'!Q12/'Price History'!Q11-1),"")</f>
        <v>1.2932749701551893E-2</v>
      </c>
      <c r="R11" s="141">
        <f>IFERROR(IF(OR(NOT(ISNUMBER('Price History'!R12)),NOT(ISNUMBER('Price History'!R11)),'Price History'!R11=0),"",'Price History'!R12/'Price History'!R11-1),"")</f>
        <v>9.3405038211151759E-3</v>
      </c>
      <c r="S11" s="141">
        <f>IFERROR(IF(OR(NOT(ISNUMBER('Price History'!S12)),NOT(ISNUMBER('Price History'!S11)),'Price History'!S11=0),"",'Price History'!S12/'Price History'!S11-1),"")</f>
        <v>2.1661871721103232E-2</v>
      </c>
      <c r="T11" s="141">
        <f>IFERROR(IF(OR(NOT(ISNUMBER('Price History'!T12)),NOT(ISNUMBER('Price History'!T11)),'Price History'!T11=0),"",'Price History'!T12/'Price History'!T11-1),"")</f>
        <v>2.5671881267549157E-2</v>
      </c>
      <c r="U11" s="141">
        <f>IFERROR(IF(OR(NOT(ISNUMBER('Price History'!U12)),NOT(ISNUMBER('Price History'!U11)),'Price History'!U11=0),"",'Price History'!U12/'Price History'!U11-1),"")</f>
        <v>2.4096385542168752E-2</v>
      </c>
      <c r="V11" s="142">
        <f>IFERROR(IF(OR(NOT(ISNUMBER('Price History'!V12)),NOT(ISNUMBER('Price History'!V11)),'Price History'!V11=0),"",'Price History'!V12/'Price History'!V11-1),"")</f>
        <v>1.7566498772010108E-2</v>
      </c>
      <c r="W11" s="143">
        <f>IFERROR('Price History'!B3+(INDEX('Price History'!B:B,MATCH(9.99E+307,'Returns (Calc)'!$A:$A)+1)-'Price History'!B3)*(ROW()-3)/(MATCH(9.99E+307,'Returns (Calc)'!$A:$A)-3),"")</f>
        <v>514.14569620253167</v>
      </c>
      <c r="X11" s="143">
        <f>IFERROR('Price History'!C3+(INDEX('Price History'!C:C,MATCH(9.99E+307,'Returns (Calc)'!$A:$A)+1)-'Price History'!C3)*(ROW()-3)/(MATCH(9.99E+307,'Returns (Calc)'!$A:$A)-3),"")</f>
        <v>54.340506329113921</v>
      </c>
      <c r="Y11" s="143">
        <f>IFERROR('Price History'!D3+(INDEX('Price History'!D:D,MATCH(9.99E+307,'Returns (Calc)'!$A:$A)+1)-'Price History'!D3)*(ROW()-3)/(MATCH(9.99E+307,'Returns (Calc)'!$A:$A)-3),"")</f>
        <v>647.08848101265824</v>
      </c>
      <c r="Z11" s="143">
        <f>IFERROR('Price History'!E3+(INDEX('Price History'!E:E,MATCH(9.99E+307,'Returns (Calc)'!$A:$A)+1)-'Price History'!E3)*(ROW()-3)/(MATCH(9.99E+307,'Returns (Calc)'!$A:$A)-3),"")</f>
        <v>95.829873417721515</v>
      </c>
      <c r="AA11" s="143">
        <f>IFERROR('Price History'!F3+(INDEX('Price History'!F:F,MATCH(9.99E+307,'Returns (Calc)'!$A:$A)+1)-'Price History'!F3)*(ROW()-3)/(MATCH(9.99E+307,'Returns (Calc)'!$A:$A)-3),"")</f>
        <v>52.938734177215188</v>
      </c>
      <c r="AB11" s="143">
        <f>IFERROR('Price History'!G3+(INDEX('Price History'!G:G,MATCH(9.99E+307,'Returns (Calc)'!$A:$A)+1)-'Price History'!G3)*(ROW()-3)/(MATCH(9.99E+307,'Returns (Calc)'!$A:$A)-3),"")</f>
        <v>52.579873417721522</v>
      </c>
      <c r="AC11" s="143">
        <f>IFERROR('Price History'!H3+(INDEX('Price History'!H:H,MATCH(9.99E+307,'Returns (Calc)'!$A:$A)+1)-'Price History'!H3)*(ROW()-3)/(MATCH(9.99E+307,'Returns (Calc)'!$A:$A)-3),"")</f>
        <v>120.03556962025317</v>
      </c>
      <c r="AD11" s="143">
        <f>IFERROR('Price History'!I3+(INDEX('Price History'!I:I,MATCH(9.99E+307,'Returns (Calc)'!$A:$A)+1)-'Price History'!I3)*(ROW()-3)/(MATCH(9.99E+307,'Returns (Calc)'!$A:$A)-3),"")</f>
        <v>53.399367088607598</v>
      </c>
      <c r="AE11" s="143">
        <f>IFERROR('Price History'!J3+(INDEX('Price History'!J:J,MATCH(9.99E+307,'Returns (Calc)'!$A:$A)+1)-'Price History'!J3)*(ROW()-3)/(MATCH(9.99E+307,'Returns (Calc)'!$A:$A)-3),"")</f>
        <v>112.70430379746836</v>
      </c>
      <c r="AF11" s="143">
        <f>IFERROR('Price History'!K3+(INDEX('Price History'!K:K,MATCH(9.99E+307,'Returns (Calc)'!$A:$A)+1)-'Price History'!K3)*(ROW()-3)/(MATCH(9.99E+307,'Returns (Calc)'!$A:$A)-3),"")</f>
        <v>24.110759493670884</v>
      </c>
      <c r="AG11" s="143">
        <f>IFERROR('Price History'!L3+(INDEX('Price History'!L:L,MATCH(9.99E+307,'Returns (Calc)'!$A:$A)+1)-'Price History'!L3)*(ROW()-3)/(MATCH(9.99E+307,'Returns (Calc)'!$A:$A)-3),"")</f>
        <v>105.34645569620253</v>
      </c>
      <c r="AH11" s="143">
        <f>IFERROR('Price History'!M3+(INDEX('Price History'!M:M,MATCH(9.99E+307,'Returns (Calc)'!$A:$A)+1)-'Price History'!M3)*(ROW()-3)/(MATCH(9.99E+307,'Returns (Calc)'!$A:$A)-3),"")</f>
        <v>48.863544303797468</v>
      </c>
      <c r="AI11" s="143">
        <f>IFERROR('Price History'!N3+(INDEX('Price History'!N:N,MATCH(9.99E+307,'Returns (Calc)'!$A:$A)+1)-'Price History'!N3)*(ROW()-3)/(MATCH(9.99E+307,'Returns (Calc)'!$A:$A)-3),"")</f>
        <v>356.79012658227845</v>
      </c>
      <c r="AJ11" s="143">
        <f>IFERROR('Price History'!O3+(INDEX('Price History'!O:O,MATCH(9.99E+307,'Returns (Calc)'!$A:$A)+1)-'Price History'!O3)*(ROW()-3)/(MATCH(9.99E+307,'Returns (Calc)'!$A:$A)-3),"")</f>
        <v>77.57430379746836</v>
      </c>
      <c r="AK11" s="143">
        <f>IFERROR('Price History'!Q3+(INDEX('Price History'!Q:Q,MATCH(9.99E+307,'Returns (Calc)'!$A:$A)+1)-'Price History'!Q3)*(ROW()-3)/(MATCH(9.99E+307,'Returns (Calc)'!$A:$A)-3),"")</f>
        <v>3.5149367088607595</v>
      </c>
      <c r="AL11" s="143">
        <f>IFERROR('Price History'!R3+(INDEX('Price History'!R:R,MATCH(9.99E+307,'Returns (Calc)'!$A:$A)+1)-'Price History'!R3)*(ROW()-3)/(MATCH(9.99E+307,'Returns (Calc)'!$A:$A)-3),"")</f>
        <v>35.824810126582278</v>
      </c>
      <c r="AM11" s="143">
        <f>IFERROR('Price History'!S3+(INDEX('Price History'!S:S,MATCH(9.99E+307,'Returns (Calc)'!$A:$A)+1)-'Price History'!S3)*(ROW()-3)/(MATCH(9.99E+307,'Returns (Calc)'!$A:$A)-3),"")</f>
        <v>62.470506329113924</v>
      </c>
      <c r="AN11" s="143">
        <f>IFERROR('Price History'!T3+(INDEX('Price History'!T:T,MATCH(9.99E+307,'Returns (Calc)'!$A:$A)+1)-'Price History'!T3)*(ROW()-3)/(MATCH(9.99E+307,'Returns (Calc)'!$A:$A)-3),"")</f>
        <v>26.585822784810127</v>
      </c>
      <c r="AO11" s="144">
        <f>IFERROR('Price History'!V3+(INDEX('Price History'!V:V,MATCH(9.99E+307,'Returns (Calc)'!$A:$A)+1)-'Price History'!V3)*(ROW()-3)/(MATCH(9.99E+307,'Returns (Calc)'!$A:$A)-3),"")</f>
        <v>241.96063291139239</v>
      </c>
      <c r="AP11" s="142">
        <f>IFERROR(IF(OR(NOT(ISNUMBER('Price History'!W12)),NOT(ISNUMBER('Price History'!W11)),'Price History'!W11=0),"",'Price History'!W12/'Price History'!W11-1),"")</f>
        <v>2.5584099799133009E-2</v>
      </c>
      <c r="AQ11" s="142" t="str">
        <f>IFERROR(IF(OR(NOT(ISNUMBER('Price History'!X12)),NOT(ISNUMBER('Price History'!X11)),'Price History'!X11=0),"",'Price History'!X12/'Price History'!X11-1),"")</f>
        <v/>
      </c>
      <c r="AR11" s="142">
        <f>IFERROR(IF(OR(NOT(ISNUMBER('Price History'!Y12)),NOT(ISNUMBER('Price History'!Y11)),'Price History'!Y11=0),"",'Price History'!Y12/'Price History'!Y11-1),"")</f>
        <v>8.6610486891387506E-3</v>
      </c>
      <c r="AS11" s="142">
        <f>IFERROR(IF(OR(NOT(ISNUMBER('Price History'!Z12)),NOT(ISNUMBER('Price History'!Z11)),'Price History'!Z11=0),"",'Price History'!Z12/'Price History'!Z11-1),"")</f>
        <v>4.041073203047385E-2</v>
      </c>
      <c r="AT11" s="142">
        <f>IFERROR(IF(OR(NOT(ISNUMBER('Price History'!AA12)),NOT(ISNUMBER('Price History'!AA11)),'Price History'!AA11=0),"",'Price History'!AA12/'Price History'!AA11-1),"")</f>
        <v>4.1815742397137923E-2</v>
      </c>
    </row>
    <row r="12" spans="1:46" ht="15" customHeight="1" x14ac:dyDescent="0.35">
      <c r="A12" s="140">
        <f>IF('Price History'!A13="","",'Price History'!A13)</f>
        <v>45254</v>
      </c>
      <c r="B12" s="141">
        <f>IFERROR(IF(OR(NOT(ISNUMBER('Price History'!B13)),NOT(ISNUMBER('Price History'!B12)),'Price History'!B12=0),"",'Price History'!B13/'Price History'!B12-1),"")</f>
        <v>2.7826635250389975E-2</v>
      </c>
      <c r="C12" s="141">
        <f>IFERROR(IF(OR(NOT(ISNUMBER('Price History'!C13)),NOT(ISNUMBER('Price History'!C12)),'Price History'!C12=0),"",'Price History'!C13/'Price History'!C12-1),"")</f>
        <v>1.7517704062616657E-2</v>
      </c>
      <c r="D12" s="141">
        <f>IFERROR(IF(OR(NOT(ISNUMBER('Price History'!D13)),NOT(ISNUMBER('Price History'!D12)),'Price History'!D12=0),"",'Price History'!D13/'Price History'!D12-1),"")</f>
        <v>7.4222010253963688E-3</v>
      </c>
      <c r="E12" s="141">
        <f>IFERROR(IF(OR(NOT(ISNUMBER('Price History'!E13)),NOT(ISNUMBER('Price History'!E12)),'Price History'!E12=0),"",'Price History'!E13/'Price History'!E12-1),"")</f>
        <v>1.1621764395139955E-3</v>
      </c>
      <c r="F12" s="141">
        <f>IFERROR(IF(OR(NOT(ISNUMBER('Price History'!F13)),NOT(ISNUMBER('Price History'!F12)),'Price History'!F12=0),"",'Price History'!F13/'Price History'!F12-1),"")</f>
        <v>1.7384585667374886E-2</v>
      </c>
      <c r="G12" s="141">
        <f>IFERROR(IF(OR(NOT(ISNUMBER('Price History'!G13)),NOT(ISNUMBER('Price History'!G12)),'Price History'!G12=0),"",'Price History'!G13/'Price History'!G12-1),"")</f>
        <v>2.0442610652663173E-2</v>
      </c>
      <c r="H12" s="141">
        <f>IFERROR(IF(OR(NOT(ISNUMBER('Price History'!H13)),NOT(ISNUMBER('Price History'!H12)),'Price History'!H12=0),"",'Price History'!H13/'Price History'!H12-1),"")</f>
        <v>-8.8507093583234386E-3</v>
      </c>
      <c r="I12" s="141">
        <f>IFERROR(IF(OR(NOT(ISNUMBER('Price History'!I13)),NOT(ISNUMBER('Price History'!I12)),'Price History'!I12=0),"",'Price History'!I13/'Price History'!I12-1),"")</f>
        <v>-3.0925737538148423E-2</v>
      </c>
      <c r="J12" s="141">
        <f>IFERROR(IF(OR(NOT(ISNUMBER('Price History'!J13)),NOT(ISNUMBER('Price History'!J12)),'Price History'!J12=0),"",'Price History'!J13/'Price History'!J12-1),"")</f>
        <v>1.7510506303782369E-2</v>
      </c>
      <c r="K12" s="141">
        <f>IFERROR(IF(OR(NOT(ISNUMBER('Price History'!K13)),NOT(ISNUMBER('Price History'!K12)),'Price History'!K12=0),"",'Price History'!K13/'Price History'!K12-1),"")</f>
        <v>-6.2957540263543166E-2</v>
      </c>
      <c r="L12" s="141">
        <f>IFERROR(IF(OR(NOT(ISNUMBER('Price History'!L13)),NOT(ISNUMBER('Price History'!L12)),'Price History'!L12=0),"",'Price History'!L13/'Price History'!L12-1),"")</f>
        <v>-1.7558528428093689E-2</v>
      </c>
      <c r="M12" s="141">
        <f>IFERROR(IF(OR(NOT(ISNUMBER('Price History'!M13)),NOT(ISNUMBER('Price History'!M12)),'Price History'!M12=0),"",'Price History'!M13/'Price History'!M12-1),"")</f>
        <v>-1.3914656771799483E-2</v>
      </c>
      <c r="N12" s="141">
        <f>IFERROR(IF(OR(NOT(ISNUMBER('Price History'!N13)),NOT(ISNUMBER('Price History'!N12)),'Price History'!N12=0),"",'Price History'!N13/'Price History'!N12-1),"")</f>
        <v>7.2467902995720923E-3</v>
      </c>
      <c r="O12" s="141">
        <f>IFERROR(IF(OR(NOT(ISNUMBER('Price History'!O13)),NOT(ISNUMBER('Price History'!O12)),'Price History'!O12=0),"",'Price History'!O13/'Price History'!O12-1),"")</f>
        <v>1.3085579691196614E-4</v>
      </c>
      <c r="P12" s="141">
        <f>IFERROR(IF(OR(NOT(ISNUMBER('Price History'!P13)),NOT(ISNUMBER('Price History'!P12)),'Price History'!P12=0),"",'Price History'!P13/'Price History'!P12-1),"")</f>
        <v>3.5353535353535026E-3</v>
      </c>
      <c r="Q12" s="141">
        <f>IFERROR(IF(OR(NOT(ISNUMBER('Price History'!Q13)),NOT(ISNUMBER('Price History'!Q12)),'Price History'!Q12=0),"",'Price History'!Q13/'Price History'!Q12-1),"")</f>
        <v>4.3213514044393442E-3</v>
      </c>
      <c r="R12" s="141">
        <f>IFERROR(IF(OR(NOT(ISNUMBER('Price History'!R13)),NOT(ISNUMBER('Price History'!R12)),'Price History'!R12=0),"",'Price History'!R13/'Price History'!R12-1),"")</f>
        <v>5.328098710039475E-3</v>
      </c>
      <c r="S12" s="141">
        <f>IFERROR(IF(OR(NOT(ISNUMBER('Price History'!S13)),NOT(ISNUMBER('Price History'!S12)),'Price History'!S12=0),"",'Price History'!S13/'Price History'!S12-1),"")</f>
        <v>5.4662912042406919E-3</v>
      </c>
      <c r="T12" s="141">
        <f>IFERROR(IF(OR(NOT(ISNUMBER('Price History'!T13)),NOT(ISNUMBER('Price History'!T12)),'Price History'!T12=0),"",'Price History'!T13/'Price History'!T12-1),"")</f>
        <v>7.0394994133751165E-3</v>
      </c>
      <c r="U12" s="141">
        <f>IFERROR(IF(OR(NOT(ISNUMBER('Price History'!U13)),NOT(ISNUMBER('Price History'!U12)),'Price History'!U12=0),"",'Price History'!U13/'Price History'!U12-1),"")</f>
        <v>9.4117647058822307E-3</v>
      </c>
      <c r="V12" s="142">
        <f>IFERROR(IF(OR(NOT(ISNUMBER('Price History'!V13)),NOT(ISNUMBER('Price History'!V12)),'Price History'!V12=0),"",'Price History'!V13/'Price History'!V12-1),"")</f>
        <v>1.9022294947842022E-2</v>
      </c>
      <c r="W12" s="143">
        <f>IFERROR('Price History'!B3+(INDEX('Price History'!B:B,MATCH(9.99E+307,'Returns (Calc)'!$A:$A)+1)-'Price History'!B3)*(ROW()-3)/(MATCH(9.99E+307,'Returns (Calc)'!$A:$A)-3),"")</f>
        <v>512.30265822784804</v>
      </c>
      <c r="X12" s="143">
        <f>IFERROR('Price History'!C3+(INDEX('Price History'!C:C,MATCH(9.99E+307,'Returns (Calc)'!$A:$A)+1)-'Price History'!C3)*(ROW()-3)/(MATCH(9.99E+307,'Returns (Calc)'!$A:$A)-3),"")</f>
        <v>55.360569620253166</v>
      </c>
      <c r="Y12" s="143">
        <f>IFERROR('Price History'!D3+(INDEX('Price History'!D:D,MATCH(9.99E+307,'Returns (Calc)'!$A:$A)+1)-'Price History'!D3)*(ROW()-3)/(MATCH(9.99E+307,'Returns (Calc)'!$A:$A)-3),"")</f>
        <v>655.22329113924047</v>
      </c>
      <c r="Z12" s="143">
        <f>IFERROR('Price History'!E3+(INDEX('Price History'!E:E,MATCH(9.99E+307,'Returns (Calc)'!$A:$A)+1)-'Price History'!E3)*(ROW()-3)/(MATCH(9.99E+307,'Returns (Calc)'!$A:$A)-3),"")</f>
        <v>97.558607594936703</v>
      </c>
      <c r="AA12" s="143">
        <f>IFERROR('Price History'!F3+(INDEX('Price History'!F:F,MATCH(9.99E+307,'Returns (Calc)'!$A:$A)+1)-'Price History'!F3)*(ROW()-3)/(MATCH(9.99E+307,'Returns (Calc)'!$A:$A)-3),"")</f>
        <v>54.38607594936709</v>
      </c>
      <c r="AB12" s="143">
        <f>IFERROR('Price History'!G3+(INDEX('Price History'!G:G,MATCH(9.99E+307,'Returns (Calc)'!$A:$A)+1)-'Price History'!G3)*(ROW()-3)/(MATCH(9.99E+307,'Returns (Calc)'!$A:$A)-3),"")</f>
        <v>53.608607594936707</v>
      </c>
      <c r="AC12" s="143">
        <f>IFERROR('Price History'!H3+(INDEX('Price History'!H:H,MATCH(9.99E+307,'Returns (Calc)'!$A:$A)+1)-'Price History'!H3)*(ROW()-3)/(MATCH(9.99E+307,'Returns (Calc)'!$A:$A)-3),"")</f>
        <v>126.40126582278481</v>
      </c>
      <c r="AD12" s="143">
        <f>IFERROR('Price History'!I3+(INDEX('Price History'!I:I,MATCH(9.99E+307,'Returns (Calc)'!$A:$A)+1)-'Price History'!I3)*(ROW()-3)/(MATCH(9.99E+307,'Returns (Calc)'!$A:$A)-3),"")</f>
        <v>54.603037974683545</v>
      </c>
      <c r="AE12" s="143">
        <f>IFERROR('Price History'!J3+(INDEX('Price History'!J:J,MATCH(9.99E+307,'Returns (Calc)'!$A:$A)+1)-'Price History'!J3)*(ROW()-3)/(MATCH(9.99E+307,'Returns (Calc)'!$A:$A)-3),"")</f>
        <v>112.8123417721519</v>
      </c>
      <c r="AF12" s="143">
        <f>IFERROR('Price History'!K3+(INDEX('Price History'!K:K,MATCH(9.99E+307,'Returns (Calc)'!$A:$A)+1)-'Price History'!K3)*(ROW()-3)/(MATCH(9.99E+307,'Returns (Calc)'!$A:$A)-3),"")</f>
        <v>25.208354430379746</v>
      </c>
      <c r="AG12" s="143">
        <f>IFERROR('Price History'!L3+(INDEX('Price History'!L:L,MATCH(9.99E+307,'Returns (Calc)'!$A:$A)+1)-'Price History'!L3)*(ROW()-3)/(MATCH(9.99E+307,'Returns (Calc)'!$A:$A)-3),"")</f>
        <v>107.79601265822785</v>
      </c>
      <c r="AH12" s="143">
        <f>IFERROR('Price History'!M3+(INDEX('Price History'!M:M,MATCH(9.99E+307,'Returns (Calc)'!$A:$A)+1)-'Price History'!M3)*(ROW()-3)/(MATCH(9.99E+307,'Returns (Calc)'!$A:$A)-3),"")</f>
        <v>50.218987341772156</v>
      </c>
      <c r="AI12" s="143">
        <f>IFERROR('Price History'!N3+(INDEX('Price History'!N:N,MATCH(9.99E+307,'Returns (Calc)'!$A:$A)+1)-'Price History'!N3)*(ROW()-3)/(MATCH(9.99E+307,'Returns (Calc)'!$A:$A)-3),"")</f>
        <v>357.77639240506329</v>
      </c>
      <c r="AJ12" s="143">
        <f>IFERROR('Price History'!O3+(INDEX('Price History'!O:O,MATCH(9.99E+307,'Returns (Calc)'!$A:$A)+1)-'Price History'!O3)*(ROW()-3)/(MATCH(9.99E+307,'Returns (Calc)'!$A:$A)-3),"")</f>
        <v>77.857341772151898</v>
      </c>
      <c r="AK12" s="143">
        <f>IFERROR('Price History'!Q3+(INDEX('Price History'!Q:Q,MATCH(9.99E+307,'Returns (Calc)'!$A:$A)+1)-'Price History'!Q3)*(ROW()-3)/(MATCH(9.99E+307,'Returns (Calc)'!$A:$A)-3),"")</f>
        <v>3.9543037974683544</v>
      </c>
      <c r="AL12" s="143">
        <f>IFERROR('Price History'!R3+(INDEX('Price History'!R:R,MATCH(9.99E+307,'Returns (Calc)'!$A:$A)+1)-'Price History'!R3)*(ROW()-3)/(MATCH(9.99E+307,'Returns (Calc)'!$A:$A)-3),"")</f>
        <v>35.992911392405063</v>
      </c>
      <c r="AM12" s="143">
        <f>IFERROR('Price History'!S3+(INDEX('Price History'!S:S,MATCH(9.99E+307,'Returns (Calc)'!$A:$A)+1)-'Price History'!S3)*(ROW()-3)/(MATCH(9.99E+307,'Returns (Calc)'!$A:$A)-3),"")</f>
        <v>63.075569620253169</v>
      </c>
      <c r="AN12" s="143">
        <f>IFERROR('Price History'!T3+(INDEX('Price History'!T:T,MATCH(9.99E+307,'Returns (Calc)'!$A:$A)+1)-'Price History'!T3)*(ROW()-3)/(MATCH(9.99E+307,'Returns (Calc)'!$A:$A)-3),"")</f>
        <v>26.75405063291139</v>
      </c>
      <c r="AO12" s="144">
        <f>IFERROR('Price History'!V3+(INDEX('Price History'!V:V,MATCH(9.99E+307,'Returns (Calc)'!$A:$A)+1)-'Price History'!V3)*(ROW()-3)/(MATCH(9.99E+307,'Returns (Calc)'!$A:$A)-3),"")</f>
        <v>242.75196202531646</v>
      </c>
      <c r="AP12" s="142">
        <f>IFERROR(IF(OR(NOT(ISNUMBER('Price History'!W13)),NOT(ISNUMBER('Price History'!W12)),'Price History'!W12=0),"",'Price History'!W13/'Price History'!W12-1),"")</f>
        <v>7.009586640552401E-3</v>
      </c>
      <c r="AQ12" s="142" t="str">
        <f>IFERROR(IF(OR(NOT(ISNUMBER('Price History'!X13)),NOT(ISNUMBER('Price History'!X12)),'Price History'!X12=0),"",'Price History'!X13/'Price History'!X12-1),"")</f>
        <v/>
      </c>
      <c r="AR12" s="142">
        <f>IFERROR(IF(OR(NOT(ISNUMBER('Price History'!Y13)),NOT(ISNUMBER('Price History'!Y12)),'Price History'!Y12=0),"",'Price History'!Y13/'Price History'!Y12-1),"")</f>
        <v>7.6583894174981904E-3</v>
      </c>
      <c r="AS12" s="142">
        <f>IFERROR(IF(OR(NOT(ISNUMBER('Price History'!Z13)),NOT(ISNUMBER('Price History'!Z12)),'Price History'!Z12=0),"",'Price History'!Z13/'Price History'!Z12-1),"")</f>
        <v>4.2449326116944519E-4</v>
      </c>
      <c r="AT12" s="142">
        <f>IFERROR(IF(OR(NOT(ISNUMBER('Price History'!AA13)),NOT(ISNUMBER('Price History'!AA12)),'Price History'!AA12=0),"",'Price History'!AA13/'Price History'!AA12-1),"")</f>
        <v>2.9405451813693917E-2</v>
      </c>
    </row>
    <row r="13" spans="1:46" ht="15" customHeight="1" x14ac:dyDescent="0.35">
      <c r="A13" s="140">
        <f>IF('Price History'!A14="","",'Price History'!A14)</f>
        <v>45261</v>
      </c>
      <c r="B13" s="141">
        <f>IFERROR(IF(OR(NOT(ISNUMBER('Price History'!B14)),NOT(ISNUMBER('Price History'!B13)),'Price History'!B13=0),"",'Price History'!B14/'Price History'!B13-1),"")</f>
        <v>-1.1236136448024681E-2</v>
      </c>
      <c r="C13" s="141">
        <f>IFERROR(IF(OR(NOT(ISNUMBER('Price History'!C14)),NOT(ISNUMBER('Price History'!C13)),'Price History'!C13=0),"",'Price History'!C14/'Price History'!C13-1),"")</f>
        <v>-8.058608058608141E-3</v>
      </c>
      <c r="D13" s="141">
        <f>IFERROR(IF(OR(NOT(ISNUMBER('Price History'!D14)),NOT(ISNUMBER('Price History'!D13)),'Price History'!D13=0),"",'Price History'!D14/'Price History'!D13-1),"")</f>
        <v>1.4794212504067872E-3</v>
      </c>
      <c r="E13" s="141">
        <f>IFERROR(IF(OR(NOT(ISNUMBER('Price History'!E14)),NOT(ISNUMBER('Price History'!E13)),'Price History'!E13=0),"",'Price History'!E14/'Price History'!E13-1),"")</f>
        <v>-4.9915576192486322E-2</v>
      </c>
      <c r="F13" s="141">
        <f>IFERROR(IF(OR(NOT(ISNUMBER('Price History'!F14)),NOT(ISNUMBER('Price History'!F13)),'Price History'!F13=0),"",'Price History'!F14/'Price History'!F13-1),"")</f>
        <v>0.11562559331687861</v>
      </c>
      <c r="G13" s="141">
        <f>IFERROR(IF(OR(NOT(ISNUMBER('Price History'!G14)),NOT(ISNUMBER('Price History'!G13)),'Price History'!G13=0),"",'Price History'!G14/'Price History'!G13-1),"")</f>
        <v>-1.1946333394596609E-2</v>
      </c>
      <c r="H13" s="141">
        <f>IFERROR(IF(OR(NOT(ISNUMBER('Price History'!H14)),NOT(ISNUMBER('Price History'!H13)),'Price History'!H13=0),"",'Price History'!H14/'Price History'!H13-1),"")</f>
        <v>-1.2212738017071678E-2</v>
      </c>
      <c r="I13" s="141">
        <f>IFERROR(IF(OR(NOT(ISNUMBER('Price History'!I14)),NOT(ISNUMBER('Price History'!I13)),'Price History'!I13=0),"",'Price History'!I14/'Price History'!I13-1),"")</f>
        <v>-2.0995171110644528E-2</v>
      </c>
      <c r="J13" s="141">
        <f>IFERROR(IF(OR(NOT(ISNUMBER('Price History'!J14)),NOT(ISNUMBER('Price History'!J13)),'Price History'!J13=0),"",'Price History'!J14/'Price History'!J13-1),"")</f>
        <v>5.5856033041597142E-2</v>
      </c>
      <c r="K13" s="141">
        <f>IFERROR(IF(OR(NOT(ISNUMBER('Price History'!K14)),NOT(ISNUMBER('Price History'!K13)),'Price History'!K13=0),"",'Price History'!K14/'Price History'!K13-1),"")</f>
        <v>5.5729166666666607E-2</v>
      </c>
      <c r="L13" s="141">
        <f>IFERROR(IF(OR(NOT(ISNUMBER('Price History'!L14)),NOT(ISNUMBER('Price History'!L13)),'Price History'!L13=0),"",'Price History'!L14/'Price History'!L13-1),"")</f>
        <v>7.3404255319149403E-3</v>
      </c>
      <c r="M13" s="141">
        <f>IFERROR(IF(OR(NOT(ISNUMBER('Price History'!M14)),NOT(ISNUMBER('Price History'!M13)),'Price History'!M13=0),"",'Price History'!M14/'Price History'!M13-1),"")</f>
        <v>5.7619943555973663E-2</v>
      </c>
      <c r="N13" s="141">
        <f>IFERROR(IF(OR(NOT(ISNUMBER('Price History'!N14)),NOT(ISNUMBER('Price History'!N13)),'Price History'!N13=0),"",'Price History'!N14/'Price History'!N13-1),"")</f>
        <v>-5.3251756174937936E-3</v>
      </c>
      <c r="O13" s="141">
        <f>IFERROR(IF(OR(NOT(ISNUMBER('Price History'!O14)),NOT(ISNUMBER('Price History'!O13)),'Price History'!O13=0),"",'Price History'!O14/'Price History'!O13-1),"")</f>
        <v>3.3494701033625285E-2</v>
      </c>
      <c r="P13" s="141">
        <f>IFERROR(IF(OR(NOT(ISNUMBER('Price History'!P14)),NOT(ISNUMBER('Price History'!P13)),'Price History'!P13=0),"",'Price History'!P14/'Price History'!P13-1),"")</f>
        <v>2.9290387518872807E-2</v>
      </c>
      <c r="Q13" s="141">
        <f>IFERROR(IF(OR(NOT(ISNUMBER('Price History'!Q14)),NOT(ISNUMBER('Price History'!Q13)),'Price History'!Q13=0),"",'Price History'!Q14/'Price History'!Q13-1),"")</f>
        <v>9.7789947193427373E-4</v>
      </c>
      <c r="R13" s="141">
        <f>IFERROR(IF(OR(NOT(ISNUMBER('Price History'!R14)),NOT(ISNUMBER('Price History'!R13)),'Price History'!R13=0),"",'Price History'!R14/'Price History'!R13-1),"")</f>
        <v>1.9525801952580135E-3</v>
      </c>
      <c r="S13" s="141">
        <f>IFERROR(IF(OR(NOT(ISNUMBER('Price History'!S14)),NOT(ISNUMBER('Price History'!S13)),'Price History'!S13=0),"",'Price History'!S14/'Price History'!S13-1),"")</f>
        <v>-2.1416803953872021E-3</v>
      </c>
      <c r="T13" s="141">
        <f>IFERROR(IF(OR(NOT(ISNUMBER('Price History'!T14)),NOT(ISNUMBER('Price History'!T13)),'Price History'!T13=0),"",'Price History'!T14/'Price History'!T13-1),"")</f>
        <v>1.3592233009708687E-2</v>
      </c>
      <c r="U13" s="141">
        <f>IFERROR(IF(OR(NOT(ISNUMBER('Price History'!U14)),NOT(ISNUMBER('Price History'!U13)),'Price History'!U13=0),"",'Price History'!U14/'Price History'!U13-1),"")</f>
        <v>1.8648018648018683E-2</v>
      </c>
      <c r="V13" s="142">
        <f>IFERROR(IF(OR(NOT(ISNUMBER('Price History'!V14)),NOT(ISNUMBER('Price History'!V13)),'Price History'!V13=0),"",'Price History'!V14/'Price History'!V13-1),"")</f>
        <v>8.4303492573263306E-3</v>
      </c>
      <c r="W13" s="143">
        <f>IFERROR('Price History'!B3+(INDEX('Price History'!B:B,MATCH(9.99E+307,'Returns (Calc)'!$A:$A)+1)-'Price History'!B3)*(ROW()-3)/(MATCH(9.99E+307,'Returns (Calc)'!$A:$A)-3),"")</f>
        <v>510.45962025316453</v>
      </c>
      <c r="X13" s="143">
        <f>IFERROR('Price History'!C3+(INDEX('Price History'!C:C,MATCH(9.99E+307,'Returns (Calc)'!$A:$A)+1)-'Price History'!C3)*(ROW()-3)/(MATCH(9.99E+307,'Returns (Calc)'!$A:$A)-3),"")</f>
        <v>56.380632911392404</v>
      </c>
      <c r="Y13" s="143">
        <f>IFERROR('Price History'!D3+(INDEX('Price History'!D:D,MATCH(9.99E+307,'Returns (Calc)'!$A:$A)+1)-'Price History'!D3)*(ROW()-3)/(MATCH(9.99E+307,'Returns (Calc)'!$A:$A)-3),"")</f>
        <v>663.35810126582282</v>
      </c>
      <c r="Z13" s="143">
        <f>IFERROR('Price History'!E3+(INDEX('Price History'!E:E,MATCH(9.99E+307,'Returns (Calc)'!$A:$A)+1)-'Price History'!E3)*(ROW()-3)/(MATCH(9.99E+307,'Returns (Calc)'!$A:$A)-3),"")</f>
        <v>99.287341772151905</v>
      </c>
      <c r="AA13" s="143">
        <f>IFERROR('Price History'!F3+(INDEX('Price History'!F:F,MATCH(9.99E+307,'Returns (Calc)'!$A:$A)+1)-'Price History'!F3)*(ROW()-3)/(MATCH(9.99E+307,'Returns (Calc)'!$A:$A)-3),"")</f>
        <v>55.833417721518984</v>
      </c>
      <c r="AB13" s="143">
        <f>IFERROR('Price History'!G3+(INDEX('Price History'!G:G,MATCH(9.99E+307,'Returns (Calc)'!$A:$A)+1)-'Price History'!G3)*(ROW()-3)/(MATCH(9.99E+307,'Returns (Calc)'!$A:$A)-3),"")</f>
        <v>54.637341772151899</v>
      </c>
      <c r="AC13" s="143">
        <f>IFERROR('Price History'!H3+(INDEX('Price History'!H:H,MATCH(9.99E+307,'Returns (Calc)'!$A:$A)+1)-'Price History'!H3)*(ROW()-3)/(MATCH(9.99E+307,'Returns (Calc)'!$A:$A)-3),"")</f>
        <v>132.76696202531645</v>
      </c>
      <c r="AD13" s="143">
        <f>IFERROR('Price History'!I3+(INDEX('Price History'!I:I,MATCH(9.99E+307,'Returns (Calc)'!$A:$A)+1)-'Price History'!I3)*(ROW()-3)/(MATCH(9.99E+307,'Returns (Calc)'!$A:$A)-3),"")</f>
        <v>55.806708860759493</v>
      </c>
      <c r="AE13" s="143">
        <f>IFERROR('Price History'!J3+(INDEX('Price History'!J:J,MATCH(9.99E+307,'Returns (Calc)'!$A:$A)+1)-'Price History'!J3)*(ROW()-3)/(MATCH(9.99E+307,'Returns (Calc)'!$A:$A)-3),"")</f>
        <v>112.92037974683545</v>
      </c>
      <c r="AF13" s="143">
        <f>IFERROR('Price History'!K3+(INDEX('Price History'!K:K,MATCH(9.99E+307,'Returns (Calc)'!$A:$A)+1)-'Price History'!K3)*(ROW()-3)/(MATCH(9.99E+307,'Returns (Calc)'!$A:$A)-3),"")</f>
        <v>26.305949367088608</v>
      </c>
      <c r="AG13" s="143">
        <f>IFERROR('Price History'!L3+(INDEX('Price History'!L:L,MATCH(9.99E+307,'Returns (Calc)'!$A:$A)+1)-'Price History'!L3)*(ROW()-3)/(MATCH(9.99E+307,'Returns (Calc)'!$A:$A)-3),"")</f>
        <v>110.24556962025316</v>
      </c>
      <c r="AH13" s="143">
        <f>IFERROR('Price History'!M3+(INDEX('Price History'!M:M,MATCH(9.99E+307,'Returns (Calc)'!$A:$A)+1)-'Price History'!M3)*(ROW()-3)/(MATCH(9.99E+307,'Returns (Calc)'!$A:$A)-3),"")</f>
        <v>51.574430379746836</v>
      </c>
      <c r="AI13" s="143">
        <f>IFERROR('Price History'!N3+(INDEX('Price History'!N:N,MATCH(9.99E+307,'Returns (Calc)'!$A:$A)+1)-'Price History'!N3)*(ROW()-3)/(MATCH(9.99E+307,'Returns (Calc)'!$A:$A)-3),"")</f>
        <v>358.76265822784808</v>
      </c>
      <c r="AJ13" s="143">
        <f>IFERROR('Price History'!O3+(INDEX('Price History'!O:O,MATCH(9.99E+307,'Returns (Calc)'!$A:$A)+1)-'Price History'!O3)*(ROW()-3)/(MATCH(9.99E+307,'Returns (Calc)'!$A:$A)-3),"")</f>
        <v>78.14037974683545</v>
      </c>
      <c r="AK13" s="143">
        <f>IFERROR('Price History'!Q3+(INDEX('Price History'!Q:Q,MATCH(9.99E+307,'Returns (Calc)'!$A:$A)+1)-'Price History'!Q3)*(ROW()-3)/(MATCH(9.99E+307,'Returns (Calc)'!$A:$A)-3),"")</f>
        <v>4.3936708860759497</v>
      </c>
      <c r="AL13" s="143">
        <f>IFERROR('Price History'!R3+(INDEX('Price History'!R:R,MATCH(9.99E+307,'Returns (Calc)'!$A:$A)+1)-'Price History'!R3)*(ROW()-3)/(MATCH(9.99E+307,'Returns (Calc)'!$A:$A)-3),"")</f>
        <v>36.161012658227847</v>
      </c>
      <c r="AM13" s="143">
        <f>IFERROR('Price History'!S3+(INDEX('Price History'!S:S,MATCH(9.99E+307,'Returns (Calc)'!$A:$A)+1)-'Price History'!S3)*(ROW()-3)/(MATCH(9.99E+307,'Returns (Calc)'!$A:$A)-3),"")</f>
        <v>63.680632911392408</v>
      </c>
      <c r="AN13" s="143">
        <f>IFERROR('Price History'!T3+(INDEX('Price History'!T:T,MATCH(9.99E+307,'Returns (Calc)'!$A:$A)+1)-'Price History'!T3)*(ROW()-3)/(MATCH(9.99E+307,'Returns (Calc)'!$A:$A)-3),"")</f>
        <v>26.922278481012658</v>
      </c>
      <c r="AO13" s="144">
        <f>IFERROR('Price History'!V3+(INDEX('Price History'!V:V,MATCH(9.99E+307,'Returns (Calc)'!$A:$A)+1)-'Price History'!V3)*(ROW()-3)/(MATCH(9.99E+307,'Returns (Calc)'!$A:$A)-3),"")</f>
        <v>243.54329113924049</v>
      </c>
      <c r="AP13" s="142">
        <f>IFERROR(IF(OR(NOT(ISNUMBER('Price History'!W14)),NOT(ISNUMBER('Price History'!W13)),'Price History'!W13=0),"",'Price History'!W14/'Price History'!W13-1),"")</f>
        <v>1.7299621250895569E-2</v>
      </c>
      <c r="AQ13" s="142" t="str">
        <f>IFERROR(IF(OR(NOT(ISNUMBER('Price History'!X14)),NOT(ISNUMBER('Price History'!X13)),'Price History'!X13=0),"",'Price History'!X14/'Price History'!X13-1),"")</f>
        <v/>
      </c>
      <c r="AR13" s="142">
        <f>IFERROR(IF(OR(NOT(ISNUMBER('Price History'!Y14)),NOT(ISNUMBER('Price History'!Y13)),'Price History'!Y13=0),"",'Price History'!Y14/'Price History'!Y13-1),"")</f>
        <v>4.6061722708428121E-3</v>
      </c>
      <c r="AS13" s="142">
        <f>IFERROR(IF(OR(NOT(ISNUMBER('Price History'!Z14)),NOT(ISNUMBER('Price History'!Z13)),'Price History'!Z13=0),"",'Price History'!Z14/'Price History'!Z13-1),"")</f>
        <v>2.100350058343059E-2</v>
      </c>
      <c r="AT13" s="142">
        <f>IFERROR(IF(OR(NOT(ISNUMBER('Price History'!AA14)),NOT(ISNUMBER('Price History'!AA13)),'Price History'!AA13=0),"",'Price History'!AA14/'Price History'!AA13-1),"")</f>
        <v>-2.8982485404503766E-2</v>
      </c>
    </row>
    <row r="14" spans="1:46" ht="15" customHeight="1" x14ac:dyDescent="0.35">
      <c r="A14" s="140">
        <f>IF('Price History'!A15="","",'Price History'!A15)</f>
        <v>45268</v>
      </c>
      <c r="B14" s="141">
        <f>IFERROR(IF(OR(NOT(ISNUMBER('Price History'!B15)),NOT(ISNUMBER('Price History'!B14)),'Price History'!B14=0),"",'Price History'!B15/'Price History'!B14-1),"")</f>
        <v>-4.0165232582820565E-3</v>
      </c>
      <c r="C14" s="141">
        <f>IFERROR(IF(OR(NOT(ISNUMBER('Price History'!C15)),NOT(ISNUMBER('Price History'!C14)),'Price History'!C14=0),"",'Price History'!C15/'Price History'!C14-1),"")</f>
        <v>3.4158050221565706E-2</v>
      </c>
      <c r="D14" s="141">
        <f>IFERROR(IF(OR(NOT(ISNUMBER('Price History'!D15)),NOT(ISNUMBER('Price History'!D14)),'Price History'!D14=0),"",'Price History'!D15/'Price History'!D14-1),"")</f>
        <v>6.1009838390404525E-3</v>
      </c>
      <c r="E14" s="141">
        <f>IFERROR(IF(OR(NOT(ISNUMBER('Price History'!E15)),NOT(ISNUMBER('Price History'!E14)),'Price History'!E14=0),"",'Price History'!E15/'Price History'!E14-1),"")</f>
        <v>1.5328223925358264E-2</v>
      </c>
      <c r="F14" s="141">
        <f>IFERROR(IF(OR(NOT(ISNUMBER('Price History'!F15)),NOT(ISNUMBER('Price History'!F14)),'Price History'!F14=0),"",'Price History'!F15/'Price History'!F14-1),"")</f>
        <v>3.1994554118447871E-2</v>
      </c>
      <c r="G14" s="141">
        <f>IFERROR(IF(OR(NOT(ISNUMBER('Price History'!G15)),NOT(ISNUMBER('Price History'!G14)),'Price History'!G14=0),"",'Price History'!G15/'Price History'!G14-1),"")</f>
        <v>-2.6599702380952328E-2</v>
      </c>
      <c r="H14" s="141">
        <f>IFERROR(IF(OR(NOT(ISNUMBER('Price History'!H15)),NOT(ISNUMBER('Price History'!H14)),'Price History'!H14=0),"",'Price History'!H15/'Price History'!H14-1),"")</f>
        <v>-1.2762563148098871E-2</v>
      </c>
      <c r="I14" s="141">
        <f>IFERROR(IF(OR(NOT(ISNUMBER('Price History'!I15)),NOT(ISNUMBER('Price History'!I14)),'Price History'!I14=0),"",'Price History'!I15/'Price History'!I14-1),"")</f>
        <v>1.5869611837872499E-2</v>
      </c>
      <c r="J14" s="141">
        <f>IFERROR(IF(OR(NOT(ISNUMBER('Price History'!J15)),NOT(ISNUMBER('Price History'!J14)),'Price History'!J14=0),"",'Price History'!J15/'Price History'!J14-1),"")</f>
        <v>1.3504703362205328E-2</v>
      </c>
      <c r="K14" s="141">
        <f>IFERROR(IF(OR(NOT(ISNUMBER('Price History'!K15)),NOT(ISNUMBER('Price History'!K14)),'Price History'!K14=0),"",'Price History'!K15/'Price History'!K14-1),"")</f>
        <v>-0.12333497779970404</v>
      </c>
      <c r="L14" s="141">
        <f>IFERROR(IF(OR(NOT(ISNUMBER('Price History'!L15)),NOT(ISNUMBER('Price History'!L14)),'Price History'!L14=0),"",'Price History'!L15/'Price History'!L14-1),"")</f>
        <v>1.8270144682648759E-2</v>
      </c>
      <c r="M14" s="141">
        <f>IFERROR(IF(OR(NOT(ISNUMBER('Price History'!M15)),NOT(ISNUMBER('Price History'!M14)),'Price History'!M14=0),"",'Price History'!M15/'Price History'!M14-1),"")</f>
        <v>4.4696464309539552E-2</v>
      </c>
      <c r="N14" s="141">
        <f>IFERROR(IF(OR(NOT(ISNUMBER('Price History'!N15)),NOT(ISNUMBER('Price History'!N14)),'Price History'!N14=0),"",'Price History'!N15/'Price History'!N14-1),"")</f>
        <v>-2.8761817974713999E-3</v>
      </c>
      <c r="O14" s="141">
        <f>IFERROR(IF(OR(NOT(ISNUMBER('Price History'!O15)),NOT(ISNUMBER('Price History'!O14)),'Price History'!O14=0),"",'Price History'!O15/'Price History'!O14-1),"")</f>
        <v>8.3554880364604678E-3</v>
      </c>
      <c r="P14" s="141">
        <f>IFERROR(IF(OR(NOT(ISNUMBER('Price History'!P15)),NOT(ISNUMBER('Price History'!P14)),'Price History'!P14=0),"",'Price History'!P15/'Price History'!P14-1),"")</f>
        <v>2.1513788382554466E-3</v>
      </c>
      <c r="Q14" s="141">
        <f>IFERROR(IF(OR(NOT(ISNUMBER('Price History'!Q15)),NOT(ISNUMBER('Price History'!Q14)),'Price History'!Q14=0),"",'Price History'!Q15/'Price History'!Q14-1),"")</f>
        <v>3.71238765142623E-3</v>
      </c>
      <c r="R14" s="141">
        <f>IFERROR(IF(OR(NOT(ISNUMBER('Price History'!R15)),NOT(ISNUMBER('Price History'!R14)),'Price History'!R14=0),"",'Price History'!R15/'Price History'!R14-1),"")</f>
        <v>7.2383073496657957E-3</v>
      </c>
      <c r="S14" s="141">
        <f>IFERROR(IF(OR(NOT(ISNUMBER('Price History'!S15)),NOT(ISNUMBER('Price History'!S14)),'Price History'!S14=0),"",'Price History'!S15/'Price History'!S14-1),"")</f>
        <v>3.6321611358758332E-3</v>
      </c>
      <c r="T14" s="141">
        <f>IFERROR(IF(OR(NOT(ISNUMBER('Price History'!T15)),NOT(ISNUMBER('Price History'!T14)),'Price History'!T14=0),"",'Price History'!T15/'Price History'!T14-1),"")</f>
        <v>8.8122605363982753E-3</v>
      </c>
      <c r="U14" s="141">
        <f>IFERROR(IF(OR(NOT(ISNUMBER('Price History'!U15)),NOT(ISNUMBER('Price History'!U14)),'Price History'!U14=0),"",'Price History'!U15/'Price History'!U14-1),"")</f>
        <v>1.8306636155605016E-3</v>
      </c>
      <c r="V14" s="142">
        <f>IFERROR(IF(OR(NOT(ISNUMBER('Price History'!V15)),NOT(ISNUMBER('Price History'!V14)),'Price History'!V14=0),"",'Price History'!V15/'Price History'!V14-1),"")</f>
        <v>-2.7468152866242379E-3</v>
      </c>
      <c r="W14" s="143">
        <f>IFERROR('Price History'!B3+(INDEX('Price History'!B:B,MATCH(9.99E+307,'Returns (Calc)'!$A:$A)+1)-'Price History'!B3)*(ROW()-3)/(MATCH(9.99E+307,'Returns (Calc)'!$A:$A)-3),"")</f>
        <v>508.61658227848102</v>
      </c>
      <c r="X14" s="143">
        <f>IFERROR('Price History'!C3+(INDEX('Price History'!C:C,MATCH(9.99E+307,'Returns (Calc)'!$A:$A)+1)-'Price History'!C3)*(ROW()-3)/(MATCH(9.99E+307,'Returns (Calc)'!$A:$A)-3),"")</f>
        <v>57.400696202531648</v>
      </c>
      <c r="Y14" s="143">
        <f>IFERROR('Price History'!D3+(INDEX('Price History'!D:D,MATCH(9.99E+307,'Returns (Calc)'!$A:$A)+1)-'Price History'!D3)*(ROW()-3)/(MATCH(9.99E+307,'Returns (Calc)'!$A:$A)-3),"")</f>
        <v>671.49291139240506</v>
      </c>
      <c r="Z14" s="143">
        <f>IFERROR('Price History'!E3+(INDEX('Price History'!E:E,MATCH(9.99E+307,'Returns (Calc)'!$A:$A)+1)-'Price History'!E3)*(ROW()-3)/(MATCH(9.99E+307,'Returns (Calc)'!$A:$A)-3),"")</f>
        <v>101.01607594936709</v>
      </c>
      <c r="AA14" s="143">
        <f>IFERROR('Price History'!F3+(INDEX('Price History'!F:F,MATCH(9.99E+307,'Returns (Calc)'!$A:$A)+1)-'Price History'!F3)*(ROW()-3)/(MATCH(9.99E+307,'Returns (Calc)'!$A:$A)-3),"")</f>
        <v>57.280759493670885</v>
      </c>
      <c r="AB14" s="143">
        <f>IFERROR('Price History'!G3+(INDEX('Price History'!G:G,MATCH(9.99E+307,'Returns (Calc)'!$A:$A)+1)-'Price History'!G3)*(ROW()-3)/(MATCH(9.99E+307,'Returns (Calc)'!$A:$A)-3),"")</f>
        <v>55.666075949367091</v>
      </c>
      <c r="AC14" s="143">
        <f>IFERROR('Price History'!H3+(INDEX('Price History'!H:H,MATCH(9.99E+307,'Returns (Calc)'!$A:$A)+1)-'Price History'!H3)*(ROW()-3)/(MATCH(9.99E+307,'Returns (Calc)'!$A:$A)-3),"")</f>
        <v>139.13265822784811</v>
      </c>
      <c r="AD14" s="143">
        <f>IFERROR('Price History'!I3+(INDEX('Price History'!I:I,MATCH(9.99E+307,'Returns (Calc)'!$A:$A)+1)-'Price History'!I3)*(ROW()-3)/(MATCH(9.99E+307,'Returns (Calc)'!$A:$A)-3),"")</f>
        <v>57.01037974683544</v>
      </c>
      <c r="AE14" s="143">
        <f>IFERROR('Price History'!J3+(INDEX('Price History'!J:J,MATCH(9.99E+307,'Returns (Calc)'!$A:$A)+1)-'Price History'!J3)*(ROW()-3)/(MATCH(9.99E+307,'Returns (Calc)'!$A:$A)-3),"")</f>
        <v>113.02841772151899</v>
      </c>
      <c r="AF14" s="143">
        <f>IFERROR('Price History'!K3+(INDEX('Price History'!K:K,MATCH(9.99E+307,'Returns (Calc)'!$A:$A)+1)-'Price History'!K3)*(ROW()-3)/(MATCH(9.99E+307,'Returns (Calc)'!$A:$A)-3),"")</f>
        <v>27.403544303797467</v>
      </c>
      <c r="AG14" s="143">
        <f>IFERROR('Price History'!L3+(INDEX('Price History'!L:L,MATCH(9.99E+307,'Returns (Calc)'!$A:$A)+1)-'Price History'!L3)*(ROW()-3)/(MATCH(9.99E+307,'Returns (Calc)'!$A:$A)-3),"")</f>
        <v>112.69512658227848</v>
      </c>
      <c r="AH14" s="143">
        <f>IFERROR('Price History'!M3+(INDEX('Price History'!M:M,MATCH(9.99E+307,'Returns (Calc)'!$A:$A)+1)-'Price History'!M3)*(ROW()-3)/(MATCH(9.99E+307,'Returns (Calc)'!$A:$A)-3),"")</f>
        <v>52.929873417721524</v>
      </c>
      <c r="AI14" s="143">
        <f>IFERROR('Price History'!N3+(INDEX('Price History'!N:N,MATCH(9.99E+307,'Returns (Calc)'!$A:$A)+1)-'Price History'!N3)*(ROW()-3)/(MATCH(9.99E+307,'Returns (Calc)'!$A:$A)-3),"")</f>
        <v>359.74892405063287</v>
      </c>
      <c r="AJ14" s="143">
        <f>IFERROR('Price History'!O3+(INDEX('Price History'!O:O,MATCH(9.99E+307,'Returns (Calc)'!$A:$A)+1)-'Price History'!O3)*(ROW()-3)/(MATCH(9.99E+307,'Returns (Calc)'!$A:$A)-3),"")</f>
        <v>78.423417721518987</v>
      </c>
      <c r="AK14" s="143">
        <f>IFERROR('Price History'!Q3+(INDEX('Price History'!Q:Q,MATCH(9.99E+307,'Returns (Calc)'!$A:$A)+1)-'Price History'!Q3)*(ROW()-3)/(MATCH(9.99E+307,'Returns (Calc)'!$A:$A)-3),"")</f>
        <v>4.8330379746835446</v>
      </c>
      <c r="AL14" s="143">
        <f>IFERROR('Price History'!R3+(INDEX('Price History'!R:R,MATCH(9.99E+307,'Returns (Calc)'!$A:$A)+1)-'Price History'!R3)*(ROW()-3)/(MATCH(9.99E+307,'Returns (Calc)'!$A:$A)-3),"")</f>
        <v>36.329113924050631</v>
      </c>
      <c r="AM14" s="143">
        <f>IFERROR('Price History'!S3+(INDEX('Price History'!S:S,MATCH(9.99E+307,'Returns (Calc)'!$A:$A)+1)-'Price History'!S3)*(ROW()-3)/(MATCH(9.99E+307,'Returns (Calc)'!$A:$A)-3),"")</f>
        <v>64.285696202531653</v>
      </c>
      <c r="AN14" s="143">
        <f>IFERROR('Price History'!T3+(INDEX('Price History'!T:T,MATCH(9.99E+307,'Returns (Calc)'!$A:$A)+1)-'Price History'!T3)*(ROW()-3)/(MATCH(9.99E+307,'Returns (Calc)'!$A:$A)-3),"")</f>
        <v>27.090506329113921</v>
      </c>
      <c r="AO14" s="144">
        <f>IFERROR('Price History'!V3+(INDEX('Price History'!V:V,MATCH(9.99E+307,'Returns (Calc)'!$A:$A)+1)-'Price History'!V3)*(ROW()-3)/(MATCH(9.99E+307,'Returns (Calc)'!$A:$A)-3),"")</f>
        <v>244.33462025316456</v>
      </c>
      <c r="AP14" s="142">
        <f>IFERROR(IF(OR(NOT(ISNUMBER('Price History'!W15)),NOT(ISNUMBER('Price History'!W14)),'Price History'!W14=0),"",'Price History'!W15/'Price History'!W14-1),"")</f>
        <v>-2.3143489635740755E-3</v>
      </c>
      <c r="AQ14" s="142" t="str">
        <f>IFERROR(IF(OR(NOT(ISNUMBER('Price History'!X15)),NOT(ISNUMBER('Price History'!X14)),'Price History'!X14=0),"",'Price History'!X15/'Price History'!X14-1),"")</f>
        <v/>
      </c>
      <c r="AR14" s="142">
        <f>IFERROR(IF(OR(NOT(ISNUMBER('Price History'!Y15)),NOT(ISNUMBER('Price History'!Y14)),'Price History'!Y14=0),"",'Price History'!Y15/'Price History'!Y14-1),"")</f>
        <v>-2.9802842732690182E-3</v>
      </c>
      <c r="AS14" s="142">
        <f>IFERROR(IF(OR(NOT(ISNUMBER('Price History'!Z15)),NOT(ISNUMBER('Price History'!Z14)),'Price History'!Z14=0),"",'Price History'!Z15/'Price History'!Z14-1),"")</f>
        <v>-1.558441558441559E-2</v>
      </c>
      <c r="AT14" s="142">
        <f>IFERROR(IF(OR(NOT(ISNUMBER('Price History'!AA15)),NOT(ISNUMBER('Price History'!AA14)),'Price History'!AA14=0),"",'Price History'!AA15/'Price History'!AA14-1),"")</f>
        <v>-2.5552931071505247E-2</v>
      </c>
    </row>
    <row r="15" spans="1:46" ht="15" customHeight="1" x14ac:dyDescent="0.35">
      <c r="A15" s="140">
        <f>IF('Price History'!A16="","",'Price History'!A16)</f>
        <v>45275</v>
      </c>
      <c r="B15" s="141">
        <f>IFERROR(IF(OR(NOT(ISNUMBER('Price History'!B16)),NOT(ISNUMBER('Price History'!B15)),'Price History'!B15=0),"",'Price History'!B16/'Price History'!B15-1),"")</f>
        <v>-4.1523909444107554E-2</v>
      </c>
      <c r="C15" s="141">
        <f>IFERROR(IF(OR(NOT(ISNUMBER('Price History'!C16)),NOT(ISNUMBER('Price History'!C15)),'Price History'!C15=0),"",'Price History'!C16/'Price History'!C15-1),"")</f>
        <v>5.1597928941260474E-2</v>
      </c>
      <c r="D15" s="141">
        <f>IFERROR(IF(OR(NOT(ISNUMBER('Price History'!D16)),NOT(ISNUMBER('Price History'!D15)),'Price History'!D15=0),"",'Price History'!D16/'Price History'!D15-1),"")</f>
        <v>8.1181082708091656E-2</v>
      </c>
      <c r="E15" s="141">
        <f>IFERROR(IF(OR(NOT(ISNUMBER('Price History'!E16)),NOT(ISNUMBER('Price History'!E15)),'Price History'!E15=0),"",'Price History'!E16/'Price History'!E15-1),"")</f>
        <v>0.19647740947379955</v>
      </c>
      <c r="F15" s="141">
        <f>IFERROR(IF(OR(NOT(ISNUMBER('Price History'!F16)),NOT(ISNUMBER('Price History'!F15)),'Price History'!F15=0),"",'Price History'!F16/'Price History'!F15-1),"")</f>
        <v>7.2229551451187257E-2</v>
      </c>
      <c r="G15" s="141">
        <f>IFERROR(IF(OR(NOT(ISNUMBER('Price History'!G16)),NOT(ISNUMBER('Price History'!G15)),'Price History'!G15=0),"",'Price History'!G16/'Price History'!G15-1),"")</f>
        <v>9.4783107204280626E-2</v>
      </c>
      <c r="H15" s="141">
        <f>IFERROR(IF(OR(NOT(ISNUMBER('Price History'!H16)),NOT(ISNUMBER('Price History'!H15)),'Price History'!H15=0),"",'Price History'!H16/'Price History'!H15-1),"")</f>
        <v>8.5914354969027773E-2</v>
      </c>
      <c r="I15" s="141">
        <f>IFERROR(IF(OR(NOT(ISNUMBER('Price History'!I16)),NOT(ISNUMBER('Price History'!I15)),'Price History'!I15=0),"",'Price History'!I16/'Price History'!I15-1),"")</f>
        <v>2.9132362254591593E-2</v>
      </c>
      <c r="J15" s="141">
        <f>IFERROR(IF(OR(NOT(ISNUMBER('Price History'!J16)),NOT(ISNUMBER('Price History'!J15)),'Price History'!J15=0),"",'Price History'!J16/'Price History'!J15-1),"")</f>
        <v>0.127366292960853</v>
      </c>
      <c r="K15" s="141">
        <f>IFERROR(IF(OR(NOT(ISNUMBER('Price History'!K16)),NOT(ISNUMBER('Price History'!K15)),'Price History'!K15=0),"",'Price History'!K16/'Price History'!K15-1),"")</f>
        <v>2.4198086662915008E-2</v>
      </c>
      <c r="L15" s="141">
        <f>IFERROR(IF(OR(NOT(ISNUMBER('Price History'!L16)),NOT(ISNUMBER('Price History'!L15)),'Price History'!L15=0),"",'Price History'!L16/'Price History'!L15-1),"")</f>
        <v>2.665422111595106E-2</v>
      </c>
      <c r="M15" s="141">
        <f>IFERROR(IF(OR(NOT(ISNUMBER('Price History'!M16)),NOT(ISNUMBER('Price History'!M15)),'Price History'!M15=0),"",'Price History'!M16/'Price History'!M15-1),"")</f>
        <v>1.2558535547041449E-2</v>
      </c>
      <c r="N15" s="141">
        <f>IFERROR(IF(OR(NOT(ISNUMBER('Price History'!N16)),NOT(ISNUMBER('Price History'!N15)),'Price History'!N15=0),"",'Price History'!N16/'Price History'!N15-1),"")</f>
        <v>0.17286877052691718</v>
      </c>
      <c r="O15" s="141">
        <f>IFERROR(IF(OR(NOT(ISNUMBER('Price History'!O16)),NOT(ISNUMBER('Price History'!O15)),'Price History'!O15=0),"",'Price History'!O16/'Price History'!O15-1),"")</f>
        <v>5.4865034526051293E-2</v>
      </c>
      <c r="P15" s="141">
        <f>IFERROR(IF(OR(NOT(ISNUMBER('Price History'!P16)),NOT(ISNUMBER('Price History'!P15)),'Price History'!P15=0),"",'Price History'!P16/'Price History'!P15-1),"")</f>
        <v>2.9859484777517542E-2</v>
      </c>
      <c r="Q15" s="141">
        <f>IFERROR(IF(OR(NOT(ISNUMBER('Price History'!Q16)),NOT(ISNUMBER('Price History'!Q15)),'Price History'!Q15=0),"",'Price History'!Q16/'Price History'!Q15-1),"")</f>
        <v>9.1493089351761814E-3</v>
      </c>
      <c r="R15" s="141">
        <f>IFERROR(IF(OR(NOT(ISNUMBER('Price History'!R16)),NOT(ISNUMBER('Price History'!R15)),'Price History'!R15=0),"",'Price History'!R16/'Price History'!R15-1),"")</f>
        <v>1.5201768933112092E-2</v>
      </c>
      <c r="S15" s="141">
        <f>IFERROR(IF(OR(NOT(ISNUMBER('Price History'!S16)),NOT(ISNUMBER('Price History'!S15)),'Price History'!S15=0),"",'Price History'!S16/'Price History'!S15-1),"")</f>
        <v>3.4216153972692842E-2</v>
      </c>
      <c r="T15" s="141">
        <f>IFERROR(IF(OR(NOT(ISNUMBER('Price History'!T16)),NOT(ISNUMBER('Price History'!T15)),'Price History'!T15=0),"",'Price History'!T16/'Price History'!T15-1),"")</f>
        <v>2.7725028484618219E-2</v>
      </c>
      <c r="U15" s="141">
        <f>IFERROR(IF(OR(NOT(ISNUMBER('Price History'!U16)),NOT(ISNUMBER('Price History'!U15)),'Price History'!U15=0),"",'Price History'!U16/'Price History'!U15-1),"")</f>
        <v>4.020100502512558E-2</v>
      </c>
      <c r="V15" s="142">
        <f>IFERROR(IF(OR(NOT(ISNUMBER('Price History'!V16)),NOT(ISNUMBER('Price History'!V15)),'Price History'!V15=0),"",'Price History'!V16/'Price History'!V15-1),"")</f>
        <v>8.9417588120235258E-3</v>
      </c>
      <c r="W15" s="143">
        <f>IFERROR('Price History'!B3+(INDEX('Price History'!B:B,MATCH(9.99E+307,'Returns (Calc)'!$A:$A)+1)-'Price History'!B3)*(ROW()-3)/(MATCH(9.99E+307,'Returns (Calc)'!$A:$A)-3),"")</f>
        <v>506.77354430379745</v>
      </c>
      <c r="X15" s="143">
        <f>IFERROR('Price History'!C3+(INDEX('Price History'!C:C,MATCH(9.99E+307,'Returns (Calc)'!$A:$A)+1)-'Price History'!C3)*(ROW()-3)/(MATCH(9.99E+307,'Returns (Calc)'!$A:$A)-3),"")</f>
        <v>58.420759493670886</v>
      </c>
      <c r="Y15" s="143">
        <f>IFERROR('Price History'!D3+(INDEX('Price History'!D:D,MATCH(9.99E+307,'Returns (Calc)'!$A:$A)+1)-'Price History'!D3)*(ROW()-3)/(MATCH(9.99E+307,'Returns (Calc)'!$A:$A)-3),"")</f>
        <v>679.6277215189873</v>
      </c>
      <c r="Z15" s="143">
        <f>IFERROR('Price History'!E3+(INDEX('Price History'!E:E,MATCH(9.99E+307,'Returns (Calc)'!$A:$A)+1)-'Price History'!E3)*(ROW()-3)/(MATCH(9.99E+307,'Returns (Calc)'!$A:$A)-3),"")</f>
        <v>102.74481012658228</v>
      </c>
      <c r="AA15" s="143">
        <f>IFERROR('Price History'!F3+(INDEX('Price History'!F:F,MATCH(9.99E+307,'Returns (Calc)'!$A:$A)+1)-'Price History'!F3)*(ROW()-3)/(MATCH(9.99E+307,'Returns (Calc)'!$A:$A)-3),"")</f>
        <v>58.728101265822787</v>
      </c>
      <c r="AB15" s="143">
        <f>IFERROR('Price History'!G3+(INDEX('Price History'!G:G,MATCH(9.99E+307,'Returns (Calc)'!$A:$A)+1)-'Price History'!G3)*(ROW()-3)/(MATCH(9.99E+307,'Returns (Calc)'!$A:$A)-3),"")</f>
        <v>56.694810126582283</v>
      </c>
      <c r="AC15" s="143">
        <f>IFERROR('Price History'!H3+(INDEX('Price History'!H:H,MATCH(9.99E+307,'Returns (Calc)'!$A:$A)+1)-'Price History'!H3)*(ROW()-3)/(MATCH(9.99E+307,'Returns (Calc)'!$A:$A)-3),"")</f>
        <v>145.49835443037975</v>
      </c>
      <c r="AD15" s="143">
        <f>IFERROR('Price History'!I3+(INDEX('Price History'!I:I,MATCH(9.99E+307,'Returns (Calc)'!$A:$A)+1)-'Price History'!I3)*(ROW()-3)/(MATCH(9.99E+307,'Returns (Calc)'!$A:$A)-3),"")</f>
        <v>58.214050632911395</v>
      </c>
      <c r="AE15" s="143">
        <f>IFERROR('Price History'!J3+(INDEX('Price History'!J:J,MATCH(9.99E+307,'Returns (Calc)'!$A:$A)+1)-'Price History'!J3)*(ROW()-3)/(MATCH(9.99E+307,'Returns (Calc)'!$A:$A)-3),"")</f>
        <v>113.13645569620253</v>
      </c>
      <c r="AF15" s="143">
        <f>IFERROR('Price History'!K3+(INDEX('Price History'!K:K,MATCH(9.99E+307,'Returns (Calc)'!$A:$A)+1)-'Price History'!K3)*(ROW()-3)/(MATCH(9.99E+307,'Returns (Calc)'!$A:$A)-3),"")</f>
        <v>28.50113924050633</v>
      </c>
      <c r="AG15" s="143">
        <f>IFERROR('Price History'!L3+(INDEX('Price History'!L:L,MATCH(9.99E+307,'Returns (Calc)'!$A:$A)+1)-'Price History'!L3)*(ROW()-3)/(MATCH(9.99E+307,'Returns (Calc)'!$A:$A)-3),"")</f>
        <v>115.1446835443038</v>
      </c>
      <c r="AH15" s="143">
        <f>IFERROR('Price History'!M3+(INDEX('Price History'!M:M,MATCH(9.99E+307,'Returns (Calc)'!$A:$A)+1)-'Price History'!M3)*(ROW()-3)/(MATCH(9.99E+307,'Returns (Calc)'!$A:$A)-3),"")</f>
        <v>54.285316455696204</v>
      </c>
      <c r="AI15" s="143">
        <f>IFERROR('Price History'!N3+(INDEX('Price History'!N:N,MATCH(9.99E+307,'Returns (Calc)'!$A:$A)+1)-'Price History'!N3)*(ROW()-3)/(MATCH(9.99E+307,'Returns (Calc)'!$A:$A)-3),"")</f>
        <v>360.73518987341771</v>
      </c>
      <c r="AJ15" s="143">
        <f>IFERROR('Price History'!O3+(INDEX('Price History'!O:O,MATCH(9.99E+307,'Returns (Calc)'!$A:$A)+1)-'Price History'!O3)*(ROW()-3)/(MATCH(9.99E+307,'Returns (Calc)'!$A:$A)-3),"")</f>
        <v>78.706455696202539</v>
      </c>
      <c r="AK15" s="143">
        <f>IFERROR('Price History'!Q3+(INDEX('Price History'!Q:Q,MATCH(9.99E+307,'Returns (Calc)'!$A:$A)+1)-'Price History'!Q3)*(ROW()-3)/(MATCH(9.99E+307,'Returns (Calc)'!$A:$A)-3),"")</f>
        <v>5.2724050632911394</v>
      </c>
      <c r="AL15" s="143">
        <f>IFERROR('Price History'!R3+(INDEX('Price History'!R:R,MATCH(9.99E+307,'Returns (Calc)'!$A:$A)+1)-'Price History'!R3)*(ROW()-3)/(MATCH(9.99E+307,'Returns (Calc)'!$A:$A)-3),"")</f>
        <v>36.497215189873415</v>
      </c>
      <c r="AM15" s="143">
        <f>IFERROR('Price History'!S3+(INDEX('Price History'!S:S,MATCH(9.99E+307,'Returns (Calc)'!$A:$A)+1)-'Price History'!S3)*(ROW()-3)/(MATCH(9.99E+307,'Returns (Calc)'!$A:$A)-3),"")</f>
        <v>64.890759493670885</v>
      </c>
      <c r="AN15" s="143">
        <f>IFERROR('Price History'!T3+(INDEX('Price History'!T:T,MATCH(9.99E+307,'Returns (Calc)'!$A:$A)+1)-'Price History'!T3)*(ROW()-3)/(MATCH(9.99E+307,'Returns (Calc)'!$A:$A)-3),"")</f>
        <v>27.258734177215189</v>
      </c>
      <c r="AO15" s="144">
        <f>IFERROR('Price History'!V3+(INDEX('Price History'!V:V,MATCH(9.99E+307,'Returns (Calc)'!$A:$A)+1)-'Price History'!V3)*(ROW()-3)/(MATCH(9.99E+307,'Returns (Calc)'!$A:$A)-3),"")</f>
        <v>245.12594936708859</v>
      </c>
      <c r="AP15" s="142">
        <f>IFERROR(IF(OR(NOT(ISNUMBER('Price History'!W16)),NOT(ISNUMBER('Price History'!W15)),'Price History'!W15=0),"",'Price History'!W16/'Price History'!W15-1),"")</f>
        <v>3.4392334846192529E-2</v>
      </c>
      <c r="AQ15" s="142" t="str">
        <f>IFERROR(IF(OR(NOT(ISNUMBER('Price History'!X16)),NOT(ISNUMBER('Price History'!X15)),'Price History'!X15=0),"",'Price History'!X16/'Price History'!X15-1),"")</f>
        <v/>
      </c>
      <c r="AR15" s="142">
        <f>IFERROR(IF(OR(NOT(ISNUMBER('Price History'!Y16)),NOT(ISNUMBER('Price History'!Y15)),'Price History'!Y15=0),"",'Price History'!Y16/'Price History'!Y15-1),"")</f>
        <v>1.2186709588411171E-2</v>
      </c>
      <c r="AS15" s="142">
        <f>IFERROR(IF(OR(NOT(ISNUMBER('Price History'!Z16)),NOT(ISNUMBER('Price History'!Z15)),'Price History'!Z15=0),"",'Price History'!Z16/'Price History'!Z15-1),"")</f>
        <v>2.1952506596305987E-2</v>
      </c>
      <c r="AT15" s="142">
        <f>IFERROR(IF(OR(NOT(ISNUMBER('Price History'!AA16)),NOT(ISNUMBER('Price History'!AA15)),'Price History'!AA15=0),"",'Price History'!AA16/'Price History'!AA15-1),"")</f>
        <v>4.0326134861172314E-2</v>
      </c>
    </row>
    <row r="16" spans="1:46" ht="15" customHeight="1" x14ac:dyDescent="0.35">
      <c r="A16" s="140">
        <f>IF('Price History'!A17="","",'Price History'!A17)</f>
        <v>45282</v>
      </c>
      <c r="B16" s="141">
        <f>IFERROR(IF(OR(NOT(ISNUMBER('Price History'!B17)),NOT(ISNUMBER('Price History'!B16)),'Price History'!B16=0),"",'Price History'!B17/'Price History'!B16-1),"")</f>
        <v>2.4064445508654497E-2</v>
      </c>
      <c r="C16" s="141">
        <f>IFERROR(IF(OR(NOT(ISNUMBER('Price History'!C17)),NOT(ISNUMBER('Price History'!C16)),'Price History'!C16=0),"",'Price History'!C17/'Price History'!C16-1),"")</f>
        <v>1.1205432937181792E-2</v>
      </c>
      <c r="D16" s="141">
        <f>IFERROR(IF(OR(NOT(ISNUMBER('Price History'!D17)),NOT(ISNUMBER('Price History'!D16)),'Price History'!D16=0),"",'Price History'!D17/'Price History'!D16-1),"")</f>
        <v>-5.7037318702801709E-4</v>
      </c>
      <c r="E16" s="141">
        <f>IFERROR(IF(OR(NOT(ISNUMBER('Price History'!E17)),NOT(ISNUMBER('Price History'!E16)),'Price History'!E16=0),"",'Price History'!E17/'Price History'!E16-1),"")</f>
        <v>-2.377251531498592E-3</v>
      </c>
      <c r="F16" s="141">
        <f>IFERROR(IF(OR(NOT(ISNUMBER('Price History'!F17)),NOT(ISNUMBER('Price History'!F16)),'Price History'!F16=0),"",'Price History'!F17/'Price History'!F16-1),"")</f>
        <v>-1.7071670255306093E-2</v>
      </c>
      <c r="G16" s="141">
        <f>IFERROR(IF(OR(NOT(ISNUMBER('Price History'!G17)),NOT(ISNUMBER('Price History'!G16)),'Price History'!G16=0),"",'Price History'!G17/'Price History'!G16-1),"")</f>
        <v>-4.1892127770990495E-3</v>
      </c>
      <c r="H16" s="141">
        <f>IFERROR(IF(OR(NOT(ISNUMBER('Price History'!H17)),NOT(ISNUMBER('Price History'!H16)),'Price History'!H16=0),"",'Price History'!H17/'Price History'!H16-1),"")</f>
        <v>6.25E-2</v>
      </c>
      <c r="I16" s="141">
        <f>IFERROR(IF(OR(NOT(ISNUMBER('Price History'!I17)),NOT(ISNUMBER('Price History'!I16)),'Price History'!I16=0),"",'Price History'!I17/'Price History'!I16-1),"")</f>
        <v>-1.2307692307692575E-3</v>
      </c>
      <c r="J16" s="141">
        <f>IFERROR(IF(OR(NOT(ISNUMBER('Price History'!J17)),NOT(ISNUMBER('Price History'!J16)),'Price History'!J16=0),"",'Price History'!J17/'Price History'!J16-1),"")</f>
        <v>-1.385718943593095E-2</v>
      </c>
      <c r="K16" s="141">
        <f>IFERROR(IF(OR(NOT(ISNUMBER('Price History'!K17)),NOT(ISNUMBER('Price History'!K16)),'Price History'!K16=0),"",'Price History'!K17/'Price History'!K16-1),"")</f>
        <v>-4.3406593406593363E-2</v>
      </c>
      <c r="L16" s="141">
        <f>IFERROR(IF(OR(NOT(ISNUMBER('Price History'!L17)),NOT(ISNUMBER('Price History'!L16)),'Price History'!L16=0),"",'Price History'!L17/'Price History'!L16-1),"")</f>
        <v>5.8591776947165553E-3</v>
      </c>
      <c r="M16" s="141">
        <f>IFERROR(IF(OR(NOT(ISNUMBER('Price History'!M17)),NOT(ISNUMBER('Price History'!M16)),'Price History'!M16=0),"",'Price History'!M17/'Price History'!M16-1),"")</f>
        <v>2.2072734916964487E-2</v>
      </c>
      <c r="N16" s="141">
        <f>IFERROR(IF(OR(NOT(ISNUMBER('Price History'!N17)),NOT(ISNUMBER('Price History'!N16)),'Price History'!N16=0),"",'Price History'!N17/'Price History'!N16-1),"")</f>
        <v>-1.3221973312554813E-2</v>
      </c>
      <c r="O16" s="141">
        <f>IFERROR(IF(OR(NOT(ISNUMBER('Price History'!O17)),NOT(ISNUMBER('Price History'!O16)),'Price History'!O16=0),"",'Price History'!O17/'Price History'!O16-1),"")</f>
        <v>2.7731492501785304E-2</v>
      </c>
      <c r="P16" s="141">
        <f>IFERROR(IF(OR(NOT(ISNUMBER('Price History'!P17)),NOT(ISNUMBER('Price History'!P16)),'Price History'!P16=0),"",'Price History'!P17/'Price History'!P16-1),"")</f>
        <v>2.6530225506915528E-3</v>
      </c>
      <c r="Q16" s="141">
        <f>IFERROR(IF(OR(NOT(ISNUMBER('Price History'!Q17)),NOT(ISNUMBER('Price History'!Q16)),'Price History'!Q16=0),"",'Price History'!Q17/'Price History'!Q16-1),"")</f>
        <v>1.1574074074072183E-3</v>
      </c>
      <c r="R16" s="141">
        <f>IFERROR(IF(OR(NOT(ISNUMBER('Price History'!R17)),NOT(ISNUMBER('Price History'!R16)),'Price History'!R16=0),"",'Price History'!R17/'Price History'!R16-1),"")</f>
        <v>2.9948271167983265E-3</v>
      </c>
      <c r="S16" s="141">
        <f>IFERROR(IF(OR(NOT(ISNUMBER('Price History'!S17)),NOT(ISNUMBER('Price History'!S16)),'Price History'!S16=0),"",'Price History'!S17/'Price History'!S16-1),"")</f>
        <v>1.4951487195800972E-2</v>
      </c>
      <c r="T16" s="141">
        <f>IFERROR(IF(OR(NOT(ISNUMBER('Price History'!T17)),NOT(ISNUMBER('Price History'!T16)),'Price History'!T16=0),"",'Price History'!T17/'Price History'!T16-1),"")</f>
        <v>1.2195121951219523E-2</v>
      </c>
      <c r="U16" s="141">
        <f>IFERROR(IF(OR(NOT(ISNUMBER('Price History'!U17)),NOT(ISNUMBER('Price History'!U16)),'Price History'!U16=0),"",'Price History'!U17/'Price History'!U16-1),"")</f>
        <v>5.2700922266140093E-3</v>
      </c>
      <c r="V16" s="142">
        <f>IFERROR(IF(OR(NOT(ISNUMBER('Price History'!V17)),NOT(ISNUMBER('Price History'!V16)),'Price History'!V16=0),"",'Price History'!V17/'Price History'!V16-1),"")</f>
        <v>1.5430267062312986E-3</v>
      </c>
      <c r="W16" s="143">
        <f>IFERROR('Price History'!B3+(INDEX('Price History'!B:B,MATCH(9.99E+307,'Returns (Calc)'!$A:$A)+1)-'Price History'!B3)*(ROW()-3)/(MATCH(9.99E+307,'Returns (Calc)'!$A:$A)-3),"")</f>
        <v>504.93050632911388</v>
      </c>
      <c r="X16" s="143">
        <f>IFERROR('Price History'!C3+(INDEX('Price History'!C:C,MATCH(9.99E+307,'Returns (Calc)'!$A:$A)+1)-'Price History'!C3)*(ROW()-3)/(MATCH(9.99E+307,'Returns (Calc)'!$A:$A)-3),"")</f>
        <v>59.440822784810123</v>
      </c>
      <c r="Y16" s="143">
        <f>IFERROR('Price History'!D3+(INDEX('Price History'!D:D,MATCH(9.99E+307,'Returns (Calc)'!$A:$A)+1)-'Price History'!D3)*(ROW()-3)/(MATCH(9.99E+307,'Returns (Calc)'!$A:$A)-3),"")</f>
        <v>687.76253164556965</v>
      </c>
      <c r="Z16" s="143">
        <f>IFERROR('Price History'!E3+(INDEX('Price History'!E:E,MATCH(9.99E+307,'Returns (Calc)'!$A:$A)+1)-'Price History'!E3)*(ROW()-3)/(MATCH(9.99E+307,'Returns (Calc)'!$A:$A)-3),"")</f>
        <v>104.47354430379747</v>
      </c>
      <c r="AA16" s="143">
        <f>IFERROR('Price History'!F3+(INDEX('Price History'!F:F,MATCH(9.99E+307,'Returns (Calc)'!$A:$A)+1)-'Price History'!F3)*(ROW()-3)/(MATCH(9.99E+307,'Returns (Calc)'!$A:$A)-3),"")</f>
        <v>60.175443037974688</v>
      </c>
      <c r="AB16" s="143">
        <f>IFERROR('Price History'!G3+(INDEX('Price History'!G:G,MATCH(9.99E+307,'Returns (Calc)'!$A:$A)+1)-'Price History'!G3)*(ROW()-3)/(MATCH(9.99E+307,'Returns (Calc)'!$A:$A)-3),"")</f>
        <v>57.723544303797468</v>
      </c>
      <c r="AC16" s="143">
        <f>IFERROR('Price History'!H3+(INDEX('Price History'!H:H,MATCH(9.99E+307,'Returns (Calc)'!$A:$A)+1)-'Price History'!H3)*(ROW()-3)/(MATCH(9.99E+307,'Returns (Calc)'!$A:$A)-3),"")</f>
        <v>151.86405063291141</v>
      </c>
      <c r="AD16" s="143">
        <f>IFERROR('Price History'!I3+(INDEX('Price History'!I:I,MATCH(9.99E+307,'Returns (Calc)'!$A:$A)+1)-'Price History'!I3)*(ROW()-3)/(MATCH(9.99E+307,'Returns (Calc)'!$A:$A)-3),"")</f>
        <v>59.417721518987342</v>
      </c>
      <c r="AE16" s="143">
        <f>IFERROR('Price History'!J3+(INDEX('Price History'!J:J,MATCH(9.99E+307,'Returns (Calc)'!$A:$A)+1)-'Price History'!J3)*(ROW()-3)/(MATCH(9.99E+307,'Returns (Calc)'!$A:$A)-3),"")</f>
        <v>113.24449367088607</v>
      </c>
      <c r="AF16" s="143">
        <f>IFERROR('Price History'!K3+(INDEX('Price History'!K:K,MATCH(9.99E+307,'Returns (Calc)'!$A:$A)+1)-'Price History'!K3)*(ROW()-3)/(MATCH(9.99E+307,'Returns (Calc)'!$A:$A)-3),"")</f>
        <v>29.598734177215192</v>
      </c>
      <c r="AG16" s="143">
        <f>IFERROR('Price History'!L3+(INDEX('Price History'!L:L,MATCH(9.99E+307,'Returns (Calc)'!$A:$A)+1)-'Price History'!L3)*(ROW()-3)/(MATCH(9.99E+307,'Returns (Calc)'!$A:$A)-3),"")</f>
        <v>117.59424050632911</v>
      </c>
      <c r="AH16" s="143">
        <f>IFERROR('Price History'!M3+(INDEX('Price History'!M:M,MATCH(9.99E+307,'Returns (Calc)'!$A:$A)+1)-'Price History'!M3)*(ROW()-3)/(MATCH(9.99E+307,'Returns (Calc)'!$A:$A)-3),"")</f>
        <v>55.640759493670885</v>
      </c>
      <c r="AI16" s="143">
        <f>IFERROR('Price History'!N3+(INDEX('Price History'!N:N,MATCH(9.99E+307,'Returns (Calc)'!$A:$A)+1)-'Price History'!N3)*(ROW()-3)/(MATCH(9.99E+307,'Returns (Calc)'!$A:$A)-3),"")</f>
        <v>361.7214556962025</v>
      </c>
      <c r="AJ16" s="143">
        <f>IFERROR('Price History'!O3+(INDEX('Price History'!O:O,MATCH(9.99E+307,'Returns (Calc)'!$A:$A)+1)-'Price History'!O3)*(ROW()-3)/(MATCH(9.99E+307,'Returns (Calc)'!$A:$A)-3),"")</f>
        <v>78.989493670886077</v>
      </c>
      <c r="AK16" s="143">
        <f>IFERROR('Price History'!Q3+(INDEX('Price History'!Q:Q,MATCH(9.99E+307,'Returns (Calc)'!$A:$A)+1)-'Price History'!Q3)*(ROW()-3)/(MATCH(9.99E+307,'Returns (Calc)'!$A:$A)-3),"")</f>
        <v>5.7117721518987343</v>
      </c>
      <c r="AL16" s="143">
        <f>IFERROR('Price History'!R3+(INDEX('Price History'!R:R,MATCH(9.99E+307,'Returns (Calc)'!$A:$A)+1)-'Price History'!R3)*(ROW()-3)/(MATCH(9.99E+307,'Returns (Calc)'!$A:$A)-3),"")</f>
        <v>36.6653164556962</v>
      </c>
      <c r="AM16" s="143">
        <f>IFERROR('Price History'!S3+(INDEX('Price History'!S:S,MATCH(9.99E+307,'Returns (Calc)'!$A:$A)+1)-'Price History'!S3)*(ROW()-3)/(MATCH(9.99E+307,'Returns (Calc)'!$A:$A)-3),"")</f>
        <v>65.49582278481013</v>
      </c>
      <c r="AN16" s="143">
        <f>IFERROR('Price History'!T3+(INDEX('Price History'!T:T,MATCH(9.99E+307,'Returns (Calc)'!$A:$A)+1)-'Price History'!T3)*(ROW()-3)/(MATCH(9.99E+307,'Returns (Calc)'!$A:$A)-3),"")</f>
        <v>27.426962025316456</v>
      </c>
      <c r="AO16" s="144">
        <f>IFERROR('Price History'!V3+(INDEX('Price History'!V:V,MATCH(9.99E+307,'Returns (Calc)'!$A:$A)+1)-'Price History'!V3)*(ROW()-3)/(MATCH(9.99E+307,'Returns (Calc)'!$A:$A)-3),"")</f>
        <v>245.91727848101266</v>
      </c>
      <c r="AP16" s="142">
        <f>IFERROR(IF(OR(NOT(ISNUMBER('Price History'!W17)),NOT(ISNUMBER('Price History'!W16)),'Price History'!W16=0),"",'Price History'!W17/'Price History'!W16-1),"")</f>
        <v>6.8252730109203963E-3</v>
      </c>
      <c r="AQ16" s="142" t="str">
        <f>IFERROR(IF(OR(NOT(ISNUMBER('Price History'!X17)),NOT(ISNUMBER('Price History'!X16)),'Price History'!X16=0),"",'Price History'!X17/'Price History'!X16-1),"")</f>
        <v/>
      </c>
      <c r="AR16" s="142">
        <f>IFERROR(IF(OR(NOT(ISNUMBER('Price History'!Y17)),NOT(ISNUMBER('Price History'!Y16)),'Price History'!Y16=0),"",'Price History'!Y17/'Price History'!Y16-1),"")</f>
        <v>1.3630168105405183E-3</v>
      </c>
      <c r="AS16" s="142">
        <f>IFERROR(IF(OR(NOT(ISNUMBER('Price History'!Z17)),NOT(ISNUMBER('Price History'!Z16)),'Price History'!Z16=0),"",'Price History'!Z17/'Price History'!Z16-1),"")</f>
        <v>2.8090467830217847E-2</v>
      </c>
      <c r="AT16" s="142">
        <f>IFERROR(IF(OR(NOT(ISNUMBER('Price History'!AA17)),NOT(ISNUMBER('Price History'!AA16)),'Price History'!AA16=0),"",'Price History'!AA17/'Price History'!AA16-1),"")</f>
        <v>3.1137470874814666E-2</v>
      </c>
    </row>
    <row r="17" spans="1:46" ht="15" customHeight="1" x14ac:dyDescent="0.35">
      <c r="A17" s="140">
        <f>IF('Price History'!A18="","",'Price History'!A18)</f>
        <v>45289</v>
      </c>
      <c r="B17" s="141">
        <f>IFERROR(IF(OR(NOT(ISNUMBER('Price History'!B18)),NOT(ISNUMBER('Price History'!B17)),'Price History'!B17=0),"",'Price History'!B18/'Price History'!B17-1),"")</f>
        <v>-3.5908141962421869E-3</v>
      </c>
      <c r="C17" s="141">
        <f>IFERROR(IF(OR(NOT(ISNUMBER('Price History'!C18)),NOT(ISNUMBER('Price History'!C17)),'Price History'!C17=0),"",'Price History'!C18/'Price History'!C17-1),"")</f>
        <v>-1.1417058428475513E-2</v>
      </c>
      <c r="D17" s="141">
        <f>IFERROR(IF(OR(NOT(ISNUMBER('Price History'!D18)),NOT(ISNUMBER('Price History'!D17)),'Price History'!D17=0),"",'Price History'!D18/'Price History'!D17-1),"")</f>
        <v>5.8292795608336778E-3</v>
      </c>
      <c r="E17" s="141">
        <f>IFERROR(IF(OR(NOT(ISNUMBER('Price History'!E18)),NOT(ISNUMBER('Price History'!E17)),'Price History'!E17=0),"",'Price History'!E18/'Price History'!E17-1),"")</f>
        <v>-5.0407845293739539E-3</v>
      </c>
      <c r="F17" s="141">
        <f>IFERROR(IF(OR(NOT(ISNUMBER('Price History'!F18)),NOT(ISNUMBER('Price History'!F17)),'Price History'!F17=0),"",'Price History'!F18/'Price History'!F17-1),"")</f>
        <v>-1.2517602879048573E-3</v>
      </c>
      <c r="G17" s="141">
        <f>IFERROR(IF(OR(NOT(ISNUMBER('Price History'!G18)),NOT(ISNUMBER('Price History'!G17)),'Price History'!G17=0),"",'Price History'!G18/'Price History'!G17-1),"")</f>
        <v>-2.2787028921997798E-3</v>
      </c>
      <c r="H17" s="141">
        <f>IFERROR(IF(OR(NOT(ISNUMBER('Price History'!H18)),NOT(ISNUMBER('Price History'!H17)),'Price History'!H17=0),"",'Price History'!H18/'Price History'!H17-1),"")</f>
        <v>-1.2021475256769332E-2</v>
      </c>
      <c r="I17" s="141">
        <f>IFERROR(IF(OR(NOT(ISNUMBER('Price History'!I18)),NOT(ISNUMBER('Price History'!I17)),'Price History'!I17=0),"",'Price History'!I18/'Price History'!I17-1),"")</f>
        <v>1.4171287738755423E-2</v>
      </c>
      <c r="J17" s="141">
        <f>IFERROR(IF(OR(NOT(ISNUMBER('Price History'!J18)),NOT(ISNUMBER('Price History'!J17)),'Price History'!J17=0),"",'Price History'!J18/'Price History'!J17-1),"")</f>
        <v>6.7779798313769568E-3</v>
      </c>
      <c r="K17" s="141">
        <f>IFERROR(IF(OR(NOT(ISNUMBER('Price History'!K18)),NOT(ISNUMBER('Price History'!K17)),'Price History'!K17=0),"",'Price History'!K18/'Price History'!K17-1),"")</f>
        <v>-1.378518093049963E-2</v>
      </c>
      <c r="L17" s="141">
        <f>IFERROR(IF(OR(NOT(ISNUMBER('Price History'!L18)),NOT(ISNUMBER('Price History'!L17)),'Price History'!L17=0),"",'Price History'!L18/'Price History'!L17-1),"")</f>
        <v>8.3358441297580743E-3</v>
      </c>
      <c r="M17" s="141">
        <f>IFERROR(IF(OR(NOT(ISNUMBER('Price History'!M18)),NOT(ISNUMBER('Price History'!M17)),'Price History'!M17=0),"",'Price History'!M18/'Price History'!M17-1),"")</f>
        <v>-1.5425750719868403E-2</v>
      </c>
      <c r="N17" s="141">
        <f>IFERROR(IF(OR(NOT(ISNUMBER('Price History'!N18)),NOT(ISNUMBER('Price History'!N17)),'Price History'!N17=0),"",'Price History'!N18/'Price History'!N17-1),"")</f>
        <v>4.0468846391117363E-3</v>
      </c>
      <c r="O17" s="141">
        <f>IFERROR(IF(OR(NOT(ISNUMBER('Price History'!O18)),NOT(ISNUMBER('Price History'!O17)),'Price History'!O17=0),"",'Price History'!O18/'Price History'!O17-1),"")</f>
        <v>-3.7058482918355118E-3</v>
      </c>
      <c r="P17" s="141">
        <f>IFERROR(IF(OR(NOT(ISNUMBER('Price History'!P18)),NOT(ISNUMBER('Price History'!P17)),'Price History'!P17=0),"",'Price History'!P18/'Price History'!P17-1),"")</f>
        <v>4.0635040635041975E-3</v>
      </c>
      <c r="Q17" s="141">
        <f>IFERROR(IF(OR(NOT(ISNUMBER('Price History'!Q18)),NOT(ISNUMBER('Price History'!Q17)),'Price History'!Q17=0),"",'Price History'!Q18/'Price History'!Q17-1),"")</f>
        <v>1.734104046242857E-3</v>
      </c>
      <c r="R17" s="141">
        <f>IFERROR(IF(OR(NOT(ISNUMBER('Price History'!R18)),NOT(ISNUMBER('Price History'!R17)),'Price History'!R17=0),"",'Price History'!R18/'Price History'!R17-1),"")</f>
        <v>3.2573289902280145E-3</v>
      </c>
      <c r="S17" s="141">
        <f>IFERROR(IF(OR(NOT(ISNUMBER('Price History'!S18)),NOT(ISNUMBER('Price History'!S17)),'Price History'!S17=0),"",'Price History'!S18/'Price History'!S17-1),"")</f>
        <v>7.0521861777150807E-3</v>
      </c>
      <c r="T17" s="141">
        <f>IFERROR(IF(OR(NOT(ISNUMBER('Price History'!T18)),NOT(ISNUMBER('Price History'!T17)),'Price History'!T17=0),"",'Price History'!T18/'Price History'!T17-1),"")</f>
        <v>-2.1905805038335835E-3</v>
      </c>
      <c r="U17" s="141">
        <f>IFERROR(IF(OR(NOT(ISNUMBER('Price History'!U18)),NOT(ISNUMBER('Price History'!U17)),'Price History'!U17=0),"",'Price History'!U18/'Price History'!U17-1),"")</f>
        <v>3.9318479685452878E-3</v>
      </c>
      <c r="V17" s="142">
        <f>IFERROR(IF(OR(NOT(ISNUMBER('Price History'!V18)),NOT(ISNUMBER('Price History'!V17)),'Price History'!V17=0),"",'Price History'!V18/'Price History'!V17-1),"")</f>
        <v>7.4267203918780833E-3</v>
      </c>
      <c r="W17" s="143">
        <f>IFERROR('Price History'!B3+(INDEX('Price History'!B:B,MATCH(9.99E+307,'Returns (Calc)'!$A:$A)+1)-'Price History'!B3)*(ROW()-3)/(MATCH(9.99E+307,'Returns (Calc)'!$A:$A)-3),"")</f>
        <v>503.08746835443037</v>
      </c>
      <c r="X17" s="143">
        <f>IFERROR('Price History'!C3+(INDEX('Price History'!C:C,MATCH(9.99E+307,'Returns (Calc)'!$A:$A)+1)-'Price History'!C3)*(ROW()-3)/(MATCH(9.99E+307,'Returns (Calc)'!$A:$A)-3),"")</f>
        <v>60.460886075949361</v>
      </c>
      <c r="Y17" s="143">
        <f>IFERROR('Price History'!D3+(INDEX('Price History'!D:D,MATCH(9.99E+307,'Returns (Calc)'!$A:$A)+1)-'Price History'!D3)*(ROW()-3)/(MATCH(9.99E+307,'Returns (Calc)'!$A:$A)-3),"")</f>
        <v>695.89734177215189</v>
      </c>
      <c r="Z17" s="143">
        <f>IFERROR('Price History'!E3+(INDEX('Price History'!E:E,MATCH(9.99E+307,'Returns (Calc)'!$A:$A)+1)-'Price History'!E3)*(ROW()-3)/(MATCH(9.99E+307,'Returns (Calc)'!$A:$A)-3),"")</f>
        <v>106.20227848101266</v>
      </c>
      <c r="AA17" s="143">
        <f>IFERROR('Price History'!F3+(INDEX('Price History'!F:F,MATCH(9.99E+307,'Returns (Calc)'!$A:$A)+1)-'Price History'!F3)*(ROW()-3)/(MATCH(9.99E+307,'Returns (Calc)'!$A:$A)-3),"")</f>
        <v>61.622784810126582</v>
      </c>
      <c r="AB17" s="143">
        <f>IFERROR('Price History'!G3+(INDEX('Price History'!G:G,MATCH(9.99E+307,'Returns (Calc)'!$A:$A)+1)-'Price History'!G3)*(ROW()-3)/(MATCH(9.99E+307,'Returns (Calc)'!$A:$A)-3),"")</f>
        <v>58.752278481012659</v>
      </c>
      <c r="AC17" s="143">
        <f>IFERROR('Price History'!H3+(INDEX('Price History'!H:H,MATCH(9.99E+307,'Returns (Calc)'!$A:$A)+1)-'Price History'!H3)*(ROW()-3)/(MATCH(9.99E+307,'Returns (Calc)'!$A:$A)-3),"")</f>
        <v>158.22974683544305</v>
      </c>
      <c r="AD17" s="143">
        <f>IFERROR('Price History'!I3+(INDEX('Price History'!I:I,MATCH(9.99E+307,'Returns (Calc)'!$A:$A)+1)-'Price History'!I3)*(ROW()-3)/(MATCH(9.99E+307,'Returns (Calc)'!$A:$A)-3),"")</f>
        <v>60.62139240506329</v>
      </c>
      <c r="AE17" s="143">
        <f>IFERROR('Price History'!J3+(INDEX('Price History'!J:J,MATCH(9.99E+307,'Returns (Calc)'!$A:$A)+1)-'Price History'!J3)*(ROW()-3)/(MATCH(9.99E+307,'Returns (Calc)'!$A:$A)-3),"")</f>
        <v>113.35253164556963</v>
      </c>
      <c r="AF17" s="143">
        <f>IFERROR('Price History'!K3+(INDEX('Price History'!K:K,MATCH(9.99E+307,'Returns (Calc)'!$A:$A)+1)-'Price History'!K3)*(ROW()-3)/(MATCH(9.99E+307,'Returns (Calc)'!$A:$A)-3),"")</f>
        <v>30.696329113924051</v>
      </c>
      <c r="AG17" s="143">
        <f>IFERROR('Price History'!L3+(INDEX('Price History'!L:L,MATCH(9.99E+307,'Returns (Calc)'!$A:$A)+1)-'Price History'!L3)*(ROW()-3)/(MATCH(9.99E+307,'Returns (Calc)'!$A:$A)-3),"")</f>
        <v>120.04379746835443</v>
      </c>
      <c r="AH17" s="143">
        <f>IFERROR('Price History'!M3+(INDEX('Price History'!M:M,MATCH(9.99E+307,'Returns (Calc)'!$A:$A)+1)-'Price History'!M3)*(ROW()-3)/(MATCH(9.99E+307,'Returns (Calc)'!$A:$A)-3),"")</f>
        <v>56.996202531645572</v>
      </c>
      <c r="AI17" s="143">
        <f>IFERROR('Price History'!N3+(INDEX('Price History'!N:N,MATCH(9.99E+307,'Returns (Calc)'!$A:$A)+1)-'Price History'!N3)*(ROW()-3)/(MATCH(9.99E+307,'Returns (Calc)'!$A:$A)-3),"")</f>
        <v>362.70772151898734</v>
      </c>
      <c r="AJ17" s="143">
        <f>IFERROR('Price History'!O3+(INDEX('Price History'!O:O,MATCH(9.99E+307,'Returns (Calc)'!$A:$A)+1)-'Price History'!O3)*(ROW()-3)/(MATCH(9.99E+307,'Returns (Calc)'!$A:$A)-3),"")</f>
        <v>79.272531645569629</v>
      </c>
      <c r="AK17" s="143">
        <f>IFERROR('Price History'!Q3+(INDEX('Price History'!Q:Q,MATCH(9.99E+307,'Returns (Calc)'!$A:$A)+1)-'Price History'!Q3)*(ROW()-3)/(MATCH(9.99E+307,'Returns (Calc)'!$A:$A)-3),"")</f>
        <v>6.1511392405063292</v>
      </c>
      <c r="AL17" s="143">
        <f>IFERROR('Price History'!R3+(INDEX('Price History'!R:R,MATCH(9.99E+307,'Returns (Calc)'!$A:$A)+1)-'Price History'!R3)*(ROW()-3)/(MATCH(9.99E+307,'Returns (Calc)'!$A:$A)-3),"")</f>
        <v>36.833417721518984</v>
      </c>
      <c r="AM17" s="143">
        <f>IFERROR('Price History'!S3+(INDEX('Price History'!S:S,MATCH(9.99E+307,'Returns (Calc)'!$A:$A)+1)-'Price History'!S3)*(ROW()-3)/(MATCH(9.99E+307,'Returns (Calc)'!$A:$A)-3),"")</f>
        <v>66.100886075949376</v>
      </c>
      <c r="AN17" s="143">
        <f>IFERROR('Price History'!T3+(INDEX('Price History'!T:T,MATCH(9.99E+307,'Returns (Calc)'!$A:$A)+1)-'Price History'!T3)*(ROW()-3)/(MATCH(9.99E+307,'Returns (Calc)'!$A:$A)-3),"")</f>
        <v>27.59518987341772</v>
      </c>
      <c r="AO17" s="144">
        <f>IFERROR('Price History'!V3+(INDEX('Price History'!V:V,MATCH(9.99E+307,'Returns (Calc)'!$A:$A)+1)-'Price History'!V3)*(ROW()-3)/(MATCH(9.99E+307,'Returns (Calc)'!$A:$A)-3),"")</f>
        <v>246.70860759493669</v>
      </c>
      <c r="AP17" s="142">
        <f>IFERROR(IF(OR(NOT(ISNUMBER('Price History'!W18)),NOT(ISNUMBER('Price History'!W17)),'Price History'!W17=0),"",'Price History'!W18/'Price History'!W17-1),"")</f>
        <v>6.1011040092968649E-3</v>
      </c>
      <c r="AQ17" s="142" t="str">
        <f>IFERROR(IF(OR(NOT(ISNUMBER('Price History'!X18)),NOT(ISNUMBER('Price History'!X17)),'Price History'!X17=0),"",'Price History'!X18/'Price History'!X17-1),"")</f>
        <v/>
      </c>
      <c r="AR17" s="142">
        <f>IFERROR(IF(OR(NOT(ISNUMBER('Price History'!Y18)),NOT(ISNUMBER('Price History'!Y17)),'Price History'!Y17=0),"",'Price History'!Y18/'Price History'!Y17-1),"")</f>
        <v>5.2177858439201863E-3</v>
      </c>
      <c r="AS17" s="142">
        <f>IFERROR(IF(OR(NOT(ISNUMBER('Price History'!Z18)),NOT(ISNUMBER('Price History'!Z17)),'Price History'!Z17=0),"",'Price History'!Z18/'Price History'!Z17-1),"")</f>
        <v>8.0361627322953488E-3</v>
      </c>
      <c r="AT17" s="142">
        <f>IFERROR(IF(OR(NOT(ISNUMBER('Price History'!AA18)),NOT(ISNUMBER('Price History'!AA17)),'Price History'!AA17=0),"",'Price History'!AA18/'Price History'!AA17-1),"")</f>
        <v>2.054231717336652E-4</v>
      </c>
    </row>
    <row r="18" spans="1:46" ht="15" customHeight="1" x14ac:dyDescent="0.35">
      <c r="A18" s="140">
        <f>IF('Price History'!A19="","",'Price History'!A19)</f>
        <v>45296</v>
      </c>
      <c r="B18" s="141">
        <f>IFERROR(IF(OR(NOT(ISNUMBER('Price History'!B19)),NOT(ISNUMBER('Price History'!B18)),'Price History'!B18=0),"",'Price History'!B19/'Price History'!B18-1),"")</f>
        <v>-5.3637277908146208E-2</v>
      </c>
      <c r="C18" s="141">
        <f>IFERROR(IF(OR(NOT(ISNUMBER('Price History'!C19)),NOT(ISNUMBER('Price History'!C18)),'Price History'!C18=0),"",'Price History'!C19/'Price History'!C18-1),"")</f>
        <v>-1.9531250000000111E-2</v>
      </c>
      <c r="D18" s="141">
        <f>IFERROR(IF(OR(NOT(ISNUMBER('Price History'!D19)),NOT(ISNUMBER('Price History'!D18)),'Price History'!D18=0),"",'Price History'!D19/'Price History'!D18-1),"")</f>
        <v>-7.0788808883725296E-2</v>
      </c>
      <c r="E18" s="141">
        <f>IFERROR(IF(OR(NOT(ISNUMBER('Price History'!E19)),NOT(ISNUMBER('Price History'!E18)),'Price History'!E18=0),"",'Price History'!E19/'Price History'!E18-1),"")</f>
        <v>-6.0058953574060436E-2</v>
      </c>
      <c r="F18" s="141">
        <f>IFERROR(IF(OR(NOT(ISNUMBER('Price History'!F19)),NOT(ISNUMBER('Price History'!F18)),'Price History'!F18=0),"",'Price History'!F19/'Price History'!F18-1),"")</f>
        <v>-3.0706564311452356E-2</v>
      </c>
      <c r="G18" s="141">
        <f>IFERROR(IF(OR(NOT(ISNUMBER('Price History'!G19)),NOT(ISNUMBER('Price History'!G18)),'Price History'!G18=0),"",'Price History'!G19/'Price History'!G18-1),"")</f>
        <v>-6.3598032326071752E-2</v>
      </c>
      <c r="H18" s="141">
        <f>IFERROR(IF(OR(NOT(ISNUMBER('Price History'!H19)),NOT(ISNUMBER('Price History'!H18)),'Price History'!H18=0),"",'Price History'!H19/'Price History'!H18-1),"")</f>
        <v>-2.2090962787950419E-2</v>
      </c>
      <c r="I18" s="141">
        <f>IFERROR(IF(OR(NOT(ISNUMBER('Price History'!I19)),NOT(ISNUMBER('Price History'!I18)),'Price History'!I18=0),"",'Price History'!I19/'Price History'!I18-1),"")</f>
        <v>-8.5054678007290274E-3</v>
      </c>
      <c r="J18" s="141">
        <f>IFERROR(IF(OR(NOT(ISNUMBER('Price History'!J19)),NOT(ISNUMBER('Price History'!J18)),'Price History'!J18=0),"",'Price History'!J19/'Price History'!J18-1),"")</f>
        <v>-2.0525451559934349E-2</v>
      </c>
      <c r="K18" s="141">
        <f>IFERROR(IF(OR(NOT(ISNUMBER('Price History'!K19)),NOT(ISNUMBER('Price History'!K18)),'Price History'!K18=0),"",'Price History'!K19/'Price History'!K18-1),"")</f>
        <v>-6.9306930693069368E-2</v>
      </c>
      <c r="L18" s="141">
        <f>IFERROR(IF(OR(NOT(ISNUMBER('Price History'!L19)),NOT(ISNUMBER('Price History'!L18)),'Price History'!L18=0),"",'Price History'!L19/'Price History'!L18-1),"")</f>
        <v>-4.2231075697211296E-2</v>
      </c>
      <c r="M18" s="141">
        <f>IFERROR(IF(OR(NOT(ISNUMBER('Price History'!M19)),NOT(ISNUMBER('Price History'!M18)),'Price History'!M18=0),"",'Price History'!M19/'Price History'!M18-1),"")</f>
        <v>-3.5721746396490506E-2</v>
      </c>
      <c r="N18" s="141">
        <f>IFERROR(IF(OR(NOT(ISNUMBER('Price History'!N19)),NOT(ISNUMBER('Price History'!N18)),'Price History'!N18=0),"",'Price History'!N19/'Price History'!N18-1),"")</f>
        <v>2.3618176902848509E-2</v>
      </c>
      <c r="O18" s="141">
        <f>IFERROR(IF(OR(NOT(ISNUMBER('Price History'!O19)),NOT(ISNUMBER('Price History'!O18)),'Price History'!O18=0),"",'Price History'!O19/'Price History'!O18-1),"")</f>
        <v>-2.592119028245965E-2</v>
      </c>
      <c r="P18" s="141">
        <f>IFERROR(IF(OR(NOT(ISNUMBER('Price History'!P19)),NOT(ISNUMBER('Price History'!P18)),'Price History'!P18=0),"",'Price History'!P19/'Price History'!P18-1),"")</f>
        <v>7.058823529411784E-3</v>
      </c>
      <c r="Q18" s="141">
        <f>IFERROR(IF(OR(NOT(ISNUMBER('Price History'!Q19)),NOT(ISNUMBER('Price History'!Q18)),'Price History'!Q18=0),"",'Price History'!Q19/'Price History'!Q18-1),"")</f>
        <v>-4.4239276783997195E-3</v>
      </c>
      <c r="R18" s="141">
        <f>IFERROR(IF(OR(NOT(ISNUMBER('Price History'!R19)),NOT(ISNUMBER('Price History'!R18)),'Price History'!R18=0),"",'Price History'!R19/'Price History'!R18-1),"")</f>
        <v>-1.5692640692640647E-2</v>
      </c>
      <c r="S18" s="141">
        <f>IFERROR(IF(OR(NOT(ISNUMBER('Price History'!S19)),NOT(ISNUMBER('Price History'!S18)),'Price History'!S18=0),"",'Price History'!S19/'Price History'!S18-1),"")</f>
        <v>-1.0270774976657404E-2</v>
      </c>
      <c r="T18" s="141">
        <f>IFERROR(IF(OR(NOT(ISNUMBER('Price History'!T19)),NOT(ISNUMBER('Price History'!T18)),'Price History'!T18=0),"",'Price History'!T19/'Price History'!T18-1),"")</f>
        <v>7.3179656055621933E-4</v>
      </c>
      <c r="U18" s="141">
        <f>IFERROR(IF(OR(NOT(ISNUMBER('Price History'!U19)),NOT(ISNUMBER('Price History'!U18)),'Price History'!U18=0),"",'Price History'!U19/'Price History'!U18-1),"")</f>
        <v>3.0461270670147922E-3</v>
      </c>
      <c r="V18" s="142">
        <f>IFERROR(IF(OR(NOT(ISNUMBER('Price History'!V19)),NOT(ISNUMBER('Price History'!V18)),'Price History'!V18=0),"",'Price History'!V19/'Price History'!V18-1),"")</f>
        <v>-2.5096070896400979E-3</v>
      </c>
      <c r="W18" s="143">
        <f>IFERROR('Price History'!B3+(INDEX('Price History'!B:B,MATCH(9.99E+307,'Returns (Calc)'!$A:$A)+1)-'Price History'!B3)*(ROW()-3)/(MATCH(9.99E+307,'Returns (Calc)'!$A:$A)-3),"")</f>
        <v>501.2444303797468</v>
      </c>
      <c r="X18" s="143">
        <f>IFERROR('Price History'!C3+(INDEX('Price History'!C:C,MATCH(9.99E+307,'Returns (Calc)'!$A:$A)+1)-'Price History'!C3)*(ROW()-3)/(MATCH(9.99E+307,'Returns (Calc)'!$A:$A)-3),"")</f>
        <v>61.480949367088606</v>
      </c>
      <c r="Y18" s="143">
        <f>IFERROR('Price History'!D3+(INDEX('Price History'!D:D,MATCH(9.99E+307,'Returns (Calc)'!$A:$A)+1)-'Price History'!D3)*(ROW()-3)/(MATCH(9.99E+307,'Returns (Calc)'!$A:$A)-3),"")</f>
        <v>704.03215189873413</v>
      </c>
      <c r="Z18" s="143">
        <f>IFERROR('Price History'!E3+(INDEX('Price History'!E:E,MATCH(9.99E+307,'Returns (Calc)'!$A:$A)+1)-'Price History'!E3)*(ROW()-3)/(MATCH(9.99E+307,'Returns (Calc)'!$A:$A)-3),"")</f>
        <v>107.93101265822784</v>
      </c>
      <c r="AA18" s="143">
        <f>IFERROR('Price History'!F3+(INDEX('Price History'!F:F,MATCH(9.99E+307,'Returns (Calc)'!$A:$A)+1)-'Price History'!F3)*(ROW()-3)/(MATCH(9.99E+307,'Returns (Calc)'!$A:$A)-3),"")</f>
        <v>63.070126582278483</v>
      </c>
      <c r="AB18" s="143">
        <f>IFERROR('Price History'!G3+(INDEX('Price History'!G:G,MATCH(9.99E+307,'Returns (Calc)'!$A:$A)+1)-'Price History'!G3)*(ROW()-3)/(MATCH(9.99E+307,'Returns (Calc)'!$A:$A)-3),"")</f>
        <v>59.781012658227851</v>
      </c>
      <c r="AC18" s="143">
        <f>IFERROR('Price History'!H3+(INDEX('Price History'!H:H,MATCH(9.99E+307,'Returns (Calc)'!$A:$A)+1)-'Price History'!H3)*(ROW()-3)/(MATCH(9.99E+307,'Returns (Calc)'!$A:$A)-3),"")</f>
        <v>164.59544303797469</v>
      </c>
      <c r="AD18" s="143">
        <f>IFERROR('Price History'!I3+(INDEX('Price History'!I:I,MATCH(9.99E+307,'Returns (Calc)'!$A:$A)+1)-'Price History'!I3)*(ROW()-3)/(MATCH(9.99E+307,'Returns (Calc)'!$A:$A)-3),"")</f>
        <v>61.825063291139244</v>
      </c>
      <c r="AE18" s="143">
        <f>IFERROR('Price History'!J3+(INDEX('Price History'!J:J,MATCH(9.99E+307,'Returns (Calc)'!$A:$A)+1)-'Price History'!J3)*(ROW()-3)/(MATCH(9.99E+307,'Returns (Calc)'!$A:$A)-3),"")</f>
        <v>113.46056962025317</v>
      </c>
      <c r="AF18" s="143">
        <f>IFERROR('Price History'!K3+(INDEX('Price History'!K:K,MATCH(9.99E+307,'Returns (Calc)'!$A:$A)+1)-'Price History'!K3)*(ROW()-3)/(MATCH(9.99E+307,'Returns (Calc)'!$A:$A)-3),"")</f>
        <v>31.79392405063291</v>
      </c>
      <c r="AG18" s="143">
        <f>IFERROR('Price History'!L3+(INDEX('Price History'!L:L,MATCH(9.99E+307,'Returns (Calc)'!$A:$A)+1)-'Price History'!L3)*(ROW()-3)/(MATCH(9.99E+307,'Returns (Calc)'!$A:$A)-3),"")</f>
        <v>122.49335443037975</v>
      </c>
      <c r="AH18" s="143">
        <f>IFERROR('Price History'!M3+(INDEX('Price History'!M:M,MATCH(9.99E+307,'Returns (Calc)'!$A:$A)+1)-'Price History'!M3)*(ROW()-3)/(MATCH(9.99E+307,'Returns (Calc)'!$A:$A)-3),"")</f>
        <v>58.35164556962026</v>
      </c>
      <c r="AI18" s="143">
        <f>IFERROR('Price History'!N3+(INDEX('Price History'!N:N,MATCH(9.99E+307,'Returns (Calc)'!$A:$A)+1)-'Price History'!N3)*(ROW()-3)/(MATCH(9.99E+307,'Returns (Calc)'!$A:$A)-3),"")</f>
        <v>363.69398734177213</v>
      </c>
      <c r="AJ18" s="143">
        <f>IFERROR('Price History'!O3+(INDEX('Price History'!O:O,MATCH(9.99E+307,'Returns (Calc)'!$A:$A)+1)-'Price History'!O3)*(ROW()-3)/(MATCH(9.99E+307,'Returns (Calc)'!$A:$A)-3),"")</f>
        <v>79.555569620253166</v>
      </c>
      <c r="AK18" s="143">
        <f>IFERROR('Price History'!Q3+(INDEX('Price History'!Q:Q,MATCH(9.99E+307,'Returns (Calc)'!$A:$A)+1)-'Price History'!Q3)*(ROW()-3)/(MATCH(9.99E+307,'Returns (Calc)'!$A:$A)-3),"")</f>
        <v>6.5905063291139241</v>
      </c>
      <c r="AL18" s="143">
        <f>IFERROR('Price History'!R3+(INDEX('Price History'!R:R,MATCH(9.99E+307,'Returns (Calc)'!$A:$A)+1)-'Price History'!R3)*(ROW()-3)/(MATCH(9.99E+307,'Returns (Calc)'!$A:$A)-3),"")</f>
        <v>37.001518987341768</v>
      </c>
      <c r="AM18" s="143">
        <f>IFERROR('Price History'!S3+(INDEX('Price History'!S:S,MATCH(9.99E+307,'Returns (Calc)'!$A:$A)+1)-'Price History'!S3)*(ROW()-3)/(MATCH(9.99E+307,'Returns (Calc)'!$A:$A)-3),"")</f>
        <v>66.705949367088607</v>
      </c>
      <c r="AN18" s="143">
        <f>IFERROR('Price History'!T3+(INDEX('Price History'!T:T,MATCH(9.99E+307,'Returns (Calc)'!$A:$A)+1)-'Price History'!T3)*(ROW()-3)/(MATCH(9.99E+307,'Returns (Calc)'!$A:$A)-3),"")</f>
        <v>27.763417721518987</v>
      </c>
      <c r="AO18" s="144">
        <f>IFERROR('Price History'!V3+(INDEX('Price History'!V:V,MATCH(9.99E+307,'Returns (Calc)'!$A:$A)+1)-'Price History'!V3)*(ROW()-3)/(MATCH(9.99E+307,'Returns (Calc)'!$A:$A)-3),"")</f>
        <v>247.49993670886076</v>
      </c>
      <c r="AP18" s="142">
        <f>IFERROR(IF(OR(NOT(ISNUMBER('Price History'!W19)),NOT(ISNUMBER('Price History'!W18)),'Price History'!W18=0),"",'Price History'!W19/'Price History'!W18-1),"")</f>
        <v>2.213880065453866E-3</v>
      </c>
      <c r="AQ18" s="142" t="str">
        <f>IFERROR(IF(OR(NOT(ISNUMBER('Price History'!X19)),NOT(ISNUMBER('Price History'!X18)),'Price History'!X18=0),"",'Price History'!X19/'Price History'!X18-1),"")</f>
        <v/>
      </c>
      <c r="AR18" s="142">
        <f>IFERROR(IF(OR(NOT(ISNUMBER('Price History'!Y19)),NOT(ISNUMBER('Price History'!Y18)),'Price History'!Y18=0),"",'Price History'!Y19/'Price History'!Y18-1),"")</f>
        <v>-4.2879711126158071E-3</v>
      </c>
      <c r="AS18" s="142">
        <f>IFERROR(IF(OR(NOT(ISNUMBER('Price History'!Z19)),NOT(ISNUMBER('Price History'!Z18)),'Price History'!Z18=0),"",'Price History'!Z19/'Price History'!Z18-1),"")</f>
        <v>-1.0563029397109958E-2</v>
      </c>
      <c r="AT18" s="142">
        <f>IFERROR(IF(OR(NOT(ISNUMBER('Price History'!AA19)),NOT(ISNUMBER('Price History'!AA18)),'Price History'!AA18=0),"",'Price History'!AA19/'Price History'!AA18-1),"")</f>
        <v>-2.6288765660299918E-2</v>
      </c>
    </row>
    <row r="19" spans="1:46" ht="15" customHeight="1" x14ac:dyDescent="0.35">
      <c r="A19" s="140">
        <f>IF('Price History'!A20="","",'Price History'!A20)</f>
        <v>45303</v>
      </c>
      <c r="B19" s="141">
        <f>IFERROR(IF(OR(NOT(ISNUMBER('Price History'!B20)),NOT(ISNUMBER('Price History'!B19)),'Price History'!B19=0),"",'Price History'!B20/'Price History'!B19-1),"")</f>
        <v>5.6571023733616554E-2</v>
      </c>
      <c r="C19" s="141">
        <f>IFERROR(IF(OR(NOT(ISNUMBER('Price History'!C20)),NOT(ISNUMBER('Price History'!C19)),'Price History'!C19=0),"",'Price History'!C20/'Price History'!C19-1),"")</f>
        <v>9.1460245972631249E-2</v>
      </c>
      <c r="D19" s="141">
        <f>IFERROR(IF(OR(NOT(ISNUMBER('Price History'!D20)),NOT(ISNUMBER('Price History'!D19)),'Price History'!D19=0),"",'Price History'!D20/'Price History'!D19-1),"")</f>
        <v>1.4044167890321591E-2</v>
      </c>
      <c r="E19" s="141">
        <f>IFERROR(IF(OR(NOT(ISNUMBER('Price History'!E20)),NOT(ISNUMBER('Price History'!E19)),'Price History'!E19=0),"",'Price History'!E20/'Price History'!E19-1),"")</f>
        <v>5.5664445315562361E-2</v>
      </c>
      <c r="F19" s="141">
        <f>IFERROR(IF(OR(NOT(ISNUMBER('Price History'!F20)),NOT(ISNUMBER('Price History'!F19)),'Price History'!F19=0),"",'Price History'!F20/'Price History'!F19-1),"")</f>
        <v>0.14498141263940534</v>
      </c>
      <c r="G19" s="141">
        <f>IFERROR(IF(OR(NOT(ISNUMBER('Price History'!G20)),NOT(ISNUMBER('Price History'!G19)),'Price History'!G19=0),"",'Price History'!G20/'Price History'!G19-1),"")</f>
        <v>2.9831144465290782E-2</v>
      </c>
      <c r="H19" s="141">
        <f>IFERROR(IF(OR(NOT(ISNUMBER('Price History'!H20)),NOT(ISNUMBER('Price History'!H19)),'Price History'!H19=0),"",'Price History'!H20/'Price History'!H19-1),"")</f>
        <v>-1.2805025368446521E-2</v>
      </c>
      <c r="I19" s="141">
        <f>IFERROR(IF(OR(NOT(ISNUMBER('Price History'!I20)),NOT(ISNUMBER('Price History'!I19)),'Price History'!I19=0),"",'Price History'!I20/'Price History'!I19-1),"")</f>
        <v>0.11417483660130712</v>
      </c>
      <c r="J19" s="141">
        <f>IFERROR(IF(OR(NOT(ISNUMBER('Price History'!J20)),NOT(ISNUMBER('Price History'!J19)),'Price History'!J19=0),"",'Price History'!J20/'Price History'!J19-1),"")</f>
        <v>7.5440067057837012E-3</v>
      </c>
      <c r="K19" s="141">
        <f>IFERROR(IF(OR(NOT(ISNUMBER('Price History'!K20)),NOT(ISNUMBER('Price History'!K19)),'Price History'!K19=0),"",'Price History'!K20/'Price History'!K19-1),"")</f>
        <v>4.8811013767209088E-2</v>
      </c>
      <c r="L19" s="141">
        <f>IFERROR(IF(OR(NOT(ISNUMBER('Price History'!L20)),NOT(ISNUMBER('Price History'!L19)),'Price History'!L19=0),"",'Price History'!L20/'Price History'!L19-1),"")</f>
        <v>1.6326955074875249E-2</v>
      </c>
      <c r="M19" s="141">
        <f>IFERROR(IF(OR(NOT(ISNUMBER('Price History'!M20)),NOT(ISNUMBER('Price History'!M19)),'Price History'!M19=0),"",'Price History'!M20/'Price History'!M19-1),"")</f>
        <v>6.9324090121317239E-2</v>
      </c>
      <c r="N19" s="141">
        <f>IFERROR(IF(OR(NOT(ISNUMBER('Price History'!N20)),NOT(ISNUMBER('Price History'!N19)),'Price History'!N19=0),"",'Price History'!N20/'Price History'!N19-1),"")</f>
        <v>4.057623049219683E-2</v>
      </c>
      <c r="O19" s="141">
        <f>IFERROR(IF(OR(NOT(ISNUMBER('Price History'!O20)),NOT(ISNUMBER('Price History'!O19)),'Price History'!O19=0),"",'Price History'!O20/'Price History'!O19-1),"")</f>
        <v>-1.1336515513126533E-2</v>
      </c>
      <c r="P19" s="141">
        <f>IFERROR(IF(OR(NOT(ISNUMBER('Price History'!P20)),NOT(ISNUMBER('Price History'!P19)),'Price History'!P19=0),"",'Price History'!P20/'Price History'!P19-1),"")</f>
        <v>-1.3831775700934634E-2</v>
      </c>
      <c r="Q19" s="141">
        <f>IFERROR(IF(OR(NOT(ISNUMBER('Price History'!Q20)),NOT(ISNUMBER('Price History'!Q19)),'Price History'!Q19=0),"",'Price History'!Q20/'Price History'!Q19-1),"")</f>
        <v>9.8531684698610622E-3</v>
      </c>
      <c r="R19" s="141">
        <f>IFERROR(IF(OR(NOT(ISNUMBER('Price History'!R20)),NOT(ISNUMBER('Price History'!R19)),'Price History'!R19=0),"",'Price History'!R20/'Price History'!R19-1),"")</f>
        <v>2.7487630566245258E-2</v>
      </c>
      <c r="S19" s="141">
        <f>IFERROR(IF(OR(NOT(ISNUMBER('Price History'!S20)),NOT(ISNUMBER('Price History'!S19)),'Price History'!S19=0),"",'Price History'!S20/'Price History'!S19-1),"")</f>
        <v>3.0974842767295563E-2</v>
      </c>
      <c r="T19" s="141">
        <f>IFERROR(IF(OR(NOT(ISNUMBER('Price History'!T20)),NOT(ISNUMBER('Price History'!T19)),'Price History'!T19=0),"",'Price History'!T20/'Price History'!T19-1),"")</f>
        <v>-2.1937842778794181E-3</v>
      </c>
      <c r="U19" s="141">
        <f>IFERROR(IF(OR(NOT(ISNUMBER('Price History'!U20)),NOT(ISNUMBER('Price History'!U19)),'Price History'!U19=0),"",'Price History'!U20/'Price History'!U19-1),"")</f>
        <v>-1.3015184381779399E-3</v>
      </c>
      <c r="V19" s="142">
        <f>IFERROR(IF(OR(NOT(ISNUMBER('Price History'!V20)),NOT(ISNUMBER('Price History'!V19)),'Price History'!V19=0),"",'Price History'!V20/'Price History'!V19-1),"")</f>
        <v>1.7218334774746324E-2</v>
      </c>
      <c r="W19" s="143">
        <f>IFERROR('Price History'!B3+(INDEX('Price History'!B:B,MATCH(9.99E+307,'Returns (Calc)'!$A:$A)+1)-'Price History'!B3)*(ROW()-3)/(MATCH(9.99E+307,'Returns (Calc)'!$A:$A)-3),"")</f>
        <v>499.40139240506329</v>
      </c>
      <c r="X19" s="143">
        <f>IFERROR('Price History'!C3+(INDEX('Price History'!C:C,MATCH(9.99E+307,'Returns (Calc)'!$A:$A)+1)-'Price History'!C3)*(ROW()-3)/(MATCH(9.99E+307,'Returns (Calc)'!$A:$A)-3),"")</f>
        <v>62.50101265822785</v>
      </c>
      <c r="Y19" s="143">
        <f>IFERROR('Price History'!D3+(INDEX('Price History'!D:D,MATCH(9.99E+307,'Returns (Calc)'!$A:$A)+1)-'Price History'!D3)*(ROW()-3)/(MATCH(9.99E+307,'Returns (Calc)'!$A:$A)-3),"")</f>
        <v>712.16696202531648</v>
      </c>
      <c r="Z19" s="143">
        <f>IFERROR('Price History'!E3+(INDEX('Price History'!E:E,MATCH(9.99E+307,'Returns (Calc)'!$A:$A)+1)-'Price History'!E3)*(ROW()-3)/(MATCH(9.99E+307,'Returns (Calc)'!$A:$A)-3),"")</f>
        <v>109.65974683544303</v>
      </c>
      <c r="AA19" s="143">
        <f>IFERROR('Price History'!F3+(INDEX('Price History'!F:F,MATCH(9.99E+307,'Returns (Calc)'!$A:$A)+1)-'Price History'!F3)*(ROW()-3)/(MATCH(9.99E+307,'Returns (Calc)'!$A:$A)-3),"")</f>
        <v>64.517468354430378</v>
      </c>
      <c r="AB19" s="143">
        <f>IFERROR('Price History'!G3+(INDEX('Price History'!G:G,MATCH(9.99E+307,'Returns (Calc)'!$A:$A)+1)-'Price History'!G3)*(ROW()-3)/(MATCH(9.99E+307,'Returns (Calc)'!$A:$A)-3),"")</f>
        <v>60.809746835443036</v>
      </c>
      <c r="AC19" s="143">
        <f>IFERROR('Price History'!H3+(INDEX('Price History'!H:H,MATCH(9.99E+307,'Returns (Calc)'!$A:$A)+1)-'Price History'!H3)*(ROW()-3)/(MATCH(9.99E+307,'Returns (Calc)'!$A:$A)-3),"")</f>
        <v>170.96113924050633</v>
      </c>
      <c r="AD19" s="143">
        <f>IFERROR('Price History'!I3+(INDEX('Price History'!I:I,MATCH(9.99E+307,'Returns (Calc)'!$A:$A)+1)-'Price History'!I3)*(ROW()-3)/(MATCH(9.99E+307,'Returns (Calc)'!$A:$A)-3),"")</f>
        <v>63.028734177215192</v>
      </c>
      <c r="AE19" s="143">
        <f>IFERROR('Price History'!J3+(INDEX('Price History'!J:J,MATCH(9.99E+307,'Returns (Calc)'!$A:$A)+1)-'Price History'!J3)*(ROW()-3)/(MATCH(9.99E+307,'Returns (Calc)'!$A:$A)-3),"")</f>
        <v>113.56860759493671</v>
      </c>
      <c r="AF19" s="143">
        <f>IFERROR('Price History'!K3+(INDEX('Price History'!K:K,MATCH(9.99E+307,'Returns (Calc)'!$A:$A)+1)-'Price History'!K3)*(ROW()-3)/(MATCH(9.99E+307,'Returns (Calc)'!$A:$A)-3),"")</f>
        <v>32.891518987341769</v>
      </c>
      <c r="AG19" s="143">
        <f>IFERROR('Price History'!L3+(INDEX('Price History'!L:L,MATCH(9.99E+307,'Returns (Calc)'!$A:$A)+1)-'Price History'!L3)*(ROW()-3)/(MATCH(9.99E+307,'Returns (Calc)'!$A:$A)-3),"")</f>
        <v>124.94291139240505</v>
      </c>
      <c r="AH19" s="143">
        <f>IFERROR('Price History'!M3+(INDEX('Price History'!M:M,MATCH(9.99E+307,'Returns (Calc)'!$A:$A)+1)-'Price History'!M3)*(ROW()-3)/(MATCH(9.99E+307,'Returns (Calc)'!$A:$A)-3),"")</f>
        <v>59.70708860759494</v>
      </c>
      <c r="AI19" s="143">
        <f>IFERROR('Price History'!N3+(INDEX('Price History'!N:N,MATCH(9.99E+307,'Returns (Calc)'!$A:$A)+1)-'Price History'!N3)*(ROW()-3)/(MATCH(9.99E+307,'Returns (Calc)'!$A:$A)-3),"")</f>
        <v>364.68025316455692</v>
      </c>
      <c r="AJ19" s="143">
        <f>IFERROR('Price History'!O3+(INDEX('Price History'!O:O,MATCH(9.99E+307,'Returns (Calc)'!$A:$A)+1)-'Price History'!O3)*(ROW()-3)/(MATCH(9.99E+307,'Returns (Calc)'!$A:$A)-3),"")</f>
        <v>79.838607594936718</v>
      </c>
      <c r="AK19" s="143">
        <f>IFERROR('Price History'!Q3+(INDEX('Price History'!Q:Q,MATCH(9.99E+307,'Returns (Calc)'!$A:$A)+1)-'Price History'!Q3)*(ROW()-3)/(MATCH(9.99E+307,'Returns (Calc)'!$A:$A)-3),"")</f>
        <v>7.029873417721519</v>
      </c>
      <c r="AL19" s="143">
        <f>IFERROR('Price History'!R3+(INDEX('Price History'!R:R,MATCH(9.99E+307,'Returns (Calc)'!$A:$A)+1)-'Price History'!R3)*(ROW()-3)/(MATCH(9.99E+307,'Returns (Calc)'!$A:$A)-3),"")</f>
        <v>37.169620253164553</v>
      </c>
      <c r="AM19" s="143">
        <f>IFERROR('Price History'!S3+(INDEX('Price History'!S:S,MATCH(9.99E+307,'Returns (Calc)'!$A:$A)+1)-'Price History'!S3)*(ROW()-3)/(MATCH(9.99E+307,'Returns (Calc)'!$A:$A)-3),"")</f>
        <v>67.311012658227853</v>
      </c>
      <c r="AN19" s="143">
        <f>IFERROR('Price History'!T3+(INDEX('Price History'!T:T,MATCH(9.99E+307,'Returns (Calc)'!$A:$A)+1)-'Price History'!T3)*(ROW()-3)/(MATCH(9.99E+307,'Returns (Calc)'!$A:$A)-3),"")</f>
        <v>27.931645569620251</v>
      </c>
      <c r="AO19" s="144">
        <f>IFERROR('Price History'!V3+(INDEX('Price History'!V:V,MATCH(9.99E+307,'Returns (Calc)'!$A:$A)+1)-'Price History'!V3)*(ROW()-3)/(MATCH(9.99E+307,'Returns (Calc)'!$A:$A)-3),"")</f>
        <v>248.29126582278479</v>
      </c>
      <c r="AP19" s="142">
        <f>IFERROR(IF(OR(NOT(ISNUMBER('Price History'!W20)),NOT(ISNUMBER('Price History'!W19)),'Price History'!W19=0),"",'Price History'!W20/'Price History'!W19-1),"")</f>
        <v>-3.4575489819439476E-3</v>
      </c>
      <c r="AQ19" s="142" t="str">
        <f>IFERROR(IF(OR(NOT(ISNUMBER('Price History'!X20)),NOT(ISNUMBER('Price History'!X19)),'Price History'!X19=0),"",'Price History'!X20/'Price History'!X19-1),"")</f>
        <v/>
      </c>
      <c r="AR19" s="142">
        <f>IFERROR(IF(OR(NOT(ISNUMBER('Price History'!Y20)),NOT(ISNUMBER('Price History'!Y19)),'Price History'!Y19=0),"",'Price History'!Y20/'Price History'!Y19-1),"")</f>
        <v>1.0199456029011955E-2</v>
      </c>
      <c r="AS19" s="142">
        <f>IFERROR(IF(OR(NOT(ISNUMBER('Price History'!Z20)),NOT(ISNUMBER('Price History'!Z19)),'Price History'!Z19=0),"",'Price History'!Z20/'Price History'!Z19-1),"")</f>
        <v>2.7797361264981335E-2</v>
      </c>
      <c r="AT19" s="142">
        <f>IFERROR(IF(OR(NOT(ISNUMBER('Price History'!AA20)),NOT(ISNUMBER('Price History'!AA19)),'Price History'!AA19=0),"",'Price History'!AA20/'Price History'!AA19-1),"")</f>
        <v>3.8177599662518436E-2</v>
      </c>
    </row>
    <row r="20" spans="1:46" ht="15" customHeight="1" x14ac:dyDescent="0.35">
      <c r="A20" s="140">
        <f>IF('Price History'!A21="","",'Price History'!A21)</f>
        <v>45310</v>
      </c>
      <c r="B20" s="141">
        <f>IFERROR(IF(OR(NOT(ISNUMBER('Price History'!B21)),NOT(ISNUMBER('Price History'!B20)),'Price History'!B20=0),"",'Price History'!B21/'Price History'!B20-1),"")</f>
        <v>2.5161766185000101E-2</v>
      </c>
      <c r="C20" s="141">
        <f>IFERROR(IF(OR(NOT(ISNUMBER('Price History'!C21)),NOT(ISNUMBER('Price History'!C20)),'Price History'!C20=0),"",'Price History'!C21/'Price History'!C20-1),"")</f>
        <v>4.5548325662593259E-2</v>
      </c>
      <c r="D20" s="141">
        <f>IFERROR(IF(OR(NOT(ISNUMBER('Price History'!D21)),NOT(ISNUMBER('Price History'!D20)),'Price History'!D20=0),"",'Price History'!D21/'Price History'!D20-1),"")</f>
        <v>6.2552868141478646E-2</v>
      </c>
      <c r="E20" s="141">
        <f>IFERROR(IF(OR(NOT(ISNUMBER('Price History'!E21)),NOT(ISNUMBER('Price History'!E20)),'Price History'!E20=0),"",'Price History'!E21/'Price History'!E20-1),"")</f>
        <v>9.3483104344597168E-2</v>
      </c>
      <c r="F20" s="141">
        <f>IFERROR(IF(OR(NOT(ISNUMBER('Price History'!F21)),NOT(ISNUMBER('Price History'!F20)),'Price History'!F20=0),"",'Price History'!F21/'Price History'!F20-1),"")</f>
        <v>2.5409373235460109E-2</v>
      </c>
      <c r="G20" s="141">
        <f>IFERROR(IF(OR(NOT(ISNUMBER('Price History'!G21)),NOT(ISNUMBER('Price History'!G20)),'Price History'!G20=0),"",'Price History'!G21/'Price History'!G20-1),"")</f>
        <v>9.3459646565859034E-2</v>
      </c>
      <c r="H20" s="141">
        <f>IFERROR(IF(OR(NOT(ISNUMBER('Price History'!H21)),NOT(ISNUMBER('Price History'!H20)),'Price History'!H20=0),"",'Price History'!H21/'Price History'!H20-1),"")</f>
        <v>6.2163485070974023E-2</v>
      </c>
      <c r="I20" s="141">
        <f>IFERROR(IF(OR(NOT(ISNUMBER('Price History'!I21)),NOT(ISNUMBER('Price History'!I20)),'Price History'!I20=0),"",'Price History'!I21/'Price History'!I20-1),"")</f>
        <v>8.7442713107241055E-2</v>
      </c>
      <c r="J20" s="141">
        <f>IFERROR(IF(OR(NOT(ISNUMBER('Price History'!J21)),NOT(ISNUMBER('Price History'!J20)),'Price History'!J20=0),"",'Price History'!J21/'Price History'!J20-1),"")</f>
        <v>-2.3627287853577372E-2</v>
      </c>
      <c r="K20" s="141">
        <f>IFERROR(IF(OR(NOT(ISNUMBER('Price History'!K21)),NOT(ISNUMBER('Price History'!K20)),'Price History'!K20=0),"",'Price History'!K21/'Price History'!K20-1),"")</f>
        <v>1.1933174224343368E-3</v>
      </c>
      <c r="L20" s="141">
        <f>IFERROR(IF(OR(NOT(ISNUMBER('Price History'!L21)),NOT(ISNUMBER('Price History'!L20)),'Price History'!L20=0),"",'Price History'!L21/'Price History'!L20-1),"")</f>
        <v>0.12800573007264893</v>
      </c>
      <c r="M20" s="141">
        <f>IFERROR(IF(OR(NOT(ISNUMBER('Price History'!M21)),NOT(ISNUMBER('Price History'!M20)),'Price History'!M20=0),"",'Price History'!M21/'Price History'!M20-1),"")</f>
        <v>8.3670988654781286E-2</v>
      </c>
      <c r="N20" s="141">
        <f>IFERROR(IF(OR(NOT(ISNUMBER('Price History'!N21)),NOT(ISNUMBER('Price History'!N20)),'Price History'!N20=0),"",'Price History'!N21/'Price History'!N20-1),"")</f>
        <v>3.737886479003194E-3</v>
      </c>
      <c r="O20" s="141">
        <f>IFERROR(IF(OR(NOT(ISNUMBER('Price History'!O21)),NOT(ISNUMBER('Price History'!O20)),'Price History'!O20=0),"",'Price History'!O21/'Price History'!O20-1),"")</f>
        <v>3.0175015087507973E-3</v>
      </c>
      <c r="P20" s="141">
        <f>IFERROR(IF(OR(NOT(ISNUMBER('Price History'!P21)),NOT(ISNUMBER('Price History'!P20)),'Price History'!P20=0),"",'Price History'!P21/'Price History'!P20-1),"")</f>
        <v>-1.317285822592873E-2</v>
      </c>
      <c r="Q20" s="141">
        <f>IFERROR(IF(OR(NOT(ISNUMBER('Price History'!Q21)),NOT(ISNUMBER('Price History'!Q20)),'Price History'!Q20=0),"",'Price History'!Q21/'Price History'!Q20-1),"")</f>
        <v>5.9307442127414234E-3</v>
      </c>
      <c r="R20" s="141">
        <f>IFERROR(IF(OR(NOT(ISNUMBER('Price History'!R21)),NOT(ISNUMBER('Price History'!R20)),'Price History'!R20=0),"",'Price History'!R21/'Price History'!R20-1),"")</f>
        <v>1.7656500802568198E-2</v>
      </c>
      <c r="S20" s="141">
        <f>IFERROR(IF(OR(NOT(ISNUMBER('Price History'!S21)),NOT(ISNUMBER('Price History'!S20)),'Price History'!S20=0),"",'Price History'!S21/'Price History'!S20-1),"")</f>
        <v>2.1198718926338289E-2</v>
      </c>
      <c r="T20" s="141">
        <f>IFERROR(IF(OR(NOT(ISNUMBER('Price History'!T21)),NOT(ISNUMBER('Price History'!T20)),'Price History'!T20=0),"",'Price History'!T21/'Price History'!T20-1),"")</f>
        <v>-9.5272993770610936E-3</v>
      </c>
      <c r="U20" s="141">
        <f>IFERROR(IF(OR(NOT(ISNUMBER('Price History'!U21)),NOT(ISNUMBER('Price History'!U20)),'Price History'!U20=0),"",'Price History'!U21/'Price History'!U20-1),"")</f>
        <v>4.344048653345034E-3</v>
      </c>
      <c r="V20" s="142">
        <f>IFERROR(IF(OR(NOT(ISNUMBER('Price History'!V21)),NOT(ISNUMBER('Price History'!V20)),'Price History'!V20=0),"",'Price History'!V21/'Price History'!V20-1),"")</f>
        <v>2.5506260627608635E-2</v>
      </c>
      <c r="W20" s="143">
        <f>IFERROR('Price History'!B3+(INDEX('Price History'!B:B,MATCH(9.99E+307,'Returns (Calc)'!$A:$A)+1)-'Price History'!B3)*(ROW()-3)/(MATCH(9.99E+307,'Returns (Calc)'!$A:$A)-3),"")</f>
        <v>497.55835443037972</v>
      </c>
      <c r="X20" s="143">
        <f>IFERROR('Price History'!C3+(INDEX('Price History'!C:C,MATCH(9.99E+307,'Returns (Calc)'!$A:$A)+1)-'Price History'!C3)*(ROW()-3)/(MATCH(9.99E+307,'Returns (Calc)'!$A:$A)-3),"")</f>
        <v>63.521075949367088</v>
      </c>
      <c r="Y20" s="143">
        <f>IFERROR('Price History'!D3+(INDEX('Price History'!D:D,MATCH(9.99E+307,'Returns (Calc)'!$A:$A)+1)-'Price History'!D3)*(ROW()-3)/(MATCH(9.99E+307,'Returns (Calc)'!$A:$A)-3),"")</f>
        <v>720.30177215189872</v>
      </c>
      <c r="Z20" s="143">
        <f>IFERROR('Price History'!E3+(INDEX('Price History'!E:E,MATCH(9.99E+307,'Returns (Calc)'!$A:$A)+1)-'Price History'!E3)*(ROW()-3)/(MATCH(9.99E+307,'Returns (Calc)'!$A:$A)-3),"")</f>
        <v>111.38848101265823</v>
      </c>
      <c r="AA20" s="143">
        <f>IFERROR('Price History'!F3+(INDEX('Price History'!F:F,MATCH(9.99E+307,'Returns (Calc)'!$A:$A)+1)-'Price History'!F3)*(ROW()-3)/(MATCH(9.99E+307,'Returns (Calc)'!$A:$A)-3),"")</f>
        <v>65.964810126582279</v>
      </c>
      <c r="AB20" s="143">
        <f>IFERROR('Price History'!G3+(INDEX('Price History'!G:G,MATCH(9.99E+307,'Returns (Calc)'!$A:$A)+1)-'Price History'!G3)*(ROW()-3)/(MATCH(9.99E+307,'Returns (Calc)'!$A:$A)-3),"")</f>
        <v>61.838481012658228</v>
      </c>
      <c r="AC20" s="143">
        <f>IFERROR('Price History'!H3+(INDEX('Price History'!H:H,MATCH(9.99E+307,'Returns (Calc)'!$A:$A)+1)-'Price History'!H3)*(ROW()-3)/(MATCH(9.99E+307,'Returns (Calc)'!$A:$A)-3),"")</f>
        <v>177.32683544303799</v>
      </c>
      <c r="AD20" s="143">
        <f>IFERROR('Price History'!I3+(INDEX('Price History'!I:I,MATCH(9.99E+307,'Returns (Calc)'!$A:$A)+1)-'Price History'!I3)*(ROW()-3)/(MATCH(9.99E+307,'Returns (Calc)'!$A:$A)-3),"")</f>
        <v>64.232405063291139</v>
      </c>
      <c r="AE20" s="143">
        <f>IFERROR('Price History'!J3+(INDEX('Price History'!J:J,MATCH(9.99E+307,'Returns (Calc)'!$A:$A)+1)-'Price History'!J3)*(ROW()-3)/(MATCH(9.99E+307,'Returns (Calc)'!$A:$A)-3),"")</f>
        <v>113.67664556962026</v>
      </c>
      <c r="AF20" s="143">
        <f>IFERROR('Price History'!K3+(INDEX('Price History'!K:K,MATCH(9.99E+307,'Returns (Calc)'!$A:$A)+1)-'Price History'!K3)*(ROW()-3)/(MATCH(9.99E+307,'Returns (Calc)'!$A:$A)-3),"")</f>
        <v>33.989113924050635</v>
      </c>
      <c r="AG20" s="143">
        <f>IFERROR('Price History'!L3+(INDEX('Price History'!L:L,MATCH(9.99E+307,'Returns (Calc)'!$A:$A)+1)-'Price History'!L3)*(ROW()-3)/(MATCH(9.99E+307,'Returns (Calc)'!$A:$A)-3),"")</f>
        <v>127.39246835443038</v>
      </c>
      <c r="AH20" s="143">
        <f>IFERROR('Price History'!M3+(INDEX('Price History'!M:M,MATCH(9.99E+307,'Returns (Calc)'!$A:$A)+1)-'Price History'!M3)*(ROW()-3)/(MATCH(9.99E+307,'Returns (Calc)'!$A:$A)-3),"")</f>
        <v>61.062531645569621</v>
      </c>
      <c r="AI20" s="143">
        <f>IFERROR('Price History'!N3+(INDEX('Price History'!N:N,MATCH(9.99E+307,'Returns (Calc)'!$A:$A)+1)-'Price History'!N3)*(ROW()-3)/(MATCH(9.99E+307,'Returns (Calc)'!$A:$A)-3),"")</f>
        <v>365.66651898734176</v>
      </c>
      <c r="AJ20" s="143">
        <f>IFERROR('Price History'!O3+(INDEX('Price History'!O:O,MATCH(9.99E+307,'Returns (Calc)'!$A:$A)+1)-'Price History'!O3)*(ROW()-3)/(MATCH(9.99E+307,'Returns (Calc)'!$A:$A)-3),"")</f>
        <v>80.121645569620256</v>
      </c>
      <c r="AK20" s="143">
        <f>IFERROR('Price History'!Q3+(INDEX('Price History'!Q:Q,MATCH(9.99E+307,'Returns (Calc)'!$A:$A)+1)-'Price History'!Q3)*(ROW()-3)/(MATCH(9.99E+307,'Returns (Calc)'!$A:$A)-3),"")</f>
        <v>7.4692405063291147</v>
      </c>
      <c r="AL20" s="143">
        <f>IFERROR('Price History'!R3+(INDEX('Price History'!R:R,MATCH(9.99E+307,'Returns (Calc)'!$A:$A)+1)-'Price History'!R3)*(ROW()-3)/(MATCH(9.99E+307,'Returns (Calc)'!$A:$A)-3),"")</f>
        <v>37.337721518987337</v>
      </c>
      <c r="AM20" s="143">
        <f>IFERROR('Price History'!S3+(INDEX('Price History'!S:S,MATCH(9.99E+307,'Returns (Calc)'!$A:$A)+1)-'Price History'!S3)*(ROW()-3)/(MATCH(9.99E+307,'Returns (Calc)'!$A:$A)-3),"")</f>
        <v>67.916075949367084</v>
      </c>
      <c r="AN20" s="143">
        <f>IFERROR('Price History'!T3+(INDEX('Price History'!T:T,MATCH(9.99E+307,'Returns (Calc)'!$A:$A)+1)-'Price History'!T3)*(ROW()-3)/(MATCH(9.99E+307,'Returns (Calc)'!$A:$A)-3),"")</f>
        <v>28.099873417721518</v>
      </c>
      <c r="AO20" s="144">
        <f>IFERROR('Price History'!V3+(INDEX('Price History'!V:V,MATCH(9.99E+307,'Returns (Calc)'!$A:$A)+1)-'Price History'!V3)*(ROW()-3)/(MATCH(9.99E+307,'Returns (Calc)'!$A:$A)-3),"")</f>
        <v>249.08259493670886</v>
      </c>
      <c r="AP20" s="142">
        <f>IFERROR(IF(OR(NOT(ISNUMBER('Price History'!W21)),NOT(ISNUMBER('Price History'!W20)),'Price History'!W20=0),"",'Price History'!W21/'Price History'!W20-1),"")</f>
        <v>1.2528912875866549E-3</v>
      </c>
      <c r="AQ20" s="142" t="str">
        <f>IFERROR(IF(OR(NOT(ISNUMBER('Price History'!X21)),NOT(ISNUMBER('Price History'!X20)),'Price History'!X20=0),"",'Price History'!X21/'Price History'!X20-1),"")</f>
        <v/>
      </c>
      <c r="AR20" s="142">
        <f>IFERROR(IF(OR(NOT(ISNUMBER('Price History'!Y21)),NOT(ISNUMBER('Price History'!Y20)),'Price History'!Y20=0),"",'Price History'!Y21/'Price History'!Y20-1),"")</f>
        <v>2.9167601525690312E-3</v>
      </c>
      <c r="AS20" s="142">
        <f>IFERROR(IF(OR(NOT(ISNUMBER('Price History'!Z21)),NOT(ISNUMBER('Price History'!Z20)),'Price History'!Z20=0),"",'Price History'!Z21/'Price History'!Z20-1),"")</f>
        <v>9.7991180793677302E-5</v>
      </c>
      <c r="AT20" s="142">
        <f>IFERROR(IF(OR(NOT(ISNUMBER('Price History'!AA21)),NOT(ISNUMBER('Price History'!AA20)),'Price History'!AA20=0),"",'Price History'!AA21/'Price History'!AA20-1),"")</f>
        <v>-1.8894758228362396E-2</v>
      </c>
    </row>
    <row r="21" spans="1:46" ht="15" customHeight="1" x14ac:dyDescent="0.35">
      <c r="A21" s="140">
        <f>IF('Price History'!A22="","",'Price History'!A22)</f>
        <v>45317</v>
      </c>
      <c r="B21" s="141">
        <f>IFERROR(IF(OR(NOT(ISNUMBER('Price History'!B22)),NOT(ISNUMBER('Price History'!B21)),'Price History'!B21=0),"",'Price History'!B22/'Price History'!B21-1),"")</f>
        <v>3.891750470116806E-3</v>
      </c>
      <c r="C21" s="141">
        <f>IFERROR(IF(OR(NOT(ISNUMBER('Price History'!C22)),NOT(ISNUMBER('Price History'!C21)),'Price History'!C21=0),"",'Price History'!C22/'Price History'!C21-1),"")</f>
        <v>3.3394049787491831E-3</v>
      </c>
      <c r="D21" s="141">
        <f>IFERROR(IF(OR(NOT(ISNUMBER('Price History'!D22)),NOT(ISNUMBER('Price History'!D21)),'Price History'!D21=0),"",'Price History'!D22/'Price History'!D21-1),"")</f>
        <v>0.14503724093264259</v>
      </c>
      <c r="E21" s="141">
        <f>IFERROR(IF(OR(NOT(ISNUMBER('Price History'!E22)),NOT(ISNUMBER('Price History'!E21)),'Price History'!E21=0),"",'Price History'!E22/'Price History'!E21-1),"")</f>
        <v>-5.1787078699380151E-3</v>
      </c>
      <c r="F21" s="141">
        <f>IFERROR(IF(OR(NOT(ISNUMBER('Price History'!F22)),NOT(ISNUMBER('Price History'!F21)),'Price History'!F21=0),"",'Price History'!F22/'Price History'!F21-1),"")</f>
        <v>-8.2599118942738858E-4</v>
      </c>
      <c r="G21" s="141">
        <f>IFERROR(IF(OR(NOT(ISNUMBER('Price History'!G22)),NOT(ISNUMBER('Price History'!G21)),'Price History'!G21=0),"",'Price History'!G22/'Price History'!G21-1),"")</f>
        <v>-2.2159280239920087E-2</v>
      </c>
      <c r="H21" s="141">
        <f>IFERROR(IF(OR(NOT(ISNUMBER('Price History'!H22)),NOT(ISNUMBER('Price History'!H21)),'Price History'!H21=0),"",'Price History'!H22/'Price History'!H21-1),"")</f>
        <v>6.2211981566822061E-3</v>
      </c>
      <c r="I21" s="141">
        <f>IFERROR(IF(OR(NOT(ISNUMBER('Price History'!I22)),NOT(ISNUMBER('Price History'!I21)),'Price History'!I21=0),"",'Price History'!I22/'Price History'!I21-1),"")</f>
        <v>2.5792312879298729E-2</v>
      </c>
      <c r="J21" s="141">
        <f>IFERROR(IF(OR(NOT(ISNUMBER('Price History'!J22)),NOT(ISNUMBER('Price History'!J21)),'Price History'!J21=0),"",'Price History'!J22/'Price History'!J21-1),"")</f>
        <v>-1.218473074301285E-2</v>
      </c>
      <c r="K21" s="141">
        <f>IFERROR(IF(OR(NOT(ISNUMBER('Price History'!K22)),NOT(ISNUMBER('Price History'!K21)),'Price History'!K21=0),"",'Price History'!K22/'Price History'!K21-1),"")</f>
        <v>-2.5625744934445804E-2</v>
      </c>
      <c r="L21" s="141">
        <f>IFERROR(IF(OR(NOT(ISNUMBER('Price History'!L22)),NOT(ISNUMBER('Price History'!L21)),'Price History'!L21=0),"",'Price History'!L22/'Price History'!L21-1),"")</f>
        <v>2.6850507982583594E-2</v>
      </c>
      <c r="M21" s="141">
        <f>IFERROR(IF(OR(NOT(ISNUMBER('Price History'!M22)),NOT(ISNUMBER('Price History'!M21)),'Price History'!M21=0),"",'Price History'!M22/'Price History'!M21-1),"")</f>
        <v>-3.9259674705552916E-3</v>
      </c>
      <c r="N21" s="141">
        <f>IFERROR(IF(OR(NOT(ISNUMBER('Price History'!N22)),NOT(ISNUMBER('Price History'!N21)),'Price History'!N21=0),"",'Price History'!N22/'Price History'!N21-1),"")</f>
        <v>-1.1148912693669133E-2</v>
      </c>
      <c r="O21" s="141">
        <f>IFERROR(IF(OR(NOT(ISNUMBER('Price History'!O22)),NOT(ISNUMBER('Price History'!O21)),'Price History'!O21=0),"",'Price History'!O22/'Price History'!O21-1),"")</f>
        <v>2.3586040914560957E-2</v>
      </c>
      <c r="P21" s="141">
        <f>IFERROR(IF(OR(NOT(ISNUMBER('Price History'!P22)),NOT(ISNUMBER('Price History'!P21)),'Price History'!P21=0),"",'Price History'!P22/'Price History'!P21-1),"")</f>
        <v>1.5749543839431501E-2</v>
      </c>
      <c r="Q21" s="141">
        <f>IFERROR(IF(OR(NOT(ISNUMBER('Price History'!Q22)),NOT(ISNUMBER('Price History'!Q21)),'Price History'!Q21=0),"",'Price History'!Q22/'Price History'!Q21-1),"")</f>
        <v>6.2761506276149959E-3</v>
      </c>
      <c r="R21" s="141">
        <f>IFERROR(IF(OR(NOT(ISNUMBER('Price History'!R22)),NOT(ISNUMBER('Price History'!R21)),'Price History'!R21=0),"",'Price History'!R22/'Price History'!R21-1),"")</f>
        <v>7.8864353312304569E-3</v>
      </c>
      <c r="S21" s="141">
        <f>IFERROR(IF(OR(NOT(ISNUMBER('Price History'!S22)),NOT(ISNUMBER('Price History'!S21)),'Price History'!S21=0),"",'Price History'!S22/'Price History'!S21-1),"")</f>
        <v>1.6129032258064724E-2</v>
      </c>
      <c r="T21" s="141">
        <f>IFERROR(IF(OR(NOT(ISNUMBER('Price History'!T22)),NOT(ISNUMBER('Price History'!T21)),'Price History'!T21=0),"",'Price History'!T22/'Price History'!T21-1),"")</f>
        <v>8.1391046984831128E-3</v>
      </c>
      <c r="U21" s="141">
        <f>IFERROR(IF(OR(NOT(ISNUMBER('Price History'!U22)),NOT(ISNUMBER('Price History'!U21)),'Price History'!U21=0),"",'Price History'!U22/'Price History'!U21-1),"")</f>
        <v>5.6228373702422729E-3</v>
      </c>
      <c r="V21" s="142">
        <f>IFERROR(IF(OR(NOT(ISNUMBER('Price History'!V22)),NOT(ISNUMBER('Price History'!V21)),'Price History'!V21=0),"",'Price History'!V22/'Price History'!V21-1),"")</f>
        <v>-1.0928549894483108E-2</v>
      </c>
      <c r="W21" s="143">
        <f>IFERROR('Price History'!B3+(INDEX('Price History'!B:B,MATCH(9.99E+307,'Returns (Calc)'!$A:$A)+1)-'Price History'!B3)*(ROW()-3)/(MATCH(9.99E+307,'Returns (Calc)'!$A:$A)-3),"")</f>
        <v>495.71531645569621</v>
      </c>
      <c r="X21" s="143">
        <f>IFERROR('Price History'!C3+(INDEX('Price History'!C:C,MATCH(9.99E+307,'Returns (Calc)'!$A:$A)+1)-'Price History'!C3)*(ROW()-3)/(MATCH(9.99E+307,'Returns (Calc)'!$A:$A)-3),"")</f>
        <v>64.541139240506325</v>
      </c>
      <c r="Y21" s="143">
        <f>IFERROR('Price History'!D3+(INDEX('Price History'!D:D,MATCH(9.99E+307,'Returns (Calc)'!$A:$A)+1)-'Price History'!D3)*(ROW()-3)/(MATCH(9.99E+307,'Returns (Calc)'!$A:$A)-3),"")</f>
        <v>728.43658227848096</v>
      </c>
      <c r="Z21" s="143">
        <f>IFERROR('Price History'!E3+(INDEX('Price History'!E:E,MATCH(9.99E+307,'Returns (Calc)'!$A:$A)+1)-'Price History'!E3)*(ROW()-3)/(MATCH(9.99E+307,'Returns (Calc)'!$A:$A)-3),"")</f>
        <v>113.11721518987342</v>
      </c>
      <c r="AA21" s="143">
        <f>IFERROR('Price History'!F3+(INDEX('Price History'!F:F,MATCH(9.99E+307,'Returns (Calc)'!$A:$A)+1)-'Price History'!F3)*(ROW()-3)/(MATCH(9.99E+307,'Returns (Calc)'!$A:$A)-3),"")</f>
        <v>67.41215189873418</v>
      </c>
      <c r="AB21" s="143">
        <f>IFERROR('Price History'!G3+(INDEX('Price History'!G:G,MATCH(9.99E+307,'Returns (Calc)'!$A:$A)+1)-'Price History'!G3)*(ROW()-3)/(MATCH(9.99E+307,'Returns (Calc)'!$A:$A)-3),"")</f>
        <v>62.86721518987342</v>
      </c>
      <c r="AC21" s="143">
        <f>IFERROR('Price History'!H3+(INDEX('Price History'!H:H,MATCH(9.99E+307,'Returns (Calc)'!$A:$A)+1)-'Price History'!H3)*(ROW()-3)/(MATCH(9.99E+307,'Returns (Calc)'!$A:$A)-3),"")</f>
        <v>183.69253164556963</v>
      </c>
      <c r="AD21" s="143">
        <f>IFERROR('Price History'!I3+(INDEX('Price History'!I:I,MATCH(9.99E+307,'Returns (Calc)'!$A:$A)+1)-'Price History'!I3)*(ROW()-3)/(MATCH(9.99E+307,'Returns (Calc)'!$A:$A)-3),"")</f>
        <v>65.436075949367094</v>
      </c>
      <c r="AE21" s="143">
        <f>IFERROR('Price History'!J3+(INDEX('Price History'!J:J,MATCH(9.99E+307,'Returns (Calc)'!$A:$A)+1)-'Price History'!J3)*(ROW()-3)/(MATCH(9.99E+307,'Returns (Calc)'!$A:$A)-3),"")</f>
        <v>113.7846835443038</v>
      </c>
      <c r="AF21" s="143">
        <f>IFERROR('Price History'!K3+(INDEX('Price History'!K:K,MATCH(9.99E+307,'Returns (Calc)'!$A:$A)+1)-'Price History'!K3)*(ROW()-3)/(MATCH(9.99E+307,'Returns (Calc)'!$A:$A)-3),"")</f>
        <v>35.086708860759494</v>
      </c>
      <c r="AG21" s="143">
        <f>IFERROR('Price History'!L3+(INDEX('Price History'!L:L,MATCH(9.99E+307,'Returns (Calc)'!$A:$A)+1)-'Price History'!L3)*(ROW()-3)/(MATCH(9.99E+307,'Returns (Calc)'!$A:$A)-3),"")</f>
        <v>129.8420253164557</v>
      </c>
      <c r="AH21" s="143">
        <f>IFERROR('Price History'!M3+(INDEX('Price History'!M:M,MATCH(9.99E+307,'Returns (Calc)'!$A:$A)+1)-'Price History'!M3)*(ROW()-3)/(MATCH(9.99E+307,'Returns (Calc)'!$A:$A)-3),"")</f>
        <v>62.417974683544308</v>
      </c>
      <c r="AI21" s="143">
        <f>IFERROR('Price History'!N3+(INDEX('Price History'!N:N,MATCH(9.99E+307,'Returns (Calc)'!$A:$A)+1)-'Price History'!N3)*(ROW()-3)/(MATCH(9.99E+307,'Returns (Calc)'!$A:$A)-3),"")</f>
        <v>366.65278481012655</v>
      </c>
      <c r="AJ21" s="143">
        <f>IFERROR('Price History'!O3+(INDEX('Price History'!O:O,MATCH(9.99E+307,'Returns (Calc)'!$A:$A)+1)-'Price History'!O3)*(ROW()-3)/(MATCH(9.99E+307,'Returns (Calc)'!$A:$A)-3),"")</f>
        <v>80.404683544303793</v>
      </c>
      <c r="AK21" s="143">
        <f>IFERROR('Price History'!Q3+(INDEX('Price History'!Q:Q,MATCH(9.99E+307,'Returns (Calc)'!$A:$A)+1)-'Price History'!Q3)*(ROW()-3)/(MATCH(9.99E+307,'Returns (Calc)'!$A:$A)-3),"")</f>
        <v>7.9086075949367087</v>
      </c>
      <c r="AL21" s="143">
        <f>IFERROR('Price History'!R3+(INDEX('Price History'!R:R,MATCH(9.99E+307,'Returns (Calc)'!$A:$A)+1)-'Price History'!R3)*(ROW()-3)/(MATCH(9.99E+307,'Returns (Calc)'!$A:$A)-3),"")</f>
        <v>37.505822784810121</v>
      </c>
      <c r="AM21" s="143">
        <f>IFERROR('Price History'!S3+(INDEX('Price History'!S:S,MATCH(9.99E+307,'Returns (Calc)'!$A:$A)+1)-'Price History'!S3)*(ROW()-3)/(MATCH(9.99E+307,'Returns (Calc)'!$A:$A)-3),"")</f>
        <v>68.521139240506329</v>
      </c>
      <c r="AN21" s="143">
        <f>IFERROR('Price History'!T3+(INDEX('Price History'!T:T,MATCH(9.99E+307,'Returns (Calc)'!$A:$A)+1)-'Price History'!T3)*(ROW()-3)/(MATCH(9.99E+307,'Returns (Calc)'!$A:$A)-3),"")</f>
        <v>28.268101265822782</v>
      </c>
      <c r="AO21" s="144">
        <f>IFERROR('Price History'!V3+(INDEX('Price History'!V:V,MATCH(9.99E+307,'Returns (Calc)'!$A:$A)+1)-'Price History'!V3)*(ROW()-3)/(MATCH(9.99E+307,'Returns (Calc)'!$A:$A)-3),"")</f>
        <v>249.87392405063292</v>
      </c>
      <c r="AP21" s="142">
        <f>IFERROR(IF(OR(NOT(ISNUMBER('Price History'!W22)),NOT(ISNUMBER('Price History'!W21)),'Price History'!W21=0),"",'Price History'!W22/'Price History'!W21-1),"")</f>
        <v>1.2224468187505888E-2</v>
      </c>
      <c r="AQ21" s="142" t="str">
        <f>IFERROR(IF(OR(NOT(ISNUMBER('Price History'!X22)),NOT(ISNUMBER('Price History'!X21)),'Price History'!X21=0),"",'Price History'!X22/'Price History'!X21-1),"")</f>
        <v/>
      </c>
      <c r="AR21" s="142">
        <f>IFERROR(IF(OR(NOT(ISNUMBER('Price History'!Y22)),NOT(ISNUMBER('Price History'!Y21)),'Price History'!Y21=0),"",'Price History'!Y22/'Price History'!Y21-1),"")</f>
        <v>8.5011185682326573E-3</v>
      </c>
      <c r="AS21" s="142">
        <f>IFERROR(IF(OR(NOT(ISNUMBER('Price History'!Z22)),NOT(ISNUMBER('Price History'!Z21)),'Price History'!Z21=0),"",'Price History'!Z22/'Price History'!Z21-1),"")</f>
        <v>1.067999216147375E-2</v>
      </c>
      <c r="AT21" s="142">
        <f>IFERROR(IF(OR(NOT(ISNUMBER('Price History'!AA22)),NOT(ISNUMBER('Price History'!AA21)),'Price History'!AA21=0),"",'Price History'!AA22/'Price History'!AA21-1),"")</f>
        <v>0.18119693518326785</v>
      </c>
    </row>
    <row r="22" spans="1:46" ht="15" customHeight="1" x14ac:dyDescent="0.35">
      <c r="A22" s="140">
        <f>IF('Price History'!A23="","",'Price History'!A23)</f>
        <v>45324</v>
      </c>
      <c r="B22" s="141">
        <f>IFERROR(IF(OR(NOT(ISNUMBER('Price History'!B23)),NOT(ISNUMBER('Price History'!B22)),'Price History'!B22=0),"",'Price History'!B23/'Price History'!B22-1),"")</f>
        <v>3.3928949554509646E-2</v>
      </c>
      <c r="C22" s="141">
        <f>IFERROR(IF(OR(NOT(ISNUMBER('Price History'!C23)),NOT(ISNUMBER('Price History'!C22)),'Price History'!C22=0),"",'Price History'!C23/'Price History'!C22-1),"")</f>
        <v>3.2980332829046999E-2</v>
      </c>
      <c r="D22" s="141">
        <f>IFERROR(IF(OR(NOT(ISNUMBER('Price History'!D23)),NOT(ISNUMBER('Price History'!D22)),'Price History'!D22=0),"",'Price History'!D23/'Price History'!D22-1),"")</f>
        <v>2.6407890550429469E-2</v>
      </c>
      <c r="E22" s="141">
        <f>IFERROR(IF(OR(NOT(ISNUMBER('Price History'!E23)),NOT(ISNUMBER('Price History'!E22)),'Price History'!E22=0),"",'Price History'!E23/'Price History'!E22-1),"")</f>
        <v>1.6129032258064502E-2</v>
      </c>
      <c r="F22" s="141">
        <f>IFERROR(IF(OR(NOT(ISNUMBER('Price History'!F23)),NOT(ISNUMBER('Price History'!F22)),'Price History'!F22=0),"",'Price History'!F23/'Price History'!F22-1),"")</f>
        <v>4.5604849820887416E-2</v>
      </c>
      <c r="G22" s="141">
        <f>IFERROR(IF(OR(NOT(ISNUMBER('Price History'!G23)),NOT(ISNUMBER('Price History'!G22)),'Price History'!G22=0),"",'Price History'!G23/'Price History'!G22-1),"")</f>
        <v>8.1785653433295025E-3</v>
      </c>
      <c r="H22" s="141">
        <f>IFERROR(IF(OR(NOT(ISNUMBER('Price History'!H23)),NOT(ISNUMBER('Price History'!H22)),'Price History'!H22=0),"",'Price History'!H23/'Price History'!H22-1),"")</f>
        <v>-1.7861231967025493E-2</v>
      </c>
      <c r="I22" s="141">
        <f>IFERROR(IF(OR(NOT(ISNUMBER('Price History'!I23)),NOT(ISNUMBER('Price History'!I22)),'Price History'!I22=0),"",'Price History'!I23/'Price History'!I22-1),"")</f>
        <v>8.4141331142152831E-2</v>
      </c>
      <c r="J22" s="141">
        <f>IFERROR(IF(OR(NOT(ISNUMBER('Price History'!J23)),NOT(ISNUMBER('Price History'!J22)),'Price History'!J22=0),"",'Price History'!J23/'Price History'!J22-1),"")</f>
        <v>1.8718192012421087E-2</v>
      </c>
      <c r="K22" s="141">
        <f>IFERROR(IF(OR(NOT(ISNUMBER('Price History'!K23)),NOT(ISNUMBER('Price History'!K22)),'Price History'!K22=0),"",'Price History'!K23/'Price History'!K22-1),"")</f>
        <v>4.0978593272171127E-2</v>
      </c>
      <c r="L22" s="141">
        <f>IFERROR(IF(OR(NOT(ISNUMBER('Price History'!L23)),NOT(ISNUMBER('Price History'!L22)),'Price History'!L22=0),"",'Price History'!L23/'Price History'!L22-1),"")</f>
        <v>-1.2897526501766898E-2</v>
      </c>
      <c r="M22" s="141">
        <f>IFERROR(IF(OR(NOT(ISNUMBER('Price History'!M23)),NOT(ISNUMBER('Price History'!M22)),'Price History'!M22=0),"",'Price History'!M23/'Price History'!M22-1),"")</f>
        <v>0.14996246246246248</v>
      </c>
      <c r="N22" s="141">
        <f>IFERROR(IF(OR(NOT(ISNUMBER('Price History'!N23)),NOT(ISNUMBER('Price History'!N22)),'Price History'!N22=0),"",'Price History'!N23/'Price History'!N22-1),"")</f>
        <v>-1.2762396261942976E-2</v>
      </c>
      <c r="O22" s="141">
        <f>IFERROR(IF(OR(NOT(ISNUMBER('Price History'!O23)),NOT(ISNUMBER('Price History'!O22)),'Price History'!O22=0),"",'Price History'!O23/'Price History'!O22-1),"")</f>
        <v>-1.869268751469555E-2</v>
      </c>
      <c r="P22" s="141">
        <f>IFERROR(IF(OR(NOT(ISNUMBER('Price History'!P23)),NOT(ISNUMBER('Price History'!P22)),'Price History'!P22=0),"",'Price History'!P23/'Price History'!P22-1),"")</f>
        <v>-1.2858088304812276E-2</v>
      </c>
      <c r="Q22" s="141">
        <f>IFERROR(IF(OR(NOT(ISNUMBER('Price History'!Q23)),NOT(ISNUMBER('Price History'!Q22)),'Price History'!Q22=0),"",'Price History'!Q23/'Price History'!Q22-1),"")</f>
        <v>1.41750141750141E-2</v>
      </c>
      <c r="R22" s="141">
        <f>IFERROR(IF(OR(NOT(ISNUMBER('Price History'!R23)),NOT(ISNUMBER('Price History'!R22)),'Price History'!R22=0),"",'Price History'!R23/'Price History'!R22-1),"")</f>
        <v>9.650495565988404E-3</v>
      </c>
      <c r="S22" s="141">
        <f>IFERROR(IF(OR(NOT(ISNUMBER('Price History'!S23)),NOT(ISNUMBER('Price History'!S22)),'Price History'!S22=0),"",'Price History'!S23/'Price History'!S22-1),"")</f>
        <v>4.5708406819517933E-2</v>
      </c>
      <c r="T22" s="141">
        <f>IFERROR(IF(OR(NOT(ISNUMBER('Price History'!T23)),NOT(ISNUMBER('Price History'!T22)),'Price History'!T22=0),"",'Price History'!T23/'Price History'!T22-1),"")</f>
        <v>9.5412844036697475E-3</v>
      </c>
      <c r="U22" s="141">
        <f>IFERROR(IF(OR(NOT(ISNUMBER('Price History'!U23)),NOT(ISNUMBER('Price History'!U22)),'Price History'!U22=0),"",'Price History'!U23/'Price History'!U22-1),"")</f>
        <v>-4.3010752688177334E-4</v>
      </c>
      <c r="V22" s="142">
        <f>IFERROR(IF(OR(NOT(ISNUMBER('Price History'!V23)),NOT(ISNUMBER('Price History'!V22)),'Price History'!V22=0),"",'Price History'!V23/'Price History'!V22-1),"")</f>
        <v>3.4481444791587323E-2</v>
      </c>
      <c r="W22" s="143">
        <f>IFERROR('Price History'!B3+(INDEX('Price History'!B:B,MATCH(9.99E+307,'Returns (Calc)'!$A:$A)+1)-'Price History'!B3)*(ROW()-3)/(MATCH(9.99E+307,'Returns (Calc)'!$A:$A)-3),"")</f>
        <v>493.87227848101264</v>
      </c>
      <c r="X22" s="143">
        <f>IFERROR('Price History'!C3+(INDEX('Price History'!C:C,MATCH(9.99E+307,'Returns (Calc)'!$A:$A)+1)-'Price History'!C3)*(ROW()-3)/(MATCH(9.99E+307,'Returns (Calc)'!$A:$A)-3),"")</f>
        <v>65.561202531645563</v>
      </c>
      <c r="Y22" s="143">
        <f>IFERROR('Price History'!D3+(INDEX('Price History'!D:D,MATCH(9.99E+307,'Returns (Calc)'!$A:$A)+1)-'Price History'!D3)*(ROW()-3)/(MATCH(9.99E+307,'Returns (Calc)'!$A:$A)-3),"")</f>
        <v>736.57139240506331</v>
      </c>
      <c r="Z22" s="143">
        <f>IFERROR('Price History'!E3+(INDEX('Price History'!E:E,MATCH(9.99E+307,'Returns (Calc)'!$A:$A)+1)-'Price History'!E3)*(ROW()-3)/(MATCH(9.99E+307,'Returns (Calc)'!$A:$A)-3),"")</f>
        <v>114.84594936708861</v>
      </c>
      <c r="AA22" s="143">
        <f>IFERROR('Price History'!F3+(INDEX('Price History'!F:F,MATCH(9.99E+307,'Returns (Calc)'!$A:$A)+1)-'Price History'!F3)*(ROW()-3)/(MATCH(9.99E+307,'Returns (Calc)'!$A:$A)-3),"")</f>
        <v>68.859493670886081</v>
      </c>
      <c r="AB22" s="143">
        <f>IFERROR('Price History'!G3+(INDEX('Price History'!G:G,MATCH(9.99E+307,'Returns (Calc)'!$A:$A)+1)-'Price History'!G3)*(ROW()-3)/(MATCH(9.99E+307,'Returns (Calc)'!$A:$A)-3),"")</f>
        <v>63.895949367088605</v>
      </c>
      <c r="AC22" s="143">
        <f>IFERROR('Price History'!H3+(INDEX('Price History'!H:H,MATCH(9.99E+307,'Returns (Calc)'!$A:$A)+1)-'Price History'!H3)*(ROW()-3)/(MATCH(9.99E+307,'Returns (Calc)'!$A:$A)-3),"")</f>
        <v>190.0582278481013</v>
      </c>
      <c r="AD22" s="143">
        <f>IFERROR('Price History'!I3+(INDEX('Price History'!I:I,MATCH(9.99E+307,'Returns (Calc)'!$A:$A)+1)-'Price History'!I3)*(ROW()-3)/(MATCH(9.99E+307,'Returns (Calc)'!$A:$A)-3),"")</f>
        <v>66.639746835443034</v>
      </c>
      <c r="AE22" s="143">
        <f>IFERROR('Price History'!J3+(INDEX('Price History'!J:J,MATCH(9.99E+307,'Returns (Calc)'!$A:$A)+1)-'Price History'!J3)*(ROW()-3)/(MATCH(9.99E+307,'Returns (Calc)'!$A:$A)-3),"")</f>
        <v>113.89272151898734</v>
      </c>
      <c r="AF22" s="143">
        <f>IFERROR('Price History'!K3+(INDEX('Price History'!K:K,MATCH(9.99E+307,'Returns (Calc)'!$A:$A)+1)-'Price History'!K3)*(ROW()-3)/(MATCH(9.99E+307,'Returns (Calc)'!$A:$A)-3),"")</f>
        <v>36.184303797468353</v>
      </c>
      <c r="AG22" s="143">
        <f>IFERROR('Price History'!L3+(INDEX('Price History'!L:L,MATCH(9.99E+307,'Returns (Calc)'!$A:$A)+1)-'Price History'!L3)*(ROW()-3)/(MATCH(9.99E+307,'Returns (Calc)'!$A:$A)-3),"")</f>
        <v>132.291582278481</v>
      </c>
      <c r="AH22" s="143">
        <f>IFERROR('Price History'!M3+(INDEX('Price History'!M:M,MATCH(9.99E+307,'Returns (Calc)'!$A:$A)+1)-'Price History'!M3)*(ROW()-3)/(MATCH(9.99E+307,'Returns (Calc)'!$A:$A)-3),"")</f>
        <v>63.773417721518989</v>
      </c>
      <c r="AI22" s="143">
        <f>IFERROR('Price History'!N3+(INDEX('Price History'!N:N,MATCH(9.99E+307,'Returns (Calc)'!$A:$A)+1)-'Price History'!N3)*(ROW()-3)/(MATCH(9.99E+307,'Returns (Calc)'!$A:$A)-3),"")</f>
        <v>367.63905063291139</v>
      </c>
      <c r="AJ22" s="143">
        <f>IFERROR('Price History'!O3+(INDEX('Price History'!O:O,MATCH(9.99E+307,'Returns (Calc)'!$A:$A)+1)-'Price History'!O3)*(ROW()-3)/(MATCH(9.99E+307,'Returns (Calc)'!$A:$A)-3),"")</f>
        <v>80.687721518987345</v>
      </c>
      <c r="AK22" s="143">
        <f>IFERROR('Price History'!Q3+(INDEX('Price History'!Q:Q,MATCH(9.99E+307,'Returns (Calc)'!$A:$A)+1)-'Price History'!Q3)*(ROW()-3)/(MATCH(9.99E+307,'Returns (Calc)'!$A:$A)-3),"")</f>
        <v>8.3479746835443045</v>
      </c>
      <c r="AL22" s="143">
        <f>IFERROR('Price History'!R3+(INDEX('Price History'!R:R,MATCH(9.99E+307,'Returns (Calc)'!$A:$A)+1)-'Price History'!R3)*(ROW()-3)/(MATCH(9.99E+307,'Returns (Calc)'!$A:$A)-3),"")</f>
        <v>37.673924050632905</v>
      </c>
      <c r="AM22" s="143">
        <f>IFERROR('Price History'!S3+(INDEX('Price History'!S:S,MATCH(9.99E+307,'Returns (Calc)'!$A:$A)+1)-'Price History'!S3)*(ROW()-3)/(MATCH(9.99E+307,'Returns (Calc)'!$A:$A)-3),"")</f>
        <v>69.126202531645575</v>
      </c>
      <c r="AN22" s="143">
        <f>IFERROR('Price History'!T3+(INDEX('Price History'!T:T,MATCH(9.99E+307,'Returns (Calc)'!$A:$A)+1)-'Price History'!T3)*(ROW()-3)/(MATCH(9.99E+307,'Returns (Calc)'!$A:$A)-3),"")</f>
        <v>28.436329113924049</v>
      </c>
      <c r="AO22" s="144">
        <f>IFERROR('Price History'!V3+(INDEX('Price History'!V:V,MATCH(9.99E+307,'Returns (Calc)'!$A:$A)+1)-'Price History'!V3)*(ROW()-3)/(MATCH(9.99E+307,'Returns (Calc)'!$A:$A)-3),"")</f>
        <v>250.66525316455696</v>
      </c>
      <c r="AP22" s="142">
        <f>IFERROR(IF(OR(NOT(ISNUMBER('Price History'!W23)),NOT(ISNUMBER('Price History'!W22)),'Price History'!W22=0),"",'Price History'!W23/'Price History'!W22-1),"")</f>
        <v>1.2362114872574992E-3</v>
      </c>
      <c r="AQ22" s="142" t="str">
        <f>IFERROR(IF(OR(NOT(ISNUMBER('Price History'!X23)),NOT(ISNUMBER('Price History'!X22)),'Price History'!X22=0),"",'Price History'!X23/'Price History'!X22-1),"")</f>
        <v/>
      </c>
      <c r="AR22" s="142">
        <f>IFERROR(IF(OR(NOT(ISNUMBER('Price History'!Y23)),NOT(ISNUMBER('Price History'!Y22)),'Price History'!Y22=0),"",'Price History'!Y23/'Price History'!Y22-1),"")</f>
        <v>9.9822537710736459E-3</v>
      </c>
      <c r="AS22" s="142">
        <f>IFERROR(IF(OR(NOT(ISNUMBER('Price History'!Z23)),NOT(ISNUMBER('Price History'!Z22)),'Price History'!Z22=0),"",'Price History'!Z23/'Price History'!Z22-1),"")</f>
        <v>4.0717401841977585E-2</v>
      </c>
      <c r="AT22" s="142">
        <f>IFERROR(IF(OR(NOT(ISNUMBER('Price History'!AA23)),NOT(ISNUMBER('Price History'!AA22)),'Price History'!AA22=0),"",'Price History'!AA23/'Price History'!AA22-1),"")</f>
        <v>-1.0168302945301466E-2</v>
      </c>
    </row>
    <row r="23" spans="1:46" ht="15" customHeight="1" x14ac:dyDescent="0.35">
      <c r="A23" s="140">
        <f>IF('Price History'!A24="","",'Price History'!A24)</f>
        <v>45331</v>
      </c>
      <c r="B23" s="141">
        <f>IFERROR(IF(OR(NOT(ISNUMBER('Price History'!B24)),NOT(ISNUMBER('Price History'!B23)),'Price History'!B23=0),"",'Price History'!B24/'Price History'!B23-1),"")</f>
        <v>-1.1894259247589578E-2</v>
      </c>
      <c r="C23" s="141">
        <f>IFERROR(IF(OR(NOT(ISNUMBER('Price History'!C24)),NOT(ISNUMBER('Price History'!C23)),'Price History'!C23=0),"",'Price History'!C24/'Price History'!C23-1),"")</f>
        <v>3.4124194493263094E-2</v>
      </c>
      <c r="D23" s="141">
        <f>IFERROR(IF(OR(NOT(ISNUMBER('Price History'!D24)),NOT(ISNUMBER('Price History'!D23)),'Price History'!D23=0),"",'Price History'!D24/'Price History'!D23-1),"")</f>
        <v>6.8046657941264188E-2</v>
      </c>
      <c r="E23" s="141">
        <f>IFERROR(IF(OR(NOT(ISNUMBER('Price History'!E24)),NOT(ISNUMBER('Price History'!E23)),'Price History'!E23=0),"",'Price History'!E24/'Price History'!E23-1),"")</f>
        <v>4.8290921306794354E-2</v>
      </c>
      <c r="F23" s="141">
        <f>IFERROR(IF(OR(NOT(ISNUMBER('Price History'!F24)),NOT(ISNUMBER('Price History'!F23)),'Price History'!F23=0),"",'Price History'!F24/'Price History'!F23-1),"")</f>
        <v>8.485966530504685E-2</v>
      </c>
      <c r="G23" s="141">
        <f>IFERROR(IF(OR(NOT(ISNUMBER('Price History'!G24)),NOT(ISNUMBER('Price History'!G23)),'Price History'!G23=0),"",'Price History'!G24/'Price History'!G23-1),"")</f>
        <v>7.5376035152949106E-2</v>
      </c>
      <c r="H23" s="141">
        <f>IFERROR(IF(OR(NOT(ISNUMBER('Price History'!H24)),NOT(ISNUMBER('Price History'!H23)),'Price History'!H23=0),"",'Price History'!H24/'Price History'!H23-1),"")</f>
        <v>-1.0608533457682423E-2</v>
      </c>
      <c r="I23" s="141">
        <f>IFERROR(IF(OR(NOT(ISNUMBER('Price History'!I24)),NOT(ISNUMBER('Price History'!I23)),'Price History'!I23=0),"",'Price History'!I24/'Price History'!I23-1),"")</f>
        <v>9.0192511747764215E-2</v>
      </c>
      <c r="J23" s="141">
        <f>IFERROR(IF(OR(NOT(ISNUMBER('Price History'!J24)),NOT(ISNUMBER('Price History'!J23)),'Price History'!J23=0),"",'Price History'!J24/'Price History'!J23-1),"")</f>
        <v>2.4978831498729814E-2</v>
      </c>
      <c r="K23" s="141">
        <f>IFERROR(IF(OR(NOT(ISNUMBER('Price History'!K24)),NOT(ISNUMBER('Price History'!K23)),'Price History'!K23=0),"",'Price History'!K24/'Price History'!K23-1),"")</f>
        <v>0.43243243243243246</v>
      </c>
      <c r="L23" s="141">
        <f>IFERROR(IF(OR(NOT(ISNUMBER('Price History'!L24)),NOT(ISNUMBER('Price History'!L23)),'Price History'!L23=0),"",'Price History'!L24/'Price History'!L23-1),"")</f>
        <v>0.14999105065330243</v>
      </c>
      <c r="M23" s="141">
        <f>IFERROR(IF(OR(NOT(ISNUMBER('Price History'!M24)),NOT(ISNUMBER('Price History'!M23)),'Price History'!M23=0),"",'Price History'!M24/'Price History'!M23-1),"")</f>
        <v>3.3295250530439136E-2</v>
      </c>
      <c r="N23" s="141">
        <f>IFERROR(IF(OR(NOT(ISNUMBER('Price History'!N24)),NOT(ISNUMBER('Price History'!N23)),'Price History'!N23=0),"",'Price History'!N24/'Price History'!N23-1),"")</f>
        <v>-4.1678440237354897E-3</v>
      </c>
      <c r="O23" s="141">
        <f>IFERROR(IF(OR(NOT(ISNUMBER('Price History'!O24)),NOT(ISNUMBER('Price History'!O23)),'Price History'!O23=0),"",'Price History'!O24/'Price History'!O23-1),"")</f>
        <v>8.9852641667664823E-3</v>
      </c>
      <c r="P23" s="141">
        <f>IFERROR(IF(OR(NOT(ISNUMBER('Price History'!P24)),NOT(ISNUMBER('Price History'!P23)),'Price History'!P23=0),"",'Price History'!P24/'Price History'!P23-1),"")</f>
        <v>-8.9071927976246412E-3</v>
      </c>
      <c r="Q23" s="141">
        <f>IFERROR(IF(OR(NOT(ISNUMBER('Price History'!Q24)),NOT(ISNUMBER('Price History'!Q23)),'Price History'!Q23=0),"",'Price History'!Q24/'Price History'!Q23-1),"")</f>
        <v>4.2862467387254632E-3</v>
      </c>
      <c r="R23" s="141">
        <f>IFERROR(IF(OR(NOT(ISNUMBER('Price History'!R24)),NOT(ISNUMBER('Price History'!R23)),'Price History'!R23=0),"",'Price History'!R24/'Price History'!R23-1),"")</f>
        <v>1.0591578403513324E-2</v>
      </c>
      <c r="S23" s="141">
        <f>IFERROR(IF(OR(NOT(ISNUMBER('Price History'!S24)),NOT(ISNUMBER('Price History'!S23)),'Price History'!S23=0),"",'Price History'!S24/'Price History'!S23-1),"")</f>
        <v>2.3893183415319541E-2</v>
      </c>
      <c r="T23" s="141">
        <f>IFERROR(IF(OR(NOT(ISNUMBER('Price History'!T24)),NOT(ISNUMBER('Price History'!T23)),'Price History'!T23=0),"",'Price History'!T24/'Price History'!T23-1),"")</f>
        <v>5.0890585241729624E-3</v>
      </c>
      <c r="U23" s="141">
        <f>IFERROR(IF(OR(NOT(ISNUMBER('Price History'!U24)),NOT(ISNUMBER('Price History'!U23)),'Price History'!U23=0),"",'Price History'!U24/'Price History'!U23-1),"")</f>
        <v>-2.5817555938036918E-3</v>
      </c>
      <c r="V23" s="142">
        <f>IFERROR(IF(OR(NOT(ISNUMBER('Price History'!V24)),NOT(ISNUMBER('Price History'!V23)),'Price History'!V23=0),"",'Price History'!V24/'Price History'!V23-1),"")</f>
        <v>-8.4711428676664813E-4</v>
      </c>
      <c r="W23" s="143">
        <f>IFERROR('Price History'!B3+(INDEX('Price History'!B:B,MATCH(9.99E+307,'Returns (Calc)'!$A:$A)+1)-'Price History'!B3)*(ROW()-3)/(MATCH(9.99E+307,'Returns (Calc)'!$A:$A)-3),"")</f>
        <v>492.02924050632907</v>
      </c>
      <c r="X23" s="143">
        <f>IFERROR('Price History'!C3+(INDEX('Price History'!C:C,MATCH(9.99E+307,'Returns (Calc)'!$A:$A)+1)-'Price History'!C3)*(ROW()-3)/(MATCH(9.99E+307,'Returns (Calc)'!$A:$A)-3),"")</f>
        <v>66.581265822784815</v>
      </c>
      <c r="Y23" s="143">
        <f>IFERROR('Price History'!D3+(INDEX('Price History'!D:D,MATCH(9.99E+307,'Returns (Calc)'!$A:$A)+1)-'Price History'!D3)*(ROW()-3)/(MATCH(9.99E+307,'Returns (Calc)'!$A:$A)-3),"")</f>
        <v>744.70620253164554</v>
      </c>
      <c r="Z23" s="143">
        <f>IFERROR('Price History'!E3+(INDEX('Price History'!E:E,MATCH(9.99E+307,'Returns (Calc)'!$A:$A)+1)-'Price History'!E3)*(ROW()-3)/(MATCH(9.99E+307,'Returns (Calc)'!$A:$A)-3),"")</f>
        <v>116.5746835443038</v>
      </c>
      <c r="AA23" s="143">
        <f>IFERROR('Price History'!F3+(INDEX('Price History'!F:F,MATCH(9.99E+307,'Returns (Calc)'!$A:$A)+1)-'Price History'!F3)*(ROW()-3)/(MATCH(9.99E+307,'Returns (Calc)'!$A:$A)-3),"")</f>
        <v>70.306835443037983</v>
      </c>
      <c r="AB23" s="143">
        <f>IFERROR('Price History'!G3+(INDEX('Price History'!G:G,MATCH(9.99E+307,'Returns (Calc)'!$A:$A)+1)-'Price History'!G3)*(ROW()-3)/(MATCH(9.99E+307,'Returns (Calc)'!$A:$A)-3),"")</f>
        <v>64.924683544303804</v>
      </c>
      <c r="AC23" s="143">
        <f>IFERROR('Price History'!H3+(INDEX('Price History'!H:H,MATCH(9.99E+307,'Returns (Calc)'!$A:$A)+1)-'Price History'!H3)*(ROW()-3)/(MATCH(9.99E+307,'Returns (Calc)'!$A:$A)-3),"")</f>
        <v>196.42392405063293</v>
      </c>
      <c r="AD23" s="143">
        <f>IFERROR('Price History'!I3+(INDEX('Price History'!I:I,MATCH(9.99E+307,'Returns (Calc)'!$A:$A)+1)-'Price History'!I3)*(ROW()-3)/(MATCH(9.99E+307,'Returns (Calc)'!$A:$A)-3),"")</f>
        <v>67.843417721518989</v>
      </c>
      <c r="AE23" s="143">
        <f>IFERROR('Price History'!J3+(INDEX('Price History'!J:J,MATCH(9.99E+307,'Returns (Calc)'!$A:$A)+1)-'Price History'!J3)*(ROW()-3)/(MATCH(9.99E+307,'Returns (Calc)'!$A:$A)-3),"")</f>
        <v>114.00075949367088</v>
      </c>
      <c r="AF23" s="143">
        <f>IFERROR('Price History'!K3+(INDEX('Price History'!K:K,MATCH(9.99E+307,'Returns (Calc)'!$A:$A)+1)-'Price History'!K3)*(ROW()-3)/(MATCH(9.99E+307,'Returns (Calc)'!$A:$A)-3),"")</f>
        <v>37.281898734177211</v>
      </c>
      <c r="AG23" s="143">
        <f>IFERROR('Price History'!L3+(INDEX('Price History'!L:L,MATCH(9.99E+307,'Returns (Calc)'!$A:$A)+1)-'Price History'!L3)*(ROW()-3)/(MATCH(9.99E+307,'Returns (Calc)'!$A:$A)-3),"")</f>
        <v>134.74113924050633</v>
      </c>
      <c r="AH23" s="143">
        <f>IFERROR('Price History'!M3+(INDEX('Price History'!M:M,MATCH(9.99E+307,'Returns (Calc)'!$A:$A)+1)-'Price History'!M3)*(ROW()-3)/(MATCH(9.99E+307,'Returns (Calc)'!$A:$A)-3),"")</f>
        <v>65.128860759493676</v>
      </c>
      <c r="AI23" s="143">
        <f>IFERROR('Price History'!N3+(INDEX('Price History'!N:N,MATCH(9.99E+307,'Returns (Calc)'!$A:$A)+1)-'Price History'!N3)*(ROW()-3)/(MATCH(9.99E+307,'Returns (Calc)'!$A:$A)-3),"")</f>
        <v>368.62531645569618</v>
      </c>
      <c r="AJ23" s="143">
        <f>IFERROR('Price History'!O3+(INDEX('Price History'!O:O,MATCH(9.99E+307,'Returns (Calc)'!$A:$A)+1)-'Price History'!O3)*(ROW()-3)/(MATCH(9.99E+307,'Returns (Calc)'!$A:$A)-3),"")</f>
        <v>80.970759493670883</v>
      </c>
      <c r="AK23" s="143">
        <f>IFERROR('Price History'!Q3+(INDEX('Price History'!Q:Q,MATCH(9.99E+307,'Returns (Calc)'!$A:$A)+1)-'Price History'!Q3)*(ROW()-3)/(MATCH(9.99E+307,'Returns (Calc)'!$A:$A)-3),"")</f>
        <v>8.7873417721518994</v>
      </c>
      <c r="AL23" s="143">
        <f>IFERROR('Price History'!R3+(INDEX('Price History'!R:R,MATCH(9.99E+307,'Returns (Calc)'!$A:$A)+1)-'Price History'!R3)*(ROW()-3)/(MATCH(9.99E+307,'Returns (Calc)'!$A:$A)-3),"")</f>
        <v>37.84202531645569</v>
      </c>
      <c r="AM23" s="143">
        <f>IFERROR('Price History'!S3+(INDEX('Price History'!S:S,MATCH(9.99E+307,'Returns (Calc)'!$A:$A)+1)-'Price History'!S3)*(ROW()-3)/(MATCH(9.99E+307,'Returns (Calc)'!$A:$A)-3),"")</f>
        <v>69.73126582278482</v>
      </c>
      <c r="AN23" s="143">
        <f>IFERROR('Price History'!T3+(INDEX('Price History'!T:T,MATCH(9.99E+307,'Returns (Calc)'!$A:$A)+1)-'Price History'!T3)*(ROW()-3)/(MATCH(9.99E+307,'Returns (Calc)'!$A:$A)-3),"")</f>
        <v>28.604556962025313</v>
      </c>
      <c r="AO23" s="144">
        <f>IFERROR('Price History'!V3+(INDEX('Price History'!V:V,MATCH(9.99E+307,'Returns (Calc)'!$A:$A)+1)-'Price History'!V3)*(ROW()-3)/(MATCH(9.99E+307,'Returns (Calc)'!$A:$A)-3),"")</f>
        <v>251.45658227848102</v>
      </c>
      <c r="AP23" s="142">
        <f>IFERROR(IF(OR(NOT(ISNUMBER('Price History'!W24)),NOT(ISNUMBER('Price History'!W23)),'Price History'!W23=0),"",'Price History'!W24/'Price History'!W23-1),"")</f>
        <v>-2.184442967043454E-3</v>
      </c>
      <c r="AQ23" s="142" t="str">
        <f>IFERROR(IF(OR(NOT(ISNUMBER('Price History'!X24)),NOT(ISNUMBER('Price History'!X23)),'Price History'!X23=0),"",'Price History'!X24/'Price History'!X23-1),"")</f>
        <v/>
      </c>
      <c r="AR23" s="142">
        <f>IFERROR(IF(OR(NOT(ISNUMBER('Price History'!Y24)),NOT(ISNUMBER('Price History'!Y23)),'Price History'!Y23=0),"",'Price History'!Y24/'Price History'!Y23-1),"")</f>
        <v>-6.5890621568198693E-4</v>
      </c>
      <c r="AS23" s="142">
        <f>IFERROR(IF(OR(NOT(ISNUMBER('Price History'!Z24)),NOT(ISNUMBER('Price History'!Z23)),'Price History'!Z23=0),"",'Price History'!Z24/'Price History'!Z23-1),"")</f>
        <v>2.012109920819749E-2</v>
      </c>
      <c r="AT23" s="142">
        <f>IFERROR(IF(OR(NOT(ISNUMBER('Price History'!AA24)),NOT(ISNUMBER('Price History'!AA23)),'Price History'!AA23=0),"",'Price History'!AA24/'Price History'!AA23-1),"")</f>
        <v>-5.8448459086077875E-3</v>
      </c>
    </row>
    <row r="24" spans="1:46" ht="15" customHeight="1" x14ac:dyDescent="0.35">
      <c r="A24" s="140">
        <f>IF('Price History'!A25="","",'Price History'!A25)</f>
        <v>45338</v>
      </c>
      <c r="B24" s="141">
        <f>IFERROR(IF(OR(NOT(ISNUMBER('Price History'!B25)),NOT(ISNUMBER('Price History'!B24)),'Price History'!B24=0),"",'Price History'!B25/'Price History'!B24-1),"")</f>
        <v>-0.12842588606686767</v>
      </c>
      <c r="C24" s="141">
        <f>IFERROR(IF(OR(NOT(ISNUMBER('Price History'!C25)),NOT(ISNUMBER('Price History'!C24)),'Price History'!C24=0),"",'Price History'!C25/'Price History'!C24-1),"")</f>
        <v>-7.3219090780342722E-2</v>
      </c>
      <c r="D24" s="141">
        <f>IFERROR(IF(OR(NOT(ISNUMBER('Price History'!D25)),NOT(ISNUMBER('Price History'!D24)),'Price History'!D24=0),"",'Price History'!D25/'Price History'!D24-1),"")</f>
        <v>-2.1756656526459528E-2</v>
      </c>
      <c r="E24" s="141">
        <f>IFERROR(IF(OR(NOT(ISNUMBER('Price History'!E25)),NOT(ISNUMBER('Price History'!E24)),'Price History'!E24=0),"",'Price History'!E25/'Price History'!E24-1),"")</f>
        <v>-2.9642685467072494E-2</v>
      </c>
      <c r="F24" s="141">
        <f>IFERROR(IF(OR(NOT(ISNUMBER('Price History'!F25)),NOT(ISNUMBER('Price History'!F24)),'Price History'!F24=0),"",'Price History'!F25/'Price History'!F24-1),"")</f>
        <v>-2.4292481476972938E-4</v>
      </c>
      <c r="G24" s="141">
        <f>IFERROR(IF(OR(NOT(ISNUMBER('Price History'!G25)),NOT(ISNUMBER('Price History'!G24)),'Price History'!G24=0),"",'Price History'!G25/'Price History'!G24-1),"")</f>
        <v>1.9959138771020069E-2</v>
      </c>
      <c r="H24" s="141">
        <f>IFERROR(IF(OR(NOT(ISNUMBER('Price History'!H25)),NOT(ISNUMBER('Price History'!H24)),'Price History'!H24=0),"",'Price History'!H25/'Price History'!H24-1),"")</f>
        <v>-7.0814186402733625E-2</v>
      </c>
      <c r="I24" s="141">
        <f>IFERROR(IF(OR(NOT(ISNUMBER('Price History'!I25)),NOT(ISNUMBER('Price History'!I24)),'Price History'!I24=0),"",'Price History'!I25/'Price History'!I24-1),"")</f>
        <v>6.6740823136819394E-3</v>
      </c>
      <c r="J24" s="141">
        <f>IFERROR(IF(OR(NOT(ISNUMBER('Price History'!J25)),NOT(ISNUMBER('Price History'!J24)),'Price History'!J24=0),"",'Price History'!J25/'Price History'!J24-1),"")</f>
        <v>6.8566707971913221E-3</v>
      </c>
      <c r="K24" s="141">
        <f>IFERROR(IF(OR(NOT(ISNUMBER('Price History'!K25)),NOT(ISNUMBER('Price History'!K24)),'Price History'!K24=0),"",'Price History'!K25/'Price History'!K24-1),"")</f>
        <v>2.4610336341264194E-3</v>
      </c>
      <c r="L24" s="141">
        <f>IFERROR(IF(OR(NOT(ISNUMBER('Price History'!L25)),NOT(ISNUMBER('Price History'!L24)),'Price History'!L24=0),"",'Price History'!L25/'Price History'!L24-1),"")</f>
        <v>-4.8249027237354136E-2</v>
      </c>
      <c r="M24" s="141">
        <f>IFERROR(IF(OR(NOT(ISNUMBER('Price History'!M25)),NOT(ISNUMBER('Price History'!M24)),'Price History'!M24=0),"",'Price History'!M25/'Price History'!M24-1),"")</f>
        <v>-8.6874111514769758E-3</v>
      </c>
      <c r="N24" s="141">
        <f>IFERROR(IF(OR(NOT(ISNUMBER('Price History'!N25)),NOT(ISNUMBER('Price History'!N24)),'Price History'!N24=0),"",'Price History'!N25/'Price History'!N24-1),"")</f>
        <v>-1.6788441985293723E-3</v>
      </c>
      <c r="O24" s="141">
        <f>IFERROR(IF(OR(NOT(ISNUMBER('Price History'!O25)),NOT(ISNUMBER('Price History'!O24)),'Price History'!O24=0),"",'Price History'!O25/'Price History'!O24-1),"")</f>
        <v>7.1241985276655484E-3</v>
      </c>
      <c r="P24" s="141">
        <f>IFERROR(IF(OR(NOT(ISNUMBER('Price History'!P25)),NOT(ISNUMBER('Price History'!P24)),'Price History'!P24=0),"",'Price History'!P25/'Price History'!P24-1),"")</f>
        <v>1.1693080788558019E-2</v>
      </c>
      <c r="Q24" s="141">
        <f>IFERROR(IF(OR(NOT(ISNUMBER('Price History'!Q25)),NOT(ISNUMBER('Price History'!Q24)),'Price History'!Q24=0),"",'Price History'!Q25/'Price History'!Q24-1),"")</f>
        <v>-5.5668955279272181E-3</v>
      </c>
      <c r="R24" s="141">
        <f>IFERROR(IF(OR(NOT(ISNUMBER('Price History'!R25)),NOT(ISNUMBER('Price History'!R24)),'Price History'!R24=0),"",'Price History'!R25/'Price History'!R24-1),"")</f>
        <v>-3.323108384457929E-3</v>
      </c>
      <c r="S24" s="141">
        <f>IFERROR(IF(OR(NOT(ISNUMBER('Price History'!S25)),NOT(ISNUMBER('Price History'!S24)),'Price History'!S24=0),"",'Price History'!S25/'Price History'!S24-1),"")</f>
        <v>8.3733699382291249E-3</v>
      </c>
      <c r="T24" s="141">
        <f>IFERROR(IF(OR(NOT(ISNUMBER('Price History'!T25)),NOT(ISNUMBER('Price History'!T24)),'Price History'!T24=0),"",'Price History'!T25/'Price History'!T24-1),"")</f>
        <v>8.3182640144665587E-3</v>
      </c>
      <c r="U24" s="141">
        <f>IFERROR(IF(OR(NOT(ISNUMBER('Price History'!U25)),NOT(ISNUMBER('Price History'!U24)),'Price History'!U24=0),"",'Price History'!U25/'Price History'!U24-1),"")</f>
        <v>2.5884383088869978E-3</v>
      </c>
      <c r="V24" s="142">
        <f>IFERROR(IF(OR(NOT(ISNUMBER('Price History'!V25)),NOT(ISNUMBER('Price History'!V24)),'Price History'!V24=0),"",'Price History'!V25/'Price History'!V24-1),"")</f>
        <v>7.7042170451195879E-3</v>
      </c>
      <c r="W24" s="143">
        <f>IFERROR('Price History'!B3+(INDEX('Price History'!B:B,MATCH(9.99E+307,'Returns (Calc)'!$A:$A)+1)-'Price History'!B3)*(ROW()-3)/(MATCH(9.99E+307,'Returns (Calc)'!$A:$A)-3),"")</f>
        <v>490.18620253164556</v>
      </c>
      <c r="X24" s="143">
        <f>IFERROR('Price History'!C3+(INDEX('Price History'!C:C,MATCH(9.99E+307,'Returns (Calc)'!$A:$A)+1)-'Price History'!C3)*(ROW()-3)/(MATCH(9.99E+307,'Returns (Calc)'!$A:$A)-3),"")</f>
        <v>67.601329113924052</v>
      </c>
      <c r="Y24" s="143">
        <f>IFERROR('Price History'!D3+(INDEX('Price History'!D:D,MATCH(9.99E+307,'Returns (Calc)'!$A:$A)+1)-'Price History'!D3)*(ROW()-3)/(MATCH(9.99E+307,'Returns (Calc)'!$A:$A)-3),"")</f>
        <v>752.84101265822778</v>
      </c>
      <c r="Z24" s="143">
        <f>IFERROR('Price History'!E3+(INDEX('Price History'!E:E,MATCH(9.99E+307,'Returns (Calc)'!$A:$A)+1)-'Price History'!E3)*(ROW()-3)/(MATCH(9.99E+307,'Returns (Calc)'!$A:$A)-3),"")</f>
        <v>118.30341772151898</v>
      </c>
      <c r="AA24" s="143">
        <f>IFERROR('Price History'!F3+(INDEX('Price History'!F:F,MATCH(9.99E+307,'Returns (Calc)'!$A:$A)+1)-'Price History'!F3)*(ROW()-3)/(MATCH(9.99E+307,'Returns (Calc)'!$A:$A)-3),"")</f>
        <v>71.75417721518987</v>
      </c>
      <c r="AB24" s="143">
        <f>IFERROR('Price History'!G3+(INDEX('Price History'!G:G,MATCH(9.99E+307,'Returns (Calc)'!$A:$A)+1)-'Price History'!G3)*(ROW()-3)/(MATCH(9.99E+307,'Returns (Calc)'!$A:$A)-3),"")</f>
        <v>65.953417721518989</v>
      </c>
      <c r="AC24" s="143">
        <f>IFERROR('Price History'!H3+(INDEX('Price History'!H:H,MATCH(9.99E+307,'Returns (Calc)'!$A:$A)+1)-'Price History'!H3)*(ROW()-3)/(MATCH(9.99E+307,'Returns (Calc)'!$A:$A)-3),"")</f>
        <v>202.78962025316457</v>
      </c>
      <c r="AD24" s="143">
        <f>IFERROR('Price History'!I3+(INDEX('Price History'!I:I,MATCH(9.99E+307,'Returns (Calc)'!$A:$A)+1)-'Price History'!I3)*(ROW()-3)/(MATCH(9.99E+307,'Returns (Calc)'!$A:$A)-3),"")</f>
        <v>69.047088607594929</v>
      </c>
      <c r="AE24" s="143">
        <f>IFERROR('Price History'!J3+(INDEX('Price History'!J:J,MATCH(9.99E+307,'Returns (Calc)'!$A:$A)+1)-'Price History'!J3)*(ROW()-3)/(MATCH(9.99E+307,'Returns (Calc)'!$A:$A)-3),"")</f>
        <v>114.10879746835444</v>
      </c>
      <c r="AF24" s="143">
        <f>IFERROR('Price History'!K3+(INDEX('Price History'!K:K,MATCH(9.99E+307,'Returns (Calc)'!$A:$A)+1)-'Price History'!K3)*(ROW()-3)/(MATCH(9.99E+307,'Returns (Calc)'!$A:$A)-3),"")</f>
        <v>38.379493670886077</v>
      </c>
      <c r="AG24" s="143">
        <f>IFERROR('Price History'!L3+(INDEX('Price History'!L:L,MATCH(9.99E+307,'Returns (Calc)'!$A:$A)+1)-'Price History'!L3)*(ROW()-3)/(MATCH(9.99E+307,'Returns (Calc)'!$A:$A)-3),"")</f>
        <v>137.19069620253163</v>
      </c>
      <c r="AH24" s="143">
        <f>IFERROR('Price History'!M3+(INDEX('Price History'!M:M,MATCH(9.99E+307,'Returns (Calc)'!$A:$A)+1)-'Price History'!M3)*(ROW()-3)/(MATCH(9.99E+307,'Returns (Calc)'!$A:$A)-3),"")</f>
        <v>66.484303797468357</v>
      </c>
      <c r="AI24" s="143">
        <f>IFERROR('Price History'!N3+(INDEX('Price History'!N:N,MATCH(9.99E+307,'Returns (Calc)'!$A:$A)+1)-'Price History'!N3)*(ROW()-3)/(MATCH(9.99E+307,'Returns (Calc)'!$A:$A)-3),"")</f>
        <v>369.61158227848102</v>
      </c>
      <c r="AJ24" s="143">
        <f>IFERROR('Price History'!O3+(INDEX('Price History'!O:O,MATCH(9.99E+307,'Returns (Calc)'!$A:$A)+1)-'Price History'!O3)*(ROW()-3)/(MATCH(9.99E+307,'Returns (Calc)'!$A:$A)-3),"")</f>
        <v>81.253797468354435</v>
      </c>
      <c r="AK24" s="143">
        <f>IFERROR('Price History'!Q3+(INDEX('Price History'!Q:Q,MATCH(9.99E+307,'Returns (Calc)'!$A:$A)+1)-'Price History'!Q3)*(ROW()-3)/(MATCH(9.99E+307,'Returns (Calc)'!$A:$A)-3),"")</f>
        <v>9.2267088607594925</v>
      </c>
      <c r="AL24" s="143">
        <f>IFERROR('Price History'!R3+(INDEX('Price History'!R:R,MATCH(9.99E+307,'Returns (Calc)'!$A:$A)+1)-'Price History'!R3)*(ROW()-3)/(MATCH(9.99E+307,'Returns (Calc)'!$A:$A)-3),"")</f>
        <v>38.010126582278481</v>
      </c>
      <c r="AM24" s="143">
        <f>IFERROR('Price History'!S3+(INDEX('Price History'!S:S,MATCH(9.99E+307,'Returns (Calc)'!$A:$A)+1)-'Price History'!S3)*(ROW()-3)/(MATCH(9.99E+307,'Returns (Calc)'!$A:$A)-3),"")</f>
        <v>70.336329113924052</v>
      </c>
      <c r="AN24" s="143">
        <f>IFERROR('Price History'!T3+(INDEX('Price History'!T:T,MATCH(9.99E+307,'Returns (Calc)'!$A:$A)+1)-'Price History'!T3)*(ROW()-3)/(MATCH(9.99E+307,'Returns (Calc)'!$A:$A)-3),"")</f>
        <v>28.772784810126581</v>
      </c>
      <c r="AO24" s="144">
        <f>IFERROR('Price History'!V3+(INDEX('Price History'!V:V,MATCH(9.99E+307,'Returns (Calc)'!$A:$A)+1)-'Price History'!V3)*(ROW()-3)/(MATCH(9.99E+307,'Returns (Calc)'!$A:$A)-3),"")</f>
        <v>252.24791139240506</v>
      </c>
      <c r="AP24" s="142">
        <f>IFERROR(IF(OR(NOT(ISNUMBER('Price History'!W25)),NOT(ISNUMBER('Price History'!W24)),'Price History'!W24=0),"",'Price History'!W25/'Price History'!W24-1),"")</f>
        <v>9.3280030458786634E-3</v>
      </c>
      <c r="AQ24" s="142" t="str">
        <f>IFERROR(IF(OR(NOT(ISNUMBER('Price History'!X25)),NOT(ISNUMBER('Price History'!X24)),'Price History'!X24=0),"",'Price History'!X25/'Price History'!X24-1),"")</f>
        <v/>
      </c>
      <c r="AR24" s="142">
        <f>IFERROR(IF(OR(NOT(ISNUMBER('Price History'!Y25)),NOT(ISNUMBER('Price History'!Y24)),'Price History'!Y24=0),"",'Price History'!Y25/'Price History'!Y24-1),"")</f>
        <v>1.3186813186814028E-3</v>
      </c>
      <c r="AS24" s="142">
        <f>IFERROR(IF(OR(NOT(ISNUMBER('Price History'!Z25)),NOT(ISNUMBER('Price History'!Z24)),'Price History'!Z24=0),"",'Price History'!Z25/'Price History'!Z24-1),"")</f>
        <v>7.0861108574559406E-2</v>
      </c>
      <c r="AT24" s="142">
        <f>IFERROR(IF(OR(NOT(ISNUMBER('Price History'!AA25)),NOT(ISNUMBER('Price History'!AA24)),'Price History'!AA24=0),"",'Price History'!AA25/'Price History'!AA24-1),"")</f>
        <v>4.044183146267577E-2</v>
      </c>
    </row>
    <row r="25" spans="1:46" ht="15" customHeight="1" x14ac:dyDescent="0.35">
      <c r="A25" s="140">
        <f>IF('Price History'!A26="","",'Price History'!A26)</f>
        <v>45345</v>
      </c>
      <c r="B25" s="141">
        <f>IFERROR(IF(OR(NOT(ISNUMBER('Price History'!B26)),NOT(ISNUMBER('Price History'!B25)),'Price History'!B25=0),"",'Price History'!B26/'Price History'!B25-1),"")</f>
        <v>1.2402590275491399E-2</v>
      </c>
      <c r="C25" s="141">
        <f>IFERROR(IF(OR(NOT(ISNUMBER('Price History'!C26)),NOT(ISNUMBER('Price History'!C25)),'Price History'!C25=0),"",'Price History'!C26/'Price History'!C25-1),"")</f>
        <v>2.261613691931541E-2</v>
      </c>
      <c r="D25" s="141">
        <f>IFERROR(IF(OR(NOT(ISNUMBER('Price History'!D26)),NOT(ISNUMBER('Price History'!D25)),'Price History'!D25=0),"",'Price History'!D26/'Price History'!D25-1),"")</f>
        <v>4.6371078512170705E-3</v>
      </c>
      <c r="E25" s="141">
        <f>IFERROR(IF(OR(NOT(ISNUMBER('Price History'!E26)),NOT(ISNUMBER('Price History'!E25)),'Price History'!E25=0),"",'Price History'!E26/'Price History'!E25-1),"")</f>
        <v>4.0868560105680185E-2</v>
      </c>
      <c r="F25" s="141">
        <f>IFERROR(IF(OR(NOT(ISNUMBER('Price History'!F26)),NOT(ISNUMBER('Price History'!F25)),'Price History'!F25=0),"",'Price History'!F26/'Price History'!F25-1),"")</f>
        <v>-5.3942412829546815E-2</v>
      </c>
      <c r="G25" s="141">
        <f>IFERROR(IF(OR(NOT(ISNUMBER('Price History'!G26)),NOT(ISNUMBER('Price History'!G25)),'Price History'!G25=0),"",'Price History'!G26/'Price History'!G25-1),"")</f>
        <v>1.1248073959938099E-2</v>
      </c>
      <c r="H25" s="141">
        <f>IFERROR(IF(OR(NOT(ISNUMBER('Price History'!H26)),NOT(ISNUMBER('Price History'!H25)),'Price History'!H25=0),"",'Price History'!H26/'Price History'!H25-1),"")</f>
        <v>8.1790514836419081E-2</v>
      </c>
      <c r="I25" s="141">
        <f>IFERROR(IF(OR(NOT(ISNUMBER('Price History'!I26)),NOT(ISNUMBER('Price History'!I25)),'Price History'!I25=0),"",'Price History'!I26/'Price History'!I25-1),"")</f>
        <v>8.5497237569060802E-2</v>
      </c>
      <c r="J25" s="141">
        <f>IFERROR(IF(OR(NOT(ISNUMBER('Price History'!J26)),NOT(ISNUMBER('Price History'!J25)),'Price History'!J25=0),"",'Price History'!J26/'Price History'!J25-1),"")</f>
        <v>-1.3127666557268824E-3</v>
      </c>
      <c r="K25" s="141">
        <f>IFERROR(IF(OR(NOT(ISNUMBER('Price History'!K26)),NOT(ISNUMBER('Price History'!K25)),'Price History'!K25=0),"",'Price History'!K26/'Price History'!K25-1),"")</f>
        <v>-6.0147299509001773E-2</v>
      </c>
      <c r="L25" s="141">
        <f>IFERROR(IF(OR(NOT(ISNUMBER('Price History'!L26)),NOT(ISNUMBER('Price History'!L25)),'Price History'!L25=0),"",'Price History'!L26/'Price History'!L25-1),"")</f>
        <v>2.240392477514308E-2</v>
      </c>
      <c r="M25" s="141">
        <f>IFERROR(IF(OR(NOT(ISNUMBER('Price History'!M26)),NOT(ISNUMBER('Price History'!M25)),'Price History'!M25=0),"",'Price History'!M26/'Price History'!M25-1),"")</f>
        <v>-4.3021032504779733E-3</v>
      </c>
      <c r="N25" s="141">
        <f>IFERROR(IF(OR(NOT(ISNUMBER('Price History'!N26)),NOT(ISNUMBER('Price History'!N25)),'Price History'!N25=0),"",'Price History'!N26/'Price History'!N25-1),"")</f>
        <v>1.8735196589294123E-2</v>
      </c>
      <c r="O25" s="141">
        <f>IFERROR(IF(OR(NOT(ISNUMBER('Price History'!O26)),NOT(ISNUMBER('Price History'!O25)),'Price History'!O25=0),"",'Price History'!O26/'Price History'!O25-1),"")</f>
        <v>-3.3011082291910521E-3</v>
      </c>
      <c r="P25" s="141">
        <f>IFERROR(IF(OR(NOT(ISNUMBER('Price History'!P26)),NOT(ISNUMBER('Price History'!P25)),'Price History'!P25=0),"",'Price History'!P26/'Price History'!P25-1),"")</f>
        <v>8.4057694144616946E-3</v>
      </c>
      <c r="Q25" s="141">
        <f>IFERROR(IF(OR(NOT(ISNUMBER('Price History'!Q26)),NOT(ISNUMBER('Price History'!Q25)),'Price History'!Q25=0),"",'Price History'!Q26/'Price History'!Q25-1),"")</f>
        <v>7.6506810972196693E-3</v>
      </c>
      <c r="R25" s="141">
        <f>IFERROR(IF(OR(NOT(ISNUMBER('Price History'!R26)),NOT(ISNUMBER('Price History'!R25)),'Price History'!R25=0),"",'Price History'!R26/'Price History'!R25-1),"")</f>
        <v>1.2567324955116588E-2</v>
      </c>
      <c r="S25" s="141">
        <f>IFERROR(IF(OR(NOT(ISNUMBER('Price History'!S26)),NOT(ISNUMBER('Price History'!S25)),'Price History'!S25=0),"",'Price History'!S26/'Price History'!S25-1),"")</f>
        <v>2.232507487067803E-2</v>
      </c>
      <c r="T25" s="141">
        <f>IFERROR(IF(OR(NOT(ISNUMBER('Price History'!T26)),NOT(ISNUMBER('Price History'!T25)),'Price History'!T25=0),"",'Price History'!T26/'Price History'!T25-1),"")</f>
        <v>2.1879483500717445E-2</v>
      </c>
      <c r="U25" s="141">
        <f>IFERROR(IF(OR(NOT(ISNUMBER('Price History'!U26)),NOT(ISNUMBER('Price History'!U25)),'Price History'!U25=0),"",'Price History'!U26/'Price History'!U25-1),"")</f>
        <v>1.1617900172117279E-2</v>
      </c>
      <c r="V25" s="142">
        <f>IFERROR(IF(OR(NOT(ISNUMBER('Price History'!V26)),NOT(ISNUMBER('Price History'!V25)),'Price History'!V25=0),"",'Price History'!V26/'Price History'!V25-1),"")</f>
        <v>1.8070746607162347E-2</v>
      </c>
      <c r="W25" s="143">
        <f>IFERROR('Price History'!B3+(INDEX('Price History'!B:B,MATCH(9.99E+307,'Returns (Calc)'!$A:$A)+1)-'Price History'!B3)*(ROW()-3)/(MATCH(9.99E+307,'Returns (Calc)'!$A:$A)-3),"")</f>
        <v>488.34316455696199</v>
      </c>
      <c r="X25" s="143">
        <f>IFERROR('Price History'!C3+(INDEX('Price History'!C:C,MATCH(9.99E+307,'Returns (Calc)'!$A:$A)+1)-'Price History'!C3)*(ROW()-3)/(MATCH(9.99E+307,'Returns (Calc)'!$A:$A)-3),"")</f>
        <v>68.62139240506329</v>
      </c>
      <c r="Y25" s="143">
        <f>IFERROR('Price History'!D3+(INDEX('Price History'!D:D,MATCH(9.99E+307,'Returns (Calc)'!$A:$A)+1)-'Price History'!D3)*(ROW()-3)/(MATCH(9.99E+307,'Returns (Calc)'!$A:$A)-3),"")</f>
        <v>760.97582278481013</v>
      </c>
      <c r="Z25" s="143">
        <f>IFERROR('Price History'!E3+(INDEX('Price History'!E:E,MATCH(9.99E+307,'Returns (Calc)'!$A:$A)+1)-'Price History'!E3)*(ROW()-3)/(MATCH(9.99E+307,'Returns (Calc)'!$A:$A)-3),"")</f>
        <v>120.03215189873418</v>
      </c>
      <c r="AA25" s="143">
        <f>IFERROR('Price History'!F3+(INDEX('Price History'!F:F,MATCH(9.99E+307,'Returns (Calc)'!$A:$A)+1)-'Price History'!F3)*(ROW()-3)/(MATCH(9.99E+307,'Returns (Calc)'!$A:$A)-3),"")</f>
        <v>73.201518987341771</v>
      </c>
      <c r="AB25" s="143">
        <f>IFERROR('Price History'!G3+(INDEX('Price History'!G:G,MATCH(9.99E+307,'Returns (Calc)'!$A:$A)+1)-'Price History'!G3)*(ROW()-3)/(MATCH(9.99E+307,'Returns (Calc)'!$A:$A)-3),"")</f>
        <v>66.982151898734173</v>
      </c>
      <c r="AC25" s="143">
        <f>IFERROR('Price History'!H3+(INDEX('Price History'!H:H,MATCH(9.99E+307,'Returns (Calc)'!$A:$A)+1)-'Price History'!H3)*(ROW()-3)/(MATCH(9.99E+307,'Returns (Calc)'!$A:$A)-3),"")</f>
        <v>209.15531645569621</v>
      </c>
      <c r="AD25" s="143">
        <f>IFERROR('Price History'!I3+(INDEX('Price History'!I:I,MATCH(9.99E+307,'Returns (Calc)'!$A:$A)+1)-'Price History'!I3)*(ROW()-3)/(MATCH(9.99E+307,'Returns (Calc)'!$A:$A)-3),"")</f>
        <v>70.250759493670884</v>
      </c>
      <c r="AE25" s="143">
        <f>IFERROR('Price History'!J3+(INDEX('Price History'!J:J,MATCH(9.99E+307,'Returns (Calc)'!$A:$A)+1)-'Price History'!J3)*(ROW()-3)/(MATCH(9.99E+307,'Returns (Calc)'!$A:$A)-3),"")</f>
        <v>114.21683544303798</v>
      </c>
      <c r="AF25" s="143">
        <f>IFERROR('Price History'!K3+(INDEX('Price History'!K:K,MATCH(9.99E+307,'Returns (Calc)'!$A:$A)+1)-'Price History'!K3)*(ROW()-3)/(MATCH(9.99E+307,'Returns (Calc)'!$A:$A)-3),"")</f>
        <v>39.477088607594936</v>
      </c>
      <c r="AG25" s="143">
        <f>IFERROR('Price History'!L3+(INDEX('Price History'!L:L,MATCH(9.99E+307,'Returns (Calc)'!$A:$A)+1)-'Price History'!L3)*(ROW()-3)/(MATCH(9.99E+307,'Returns (Calc)'!$A:$A)-3),"")</f>
        <v>139.64025316455695</v>
      </c>
      <c r="AH25" s="143">
        <f>IFERROR('Price History'!M3+(INDEX('Price History'!M:M,MATCH(9.99E+307,'Returns (Calc)'!$A:$A)+1)-'Price History'!M3)*(ROW()-3)/(MATCH(9.99E+307,'Returns (Calc)'!$A:$A)-3),"")</f>
        <v>67.839746835443037</v>
      </c>
      <c r="AI25" s="143">
        <f>IFERROR('Price History'!N3+(INDEX('Price History'!N:N,MATCH(9.99E+307,'Returns (Calc)'!$A:$A)+1)-'Price History'!N3)*(ROW()-3)/(MATCH(9.99E+307,'Returns (Calc)'!$A:$A)-3),"")</f>
        <v>370.59784810126581</v>
      </c>
      <c r="AJ25" s="143">
        <f>IFERROR('Price History'!O3+(INDEX('Price History'!O:O,MATCH(9.99E+307,'Returns (Calc)'!$A:$A)+1)-'Price History'!O3)*(ROW()-3)/(MATCH(9.99E+307,'Returns (Calc)'!$A:$A)-3),"")</f>
        <v>81.536835443037972</v>
      </c>
      <c r="AK25" s="143">
        <f>IFERROR('Price History'!Q3+(INDEX('Price History'!Q:Q,MATCH(9.99E+307,'Returns (Calc)'!$A:$A)+1)-'Price History'!Q3)*(ROW()-3)/(MATCH(9.99E+307,'Returns (Calc)'!$A:$A)-3),"")</f>
        <v>9.6660759493670891</v>
      </c>
      <c r="AL25" s="143">
        <f>IFERROR('Price History'!R3+(INDEX('Price History'!R:R,MATCH(9.99E+307,'Returns (Calc)'!$A:$A)+1)-'Price History'!R3)*(ROW()-3)/(MATCH(9.99E+307,'Returns (Calc)'!$A:$A)-3),"")</f>
        <v>38.178227848101265</v>
      </c>
      <c r="AM25" s="143">
        <f>IFERROR('Price History'!S3+(INDEX('Price History'!S:S,MATCH(9.99E+307,'Returns (Calc)'!$A:$A)+1)-'Price History'!S3)*(ROW()-3)/(MATCH(9.99E+307,'Returns (Calc)'!$A:$A)-3),"")</f>
        <v>70.941392405063297</v>
      </c>
      <c r="AN25" s="143">
        <f>IFERROR('Price History'!T3+(INDEX('Price History'!T:T,MATCH(9.99E+307,'Returns (Calc)'!$A:$A)+1)-'Price History'!T3)*(ROW()-3)/(MATCH(9.99E+307,'Returns (Calc)'!$A:$A)-3),"")</f>
        <v>28.941012658227848</v>
      </c>
      <c r="AO25" s="144">
        <f>IFERROR('Price History'!V3+(INDEX('Price History'!V:V,MATCH(9.99E+307,'Returns (Calc)'!$A:$A)+1)-'Price History'!V3)*(ROW()-3)/(MATCH(9.99E+307,'Returns (Calc)'!$A:$A)-3),"")</f>
        <v>253.03924050632912</v>
      </c>
      <c r="AP25" s="142">
        <f>IFERROR(IF(OR(NOT(ISNUMBER('Price History'!W26)),NOT(ISNUMBER('Price History'!W25)),'Price History'!W25=0),"",'Price History'!W26/'Price History'!W25-1),"")</f>
        <v>1.4239909468125145E-2</v>
      </c>
      <c r="AQ25" s="142" t="str">
        <f>IFERROR(IF(OR(NOT(ISNUMBER('Price History'!X26)),NOT(ISNUMBER('Price History'!X25)),'Price History'!X25=0),"",'Price History'!X26/'Price History'!X25-1),"")</f>
        <v/>
      </c>
      <c r="AR25" s="142">
        <f>IFERROR(IF(OR(NOT(ISNUMBER('Price History'!Y26)),NOT(ISNUMBER('Price History'!Y25)),'Price History'!Y25=0),"",'Price History'!Y26/'Price History'!Y25-1),"")</f>
        <v>1.1633011413520578E-2</v>
      </c>
      <c r="AS25" s="142">
        <f>IFERROR(IF(OR(NOT(ISNUMBER('Price History'!Z26)),NOT(ISNUMBER('Price History'!Z25)),'Price History'!Z25=0),"",'Price History'!Z26/'Price History'!Z25-1),"")</f>
        <v>2.7969642704869013E-2</v>
      </c>
      <c r="AT25" s="142">
        <f>IFERROR(IF(OR(NOT(ISNUMBER('Price History'!AA26)),NOT(ISNUMBER('Price History'!AA25)),'Price History'!AA25=0),"",'Price History'!AA26/'Price History'!AA25-1),"")</f>
        <v>-6.8493150684934001E-4</v>
      </c>
    </row>
    <row r="26" spans="1:46" ht="15" customHeight="1" x14ac:dyDescent="0.35">
      <c r="A26" s="140">
        <f>IF('Price History'!A27="","",'Price History'!A27)</f>
        <v>45352</v>
      </c>
      <c r="B26" s="141">
        <f>IFERROR(IF(OR(NOT(ISNUMBER('Price History'!B27)),NOT(ISNUMBER('Price History'!B26)),'Price History'!B26=0),"",'Price History'!B27/'Price History'!B26-1),"")</f>
        <v>3.1602341717259064E-2</v>
      </c>
      <c r="C26" s="141">
        <f>IFERROR(IF(OR(NOT(ISNUMBER('Price History'!C27)),NOT(ISNUMBER('Price History'!C26)),'Price History'!C26=0),"",'Price History'!C27/'Price History'!C26-1),"")</f>
        <v>7.4865511057979672E-2</v>
      </c>
      <c r="D26" s="141">
        <f>IFERROR(IF(OR(NOT(ISNUMBER('Price History'!D27)),NOT(ISNUMBER('Price History'!D26)),'Price History'!D26=0),"",'Price History'!D27/'Price History'!D26-1),"")</f>
        <v>6.1808874840036276E-2</v>
      </c>
      <c r="E26" s="141">
        <f>IFERROR(IF(OR(NOT(ISNUMBER('Price History'!E27)),NOT(ISNUMBER('Price History'!E26)),'Price History'!E26=0),"",'Price History'!E27/'Price History'!E26-1),"")</f>
        <v>7.9321012136114755E-2</v>
      </c>
      <c r="F26" s="141">
        <f>IFERROR(IF(OR(NOT(ISNUMBER('Price History'!F27)),NOT(ISNUMBER('Price History'!F26)),'Price History'!F26=0),"",'Price History'!F27/'Price History'!F26-1),"")</f>
        <v>1.001669449081799E-2</v>
      </c>
      <c r="G26" s="141">
        <f>IFERROR(IF(OR(NOT(ISNUMBER('Price History'!G27)),NOT(ISNUMBER('Price History'!G26)),'Price History'!G26=0),"",'Price History'!G27/'Price History'!G26-1),"")</f>
        <v>7.2984915435014619E-2</v>
      </c>
      <c r="H26" s="141">
        <f>IFERROR(IF(OR(NOT(ISNUMBER('Price History'!H27)),NOT(ISNUMBER('Price History'!H26)),'Price History'!H26=0),"",'Price History'!H27/'Price History'!H26-1),"")</f>
        <v>0.10631813386472855</v>
      </c>
      <c r="I26" s="141">
        <f>IFERROR(IF(OR(NOT(ISNUMBER('Price History'!I27)),NOT(ISNUMBER('Price History'!I26)),'Price History'!I26=0),"",'Price History'!I27/'Price History'!I26-1),"")</f>
        <v>4.389871484921759E-2</v>
      </c>
      <c r="J26" s="141">
        <f>IFERROR(IF(OR(NOT(ISNUMBER('Price History'!J27)),NOT(ISNUMBER('Price History'!J26)),'Price History'!J26=0),"",'Price History'!J27/'Price History'!J26-1),"")</f>
        <v>1.0433782451528151E-2</v>
      </c>
      <c r="K26" s="141">
        <f>IFERROR(IF(OR(NOT(ISNUMBER('Price History'!K27)),NOT(ISNUMBER('Price History'!K26)),'Price History'!K26=0),"",'Price History'!K27/'Price History'!K26-1),"")</f>
        <v>8.5328689595124185E-2</v>
      </c>
      <c r="L26" s="141">
        <f>IFERROR(IF(OR(NOT(ISNUMBER('Price History'!L27)),NOT(ISNUMBER('Price History'!L26)),'Price History'!L26=0),"",'Price History'!L27/'Price History'!L26-1),"")</f>
        <v>3.3749200255917877E-2</v>
      </c>
      <c r="M26" s="141">
        <f>IFERROR(IF(OR(NOT(ISNUMBER('Price History'!M27)),NOT(ISNUMBER('Price History'!M26)),'Price History'!M26=0),"",'Price History'!M27/'Price History'!M26-1),"")</f>
        <v>0.12562009921587447</v>
      </c>
      <c r="N26" s="141">
        <f>IFERROR(IF(OR(NOT(ISNUMBER('Price History'!N27)),NOT(ISNUMBER('Price History'!N26)),'Price History'!N26=0),"",'Price History'!N27/'Price History'!N26-1),"")</f>
        <v>6.161214573016105E-3</v>
      </c>
      <c r="O26" s="141">
        <f>IFERROR(IF(OR(NOT(ISNUMBER('Price History'!O27)),NOT(ISNUMBER('Price History'!O26)),'Price History'!O26=0),"",'Price History'!O27/'Price History'!O26-1),"")</f>
        <v>1.5732197776200607E-2</v>
      </c>
      <c r="P26" s="141">
        <f>IFERROR(IF(OR(NOT(ISNUMBER('Price History'!P27)),NOT(ISNUMBER('Price History'!P26)),'Price History'!P26=0),"",'Price History'!P27/'Price History'!P26-1),"")</f>
        <v>1.8944775978035899E-4</v>
      </c>
      <c r="Q26" s="141">
        <f>IFERROR(IF(OR(NOT(ISNUMBER('Price History'!Q27)),NOT(ISNUMBER('Price History'!Q26)),'Price History'!Q26=0),"",'Price History'!Q27/'Price History'!Q26-1),"")</f>
        <v>6.2962962962964664E-3</v>
      </c>
      <c r="R26" s="141">
        <f>IFERROR(IF(OR(NOT(ISNUMBER('Price History'!R27)),NOT(ISNUMBER('Price History'!R26)),'Price History'!R26=0),"",'Price History'!R27/'Price History'!R26-1),"")</f>
        <v>1.2664640324214771E-2</v>
      </c>
      <c r="S26" s="141">
        <f>IFERROR(IF(OR(NOT(ISNUMBER('Price History'!S27)),NOT(ISNUMBER('Price History'!S26)),'Price History'!S26=0),"",'Price History'!S27/'Price History'!S26-1),"")</f>
        <v>2.8095872170439407E-2</v>
      </c>
      <c r="T26" s="141">
        <f>IFERROR(IF(OR(NOT(ISNUMBER('Price History'!T27)),NOT(ISNUMBER('Price History'!T26)),'Price History'!T26=0),"",'Price History'!T27/'Price History'!T26-1),"")</f>
        <v>2.1762021762021799E-2</v>
      </c>
      <c r="U26" s="141">
        <f>IFERROR(IF(OR(NOT(ISNUMBER('Price History'!U27)),NOT(ISNUMBER('Price History'!U26)),'Price History'!U26=0),"",'Price History'!U27/'Price History'!U26-1),"")</f>
        <v>3.4028073160357053E-3</v>
      </c>
      <c r="V26" s="142">
        <f>IFERROR(IF(OR(NOT(ISNUMBER('Price History'!V27)),NOT(ISNUMBER('Price History'!V26)),'Price History'!V26=0),"",'Price History'!V27/'Price History'!V26-1),"")</f>
        <v>-1.5450397039272756E-3</v>
      </c>
      <c r="W26" s="143">
        <f>IFERROR('Price History'!B3+(INDEX('Price History'!B:B,MATCH(9.99E+307,'Returns (Calc)'!$A:$A)+1)-'Price History'!B3)*(ROW()-3)/(MATCH(9.99E+307,'Returns (Calc)'!$A:$A)-3),"")</f>
        <v>486.50012658227848</v>
      </c>
      <c r="X26" s="143">
        <f>IFERROR('Price History'!C3+(INDEX('Price History'!C:C,MATCH(9.99E+307,'Returns (Calc)'!$A:$A)+1)-'Price History'!C3)*(ROW()-3)/(MATCH(9.99E+307,'Returns (Calc)'!$A:$A)-3),"")</f>
        <v>69.641455696202527</v>
      </c>
      <c r="Y26" s="143">
        <f>IFERROR('Price History'!D3+(INDEX('Price History'!D:D,MATCH(9.99E+307,'Returns (Calc)'!$A:$A)+1)-'Price History'!D3)*(ROW()-3)/(MATCH(9.99E+307,'Returns (Calc)'!$A:$A)-3),"")</f>
        <v>769.11063291139237</v>
      </c>
      <c r="Z26" s="143">
        <f>IFERROR('Price History'!E3+(INDEX('Price History'!E:E,MATCH(9.99E+307,'Returns (Calc)'!$A:$A)+1)-'Price History'!E3)*(ROW()-3)/(MATCH(9.99E+307,'Returns (Calc)'!$A:$A)-3),"")</f>
        <v>121.76088607594937</v>
      </c>
      <c r="AA26" s="143">
        <f>IFERROR('Price History'!F3+(INDEX('Price History'!F:F,MATCH(9.99E+307,'Returns (Calc)'!$A:$A)+1)-'Price History'!F3)*(ROW()-3)/(MATCH(9.99E+307,'Returns (Calc)'!$A:$A)-3),"")</f>
        <v>74.648860759493672</v>
      </c>
      <c r="AB26" s="143">
        <f>IFERROR('Price History'!G3+(INDEX('Price History'!G:G,MATCH(9.99E+307,'Returns (Calc)'!$A:$A)+1)-'Price History'!G3)*(ROW()-3)/(MATCH(9.99E+307,'Returns (Calc)'!$A:$A)-3),"")</f>
        <v>68.010886075949372</v>
      </c>
      <c r="AC26" s="143">
        <f>IFERROR('Price History'!H3+(INDEX('Price History'!H:H,MATCH(9.99E+307,'Returns (Calc)'!$A:$A)+1)-'Price History'!H3)*(ROW()-3)/(MATCH(9.99E+307,'Returns (Calc)'!$A:$A)-3),"")</f>
        <v>215.52101265822785</v>
      </c>
      <c r="AD26" s="143">
        <f>IFERROR('Price History'!I3+(INDEX('Price History'!I:I,MATCH(9.99E+307,'Returns (Calc)'!$A:$A)+1)-'Price History'!I3)*(ROW()-3)/(MATCH(9.99E+307,'Returns (Calc)'!$A:$A)-3),"")</f>
        <v>71.454430379746839</v>
      </c>
      <c r="AE26" s="143">
        <f>IFERROR('Price History'!J3+(INDEX('Price History'!J:J,MATCH(9.99E+307,'Returns (Calc)'!$A:$A)+1)-'Price History'!J3)*(ROW()-3)/(MATCH(9.99E+307,'Returns (Calc)'!$A:$A)-3),"")</f>
        <v>114.32487341772152</v>
      </c>
      <c r="AF26" s="143">
        <f>IFERROR('Price History'!K3+(INDEX('Price History'!K:K,MATCH(9.99E+307,'Returns (Calc)'!$A:$A)+1)-'Price History'!K3)*(ROW()-3)/(MATCH(9.99E+307,'Returns (Calc)'!$A:$A)-3),"")</f>
        <v>40.574683544303795</v>
      </c>
      <c r="AG26" s="143">
        <f>IFERROR('Price History'!L3+(INDEX('Price History'!L:L,MATCH(9.99E+307,'Returns (Calc)'!$A:$A)+1)-'Price History'!L3)*(ROW()-3)/(MATCH(9.99E+307,'Returns (Calc)'!$A:$A)-3),"")</f>
        <v>142.08981012658228</v>
      </c>
      <c r="AH26" s="143">
        <f>IFERROR('Price History'!M3+(INDEX('Price History'!M:M,MATCH(9.99E+307,'Returns (Calc)'!$A:$A)+1)-'Price History'!M3)*(ROW()-3)/(MATCH(9.99E+307,'Returns (Calc)'!$A:$A)-3),"")</f>
        <v>69.195189873417718</v>
      </c>
      <c r="AI26" s="143">
        <f>IFERROR('Price History'!N3+(INDEX('Price History'!N:N,MATCH(9.99E+307,'Returns (Calc)'!$A:$A)+1)-'Price History'!N3)*(ROW()-3)/(MATCH(9.99E+307,'Returns (Calc)'!$A:$A)-3),"")</f>
        <v>371.5841139240506</v>
      </c>
      <c r="AJ26" s="143">
        <f>IFERROR('Price History'!O3+(INDEX('Price History'!O:O,MATCH(9.99E+307,'Returns (Calc)'!$A:$A)+1)-'Price History'!O3)*(ROW()-3)/(MATCH(9.99E+307,'Returns (Calc)'!$A:$A)-3),"")</f>
        <v>81.819873417721524</v>
      </c>
      <c r="AK26" s="143">
        <f>IFERROR('Price History'!Q3+(INDEX('Price History'!Q:Q,MATCH(9.99E+307,'Returns (Calc)'!$A:$A)+1)-'Price History'!Q3)*(ROW()-3)/(MATCH(9.99E+307,'Returns (Calc)'!$A:$A)-3),"")</f>
        <v>10.105443037974684</v>
      </c>
      <c r="AL26" s="143">
        <f>IFERROR('Price History'!R3+(INDEX('Price History'!R:R,MATCH(9.99E+307,'Returns (Calc)'!$A:$A)+1)-'Price History'!R3)*(ROW()-3)/(MATCH(9.99E+307,'Returns (Calc)'!$A:$A)-3),"")</f>
        <v>38.34632911392405</v>
      </c>
      <c r="AM26" s="143">
        <f>IFERROR('Price History'!S3+(INDEX('Price History'!S:S,MATCH(9.99E+307,'Returns (Calc)'!$A:$A)+1)-'Price History'!S3)*(ROW()-3)/(MATCH(9.99E+307,'Returns (Calc)'!$A:$A)-3),"")</f>
        <v>71.546455696202528</v>
      </c>
      <c r="AN26" s="143">
        <f>IFERROR('Price History'!T3+(INDEX('Price History'!T:T,MATCH(9.99E+307,'Returns (Calc)'!$A:$A)+1)-'Price History'!T3)*(ROW()-3)/(MATCH(9.99E+307,'Returns (Calc)'!$A:$A)-3),"")</f>
        <v>29.109240506329112</v>
      </c>
      <c r="AO26" s="144">
        <f>IFERROR('Price History'!V3+(INDEX('Price History'!V:V,MATCH(9.99E+307,'Returns (Calc)'!$A:$A)+1)-'Price History'!V3)*(ROW()-3)/(MATCH(9.99E+307,'Returns (Calc)'!$A:$A)-3),"")</f>
        <v>253.83056962025316</v>
      </c>
      <c r="AP26" s="142">
        <f>IFERROR(IF(OR(NOT(ISNUMBER('Price History'!W27)),NOT(ISNUMBER('Price History'!W26)),'Price History'!W26=0),"",'Price History'!W27/'Price History'!W26-1),"")</f>
        <v>5.2068805206881841E-3</v>
      </c>
      <c r="AQ26" s="142" t="str">
        <f>IFERROR(IF(OR(NOT(ISNUMBER('Price History'!X27)),NOT(ISNUMBER('Price History'!X26)),'Price History'!X26=0),"",'Price History'!X27/'Price History'!X26-1),"")</f>
        <v/>
      </c>
      <c r="AR26" s="142">
        <f>IFERROR(IF(OR(NOT(ISNUMBER('Price History'!Y27)),NOT(ISNUMBER('Price History'!Y26)),'Price History'!Y26=0),"",'Price History'!Y27/'Price History'!Y26-1),"")</f>
        <v>4.1223692775005372E-3</v>
      </c>
      <c r="AS26" s="142">
        <f>IFERROR(IF(OR(NOT(ISNUMBER('Price History'!Z27)),NOT(ISNUMBER('Price History'!Z26)),'Price History'!Z26=0),"",'Price History'!Z27/'Price History'!Z26-1),"")</f>
        <v>3.4757362090418908E-2</v>
      </c>
      <c r="AT26" s="142">
        <f>IFERROR(IF(OR(NOT(ISNUMBER('Price History'!AA27)),NOT(ISNUMBER('Price History'!AA26)),'Price History'!AA26=0),"",'Price History'!AA27/'Price History'!AA26-1),"")</f>
        <v>6.1172035640849831E-2</v>
      </c>
    </row>
    <row r="27" spans="1:46" ht="15" customHeight="1" x14ac:dyDescent="0.35">
      <c r="A27" s="140">
        <f>IF('Price History'!A28="","",'Price History'!A28)</f>
        <v>45359</v>
      </c>
      <c r="B27" s="141">
        <f>IFERROR(IF(OR(NOT(ISNUMBER('Price History'!B28)),NOT(ISNUMBER('Price History'!B27)),'Price History'!B27=0),"",'Price History'!B28/'Price History'!B27-1),"")</f>
        <v>-3.3699402728880723E-2</v>
      </c>
      <c r="C27" s="141">
        <f>IFERROR(IF(OR(NOT(ISNUMBER('Price History'!C28)),NOT(ISNUMBER('Price History'!C27)),'Price History'!C27=0),"",'Price History'!C28/'Price History'!C27-1),"")</f>
        <v>-5.0743778673710604E-2</v>
      </c>
      <c r="D27" s="141">
        <f>IFERROR(IF(OR(NOT(ISNUMBER('Price History'!D28)),NOT(ISNUMBER('Price History'!D27)),'Price History'!D27=0),"",'Price History'!D28/'Price History'!D27-1),"")</f>
        <v>3.4302313603493673E-3</v>
      </c>
      <c r="E27" s="141">
        <f>IFERROR(IF(OR(NOT(ISNUMBER('Price History'!E28)),NOT(ISNUMBER('Price History'!E27)),'Price History'!E27=0),"",'Price History'!E28/'Price History'!E27-1),"")</f>
        <v>-6.4672594987873921E-2</v>
      </c>
      <c r="F27" s="141">
        <f>IFERROR(IF(OR(NOT(ISNUMBER('Price History'!F28)),NOT(ISNUMBER('Price History'!F27)),'Price History'!F27=0),"",'Price History'!F28/'Price History'!F27-1),"")</f>
        <v>2.6191989828353357E-2</v>
      </c>
      <c r="G27" s="141">
        <f>IFERROR(IF(OR(NOT(ISNUMBER('Price History'!G28)),NOT(ISNUMBER('Price History'!G27)),'Price History'!G27=0),"",'Price History'!G28/'Price History'!G27-1),"")</f>
        <v>-2.5560920193126946E-2</v>
      </c>
      <c r="H27" s="141">
        <f>IFERROR(IF(OR(NOT(ISNUMBER('Price History'!H28)),NOT(ISNUMBER('Price History'!H27)),'Price History'!H27=0),"",'Price History'!H28/'Price History'!H27-1),"")</f>
        <v>2.5958889595253165E-2</v>
      </c>
      <c r="I27" s="141">
        <f>IFERROR(IF(OR(NOT(ISNUMBER('Price History'!I28)),NOT(ISNUMBER('Price History'!I27)),'Price History'!I27=0),"",'Price History'!I28/'Price History'!I27-1),"")</f>
        <v>6.3871282301316334E-2</v>
      </c>
      <c r="J27" s="141">
        <f>IFERROR(IF(OR(NOT(ISNUMBER('Price History'!J28)),NOT(ISNUMBER('Price History'!J27)),'Price History'!J27=0),"",'Price History'!J28/'Price History'!J27-1),"")</f>
        <v>3.4962192048133556E-3</v>
      </c>
      <c r="K27" s="141">
        <f>IFERROR(IF(OR(NOT(ISNUMBER('Price History'!K28)),NOT(ISNUMBER('Price History'!K27)),'Price History'!K27=0),"",'Price History'!K28/'Price History'!K27-1),"")</f>
        <v>4.4524669073405576E-2</v>
      </c>
      <c r="L27" s="141">
        <f>IFERROR(IF(OR(NOT(ISNUMBER('Price History'!L28)),NOT(ISNUMBER('Price History'!L27)),'Price History'!L27=0),"",'Price History'!L28/'Price History'!L27-1),"")</f>
        <v>9.3145598019495734E-2</v>
      </c>
      <c r="M27" s="141">
        <f>IFERROR(IF(OR(NOT(ISNUMBER('Price History'!M28)),NOT(ISNUMBER('Price History'!M27)),'Price History'!M27=0),"",'Price History'!M28/'Price History'!M27-1),"")</f>
        <v>-1.7059994313335269E-2</v>
      </c>
      <c r="N27" s="141">
        <f>IFERROR(IF(OR(NOT(ISNUMBER('Price History'!N28)),NOT(ISNUMBER('Price History'!N27)),'Price History'!N27=0),"",'Price History'!N28/'Price History'!N27-1),"")</f>
        <v>-4.4297069969498115E-2</v>
      </c>
      <c r="O27" s="141">
        <f>IFERROR(IF(OR(NOT(ISNUMBER('Price History'!O28)),NOT(ISNUMBER('Price History'!O27)),'Price History'!O27=0),"",'Price History'!O28/'Price History'!O27-1),"")</f>
        <v>1.1645510655642344E-3</v>
      </c>
      <c r="P27" s="141">
        <f>IFERROR(IF(OR(NOT(ISNUMBER('Price History'!P28)),NOT(ISNUMBER('Price History'!P27)),'Price History'!P27=0),"",'Price History'!P28/'Price History'!P27-1),"")</f>
        <v>2.6707074533573127E-2</v>
      </c>
      <c r="Q27" s="141">
        <f>IFERROR(IF(OR(NOT(ISNUMBER('Price History'!Q28)),NOT(ISNUMBER('Price History'!Q27)),'Price History'!Q27=0),"",'Price History'!Q28/'Price History'!Q27-1),"")</f>
        <v>5.5207949944779955E-4</v>
      </c>
      <c r="R27" s="141">
        <f>IFERROR(IF(OR(NOT(ISNUMBER('Price History'!R28)),NOT(ISNUMBER('Price History'!R27)),'Price History'!R27=0),"",'Price History'!R28/'Price History'!R27-1),"")</f>
        <v>-1.5007503751874873E-3</v>
      </c>
      <c r="S27" s="141">
        <f>IFERROR(IF(OR(NOT(ISNUMBER('Price History'!S28)),NOT(ISNUMBER('Price History'!S27)),'Price History'!S27=0),"",'Price History'!S28/'Price History'!S27-1),"")</f>
        <v>3.8855070586714113E-3</v>
      </c>
      <c r="T27" s="141">
        <f>IFERROR(IF(OR(NOT(ISNUMBER('Price History'!T28)),NOT(ISNUMBER('Price History'!T27)),'Price History'!T27=0),"",'Price History'!T28/'Price History'!T27-1),"")</f>
        <v>1.9924424596358792E-2</v>
      </c>
      <c r="U27" s="141">
        <f>IFERROR(IF(OR(NOT(ISNUMBER('Price History'!U28)),NOT(ISNUMBER('Price History'!U27)),'Price History'!U27=0),"",'Price History'!U28/'Price History'!U27-1),"")</f>
        <v>3.3912674862230929E-3</v>
      </c>
      <c r="V27" s="142">
        <f>IFERROR(IF(OR(NOT(ISNUMBER('Price History'!V28)),NOT(ISNUMBER('Price History'!V27)),'Price History'!V27=0),"",'Price History'!V28/'Price History'!V27-1),"")</f>
        <v>-1.1011947603281946E-2</v>
      </c>
      <c r="W27" s="143">
        <f>IFERROR('Price History'!B3+(INDEX('Price History'!B:B,MATCH(9.99E+307,'Returns (Calc)'!$A:$A)+1)-'Price History'!B3)*(ROW()-3)/(MATCH(9.99E+307,'Returns (Calc)'!$A:$A)-3),"")</f>
        <v>484.65708860759491</v>
      </c>
      <c r="X27" s="143">
        <f>IFERROR('Price History'!C3+(INDEX('Price History'!C:C,MATCH(9.99E+307,'Returns (Calc)'!$A:$A)+1)-'Price History'!C3)*(ROW()-3)/(MATCH(9.99E+307,'Returns (Calc)'!$A:$A)-3),"")</f>
        <v>70.661518987341765</v>
      </c>
      <c r="Y27" s="143">
        <f>IFERROR('Price History'!D3+(INDEX('Price History'!D:D,MATCH(9.99E+307,'Returns (Calc)'!$A:$A)+1)-'Price History'!D3)*(ROW()-3)/(MATCH(9.99E+307,'Returns (Calc)'!$A:$A)-3),"")</f>
        <v>777.24544303797461</v>
      </c>
      <c r="Z27" s="143">
        <f>IFERROR('Price History'!E3+(INDEX('Price History'!E:E,MATCH(9.99E+307,'Returns (Calc)'!$A:$A)+1)-'Price History'!E3)*(ROW()-3)/(MATCH(9.99E+307,'Returns (Calc)'!$A:$A)-3),"")</f>
        <v>123.48962025316456</v>
      </c>
      <c r="AA27" s="143">
        <f>IFERROR('Price History'!F3+(INDEX('Price History'!F:F,MATCH(9.99E+307,'Returns (Calc)'!$A:$A)+1)-'Price History'!F3)*(ROW()-3)/(MATCH(9.99E+307,'Returns (Calc)'!$A:$A)-3),"")</f>
        <v>76.096202531645559</v>
      </c>
      <c r="AB27" s="143">
        <f>IFERROR('Price History'!G3+(INDEX('Price History'!G:G,MATCH(9.99E+307,'Returns (Calc)'!$A:$A)+1)-'Price History'!G3)*(ROW()-3)/(MATCH(9.99E+307,'Returns (Calc)'!$A:$A)-3),"")</f>
        <v>69.039620253164557</v>
      </c>
      <c r="AC27" s="143">
        <f>IFERROR('Price History'!H3+(INDEX('Price History'!H:H,MATCH(9.99E+307,'Returns (Calc)'!$A:$A)+1)-'Price History'!H3)*(ROW()-3)/(MATCH(9.99E+307,'Returns (Calc)'!$A:$A)-3),"")</f>
        <v>221.88670886075948</v>
      </c>
      <c r="AD27" s="143">
        <f>IFERROR('Price History'!I3+(INDEX('Price History'!I:I,MATCH(9.99E+307,'Returns (Calc)'!$A:$A)+1)-'Price History'!I3)*(ROW()-3)/(MATCH(9.99E+307,'Returns (Calc)'!$A:$A)-3),"")</f>
        <v>72.658101265822779</v>
      </c>
      <c r="AE27" s="143">
        <f>IFERROR('Price History'!J3+(INDEX('Price History'!J:J,MATCH(9.99E+307,'Returns (Calc)'!$A:$A)+1)-'Price History'!J3)*(ROW()-3)/(MATCH(9.99E+307,'Returns (Calc)'!$A:$A)-3),"")</f>
        <v>114.43291139240506</v>
      </c>
      <c r="AF27" s="143">
        <f>IFERROR('Price History'!K3+(INDEX('Price History'!K:K,MATCH(9.99E+307,'Returns (Calc)'!$A:$A)+1)-'Price History'!K3)*(ROW()-3)/(MATCH(9.99E+307,'Returns (Calc)'!$A:$A)-3),"")</f>
        <v>41.672278481012661</v>
      </c>
      <c r="AG27" s="143">
        <f>IFERROR('Price History'!L3+(INDEX('Price History'!L:L,MATCH(9.99E+307,'Returns (Calc)'!$A:$A)+1)-'Price History'!L3)*(ROW()-3)/(MATCH(9.99E+307,'Returns (Calc)'!$A:$A)-3),"")</f>
        <v>144.53936708860761</v>
      </c>
      <c r="AH27" s="143">
        <f>IFERROR('Price History'!M3+(INDEX('Price History'!M:M,MATCH(9.99E+307,'Returns (Calc)'!$A:$A)+1)-'Price History'!M3)*(ROW()-3)/(MATCH(9.99E+307,'Returns (Calc)'!$A:$A)-3),"")</f>
        <v>70.550632911392412</v>
      </c>
      <c r="AI27" s="143">
        <f>IFERROR('Price History'!N3+(INDEX('Price History'!N:N,MATCH(9.99E+307,'Returns (Calc)'!$A:$A)+1)-'Price History'!N3)*(ROW()-3)/(MATCH(9.99E+307,'Returns (Calc)'!$A:$A)-3),"")</f>
        <v>372.57037974683544</v>
      </c>
      <c r="AJ27" s="143">
        <f>IFERROR('Price History'!O3+(INDEX('Price History'!O:O,MATCH(9.99E+307,'Returns (Calc)'!$A:$A)+1)-'Price History'!O3)*(ROW()-3)/(MATCH(9.99E+307,'Returns (Calc)'!$A:$A)-3),"")</f>
        <v>82.102911392405062</v>
      </c>
      <c r="AK27" s="143">
        <f>IFERROR('Price History'!Q3+(INDEX('Price History'!Q:Q,MATCH(9.99E+307,'Returns (Calc)'!$A:$A)+1)-'Price History'!Q3)*(ROW()-3)/(MATCH(9.99E+307,'Returns (Calc)'!$A:$A)-3),"")</f>
        <v>10.544810126582279</v>
      </c>
      <c r="AL27" s="143">
        <f>IFERROR('Price History'!R3+(INDEX('Price History'!R:R,MATCH(9.99E+307,'Returns (Calc)'!$A:$A)+1)-'Price History'!R3)*(ROW()-3)/(MATCH(9.99E+307,'Returns (Calc)'!$A:$A)-3),"")</f>
        <v>38.514430379746834</v>
      </c>
      <c r="AM27" s="143">
        <f>IFERROR('Price History'!S3+(INDEX('Price History'!S:S,MATCH(9.99E+307,'Returns (Calc)'!$A:$A)+1)-'Price History'!S3)*(ROW()-3)/(MATCH(9.99E+307,'Returns (Calc)'!$A:$A)-3),"")</f>
        <v>72.151518987341774</v>
      </c>
      <c r="AN27" s="143">
        <f>IFERROR('Price History'!T3+(INDEX('Price History'!T:T,MATCH(9.99E+307,'Returns (Calc)'!$A:$A)+1)-'Price History'!T3)*(ROW()-3)/(MATCH(9.99E+307,'Returns (Calc)'!$A:$A)-3),"")</f>
        <v>29.277468354430379</v>
      </c>
      <c r="AO27" s="144">
        <f>IFERROR('Price History'!V3+(INDEX('Price History'!V:V,MATCH(9.99E+307,'Returns (Calc)'!$A:$A)+1)-'Price History'!V3)*(ROW()-3)/(MATCH(9.99E+307,'Returns (Calc)'!$A:$A)-3),"")</f>
        <v>254.62189873417722</v>
      </c>
      <c r="AP27" s="142">
        <f>IFERROR(IF(OR(NOT(ISNUMBER('Price History'!W28)),NOT(ISNUMBER('Price History'!W27)),'Price History'!W27=0),"",'Price History'!W28/'Price History'!W27-1),"")</f>
        <v>1.0082323559337691E-2</v>
      </c>
      <c r="AQ27" s="142" t="str">
        <f>IFERROR(IF(OR(NOT(ISNUMBER('Price History'!X28)),NOT(ISNUMBER('Price History'!X27)),'Price History'!X27=0),"",'Price History'!X28/'Price History'!X27-1),"")</f>
        <v/>
      </c>
      <c r="AR27" s="142">
        <f>IFERROR(IF(OR(NOT(ISNUMBER('Price History'!Y28)),NOT(ISNUMBER('Price History'!Y27)),'Price History'!Y27=0),"",'Price History'!Y28/'Price History'!Y27-1),"")</f>
        <v>4.9697493517717461E-3</v>
      </c>
      <c r="AS27" s="142">
        <f>IFERROR(IF(OR(NOT(ISNUMBER('Price History'!Z28)),NOT(ISNUMBER('Price History'!Z27)),'Price History'!Z27=0),"",'Price History'!Z28/'Price History'!Z27-1),"")</f>
        <v>5.8682058682058669E-2</v>
      </c>
      <c r="AT27" s="142">
        <f>IFERROR(IF(OR(NOT(ISNUMBER('Price History'!AA28)),NOT(ISNUMBER('Price History'!AA27)),'Price History'!AA27=0),"",'Price History'!AA28/'Price History'!AA27-1),"")</f>
        <v>-2.3413531406426658E-2</v>
      </c>
    </row>
    <row r="28" spans="1:46" ht="15" customHeight="1" x14ac:dyDescent="0.35">
      <c r="A28" s="140">
        <f>IF('Price History'!A29="","",'Price History'!A29)</f>
        <v>45366</v>
      </c>
      <c r="B28" s="141">
        <f>IFERROR(IF(OR(NOT(ISNUMBER('Price History'!B29)),NOT(ISNUMBER('Price History'!B28)),'Price History'!B28=0),"",'Price History'!B29/'Price History'!B28-1),"")</f>
        <v>-0.10736101796298658</v>
      </c>
      <c r="C28" s="141">
        <f>IFERROR(IF(OR(NOT(ISNUMBER('Price History'!C29)),NOT(ISNUMBER('Price History'!C28)),'Price History'!C28=0),"",'Price History'!C29/'Price History'!C28-1),"")</f>
        <v>1.6842413591095617E-2</v>
      </c>
      <c r="D28" s="141">
        <f>IFERROR(IF(OR(NOT(ISNUMBER('Price History'!D29)),NOT(ISNUMBER('Price History'!D28)),'Price History'!D28=0),"",'Price History'!D29/'Price History'!D28-1),"")</f>
        <v>-5.4429171243494001E-2</v>
      </c>
      <c r="E28" s="141">
        <f>IFERROR(IF(OR(NOT(ISNUMBER('Price History'!E29)),NOT(ISNUMBER('Price History'!E28)),'Price History'!E28=0),"",'Price History'!E29/'Price History'!E28-1),"")</f>
        <v>-5.5944055944055826E-2</v>
      </c>
      <c r="F28" s="141">
        <f>IFERROR(IF(OR(NOT(ISNUMBER('Price History'!F29)),NOT(ISNUMBER('Price History'!F28)),'Price History'!F28=0),"",'Price History'!F29/'Price History'!F28-1),"")</f>
        <v>-2.2302069136414304E-2</v>
      </c>
      <c r="G28" s="141">
        <f>IFERROR(IF(OR(NOT(ISNUMBER('Price History'!G29)),NOT(ISNUMBER('Price History'!G28)),'Price History'!G28=0),"",'Price History'!G29/'Price History'!G28-1),"")</f>
        <v>-2.200524628388234E-2</v>
      </c>
      <c r="H28" s="141">
        <f>IFERROR(IF(OR(NOT(ISNUMBER('Price History'!H29)),NOT(ISNUMBER('Price History'!H28)),'Price History'!H28=0),"",'Price History'!H29/'Price History'!H28-1),"")</f>
        <v>-4.4717546215016002E-2</v>
      </c>
      <c r="I28" s="141">
        <f>IFERROR(IF(OR(NOT(ISNUMBER('Price History'!I29)),NOT(ISNUMBER('Price History'!I28)),'Price History'!I28=0),"",'Price History'!I29/'Price History'!I28-1),"")</f>
        <v>3.5517873510542142E-3</v>
      </c>
      <c r="J28" s="141">
        <f>IFERROR(IF(OR(NOT(ISNUMBER('Price History'!J29)),NOT(ISNUMBER('Price History'!J28)),'Price History'!J28=0),"",'Price History'!J29/'Price History'!J28-1),"")</f>
        <v>-3.7757251660994973E-2</v>
      </c>
      <c r="K28" s="141">
        <f>IFERROR(IF(OR(NOT(ISNUMBER('Price History'!K29)),NOT(ISNUMBER('Price History'!K28)),'Price History'!K28=0),"",'Price History'!K29/'Price History'!K28-1),"")</f>
        <v>-9.7926267281105983E-2</v>
      </c>
      <c r="L28" s="141">
        <f>IFERROR(IF(OR(NOT(ISNUMBER('Price History'!L29)),NOT(ISNUMBER('Price History'!L28)),'Price History'!L28=0),"",'Price History'!L29/'Price History'!L28-1),"")</f>
        <v>-6.4189667374380921E-2</v>
      </c>
      <c r="M28" s="141">
        <f>IFERROR(IF(OR(NOT(ISNUMBER('Price History'!M29)),NOT(ISNUMBER('Price History'!M28)),'Price History'!M28=0),"",'Price History'!M29/'Price History'!M28-1),"")</f>
        <v>6.8990454150998026E-2</v>
      </c>
      <c r="N28" s="141">
        <f>IFERROR(IF(OR(NOT(ISNUMBER('Price History'!N29)),NOT(ISNUMBER('Price History'!N28)),'Price History'!N28=0),"",'Price History'!N29/'Price History'!N28-1),"")</f>
        <v>-1.4265335235377985E-2</v>
      </c>
      <c r="O28" s="141">
        <f>IFERROR(IF(OR(NOT(ISNUMBER('Price History'!O29)),NOT(ISNUMBER('Price History'!O28)),'Price History'!O28=0),"",'Price History'!O29/'Price History'!O28-1),"")</f>
        <v>-8.4913341863440683E-3</v>
      </c>
      <c r="P28" s="141">
        <f>IFERROR(IF(OR(NOT(ISNUMBER('Price History'!P29)),NOT(ISNUMBER('Price History'!P28)),'Price History'!P28=0),"",'Price History'!P29/'Price History'!P28-1),"")</f>
        <v>-3.2284844571534022E-3</v>
      </c>
      <c r="Q28" s="141">
        <f>IFERROR(IF(OR(NOT(ISNUMBER('Price History'!Q29)),NOT(ISNUMBER('Price History'!Q28)),'Price History'!Q28=0),"",'Price History'!Q29/'Price History'!Q28-1),"")</f>
        <v>1.8392495861707658E-4</v>
      </c>
      <c r="R28" s="141">
        <f>IFERROR(IF(OR(NOT(ISNUMBER('Price History'!R29)),NOT(ISNUMBER('Price History'!R28)),'Price History'!R28=0),"",'Price History'!R29/'Price History'!R28-1),"")</f>
        <v>-5.2605210420841875E-3</v>
      </c>
      <c r="S28" s="141">
        <f>IFERROR(IF(OR(NOT(ISNUMBER('Price History'!S29)),NOT(ISNUMBER('Price History'!S28)),'Price History'!S28=0),"",'Price History'!S29/'Price History'!S28-1),"")</f>
        <v>-5.1606244355567599E-3</v>
      </c>
      <c r="T28" s="141">
        <f>IFERROR(IF(OR(NOT(ISNUMBER('Price History'!T29)),NOT(ISNUMBER('Price History'!T28)),'Price History'!T28=0),"",'Price History'!T29/'Price History'!T28-1),"")</f>
        <v>1.5493432132030804E-2</v>
      </c>
      <c r="U28" s="141">
        <f>IFERROR(IF(OR(NOT(ISNUMBER('Price History'!U29)),NOT(ISNUMBER('Price History'!U28)),'Price History'!U28=0),"",'Price History'!U29/'Price History'!U28-1),"")</f>
        <v>1.689902830587231E-3</v>
      </c>
      <c r="V28" s="142">
        <f>IFERROR(IF(OR(NOT(ISNUMBER('Price History'!V29)),NOT(ISNUMBER('Price History'!V28)),'Price History'!V28=0),"",'Price History'!V29/'Price History'!V28-1),"")</f>
        <v>1.069791136016307E-2</v>
      </c>
      <c r="W28" s="143">
        <f>IFERROR('Price History'!B3+(INDEX('Price History'!B:B,MATCH(9.99E+307,'Returns (Calc)'!$A:$A)+1)-'Price History'!B3)*(ROW()-3)/(MATCH(9.99E+307,'Returns (Calc)'!$A:$A)-3),"")</f>
        <v>482.8140506329114</v>
      </c>
      <c r="X28" s="143">
        <f>IFERROR('Price History'!C3+(INDEX('Price History'!C:C,MATCH(9.99E+307,'Returns (Calc)'!$A:$A)+1)-'Price History'!C3)*(ROW()-3)/(MATCH(9.99E+307,'Returns (Calc)'!$A:$A)-3),"")</f>
        <v>71.681582278481017</v>
      </c>
      <c r="Y28" s="143">
        <f>IFERROR('Price History'!D3+(INDEX('Price History'!D:D,MATCH(9.99E+307,'Returns (Calc)'!$A:$A)+1)-'Price History'!D3)*(ROW()-3)/(MATCH(9.99E+307,'Returns (Calc)'!$A:$A)-3),"")</f>
        <v>785.38025316455696</v>
      </c>
      <c r="Z28" s="143">
        <f>IFERROR('Price History'!E3+(INDEX('Price History'!E:E,MATCH(9.99E+307,'Returns (Calc)'!$A:$A)+1)-'Price History'!E3)*(ROW()-3)/(MATCH(9.99E+307,'Returns (Calc)'!$A:$A)-3),"")</f>
        <v>125.21835443037975</v>
      </c>
      <c r="AA28" s="143">
        <f>IFERROR('Price History'!F3+(INDEX('Price History'!F:F,MATCH(9.99E+307,'Returns (Calc)'!$A:$A)+1)-'Price History'!F3)*(ROW()-3)/(MATCH(9.99E+307,'Returns (Calc)'!$A:$A)-3),"")</f>
        <v>77.543544303797461</v>
      </c>
      <c r="AB28" s="143">
        <f>IFERROR('Price History'!G3+(INDEX('Price History'!G:G,MATCH(9.99E+307,'Returns (Calc)'!$A:$A)+1)-'Price History'!G3)*(ROW()-3)/(MATCH(9.99E+307,'Returns (Calc)'!$A:$A)-3),"")</f>
        <v>70.068354430379742</v>
      </c>
      <c r="AC28" s="143">
        <f>IFERROR('Price History'!H3+(INDEX('Price History'!H:H,MATCH(9.99E+307,'Returns (Calc)'!$A:$A)+1)-'Price History'!H3)*(ROW()-3)/(MATCH(9.99E+307,'Returns (Calc)'!$A:$A)-3),"")</f>
        <v>228.25240506329118</v>
      </c>
      <c r="AD28" s="143">
        <f>IFERROR('Price History'!I3+(INDEX('Price History'!I:I,MATCH(9.99E+307,'Returns (Calc)'!$A:$A)+1)-'Price History'!I3)*(ROW()-3)/(MATCH(9.99E+307,'Returns (Calc)'!$A:$A)-3),"")</f>
        <v>73.861772151898734</v>
      </c>
      <c r="AE28" s="143">
        <f>IFERROR('Price History'!J3+(INDEX('Price History'!J:J,MATCH(9.99E+307,'Returns (Calc)'!$A:$A)+1)-'Price History'!J3)*(ROW()-3)/(MATCH(9.99E+307,'Returns (Calc)'!$A:$A)-3),"")</f>
        <v>114.54094936708861</v>
      </c>
      <c r="AF28" s="143">
        <f>IFERROR('Price History'!K3+(INDEX('Price History'!K:K,MATCH(9.99E+307,'Returns (Calc)'!$A:$A)+1)-'Price History'!K3)*(ROW()-3)/(MATCH(9.99E+307,'Returns (Calc)'!$A:$A)-3),"")</f>
        <v>42.76987341772152</v>
      </c>
      <c r="AG28" s="143">
        <f>IFERROR('Price History'!L3+(INDEX('Price History'!L:L,MATCH(9.99E+307,'Returns (Calc)'!$A:$A)+1)-'Price History'!L3)*(ROW()-3)/(MATCH(9.99E+307,'Returns (Calc)'!$A:$A)-3),"")</f>
        <v>146.9889240506329</v>
      </c>
      <c r="AH28" s="143">
        <f>IFERROR('Price History'!M3+(INDEX('Price History'!M:M,MATCH(9.99E+307,'Returns (Calc)'!$A:$A)+1)-'Price History'!M3)*(ROW()-3)/(MATCH(9.99E+307,'Returns (Calc)'!$A:$A)-3),"")</f>
        <v>71.906075949367093</v>
      </c>
      <c r="AI28" s="143">
        <f>IFERROR('Price History'!N3+(INDEX('Price History'!N:N,MATCH(9.99E+307,'Returns (Calc)'!$A:$A)+1)-'Price History'!N3)*(ROW()-3)/(MATCH(9.99E+307,'Returns (Calc)'!$A:$A)-3),"")</f>
        <v>373.55664556962023</v>
      </c>
      <c r="AJ28" s="143">
        <f>IFERROR('Price History'!O3+(INDEX('Price History'!O:O,MATCH(9.99E+307,'Returns (Calc)'!$A:$A)+1)-'Price History'!O3)*(ROW()-3)/(MATCH(9.99E+307,'Returns (Calc)'!$A:$A)-3),"")</f>
        <v>82.385949367088614</v>
      </c>
      <c r="AK28" s="143">
        <f>IFERROR('Price History'!Q3+(INDEX('Price History'!Q:Q,MATCH(9.99E+307,'Returns (Calc)'!$A:$A)+1)-'Price History'!Q3)*(ROW()-3)/(MATCH(9.99E+307,'Returns (Calc)'!$A:$A)-3),"")</f>
        <v>10.984177215189874</v>
      </c>
      <c r="AL28" s="143">
        <f>IFERROR('Price History'!R3+(INDEX('Price History'!R:R,MATCH(9.99E+307,'Returns (Calc)'!$A:$A)+1)-'Price History'!R3)*(ROW()-3)/(MATCH(9.99E+307,'Returns (Calc)'!$A:$A)-3),"")</f>
        <v>38.682531645569618</v>
      </c>
      <c r="AM28" s="143">
        <f>IFERROR('Price History'!S3+(INDEX('Price History'!S:S,MATCH(9.99E+307,'Returns (Calc)'!$A:$A)+1)-'Price History'!S3)*(ROW()-3)/(MATCH(9.99E+307,'Returns (Calc)'!$A:$A)-3),"")</f>
        <v>72.756582278481019</v>
      </c>
      <c r="AN28" s="143">
        <f>IFERROR('Price History'!T3+(INDEX('Price History'!T:T,MATCH(9.99E+307,'Returns (Calc)'!$A:$A)+1)-'Price History'!T3)*(ROW()-3)/(MATCH(9.99E+307,'Returns (Calc)'!$A:$A)-3),"")</f>
        <v>29.445696202531643</v>
      </c>
      <c r="AO28" s="144">
        <f>IFERROR('Price History'!V3+(INDEX('Price History'!V:V,MATCH(9.99E+307,'Returns (Calc)'!$A:$A)+1)-'Price History'!V3)*(ROW()-3)/(MATCH(9.99E+307,'Returns (Calc)'!$A:$A)-3),"")</f>
        <v>255.41322784810126</v>
      </c>
      <c r="AP28" s="142">
        <f>IFERROR(IF(OR(NOT(ISNUMBER('Price History'!W29)),NOT(ISNUMBER('Price History'!W28)),'Price History'!W28=0),"",'Price History'!W29/'Price History'!W28-1),"")</f>
        <v>2.1062271062270987E-3</v>
      </c>
      <c r="AQ28" s="142" t="str">
        <f>IFERROR(IF(OR(NOT(ISNUMBER('Price History'!X29)),NOT(ISNUMBER('Price History'!X28)),'Price History'!X28=0),"",'Price History'!X29/'Price History'!X28-1),"")</f>
        <v/>
      </c>
      <c r="AR28" s="142">
        <f>IFERROR(IF(OR(NOT(ISNUMBER('Price History'!Y29)),NOT(ISNUMBER('Price History'!Y28)),'Price History'!Y28=0),"",'Price History'!Y29/'Price History'!Y28-1),"")</f>
        <v>-2.1500752526338873E-3</v>
      </c>
      <c r="AS28" s="142">
        <f>IFERROR(IF(OR(NOT(ISNUMBER('Price History'!Z29)),NOT(ISNUMBER('Price History'!Z28)),'Price History'!Z28=0),"",'Price History'!Z29/'Price History'!Z28-1),"")</f>
        <v>5.5277903983037557E-3</v>
      </c>
      <c r="AT28" s="142">
        <f>IFERROR(IF(OR(NOT(ISNUMBER('Price History'!AA29)),NOT(ISNUMBER('Price History'!AA28)),'Price History'!AA28=0),"",'Price History'!AA29/'Price History'!AA28-1),"")</f>
        <v>1.8187830687832474E-3</v>
      </c>
    </row>
    <row r="29" spans="1:46" ht="15" customHeight="1" x14ac:dyDescent="0.35">
      <c r="A29" s="140">
        <f>IF('Price History'!A30="","",'Price History'!A30)</f>
        <v>45373</v>
      </c>
      <c r="B29" s="141">
        <f>IFERROR(IF(OR(NOT(ISNUMBER('Price History'!B30)),NOT(ISNUMBER('Price History'!B29)),'Price History'!B29=0),"",'Price History'!B30/'Price History'!B29-1),"")</f>
        <v>1.4336189741298799E-2</v>
      </c>
      <c r="C29" s="141">
        <f>IFERROR(IF(OR(NOT(ISNUMBER('Price History'!C30)),NOT(ISNUMBER('Price History'!C29)),'Price History'!C29=0),"",'Price History'!C30/'Price History'!C29-1),"")</f>
        <v>0.10341351001008192</v>
      </c>
      <c r="D29" s="141">
        <f>IFERROR(IF(OR(NOT(ISNUMBER('Price History'!D30)),NOT(ISNUMBER('Price History'!D29)),'Price History'!D29=0),"",'Price History'!D30/'Price History'!D29-1),"")</f>
        <v>4.2275999088037031E-2</v>
      </c>
      <c r="E29" s="141">
        <f>IFERROR(IF(OR(NOT(ISNUMBER('Price History'!E30)),NOT(ISNUMBER('Price History'!E29)),'Price History'!E29=0),"",'Price History'!E30/'Price History'!E29-1),"")</f>
        <v>0.10020807324178094</v>
      </c>
      <c r="F29" s="141">
        <f>IFERROR(IF(OR(NOT(ISNUMBER('Price History'!F30)),NOT(ISNUMBER('Price History'!F29)),'Price History'!F29=0),"",'Price History'!F30/'Price History'!F29-1),"")</f>
        <v>3.7764541883158032E-2</v>
      </c>
      <c r="G29" s="141">
        <f>IFERROR(IF(OR(NOT(ISNUMBER('Price History'!G30)),NOT(ISNUMBER('Price History'!G29)),'Price History'!G29=0),"",'Price History'!G30/'Price History'!G29-1),"")</f>
        <v>3.904038146326938E-2</v>
      </c>
      <c r="H29" s="141">
        <f>IFERROR(IF(OR(NOT(ISNUMBER('Price History'!H30)),NOT(ISNUMBER('Price History'!H29)),'Price History'!H29=0),"",'Price History'!H30/'Price History'!H29-1),"")</f>
        <v>0.1818378378378378</v>
      </c>
      <c r="I29" s="141">
        <f>IFERROR(IF(OR(NOT(ISNUMBER('Price History'!I30)),NOT(ISNUMBER('Price History'!I29)),'Price History'!I29=0),"",'Price History'!I30/'Price History'!I29-1),"")</f>
        <v>7.3410206644594078E-2</v>
      </c>
      <c r="J29" s="141">
        <f>IFERROR(IF(OR(NOT(ISNUMBER('Price History'!J30)),NOT(ISNUMBER('Price History'!J29)),'Price History'!J29=0),"",'Price History'!J30/'Price History'!J29-1),"")</f>
        <v>-3.0313236780060704E-3</v>
      </c>
      <c r="K29" s="141">
        <f>IFERROR(IF(OR(NOT(ISNUMBER('Price History'!K30)),NOT(ISNUMBER('Price History'!K29)),'Price History'!K29=0),"",'Price History'!K30/'Price History'!K29-1),"")</f>
        <v>2.9374201787994991E-2</v>
      </c>
      <c r="L29" s="141">
        <f>IFERROR(IF(OR(NOT(ISNUMBER('Price History'!L30)),NOT(ISNUMBER('Price History'!L29)),'Price History'!L29=0),"",'Price History'!L30/'Price History'!L29-1),"")</f>
        <v>3.0174695606140833E-2</v>
      </c>
      <c r="M29" s="141">
        <f>IFERROR(IF(OR(NOT(ISNUMBER('Price History'!M30)),NOT(ISNUMBER('Price History'!M29)),'Price History'!M29=0),"",'Price History'!M30/'Price History'!M29-1),"")</f>
        <v>0.11283994046813706</v>
      </c>
      <c r="N29" s="141">
        <f>IFERROR(IF(OR(NOT(ISNUMBER('Price History'!N30)),NOT(ISNUMBER('Price History'!N29)),'Price History'!N29=0),"",'Price History'!N30/'Price History'!N29-1),"")</f>
        <v>1.954916725943745E-2</v>
      </c>
      <c r="O29" s="141">
        <f>IFERROR(IF(OR(NOT(ISNUMBER('Price History'!O30)),NOT(ISNUMBER('Price History'!O29)),'Price History'!O29=0),"",'Price History'!O30/'Price History'!O29-1),"")</f>
        <v>2.7334584702017883E-2</v>
      </c>
      <c r="P29" s="141">
        <f>IFERROR(IF(OR(NOT(ISNUMBER('Price History'!P30)),NOT(ISNUMBER('Price History'!P29)),'Price History'!P29=0),"",'Price History'!P30/'Price History'!P29-1),"")</f>
        <v>1.6194706644456769E-2</v>
      </c>
      <c r="Q29" s="141">
        <f>IFERROR(IF(OR(NOT(ISNUMBER('Price History'!Q30)),NOT(ISNUMBER('Price History'!Q29)),'Price History'!Q29=0),"",'Price History'!Q30/'Price History'!Q29-1),"")</f>
        <v>1.2136815005516777E-2</v>
      </c>
      <c r="R29" s="141">
        <f>IFERROR(IF(OR(NOT(ISNUMBER('Price History'!R30)),NOT(ISNUMBER('Price History'!R29)),'Price History'!R29=0),"",'Price History'!R30/'Price History'!R29-1),"")</f>
        <v>2.5686225132208307E-2</v>
      </c>
      <c r="S29" s="141">
        <f>IFERROR(IF(OR(NOT(ISNUMBER('Price History'!S30)),NOT(ISNUMBER('Price History'!S29)),'Price History'!S29=0),"",'Price History'!S30/'Price History'!S29-1),"")</f>
        <v>3.0086888860070049E-2</v>
      </c>
      <c r="T29" s="141">
        <f>IFERROR(IF(OR(NOT(ISNUMBER('Price History'!T30)),NOT(ISNUMBER('Price History'!T29)),'Price History'!T29=0),"",'Price History'!T30/'Price History'!T29-1),"")</f>
        <v>2.4212271973466093E-2</v>
      </c>
      <c r="U29" s="141">
        <f>IFERROR(IF(OR(NOT(ISNUMBER('Price History'!U30)),NOT(ISNUMBER('Price History'!U29)),'Price History'!U29=0),"",'Price History'!U30/'Price History'!U29-1),"")</f>
        <v>1.8557570645297172E-2</v>
      </c>
      <c r="V29" s="142">
        <f>IFERROR(IF(OR(NOT(ISNUMBER('Price History'!V30)),NOT(ISNUMBER('Price History'!V29)),'Price History'!V29=0),"",'Price History'!V30/'Price History'!V29-1),"")</f>
        <v>7.9205069124443916E-4</v>
      </c>
      <c r="W29" s="143">
        <f>IFERROR('Price History'!B3+(INDEX('Price History'!B:B,MATCH(9.99E+307,'Returns (Calc)'!$A:$A)+1)-'Price History'!B3)*(ROW()-3)/(MATCH(9.99E+307,'Returns (Calc)'!$A:$A)-3),"")</f>
        <v>480.97101265822783</v>
      </c>
      <c r="X29" s="143">
        <f>IFERROR('Price History'!C3+(INDEX('Price History'!C:C,MATCH(9.99E+307,'Returns (Calc)'!$A:$A)+1)-'Price History'!C3)*(ROW()-3)/(MATCH(9.99E+307,'Returns (Calc)'!$A:$A)-3),"")</f>
        <v>72.701645569620254</v>
      </c>
      <c r="Y29" s="143">
        <f>IFERROR('Price History'!D3+(INDEX('Price History'!D:D,MATCH(9.99E+307,'Returns (Calc)'!$A:$A)+1)-'Price History'!D3)*(ROW()-3)/(MATCH(9.99E+307,'Returns (Calc)'!$A:$A)-3),"")</f>
        <v>793.5150632911392</v>
      </c>
      <c r="Z29" s="143">
        <f>IFERROR('Price History'!E3+(INDEX('Price History'!E:E,MATCH(9.99E+307,'Returns (Calc)'!$A:$A)+1)-'Price History'!E3)*(ROW()-3)/(MATCH(9.99E+307,'Returns (Calc)'!$A:$A)-3),"")</f>
        <v>126.94708860759494</v>
      </c>
      <c r="AA29" s="143">
        <f>IFERROR('Price History'!F3+(INDEX('Price History'!F:F,MATCH(9.99E+307,'Returns (Calc)'!$A:$A)+1)-'Price History'!F3)*(ROW()-3)/(MATCH(9.99E+307,'Returns (Calc)'!$A:$A)-3),"")</f>
        <v>78.990886075949362</v>
      </c>
      <c r="AB29" s="143">
        <f>IFERROR('Price History'!G3+(INDEX('Price History'!G:G,MATCH(9.99E+307,'Returns (Calc)'!$A:$A)+1)-'Price History'!G3)*(ROW()-3)/(MATCH(9.99E+307,'Returns (Calc)'!$A:$A)-3),"")</f>
        <v>71.097088607594941</v>
      </c>
      <c r="AC29" s="143">
        <f>IFERROR('Price History'!H3+(INDEX('Price History'!H:H,MATCH(9.99E+307,'Returns (Calc)'!$A:$A)+1)-'Price History'!H3)*(ROW()-3)/(MATCH(9.99E+307,'Returns (Calc)'!$A:$A)-3),"")</f>
        <v>234.61810126582282</v>
      </c>
      <c r="AD29" s="143">
        <f>IFERROR('Price History'!I3+(INDEX('Price History'!I:I,MATCH(9.99E+307,'Returns (Calc)'!$A:$A)+1)-'Price History'!I3)*(ROW()-3)/(MATCH(9.99E+307,'Returns (Calc)'!$A:$A)-3),"")</f>
        <v>75.065443037974688</v>
      </c>
      <c r="AE29" s="143">
        <f>IFERROR('Price History'!J3+(INDEX('Price History'!J:J,MATCH(9.99E+307,'Returns (Calc)'!$A:$A)+1)-'Price History'!J3)*(ROW()-3)/(MATCH(9.99E+307,'Returns (Calc)'!$A:$A)-3),"")</f>
        <v>114.64898734177216</v>
      </c>
      <c r="AF29" s="143">
        <f>IFERROR('Price History'!K3+(INDEX('Price History'!K:K,MATCH(9.99E+307,'Returns (Calc)'!$A:$A)+1)-'Price History'!K3)*(ROW()-3)/(MATCH(9.99E+307,'Returns (Calc)'!$A:$A)-3),"")</f>
        <v>43.867468354430379</v>
      </c>
      <c r="AG29" s="143">
        <f>IFERROR('Price History'!L3+(INDEX('Price History'!L:L,MATCH(9.99E+307,'Returns (Calc)'!$A:$A)+1)-'Price History'!L3)*(ROW()-3)/(MATCH(9.99E+307,'Returns (Calc)'!$A:$A)-3),"")</f>
        <v>149.43848101265823</v>
      </c>
      <c r="AH29" s="143">
        <f>IFERROR('Price History'!M3+(INDEX('Price History'!M:M,MATCH(9.99E+307,'Returns (Calc)'!$A:$A)+1)-'Price History'!M3)*(ROW()-3)/(MATCH(9.99E+307,'Returns (Calc)'!$A:$A)-3),"")</f>
        <v>73.261518987341773</v>
      </c>
      <c r="AI29" s="143">
        <f>IFERROR('Price History'!N3+(INDEX('Price History'!N:N,MATCH(9.99E+307,'Returns (Calc)'!$A:$A)+1)-'Price History'!N3)*(ROW()-3)/(MATCH(9.99E+307,'Returns (Calc)'!$A:$A)-3),"")</f>
        <v>374.54291139240502</v>
      </c>
      <c r="AJ29" s="143">
        <f>IFERROR('Price History'!O3+(INDEX('Price History'!O:O,MATCH(9.99E+307,'Returns (Calc)'!$A:$A)+1)-'Price History'!O3)*(ROW()-3)/(MATCH(9.99E+307,'Returns (Calc)'!$A:$A)-3),"")</f>
        <v>82.668987341772151</v>
      </c>
      <c r="AK29" s="143">
        <f>IFERROR('Price History'!Q3+(INDEX('Price History'!Q:Q,MATCH(9.99E+307,'Returns (Calc)'!$A:$A)+1)-'Price History'!Q3)*(ROW()-3)/(MATCH(9.99E+307,'Returns (Calc)'!$A:$A)-3),"")</f>
        <v>11.423544303797469</v>
      </c>
      <c r="AL29" s="143">
        <f>IFERROR('Price History'!R3+(INDEX('Price History'!R:R,MATCH(9.99E+307,'Returns (Calc)'!$A:$A)+1)-'Price History'!R3)*(ROW()-3)/(MATCH(9.99E+307,'Returns (Calc)'!$A:$A)-3),"")</f>
        <v>38.850632911392402</v>
      </c>
      <c r="AM29" s="143">
        <f>IFERROR('Price History'!S3+(INDEX('Price History'!S:S,MATCH(9.99E+307,'Returns (Calc)'!$A:$A)+1)-'Price History'!S3)*(ROW()-3)/(MATCH(9.99E+307,'Returns (Calc)'!$A:$A)-3),"")</f>
        <v>73.361645569620251</v>
      </c>
      <c r="AN29" s="143">
        <f>IFERROR('Price History'!T3+(INDEX('Price History'!T:T,MATCH(9.99E+307,'Returns (Calc)'!$A:$A)+1)-'Price History'!T3)*(ROW()-3)/(MATCH(9.99E+307,'Returns (Calc)'!$A:$A)-3),"")</f>
        <v>29.61392405063291</v>
      </c>
      <c r="AO29" s="144">
        <f>IFERROR('Price History'!V3+(INDEX('Price History'!V:V,MATCH(9.99E+307,'Returns (Calc)'!$A:$A)+1)-'Price History'!V3)*(ROW()-3)/(MATCH(9.99E+307,'Returns (Calc)'!$A:$A)-3),"")</f>
        <v>256.20455696202532</v>
      </c>
      <c r="AP29" s="142">
        <f>IFERROR(IF(OR(NOT(ISNUMBER('Price History'!W30)),NOT(ISNUMBER('Price History'!W29)),'Price History'!W29=0),"",'Price History'!W30/'Price History'!W29-1),"")</f>
        <v>1.8459289043224025E-2</v>
      </c>
      <c r="AQ29" s="142" t="str">
        <f>IFERROR(IF(OR(NOT(ISNUMBER('Price History'!X30)),NOT(ISNUMBER('Price History'!X29)),'Price History'!X29=0),"",'Price History'!X30/'Price History'!X29-1),"")</f>
        <v/>
      </c>
      <c r="AR29" s="142">
        <f>IFERROR(IF(OR(NOT(ISNUMBER('Price History'!Y30)),NOT(ISNUMBER('Price History'!Y29)),'Price History'!Y29=0),"",'Price History'!Y30/'Price History'!Y29-1),"")</f>
        <v>8.6188321482441044E-3</v>
      </c>
      <c r="AS29" s="142">
        <f>IFERROR(IF(OR(NOT(ISNUMBER('Price History'!Z30)),NOT(ISNUMBER('Price History'!Z29)),'Price History'!Z29=0),"",'Price History'!Z30/'Price History'!Z29-1),"")</f>
        <v>3.7050982754725625E-2</v>
      </c>
      <c r="AT29" s="142">
        <f>IFERROR(IF(OR(NOT(ISNUMBER('Price History'!AA30)),NOT(ISNUMBER('Price History'!AA29)),'Price History'!AA29=0),"",'Price History'!AA30/'Price History'!AA29-1),"")</f>
        <v>3.6474665786433214E-2</v>
      </c>
    </row>
    <row r="30" spans="1:46" ht="15" customHeight="1" x14ac:dyDescent="0.35">
      <c r="A30" s="140">
        <f>IF('Price History'!A31="","",'Price History'!A31)</f>
        <v>45380</v>
      </c>
      <c r="B30" s="141">
        <f>IFERROR(IF(OR(NOT(ISNUMBER('Price History'!B31)),NOT(ISNUMBER('Price History'!B30)),'Price History'!B30=0),"",'Price History'!B31/'Price History'!B30-1),"")</f>
        <v>1.0169762972453533E-2</v>
      </c>
      <c r="C30" s="141">
        <f>IFERROR(IF(OR(NOT(ISNUMBER('Price History'!C31)),NOT(ISNUMBER('Price History'!C30)),'Price History'!C30=0),"",'Price History'!C31/'Price History'!C30-1),"")</f>
        <v>-5.3648348779532729E-2</v>
      </c>
      <c r="D30" s="141">
        <f>IFERROR(IF(OR(NOT(ISNUMBER('Price History'!D31)),NOT(ISNUMBER('Price History'!D30)),'Price History'!D30=0),"",'Price History'!D31/'Price History'!D30-1),"")</f>
        <v>-9.6871972750851576E-3</v>
      </c>
      <c r="E30" s="141">
        <f>IFERROR(IF(OR(NOT(ISNUMBER('Price History'!E31)),NOT(ISNUMBER('Price History'!E30)),'Price History'!E30=0),"",'Price History'!E31/'Price History'!E30-1),"")</f>
        <v>-2.0727740373704617E-2</v>
      </c>
      <c r="F30" s="141">
        <f>IFERROR(IF(OR(NOT(ISNUMBER('Price History'!F31)),NOT(ISNUMBER('Price History'!F30)),'Price History'!F30=0),"",'Price History'!F31/'Price History'!F30-1),"")</f>
        <v>-2.1248015630724093E-2</v>
      </c>
      <c r="G30" s="141">
        <f>IFERROR(IF(OR(NOT(ISNUMBER('Price History'!G31)),NOT(ISNUMBER('Price History'!G30)),'Price History'!G30=0),"",'Price History'!G31/'Price History'!G30-1),"")</f>
        <v>-1.6922415029399174E-2</v>
      </c>
      <c r="H30" s="141">
        <f>IFERROR(IF(OR(NOT(ISNUMBER('Price History'!H31)),NOT(ISNUMBER('Price History'!H30)),'Price History'!H30=0),"",'Price History'!H31/'Price History'!H30-1),"")</f>
        <v>7.0709842663739586E-2</v>
      </c>
      <c r="I30" s="141">
        <f>IFERROR(IF(OR(NOT(ISNUMBER('Price History'!I31)),NOT(ISNUMBER('Price History'!I30)),'Price History'!I30=0),"",'Price History'!I31/'Price History'!I30-1),"")</f>
        <v>-4.1693256753882135E-2</v>
      </c>
      <c r="J30" s="141">
        <f>IFERROR(IF(OR(NOT(ISNUMBER('Price History'!J31)),NOT(ISNUMBER('Price History'!J30)),'Price History'!J30=0),"",'Price History'!J31/'Price History'!J30-1),"")</f>
        <v>1.2415540540540615E-2</v>
      </c>
      <c r="K30" s="141">
        <f>IFERROR(IF(OR(NOT(ISNUMBER('Price History'!K31)),NOT(ISNUMBER('Price History'!K30)),'Price History'!K30=0),"",'Price History'!K31/'Price History'!K30-1),"")</f>
        <v>-4.8387096774193505E-2</v>
      </c>
      <c r="L30" s="141">
        <f>IFERROR(IF(OR(NOT(ISNUMBER('Price History'!L31)),NOT(ISNUMBER('Price History'!L30)),'Price History'!L30=0),"",'Price History'!L31/'Price History'!L30-1),"")</f>
        <v>-3.1933636764058138E-2</v>
      </c>
      <c r="M30" s="141">
        <f>IFERROR(IF(OR(NOT(ISNUMBER('Price History'!M31)),NOT(ISNUMBER('Price History'!M30)),'Price History'!M30=0),"",'Price History'!M31/'Price History'!M30-1),"")</f>
        <v>-9.9696048632218481E-3</v>
      </c>
      <c r="N30" s="141">
        <f>IFERROR(IF(OR(NOT(ISNUMBER('Price History'!N31)),NOT(ISNUMBER('Price History'!N30)),'Price History'!N30=0),"",'Price History'!N31/'Price History'!N30-1),"")</f>
        <v>5.6536592407254727E-3</v>
      </c>
      <c r="O30" s="141">
        <f>IFERROR(IF(OR(NOT(ISNUMBER('Price History'!O31)),NOT(ISNUMBER('Price History'!O30)),'Price History'!O30=0),"",'Price History'!O31/'Price History'!O30-1),"")</f>
        <v>2.8662784058467672E-2</v>
      </c>
      <c r="P30" s="141">
        <f>IFERROR(IF(OR(NOT(ISNUMBER('Price History'!P31)),NOT(ISNUMBER('Price History'!P30)),'Price History'!P30=0),"",'Price History'!P31/'Price History'!P30-1),"")</f>
        <v>2.5225389308806134E-2</v>
      </c>
      <c r="Q30" s="141">
        <f>IFERROR(IF(OR(NOT(ISNUMBER('Price History'!Q31)),NOT(ISNUMBER('Price History'!Q30)),'Price History'!Q30=0),"",'Price History'!Q31/'Price History'!Q30-1),"")</f>
        <v>7.2674418604656843E-4</v>
      </c>
      <c r="R30" s="141">
        <f>IFERROR(IF(OR(NOT(ISNUMBER('Price History'!R31)),NOT(ISNUMBER('Price History'!R30)),'Price History'!R30=0),"",'Price History'!R31/'Price History'!R30-1),"")</f>
        <v>-4.9103854652576828E-4</v>
      </c>
      <c r="S30" s="141">
        <f>IFERROR(IF(OR(NOT(ISNUMBER('Price History'!S31)),NOT(ISNUMBER('Price History'!S30)),'Price History'!S30=0),"",'Price History'!S31/'Price History'!S30-1),"")</f>
        <v>-7.5538209744430151E-3</v>
      </c>
      <c r="T30" s="141">
        <f>IFERROR(IF(OR(NOT(ISNUMBER('Price History'!T31)),NOT(ISNUMBER('Price History'!T30)),'Price History'!T30=0),"",'Price History'!T31/'Price History'!T30-1),"")</f>
        <v>1.5544041450777257E-2</v>
      </c>
      <c r="U30" s="141">
        <f>IFERROR(IF(OR(NOT(ISNUMBER('Price History'!U31)),NOT(ISNUMBER('Price History'!U30)),'Price History'!U30=0),"",'Price History'!U31/'Price History'!U30-1),"")</f>
        <v>1.5734989648033215E-2</v>
      </c>
      <c r="V30" s="142">
        <f>IFERROR(IF(OR(NOT(ISNUMBER('Price History'!V31)),NOT(ISNUMBER('Price History'!V30)),'Price History'!V30=0),"",'Price History'!V31/'Price History'!V30-1),"")</f>
        <v>-1.4749262536873253E-2</v>
      </c>
      <c r="W30" s="143">
        <f>IFERROR('Price History'!B3+(INDEX('Price History'!B:B,MATCH(9.99E+307,'Returns (Calc)'!$A:$A)+1)-'Price History'!B3)*(ROW()-3)/(MATCH(9.99E+307,'Returns (Calc)'!$A:$A)-3),"")</f>
        <v>479.12797468354427</v>
      </c>
      <c r="X30" s="143">
        <f>IFERROR('Price History'!C3+(INDEX('Price History'!C:C,MATCH(9.99E+307,'Returns (Calc)'!$A:$A)+1)-'Price History'!C3)*(ROW()-3)/(MATCH(9.99E+307,'Returns (Calc)'!$A:$A)-3),"")</f>
        <v>73.721708860759492</v>
      </c>
      <c r="Y30" s="143">
        <f>IFERROR('Price History'!D3+(INDEX('Price History'!D:D,MATCH(9.99E+307,'Returns (Calc)'!$A:$A)+1)-'Price History'!D3)*(ROW()-3)/(MATCH(9.99E+307,'Returns (Calc)'!$A:$A)-3),"")</f>
        <v>801.64987341772144</v>
      </c>
      <c r="Z30" s="143">
        <f>IFERROR('Price History'!E3+(INDEX('Price History'!E:E,MATCH(9.99E+307,'Returns (Calc)'!$A:$A)+1)-'Price History'!E3)*(ROW()-3)/(MATCH(9.99E+307,'Returns (Calc)'!$A:$A)-3),"")</f>
        <v>128.67582278481012</v>
      </c>
      <c r="AA30" s="143">
        <f>IFERROR('Price History'!F3+(INDEX('Price History'!F:F,MATCH(9.99E+307,'Returns (Calc)'!$A:$A)+1)-'Price History'!F3)*(ROW()-3)/(MATCH(9.99E+307,'Returns (Calc)'!$A:$A)-3),"")</f>
        <v>80.438227848101263</v>
      </c>
      <c r="AB30" s="143">
        <f>IFERROR('Price History'!G3+(INDEX('Price History'!G:G,MATCH(9.99E+307,'Returns (Calc)'!$A:$A)+1)-'Price History'!G3)*(ROW()-3)/(MATCH(9.99E+307,'Returns (Calc)'!$A:$A)-3),"")</f>
        <v>72.125822784810126</v>
      </c>
      <c r="AC30" s="143">
        <f>IFERROR('Price History'!H3+(INDEX('Price History'!H:H,MATCH(9.99E+307,'Returns (Calc)'!$A:$A)+1)-'Price History'!H3)*(ROW()-3)/(MATCH(9.99E+307,'Returns (Calc)'!$A:$A)-3),"")</f>
        <v>240.98379746835445</v>
      </c>
      <c r="AD30" s="143">
        <f>IFERROR('Price History'!I3+(INDEX('Price History'!I:I,MATCH(9.99E+307,'Returns (Calc)'!$A:$A)+1)-'Price History'!I3)*(ROW()-3)/(MATCH(9.99E+307,'Returns (Calc)'!$A:$A)-3),"")</f>
        <v>76.269113924050629</v>
      </c>
      <c r="AE30" s="143">
        <f>IFERROR('Price History'!J3+(INDEX('Price History'!J:J,MATCH(9.99E+307,'Returns (Calc)'!$A:$A)+1)-'Price History'!J3)*(ROW()-3)/(MATCH(9.99E+307,'Returns (Calc)'!$A:$A)-3),"")</f>
        <v>114.7570253164557</v>
      </c>
      <c r="AF30" s="143">
        <f>IFERROR('Price History'!K3+(INDEX('Price History'!K:K,MATCH(9.99E+307,'Returns (Calc)'!$A:$A)+1)-'Price History'!K3)*(ROW()-3)/(MATCH(9.99E+307,'Returns (Calc)'!$A:$A)-3),"")</f>
        <v>44.965063291139238</v>
      </c>
      <c r="AG30" s="143">
        <f>IFERROR('Price History'!L3+(INDEX('Price History'!L:L,MATCH(9.99E+307,'Returns (Calc)'!$A:$A)+1)-'Price History'!L3)*(ROW()-3)/(MATCH(9.99E+307,'Returns (Calc)'!$A:$A)-3),"")</f>
        <v>151.88803797468353</v>
      </c>
      <c r="AH30" s="143">
        <f>IFERROR('Price History'!M3+(INDEX('Price History'!M:M,MATCH(9.99E+307,'Returns (Calc)'!$A:$A)+1)-'Price History'!M3)*(ROW()-3)/(MATCH(9.99E+307,'Returns (Calc)'!$A:$A)-3),"")</f>
        <v>74.616962025316454</v>
      </c>
      <c r="AI30" s="143">
        <f>IFERROR('Price History'!N3+(INDEX('Price History'!N:N,MATCH(9.99E+307,'Returns (Calc)'!$A:$A)+1)-'Price History'!N3)*(ROW()-3)/(MATCH(9.99E+307,'Returns (Calc)'!$A:$A)-3),"")</f>
        <v>375.52917721518986</v>
      </c>
      <c r="AJ30" s="143">
        <f>IFERROR('Price History'!O3+(INDEX('Price History'!O:O,MATCH(9.99E+307,'Returns (Calc)'!$A:$A)+1)-'Price History'!O3)*(ROW()-3)/(MATCH(9.99E+307,'Returns (Calc)'!$A:$A)-3),"")</f>
        <v>82.952025316455703</v>
      </c>
      <c r="AK30" s="143">
        <f>IFERROR('Price History'!Q3+(INDEX('Price History'!Q:Q,MATCH(9.99E+307,'Returns (Calc)'!$A:$A)+1)-'Price History'!Q3)*(ROW()-3)/(MATCH(9.99E+307,'Returns (Calc)'!$A:$A)-3),"")</f>
        <v>11.862911392405064</v>
      </c>
      <c r="AL30" s="143">
        <f>IFERROR('Price History'!R3+(INDEX('Price History'!R:R,MATCH(9.99E+307,'Returns (Calc)'!$A:$A)+1)-'Price History'!R3)*(ROW()-3)/(MATCH(9.99E+307,'Returns (Calc)'!$A:$A)-3),"")</f>
        <v>39.018734177215187</v>
      </c>
      <c r="AM30" s="143">
        <f>IFERROR('Price History'!S3+(INDEX('Price History'!S:S,MATCH(9.99E+307,'Returns (Calc)'!$A:$A)+1)-'Price History'!S3)*(ROW()-3)/(MATCH(9.99E+307,'Returns (Calc)'!$A:$A)-3),"")</f>
        <v>73.966708860759496</v>
      </c>
      <c r="AN30" s="143">
        <f>IFERROR('Price History'!T3+(INDEX('Price History'!T:T,MATCH(9.99E+307,'Returns (Calc)'!$A:$A)+1)-'Price History'!T3)*(ROW()-3)/(MATCH(9.99E+307,'Returns (Calc)'!$A:$A)-3),"")</f>
        <v>29.782151898734178</v>
      </c>
      <c r="AO30" s="144">
        <f>IFERROR('Price History'!V3+(INDEX('Price History'!V:V,MATCH(9.99E+307,'Returns (Calc)'!$A:$A)+1)-'Price History'!V3)*(ROW()-3)/(MATCH(9.99E+307,'Returns (Calc)'!$A:$A)-3),"")</f>
        <v>256.99588607594939</v>
      </c>
      <c r="AP30" s="142">
        <f>IFERROR(IF(OR(NOT(ISNUMBER('Price History'!W31)),NOT(ISNUMBER('Price History'!W30)),'Price History'!W30=0),"",'Price History'!W31/'Price History'!W30-1),"")</f>
        <v>1.6061013907581856E-2</v>
      </c>
      <c r="AQ30" s="142" t="str">
        <f>IFERROR(IF(OR(NOT(ISNUMBER('Price History'!X31)),NOT(ISNUMBER('Price History'!X30)),'Price History'!X30=0),"",'Price History'!X31/'Price History'!X30-1),"")</f>
        <v/>
      </c>
      <c r="AR30" s="142">
        <f>IFERROR(IF(OR(NOT(ISNUMBER('Price History'!Y31)),NOT(ISNUMBER('Price History'!Y30)),'Price History'!Y30=0),"",'Price History'!Y31/'Price History'!Y30-1),"")</f>
        <v>6.8361461226233988E-3</v>
      </c>
      <c r="AS30" s="142">
        <f>IFERROR(IF(OR(NOT(ISNUMBER('Price History'!Z31)),NOT(ISNUMBER('Price History'!Z30)),'Price History'!Z30=0),"",'Price History'!Z31/'Price History'!Z30-1),"")</f>
        <v>2.1784910318785045E-3</v>
      </c>
      <c r="AT30" s="142">
        <f>IFERROR(IF(OR(NOT(ISNUMBER('Price History'!AA31)),NOT(ISNUMBER('Price History'!AA30)),'Price History'!AA30=0),"",'Price History'!AA31/'Price History'!AA30-1),"")</f>
        <v>-3.2961783439490411E-2</v>
      </c>
    </row>
    <row r="31" spans="1:46" ht="15" customHeight="1" x14ac:dyDescent="0.35">
      <c r="A31" s="140">
        <f>IF('Price History'!A32="","",'Price History'!A32)</f>
        <v>45387</v>
      </c>
      <c r="B31" s="141">
        <f>IFERROR(IF(OR(NOT(ISNUMBER('Price History'!B32)),NOT(ISNUMBER('Price History'!B31)),'Price History'!B31=0),"",'Price History'!B32/'Price History'!B31-1),"")</f>
        <v>-3.8604835513277869E-2</v>
      </c>
      <c r="C31" s="141">
        <f>IFERROR(IF(OR(NOT(ISNUMBER('Price History'!C32)),NOT(ISNUMBER('Price History'!C31)),'Price History'!C31=0),"",'Price History'!C32/'Price History'!C31-1),"")</f>
        <v>2.6206896551724146E-2</v>
      </c>
      <c r="D31" s="141">
        <f>IFERROR(IF(OR(NOT(ISNUMBER('Price History'!D32)),NOT(ISNUMBER('Price History'!D31)),'Price History'!D31=0),"",'Price History'!D32/'Price History'!D31-1),"")</f>
        <v>9.36122768819736E-3</v>
      </c>
      <c r="E31" s="141">
        <f>IFERROR(IF(OR(NOT(ISNUMBER('Price History'!E32)),NOT(ISNUMBER('Price History'!E31)),'Price History'!E31=0),"",'Price History'!E32/'Price History'!E31-1),"")</f>
        <v>1.0583236770953963E-2</v>
      </c>
      <c r="F31" s="141">
        <f>IFERROR(IF(OR(NOT(ISNUMBER('Price History'!F32)),NOT(ISNUMBER('Price History'!F31)),'Price History'!F31=0),"",'Price History'!F32/'Price History'!F31-1),"")</f>
        <v>-1.5845290081098029E-2</v>
      </c>
      <c r="G31" s="141">
        <f>IFERROR(IF(OR(NOT(ISNUMBER('Price History'!G32)),NOT(ISNUMBER('Price History'!G31)),'Price History'!G31=0),"",'Price History'!G32/'Price History'!G31-1),"")</f>
        <v>-2.2465353756382034E-2</v>
      </c>
      <c r="H31" s="141">
        <f>IFERROR(IF(OR(NOT(ISNUMBER('Price History'!H32)),NOT(ISNUMBER('Price History'!H31)),'Price History'!H31=0),"",'Price History'!H32/'Price History'!H31-1),"")</f>
        <v>4.8269970098248738E-2</v>
      </c>
      <c r="I31" s="141">
        <f>IFERROR(IF(OR(NOT(ISNUMBER('Price History'!I32)),NOT(ISNUMBER('Price History'!I31)),'Price History'!I31=0),"",'Price History'!I32/'Price History'!I31-1),"")</f>
        <v>-2.5971143174250755E-2</v>
      </c>
      <c r="J31" s="141">
        <f>IFERROR(IF(OR(NOT(ISNUMBER('Price History'!J32)),NOT(ISNUMBER('Price History'!J31)),'Price History'!J31=0),"",'Price History'!J32/'Price History'!J31-1),"")</f>
        <v>-4.2128973054142094E-2</v>
      </c>
      <c r="K31" s="141">
        <f>IFERROR(IF(OR(NOT(ISNUMBER('Price History'!K32)),NOT(ISNUMBER('Price History'!K31)),'Price History'!K31=0),"",'Price History'!K32/'Price History'!K31-1),"")</f>
        <v>-2.1729682746631784E-3</v>
      </c>
      <c r="L31" s="141">
        <f>IFERROR(IF(OR(NOT(ISNUMBER('Price History'!L32)),NOT(ISNUMBER('Price History'!L31)),'Price History'!L31=0),"",'Price History'!L32/'Price History'!L31-1),"")</f>
        <v>3.8977781148100243E-2</v>
      </c>
      <c r="M31" s="141">
        <f>IFERROR(IF(OR(NOT(ISNUMBER('Price History'!M32)),NOT(ISNUMBER('Price History'!M31)),'Price History'!M31=0),"",'Price History'!M32/'Price History'!M31-1),"")</f>
        <v>4.4946579884563409E-2</v>
      </c>
      <c r="N31" s="141">
        <f>IFERROR(IF(OR(NOT(ISNUMBER('Price History'!N32)),NOT(ISNUMBER('Price History'!N31)),'Price History'!N31=0),"",'Price History'!N32/'Price History'!N31-1),"")</f>
        <v>-2.7128537594794278E-2</v>
      </c>
      <c r="O31" s="141">
        <f>IFERROR(IF(OR(NOT(ISNUMBER('Price History'!O32)),NOT(ISNUMBER('Price History'!O31)),'Price History'!O31=0),"",'Price History'!O32/'Price History'!O31-1),"")</f>
        <v>-2.1536412078152711E-2</v>
      </c>
      <c r="P31" s="141">
        <f>IFERROR(IF(OR(NOT(ISNUMBER('Price History'!P32)),NOT(ISNUMBER('Price History'!P31)),'Price History'!P31=0),"",'Price History'!P32/'Price History'!P31-1),"")</f>
        <v>-1.7765144785930054E-2</v>
      </c>
      <c r="Q31" s="141">
        <f>IFERROR(IF(OR(NOT(ISNUMBER('Price History'!Q32)),NOT(ISNUMBER('Price History'!Q31)),'Price History'!Q31=0),"",'Price History'!Q32/'Price History'!Q31-1),"")</f>
        <v>-3.8126361655773655E-3</v>
      </c>
      <c r="R31" s="141">
        <f>IFERROR(IF(OR(NOT(ISNUMBER('Price History'!R32)),NOT(ISNUMBER('Price History'!R31)),'Price History'!R31=0),"",'Price History'!R32/'Price History'!R31-1),"")</f>
        <v>-4.1758781626136665E-3</v>
      </c>
      <c r="S31" s="141">
        <f>IFERROR(IF(OR(NOT(ISNUMBER('Price History'!S32)),NOT(ISNUMBER('Price History'!S31)),'Price History'!S31=0),"",'Price History'!S32/'Price History'!S31-1),"")</f>
        <v>2.9176709374603149E-3</v>
      </c>
      <c r="T31" s="141">
        <f>IFERROR(IF(OR(NOT(ISNUMBER('Price History'!T32)),NOT(ISNUMBER('Price History'!T31)),'Price History'!T31=0),"",'Price History'!T32/'Price History'!T31-1),"")</f>
        <v>-2.5510204081632404E-3</v>
      </c>
      <c r="U31" s="141">
        <f>IFERROR(IF(OR(NOT(ISNUMBER('Price History'!U32)),NOT(ISNUMBER('Price History'!U31)),'Price History'!U31=0),"",'Price History'!U32/'Price History'!U31-1),"")</f>
        <v>-2.0383204239706521E-2</v>
      </c>
      <c r="V31" s="142">
        <f>IFERROR(IF(OR(NOT(ISNUMBER('Price History'!V32)),NOT(ISNUMBER('Price History'!V31)),'Price History'!V31=0),"",'Price History'!V32/'Price History'!V31-1),"")</f>
        <v>-6.973857163721231E-3</v>
      </c>
      <c r="W31" s="143">
        <f>IFERROR('Price History'!B3+(INDEX('Price History'!B:B,MATCH(9.99E+307,'Returns (Calc)'!$A:$A)+1)-'Price History'!B3)*(ROW()-3)/(MATCH(9.99E+307,'Returns (Calc)'!$A:$A)-3),"")</f>
        <v>477.28493670886076</v>
      </c>
      <c r="X31" s="143">
        <f>IFERROR('Price History'!C3+(INDEX('Price History'!C:C,MATCH(9.99E+307,'Returns (Calc)'!$A:$A)+1)-'Price History'!C3)*(ROW()-3)/(MATCH(9.99E+307,'Returns (Calc)'!$A:$A)-3),"")</f>
        <v>74.741772151898729</v>
      </c>
      <c r="Y31" s="143">
        <f>IFERROR('Price History'!D3+(INDEX('Price History'!D:D,MATCH(9.99E+307,'Returns (Calc)'!$A:$A)+1)-'Price History'!D3)*(ROW()-3)/(MATCH(9.99E+307,'Returns (Calc)'!$A:$A)-3),"")</f>
        <v>809.78468354430379</v>
      </c>
      <c r="Z31" s="143">
        <f>IFERROR('Price History'!E3+(INDEX('Price History'!E:E,MATCH(9.99E+307,'Returns (Calc)'!$A:$A)+1)-'Price History'!E3)*(ROW()-3)/(MATCH(9.99E+307,'Returns (Calc)'!$A:$A)-3),"")</f>
        <v>130.40455696202531</v>
      </c>
      <c r="AA31" s="143">
        <f>IFERROR('Price History'!F3+(INDEX('Price History'!F:F,MATCH(9.99E+307,'Returns (Calc)'!$A:$A)+1)-'Price History'!F3)*(ROW()-3)/(MATCH(9.99E+307,'Returns (Calc)'!$A:$A)-3),"")</f>
        <v>81.885569620253165</v>
      </c>
      <c r="AB31" s="143">
        <f>IFERROR('Price History'!G3+(INDEX('Price History'!G:G,MATCH(9.99E+307,'Returns (Calc)'!$A:$A)+1)-'Price History'!G3)*(ROW()-3)/(MATCH(9.99E+307,'Returns (Calc)'!$A:$A)-3),"")</f>
        <v>73.15455696202531</v>
      </c>
      <c r="AC31" s="143">
        <f>IFERROR('Price History'!H3+(INDEX('Price History'!H:H,MATCH(9.99E+307,'Returns (Calc)'!$A:$A)+1)-'Price History'!H3)*(ROW()-3)/(MATCH(9.99E+307,'Returns (Calc)'!$A:$A)-3),"")</f>
        <v>247.34949367088609</v>
      </c>
      <c r="AD31" s="143">
        <f>IFERROR('Price History'!I3+(INDEX('Price History'!I:I,MATCH(9.99E+307,'Returns (Calc)'!$A:$A)+1)-'Price History'!I3)*(ROW()-3)/(MATCH(9.99E+307,'Returns (Calc)'!$A:$A)-3),"")</f>
        <v>77.472784810126569</v>
      </c>
      <c r="AE31" s="143">
        <f>IFERROR('Price History'!J3+(INDEX('Price History'!J:J,MATCH(9.99E+307,'Returns (Calc)'!$A:$A)+1)-'Price History'!J3)*(ROW()-3)/(MATCH(9.99E+307,'Returns (Calc)'!$A:$A)-3),"")</f>
        <v>114.86506329113924</v>
      </c>
      <c r="AF31" s="143">
        <f>IFERROR('Price History'!K3+(INDEX('Price History'!K:K,MATCH(9.99E+307,'Returns (Calc)'!$A:$A)+1)-'Price History'!K3)*(ROW()-3)/(MATCH(9.99E+307,'Returns (Calc)'!$A:$A)-3),"")</f>
        <v>46.062658227848097</v>
      </c>
      <c r="AG31" s="143">
        <f>IFERROR('Price History'!L3+(INDEX('Price History'!L:L,MATCH(9.99E+307,'Returns (Calc)'!$A:$A)+1)-'Price History'!L3)*(ROW()-3)/(MATCH(9.99E+307,'Returns (Calc)'!$A:$A)-3),"")</f>
        <v>154.33759493670885</v>
      </c>
      <c r="AH31" s="143">
        <f>IFERROR('Price History'!M3+(INDEX('Price History'!M:M,MATCH(9.99E+307,'Returns (Calc)'!$A:$A)+1)-'Price History'!M3)*(ROW()-3)/(MATCH(9.99E+307,'Returns (Calc)'!$A:$A)-3),"")</f>
        <v>75.972405063291149</v>
      </c>
      <c r="AI31" s="143">
        <f>IFERROR('Price History'!N3+(INDEX('Price History'!N:N,MATCH(9.99E+307,'Returns (Calc)'!$A:$A)+1)-'Price History'!N3)*(ROW()-3)/(MATCH(9.99E+307,'Returns (Calc)'!$A:$A)-3),"")</f>
        <v>376.51544303797465</v>
      </c>
      <c r="AJ31" s="143">
        <f>IFERROR('Price History'!O3+(INDEX('Price History'!O:O,MATCH(9.99E+307,'Returns (Calc)'!$A:$A)+1)-'Price History'!O3)*(ROW()-3)/(MATCH(9.99E+307,'Returns (Calc)'!$A:$A)-3),"")</f>
        <v>83.235063291139241</v>
      </c>
      <c r="AK31" s="143">
        <f>IFERROR('Price History'!Q3+(INDEX('Price History'!Q:Q,MATCH(9.99E+307,'Returns (Calc)'!$A:$A)+1)-'Price History'!Q3)*(ROW()-3)/(MATCH(9.99E+307,'Returns (Calc)'!$A:$A)-3),"")</f>
        <v>12.302278481012658</v>
      </c>
      <c r="AL31" s="143">
        <f>IFERROR('Price History'!R3+(INDEX('Price History'!R:R,MATCH(9.99E+307,'Returns (Calc)'!$A:$A)+1)-'Price History'!R3)*(ROW()-3)/(MATCH(9.99E+307,'Returns (Calc)'!$A:$A)-3),"")</f>
        <v>39.186835443037971</v>
      </c>
      <c r="AM31" s="143">
        <f>IFERROR('Price History'!S3+(INDEX('Price History'!S:S,MATCH(9.99E+307,'Returns (Calc)'!$A:$A)+1)-'Price History'!S3)*(ROW()-3)/(MATCH(9.99E+307,'Returns (Calc)'!$A:$A)-3),"")</f>
        <v>74.571772151898728</v>
      </c>
      <c r="AN31" s="143">
        <f>IFERROR('Price History'!T3+(INDEX('Price History'!T:T,MATCH(9.99E+307,'Returns (Calc)'!$A:$A)+1)-'Price History'!T3)*(ROW()-3)/(MATCH(9.99E+307,'Returns (Calc)'!$A:$A)-3),"")</f>
        <v>29.950379746835441</v>
      </c>
      <c r="AO31" s="144">
        <f>IFERROR('Price History'!V3+(INDEX('Price History'!V:V,MATCH(9.99E+307,'Returns (Calc)'!$A:$A)+1)-'Price History'!V3)*(ROW()-3)/(MATCH(9.99E+307,'Returns (Calc)'!$A:$A)-3),"")</f>
        <v>257.78721518987339</v>
      </c>
      <c r="AP31" s="142">
        <f>IFERROR(IF(OR(NOT(ISNUMBER('Price History'!W32)),NOT(ISNUMBER('Price History'!W31)),'Price History'!W31=0),"",'Price History'!W32/'Price History'!W31-1),"")</f>
        <v>-1.4305898975626952E-2</v>
      </c>
      <c r="AQ31" s="142" t="str">
        <f>IFERROR(IF(OR(NOT(ISNUMBER('Price History'!X32)),NOT(ISNUMBER('Price History'!X31)),'Price History'!X31=0),"",'Price History'!X32/'Price History'!X31-1),"")</f>
        <v/>
      </c>
      <c r="AR31" s="142">
        <f>IFERROR(IF(OR(NOT(ISNUMBER('Price History'!Y32)),NOT(ISNUMBER('Price History'!Y31)),'Price History'!Y31=0),"",'Price History'!Y32/'Price History'!Y31-1),"")</f>
        <v>-7.6384468491406121E-3</v>
      </c>
      <c r="AS31" s="142">
        <f>IFERROR(IF(OR(NOT(ISNUMBER('Price History'!Z32)),NOT(ISNUMBER('Price History'!Z31)),'Price History'!Z31=0),"",'Price History'!Z32/'Price History'!Z31-1),"")</f>
        <v>0.1157162524454749</v>
      </c>
      <c r="AT31" s="142">
        <f>IFERROR(IF(OR(NOT(ISNUMBER('Price History'!AA32)),NOT(ISNUMBER('Price History'!AA31)),'Price History'!AA31=0),"",'Price History'!AA32/'Price History'!AA31-1),"")</f>
        <v>4.7587683187880758E-2</v>
      </c>
    </row>
    <row r="32" spans="1:46" ht="15" customHeight="1" x14ac:dyDescent="0.35">
      <c r="A32" s="140">
        <f>IF('Price History'!A33="","",'Price History'!A33)</f>
        <v>45394</v>
      </c>
      <c r="B32" s="141">
        <f>IFERROR(IF(OR(NOT(ISNUMBER('Price History'!B33)),NOT(ISNUMBER('Price History'!B32)),'Price History'!B32=0),"",'Price History'!B33/'Price History'!B32-1),"")</f>
        <v>-2.2736642480211122E-2</v>
      </c>
      <c r="C32" s="141">
        <f>IFERROR(IF(OR(NOT(ISNUMBER('Price History'!C33)),NOT(ISNUMBER('Price History'!C32)),'Price History'!C32=0),"",'Price History'!C33/'Price History'!C32-1),"")</f>
        <v>-8.8575268817204345E-2</v>
      </c>
      <c r="D32" s="141">
        <f>IFERROR(IF(OR(NOT(ISNUMBER('Price History'!D33)),NOT(ISNUMBER('Price History'!D32)),'Price History'!D32=0),"",'Price History'!D33/'Price History'!D32-1),"")</f>
        <v>-1.8079884955660042E-2</v>
      </c>
      <c r="E32" s="141">
        <f>IFERROR(IF(OR(NOT(ISNUMBER('Price History'!E33)),NOT(ISNUMBER('Price History'!E32)),'Price History'!E32=0),"",'Price History'!E33/'Price History'!E32-1),"")</f>
        <v>3.4398410029048421E-3</v>
      </c>
      <c r="F32" s="141">
        <f>IFERROR(IF(OR(NOT(ISNUMBER('Price History'!F33)),NOT(ISNUMBER('Price History'!F32)),'Price History'!F32=0),"",'Price History'!F33/'Price History'!F32-1),"")</f>
        <v>-2.0537525354969444E-2</v>
      </c>
      <c r="G32" s="141">
        <f>IFERROR(IF(OR(NOT(ISNUMBER('Price History'!G33)),NOT(ISNUMBER('Price History'!G32)),'Price History'!G32=0),"",'Price History'!G33/'Price History'!G32-1),"")</f>
        <v>-2.9846291598268904E-3</v>
      </c>
      <c r="H32" s="141">
        <f>IFERROR(IF(OR(NOT(ISNUMBER('Price History'!H33)),NOT(ISNUMBER('Price History'!H32)),'Price History'!H32=0),"",'Price History'!H33/'Price History'!H32-1),"")</f>
        <v>-8.5574572127139481E-3</v>
      </c>
      <c r="I32" s="141">
        <f>IFERROR(IF(OR(NOT(ISNUMBER('Price History'!I33)),NOT(ISNUMBER('Price History'!I32)),'Price History'!I32=0),"",'Price History'!I33/'Price History'!I32-1),"")</f>
        <v>2.0510483135824931E-3</v>
      </c>
      <c r="J32" s="141">
        <f>IFERROR(IF(OR(NOT(ISNUMBER('Price History'!J33)),NOT(ISNUMBER('Price History'!J32)),'Price History'!J32=0),"",'Price History'!J33/'Price History'!J32-1),"")</f>
        <v>-4.5985020031353296E-2</v>
      </c>
      <c r="K32" s="141">
        <f>IFERROR(IF(OR(NOT(ISNUMBER('Price History'!K33)),NOT(ISNUMBER('Price History'!K32)),'Price History'!K32=0),"",'Price History'!K33/'Price History'!K32-1),"")</f>
        <v>-1.2630662020905903E-2</v>
      </c>
      <c r="L32" s="141">
        <f>IFERROR(IF(OR(NOT(ISNUMBER('Price History'!L33)),NOT(ISNUMBER('Price History'!L32)),'Price History'!L32=0),"",'Price History'!L33/'Price History'!L32-1),"")</f>
        <v>8.2475731698414823E-3</v>
      </c>
      <c r="M32" s="141">
        <f>IFERROR(IF(OR(NOT(ISNUMBER('Price History'!M33)),NOT(ISNUMBER('Price History'!M32)),'Price History'!M32=0),"",'Price History'!M33/'Price History'!M32-1),"")</f>
        <v>-1.7040780350217499E-2</v>
      </c>
      <c r="N32" s="141">
        <f>IFERROR(IF(OR(NOT(ISNUMBER('Price History'!N33)),NOT(ISNUMBER('Price History'!N32)),'Price History'!N32=0),"",'Price History'!N33/'Price History'!N32-1),"")</f>
        <v>-2.4885041925885809E-2</v>
      </c>
      <c r="O32" s="141">
        <f>IFERROR(IF(OR(NOT(ISNUMBER('Price History'!O33)),NOT(ISNUMBER('Price History'!O32)),'Price History'!O32=0),"",'Price History'!O33/'Price History'!O32-1),"")</f>
        <v>-3.0859995461765322E-2</v>
      </c>
      <c r="P32" s="141">
        <f>IFERROR(IF(OR(NOT(ISNUMBER('Price History'!P33)),NOT(ISNUMBER('Price History'!P32)),'Price History'!P32=0),"",'Price History'!P33/'Price History'!P32-1),"")</f>
        <v>-2.8576596129498921E-2</v>
      </c>
      <c r="Q32" s="141">
        <f>IFERROR(IF(OR(NOT(ISNUMBER('Price History'!Q33)),NOT(ISNUMBER('Price History'!Q32)),'Price History'!Q32=0),"",'Price History'!Q33/'Price History'!Q32-1),"")</f>
        <v>-6.3787133223982551E-3</v>
      </c>
      <c r="R32" s="141">
        <f>IFERROR(IF(OR(NOT(ISNUMBER('Price History'!R33)),NOT(ISNUMBER('Price History'!R32)),'Price History'!R32=0),"",'Price History'!R33/'Price History'!R32-1),"")</f>
        <v>-3.453379378391741E-3</v>
      </c>
      <c r="S32" s="141">
        <f>IFERROR(IF(OR(NOT(ISNUMBER('Price History'!S33)),NOT(ISNUMBER('Price History'!S32)),'Price History'!S32=0),"",'Price History'!S33/'Price History'!S32-1),"")</f>
        <v>-1.4039969643308892E-2</v>
      </c>
      <c r="T32" s="141">
        <f>IFERROR(IF(OR(NOT(ISNUMBER('Price History'!T33)),NOT(ISNUMBER('Price History'!T32)),'Price History'!T32=0),"",'Price History'!T33/'Price History'!T32-1),"")</f>
        <v>-2.5575447570332477E-2</v>
      </c>
      <c r="U32" s="141">
        <f>IFERROR(IF(OR(NOT(ISNUMBER('Price History'!U33)),NOT(ISNUMBER('Price History'!U32)),'Price History'!U32=0),"",'Price History'!U33/'Price History'!U32-1),"")</f>
        <v>-2.7881814398668436E-2</v>
      </c>
      <c r="V32" s="142">
        <f>IFERROR(IF(OR(NOT(ISNUMBER('Price History'!V33)),NOT(ISNUMBER('Price History'!V32)),'Price History'!V32=0),"",'Price History'!V33/'Price History'!V32-1),"")</f>
        <v>-4.2284075449499081E-3</v>
      </c>
      <c r="W32" s="143">
        <f>IFERROR('Price History'!B3+(INDEX('Price History'!B:B,MATCH(9.99E+307,'Returns (Calc)'!$A:$A)+1)-'Price History'!B3)*(ROW()-3)/(MATCH(9.99E+307,'Returns (Calc)'!$A:$A)-3),"")</f>
        <v>475.44189873417719</v>
      </c>
      <c r="X32" s="143">
        <f>IFERROR('Price History'!C3+(INDEX('Price History'!C:C,MATCH(9.99E+307,'Returns (Calc)'!$A:$A)+1)-'Price History'!C3)*(ROW()-3)/(MATCH(9.99E+307,'Returns (Calc)'!$A:$A)-3),"")</f>
        <v>75.761835443037967</v>
      </c>
      <c r="Y32" s="143">
        <f>IFERROR('Price History'!D3+(INDEX('Price History'!D:D,MATCH(9.99E+307,'Returns (Calc)'!$A:$A)+1)-'Price History'!D3)*(ROW()-3)/(MATCH(9.99E+307,'Returns (Calc)'!$A:$A)-3),"")</f>
        <v>817.91949367088603</v>
      </c>
      <c r="Z32" s="143">
        <f>IFERROR('Price History'!E3+(INDEX('Price History'!E:E,MATCH(9.99E+307,'Returns (Calc)'!$A:$A)+1)-'Price History'!E3)*(ROW()-3)/(MATCH(9.99E+307,'Returns (Calc)'!$A:$A)-3),"")</f>
        <v>132.1332911392405</v>
      </c>
      <c r="AA32" s="143">
        <f>IFERROR('Price History'!F3+(INDEX('Price History'!F:F,MATCH(9.99E+307,'Returns (Calc)'!$A:$A)+1)-'Price History'!F3)*(ROW()-3)/(MATCH(9.99E+307,'Returns (Calc)'!$A:$A)-3),"")</f>
        <v>83.332911392405066</v>
      </c>
      <c r="AB32" s="143">
        <f>IFERROR('Price History'!G3+(INDEX('Price History'!G:G,MATCH(9.99E+307,'Returns (Calc)'!$A:$A)+1)-'Price History'!G3)*(ROW()-3)/(MATCH(9.99E+307,'Returns (Calc)'!$A:$A)-3),"")</f>
        <v>74.183291139240509</v>
      </c>
      <c r="AC32" s="143">
        <f>IFERROR('Price History'!H3+(INDEX('Price History'!H:H,MATCH(9.99E+307,'Returns (Calc)'!$A:$A)+1)-'Price History'!H3)*(ROW()-3)/(MATCH(9.99E+307,'Returns (Calc)'!$A:$A)-3),"")</f>
        <v>253.71518987341773</v>
      </c>
      <c r="AD32" s="143">
        <f>IFERROR('Price History'!I3+(INDEX('Price History'!I:I,MATCH(9.99E+307,'Returns (Calc)'!$A:$A)+1)-'Price History'!I3)*(ROW()-3)/(MATCH(9.99E+307,'Returns (Calc)'!$A:$A)-3),"")</f>
        <v>78.676455696202538</v>
      </c>
      <c r="AE32" s="143">
        <f>IFERROR('Price History'!J3+(INDEX('Price History'!J:J,MATCH(9.99E+307,'Returns (Calc)'!$A:$A)+1)-'Price History'!J3)*(ROW()-3)/(MATCH(9.99E+307,'Returns (Calc)'!$A:$A)-3),"")</f>
        <v>114.97310126582279</v>
      </c>
      <c r="AF32" s="143">
        <f>IFERROR('Price History'!K3+(INDEX('Price History'!K:K,MATCH(9.99E+307,'Returns (Calc)'!$A:$A)+1)-'Price History'!K3)*(ROW()-3)/(MATCH(9.99E+307,'Returns (Calc)'!$A:$A)-3),"")</f>
        <v>47.160253164556956</v>
      </c>
      <c r="AG32" s="143">
        <f>IFERROR('Price History'!L3+(INDEX('Price History'!L:L,MATCH(9.99E+307,'Returns (Calc)'!$A:$A)+1)-'Price History'!L3)*(ROW()-3)/(MATCH(9.99E+307,'Returns (Calc)'!$A:$A)-3),"")</f>
        <v>156.78715189873418</v>
      </c>
      <c r="AH32" s="143">
        <f>IFERROR('Price History'!M3+(INDEX('Price History'!M:M,MATCH(9.99E+307,'Returns (Calc)'!$A:$A)+1)-'Price History'!M3)*(ROW()-3)/(MATCH(9.99E+307,'Returns (Calc)'!$A:$A)-3),"")</f>
        <v>77.327848101265829</v>
      </c>
      <c r="AI32" s="143">
        <f>IFERROR('Price History'!N3+(INDEX('Price History'!N:N,MATCH(9.99E+307,'Returns (Calc)'!$A:$A)+1)-'Price History'!N3)*(ROW()-3)/(MATCH(9.99E+307,'Returns (Calc)'!$A:$A)-3),"")</f>
        <v>377.50170886075949</v>
      </c>
      <c r="AJ32" s="143">
        <f>IFERROR('Price History'!O3+(INDEX('Price History'!O:O,MATCH(9.99E+307,'Returns (Calc)'!$A:$A)+1)-'Price History'!O3)*(ROW()-3)/(MATCH(9.99E+307,'Returns (Calc)'!$A:$A)-3),"")</f>
        <v>83.518101265822793</v>
      </c>
      <c r="AK32" s="143">
        <f>IFERROR('Price History'!Q3+(INDEX('Price History'!Q:Q,MATCH(9.99E+307,'Returns (Calc)'!$A:$A)+1)-'Price History'!Q3)*(ROW()-3)/(MATCH(9.99E+307,'Returns (Calc)'!$A:$A)-3),"")</f>
        <v>12.741645569620253</v>
      </c>
      <c r="AL32" s="143">
        <f>IFERROR('Price History'!R3+(INDEX('Price History'!R:R,MATCH(9.99E+307,'Returns (Calc)'!$A:$A)+1)-'Price History'!R3)*(ROW()-3)/(MATCH(9.99E+307,'Returns (Calc)'!$A:$A)-3),"")</f>
        <v>39.354936708860755</v>
      </c>
      <c r="AM32" s="143">
        <f>IFERROR('Price History'!S3+(INDEX('Price History'!S:S,MATCH(9.99E+307,'Returns (Calc)'!$A:$A)+1)-'Price History'!S3)*(ROW()-3)/(MATCH(9.99E+307,'Returns (Calc)'!$A:$A)-3),"")</f>
        <v>75.176835443037973</v>
      </c>
      <c r="AN32" s="143">
        <f>IFERROR('Price History'!T3+(INDEX('Price History'!T:T,MATCH(9.99E+307,'Returns (Calc)'!$A:$A)+1)-'Price History'!T3)*(ROW()-3)/(MATCH(9.99E+307,'Returns (Calc)'!$A:$A)-3),"")</f>
        <v>30.118607594936709</v>
      </c>
      <c r="AO32" s="144">
        <f>IFERROR('Price History'!V3+(INDEX('Price History'!V:V,MATCH(9.99E+307,'Returns (Calc)'!$A:$A)+1)-'Price History'!V3)*(ROW()-3)/(MATCH(9.99E+307,'Returns (Calc)'!$A:$A)-3),"")</f>
        <v>258.57854430379746</v>
      </c>
      <c r="AP32" s="142">
        <f>IFERROR(IF(OR(NOT(ISNUMBER('Price History'!W33)),NOT(ISNUMBER('Price History'!W32)),'Price History'!W32=0),"",'Price History'!W33/'Price History'!W32-1),"")</f>
        <v>-2.6518545063608734E-2</v>
      </c>
      <c r="AQ32" s="142" t="str">
        <f>IFERROR(IF(OR(NOT(ISNUMBER('Price History'!X33)),NOT(ISNUMBER('Price History'!X32)),'Price History'!X32=0),"",'Price History'!X33/'Price History'!X32-1),"")</f>
        <v/>
      </c>
      <c r="AR32" s="142">
        <f>IFERROR(IF(OR(NOT(ISNUMBER('Price History'!Y33)),NOT(ISNUMBER('Price History'!Y32)),'Price History'!Y32=0),"",'Price History'!Y33/'Price History'!Y32-1),"")</f>
        <v>-1.5394483643361268E-2</v>
      </c>
      <c r="AS32" s="142">
        <f>IFERROR(IF(OR(NOT(ISNUMBER('Price History'!Z33)),NOT(ISNUMBER('Price History'!Z32)),'Price History'!Z32=0),"",'Price History'!Z33/'Price History'!Z32-1),"")</f>
        <v>-8.9622028834913658E-3</v>
      </c>
      <c r="AT32" s="142">
        <f>IFERROR(IF(OR(NOT(ISNUMBER('Price History'!AA33)),NOT(ISNUMBER('Price History'!AA32)),'Price History'!AA32=0),"",'Price History'!AA33/'Price History'!AA32-1),"")</f>
        <v>-2.1062558943728327E-2</v>
      </c>
    </row>
    <row r="33" spans="1:46" ht="15" customHeight="1" x14ac:dyDescent="0.35">
      <c r="A33" s="140">
        <f>IF('Price History'!A34="","",'Price History'!A34)</f>
        <v>45401</v>
      </c>
      <c r="B33" s="141">
        <f>IFERROR(IF(OR(NOT(ISNUMBER('Price History'!B34)),NOT(ISNUMBER('Price History'!B33)),'Price History'!B33=0),"",'Price History'!B34/'Price History'!B33-1),"")</f>
        <v>-1.9131388554915696E-2</v>
      </c>
      <c r="C33" s="141">
        <f>IFERROR(IF(OR(NOT(ISNUMBER('Price History'!C34)),NOT(ISNUMBER('Price History'!C33)),'Price History'!C33=0),"",'Price History'!C34/'Price History'!C33-1),"")</f>
        <v>-9.2759180061937729E-2</v>
      </c>
      <c r="D33" s="141">
        <f>IFERROR(IF(OR(NOT(ISNUMBER('Price History'!D34)),NOT(ISNUMBER('Price History'!D33)),'Price History'!D33=0),"",'Price History'!D34/'Price History'!D33-1),"")</f>
        <v>-0.10635904402088558</v>
      </c>
      <c r="E33" s="141">
        <f>IFERROR(IF(OR(NOT(ISNUMBER('Price History'!E34)),NOT(ISNUMBER('Price History'!E33)),'Price History'!E33=0),"",'Price History'!E34/'Price History'!E33-1),"")</f>
        <v>-0.10367943932353174</v>
      </c>
      <c r="F33" s="141">
        <f>IFERROR(IF(OR(NOT(ISNUMBER('Price History'!F34)),NOT(ISNUMBER('Price History'!F33)),'Price History'!F33=0),"",'Price History'!F34/'Price History'!F33-1),"")</f>
        <v>-8.5425834843386061E-2</v>
      </c>
      <c r="G33" s="141">
        <f>IFERROR(IF(OR(NOT(ISNUMBER('Price History'!G34)),NOT(ISNUMBER('Price History'!G33)),'Price History'!G33=0),"",'Price History'!G34/'Price History'!G33-1),"")</f>
        <v>-7.7383625205807549E-2</v>
      </c>
      <c r="H33" s="141">
        <f>IFERROR(IF(OR(NOT(ISNUMBER('Price History'!H34)),NOT(ISNUMBER('Price History'!H33)),'Price History'!H33=0),"",'Price History'!H34/'Price History'!H33-1),"")</f>
        <v>-0.12856555692560623</v>
      </c>
      <c r="I33" s="141">
        <f>IFERROR(IF(OR(NOT(ISNUMBER('Price History'!I34)),NOT(ISNUMBER('Price History'!I33)),'Price History'!I33=0),"",'Price History'!I34/'Price History'!I33-1),"")</f>
        <v>-0.13600181942233336</v>
      </c>
      <c r="J33" s="141">
        <f>IFERROR(IF(OR(NOT(ISNUMBER('Price History'!J34)),NOT(ISNUMBER('Price History'!J33)),'Price History'!J33=0),"",'Price History'!J34/'Price History'!J33-1),"")</f>
        <v>-0.1303633375935731</v>
      </c>
      <c r="K33" s="141">
        <f>IFERROR(IF(OR(NOT(ISNUMBER('Price History'!K34)),NOT(ISNUMBER('Price History'!K33)),'Price History'!K33=0),"",'Price History'!K34/'Price History'!K33-1),"")</f>
        <v>-9.7044552271724815E-2</v>
      </c>
      <c r="L33" s="141">
        <f>IFERROR(IF(OR(NOT(ISNUMBER('Price History'!L34)),NOT(ISNUMBER('Price History'!L33)),'Price History'!L33=0),"",'Price History'!L34/'Price History'!L33-1),"")</f>
        <v>-0.10402490227305627</v>
      </c>
      <c r="M33" s="141">
        <f>IFERROR(IF(OR(NOT(ISNUMBER('Price History'!M34)),NOT(ISNUMBER('Price History'!M33)),'Price History'!M33=0),"",'Price History'!M34/'Price History'!M33-1),"")</f>
        <v>-0.10581061692969862</v>
      </c>
      <c r="N33" s="141">
        <f>IFERROR(IF(OR(NOT(ISNUMBER('Price History'!N34)),NOT(ISNUMBER('Price History'!N33)),'Price History'!N33=0),"",'Price History'!N34/'Price History'!N33-1),"")</f>
        <v>-5.7243727146640833E-3</v>
      </c>
      <c r="O33" s="141">
        <f>IFERROR(IF(OR(NOT(ISNUMBER('Price History'!O34)),NOT(ISNUMBER('Price History'!O33)),'Price History'!O33=0),"",'Price History'!O34/'Price History'!O33-1),"")</f>
        <v>-9.0142823694684404E-3</v>
      </c>
      <c r="P33" s="141">
        <f>IFERROR(IF(OR(NOT(ISNUMBER('Price History'!P34)),NOT(ISNUMBER('Price History'!P33)),'Price History'!P33=0),"",'Price History'!P34/'Price History'!P33-1),"")</f>
        <v>9.8678086017500721E-3</v>
      </c>
      <c r="Q33" s="141">
        <f>IFERROR(IF(OR(NOT(ISNUMBER('Price History'!Q34)),NOT(ISNUMBER('Price History'!Q33)),'Price History'!Q33=0),"",'Price History'!Q34/'Price History'!Q33-1),"")</f>
        <v>-1.9442406456346317E-2</v>
      </c>
      <c r="R33" s="141">
        <f>IFERROR(IF(OR(NOT(ISNUMBER('Price History'!R34)),NOT(ISNUMBER('Price History'!R33)),'Price History'!R33=0),"",'Price History'!R34/'Price History'!R33-1),"")</f>
        <v>-4.8019801980197951E-2</v>
      </c>
      <c r="S33" s="141">
        <f>IFERROR(IF(OR(NOT(ISNUMBER('Price History'!S34)),NOT(ISNUMBER('Price History'!S33)),'Price History'!S33=0),"",'Price History'!S34/'Price History'!S33-1),"")</f>
        <v>-5.6831302116741589E-2</v>
      </c>
      <c r="T33" s="141">
        <f>IFERROR(IF(OR(NOT(ISNUMBER('Price History'!T34)),NOT(ISNUMBER('Price History'!T33)),'Price History'!T33=0),"",'Price History'!T34/'Price History'!T33-1),"")</f>
        <v>-1.7716535433070835E-2</v>
      </c>
      <c r="U33" s="141">
        <f>IFERROR(IF(OR(NOT(ISNUMBER('Price History'!U34)),NOT(ISNUMBER('Price History'!U33)),'Price History'!U33=0),"",'Price History'!U34/'Price History'!U33-1),"")</f>
        <v>-1.712328767123239E-3</v>
      </c>
      <c r="V33" s="142">
        <f>IFERROR(IF(OR(NOT(ISNUMBER('Price History'!V34)),NOT(ISNUMBER('Price History'!V33)),'Price History'!V33=0),"",'Price History'!V34/'Price History'!V33-1),"")</f>
        <v>-2.2413411121778304E-2</v>
      </c>
      <c r="W33" s="143">
        <f>IFERROR('Price History'!B3+(INDEX('Price History'!B:B,MATCH(9.99E+307,'Returns (Calc)'!$A:$A)+1)-'Price History'!B3)*(ROW()-3)/(MATCH(9.99E+307,'Returns (Calc)'!$A:$A)-3),"")</f>
        <v>473.59886075949368</v>
      </c>
      <c r="X33" s="143">
        <f>IFERROR('Price History'!C3+(INDEX('Price History'!C:C,MATCH(9.99E+307,'Returns (Calc)'!$A:$A)+1)-'Price History'!C3)*(ROW()-3)/(MATCH(9.99E+307,'Returns (Calc)'!$A:$A)-3),"")</f>
        <v>76.781898734177219</v>
      </c>
      <c r="Y33" s="143">
        <f>IFERROR('Price History'!D3+(INDEX('Price History'!D:D,MATCH(9.99E+307,'Returns (Calc)'!$A:$A)+1)-'Price History'!D3)*(ROW()-3)/(MATCH(9.99E+307,'Returns (Calc)'!$A:$A)-3),"")</f>
        <v>826.05430379746838</v>
      </c>
      <c r="Z33" s="143">
        <f>IFERROR('Price History'!E3+(INDEX('Price History'!E:E,MATCH(9.99E+307,'Returns (Calc)'!$A:$A)+1)-'Price History'!E3)*(ROW()-3)/(MATCH(9.99E+307,'Returns (Calc)'!$A:$A)-3),"")</f>
        <v>133.86202531645569</v>
      </c>
      <c r="AA33" s="143">
        <f>IFERROR('Price History'!F3+(INDEX('Price History'!F:F,MATCH(9.99E+307,'Returns (Calc)'!$A:$A)+1)-'Price History'!F3)*(ROW()-3)/(MATCH(9.99E+307,'Returns (Calc)'!$A:$A)-3),"")</f>
        <v>84.780253164556967</v>
      </c>
      <c r="AB33" s="143">
        <f>IFERROR('Price History'!G3+(INDEX('Price History'!G:G,MATCH(9.99E+307,'Returns (Calc)'!$A:$A)+1)-'Price History'!G3)*(ROW()-3)/(MATCH(9.99E+307,'Returns (Calc)'!$A:$A)-3),"")</f>
        <v>75.212025316455694</v>
      </c>
      <c r="AC33" s="143">
        <f>IFERROR('Price History'!H3+(INDEX('Price History'!H:H,MATCH(9.99E+307,'Returns (Calc)'!$A:$A)+1)-'Price History'!H3)*(ROW()-3)/(MATCH(9.99E+307,'Returns (Calc)'!$A:$A)-3),"")</f>
        <v>260.08088607594937</v>
      </c>
      <c r="AD33" s="143">
        <f>IFERROR('Price History'!I3+(INDEX('Price History'!I:I,MATCH(9.99E+307,'Returns (Calc)'!$A:$A)+1)-'Price History'!I3)*(ROW()-3)/(MATCH(9.99E+307,'Returns (Calc)'!$A:$A)-3),"")</f>
        <v>79.880126582278479</v>
      </c>
      <c r="AE33" s="143">
        <f>IFERROR('Price History'!J3+(INDEX('Price History'!J:J,MATCH(9.99E+307,'Returns (Calc)'!$A:$A)+1)-'Price History'!J3)*(ROW()-3)/(MATCH(9.99E+307,'Returns (Calc)'!$A:$A)-3),"")</f>
        <v>115.08113924050633</v>
      </c>
      <c r="AF33" s="143">
        <f>IFERROR('Price History'!K3+(INDEX('Price History'!K:K,MATCH(9.99E+307,'Returns (Calc)'!$A:$A)+1)-'Price History'!K3)*(ROW()-3)/(MATCH(9.99E+307,'Returns (Calc)'!$A:$A)-3),"")</f>
        <v>48.257848101265814</v>
      </c>
      <c r="AG33" s="143">
        <f>IFERROR('Price History'!L3+(INDEX('Price History'!L:L,MATCH(9.99E+307,'Returns (Calc)'!$A:$A)+1)-'Price History'!L3)*(ROW()-3)/(MATCH(9.99E+307,'Returns (Calc)'!$A:$A)-3),"")</f>
        <v>159.23670886075951</v>
      </c>
      <c r="AH33" s="143">
        <f>IFERROR('Price History'!M3+(INDEX('Price History'!M:M,MATCH(9.99E+307,'Returns (Calc)'!$A:$A)+1)-'Price History'!M3)*(ROW()-3)/(MATCH(9.99E+307,'Returns (Calc)'!$A:$A)-3),"")</f>
        <v>78.683291139240509</v>
      </c>
      <c r="AI33" s="143">
        <f>IFERROR('Price History'!N3+(INDEX('Price History'!N:N,MATCH(9.99E+307,'Returns (Calc)'!$A:$A)+1)-'Price History'!N3)*(ROW()-3)/(MATCH(9.99E+307,'Returns (Calc)'!$A:$A)-3),"")</f>
        <v>378.48797468354428</v>
      </c>
      <c r="AJ33" s="143">
        <f>IFERROR('Price History'!O3+(INDEX('Price History'!O:O,MATCH(9.99E+307,'Returns (Calc)'!$A:$A)+1)-'Price History'!O3)*(ROW()-3)/(MATCH(9.99E+307,'Returns (Calc)'!$A:$A)-3),"")</f>
        <v>83.80113924050633</v>
      </c>
      <c r="AK33" s="143">
        <f>IFERROR('Price History'!Q3+(INDEX('Price History'!Q:Q,MATCH(9.99E+307,'Returns (Calc)'!$A:$A)+1)-'Price History'!Q3)*(ROW()-3)/(MATCH(9.99E+307,'Returns (Calc)'!$A:$A)-3),"")</f>
        <v>13.181012658227848</v>
      </c>
      <c r="AL33" s="143">
        <f>IFERROR('Price History'!R3+(INDEX('Price History'!R:R,MATCH(9.99E+307,'Returns (Calc)'!$A:$A)+1)-'Price History'!R3)*(ROW()-3)/(MATCH(9.99E+307,'Returns (Calc)'!$A:$A)-3),"")</f>
        <v>39.52303797468354</v>
      </c>
      <c r="AM33" s="143">
        <f>IFERROR('Price History'!S3+(INDEX('Price History'!S:S,MATCH(9.99E+307,'Returns (Calc)'!$A:$A)+1)-'Price History'!S3)*(ROW()-3)/(MATCH(9.99E+307,'Returns (Calc)'!$A:$A)-3),"")</f>
        <v>75.781898734177219</v>
      </c>
      <c r="AN33" s="143">
        <f>IFERROR('Price History'!T3+(INDEX('Price History'!T:T,MATCH(9.99E+307,'Returns (Calc)'!$A:$A)+1)-'Price History'!T3)*(ROW()-3)/(MATCH(9.99E+307,'Returns (Calc)'!$A:$A)-3),"")</f>
        <v>30.286835443037972</v>
      </c>
      <c r="AO33" s="144">
        <f>IFERROR('Price History'!V3+(INDEX('Price History'!V:V,MATCH(9.99E+307,'Returns (Calc)'!$A:$A)+1)-'Price History'!V3)*(ROW()-3)/(MATCH(9.99E+307,'Returns (Calc)'!$A:$A)-3),"")</f>
        <v>259.36987341772152</v>
      </c>
      <c r="AP33" s="142">
        <f>IFERROR(IF(OR(NOT(ISNUMBER('Price History'!W34)),NOT(ISNUMBER('Price History'!W33)),'Price History'!W33=0),"",'Price History'!W34/'Price History'!W33-1),"")</f>
        <v>-1.3804527885145079E-3</v>
      </c>
      <c r="AQ33" s="142" t="str">
        <f>IFERROR(IF(OR(NOT(ISNUMBER('Price History'!X34)),NOT(ISNUMBER('Price History'!X33)),'Price History'!X33=0),"",'Price History'!X34/'Price History'!X33-1),"")</f>
        <v/>
      </c>
      <c r="AR33" s="142">
        <f>IFERROR(IF(OR(NOT(ISNUMBER('Price History'!Y34)),NOT(ISNUMBER('Price History'!Y33)),'Price History'!Y33=0),"",'Price History'!Y34/'Price History'!Y33-1),"")</f>
        <v>-1.3246471226927237E-2</v>
      </c>
      <c r="AS33" s="142">
        <f>IFERROR(IF(OR(NOT(ISNUMBER('Price History'!Z34)),NOT(ISNUMBER('Price History'!Z33)),'Price History'!Z33=0),"",'Price History'!Z34/'Price History'!Z33-1),"")</f>
        <v>-4.2463958060288243E-2</v>
      </c>
      <c r="AT33" s="142">
        <f>IFERROR(IF(OR(NOT(ISNUMBER('Price History'!AA34)),NOT(ISNUMBER('Price History'!AA33)),'Price History'!AA33=0),"",'Price History'!AA34/'Price History'!AA33-1),"")</f>
        <v>-0.10886319845857417</v>
      </c>
    </row>
    <row r="34" spans="1:46" ht="15" customHeight="1" x14ac:dyDescent="0.35">
      <c r="A34" s="140">
        <f>IF('Price History'!A35="","",'Price History'!A35)</f>
        <v>45408</v>
      </c>
      <c r="B34" s="141">
        <f>IFERROR(IF(OR(NOT(ISNUMBER('Price History'!B35)),NOT(ISNUMBER('Price History'!B34)),'Price History'!B34=0),"",'Price History'!B35/'Price History'!B34-1),"")</f>
        <v>2.6966582082491142E-2</v>
      </c>
      <c r="C34" s="141">
        <f>IFERROR(IF(OR(NOT(ISNUMBER('Price History'!C35)),NOT(ISNUMBER('Price History'!C34)),'Price History'!C34=0),"",'Price History'!C35/'Price History'!C34-1),"")</f>
        <v>7.5747724317295262E-2</v>
      </c>
      <c r="D34" s="141">
        <f>IFERROR(IF(OR(NOT(ISNUMBER('Price History'!D35)),NOT(ISNUMBER('Price History'!D34)),'Price History'!D34=0),"",'Price History'!D35/'Price History'!D34-1),"")</f>
        <v>7.1360710638196823E-2</v>
      </c>
      <c r="E34" s="141">
        <f>IFERROR(IF(OR(NOT(ISNUMBER('Price History'!E35)),NOT(ISNUMBER('Price History'!E34)),'Price History'!E34=0),"",'Price History'!E35/'Price History'!E34-1),"")</f>
        <v>0.1156722760496347</v>
      </c>
      <c r="F34" s="141">
        <f>IFERROR(IF(OR(NOT(ISNUMBER('Price History'!F35)),NOT(ISNUMBER('Price History'!F34)),'Price History'!F34=0),"",'Price History'!F35/'Price History'!F34-1),"")</f>
        <v>7.5856212850268889E-2</v>
      </c>
      <c r="G34" s="141">
        <f>IFERROR(IF(OR(NOT(ISNUMBER('Price History'!G35)),NOT(ISNUMBER('Price History'!G34)),'Price History'!G34=0),"",'Price History'!G35/'Price History'!G34-1),"")</f>
        <v>0.12443218689162894</v>
      </c>
      <c r="H34" s="141">
        <f>IFERROR(IF(OR(NOT(ISNUMBER('Price History'!H35)),NOT(ISNUMBER('Price History'!H34)),'Price History'!H34=0),"",'Price History'!H35/'Price History'!H34-1),"")</f>
        <v>7.5558909536836083E-2</v>
      </c>
      <c r="I34" s="141">
        <f>IFERROR(IF(OR(NOT(ISNUMBER('Price History'!I35)),NOT(ISNUMBER('Price History'!I34)),'Price History'!I34=0),"",'Price History'!I35/'Price History'!I34-1),"")</f>
        <v>0.15148723348249526</v>
      </c>
      <c r="J34" s="141">
        <f>IFERROR(IF(OR(NOT(ISNUMBER('Price History'!J35)),NOT(ISNUMBER('Price History'!J34)),'Price History'!J34=0),"",'Price History'!J35/'Price History'!J34-1),"")</f>
        <v>5.5637203443208438E-3</v>
      </c>
      <c r="K34" s="141">
        <f>IFERROR(IF(OR(NOT(ISNUMBER('Price History'!K35)),NOT(ISNUMBER('Price History'!K34)),'Price History'!K34=0),"",'Price History'!K35/'Price History'!K34-1),"")</f>
        <v>0.10014655593551547</v>
      </c>
      <c r="L34" s="141">
        <f>IFERROR(IF(OR(NOT(ISNUMBER('Price History'!L35)),NOT(ISNUMBER('Price History'!L34)),'Price History'!L34=0),"",'Price History'!L35/'Price History'!L34-1),"")</f>
        <v>8.3057283671325921E-2</v>
      </c>
      <c r="M34" s="141">
        <f>IFERROR(IF(OR(NOT(ISNUMBER('Price History'!M35)),NOT(ISNUMBER('Price History'!M34)),'Price History'!M34=0),"",'Price History'!M35/'Price History'!M34-1),"")</f>
        <v>0.24628961091054946</v>
      </c>
      <c r="N34" s="141">
        <f>IFERROR(IF(OR(NOT(ISNUMBER('Price History'!N35)),NOT(ISNUMBER('Price History'!N34)),'Price History'!N34=0),"",'Price History'!N35/'Price History'!N34-1),"")</f>
        <v>8.1160596530385209E-3</v>
      </c>
      <c r="O34" s="141">
        <f>IFERROR(IF(OR(NOT(ISNUMBER('Price History'!O35)),NOT(ISNUMBER('Price History'!O34)),'Price History'!O34=0),"",'Price History'!O35/'Price History'!O34-1),"")</f>
        <v>2.4808033077377445E-2</v>
      </c>
      <c r="P34" s="141">
        <f>IFERROR(IF(OR(NOT(ISNUMBER('Price History'!P35)),NOT(ISNUMBER('Price History'!P34)),'Price History'!P34=0),"",'Price History'!P35/'Price History'!P34-1),"")</f>
        <v>9.1261061946901201E-3</v>
      </c>
      <c r="Q34" s="141">
        <f>IFERROR(IF(OR(NOT(ISNUMBER('Price History'!Q35)),NOT(ISNUMBER('Price History'!Q34)),'Price History'!Q34=0),"",'Price History'!Q35/'Price History'!Q34-1),"")</f>
        <v>2.0576131687242816E-2</v>
      </c>
      <c r="R34" s="141">
        <f>IFERROR(IF(OR(NOT(ISNUMBER('Price History'!R35)),NOT(ISNUMBER('Price History'!R34)),'Price History'!R34=0),"",'Price History'!R35/'Price History'!R34-1),"")</f>
        <v>3.5881435257410388E-2</v>
      </c>
      <c r="S34" s="141">
        <f>IFERROR(IF(OR(NOT(ISNUMBER('Price History'!S35)),NOT(ISNUMBER('Price History'!S34)),'Price History'!S34=0),"",'Price History'!S35/'Price History'!S34-1),"")</f>
        <v>3.0059847660500738E-2</v>
      </c>
      <c r="T34" s="141">
        <f>IFERROR(IF(OR(NOT(ISNUMBER('Price History'!T35)),NOT(ISNUMBER('Price History'!T34)),'Price History'!T34=0),"",'Price History'!T35/'Price History'!T34-1),"")</f>
        <v>1.2358049432197538E-2</v>
      </c>
      <c r="U34" s="141">
        <f>IFERROR(IF(OR(NOT(ISNUMBER('Price History'!U35)),NOT(ISNUMBER('Price History'!U34)),'Price History'!U34=0),"",'Price History'!U35/'Price History'!U34-1),"")</f>
        <v>1.0720411663807994E-2</v>
      </c>
      <c r="V34" s="142">
        <f>IFERROR(IF(OR(NOT(ISNUMBER('Price History'!V35)),NOT(ISNUMBER('Price History'!V34)),'Price History'!V34=0),"",'Price History'!V35/'Price History'!V34-1),"")</f>
        <v>1.7563739376770471E-2</v>
      </c>
      <c r="W34" s="143">
        <f>IFERROR('Price History'!B3+(INDEX('Price History'!B:B,MATCH(9.99E+307,'Returns (Calc)'!$A:$A)+1)-'Price History'!B3)*(ROW()-3)/(MATCH(9.99E+307,'Returns (Calc)'!$A:$A)-3),"")</f>
        <v>471.75582278481011</v>
      </c>
      <c r="X34" s="143">
        <f>IFERROR('Price History'!C3+(INDEX('Price History'!C:C,MATCH(9.99E+307,'Returns (Calc)'!$A:$A)+1)-'Price History'!C3)*(ROW()-3)/(MATCH(9.99E+307,'Returns (Calc)'!$A:$A)-3),"")</f>
        <v>77.801962025316456</v>
      </c>
      <c r="Y34" s="143">
        <f>IFERROR('Price History'!D3+(INDEX('Price History'!D:D,MATCH(9.99E+307,'Returns (Calc)'!$A:$A)+1)-'Price History'!D3)*(ROW()-3)/(MATCH(9.99E+307,'Returns (Calc)'!$A:$A)-3),"")</f>
        <v>834.18911392405062</v>
      </c>
      <c r="Z34" s="143">
        <f>IFERROR('Price History'!E3+(INDEX('Price History'!E:E,MATCH(9.99E+307,'Returns (Calc)'!$A:$A)+1)-'Price History'!E3)*(ROW()-3)/(MATCH(9.99E+307,'Returns (Calc)'!$A:$A)-3),"")</f>
        <v>135.59075949367087</v>
      </c>
      <c r="AA34" s="143">
        <f>IFERROR('Price History'!F3+(INDEX('Price History'!F:F,MATCH(9.99E+307,'Returns (Calc)'!$A:$A)+1)-'Price History'!F3)*(ROW()-3)/(MATCH(9.99E+307,'Returns (Calc)'!$A:$A)-3),"")</f>
        <v>86.227594936708869</v>
      </c>
      <c r="AB34" s="143">
        <f>IFERROR('Price History'!G3+(INDEX('Price History'!G:G,MATCH(9.99E+307,'Returns (Calc)'!$A:$A)+1)-'Price History'!G3)*(ROW()-3)/(MATCH(9.99E+307,'Returns (Calc)'!$A:$A)-3),"")</f>
        <v>76.240759493670879</v>
      </c>
      <c r="AC34" s="143">
        <f>IFERROR('Price History'!H3+(INDEX('Price History'!H:H,MATCH(9.99E+307,'Returns (Calc)'!$A:$A)+1)-'Price History'!H3)*(ROW()-3)/(MATCH(9.99E+307,'Returns (Calc)'!$A:$A)-3),"")</f>
        <v>266.44658227848106</v>
      </c>
      <c r="AD34" s="143">
        <f>IFERROR('Price History'!I3+(INDEX('Price History'!I:I,MATCH(9.99E+307,'Returns (Calc)'!$A:$A)+1)-'Price History'!I3)*(ROW()-3)/(MATCH(9.99E+307,'Returns (Calc)'!$A:$A)-3),"")</f>
        <v>81.083797468354419</v>
      </c>
      <c r="AE34" s="143">
        <f>IFERROR('Price History'!J3+(INDEX('Price History'!J:J,MATCH(9.99E+307,'Returns (Calc)'!$A:$A)+1)-'Price History'!J3)*(ROW()-3)/(MATCH(9.99E+307,'Returns (Calc)'!$A:$A)-3),"")</f>
        <v>115.18917721518987</v>
      </c>
      <c r="AF34" s="143">
        <f>IFERROR('Price History'!K3+(INDEX('Price History'!K:K,MATCH(9.99E+307,'Returns (Calc)'!$A:$A)+1)-'Price History'!K3)*(ROW()-3)/(MATCH(9.99E+307,'Returns (Calc)'!$A:$A)-3),"")</f>
        <v>49.35544303797468</v>
      </c>
      <c r="AG34" s="143">
        <f>IFERROR('Price History'!L3+(INDEX('Price History'!L:L,MATCH(9.99E+307,'Returns (Calc)'!$A:$A)+1)-'Price History'!L3)*(ROW()-3)/(MATCH(9.99E+307,'Returns (Calc)'!$A:$A)-3),"")</f>
        <v>161.6862658227848</v>
      </c>
      <c r="AH34" s="143">
        <f>IFERROR('Price History'!M3+(INDEX('Price History'!M:M,MATCH(9.99E+307,'Returns (Calc)'!$A:$A)+1)-'Price History'!M3)*(ROW()-3)/(MATCH(9.99E+307,'Returns (Calc)'!$A:$A)-3),"")</f>
        <v>80.03873417721519</v>
      </c>
      <c r="AI34" s="143">
        <f>IFERROR('Price History'!N3+(INDEX('Price History'!N:N,MATCH(9.99E+307,'Returns (Calc)'!$A:$A)+1)-'Price History'!N3)*(ROW()-3)/(MATCH(9.99E+307,'Returns (Calc)'!$A:$A)-3),"")</f>
        <v>379.47424050632912</v>
      </c>
      <c r="AJ34" s="143">
        <f>IFERROR('Price History'!O3+(INDEX('Price History'!O:O,MATCH(9.99E+307,'Returns (Calc)'!$A:$A)+1)-'Price History'!O3)*(ROW()-3)/(MATCH(9.99E+307,'Returns (Calc)'!$A:$A)-3),"")</f>
        <v>84.084177215189868</v>
      </c>
      <c r="AK34" s="143">
        <f>IFERROR('Price History'!Q3+(INDEX('Price History'!Q:Q,MATCH(9.99E+307,'Returns (Calc)'!$A:$A)+1)-'Price History'!Q3)*(ROW()-3)/(MATCH(9.99E+307,'Returns (Calc)'!$A:$A)-3),"")</f>
        <v>13.620379746835443</v>
      </c>
      <c r="AL34" s="143">
        <f>IFERROR('Price History'!R3+(INDEX('Price History'!R:R,MATCH(9.99E+307,'Returns (Calc)'!$A:$A)+1)-'Price History'!R3)*(ROW()-3)/(MATCH(9.99E+307,'Returns (Calc)'!$A:$A)-3),"")</f>
        <v>39.691139240506324</v>
      </c>
      <c r="AM34" s="143">
        <f>IFERROR('Price History'!S3+(INDEX('Price History'!S:S,MATCH(9.99E+307,'Returns (Calc)'!$A:$A)+1)-'Price History'!S3)*(ROW()-3)/(MATCH(9.99E+307,'Returns (Calc)'!$A:$A)-3),"")</f>
        <v>76.38696202531645</v>
      </c>
      <c r="AN34" s="143">
        <f>IFERROR('Price History'!T3+(INDEX('Price History'!T:T,MATCH(9.99E+307,'Returns (Calc)'!$A:$A)+1)-'Price History'!T3)*(ROW()-3)/(MATCH(9.99E+307,'Returns (Calc)'!$A:$A)-3),"")</f>
        <v>30.45506329113924</v>
      </c>
      <c r="AO34" s="144">
        <f>IFERROR('Price History'!V3+(INDEX('Price History'!V:V,MATCH(9.99E+307,'Returns (Calc)'!$A:$A)+1)-'Price History'!V3)*(ROW()-3)/(MATCH(9.99E+307,'Returns (Calc)'!$A:$A)-3),"")</f>
        <v>260.16120253164559</v>
      </c>
      <c r="AP34" s="142">
        <f>IFERROR(IF(OR(NOT(ISNUMBER('Price History'!W35)),NOT(ISNUMBER('Price History'!W34)),'Price History'!W34=0),"",'Price History'!W35/'Price History'!W34-1),"")</f>
        <v>1.2349092249562155E-2</v>
      </c>
      <c r="AQ34" s="142" t="str">
        <f>IFERROR(IF(OR(NOT(ISNUMBER('Price History'!X35)),NOT(ISNUMBER('Price History'!X34)),'Price History'!X34=0),"",'Price History'!X35/'Price History'!X34-1),"")</f>
        <v/>
      </c>
      <c r="AR34" s="142">
        <f>IFERROR(IF(OR(NOT(ISNUMBER('Price History'!Y35)),NOT(ISNUMBER('Price History'!Y34)),'Price History'!Y34=0),"",'Price History'!Y35/'Price History'!Y34-1),"")</f>
        <v>1.4964788732394263E-2</v>
      </c>
      <c r="AS34" s="142">
        <f>IFERROR(IF(OR(NOT(ISNUMBER('Price History'!Z35)),NOT(ISNUMBER('Price History'!Z34)),'Price History'!Z34=0),"",'Price History'!Z35/'Price History'!Z34-1),"")</f>
        <v>9.649603065973178E-2</v>
      </c>
      <c r="AT34" s="142">
        <f>IFERROR(IF(OR(NOT(ISNUMBER('Price History'!AA35)),NOT(ISNUMBER('Price History'!AA34)),'Price History'!AA34=0),"",'Price History'!AA35/'Price History'!AA34-1),"")</f>
        <v>1.1171171171171057E-2</v>
      </c>
    </row>
    <row r="35" spans="1:46" ht="15" customHeight="1" x14ac:dyDescent="0.35">
      <c r="A35" s="140">
        <f>IF('Price History'!A36="","",'Price History'!A36)</f>
        <v>45415</v>
      </c>
      <c r="B35" s="141">
        <f>IFERROR(IF(OR(NOT(ISNUMBER('Price History'!B36)),NOT(ISNUMBER('Price History'!B35)),'Price History'!B35=0),"",'Price History'!B36/'Price History'!B35-1),"")</f>
        <v>1.8050087947064197E-2</v>
      </c>
      <c r="C35" s="141">
        <f>IFERROR(IF(OR(NOT(ISNUMBER('Price History'!C36)),NOT(ISNUMBER('Price History'!C35)),'Price History'!C35=0),"",'Price History'!C36/'Price History'!C35-1),"")</f>
        <v>3.6566938652160541E-2</v>
      </c>
      <c r="D35" s="141">
        <f>IFERROR(IF(OR(NOT(ISNUMBER('Price History'!D36)),NOT(ISNUMBER('Price History'!D35)),'Price History'!D35=0),"",'Price History'!D36/'Price History'!D35-1),"")</f>
        <v>-1.8866042232444702E-2</v>
      </c>
      <c r="E35" s="141">
        <f>IFERROR(IF(OR(NOT(ISNUMBER('Price History'!E36)),NOT(ISNUMBER('Price History'!E35)),'Price History'!E35=0),"",'Price History'!E36/'Price History'!E35-1),"")</f>
        <v>-4.9059190980422107E-2</v>
      </c>
      <c r="F35" s="141">
        <f>IFERROR(IF(OR(NOT(ISNUMBER('Price History'!F36)),NOT(ISNUMBER('Price History'!F35)),'Price History'!F35=0),"",'Price History'!F36/'Price History'!F35-1),"")</f>
        <v>2.0126282557221709E-2</v>
      </c>
      <c r="G35" s="141">
        <f>IFERROR(IF(OR(NOT(ISNUMBER('Price History'!G36)),NOT(ISNUMBER('Price History'!G35)),'Price History'!G35=0),"",'Price History'!G36/'Price History'!G35-1),"")</f>
        <v>-1.3706535853412194E-2</v>
      </c>
      <c r="H35" s="141">
        <f>IFERROR(IF(OR(NOT(ISNUMBER('Price History'!H36)),NOT(ISNUMBER('Price History'!H35)),'Price History'!H35=0),"",'Price History'!H36/'Price History'!H35-1),"")</f>
        <v>-1.2278547623224556E-3</v>
      </c>
      <c r="I35" s="141">
        <f>IFERROR(IF(OR(NOT(ISNUMBER('Price History'!I36)),NOT(ISNUMBER('Price History'!I35)),'Price History'!I35=0),"",'Price History'!I36/'Price History'!I35-1),"")</f>
        <v>1.2001371585324216E-2</v>
      </c>
      <c r="J35" s="141">
        <f>IFERROR(IF(OR(NOT(ISNUMBER('Price History'!J36)),NOT(ISNUMBER('Price History'!J35)),'Price History'!J35=0),"",'Price History'!J36/'Price History'!J35-1),"")</f>
        <v>1.7538365173817683E-2</v>
      </c>
      <c r="K35" s="141">
        <f>IFERROR(IF(OR(NOT(ISNUMBER('Price History'!K36)),NOT(ISNUMBER('Price History'!K35)),'Price History'!K35=0),"",'Price History'!K36/'Price History'!K35-1),"")</f>
        <v>3.5968028419182785E-2</v>
      </c>
      <c r="L35" s="141">
        <f>IFERROR(IF(OR(NOT(ISNUMBER('Price History'!L36)),NOT(ISNUMBER('Price History'!L35)),'Price History'!L35=0),"",'Price History'!L36/'Price History'!L35-1),"")</f>
        <v>2.357329354718396E-2</v>
      </c>
      <c r="M35" s="141">
        <f>IFERROR(IF(OR(NOT(ISNUMBER('Price History'!M36)),NOT(ISNUMBER('Price History'!M35)),'Price History'!M35=0),"",'Price History'!M36/'Price History'!M35-1),"")</f>
        <v>-5.149662053427595E-3</v>
      </c>
      <c r="N35" s="141">
        <f>IFERROR(IF(OR(NOT(ISNUMBER('Price History'!N36)),NOT(ISNUMBER('Price History'!N35)),'Price History'!N35=0),"",'Price History'!N36/'Price History'!N35-1),"")</f>
        <v>9.0570594746903765E-3</v>
      </c>
      <c r="O35" s="141">
        <f>IFERROR(IF(OR(NOT(ISNUMBER('Price History'!O36)),NOT(ISNUMBER('Price History'!O35)),'Price History'!O35=0),"",'Price History'!O36/'Price History'!O35-1),"")</f>
        <v>6.8011527377522807E-3</v>
      </c>
      <c r="P35" s="141">
        <f>IFERROR(IF(OR(NOT(ISNUMBER('Price History'!P36)),NOT(ISNUMBER('Price History'!P35)),'Price History'!P35=0),"",'Price History'!P36/'Price History'!P35-1),"")</f>
        <v>1.2240796565269108E-2</v>
      </c>
      <c r="Q35" s="141">
        <f>IFERROR(IF(OR(NOT(ISNUMBER('Price History'!Q36)),NOT(ISNUMBER('Price History'!Q35)),'Price History'!Q35=0),"",'Price History'!Q36/'Price History'!Q35-1),"")</f>
        <v>4.2155425219940756E-3</v>
      </c>
      <c r="R35" s="141">
        <f>IFERROR(IF(OR(NOT(ISNUMBER('Price History'!R36)),NOT(ISNUMBER('Price History'!R35)),'Price History'!R35=0),"",'Price History'!R36/'Price History'!R35-1),"")</f>
        <v>1.0040160642570184E-2</v>
      </c>
      <c r="S35" s="141">
        <f>IFERROR(IF(OR(NOT(ISNUMBER('Price History'!S36)),NOT(ISNUMBER('Price History'!S35)),'Price History'!S35=0),"",'Price History'!S36/'Price History'!S35-1),"")</f>
        <v>9.7715568466920644E-3</v>
      </c>
      <c r="T35" s="141">
        <f>IFERROR(IF(OR(NOT(ISNUMBER('Price History'!T36)),NOT(ISNUMBER('Price History'!T35)),'Price History'!T35=0),"",'Price History'!T36/'Price History'!T35-1),"")</f>
        <v>-1.5506433520290241E-2</v>
      </c>
      <c r="U35" s="141">
        <f>IFERROR(IF(OR(NOT(ISNUMBER('Price History'!U36)),NOT(ISNUMBER('Price History'!U35)),'Price History'!U35=0),"",'Price History'!U36/'Price History'!U35-1),"")</f>
        <v>6.3640220619431975E-3</v>
      </c>
      <c r="V35" s="142">
        <f>IFERROR(IF(OR(NOT(ISNUMBER('Price History'!V36)),NOT(ISNUMBER('Price History'!V35)),'Price History'!V35=0),"",'Price History'!V36/'Price History'!V35-1),"")</f>
        <v>-2.1937639198218117E-2</v>
      </c>
      <c r="W35" s="143">
        <f>IFERROR('Price History'!B3+(INDEX('Price History'!B:B,MATCH(9.99E+307,'Returns (Calc)'!$A:$A)+1)-'Price History'!B3)*(ROW()-3)/(MATCH(9.99E+307,'Returns (Calc)'!$A:$A)-3),"")</f>
        <v>469.9127848101266</v>
      </c>
      <c r="X35" s="143">
        <f>IFERROR('Price History'!C3+(INDEX('Price History'!C:C,MATCH(9.99E+307,'Returns (Calc)'!$A:$A)+1)-'Price History'!C3)*(ROW()-3)/(MATCH(9.99E+307,'Returns (Calc)'!$A:$A)-3),"")</f>
        <v>78.822025316455694</v>
      </c>
      <c r="Y35" s="143">
        <f>IFERROR('Price History'!D3+(INDEX('Price History'!D:D,MATCH(9.99E+307,'Returns (Calc)'!$A:$A)+1)-'Price History'!D3)*(ROW()-3)/(MATCH(9.99E+307,'Returns (Calc)'!$A:$A)-3),"")</f>
        <v>842.32392405063297</v>
      </c>
      <c r="Z35" s="143">
        <f>IFERROR('Price History'!E3+(INDEX('Price History'!E:E,MATCH(9.99E+307,'Returns (Calc)'!$A:$A)+1)-'Price History'!E3)*(ROW()-3)/(MATCH(9.99E+307,'Returns (Calc)'!$A:$A)-3),"")</f>
        <v>137.31949367088606</v>
      </c>
      <c r="AA35" s="143">
        <f>IFERROR('Price History'!F3+(INDEX('Price History'!F:F,MATCH(9.99E+307,'Returns (Calc)'!$A:$A)+1)-'Price History'!F3)*(ROW()-3)/(MATCH(9.99E+307,'Returns (Calc)'!$A:$A)-3),"")</f>
        <v>87.67493670886077</v>
      </c>
      <c r="AB35" s="143">
        <f>IFERROR('Price History'!G3+(INDEX('Price History'!G:G,MATCH(9.99E+307,'Returns (Calc)'!$A:$A)+1)-'Price History'!G3)*(ROW()-3)/(MATCH(9.99E+307,'Returns (Calc)'!$A:$A)-3),"")</f>
        <v>77.269493670886078</v>
      </c>
      <c r="AC35" s="143">
        <f>IFERROR('Price History'!H3+(INDEX('Price History'!H:H,MATCH(9.99E+307,'Returns (Calc)'!$A:$A)+1)-'Price History'!H3)*(ROW()-3)/(MATCH(9.99E+307,'Returns (Calc)'!$A:$A)-3),"")</f>
        <v>272.8122784810127</v>
      </c>
      <c r="AD35" s="143">
        <f>IFERROR('Price History'!I3+(INDEX('Price History'!I:I,MATCH(9.99E+307,'Returns (Calc)'!$A:$A)+1)-'Price History'!I3)*(ROW()-3)/(MATCH(9.99E+307,'Returns (Calc)'!$A:$A)-3),"")</f>
        <v>82.287468354430388</v>
      </c>
      <c r="AE35" s="143">
        <f>IFERROR('Price History'!J3+(INDEX('Price History'!J:J,MATCH(9.99E+307,'Returns (Calc)'!$A:$A)+1)-'Price History'!J3)*(ROW()-3)/(MATCH(9.99E+307,'Returns (Calc)'!$A:$A)-3),"")</f>
        <v>115.29721518987341</v>
      </c>
      <c r="AF35" s="143">
        <f>IFERROR('Price History'!K3+(INDEX('Price History'!K:K,MATCH(9.99E+307,'Returns (Calc)'!$A:$A)+1)-'Price History'!K3)*(ROW()-3)/(MATCH(9.99E+307,'Returns (Calc)'!$A:$A)-3),"")</f>
        <v>50.453037974683539</v>
      </c>
      <c r="AG35" s="143">
        <f>IFERROR('Price History'!L3+(INDEX('Price History'!L:L,MATCH(9.99E+307,'Returns (Calc)'!$A:$A)+1)-'Price History'!L3)*(ROW()-3)/(MATCH(9.99E+307,'Returns (Calc)'!$A:$A)-3),"")</f>
        <v>164.1358227848101</v>
      </c>
      <c r="AH35" s="143">
        <f>IFERROR('Price History'!M3+(INDEX('Price History'!M:M,MATCH(9.99E+307,'Returns (Calc)'!$A:$A)+1)-'Price History'!M3)*(ROW()-3)/(MATCH(9.99E+307,'Returns (Calc)'!$A:$A)-3),"")</f>
        <v>81.39417721518987</v>
      </c>
      <c r="AI35" s="143">
        <f>IFERROR('Price History'!N3+(INDEX('Price History'!N:N,MATCH(9.99E+307,'Returns (Calc)'!$A:$A)+1)-'Price History'!N3)*(ROW()-3)/(MATCH(9.99E+307,'Returns (Calc)'!$A:$A)-3),"")</f>
        <v>380.46050632911391</v>
      </c>
      <c r="AJ35" s="143">
        <f>IFERROR('Price History'!O3+(INDEX('Price History'!O:O,MATCH(9.99E+307,'Returns (Calc)'!$A:$A)+1)-'Price History'!O3)*(ROW()-3)/(MATCH(9.99E+307,'Returns (Calc)'!$A:$A)-3),"")</f>
        <v>84.36721518987342</v>
      </c>
      <c r="AK35" s="143">
        <f>IFERROR('Price History'!Q3+(INDEX('Price History'!Q:Q,MATCH(9.99E+307,'Returns (Calc)'!$A:$A)+1)-'Price History'!Q3)*(ROW()-3)/(MATCH(9.99E+307,'Returns (Calc)'!$A:$A)-3),"")</f>
        <v>14.059746835443038</v>
      </c>
      <c r="AL35" s="143">
        <f>IFERROR('Price History'!R3+(INDEX('Price History'!R:R,MATCH(9.99E+307,'Returns (Calc)'!$A:$A)+1)-'Price History'!R3)*(ROW()-3)/(MATCH(9.99E+307,'Returns (Calc)'!$A:$A)-3),"")</f>
        <v>39.859240506329108</v>
      </c>
      <c r="AM35" s="143">
        <f>IFERROR('Price History'!S3+(INDEX('Price History'!S:S,MATCH(9.99E+307,'Returns (Calc)'!$A:$A)+1)-'Price History'!S3)*(ROW()-3)/(MATCH(9.99E+307,'Returns (Calc)'!$A:$A)-3),"")</f>
        <v>76.992025316455695</v>
      </c>
      <c r="AN35" s="143">
        <f>IFERROR('Price History'!T3+(INDEX('Price History'!T:T,MATCH(9.99E+307,'Returns (Calc)'!$A:$A)+1)-'Price History'!T3)*(ROW()-3)/(MATCH(9.99E+307,'Returns (Calc)'!$A:$A)-3),"")</f>
        <v>30.623291139240507</v>
      </c>
      <c r="AO35" s="144">
        <f>IFERROR('Price History'!V3+(INDEX('Price History'!V:V,MATCH(9.99E+307,'Returns (Calc)'!$A:$A)+1)-'Price History'!V3)*(ROW()-3)/(MATCH(9.99E+307,'Returns (Calc)'!$A:$A)-3),"")</f>
        <v>260.95253164556959</v>
      </c>
      <c r="AP35" s="142">
        <f>IFERROR(IF(OR(NOT(ISNUMBER('Price History'!W36)),NOT(ISNUMBER('Price History'!W35)),'Price History'!W35=0),"",'Price History'!W36/'Price History'!W35-1),"")</f>
        <v>-2.0937642239416965E-3</v>
      </c>
      <c r="AQ35" s="142" t="str">
        <f>IFERROR(IF(OR(NOT(ISNUMBER('Price History'!X36)),NOT(ISNUMBER('Price History'!X35)),'Price History'!X35=0),"",'Price History'!X36/'Price History'!X35-1),"")</f>
        <v/>
      </c>
      <c r="AR35" s="142">
        <f>IFERROR(IF(OR(NOT(ISNUMBER('Price History'!Y36)),NOT(ISNUMBER('Price History'!Y35)),'Price History'!Y35=0),"",'Price History'!Y36/'Price History'!Y35-1),"")</f>
        <v>1.9514310494364029E-3</v>
      </c>
      <c r="AS35" s="142">
        <f>IFERROR(IF(OR(NOT(ISNUMBER('Price History'!Z36)),NOT(ISNUMBER('Price History'!Z35)),'Price History'!Z35=0),"",'Price History'!Z36/'Price History'!Z35-1),"")</f>
        <v>1.0860067407314933E-2</v>
      </c>
      <c r="AT35" s="142">
        <f>IFERROR(IF(OR(NOT(ISNUMBER('Price History'!AA36)),NOT(ISNUMBER('Price History'!AA35)),'Price History'!AA35=0),"",'Price History'!AA36/'Price History'!AA35-1),"")</f>
        <v>3.22523164647186E-2</v>
      </c>
    </row>
    <row r="36" spans="1:46" ht="15" customHeight="1" x14ac:dyDescent="0.35">
      <c r="A36" s="140">
        <f>IF('Price History'!A37="","",'Price History'!A37)</f>
        <v>45422</v>
      </c>
      <c r="B36" s="141">
        <f>IFERROR(IF(OR(NOT(ISNUMBER('Price History'!B37)),NOT(ISNUMBER('Price History'!B36)),'Price History'!B36=0),"",'Price History'!B37/'Price History'!B36-1),"")</f>
        <v>-8.0011518367681944E-3</v>
      </c>
      <c r="C36" s="141">
        <f>IFERROR(IF(OR(NOT(ISNUMBER('Price History'!C37)),NOT(ISNUMBER('Price History'!C36)),'Price History'!C36=0),"",'Price History'!C37/'Price History'!C36-1),"")</f>
        <v>0.14446064139941717</v>
      </c>
      <c r="D36" s="141">
        <f>IFERROR(IF(OR(NOT(ISNUMBER('Price History'!D37)),NOT(ISNUMBER('Price History'!D36)),'Price History'!D36=0),"",'Price History'!D37/'Price History'!D36-1),"")</f>
        <v>3.1780642391513014E-2</v>
      </c>
      <c r="E36" s="141">
        <f>IFERROR(IF(OR(NOT(ISNUMBER('Price History'!E37)),NOT(ISNUMBER('Price History'!E36)),'Price History'!E36=0),"",'Price History'!E37/'Price History'!E36-1),"")</f>
        <v>4.2778178322518512E-2</v>
      </c>
      <c r="F36" s="141">
        <f>IFERROR(IF(OR(NOT(ISNUMBER('Price History'!F37)),NOT(ISNUMBER('Price History'!F36)),'Price History'!F36=0),"",'Price History'!F37/'Price History'!F36-1),"")</f>
        <v>3.4042553191489411E-2</v>
      </c>
      <c r="G36" s="141">
        <f>IFERROR(IF(OR(NOT(ISNUMBER('Price History'!G37)),NOT(ISNUMBER('Price History'!G36)),'Price History'!G36=0),"",'Price History'!G37/'Price History'!G36-1),"")</f>
        <v>3.1158572264482043E-2</v>
      </c>
      <c r="H36" s="141">
        <f>IFERROR(IF(OR(NOT(ISNUMBER('Price History'!H37)),NOT(ISNUMBER('Price History'!H36)),'Price History'!H36=0),"",'Price History'!H37/'Price History'!H36-1),"")</f>
        <v>5.7077625570776336E-2</v>
      </c>
      <c r="I36" s="141">
        <f>IFERROR(IF(OR(NOT(ISNUMBER('Price History'!I37)),NOT(ISNUMBER('Price History'!I36)),'Price History'!I36=0),"",'Price History'!I37/'Price History'!I36-1),"")</f>
        <v>1.2197876665913654E-2</v>
      </c>
      <c r="J36" s="141">
        <f>IFERROR(IF(OR(NOT(ISNUMBER('Price History'!J37)),NOT(ISNUMBER('Price History'!J36)),'Price History'!J36=0),"",'Price History'!J37/'Price History'!J36-1),"")</f>
        <v>1.5184159228480709E-2</v>
      </c>
      <c r="K36" s="141">
        <f>IFERROR(IF(OR(NOT(ISNUMBER('Price History'!K37)),NOT(ISNUMBER('Price History'!K36)),'Price History'!K36=0),"",'Price History'!K37/'Price History'!K36-1),"")</f>
        <v>-0.11701671667381042</v>
      </c>
      <c r="L36" s="141">
        <f>IFERROR(IF(OR(NOT(ISNUMBER('Price History'!L37)),NOT(ISNUMBER('Price History'!L36)),'Price History'!L36=0),"",'Price History'!L37/'Price History'!L36-1),"")</f>
        <v>5.4369215071787602E-2</v>
      </c>
      <c r="M36" s="141">
        <f>IFERROR(IF(OR(NOT(ISNUMBER('Price History'!M37)),NOT(ISNUMBER('Price History'!M36)),'Price History'!M36=0),"",'Price History'!M37/'Price History'!M36-1),"")</f>
        <v>2.5773751752399487E-2</v>
      </c>
      <c r="N36" s="141">
        <f>IFERROR(IF(OR(NOT(ISNUMBER('Price History'!N37)),NOT(ISNUMBER('Price History'!N36)),'Price History'!N36=0),"",'Price History'!N37/'Price History'!N36-1),"")</f>
        <v>5.4103919417572532E-2</v>
      </c>
      <c r="O36" s="141">
        <f>IFERROR(IF(OR(NOT(ISNUMBER('Price History'!O37)),NOT(ISNUMBER('Price History'!O36)),'Price History'!O36=0),"",'Price History'!O37/'Price History'!O36-1),"")</f>
        <v>1.7288756583466736E-2</v>
      </c>
      <c r="P36" s="141">
        <f>IFERROR(IF(OR(NOT(ISNUMBER('Price History'!P37)),NOT(ISNUMBER('Price History'!P36)),'Price History'!P36=0),"",'Price History'!P37/'Price History'!P36-1),"")</f>
        <v>2.4727010197635568E-2</v>
      </c>
      <c r="Q36" s="141">
        <f>IFERROR(IF(OR(NOT(ISNUMBER('Price History'!Q37)),NOT(ISNUMBER('Price History'!Q36)),'Price History'!Q36=0),"",'Price History'!Q37/'Price History'!Q36-1),"")</f>
        <v>1.5513779886840773E-2</v>
      </c>
      <c r="R36" s="141">
        <f>IFERROR(IF(OR(NOT(ISNUMBER('Price History'!R37)),NOT(ISNUMBER('Price History'!R36)),'Price History'!R36=0),"",'Price History'!R37/'Price History'!R36-1),"")</f>
        <v>1.391650099403563E-2</v>
      </c>
      <c r="S36" s="141">
        <f>IFERROR(IF(OR(NOT(ISNUMBER('Price History'!S37)),NOT(ISNUMBER('Price History'!S36)),'Price History'!S36=0),"",'Price History'!S37/'Price History'!S36-1),"")</f>
        <v>2.2230940238001873E-2</v>
      </c>
      <c r="T36" s="141">
        <f>IFERROR(IF(OR(NOT(ISNUMBER('Price History'!T37)),NOT(ISNUMBER('Price History'!T36)),'Price History'!T36=0),"",'Price History'!T37/'Price History'!T36-1),"")</f>
        <v>2.2453083109919669E-2</v>
      </c>
      <c r="U36" s="141">
        <f>IFERROR(IF(OR(NOT(ISNUMBER('Price History'!U37)),NOT(ISNUMBER('Price History'!U36)),'Price History'!U36=0),"",'Price History'!U37/'Price History'!U36-1),"")</f>
        <v>1.6863406408094583E-2</v>
      </c>
      <c r="V36" s="142">
        <f>IFERROR(IF(OR(NOT(ISNUMBER('Price History'!V37)),NOT(ISNUMBER('Price History'!V36)),'Price History'!V36=0),"",'Price History'!V37/'Price History'!V36-1),"")</f>
        <v>4.5618429541917971E-2</v>
      </c>
      <c r="W36" s="143">
        <f>IFERROR('Price History'!B3+(INDEX('Price History'!B:B,MATCH(9.99E+307,'Returns (Calc)'!$A:$A)+1)-'Price History'!B3)*(ROW()-3)/(MATCH(9.99E+307,'Returns (Calc)'!$A:$A)-3),"")</f>
        <v>468.06974683544303</v>
      </c>
      <c r="X36" s="143">
        <f>IFERROR('Price History'!C3+(INDEX('Price History'!C:C,MATCH(9.99E+307,'Returns (Calc)'!$A:$A)+1)-'Price History'!C3)*(ROW()-3)/(MATCH(9.99E+307,'Returns (Calc)'!$A:$A)-3),"")</f>
        <v>79.842088607594931</v>
      </c>
      <c r="Y36" s="143">
        <f>IFERROR('Price History'!D3+(INDEX('Price History'!D:D,MATCH(9.99E+307,'Returns (Calc)'!$A:$A)+1)-'Price History'!D3)*(ROW()-3)/(MATCH(9.99E+307,'Returns (Calc)'!$A:$A)-3),"")</f>
        <v>850.45873417721521</v>
      </c>
      <c r="Z36" s="143">
        <f>IFERROR('Price History'!E3+(INDEX('Price History'!E:E,MATCH(9.99E+307,'Returns (Calc)'!$A:$A)+1)-'Price History'!E3)*(ROW()-3)/(MATCH(9.99E+307,'Returns (Calc)'!$A:$A)-3),"")</f>
        <v>139.04822784810125</v>
      </c>
      <c r="AA36" s="143">
        <f>IFERROR('Price History'!F3+(INDEX('Price History'!F:F,MATCH(9.99E+307,'Returns (Calc)'!$A:$A)+1)-'Price History'!F3)*(ROW()-3)/(MATCH(9.99E+307,'Returns (Calc)'!$A:$A)-3),"")</f>
        <v>89.122278481012671</v>
      </c>
      <c r="AB36" s="143">
        <f>IFERROR('Price History'!G3+(INDEX('Price History'!G:G,MATCH(9.99E+307,'Returns (Calc)'!$A:$A)+1)-'Price History'!G3)*(ROW()-3)/(MATCH(9.99E+307,'Returns (Calc)'!$A:$A)-3),"")</f>
        <v>78.298227848101263</v>
      </c>
      <c r="AC36" s="143">
        <f>IFERROR('Price History'!H3+(INDEX('Price History'!H:H,MATCH(9.99E+307,'Returns (Calc)'!$A:$A)+1)-'Price History'!H3)*(ROW()-3)/(MATCH(9.99E+307,'Returns (Calc)'!$A:$A)-3),"")</f>
        <v>279.17797468354433</v>
      </c>
      <c r="AD36" s="143">
        <f>IFERROR('Price History'!I3+(INDEX('Price History'!I:I,MATCH(9.99E+307,'Returns (Calc)'!$A:$A)+1)-'Price History'!I3)*(ROW()-3)/(MATCH(9.99E+307,'Returns (Calc)'!$A:$A)-3),"")</f>
        <v>83.491139240506328</v>
      </c>
      <c r="AE36" s="143">
        <f>IFERROR('Price History'!J3+(INDEX('Price History'!J:J,MATCH(9.99E+307,'Returns (Calc)'!$A:$A)+1)-'Price History'!J3)*(ROW()-3)/(MATCH(9.99E+307,'Returns (Calc)'!$A:$A)-3),"")</f>
        <v>115.40525316455697</v>
      </c>
      <c r="AF36" s="143">
        <f>IFERROR('Price History'!K3+(INDEX('Price History'!K:K,MATCH(9.99E+307,'Returns (Calc)'!$A:$A)+1)-'Price History'!K3)*(ROW()-3)/(MATCH(9.99E+307,'Returns (Calc)'!$A:$A)-3),"")</f>
        <v>51.550632911392398</v>
      </c>
      <c r="AG36" s="143">
        <f>IFERROR('Price History'!L3+(INDEX('Price History'!L:L,MATCH(9.99E+307,'Returns (Calc)'!$A:$A)+1)-'Price History'!L3)*(ROW()-3)/(MATCH(9.99E+307,'Returns (Calc)'!$A:$A)-3),"")</f>
        <v>166.58537974683543</v>
      </c>
      <c r="AH36" s="143">
        <f>IFERROR('Price History'!M3+(INDEX('Price History'!M:M,MATCH(9.99E+307,'Returns (Calc)'!$A:$A)+1)-'Price History'!M3)*(ROW()-3)/(MATCH(9.99E+307,'Returns (Calc)'!$A:$A)-3),"")</f>
        <v>82.749620253164551</v>
      </c>
      <c r="AI36" s="143">
        <f>IFERROR('Price History'!N3+(INDEX('Price History'!N:N,MATCH(9.99E+307,'Returns (Calc)'!$A:$A)+1)-'Price History'!N3)*(ROW()-3)/(MATCH(9.99E+307,'Returns (Calc)'!$A:$A)-3),"")</f>
        <v>381.4467721518987</v>
      </c>
      <c r="AJ36" s="143">
        <f>IFERROR('Price History'!O3+(INDEX('Price History'!O:O,MATCH(9.99E+307,'Returns (Calc)'!$A:$A)+1)-'Price History'!O3)*(ROW()-3)/(MATCH(9.99E+307,'Returns (Calc)'!$A:$A)-3),"")</f>
        <v>84.650253164556972</v>
      </c>
      <c r="AK36" s="143">
        <f>IFERROR('Price History'!Q3+(INDEX('Price History'!Q:Q,MATCH(9.99E+307,'Returns (Calc)'!$A:$A)+1)-'Price History'!Q3)*(ROW()-3)/(MATCH(9.99E+307,'Returns (Calc)'!$A:$A)-3),"")</f>
        <v>14.499113924050635</v>
      </c>
      <c r="AL36" s="143">
        <f>IFERROR('Price History'!R3+(INDEX('Price History'!R:R,MATCH(9.99E+307,'Returns (Calc)'!$A:$A)+1)-'Price History'!R3)*(ROW()-3)/(MATCH(9.99E+307,'Returns (Calc)'!$A:$A)-3),"")</f>
        <v>40.0273417721519</v>
      </c>
      <c r="AM36" s="143">
        <f>IFERROR('Price History'!S3+(INDEX('Price History'!S:S,MATCH(9.99E+307,'Returns (Calc)'!$A:$A)+1)-'Price History'!S3)*(ROW()-3)/(MATCH(9.99E+307,'Returns (Calc)'!$A:$A)-3),"")</f>
        <v>77.597088607594941</v>
      </c>
      <c r="AN36" s="143">
        <f>IFERROR('Price History'!T3+(INDEX('Price History'!T:T,MATCH(9.99E+307,'Returns (Calc)'!$A:$A)+1)-'Price History'!T3)*(ROW()-3)/(MATCH(9.99E+307,'Returns (Calc)'!$A:$A)-3),"")</f>
        <v>30.791518987341771</v>
      </c>
      <c r="AO36" s="144">
        <f>IFERROR('Price History'!V3+(INDEX('Price History'!V:V,MATCH(9.99E+307,'Returns (Calc)'!$A:$A)+1)-'Price History'!V3)*(ROW()-3)/(MATCH(9.99E+307,'Returns (Calc)'!$A:$A)-3),"")</f>
        <v>261.74386075949366</v>
      </c>
      <c r="AP36" s="142">
        <f>IFERROR(IF(OR(NOT(ISNUMBER('Price History'!W37)),NOT(ISNUMBER('Price History'!W36)),'Price History'!W36=0),"",'Price History'!W37/'Price History'!W36-1),"")</f>
        <v>2.344462689290272E-2</v>
      </c>
      <c r="AQ36" s="142" t="str">
        <f>IFERROR(IF(OR(NOT(ISNUMBER('Price History'!X37)),NOT(ISNUMBER('Price History'!X36)),'Price History'!X36=0),"",'Price History'!X37/'Price History'!X36-1),"")</f>
        <v/>
      </c>
      <c r="AR36" s="142">
        <f>IFERROR(IF(OR(NOT(ISNUMBER('Price History'!Y37)),NOT(ISNUMBER('Price History'!Y36)),'Price History'!Y36=0),"",'Price History'!Y37/'Price History'!Y36-1),"")</f>
        <v>1.8610690326769097E-2</v>
      </c>
      <c r="AS36" s="142">
        <f>IFERROR(IF(OR(NOT(ISNUMBER('Price History'!Z37)),NOT(ISNUMBER('Price History'!Z36)),'Price History'!Z36=0),"",'Price History'!Z37/'Price History'!Z36-1),"")</f>
        <v>-4.4455421091627034E-3</v>
      </c>
      <c r="AT36" s="142">
        <f>IFERROR(IF(OR(NOT(ISNUMBER('Price History'!AA37)),NOT(ISNUMBER('Price History'!AA36)),'Price History'!AA36=0),"",'Price History'!AA37/'Price History'!AA36-1),"")</f>
        <v>5.4548593129639222E-2</v>
      </c>
    </row>
    <row r="37" spans="1:46" ht="15" customHeight="1" x14ac:dyDescent="0.35">
      <c r="A37" s="140">
        <f>IF('Price History'!A38="","",'Price History'!A38)</f>
        <v>45429</v>
      </c>
      <c r="B37" s="141">
        <f>IFERROR(IF(OR(NOT(ISNUMBER('Price History'!B38)),NOT(ISNUMBER('Price History'!B37)),'Price History'!B37=0),"",'Price History'!B38/'Price History'!B37-1),"")</f>
        <v>2.3637230711812673E-3</v>
      </c>
      <c r="C37" s="141">
        <f>IFERROR(IF(OR(NOT(ISNUMBER('Price History'!C38)),NOT(ISNUMBER('Price History'!C37)),'Price History'!C37=0),"",'Price History'!C38/'Price History'!C37-1),"")</f>
        <v>1.8596357151955178E-2</v>
      </c>
      <c r="D37" s="141">
        <f>IFERROR(IF(OR(NOT(ISNUMBER('Price History'!D38)),NOT(ISNUMBER('Price History'!D37)),'Price History'!D37=0),"",'Price History'!D38/'Price History'!D37-1),"")</f>
        <v>-5.715787398988259E-3</v>
      </c>
      <c r="E37" s="141">
        <f>IFERROR(IF(OR(NOT(ISNUMBER('Price History'!E38)),NOT(ISNUMBER('Price History'!E37)),'Price History'!E37=0),"",'Price History'!E38/'Price History'!E37-1),"")</f>
        <v>4.6861796112775744E-2</v>
      </c>
      <c r="F37" s="141">
        <f>IFERROR(IF(OR(NOT(ISNUMBER('Price History'!F38)),NOT(ISNUMBER('Price History'!F37)),'Price History'!F37=0),"",'Price History'!F38/'Price History'!F37-1),"")</f>
        <v>7.8438708068337748E-2</v>
      </c>
      <c r="G37" s="141">
        <f>IFERROR(IF(OR(NOT(ISNUMBER('Price History'!G38)),NOT(ISNUMBER('Price History'!G37)),'Price History'!G37=0),"",'Price History'!G38/'Price History'!G37-1),"")</f>
        <v>4.2984820541920765E-2</v>
      </c>
      <c r="H37" s="141">
        <f>IFERROR(IF(OR(NOT(ISNUMBER('Price History'!H38)),NOT(ISNUMBER('Price History'!H37)),'Price History'!H37=0),"",'Price History'!H38/'Price History'!H37-1),"")</f>
        <v>3.3394251536800201E-2</v>
      </c>
      <c r="I37" s="141">
        <f>IFERROR(IF(OR(NOT(ISNUMBER('Price History'!I38)),NOT(ISNUMBER('Price History'!I37)),'Price History'!I37=0),"",'Price History'!I38/'Price History'!I37-1),"")</f>
        <v>2.9011381388083013E-2</v>
      </c>
      <c r="J37" s="141">
        <f>IFERROR(IF(OR(NOT(ISNUMBER('Price History'!J38)),NOT(ISNUMBER('Price History'!J37)),'Price History'!J37=0),"",'Price History'!J38/'Price History'!J37-1),"")</f>
        <v>3.7291561394643846E-2</v>
      </c>
      <c r="K37" s="141">
        <f>IFERROR(IF(OR(NOT(ISNUMBER('Price History'!K38)),NOT(ISNUMBER('Price History'!K37)),'Price History'!K37=0),"",'Price History'!K38/'Price History'!K37-1),"")</f>
        <v>5.6310679611650594E-2</v>
      </c>
      <c r="L37" s="141">
        <f>IFERROR(IF(OR(NOT(ISNUMBER('Price History'!L38)),NOT(ISNUMBER('Price History'!L37)),'Price History'!L37=0),"",'Price History'!L38/'Price History'!L37-1),"")</f>
        <v>1.6243865348724906E-2</v>
      </c>
      <c r="M37" s="141">
        <f>IFERROR(IF(OR(NOT(ISNUMBER('Price History'!M38)),NOT(ISNUMBER('Price History'!M37)),'Price History'!M37=0),"",'Price History'!M38/'Price History'!M37-1),"")</f>
        <v>1.4718250630782137E-2</v>
      </c>
      <c r="N37" s="141">
        <f>IFERROR(IF(OR(NOT(ISNUMBER('Price History'!N38)),NOT(ISNUMBER('Price History'!N37)),'Price History'!N37=0),"",'Price History'!N38/'Price History'!N37-1),"")</f>
        <v>5.3053597615781323E-2</v>
      </c>
      <c r="O37" s="141">
        <f>IFERROR(IF(OR(NOT(ISNUMBER('Price History'!O38)),NOT(ISNUMBER('Price History'!O37)),'Price History'!O37=0),"",'Price History'!O38/'Price History'!O37-1),"")</f>
        <v>1.1029825548677596E-2</v>
      </c>
      <c r="P37" s="141">
        <f>IFERROR(IF(OR(NOT(ISNUMBER('Price History'!P38)),NOT(ISNUMBER('Price History'!P37)),'Price History'!P37=0),"",'Price History'!P38/'Price History'!P37-1),"")</f>
        <v>1.2153236459709449E-2</v>
      </c>
      <c r="Q37" s="141">
        <f>IFERROR(IF(OR(NOT(ISNUMBER('Price History'!Q38)),NOT(ISNUMBER('Price History'!Q37)),'Price History'!Q37=0),"",'Price History'!Q38/'Price History'!Q37-1),"")</f>
        <v>1.078360891444996E-2</v>
      </c>
      <c r="R37" s="141">
        <f>IFERROR(IF(OR(NOT(ISNUMBER('Price History'!R38)),NOT(ISNUMBER('Price History'!R37)),'Price History'!R37=0),"",'Price History'!R38/'Price History'!R37-1),"")</f>
        <v>1.2009803921568585E-2</v>
      </c>
      <c r="S37" s="141">
        <f>IFERROR(IF(OR(NOT(ISNUMBER('Price History'!S38)),NOT(ISNUMBER('Price History'!S37)),'Price History'!S37=0),"",'Price History'!S38/'Price History'!S37-1),"")</f>
        <v>1.5095305104259937E-2</v>
      </c>
      <c r="T37" s="141">
        <f>IFERROR(IF(OR(NOT(ISNUMBER('Price History'!T38)),NOT(ISNUMBER('Price History'!T37)),'Price History'!T37=0),"",'Price History'!T38/'Price History'!T37-1),"")</f>
        <v>9.5050803015404028E-3</v>
      </c>
      <c r="U37" s="141">
        <f>IFERROR(IF(OR(NOT(ISNUMBER('Price History'!U38)),NOT(ISNUMBER('Price History'!U37)),'Price History'!U37=0),"",'Price History'!U38/'Price History'!U37-1),"")</f>
        <v>9.9502487562188602E-3</v>
      </c>
      <c r="V37" s="142">
        <f>IFERROR(IF(OR(NOT(ISNUMBER('Price History'!V38)),NOT(ISNUMBER('Price History'!V37)),'Price History'!V37=0),"",'Price History'!V38/'Price History'!V37-1),"")</f>
        <v>-4.3555587818955299E-4</v>
      </c>
      <c r="W37" s="143">
        <f>IFERROR('Price History'!B3+(INDEX('Price History'!B:B,MATCH(9.99E+307,'Returns (Calc)'!$A:$A)+1)-'Price History'!B3)*(ROW()-3)/(MATCH(9.99E+307,'Returns (Calc)'!$A:$A)-3),"")</f>
        <v>466.22670886075946</v>
      </c>
      <c r="X37" s="143">
        <f>IFERROR('Price History'!C3+(INDEX('Price History'!C:C,MATCH(9.99E+307,'Returns (Calc)'!$A:$A)+1)-'Price History'!C3)*(ROW()-3)/(MATCH(9.99E+307,'Returns (Calc)'!$A:$A)-3),"")</f>
        <v>80.862151898734169</v>
      </c>
      <c r="Y37" s="143">
        <f>IFERROR('Price History'!D3+(INDEX('Price History'!D:D,MATCH(9.99E+307,'Returns (Calc)'!$A:$A)+1)-'Price History'!D3)*(ROW()-3)/(MATCH(9.99E+307,'Returns (Calc)'!$A:$A)-3),"")</f>
        <v>858.59354430379744</v>
      </c>
      <c r="Z37" s="143">
        <f>IFERROR('Price History'!E3+(INDEX('Price History'!E:E,MATCH(9.99E+307,'Returns (Calc)'!$A:$A)+1)-'Price History'!E3)*(ROW()-3)/(MATCH(9.99E+307,'Returns (Calc)'!$A:$A)-3),"")</f>
        <v>140.77696202531646</v>
      </c>
      <c r="AA37" s="143">
        <f>IFERROR('Price History'!F3+(INDEX('Price History'!F:F,MATCH(9.99E+307,'Returns (Calc)'!$A:$A)+1)-'Price History'!F3)*(ROW()-3)/(MATCH(9.99E+307,'Returns (Calc)'!$A:$A)-3),"")</f>
        <v>90.569620253164558</v>
      </c>
      <c r="AB37" s="143">
        <f>IFERROR('Price History'!G3+(INDEX('Price History'!G:G,MATCH(9.99E+307,'Returns (Calc)'!$A:$A)+1)-'Price History'!G3)*(ROW()-3)/(MATCH(9.99E+307,'Returns (Calc)'!$A:$A)-3),"")</f>
        <v>79.326962025316448</v>
      </c>
      <c r="AC37" s="143">
        <f>IFERROR('Price History'!H3+(INDEX('Price History'!H:H,MATCH(9.99E+307,'Returns (Calc)'!$A:$A)+1)-'Price History'!H3)*(ROW()-3)/(MATCH(9.99E+307,'Returns (Calc)'!$A:$A)-3),"")</f>
        <v>285.54367088607597</v>
      </c>
      <c r="AD37" s="143">
        <f>IFERROR('Price History'!I3+(INDEX('Price History'!I:I,MATCH(9.99E+307,'Returns (Calc)'!$A:$A)+1)-'Price History'!I3)*(ROW()-3)/(MATCH(9.99E+307,'Returns (Calc)'!$A:$A)-3),"")</f>
        <v>84.694810126582269</v>
      </c>
      <c r="AE37" s="143">
        <f>IFERROR('Price History'!J3+(INDEX('Price History'!J:J,MATCH(9.99E+307,'Returns (Calc)'!$A:$A)+1)-'Price History'!J3)*(ROW()-3)/(MATCH(9.99E+307,'Returns (Calc)'!$A:$A)-3),"")</f>
        <v>115.51329113924051</v>
      </c>
      <c r="AF37" s="143">
        <f>IFERROR('Price History'!K3+(INDEX('Price History'!K:K,MATCH(9.99E+307,'Returns (Calc)'!$A:$A)+1)-'Price History'!K3)*(ROW()-3)/(MATCH(9.99E+307,'Returns (Calc)'!$A:$A)-3),"")</f>
        <v>52.648227848101264</v>
      </c>
      <c r="AG37" s="143">
        <f>IFERROR('Price History'!L3+(INDEX('Price History'!L:L,MATCH(9.99E+307,'Returns (Calc)'!$A:$A)+1)-'Price History'!L3)*(ROW()-3)/(MATCH(9.99E+307,'Returns (Calc)'!$A:$A)-3),"")</f>
        <v>169.03493670886076</v>
      </c>
      <c r="AH37" s="143">
        <f>IFERROR('Price History'!M3+(INDEX('Price History'!M:M,MATCH(9.99E+307,'Returns (Calc)'!$A:$A)+1)-'Price History'!M3)*(ROW()-3)/(MATCH(9.99E+307,'Returns (Calc)'!$A:$A)-3),"")</f>
        <v>84.105063291139231</v>
      </c>
      <c r="AI37" s="143">
        <f>IFERROR('Price History'!N3+(INDEX('Price History'!N:N,MATCH(9.99E+307,'Returns (Calc)'!$A:$A)+1)-'Price History'!N3)*(ROW()-3)/(MATCH(9.99E+307,'Returns (Calc)'!$A:$A)-3),"")</f>
        <v>382.43303797468354</v>
      </c>
      <c r="AJ37" s="143">
        <f>IFERROR('Price History'!O3+(INDEX('Price History'!O:O,MATCH(9.99E+307,'Returns (Calc)'!$A:$A)+1)-'Price History'!O3)*(ROW()-3)/(MATCH(9.99E+307,'Returns (Calc)'!$A:$A)-3),"")</f>
        <v>84.933291139240509</v>
      </c>
      <c r="AK37" s="143">
        <f>IFERROR('Price History'!Q3+(INDEX('Price History'!Q:Q,MATCH(9.99E+307,'Returns (Calc)'!$A:$A)+1)-'Price History'!Q3)*(ROW()-3)/(MATCH(9.99E+307,'Returns (Calc)'!$A:$A)-3),"")</f>
        <v>14.938481012658229</v>
      </c>
      <c r="AL37" s="143">
        <f>IFERROR('Price History'!R3+(INDEX('Price History'!R:R,MATCH(9.99E+307,'Returns (Calc)'!$A:$A)+1)-'Price History'!R3)*(ROW()-3)/(MATCH(9.99E+307,'Returns (Calc)'!$A:$A)-3),"")</f>
        <v>40.195443037974684</v>
      </c>
      <c r="AM37" s="143">
        <f>IFERROR('Price History'!S3+(INDEX('Price History'!S:S,MATCH(9.99E+307,'Returns (Calc)'!$A:$A)+1)-'Price History'!S3)*(ROW()-3)/(MATCH(9.99E+307,'Returns (Calc)'!$A:$A)-3),"")</f>
        <v>78.202151898734172</v>
      </c>
      <c r="AN37" s="143">
        <f>IFERROR('Price History'!T3+(INDEX('Price History'!T:T,MATCH(9.99E+307,'Returns (Calc)'!$A:$A)+1)-'Price History'!T3)*(ROW()-3)/(MATCH(9.99E+307,'Returns (Calc)'!$A:$A)-3),"")</f>
        <v>30.959746835443035</v>
      </c>
      <c r="AO37" s="144">
        <f>IFERROR('Price History'!V3+(INDEX('Price History'!V:V,MATCH(9.99E+307,'Returns (Calc)'!$A:$A)+1)-'Price History'!V3)*(ROW()-3)/(MATCH(9.99E+307,'Returns (Calc)'!$A:$A)-3),"")</f>
        <v>262.53518987341772</v>
      </c>
      <c r="AP37" s="142">
        <f>IFERROR(IF(OR(NOT(ISNUMBER('Price History'!W38)),NOT(ISNUMBER('Price History'!W37)),'Price History'!W37=0),"",'Price History'!W38/'Price History'!W37-1),"")</f>
        <v>1.3637579106872355E-2</v>
      </c>
      <c r="AQ37" s="142" t="str">
        <f>IFERROR(IF(OR(NOT(ISNUMBER('Price History'!X38)),NOT(ISNUMBER('Price History'!X37)),'Price History'!X37=0),"",'Price History'!X38/'Price History'!X37-1),"")</f>
        <v/>
      </c>
      <c r="AR37" s="142">
        <f>IFERROR(IF(OR(NOT(ISNUMBER('Price History'!Y38)),NOT(ISNUMBER('Price History'!Y37)),'Price History'!Y37=0),"",'Price History'!Y38/'Price History'!Y37-1),"")</f>
        <v>4.8863394943701177E-3</v>
      </c>
      <c r="AS37" s="142">
        <f>IFERROR(IF(OR(NOT(ISNUMBER('Price History'!Z38)),NOT(ISNUMBER('Price History'!Z37)),'Price History'!Z37=0),"",'Price History'!Z38/'Price History'!Z37-1),"")</f>
        <v>-2.1334656412800745E-2</v>
      </c>
      <c r="AT37" s="142">
        <f>IFERROR(IF(OR(NOT(ISNUMBER('Price History'!AA38)),NOT(ISNUMBER('Price History'!AA37)),'Price History'!AA37=0),"",'Price History'!AA38/'Price History'!AA37-1),"")</f>
        <v>1.6696677033884333E-2</v>
      </c>
    </row>
    <row r="38" spans="1:46" ht="15" customHeight="1" x14ac:dyDescent="0.35">
      <c r="A38" s="140">
        <f>IF('Price History'!A39="","",'Price History'!A39)</f>
        <v>45436</v>
      </c>
      <c r="B38" s="141">
        <f>IFERROR(IF(OR(NOT(ISNUMBER('Price History'!B39)),NOT(ISNUMBER('Price History'!B38)),'Price History'!B38=0),"",'Price History'!B39/'Price History'!B38-1),"")</f>
        <v>-1.6548414455040072E-2</v>
      </c>
      <c r="C38" s="141">
        <f>IFERROR(IF(OR(NOT(ISNUMBER('Price History'!C39)),NOT(ISNUMBER('Price History'!C38)),'Price History'!C38=0),"",'Price History'!C39/'Price History'!C38-1),"")</f>
        <v>-4.1640615230711497E-2</v>
      </c>
      <c r="D38" s="141">
        <f>IFERROR(IF(OR(NOT(ISNUMBER('Price History'!D39)),NOT(ISNUMBER('Price History'!D38)),'Price History'!D38=0),"",'Price History'!D39/'Price History'!D38-1),"")</f>
        <v>3.3787057838861712E-2</v>
      </c>
      <c r="E38" s="141">
        <f>IFERROR(IF(OR(NOT(ISNUMBER('Price History'!E39)),NOT(ISNUMBER('Price History'!E38)),'Price History'!E38=0),"",'Price History'!E39/'Price History'!E38-1),"")</f>
        <v>9.0261979892858335E-3</v>
      </c>
      <c r="F38" s="141">
        <f>IFERROR(IF(OR(NOT(ISNUMBER('Price History'!F39)),NOT(ISNUMBER('Price History'!F38)),'Price History'!F38=0),"",'Price History'!F39/'Price History'!F38-1),"")</f>
        <v>1.6073080481036062E-2</v>
      </c>
      <c r="G38" s="141">
        <f>IFERROR(IF(OR(NOT(ISNUMBER('Price History'!G39)),NOT(ISNUMBER('Price History'!G38)),'Price History'!G38=0),"",'Price History'!G39/'Price History'!G38-1),"")</f>
        <v>4.2029379760609498E-2</v>
      </c>
      <c r="H38" s="141">
        <f>IFERROR(IF(OR(NOT(ISNUMBER('Price History'!H39)),NOT(ISNUMBER('Price History'!H38)),'Price History'!H38=0),"",'Price History'!H39/'Price History'!H38-1),"")</f>
        <v>3.3520900321543312E-2</v>
      </c>
      <c r="I38" s="141">
        <f>IFERROR(IF(OR(NOT(ISNUMBER('Price History'!I39)),NOT(ISNUMBER('Price History'!I38)),'Price History'!I38=0),"",'Price History'!I39/'Price History'!I38-1),"")</f>
        <v>0.15126870527000658</v>
      </c>
      <c r="J38" s="141">
        <f>IFERROR(IF(OR(NOT(ISNUMBER('Price History'!J39)),NOT(ISNUMBER('Price History'!J38)),'Price History'!J38=0),"",'Price History'!J39/'Price History'!J38-1),"")</f>
        <v>-6.0600155884645401E-2</v>
      </c>
      <c r="K38" s="141">
        <f>IFERROR(IF(OR(NOT(ISNUMBER('Price History'!K39)),NOT(ISNUMBER('Price History'!K38)),'Price History'!K38=0),"",'Price History'!K39/'Price History'!K38-1),"")</f>
        <v>-3.4466911764705843E-2</v>
      </c>
      <c r="L38" s="141">
        <f>IFERROR(IF(OR(NOT(ISNUMBER('Price History'!L39)),NOT(ISNUMBER('Price History'!L38)),'Price History'!L38=0),"",'Price History'!L39/'Price History'!L38-1),"")</f>
        <v>5.4822473132907001E-2</v>
      </c>
      <c r="M38" s="141">
        <f>IFERROR(IF(OR(NOT(ISNUMBER('Price History'!M39)),NOT(ISNUMBER('Price History'!M38)),'Price History'!M38=0),"",'Price History'!M39/'Price History'!M38-1),"")</f>
        <v>9.666390385412349E-2</v>
      </c>
      <c r="N38" s="141">
        <f>IFERROR(IF(OR(NOT(ISNUMBER('Price History'!N39)),NOT(ISNUMBER('Price History'!N38)),'Price History'!N38=0),"",'Price History'!N39/'Price History'!N38-1),"")</f>
        <v>2.6369578401203908E-2</v>
      </c>
      <c r="O38" s="141">
        <f>IFERROR(IF(OR(NOT(ISNUMBER('Price History'!O39)),NOT(ISNUMBER('Price History'!O38)),'Price History'!O38=0),"",'Price History'!O39/'Price History'!O38-1),"")</f>
        <v>-1.4805744183457592E-2</v>
      </c>
      <c r="P38" s="141">
        <f>IFERROR(IF(OR(NOT(ISNUMBER('Price History'!P39)),NOT(ISNUMBER('Price History'!P38)),'Price History'!P38=0),"",'Price History'!P39/'Price History'!P38-1),"")</f>
        <v>-2.0447228747933588E-2</v>
      </c>
      <c r="Q38" s="141">
        <f>IFERROR(IF(OR(NOT(ISNUMBER('Price History'!Q39)),NOT(ISNUMBER('Price History'!Q38)),'Price History'!Q38=0),"",'Price History'!Q39/'Price History'!Q38-1),"")</f>
        <v>1.0668563300142431E-3</v>
      </c>
      <c r="R38" s="141">
        <f>IFERROR(IF(OR(NOT(ISNUMBER('Price History'!R39)),NOT(ISNUMBER('Price History'!R38)),'Price History'!R38=0),"",'Price History'!R39/'Price History'!R38-1),"")</f>
        <v>4.6015984499878648E-3</v>
      </c>
      <c r="S38" s="141">
        <f>IFERROR(IF(OR(NOT(ISNUMBER('Price History'!S39)),NOT(ISNUMBER('Price History'!S38)),'Price History'!S38=0),"",'Price History'!S39/'Price History'!S38-1),"")</f>
        <v>1.953371140516702E-2</v>
      </c>
      <c r="T38" s="141">
        <f>IFERROR(IF(OR(NOT(ISNUMBER('Price History'!T39)),NOT(ISNUMBER('Price History'!T38)),'Price History'!T38=0),"",'Price History'!T39/'Price History'!T38-1),"")</f>
        <v>-1.7207792207792227E-2</v>
      </c>
      <c r="U38" s="141">
        <f>IFERROR(IF(OR(NOT(ISNUMBER('Price History'!U39)),NOT(ISNUMBER('Price History'!U38)),'Price History'!U38=0),"",'Price History'!U39/'Price History'!U38-1),"")</f>
        <v>-2.4630541871921041E-2</v>
      </c>
      <c r="V38" s="142">
        <f>IFERROR(IF(OR(NOT(ISNUMBER('Price History'!V39)),NOT(ISNUMBER('Price History'!V38)),'Price History'!V38=0),"",'Price History'!V39/'Price History'!V38-1),"")</f>
        <v>-2.0044300809760607E-2</v>
      </c>
      <c r="W38" s="143">
        <f>IFERROR('Price History'!B3+(INDEX('Price History'!B:B,MATCH(9.99E+307,'Returns (Calc)'!$A:$A)+1)-'Price History'!B3)*(ROW()-3)/(MATCH(9.99E+307,'Returns (Calc)'!$A:$A)-3),"")</f>
        <v>464.38367088607595</v>
      </c>
      <c r="X38" s="143">
        <f>IFERROR('Price History'!C3+(INDEX('Price History'!C:C,MATCH(9.99E+307,'Returns (Calc)'!$A:$A)+1)-'Price History'!C3)*(ROW()-3)/(MATCH(9.99E+307,'Returns (Calc)'!$A:$A)-3),"")</f>
        <v>81.882215189873421</v>
      </c>
      <c r="Y38" s="143">
        <f>IFERROR('Price History'!D3+(INDEX('Price History'!D:D,MATCH(9.99E+307,'Returns (Calc)'!$A:$A)+1)-'Price History'!D3)*(ROW()-3)/(MATCH(9.99E+307,'Returns (Calc)'!$A:$A)-3),"")</f>
        <v>866.7283544303798</v>
      </c>
      <c r="Z38" s="143">
        <f>IFERROR('Price History'!E3+(INDEX('Price History'!E:E,MATCH(9.99E+307,'Returns (Calc)'!$A:$A)+1)-'Price History'!E3)*(ROW()-3)/(MATCH(9.99E+307,'Returns (Calc)'!$A:$A)-3),"")</f>
        <v>142.50569620253165</v>
      </c>
      <c r="AA38" s="143">
        <f>IFERROR('Price History'!F3+(INDEX('Price History'!F:F,MATCH(9.99E+307,'Returns (Calc)'!$A:$A)+1)-'Price History'!F3)*(ROW()-3)/(MATCH(9.99E+307,'Returns (Calc)'!$A:$A)-3),"")</f>
        <v>92.01696202531646</v>
      </c>
      <c r="AB38" s="143">
        <f>IFERROR('Price History'!G3+(INDEX('Price History'!G:G,MATCH(9.99E+307,'Returns (Calc)'!$A:$A)+1)-'Price History'!G3)*(ROW()-3)/(MATCH(9.99E+307,'Returns (Calc)'!$A:$A)-3),"")</f>
        <v>80.355696202531647</v>
      </c>
      <c r="AC38" s="143">
        <f>IFERROR('Price History'!H3+(INDEX('Price History'!H:H,MATCH(9.99E+307,'Returns (Calc)'!$A:$A)+1)-'Price History'!H3)*(ROW()-3)/(MATCH(9.99E+307,'Returns (Calc)'!$A:$A)-3),"")</f>
        <v>291.90936708860761</v>
      </c>
      <c r="AD38" s="143">
        <f>IFERROR('Price History'!I3+(INDEX('Price History'!I:I,MATCH(9.99E+307,'Returns (Calc)'!$A:$A)+1)-'Price History'!I3)*(ROW()-3)/(MATCH(9.99E+307,'Returns (Calc)'!$A:$A)-3),"")</f>
        <v>85.898481012658223</v>
      </c>
      <c r="AE38" s="143">
        <f>IFERROR('Price History'!J3+(INDEX('Price History'!J:J,MATCH(9.99E+307,'Returns (Calc)'!$A:$A)+1)-'Price History'!J3)*(ROW()-3)/(MATCH(9.99E+307,'Returns (Calc)'!$A:$A)-3),"")</f>
        <v>115.62132911392405</v>
      </c>
      <c r="AF38" s="143">
        <f>IFERROR('Price History'!K3+(INDEX('Price History'!K:K,MATCH(9.99E+307,'Returns (Calc)'!$A:$A)+1)-'Price History'!K3)*(ROW()-3)/(MATCH(9.99E+307,'Returns (Calc)'!$A:$A)-3),"")</f>
        <v>53.745822784810123</v>
      </c>
      <c r="AG38" s="143">
        <f>IFERROR('Price History'!L3+(INDEX('Price History'!L:L,MATCH(9.99E+307,'Returns (Calc)'!$A:$A)+1)-'Price History'!L3)*(ROW()-3)/(MATCH(9.99E+307,'Returns (Calc)'!$A:$A)-3),"")</f>
        <v>171.48449367088608</v>
      </c>
      <c r="AH38" s="143">
        <f>IFERROR('Price History'!M3+(INDEX('Price History'!M:M,MATCH(9.99E+307,'Returns (Calc)'!$A:$A)+1)-'Price History'!M3)*(ROW()-3)/(MATCH(9.99E+307,'Returns (Calc)'!$A:$A)-3),"")</f>
        <v>85.460506329113926</v>
      </c>
      <c r="AI38" s="143">
        <f>IFERROR('Price History'!N3+(INDEX('Price History'!N:N,MATCH(9.99E+307,'Returns (Calc)'!$A:$A)+1)-'Price History'!N3)*(ROW()-3)/(MATCH(9.99E+307,'Returns (Calc)'!$A:$A)-3),"")</f>
        <v>383.41930379746833</v>
      </c>
      <c r="AJ38" s="143">
        <f>IFERROR('Price History'!O3+(INDEX('Price History'!O:O,MATCH(9.99E+307,'Returns (Calc)'!$A:$A)+1)-'Price History'!O3)*(ROW()-3)/(MATCH(9.99E+307,'Returns (Calc)'!$A:$A)-3),"")</f>
        <v>85.216329113924047</v>
      </c>
      <c r="AK38" s="143">
        <f>IFERROR('Price History'!Q3+(INDEX('Price History'!Q:Q,MATCH(9.99E+307,'Returns (Calc)'!$A:$A)+1)-'Price History'!Q3)*(ROW()-3)/(MATCH(9.99E+307,'Returns (Calc)'!$A:$A)-3),"")</f>
        <v>15.377848101265824</v>
      </c>
      <c r="AL38" s="143">
        <f>IFERROR('Price History'!R3+(INDEX('Price History'!R:R,MATCH(9.99E+307,'Returns (Calc)'!$A:$A)+1)-'Price History'!R3)*(ROW()-3)/(MATCH(9.99E+307,'Returns (Calc)'!$A:$A)-3),"")</f>
        <v>40.363544303797468</v>
      </c>
      <c r="AM38" s="143">
        <f>IFERROR('Price History'!S3+(INDEX('Price History'!S:S,MATCH(9.99E+307,'Returns (Calc)'!$A:$A)+1)-'Price History'!S3)*(ROW()-3)/(MATCH(9.99E+307,'Returns (Calc)'!$A:$A)-3),"")</f>
        <v>78.807215189873418</v>
      </c>
      <c r="AN38" s="143">
        <f>IFERROR('Price History'!T3+(INDEX('Price History'!T:T,MATCH(9.99E+307,'Returns (Calc)'!$A:$A)+1)-'Price History'!T3)*(ROW()-3)/(MATCH(9.99E+307,'Returns (Calc)'!$A:$A)-3),"")</f>
        <v>31.127974683544302</v>
      </c>
      <c r="AO38" s="144">
        <f>IFERROR('Price History'!V3+(INDEX('Price History'!V:V,MATCH(9.99E+307,'Returns (Calc)'!$A:$A)+1)-'Price History'!V3)*(ROW()-3)/(MATCH(9.99E+307,'Returns (Calc)'!$A:$A)-3),"")</f>
        <v>263.32651898734179</v>
      </c>
      <c r="AP38" s="142">
        <f>IFERROR(IF(OR(NOT(ISNUMBER('Price History'!W39)),NOT(ISNUMBER('Price History'!W38)),'Price History'!W38=0),"",'Price History'!W39/'Price History'!W38-1),"")</f>
        <v>-1.7499120647203603E-2</v>
      </c>
      <c r="AQ38" s="142" t="str">
        <f>IFERROR(IF(OR(NOT(ISNUMBER('Price History'!X39)),NOT(ISNUMBER('Price History'!X38)),'Price History'!X38=0),"",'Price History'!X39/'Price History'!X38-1),"")</f>
        <v/>
      </c>
      <c r="AR38" s="142">
        <f>IFERROR(IF(OR(NOT(ISNUMBER('Price History'!Y39)),NOT(ISNUMBER('Price History'!Y38)),'Price History'!Y38=0),"",'Price History'!Y39/'Price History'!Y38-1),"")</f>
        <v>-8.0338266384777368E-3</v>
      </c>
      <c r="AS38" s="142">
        <f>IFERROR(IF(OR(NOT(ISNUMBER('Price History'!Z39)),NOT(ISNUMBER('Price History'!Z38)),'Price History'!Z38=0),"",'Price History'!Z39/'Price History'!Z38-1),"")</f>
        <v>4.6514575411913617E-2</v>
      </c>
      <c r="AT38" s="142">
        <f>IFERROR(IF(OR(NOT(ISNUMBER('Price History'!AA39)),NOT(ISNUMBER('Price History'!AA38)),'Price History'!AA38=0),"",'Price History'!AA39/'Price History'!AA38-1),"")</f>
        <v>4.1378199967799123E-2</v>
      </c>
    </row>
    <row r="39" spans="1:46" ht="15" customHeight="1" x14ac:dyDescent="0.35">
      <c r="A39" s="140">
        <f>IF('Price History'!A40="","",'Price History'!A40)</f>
        <v>45443</v>
      </c>
      <c r="B39" s="141">
        <f>IFERROR(IF(OR(NOT(ISNUMBER('Price History'!B40)),NOT(ISNUMBER('Price History'!B39)),'Price History'!B39=0),"",'Price History'!B40/'Price History'!B39-1),"")</f>
        <v>-6.4510022505942066E-2</v>
      </c>
      <c r="C39" s="141">
        <f>IFERROR(IF(OR(NOT(ISNUMBER('Price History'!C40)),NOT(ISNUMBER('Price History'!C39)),'Price History'!C39=0),"",'Price History'!C40/'Price History'!C39-1),"")</f>
        <v>-2.9097077244258918E-2</v>
      </c>
      <c r="D39" s="141">
        <f>IFERROR(IF(OR(NOT(ISNUMBER('Price History'!D40)),NOT(ISNUMBER('Price History'!D39)),'Price History'!D39=0),"",'Price History'!D40/'Price History'!D39-1),"")</f>
        <v>4.314385546275723E-3</v>
      </c>
      <c r="E39" s="141">
        <f>IFERROR(IF(OR(NOT(ISNUMBER('Price History'!E40)),NOT(ISNUMBER('Price History'!E39)),'Price History'!E39=0),"",'Price History'!E40/'Price History'!E39-1),"")</f>
        <v>-5.6363636363636394E-2</v>
      </c>
      <c r="F39" s="141">
        <f>IFERROR(IF(OR(NOT(ISNUMBER('Price History'!F40)),NOT(ISNUMBER('Price History'!F39)),'Price History'!F39=0),"",'Price History'!F40/'Price History'!F39-1),"")</f>
        <v>-0.10754523728234899</v>
      </c>
      <c r="G39" s="141">
        <f>IFERROR(IF(OR(NOT(ISNUMBER('Price History'!G40)),NOT(ISNUMBER('Price History'!G39)),'Price History'!G39=0),"",'Price History'!G40/'Price History'!G39-1),"")</f>
        <v>-2.5062002349562795E-2</v>
      </c>
      <c r="H39" s="141">
        <f>IFERROR(IF(OR(NOT(ISNUMBER('Price History'!H40)),NOT(ISNUMBER('Price History'!H39)),'Price History'!H39=0),"",'Price History'!H40/'Price History'!H39-1),"")</f>
        <v>-3.4689274325270247E-2</v>
      </c>
      <c r="I39" s="141">
        <f>IFERROR(IF(OR(NOT(ISNUMBER('Price History'!I40)),NOT(ISNUMBER('Price History'!I39)),'Price History'!I39=0),"",'Price History'!I40/'Price History'!I39-1),"")</f>
        <v>2.9669398135066416E-2</v>
      </c>
      <c r="J39" s="141">
        <f>IFERROR(IF(OR(NOT(ISNUMBER('Price History'!J40)),NOT(ISNUMBER('Price History'!J39)),'Price History'!J39=0),"",'Price History'!J40/'Price History'!J39-1),"")</f>
        <v>5.486413607135443E-2</v>
      </c>
      <c r="K39" s="141">
        <f>IFERROR(IF(OR(NOT(ISNUMBER('Price History'!K40)),NOT(ISNUMBER('Price History'!K39)),'Price History'!K39=0),"",'Price History'!K40/'Price History'!K39-1),"")</f>
        <v>3.188957639219403E-2</v>
      </c>
      <c r="L39" s="141">
        <f>IFERROR(IF(OR(NOT(ISNUMBER('Price History'!L40)),NOT(ISNUMBER('Price History'!L39)),'Price History'!L39=0),"",'Price History'!L40/'Price History'!L39-1),"")</f>
        <v>-5.597111168429203E-2</v>
      </c>
      <c r="M39" s="141">
        <f>IFERROR(IF(OR(NOT(ISNUMBER('Price History'!M40)),NOT(ISNUMBER('Price History'!M39)),'Price History'!M39=0),"",'Price History'!M40/'Price History'!M39-1),"")</f>
        <v>-7.6239962210675416E-2</v>
      </c>
      <c r="N39" s="141">
        <f>IFERROR(IF(OR(NOT(ISNUMBER('Price History'!N40)),NOT(ISNUMBER('Price History'!N39)),'Price History'!N39=0),"",'Price History'!N40/'Price History'!N39-1),"")</f>
        <v>-3.5233614180982809E-3</v>
      </c>
      <c r="O39" s="141">
        <f>IFERROR(IF(OR(NOT(ISNUMBER('Price History'!O40)),NOT(ISNUMBER('Price History'!O39)),'Price History'!O39=0),"",'Price History'!O40/'Price History'!O39-1),"")</f>
        <v>1.0734463276836248E-2</v>
      </c>
      <c r="P39" s="141">
        <f>IFERROR(IF(OR(NOT(ISNUMBER('Price History'!P40)),NOT(ISNUMBER('Price History'!P39)),'Price History'!P39=0),"",'Price History'!P40/'Price History'!P39-1),"")</f>
        <v>1.0481435423698837E-2</v>
      </c>
      <c r="Q39" s="141">
        <f>IFERROR(IF(OR(NOT(ISNUMBER('Price History'!Q40)),NOT(ISNUMBER('Price History'!Q39)),'Price History'!Q39=0),"",'Price History'!Q40/'Price History'!Q39-1),"")</f>
        <v>-2.6642984014209059E-3</v>
      </c>
      <c r="R39" s="141">
        <f>IFERROR(IF(OR(NOT(ISNUMBER('Price History'!R40)),NOT(ISNUMBER('Price History'!R39)),'Price History'!R39=0),"",'Price History'!R40/'Price History'!R39-1),"")</f>
        <v>-3.3751205400190942E-3</v>
      </c>
      <c r="S39" s="141">
        <f>IFERROR(IF(OR(NOT(ISNUMBER('Price History'!S40)),NOT(ISNUMBER('Price History'!S39)),'Price History'!S39=0),"",'Price History'!S40/'Price History'!S39-1),"")</f>
        <v>-1.1001236093943101E-2</v>
      </c>
      <c r="T39" s="141">
        <f>IFERROR(IF(OR(NOT(ISNUMBER('Price History'!T40)),NOT(ISNUMBER('Price History'!T39)),'Price History'!T39=0),"",'Price History'!T40/'Price History'!T39-1),"")</f>
        <v>1.156260323752889E-2</v>
      </c>
      <c r="U39" s="141">
        <f>IFERROR(IF(OR(NOT(ISNUMBER('Price History'!U40)),NOT(ISNUMBER('Price History'!U39)),'Price History'!U39=0),"",'Price History'!U40/'Price History'!U39-1),"")</f>
        <v>5.8922558922558377E-3</v>
      </c>
      <c r="V39" s="142">
        <f>IFERROR(IF(OR(NOT(ISNUMBER('Price History'!V40)),NOT(ISNUMBER('Price History'!V39)),'Price History'!V39=0),"",'Price History'!V40/'Price History'!V39-1),"")</f>
        <v>-7.3739207766703174E-3</v>
      </c>
      <c r="W39" s="143">
        <f>IFERROR('Price History'!B3+(INDEX('Price History'!B:B,MATCH(9.99E+307,'Returns (Calc)'!$A:$A)+1)-'Price History'!B3)*(ROW()-3)/(MATCH(9.99E+307,'Returns (Calc)'!$A:$A)-3),"")</f>
        <v>462.54063291139238</v>
      </c>
      <c r="X39" s="143">
        <f>IFERROR('Price History'!C3+(INDEX('Price History'!C:C,MATCH(9.99E+307,'Returns (Calc)'!$A:$A)+1)-'Price History'!C3)*(ROW()-3)/(MATCH(9.99E+307,'Returns (Calc)'!$A:$A)-3),"")</f>
        <v>82.902278481012658</v>
      </c>
      <c r="Y39" s="143">
        <f>IFERROR('Price History'!D3+(INDEX('Price History'!D:D,MATCH(9.99E+307,'Returns (Calc)'!$A:$A)+1)-'Price History'!D3)*(ROW()-3)/(MATCH(9.99E+307,'Returns (Calc)'!$A:$A)-3),"")</f>
        <v>874.86316455696192</v>
      </c>
      <c r="Z39" s="143">
        <f>IFERROR('Price History'!E3+(INDEX('Price History'!E:E,MATCH(9.99E+307,'Returns (Calc)'!$A:$A)+1)-'Price History'!E3)*(ROW()-3)/(MATCH(9.99E+307,'Returns (Calc)'!$A:$A)-3),"")</f>
        <v>144.23443037974684</v>
      </c>
      <c r="AA39" s="143">
        <f>IFERROR('Price History'!F3+(INDEX('Price History'!F:F,MATCH(9.99E+307,'Returns (Calc)'!$A:$A)+1)-'Price History'!F3)*(ROW()-3)/(MATCH(9.99E+307,'Returns (Calc)'!$A:$A)-3),"")</f>
        <v>93.464303797468347</v>
      </c>
      <c r="AB39" s="143">
        <f>IFERROR('Price History'!G3+(INDEX('Price History'!G:G,MATCH(9.99E+307,'Returns (Calc)'!$A:$A)+1)-'Price History'!G3)*(ROW()-3)/(MATCH(9.99E+307,'Returns (Calc)'!$A:$A)-3),"")</f>
        <v>81.384430379746831</v>
      </c>
      <c r="AC39" s="143">
        <f>IFERROR('Price History'!H3+(INDEX('Price History'!H:H,MATCH(9.99E+307,'Returns (Calc)'!$A:$A)+1)-'Price History'!H3)*(ROW()-3)/(MATCH(9.99E+307,'Returns (Calc)'!$A:$A)-3),"")</f>
        <v>298.27506329113925</v>
      </c>
      <c r="AD39" s="143">
        <f>IFERROR('Price History'!I3+(INDEX('Price History'!I:I,MATCH(9.99E+307,'Returns (Calc)'!$A:$A)+1)-'Price History'!I3)*(ROW()-3)/(MATCH(9.99E+307,'Returns (Calc)'!$A:$A)-3),"")</f>
        <v>87.102151898734178</v>
      </c>
      <c r="AE39" s="143">
        <f>IFERROR('Price History'!J3+(INDEX('Price History'!J:J,MATCH(9.99E+307,'Returns (Calc)'!$A:$A)+1)-'Price History'!J3)*(ROW()-3)/(MATCH(9.99E+307,'Returns (Calc)'!$A:$A)-3),"")</f>
        <v>115.7293670886076</v>
      </c>
      <c r="AF39" s="143">
        <f>IFERROR('Price History'!K3+(INDEX('Price History'!K:K,MATCH(9.99E+307,'Returns (Calc)'!$A:$A)+1)-'Price History'!K3)*(ROW()-3)/(MATCH(9.99E+307,'Returns (Calc)'!$A:$A)-3),"")</f>
        <v>54.843417721518982</v>
      </c>
      <c r="AG39" s="143">
        <f>IFERROR('Price History'!L3+(INDEX('Price History'!L:L,MATCH(9.99E+307,'Returns (Calc)'!$A:$A)+1)-'Price History'!L3)*(ROW()-3)/(MATCH(9.99E+307,'Returns (Calc)'!$A:$A)-3),"")</f>
        <v>173.93405063291138</v>
      </c>
      <c r="AH39" s="143">
        <f>IFERROR('Price History'!M3+(INDEX('Price History'!M:M,MATCH(9.99E+307,'Returns (Calc)'!$A:$A)+1)-'Price History'!M3)*(ROW()-3)/(MATCH(9.99E+307,'Returns (Calc)'!$A:$A)-3),"")</f>
        <v>86.815949367088621</v>
      </c>
      <c r="AI39" s="143">
        <f>IFERROR('Price History'!N3+(INDEX('Price History'!N:N,MATCH(9.99E+307,'Returns (Calc)'!$A:$A)+1)-'Price History'!N3)*(ROW()-3)/(MATCH(9.99E+307,'Returns (Calc)'!$A:$A)-3),"")</f>
        <v>384.40556962025312</v>
      </c>
      <c r="AJ39" s="143">
        <f>IFERROR('Price History'!O3+(INDEX('Price History'!O:O,MATCH(9.99E+307,'Returns (Calc)'!$A:$A)+1)-'Price History'!O3)*(ROW()-3)/(MATCH(9.99E+307,'Returns (Calc)'!$A:$A)-3),"")</f>
        <v>85.499367088607599</v>
      </c>
      <c r="AK39" s="143">
        <f>IFERROR('Price History'!Q3+(INDEX('Price History'!Q:Q,MATCH(9.99E+307,'Returns (Calc)'!$A:$A)+1)-'Price History'!Q3)*(ROW()-3)/(MATCH(9.99E+307,'Returns (Calc)'!$A:$A)-3),"")</f>
        <v>15.817215189873417</v>
      </c>
      <c r="AL39" s="143">
        <f>IFERROR('Price History'!R3+(INDEX('Price History'!R:R,MATCH(9.99E+307,'Returns (Calc)'!$A:$A)+1)-'Price History'!R3)*(ROW()-3)/(MATCH(9.99E+307,'Returns (Calc)'!$A:$A)-3),"")</f>
        <v>40.531645569620252</v>
      </c>
      <c r="AM39" s="143">
        <f>IFERROR('Price History'!S3+(INDEX('Price History'!S:S,MATCH(9.99E+307,'Returns (Calc)'!$A:$A)+1)-'Price History'!S3)*(ROW()-3)/(MATCH(9.99E+307,'Returns (Calc)'!$A:$A)-3),"")</f>
        <v>79.412278481012663</v>
      </c>
      <c r="AN39" s="143">
        <f>IFERROR('Price History'!T3+(INDEX('Price History'!T:T,MATCH(9.99E+307,'Returns (Calc)'!$A:$A)+1)-'Price History'!T3)*(ROW()-3)/(MATCH(9.99E+307,'Returns (Calc)'!$A:$A)-3),"")</f>
        <v>31.296202531645569</v>
      </c>
      <c r="AO39" s="144">
        <f>IFERROR('Price History'!V3+(INDEX('Price History'!V:V,MATCH(9.99E+307,'Returns (Calc)'!$A:$A)+1)-'Price History'!V3)*(ROW()-3)/(MATCH(9.99E+307,'Returns (Calc)'!$A:$A)-3),"")</f>
        <v>264.11784810126585</v>
      </c>
      <c r="AP39" s="142">
        <f>IFERROR(IF(OR(NOT(ISNUMBER('Price History'!W40)),NOT(ISNUMBER('Price History'!W39)),'Price History'!W39=0),"",'Price History'!W40/'Price History'!W39-1),"")</f>
        <v>5.1910856529131522E-3</v>
      </c>
      <c r="AQ39" s="142" t="str">
        <f>IFERROR(IF(OR(NOT(ISNUMBER('Price History'!X40)),NOT(ISNUMBER('Price History'!X39)),'Price History'!X39=0),"",'Price History'!X40/'Price History'!X39-1),"")</f>
        <v/>
      </c>
      <c r="AR39" s="142">
        <f>IFERROR(IF(OR(NOT(ISNUMBER('Price History'!Y40)),NOT(ISNUMBER('Price History'!Y39)),'Price History'!Y39=0),"",'Price History'!Y40/'Price History'!Y39-1),"")</f>
        <v>-1.7050298380221207E-3</v>
      </c>
      <c r="AS39" s="142">
        <f>IFERROR(IF(OR(NOT(ISNUMBER('Price History'!Z40)),NOT(ISNUMBER('Price History'!Z39)),'Price History'!Z39=0),"",'Price History'!Z40/'Price History'!Z39-1),"")</f>
        <v>-1.3079811069395597E-2</v>
      </c>
      <c r="AT39" s="142">
        <f>IFERROR(IF(OR(NOT(ISNUMBER('Price History'!AA40)),NOT(ISNUMBER('Price History'!AA39)),'Price History'!AA39=0),"",'Price History'!AA40/'Price History'!AA39-1),"")</f>
        <v>-8.0395794681510369E-3</v>
      </c>
    </row>
    <row r="40" spans="1:46" ht="15" customHeight="1" x14ac:dyDescent="0.35">
      <c r="A40" s="140">
        <f>IF('Price History'!A41="","",'Price History'!A41)</f>
        <v>45450</v>
      </c>
      <c r="B40" s="141">
        <f>IFERROR(IF(OR(NOT(ISNUMBER('Price History'!B41)),NOT(ISNUMBER('Price History'!B40)),'Price History'!B40=0),"",'Price History'!B41/'Price History'!B40-1),"")</f>
        <v>4.6474503102797105E-2</v>
      </c>
      <c r="C40" s="141">
        <f>IFERROR(IF(OR(NOT(ISNUMBER('Price History'!C41)),NOT(ISNUMBER('Price History'!C40)),'Price History'!C40=0),"",'Price History'!C41/'Price History'!C40-1),"")</f>
        <v>-2.8222013170271509E-3</v>
      </c>
      <c r="D40" s="141">
        <f>IFERROR(IF(OR(NOT(ISNUMBER('Price History'!D41)),NOT(ISNUMBER('Price History'!D40)),'Price History'!D40=0),"",'Price History'!D41/'Price History'!D40-1),"")</f>
        <v>7.0886854694146129E-2</v>
      </c>
      <c r="E40" s="141">
        <f>IFERROR(IF(OR(NOT(ISNUMBER('Price History'!E41)),NOT(ISNUMBER('Price History'!E40)),'Price History'!E40=0),"",'Price History'!E41/'Price History'!E40-1),"")</f>
        <v>5.8805394990365967E-2</v>
      </c>
      <c r="F40" s="141">
        <f>IFERROR(IF(OR(NOT(ISNUMBER('Price History'!F41)),NOT(ISNUMBER('Price History'!F40)),'Price History'!F40=0),"",'Price History'!F41/'Price History'!F40-1),"")</f>
        <v>0.11298138230043353</v>
      </c>
      <c r="G40" s="141">
        <f>IFERROR(IF(OR(NOT(ISNUMBER('Price History'!G41)),NOT(ISNUMBER('Price History'!G40)),'Price History'!G40=0),"",'Price History'!G41/'Price History'!G40-1),"")</f>
        <v>1.2317579327888684E-2</v>
      </c>
      <c r="H40" s="141">
        <f>IFERROR(IF(OR(NOT(ISNUMBER('Price History'!H41)),NOT(ISNUMBER('Price History'!H40)),'Price History'!H40=0),"",'Price History'!H41/'Price History'!H40-1),"")</f>
        <v>4.7538473934412906E-2</v>
      </c>
      <c r="I40" s="141">
        <f>IFERROR(IF(OR(NOT(ISNUMBER('Price History'!I41)),NOT(ISNUMBER('Price History'!I40)),'Price History'!I40=0),"",'Price History'!I41/'Price History'!I40-1),"")</f>
        <v>0.10263446761800221</v>
      </c>
      <c r="J40" s="141">
        <f>IFERROR(IF(OR(NOT(ISNUMBER('Price History'!J41)),NOT(ISNUMBER('Price History'!J40)),'Price History'!J40=0),"",'Price History'!J41/'Price History'!J40-1),"")</f>
        <v>-2.6546062334086296E-3</v>
      </c>
      <c r="K40" s="141">
        <f>IFERROR(IF(OR(NOT(ISNUMBER('Price History'!K41)),NOT(ISNUMBER('Price History'!K40)),'Price History'!K40=0),"",'Price History'!K41/'Price History'!K40-1),"")</f>
        <v>7.5184501845018348E-2</v>
      </c>
      <c r="L40" s="141">
        <f>IFERROR(IF(OR(NOT(ISNUMBER('Price History'!L41)),NOT(ISNUMBER('Price History'!L40)),'Price History'!L40=0),"",'Price History'!L41/'Price History'!L40-1),"")</f>
        <v>8.838797814207644E-2</v>
      </c>
      <c r="M40" s="141">
        <f>IFERROR(IF(OR(NOT(ISNUMBER('Price History'!M41)),NOT(ISNUMBER('Price History'!M40)),'Price History'!M40=0),"",'Price History'!M41/'Price History'!M40-1),"")</f>
        <v>-0.10595213745142151</v>
      </c>
      <c r="N40" s="141">
        <f>IFERROR(IF(OR(NOT(ISNUMBER('Price History'!N41)),NOT(ISNUMBER('Price History'!N40)),'Price History'!N40=0),"",'Price History'!N41/'Price History'!N40-1),"")</f>
        <v>6.0833662757499907E-2</v>
      </c>
      <c r="O40" s="141">
        <f>IFERROR(IF(OR(NOT(ISNUMBER('Price History'!O41)),NOT(ISNUMBER('Price History'!O40)),'Price History'!O40=0),"",'Price History'!O41/'Price History'!O40-1),"")</f>
        <v>-3.409726103968691E-2</v>
      </c>
      <c r="P40" s="141">
        <f>IFERROR(IF(OR(NOT(ISNUMBER('Price History'!P41)),NOT(ISNUMBER('Price History'!P40)),'Price History'!P40=0),"",'Price History'!P41/'Price History'!P40-1),"")</f>
        <v>-2.0218002812939617E-2</v>
      </c>
      <c r="Q40" s="141">
        <f>IFERROR(IF(OR(NOT(ISNUMBER('Price History'!Q41)),NOT(ISNUMBER('Price History'!Q40)),'Price History'!Q40=0),"",'Price History'!Q41/'Price History'!Q40-1),"")</f>
        <v>1.1041852181656431E-2</v>
      </c>
      <c r="R40" s="141">
        <f>IFERROR(IF(OR(NOT(ISNUMBER('Price History'!R41)),NOT(ISNUMBER('Price History'!R40)),'Price History'!R40=0),"",'Price History'!R41/'Price History'!R40-1),"")</f>
        <v>1.4029995162070596E-2</v>
      </c>
      <c r="S40" s="141">
        <f>IFERROR(IF(OR(NOT(ISNUMBER('Price History'!S41)),NOT(ISNUMBER('Price History'!S40)),'Price History'!S40=0),"",'Price History'!S41/'Price History'!S40-1),"")</f>
        <v>3.0371203599550034E-2</v>
      </c>
      <c r="T40" s="141">
        <f>IFERROR(IF(OR(NOT(ISNUMBER('Price History'!T41)),NOT(ISNUMBER('Price History'!T40)),'Price History'!T40=0),"",'Price History'!T41/'Price History'!T40-1),"")</f>
        <v>-2.1227955584585345E-2</v>
      </c>
      <c r="U40" s="141">
        <f>IFERROR(IF(OR(NOT(ISNUMBER('Price History'!U41)),NOT(ISNUMBER('Price History'!U40)),'Price History'!U40=0),"",'Price History'!U41/'Price History'!U40-1),"")</f>
        <v>-8.7866108786609498E-3</v>
      </c>
      <c r="V40" s="142">
        <f>IFERROR(IF(OR(NOT(ISNUMBER('Price History'!V41)),NOT(ISNUMBER('Price History'!V40)),'Price History'!V40=0),"",'Price History'!V41/'Price History'!V40-1),"")</f>
        <v>2.2771390174705086E-2</v>
      </c>
      <c r="W40" s="143">
        <f>IFERROR('Price History'!B3+(INDEX('Price History'!B:B,MATCH(9.99E+307,'Returns (Calc)'!$A:$A)+1)-'Price History'!B3)*(ROW()-3)/(MATCH(9.99E+307,'Returns (Calc)'!$A:$A)-3),"")</f>
        <v>460.69759493670887</v>
      </c>
      <c r="X40" s="143">
        <f>IFERROR('Price History'!C3+(INDEX('Price History'!C:C,MATCH(9.99E+307,'Returns (Calc)'!$A:$A)+1)-'Price History'!C3)*(ROW()-3)/(MATCH(9.99E+307,'Returns (Calc)'!$A:$A)-3),"")</f>
        <v>83.922341772151896</v>
      </c>
      <c r="Y40" s="143">
        <f>IFERROR('Price History'!D3+(INDEX('Price History'!D:D,MATCH(9.99E+307,'Returns (Calc)'!$A:$A)+1)-'Price History'!D3)*(ROW()-3)/(MATCH(9.99E+307,'Returns (Calc)'!$A:$A)-3),"")</f>
        <v>882.99797468354427</v>
      </c>
      <c r="Z40" s="143">
        <f>IFERROR('Price History'!E3+(INDEX('Price History'!E:E,MATCH(9.99E+307,'Returns (Calc)'!$A:$A)+1)-'Price History'!E3)*(ROW()-3)/(MATCH(9.99E+307,'Returns (Calc)'!$A:$A)-3),"")</f>
        <v>145.96316455696203</v>
      </c>
      <c r="AA40" s="143">
        <f>IFERROR('Price History'!F3+(INDEX('Price History'!F:F,MATCH(9.99E+307,'Returns (Calc)'!$A:$A)+1)-'Price History'!F3)*(ROW()-3)/(MATCH(9.99E+307,'Returns (Calc)'!$A:$A)-3),"")</f>
        <v>94.911645569620248</v>
      </c>
      <c r="AB40" s="143">
        <f>IFERROR('Price History'!G3+(INDEX('Price History'!G:G,MATCH(9.99E+307,'Returns (Calc)'!$A:$A)+1)-'Price History'!G3)*(ROW()-3)/(MATCH(9.99E+307,'Returns (Calc)'!$A:$A)-3),"")</f>
        <v>82.413164556962016</v>
      </c>
      <c r="AC40" s="143">
        <f>IFERROR('Price History'!H3+(INDEX('Price History'!H:H,MATCH(9.99E+307,'Returns (Calc)'!$A:$A)+1)-'Price History'!H3)*(ROW()-3)/(MATCH(9.99E+307,'Returns (Calc)'!$A:$A)-3),"")</f>
        <v>304.64075949367088</v>
      </c>
      <c r="AD40" s="143">
        <f>IFERROR('Price History'!I3+(INDEX('Price History'!I:I,MATCH(9.99E+307,'Returns (Calc)'!$A:$A)+1)-'Price History'!I3)*(ROW()-3)/(MATCH(9.99E+307,'Returns (Calc)'!$A:$A)-3),"")</f>
        <v>88.305822784810118</v>
      </c>
      <c r="AE40" s="143">
        <f>IFERROR('Price History'!J3+(INDEX('Price History'!J:J,MATCH(9.99E+307,'Returns (Calc)'!$A:$A)+1)-'Price History'!J3)*(ROW()-3)/(MATCH(9.99E+307,'Returns (Calc)'!$A:$A)-3),"")</f>
        <v>115.83740506329114</v>
      </c>
      <c r="AF40" s="143">
        <f>IFERROR('Price History'!K3+(INDEX('Price History'!K:K,MATCH(9.99E+307,'Returns (Calc)'!$A:$A)+1)-'Price History'!K3)*(ROW()-3)/(MATCH(9.99E+307,'Returns (Calc)'!$A:$A)-3),"")</f>
        <v>55.941012658227848</v>
      </c>
      <c r="AG40" s="143">
        <f>IFERROR('Price History'!L3+(INDEX('Price History'!L:L,MATCH(9.99E+307,'Returns (Calc)'!$A:$A)+1)-'Price History'!L3)*(ROW()-3)/(MATCH(9.99E+307,'Returns (Calc)'!$A:$A)-3),"")</f>
        <v>176.38360759493671</v>
      </c>
      <c r="AH40" s="143">
        <f>IFERROR('Price History'!M3+(INDEX('Price History'!M:M,MATCH(9.99E+307,'Returns (Calc)'!$A:$A)+1)-'Price History'!M3)*(ROW()-3)/(MATCH(9.99E+307,'Returns (Calc)'!$A:$A)-3),"")</f>
        <v>88.171392405063301</v>
      </c>
      <c r="AI40" s="143">
        <f>IFERROR('Price History'!N3+(INDEX('Price History'!N:N,MATCH(9.99E+307,'Returns (Calc)'!$A:$A)+1)-'Price History'!N3)*(ROW()-3)/(MATCH(9.99E+307,'Returns (Calc)'!$A:$A)-3),"")</f>
        <v>385.39183544303796</v>
      </c>
      <c r="AJ40" s="143">
        <f>IFERROR('Price History'!O3+(INDEX('Price History'!O:O,MATCH(9.99E+307,'Returns (Calc)'!$A:$A)+1)-'Price History'!O3)*(ROW()-3)/(MATCH(9.99E+307,'Returns (Calc)'!$A:$A)-3),"")</f>
        <v>85.782405063291137</v>
      </c>
      <c r="AK40" s="143">
        <f>IFERROR('Price History'!Q3+(INDEX('Price History'!Q:Q,MATCH(9.99E+307,'Returns (Calc)'!$A:$A)+1)-'Price History'!Q3)*(ROW()-3)/(MATCH(9.99E+307,'Returns (Calc)'!$A:$A)-3),"")</f>
        <v>16.256582278481012</v>
      </c>
      <c r="AL40" s="143">
        <f>IFERROR('Price History'!R3+(INDEX('Price History'!R:R,MATCH(9.99E+307,'Returns (Calc)'!$A:$A)+1)-'Price History'!R3)*(ROW()-3)/(MATCH(9.99E+307,'Returns (Calc)'!$A:$A)-3),"")</f>
        <v>40.699746835443037</v>
      </c>
      <c r="AM40" s="143">
        <f>IFERROR('Price History'!S3+(INDEX('Price History'!S:S,MATCH(9.99E+307,'Returns (Calc)'!$A:$A)+1)-'Price History'!S3)*(ROW()-3)/(MATCH(9.99E+307,'Returns (Calc)'!$A:$A)-3),"")</f>
        <v>80.017341772151894</v>
      </c>
      <c r="AN40" s="143">
        <f>IFERROR('Price History'!T3+(INDEX('Price History'!T:T,MATCH(9.99E+307,'Returns (Calc)'!$A:$A)+1)-'Price History'!T3)*(ROW()-3)/(MATCH(9.99E+307,'Returns (Calc)'!$A:$A)-3),"")</f>
        <v>31.464430379746833</v>
      </c>
      <c r="AO40" s="144">
        <f>IFERROR('Price History'!V3+(INDEX('Price History'!V:V,MATCH(9.99E+307,'Returns (Calc)'!$A:$A)+1)-'Price History'!V3)*(ROW()-3)/(MATCH(9.99E+307,'Returns (Calc)'!$A:$A)-3),"")</f>
        <v>264.90917721518986</v>
      </c>
      <c r="AP40" s="142">
        <f>IFERROR(IF(OR(NOT(ISNUMBER('Price History'!W41)),NOT(ISNUMBER('Price History'!W40)),'Price History'!W40=0),"",'Price History'!W41/'Price History'!W40-1),"")</f>
        <v>-8.9929658979610583E-3</v>
      </c>
      <c r="AQ40" s="142" t="str">
        <f>IFERROR(IF(OR(NOT(ISNUMBER('Price History'!X41)),NOT(ISNUMBER('Price History'!X40)),'Price History'!X40=0),"",'Price History'!X41/'Price History'!X40-1),"")</f>
        <v/>
      </c>
      <c r="AR40" s="142">
        <f>IFERROR(IF(OR(NOT(ISNUMBER('Price History'!Y41)),NOT(ISNUMBER('Price History'!Y40)),'Price History'!Y40=0),"",'Price History'!Y41/'Price History'!Y40-1),"")</f>
        <v>8.5397096498707192E-4</v>
      </c>
      <c r="AS40" s="142">
        <f>IFERROR(IF(OR(NOT(ISNUMBER('Price History'!Z41)),NOT(ISNUMBER('Price History'!Z40)),'Price History'!Z40=0),"",'Price History'!Z41/'Price History'!Z40-1),"")</f>
        <v>-1.9511596514909635E-2</v>
      </c>
      <c r="AT40" s="142">
        <f>IFERROR(IF(OR(NOT(ISNUMBER('Price History'!AA41)),NOT(ISNUMBER('Price History'!AA40)),'Price History'!AA40=0),"",'Price History'!AA41/'Price History'!AA40-1),"")</f>
        <v>-1.5586034912706825E-4</v>
      </c>
    </row>
    <row r="41" spans="1:46" ht="15" customHeight="1" x14ac:dyDescent="0.35">
      <c r="A41" s="140">
        <f>IF('Price History'!A42="","",'Price History'!A42)</f>
        <v>45457</v>
      </c>
      <c r="B41" s="141">
        <f>IFERROR(IF(OR(NOT(ISNUMBER('Price History'!B42)),NOT(ISNUMBER('Price History'!B41)),'Price History'!B41=0),"",'Price History'!B42/'Price History'!B41-1),"")</f>
        <v>0.12865522205272528</v>
      </c>
      <c r="C41" s="141">
        <f>IFERROR(IF(OR(NOT(ISNUMBER('Price History'!C42)),NOT(ISNUMBER('Price History'!C41)),'Price History'!C41=0),"",'Price History'!C42/'Price History'!C41-1),"")</f>
        <v>0.10673854447439357</v>
      </c>
      <c r="D41" s="141">
        <f>IFERROR(IF(OR(NOT(ISNUMBER('Price History'!D42)),NOT(ISNUMBER('Price History'!D41)),'Price History'!D41=0),"",'Price History'!D42/'Price History'!D41-1),"")</f>
        <v>-5.0515055467514891E-4</v>
      </c>
      <c r="E41" s="141">
        <f>IFERROR(IF(OR(NOT(ISNUMBER('Price History'!E42)),NOT(ISNUMBER('Price History'!E41)),'Price History'!E41=0),"",'Price History'!E42/'Price History'!E41-1),"")</f>
        <v>0.23344009317222292</v>
      </c>
      <c r="F41" s="141">
        <f>IFERROR(IF(OR(NOT(ISNUMBER('Price History'!F42)),NOT(ISNUMBER('Price History'!F41)),'Price History'!F41=0),"",'Price History'!F42/'Price History'!F41-1),"")</f>
        <v>0.10403299725022919</v>
      </c>
      <c r="G41" s="141">
        <f>IFERROR(IF(OR(NOT(ISNUMBER('Price History'!G42)),NOT(ISNUMBER('Price History'!G41)),'Price History'!G41=0),"",'Price History'!G42/'Price History'!G41-1),"")</f>
        <v>7.2741700833223177E-2</v>
      </c>
      <c r="H41" s="141">
        <f>IFERROR(IF(OR(NOT(ISNUMBER('Price History'!H42)),NOT(ISNUMBER('Price History'!H41)),'Price History'!H41=0),"",'Price History'!H42/'Price History'!H41-1),"")</f>
        <v>7.9532343665871919E-2</v>
      </c>
      <c r="I41" s="141">
        <f>IFERROR(IF(OR(NOT(ISNUMBER('Price History'!I42)),NOT(ISNUMBER('Price History'!I41)),'Price History'!I41=0),"",'Price History'!I42/'Price History'!I41-1),"")</f>
        <v>9.1090094574415081E-2</v>
      </c>
      <c r="J41" s="141">
        <f>IFERROR(IF(OR(NOT(ISNUMBER('Price History'!J42)),NOT(ISNUMBER('Price History'!J41)),'Price History'!J41=0),"",'Price History'!J42/'Price History'!J41-1),"")</f>
        <v>1.8927444794952786E-2</v>
      </c>
      <c r="K41" s="141">
        <f>IFERROR(IF(OR(NOT(ISNUMBER('Price History'!K42)),NOT(ISNUMBER('Price History'!K41)),'Price History'!K41=0),"",'Price History'!K42/'Price History'!K41-1),"")</f>
        <v>1.1154011154011156E-2</v>
      </c>
      <c r="L41" s="141">
        <f>IFERROR(IF(OR(NOT(ISNUMBER('Price History'!L42)),NOT(ISNUMBER('Price History'!L41)),'Price History'!L41=0),"",'Price History'!L42/'Price History'!L41-1),"")</f>
        <v>5.265470064014055E-2</v>
      </c>
      <c r="M41" s="141">
        <f>IFERROR(IF(OR(NOT(ISNUMBER('Price History'!M42)),NOT(ISNUMBER('Price History'!M41)),'Price History'!M41=0),"",'Price History'!M42/'Price History'!M41-1),"")</f>
        <v>4.3353923587279741E-2</v>
      </c>
      <c r="N41" s="141">
        <f>IFERROR(IF(OR(NOT(ISNUMBER('Price History'!N42)),NOT(ISNUMBER('Price History'!N41)),'Price History'!N41=0),"",'Price History'!N42/'Price History'!N41-1),"")</f>
        <v>-4.7822126531964493E-3</v>
      </c>
      <c r="O41" s="141">
        <f>IFERROR(IF(OR(NOT(ISNUMBER('Price History'!O42)),NOT(ISNUMBER('Price History'!O41)),'Price History'!O41=0),"",'Price History'!O42/'Price History'!O41-1),"")</f>
        <v>-2.3842592592592582E-2</v>
      </c>
      <c r="P41" s="141">
        <f>IFERROR(IF(OR(NOT(ISNUMBER('Price History'!P42)),NOT(ISNUMBER('Price History'!P41)),'Price History'!P41=0),"",'Price History'!P42/'Price History'!P41-1),"")</f>
        <v>-1.6867037502242943E-2</v>
      </c>
      <c r="Q41" s="141">
        <f>IFERROR(IF(OR(NOT(ISNUMBER('Price History'!Q42)),NOT(ISNUMBER('Price History'!Q41)),'Price History'!Q41=0),"",'Price History'!Q42/'Price History'!Q41-1),"")</f>
        <v>9.1597674828254316E-3</v>
      </c>
      <c r="R41" s="141">
        <f>IFERROR(IF(OR(NOT(ISNUMBER('Price History'!R42)),NOT(ISNUMBER('Price History'!R41)),'Price History'!R41=0),"",'Price History'!R42/'Price History'!R41-1),"")</f>
        <v>1.2643129770992356E-2</v>
      </c>
      <c r="S41" s="141">
        <f>IFERROR(IF(OR(NOT(ISNUMBER('Price History'!S42)),NOT(ISNUMBER('Price History'!S41)),'Price History'!S41=0),"",'Price History'!S42/'Price History'!S41-1),"")</f>
        <v>4.2212518195051008E-2</v>
      </c>
      <c r="T41" s="141">
        <f>IFERROR(IF(OR(NOT(ISNUMBER('Price History'!T42)),NOT(ISNUMBER('Price History'!T41)),'Price History'!T41=0),"",'Price History'!T42/'Price History'!T41-1),"")</f>
        <v>-2.0020020020019569E-3</v>
      </c>
      <c r="U41" s="141">
        <f>IFERROR(IF(OR(NOT(ISNUMBER('Price History'!U42)),NOT(ISNUMBER('Price History'!U41)),'Price History'!U41=0),"",'Price History'!U42/'Price History'!U41-1),"")</f>
        <v>-1.3929928239763689E-2</v>
      </c>
      <c r="V41" s="142">
        <f>IFERROR(IF(OR(NOT(ISNUMBER('Price History'!V42)),NOT(ISNUMBER('Price History'!V41)),'Price History'!V41=0),"",'Price History'!V42/'Price History'!V41-1),"")</f>
        <v>-2.8724724432440341E-2</v>
      </c>
      <c r="W41" s="143">
        <f>IFERROR('Price History'!B3+(INDEX('Price History'!B:B,MATCH(9.99E+307,'Returns (Calc)'!$A:$A)+1)-'Price History'!B3)*(ROW()-3)/(MATCH(9.99E+307,'Returns (Calc)'!$A:$A)-3),"")</f>
        <v>458.8545569620253</v>
      </c>
      <c r="X41" s="143">
        <f>IFERROR('Price History'!C3+(INDEX('Price History'!C:C,MATCH(9.99E+307,'Returns (Calc)'!$A:$A)+1)-'Price History'!C3)*(ROW()-3)/(MATCH(9.99E+307,'Returns (Calc)'!$A:$A)-3),"")</f>
        <v>84.942405063291133</v>
      </c>
      <c r="Y41" s="143">
        <f>IFERROR('Price History'!D3+(INDEX('Price History'!D:D,MATCH(9.99E+307,'Returns (Calc)'!$A:$A)+1)-'Price History'!D3)*(ROW()-3)/(MATCH(9.99E+307,'Returns (Calc)'!$A:$A)-3),"")</f>
        <v>891.13278481012662</v>
      </c>
      <c r="Z41" s="143">
        <f>IFERROR('Price History'!E3+(INDEX('Price History'!E:E,MATCH(9.99E+307,'Returns (Calc)'!$A:$A)+1)-'Price History'!E3)*(ROW()-3)/(MATCH(9.99E+307,'Returns (Calc)'!$A:$A)-3),"")</f>
        <v>147.69189873417722</v>
      </c>
      <c r="AA41" s="143">
        <f>IFERROR('Price History'!F3+(INDEX('Price History'!F:F,MATCH(9.99E+307,'Returns (Calc)'!$A:$A)+1)-'Price History'!F3)*(ROW()-3)/(MATCH(9.99E+307,'Returns (Calc)'!$A:$A)-3),"")</f>
        <v>96.358987341772149</v>
      </c>
      <c r="AB41" s="143">
        <f>IFERROR('Price History'!G3+(INDEX('Price History'!G:G,MATCH(9.99E+307,'Returns (Calc)'!$A:$A)+1)-'Price History'!G3)*(ROW()-3)/(MATCH(9.99E+307,'Returns (Calc)'!$A:$A)-3),"")</f>
        <v>83.441898734177215</v>
      </c>
      <c r="AC41" s="143">
        <f>IFERROR('Price History'!H3+(INDEX('Price History'!H:H,MATCH(9.99E+307,'Returns (Calc)'!$A:$A)+1)-'Price History'!H3)*(ROW()-3)/(MATCH(9.99E+307,'Returns (Calc)'!$A:$A)-3),"")</f>
        <v>311.00645569620258</v>
      </c>
      <c r="AD41" s="143">
        <f>IFERROR('Price History'!I3+(INDEX('Price History'!I:I,MATCH(9.99E+307,'Returns (Calc)'!$A:$A)+1)-'Price History'!I3)*(ROW()-3)/(MATCH(9.99E+307,'Returns (Calc)'!$A:$A)-3),"")</f>
        <v>89.509493670886073</v>
      </c>
      <c r="AE41" s="143">
        <f>IFERROR('Price History'!J3+(INDEX('Price History'!J:J,MATCH(9.99E+307,'Returns (Calc)'!$A:$A)+1)-'Price History'!J3)*(ROW()-3)/(MATCH(9.99E+307,'Returns (Calc)'!$A:$A)-3),"")</f>
        <v>115.94544303797468</v>
      </c>
      <c r="AF41" s="143">
        <f>IFERROR('Price History'!K3+(INDEX('Price History'!K:K,MATCH(9.99E+307,'Returns (Calc)'!$A:$A)+1)-'Price History'!K3)*(ROW()-3)/(MATCH(9.99E+307,'Returns (Calc)'!$A:$A)-3),"")</f>
        <v>57.0386075949367</v>
      </c>
      <c r="AG41" s="143">
        <f>IFERROR('Price History'!L3+(INDEX('Price History'!L:L,MATCH(9.99E+307,'Returns (Calc)'!$A:$A)+1)-'Price History'!L3)*(ROW()-3)/(MATCH(9.99E+307,'Returns (Calc)'!$A:$A)-3),"")</f>
        <v>178.833164556962</v>
      </c>
      <c r="AH41" s="143">
        <f>IFERROR('Price History'!M3+(INDEX('Price History'!M:M,MATCH(9.99E+307,'Returns (Calc)'!$A:$A)+1)-'Price History'!M3)*(ROW()-3)/(MATCH(9.99E+307,'Returns (Calc)'!$A:$A)-3),"")</f>
        <v>89.526835443037982</v>
      </c>
      <c r="AI41" s="143">
        <f>IFERROR('Price History'!N3+(INDEX('Price History'!N:N,MATCH(9.99E+307,'Returns (Calc)'!$A:$A)+1)-'Price History'!N3)*(ROW()-3)/(MATCH(9.99E+307,'Returns (Calc)'!$A:$A)-3),"")</f>
        <v>386.37810126582275</v>
      </c>
      <c r="AJ41" s="143">
        <f>IFERROR('Price History'!O3+(INDEX('Price History'!O:O,MATCH(9.99E+307,'Returns (Calc)'!$A:$A)+1)-'Price History'!O3)*(ROW()-3)/(MATCH(9.99E+307,'Returns (Calc)'!$A:$A)-3),"")</f>
        <v>86.065443037974688</v>
      </c>
      <c r="AK41" s="143">
        <f>IFERROR('Price History'!Q3+(INDEX('Price History'!Q:Q,MATCH(9.99E+307,'Returns (Calc)'!$A:$A)+1)-'Price History'!Q3)*(ROW()-3)/(MATCH(9.99E+307,'Returns (Calc)'!$A:$A)-3),"")</f>
        <v>16.695949367088609</v>
      </c>
      <c r="AL41" s="143">
        <f>IFERROR('Price History'!R3+(INDEX('Price History'!R:R,MATCH(9.99E+307,'Returns (Calc)'!$A:$A)+1)-'Price History'!R3)*(ROW()-3)/(MATCH(9.99E+307,'Returns (Calc)'!$A:$A)-3),"")</f>
        <v>40.867848101265821</v>
      </c>
      <c r="AM41" s="143">
        <f>IFERROR('Price History'!S3+(INDEX('Price History'!S:S,MATCH(9.99E+307,'Returns (Calc)'!$A:$A)+1)-'Price History'!S3)*(ROW()-3)/(MATCH(9.99E+307,'Returns (Calc)'!$A:$A)-3),"")</f>
        <v>80.62240506329114</v>
      </c>
      <c r="AN41" s="143">
        <f>IFERROR('Price History'!T3+(INDEX('Price History'!T:T,MATCH(9.99E+307,'Returns (Calc)'!$A:$A)+1)-'Price History'!T3)*(ROW()-3)/(MATCH(9.99E+307,'Returns (Calc)'!$A:$A)-3),"")</f>
        <v>31.632658227848101</v>
      </c>
      <c r="AO41" s="144">
        <f>IFERROR('Price History'!V3+(INDEX('Price History'!V:V,MATCH(9.99E+307,'Returns (Calc)'!$A:$A)+1)-'Price History'!V3)*(ROW()-3)/(MATCH(9.99E+307,'Returns (Calc)'!$A:$A)-3),"")</f>
        <v>265.70050632911392</v>
      </c>
      <c r="AP41" s="142">
        <f>IFERROR(IF(OR(NOT(ISNUMBER('Price History'!W42)),NOT(ISNUMBER('Price History'!W41)),'Price History'!W41=0),"",'Price History'!W42/'Price History'!W41-1),"")</f>
        <v>-4.2228212039532309E-3</v>
      </c>
      <c r="AQ41" s="142" t="str">
        <f>IFERROR(IF(OR(NOT(ISNUMBER('Price History'!X42)),NOT(ISNUMBER('Price History'!X41)),'Price History'!X41=0),"",'Price History'!X42/'Price History'!X41-1),"")</f>
        <v/>
      </c>
      <c r="AR41" s="142">
        <f>IFERROR(IF(OR(NOT(ISNUMBER('Price History'!Y42)),NOT(ISNUMBER('Price History'!Y41)),'Price History'!Y41=0),"",'Price History'!Y42/'Price History'!Y41-1),"")</f>
        <v>-5.5460750853243423E-3</v>
      </c>
      <c r="AS41" s="142">
        <f>IFERROR(IF(OR(NOT(ISNUMBER('Price History'!Z42)),NOT(ISNUMBER('Price History'!Z41)),'Price History'!Z41=0),"",'Price History'!Z42/'Price History'!Z41-1),"")</f>
        <v>-3.7296620775969958E-2</v>
      </c>
      <c r="AT41" s="142">
        <f>IFERROR(IF(OR(NOT(ISNUMBER('Price History'!AA42)),NOT(ISNUMBER('Price History'!AA41)),'Price History'!AA41=0),"",'Price History'!AA42/'Price History'!AA41-1),"")</f>
        <v>4.3491816056118404E-2</v>
      </c>
    </row>
    <row r="42" spans="1:46" ht="15" customHeight="1" x14ac:dyDescent="0.35">
      <c r="A42" s="140">
        <f>IF('Price History'!A43="","",'Price History'!A43)</f>
        <v>45464</v>
      </c>
      <c r="B42" s="141">
        <f>IFERROR(IF(OR(NOT(ISNUMBER('Price History'!B43)),NOT(ISNUMBER('Price History'!B42)),'Price History'!B42=0),"",'Price History'!B43/'Price History'!B42-1),"")</f>
        <v>1.5476575736232068E-2</v>
      </c>
      <c r="C42" s="141">
        <f>IFERROR(IF(OR(NOT(ISNUMBER('Price History'!C43)),NOT(ISNUMBER('Price History'!C42)),'Price History'!C42=0),"",'Price History'!C43/'Price History'!C42-1),"")</f>
        <v>2.7033609352167476E-2</v>
      </c>
      <c r="D42" s="141">
        <f>IFERROR(IF(OR(NOT(ISNUMBER('Price History'!D43)),NOT(ISNUMBER('Price History'!D42)),'Price History'!D42=0),"",'Price History'!D43/'Price History'!D42-1),"")</f>
        <v>8.463070687451113E-3</v>
      </c>
      <c r="E42" s="141">
        <f>IFERROR(IF(OR(NOT(ISNUMBER('Price History'!E43)),NOT(ISNUMBER('Price History'!E42)),'Price History'!E42=0),"",'Price History'!E43/'Price History'!E42-1),"")</f>
        <v>-4.4024786072587641E-2</v>
      </c>
      <c r="F42" s="141">
        <f>IFERROR(IF(OR(NOT(ISNUMBER('Price History'!F43)),NOT(ISNUMBER('Price History'!F42)),'Price History'!F42=0),"",'Price History'!F43/'Price History'!F42-1),"")</f>
        <v>-1.2453300124533051E-2</v>
      </c>
      <c r="G42" s="141">
        <f>IFERROR(IF(OR(NOT(ISNUMBER('Price History'!G43)),NOT(ISNUMBER('Price History'!G42)),'Price History'!G42=0),"",'Price History'!G43/'Price History'!G42-1),"")</f>
        <v>-1.0109727530513979E-2</v>
      </c>
      <c r="H42" s="141">
        <f>IFERROR(IF(OR(NOT(ISNUMBER('Price History'!H43)),NOT(ISNUMBER('Price History'!H42)),'Price History'!H42=0),"",'Price History'!H43/'Price History'!H42-1),"")</f>
        <v>-1.2825080156750879E-2</v>
      </c>
      <c r="I42" s="141">
        <f>IFERROR(IF(OR(NOT(ISNUMBER('Price History'!I43)),NOT(ISNUMBER('Price History'!I42)),'Price History'!I42=0),"",'Price History'!I43/'Price History'!I42-1),"")</f>
        <v>-4.029805352798066E-2</v>
      </c>
      <c r="J42" s="141">
        <f>IFERROR(IF(OR(NOT(ISNUMBER('Price History'!J43)),NOT(ISNUMBER('Price History'!J42)),'Price History'!J42=0),"",'Price History'!J43/'Price History'!J42-1),"")</f>
        <v>-1.731811145510842E-2</v>
      </c>
      <c r="K42" s="141">
        <f>IFERROR(IF(OR(NOT(ISNUMBER('Price History'!K43)),NOT(ISNUMBER('Price History'!K42)),'Price History'!K42=0),"",'Price History'!K43/'Price History'!K42-1),"")</f>
        <v>1.1455239711497756E-2</v>
      </c>
      <c r="L42" s="141">
        <f>IFERROR(IF(OR(NOT(ISNUMBER('Price History'!L43)),NOT(ISNUMBER('Price History'!L42)),'Price History'!L42=0),"",'Price History'!L43/'Price History'!L42-1),"")</f>
        <v>8.4063673761403113E-3</v>
      </c>
      <c r="M42" s="141">
        <f>IFERROR(IF(OR(NOT(ISNUMBER('Price History'!M43)),NOT(ISNUMBER('Price History'!M42)),'Price History'!M42=0),"",'Price History'!M43/'Price History'!M42-1),"")</f>
        <v>-9.0998793991886595E-3</v>
      </c>
      <c r="N42" s="141">
        <f>IFERROR(IF(OR(NOT(ISNUMBER('Price History'!N43)),NOT(ISNUMBER('Price History'!N42)),'Price History'!N42=0),"",'Price History'!N43/'Price History'!N42-1),"")</f>
        <v>-2.5003640297048269E-2</v>
      </c>
      <c r="O42" s="141">
        <f>IFERROR(IF(OR(NOT(ISNUMBER('Price History'!O43)),NOT(ISNUMBER('Price History'!O42)),'Price History'!O42=0),"",'Price History'!O43/'Price History'!O42-1),"")</f>
        <v>1.0789660896371789E-2</v>
      </c>
      <c r="P42" s="141">
        <f>IFERROR(IF(OR(NOT(ISNUMBER('Price History'!P43)),NOT(ISNUMBER('Price History'!P42)),'Price History'!P42=0),"",'Price History'!P43/'Price History'!P42-1),"")</f>
        <v>1.3779886840664446E-2</v>
      </c>
      <c r="Q42" s="141">
        <f>IFERROR(IF(OR(NOT(ISNUMBER('Price History'!Q43)),NOT(ISNUMBER('Price History'!Q42)),'Price History'!Q42=0),"",'Price History'!Q43/'Price History'!Q42-1),"")</f>
        <v>3.1419095828242316E-3</v>
      </c>
      <c r="R42" s="141">
        <f>IFERROR(IF(OR(NOT(ISNUMBER('Price History'!R43)),NOT(ISNUMBER('Price History'!R42)),'Price History'!R42=0),"",'Price History'!R43/'Price History'!R42-1),"")</f>
        <v>9.4228504122484402E-4</v>
      </c>
      <c r="S42" s="141">
        <f>IFERROR(IF(OR(NOT(ISNUMBER('Price History'!S43)),NOT(ISNUMBER('Price History'!S42)),'Price History'!S42=0),"",'Price History'!S43/'Price History'!S42-1),"")</f>
        <v>-8.1471135940414108E-4</v>
      </c>
      <c r="T42" s="141">
        <f>IFERROR(IF(OR(NOT(ISNUMBER('Price History'!T43)),NOT(ISNUMBER('Price History'!T42)),'Price History'!T42=0),"",'Price History'!T43/'Price History'!T42-1),"")</f>
        <v>9.6957539284519001E-3</v>
      </c>
      <c r="U42" s="141">
        <f>IFERROR(IF(OR(NOT(ISNUMBER('Price History'!U43)),NOT(ISNUMBER('Price History'!U42)),'Price History'!U42=0),"",'Price History'!U43/'Price History'!U42-1),"")</f>
        <v>1.7123287671233056E-2</v>
      </c>
      <c r="V42" s="142">
        <f>IFERROR(IF(OR(NOT(ISNUMBER('Price History'!V43)),NOT(ISNUMBER('Price History'!V42)),'Price History'!V42=0),"",'Price History'!V43/'Price History'!V42-1),"")</f>
        <v>1.6835143361767502E-2</v>
      </c>
      <c r="W42" s="143">
        <f>IFERROR('Price History'!B3+(INDEX('Price History'!B:B,MATCH(9.99E+307,'Returns (Calc)'!$A:$A)+1)-'Price History'!B3)*(ROW()-3)/(MATCH(9.99E+307,'Returns (Calc)'!$A:$A)-3),"")</f>
        <v>457.01151898734179</v>
      </c>
      <c r="X42" s="143">
        <f>IFERROR('Price History'!C3+(INDEX('Price History'!C:C,MATCH(9.99E+307,'Returns (Calc)'!$A:$A)+1)-'Price History'!C3)*(ROW()-3)/(MATCH(9.99E+307,'Returns (Calc)'!$A:$A)-3),"")</f>
        <v>85.962468354430371</v>
      </c>
      <c r="Y42" s="143">
        <f>IFERROR('Price History'!D3+(INDEX('Price History'!D:D,MATCH(9.99E+307,'Returns (Calc)'!$A:$A)+1)-'Price History'!D3)*(ROW()-3)/(MATCH(9.99E+307,'Returns (Calc)'!$A:$A)-3),"")</f>
        <v>899.26759493670886</v>
      </c>
      <c r="Z42" s="143">
        <f>IFERROR('Price History'!E3+(INDEX('Price History'!E:E,MATCH(9.99E+307,'Returns (Calc)'!$A:$A)+1)-'Price History'!E3)*(ROW()-3)/(MATCH(9.99E+307,'Returns (Calc)'!$A:$A)-3),"")</f>
        <v>149.4206329113924</v>
      </c>
      <c r="AA42" s="143">
        <f>IFERROR('Price History'!F3+(INDEX('Price History'!F:F,MATCH(9.99E+307,'Returns (Calc)'!$A:$A)+1)-'Price History'!F3)*(ROW()-3)/(MATCH(9.99E+307,'Returns (Calc)'!$A:$A)-3),"")</f>
        <v>97.80632911392405</v>
      </c>
      <c r="AB42" s="143">
        <f>IFERROR('Price History'!G3+(INDEX('Price History'!G:G,MATCH(9.99E+307,'Returns (Calc)'!$A:$A)+1)-'Price History'!G3)*(ROW()-3)/(MATCH(9.99E+307,'Returns (Calc)'!$A:$A)-3),"")</f>
        <v>84.4706329113924</v>
      </c>
      <c r="AC42" s="143">
        <f>IFERROR('Price History'!H3+(INDEX('Price History'!H:H,MATCH(9.99E+307,'Returns (Calc)'!$A:$A)+1)-'Price History'!H3)*(ROW()-3)/(MATCH(9.99E+307,'Returns (Calc)'!$A:$A)-3),"")</f>
        <v>317.37215189873422</v>
      </c>
      <c r="AD42" s="143">
        <f>IFERROR('Price History'!I3+(INDEX('Price History'!I:I,MATCH(9.99E+307,'Returns (Calc)'!$A:$A)+1)-'Price History'!I3)*(ROW()-3)/(MATCH(9.99E+307,'Returns (Calc)'!$A:$A)-3),"")</f>
        <v>90.713164556962028</v>
      </c>
      <c r="AE42" s="143">
        <f>IFERROR('Price History'!J3+(INDEX('Price History'!J:J,MATCH(9.99E+307,'Returns (Calc)'!$A:$A)+1)-'Price History'!J3)*(ROW()-3)/(MATCH(9.99E+307,'Returns (Calc)'!$A:$A)-3),"")</f>
        <v>116.05348101265822</v>
      </c>
      <c r="AF42" s="143">
        <f>IFERROR('Price History'!K3+(INDEX('Price History'!K:K,MATCH(9.99E+307,'Returns (Calc)'!$A:$A)+1)-'Price History'!K3)*(ROW()-3)/(MATCH(9.99E+307,'Returns (Calc)'!$A:$A)-3),"")</f>
        <v>58.136202531645566</v>
      </c>
      <c r="AG42" s="143">
        <f>IFERROR('Price History'!L3+(INDEX('Price History'!L:L,MATCH(9.99E+307,'Returns (Calc)'!$A:$A)+1)-'Price History'!L3)*(ROW()-3)/(MATCH(9.99E+307,'Returns (Calc)'!$A:$A)-3),"")</f>
        <v>181.28272151898733</v>
      </c>
      <c r="AH42" s="143">
        <f>IFERROR('Price History'!M3+(INDEX('Price History'!M:M,MATCH(9.99E+307,'Returns (Calc)'!$A:$A)+1)-'Price History'!M3)*(ROW()-3)/(MATCH(9.99E+307,'Returns (Calc)'!$A:$A)-3),"")</f>
        <v>90.882278481012662</v>
      </c>
      <c r="AI42" s="143">
        <f>IFERROR('Price History'!N3+(INDEX('Price History'!N:N,MATCH(9.99E+307,'Returns (Calc)'!$A:$A)+1)-'Price History'!N3)*(ROW()-3)/(MATCH(9.99E+307,'Returns (Calc)'!$A:$A)-3),"")</f>
        <v>387.36436708860759</v>
      </c>
      <c r="AJ42" s="143">
        <f>IFERROR('Price History'!O3+(INDEX('Price History'!O:O,MATCH(9.99E+307,'Returns (Calc)'!$A:$A)+1)-'Price History'!O3)*(ROW()-3)/(MATCH(9.99E+307,'Returns (Calc)'!$A:$A)-3),"")</f>
        <v>86.348481012658226</v>
      </c>
      <c r="AK42" s="143">
        <f>IFERROR('Price History'!Q3+(INDEX('Price History'!Q:Q,MATCH(9.99E+307,'Returns (Calc)'!$A:$A)+1)-'Price History'!Q3)*(ROW()-3)/(MATCH(9.99E+307,'Returns (Calc)'!$A:$A)-3),"")</f>
        <v>17.135316455696202</v>
      </c>
      <c r="AL42" s="143">
        <f>IFERROR('Price History'!R3+(INDEX('Price History'!R:R,MATCH(9.99E+307,'Returns (Calc)'!$A:$A)+1)-'Price History'!R3)*(ROW()-3)/(MATCH(9.99E+307,'Returns (Calc)'!$A:$A)-3),"")</f>
        <v>41.035949367088605</v>
      </c>
      <c r="AM42" s="143">
        <f>IFERROR('Price History'!S3+(INDEX('Price History'!S:S,MATCH(9.99E+307,'Returns (Calc)'!$A:$A)+1)-'Price History'!S3)*(ROW()-3)/(MATCH(9.99E+307,'Returns (Calc)'!$A:$A)-3),"")</f>
        <v>81.227468354430385</v>
      </c>
      <c r="AN42" s="143">
        <f>IFERROR('Price History'!T3+(INDEX('Price History'!T:T,MATCH(9.99E+307,'Returns (Calc)'!$A:$A)+1)-'Price History'!T3)*(ROW()-3)/(MATCH(9.99E+307,'Returns (Calc)'!$A:$A)-3),"")</f>
        <v>31.800886075949364</v>
      </c>
      <c r="AO42" s="144">
        <f>IFERROR('Price History'!V3+(INDEX('Price History'!V:V,MATCH(9.99E+307,'Returns (Calc)'!$A:$A)+1)-'Price History'!V3)*(ROW()-3)/(MATCH(9.99E+307,'Returns (Calc)'!$A:$A)-3),"")</f>
        <v>266.49183544303798</v>
      </c>
      <c r="AP42" s="142">
        <f>IFERROR(IF(OR(NOT(ISNUMBER('Price History'!W43)),NOT(ISNUMBER('Price History'!W42)),'Price History'!W42=0),"",'Price History'!W43/'Price History'!W42-1),"")</f>
        <v>1.2541730578363275E-2</v>
      </c>
      <c r="AQ42" s="142" t="str">
        <f>IFERROR(IF(OR(NOT(ISNUMBER('Price History'!X43)),NOT(ISNUMBER('Price History'!X42)),'Price History'!X42=0),"",'Price History'!X43/'Price History'!X42-1),"")</f>
        <v/>
      </c>
      <c r="AR42" s="142">
        <f>IFERROR(IF(OR(NOT(ISNUMBER('Price History'!Y43)),NOT(ISNUMBER('Price History'!Y42)),'Price History'!Y42=0),"",'Price History'!Y43/'Price History'!Y42-1),"")</f>
        <v>8.7945087945089373E-3</v>
      </c>
      <c r="AS42" s="142">
        <f>IFERROR(IF(OR(NOT(ISNUMBER('Price History'!Z43)),NOT(ISNUMBER('Price History'!Z42)),'Price History'!Z42=0),"",'Price History'!Z43/'Price History'!Z42-1),"")</f>
        <v>5.3627145085803463E-2</v>
      </c>
      <c r="AT42" s="142">
        <f>IFERROR(IF(OR(NOT(ISNUMBER('Price History'!AA43)),NOT(ISNUMBER('Price History'!AA42)),'Price History'!AA42=0),"",'Price History'!AA43/'Price History'!AA42-1),"")</f>
        <v>2.4947714371078566E-2</v>
      </c>
    </row>
    <row r="43" spans="1:46" ht="15" customHeight="1" x14ac:dyDescent="0.35">
      <c r="A43" s="140">
        <f>IF('Price History'!A44="","",'Price History'!A44)</f>
        <v>45471</v>
      </c>
      <c r="B43" s="141">
        <f>IFERROR(IF(OR(NOT(ISNUMBER('Price History'!B44)),NOT(ISNUMBER('Price History'!B43)),'Price History'!B43=0),"",'Price History'!B44/'Price History'!B43-1),"")</f>
        <v>4.1429214157168381E-2</v>
      </c>
      <c r="C43" s="141">
        <f>IFERROR(IF(OR(NOT(ISNUMBER('Price History'!C44)),NOT(ISNUMBER('Price History'!C43)),'Price History'!C43=0),"",'Price History'!C44/'Price History'!C43-1),"")</f>
        <v>3.8890206307801822E-2</v>
      </c>
      <c r="D43" s="141">
        <f>IFERROR(IF(OR(NOT(ISNUMBER('Price History'!D44)),NOT(ISNUMBER('Price History'!D43)),'Price History'!D43=0),"",'Price History'!D44/'Price History'!D43-1),"")</f>
        <v>-1.3384039385631374E-2</v>
      </c>
      <c r="E43" s="141">
        <f>IFERROR(IF(OR(NOT(ISNUMBER('Price History'!E44)),NOT(ISNUMBER('Price History'!E43)),'Price History'!E43=0),"",'Price History'!E44/'Price History'!E43-1),"")</f>
        <v>-2.8952404469411719E-2</v>
      </c>
      <c r="F43" s="141">
        <f>IFERROR(IF(OR(NOT(ISNUMBER('Price History'!F44)),NOT(ISNUMBER('Price History'!F43)),'Price History'!F43=0),"",'Price History'!F44/'Price History'!F43-1),"")</f>
        <v>6.7255149222362753E-3</v>
      </c>
      <c r="G43" s="141">
        <f>IFERROR(IF(OR(NOT(ISNUMBER('Price History'!G44)),NOT(ISNUMBER('Price History'!G43)),'Price History'!G43=0),"",'Price History'!G44/'Price History'!G43-1),"")</f>
        <v>9.8393324199774757E-3</v>
      </c>
      <c r="H43" s="141">
        <f>IFERROR(IF(OR(NOT(ISNUMBER('Price History'!H44)),NOT(ISNUMBER('Price History'!H43)),'Price History'!H43=0),"",'Price History'!H44/'Price History'!H43-1),"")</f>
        <v>-5.7452183327318718E-2</v>
      </c>
      <c r="I43" s="141">
        <f>IFERROR(IF(OR(NOT(ISNUMBER('Price History'!I44)),NOT(ISNUMBER('Price History'!I43)),'Price History'!I43=0),"",'Price History'!I44/'Price History'!I43-1),"")</f>
        <v>-2.3926477578830596E-2</v>
      </c>
      <c r="J43" s="141">
        <f>IFERROR(IF(OR(NOT(ISNUMBER('Price History'!J44)),NOT(ISNUMBER('Price History'!J43)),'Price History'!J43=0),"",'Price History'!J44/'Price History'!J43-1),"")</f>
        <v>2.6582652357979741E-2</v>
      </c>
      <c r="K43" s="141">
        <f>IFERROR(IF(OR(NOT(ISNUMBER('Price History'!K44)),NOT(ISNUMBER('Price History'!K43)),'Price History'!K43=0),"",'Price History'!K44/'Price History'!K43-1),"")</f>
        <v>6.25E-2</v>
      </c>
      <c r="L43" s="141">
        <f>IFERROR(IF(OR(NOT(ISNUMBER('Price History'!L44)),NOT(ISNUMBER('Price History'!L43)),'Price History'!L43=0),"",'Price History'!L44/'Price History'!L43-1),"")</f>
        <v>-8.2771668440340118E-4</v>
      </c>
      <c r="M43" s="141">
        <f>IFERROR(IF(OR(NOT(ISNUMBER('Price History'!M44)),NOT(ISNUMBER('Price History'!M43)),'Price History'!M43=0),"",'Price History'!M44/'Price History'!M43-1),"")</f>
        <v>-4.470015490152679E-2</v>
      </c>
      <c r="N43" s="141">
        <f>IFERROR(IF(OR(NOT(ISNUMBER('Price History'!N44)),NOT(ISNUMBER('Price History'!N43)),'Price History'!N43=0),"",'Price History'!N44/'Price History'!N43-1),"")</f>
        <v>2.1335153933321749E-5</v>
      </c>
      <c r="O43" s="141">
        <f>IFERROR(IF(OR(NOT(ISNUMBER('Price History'!O44)),NOT(ISNUMBER('Price History'!O43)),'Price History'!O43=0),"",'Price History'!O44/'Price History'!O43-1),"")</f>
        <v>1.6656891495601123E-2</v>
      </c>
      <c r="P43" s="141">
        <f>IFERROR(IF(OR(NOT(ISNUMBER('Price History'!P44)),NOT(ISNUMBER('Price History'!P43)),'Price History'!P43=0),"",'Price History'!P44/'Price History'!P43-1),"")</f>
        <v>2.9705644072373083E-3</v>
      </c>
      <c r="Q43" s="141">
        <f>IFERROR(IF(OR(NOT(ISNUMBER('Price History'!Q44)),NOT(ISNUMBER('Price History'!Q43)),'Price History'!Q43=0),"",'Price History'!Q44/'Price History'!Q43-1),"")</f>
        <v>4.1760918740212372E-3</v>
      </c>
      <c r="R43" s="141">
        <f>IFERROR(IF(OR(NOT(ISNUMBER('Price History'!R44)),NOT(ISNUMBER('Price History'!R43)),'Price History'!R43=0),"",'Price History'!R44/'Price History'!R43-1),"")</f>
        <v>4.7069898799716459E-3</v>
      </c>
      <c r="S43" s="141">
        <f>IFERROR(IF(OR(NOT(ISNUMBER('Price History'!S44)),NOT(ISNUMBER('Price History'!S43)),'Price History'!S43=0),"",'Price History'!S44/'Price History'!S43-1),"")</f>
        <v>1.8637157833432116E-3</v>
      </c>
      <c r="T43" s="141">
        <f>IFERROR(IF(OR(NOT(ISNUMBER('Price History'!T44)),NOT(ISNUMBER('Price History'!T43)),'Price History'!T43=0),"",'Price History'!T44/'Price History'!T43-1),"")</f>
        <v>-6.6225165562913135E-3</v>
      </c>
      <c r="U43" s="141">
        <f>IFERROR(IF(OR(NOT(ISNUMBER('Price History'!U44)),NOT(ISNUMBER('Price History'!U43)),'Price History'!U43=0),"",'Price History'!U44/'Price History'!U43-1),"")</f>
        <v>5.8922558922558377E-3</v>
      </c>
      <c r="V43" s="142">
        <f>IFERROR(IF(OR(NOT(ISNUMBER('Price History'!V44)),NOT(ISNUMBER('Price History'!V43)),'Price History'!V43=0),"",'Price History'!V44/'Price History'!V43-1),"")</f>
        <v>-4.6343176022764943E-2</v>
      </c>
      <c r="W43" s="143">
        <f>IFERROR('Price History'!B3+(INDEX('Price History'!B:B,MATCH(9.99E+307,'Returns (Calc)'!$A:$A)+1)-'Price History'!B3)*(ROW()-3)/(MATCH(9.99E+307,'Returns (Calc)'!$A:$A)-3),"")</f>
        <v>455.16848101265822</v>
      </c>
      <c r="X43" s="143">
        <f>IFERROR('Price History'!C3+(INDEX('Price History'!C:C,MATCH(9.99E+307,'Returns (Calc)'!$A:$A)+1)-'Price History'!C3)*(ROW()-3)/(MATCH(9.99E+307,'Returns (Calc)'!$A:$A)-3),"")</f>
        <v>86.982531645569622</v>
      </c>
      <c r="Y43" s="143">
        <f>IFERROR('Price History'!D3+(INDEX('Price History'!D:D,MATCH(9.99E+307,'Returns (Calc)'!$A:$A)+1)-'Price History'!D3)*(ROW()-3)/(MATCH(9.99E+307,'Returns (Calc)'!$A:$A)-3),"")</f>
        <v>907.4024050632911</v>
      </c>
      <c r="Z43" s="143">
        <f>IFERROR('Price History'!E3+(INDEX('Price History'!E:E,MATCH(9.99E+307,'Returns (Calc)'!$A:$A)+1)-'Price History'!E3)*(ROW()-3)/(MATCH(9.99E+307,'Returns (Calc)'!$A:$A)-3),"")</f>
        <v>151.14936708860759</v>
      </c>
      <c r="AA43" s="143">
        <f>IFERROR('Price History'!F3+(INDEX('Price History'!F:F,MATCH(9.99E+307,'Returns (Calc)'!$A:$A)+1)-'Price History'!F3)*(ROW()-3)/(MATCH(9.99E+307,'Returns (Calc)'!$A:$A)-3),"")</f>
        <v>99.253670886075952</v>
      </c>
      <c r="AB43" s="143">
        <f>IFERROR('Price History'!G3+(INDEX('Price History'!G:G,MATCH(9.99E+307,'Returns (Calc)'!$A:$A)+1)-'Price History'!G3)*(ROW()-3)/(MATCH(9.99E+307,'Returns (Calc)'!$A:$A)-3),"")</f>
        <v>85.499367088607585</v>
      </c>
      <c r="AC43" s="143">
        <f>IFERROR('Price History'!H3+(INDEX('Price History'!H:H,MATCH(9.99E+307,'Returns (Calc)'!$A:$A)+1)-'Price History'!H3)*(ROW()-3)/(MATCH(9.99E+307,'Returns (Calc)'!$A:$A)-3),"")</f>
        <v>323.73784810126585</v>
      </c>
      <c r="AD43" s="143">
        <f>IFERROR('Price History'!I3+(INDEX('Price History'!I:I,MATCH(9.99E+307,'Returns (Calc)'!$A:$A)+1)-'Price History'!I3)*(ROW()-3)/(MATCH(9.99E+307,'Returns (Calc)'!$A:$A)-3),"")</f>
        <v>91.916835443037968</v>
      </c>
      <c r="AE43" s="143">
        <f>IFERROR('Price History'!J3+(INDEX('Price History'!J:J,MATCH(9.99E+307,'Returns (Calc)'!$A:$A)+1)-'Price History'!J3)*(ROW()-3)/(MATCH(9.99E+307,'Returns (Calc)'!$A:$A)-3),"")</f>
        <v>116.16151898734178</v>
      </c>
      <c r="AF43" s="143">
        <f>IFERROR('Price History'!K3+(INDEX('Price History'!K:K,MATCH(9.99E+307,'Returns (Calc)'!$A:$A)+1)-'Price History'!K3)*(ROW()-3)/(MATCH(9.99E+307,'Returns (Calc)'!$A:$A)-3),"")</f>
        <v>59.233797468354425</v>
      </c>
      <c r="AG43" s="143">
        <f>IFERROR('Price History'!L3+(INDEX('Price History'!L:L,MATCH(9.99E+307,'Returns (Calc)'!$A:$A)+1)-'Price History'!L3)*(ROW()-3)/(MATCH(9.99E+307,'Returns (Calc)'!$A:$A)-3),"")</f>
        <v>183.73227848101266</v>
      </c>
      <c r="AH43" s="143">
        <f>IFERROR('Price History'!M3+(INDEX('Price History'!M:M,MATCH(9.99E+307,'Returns (Calc)'!$A:$A)+1)-'Price History'!M3)*(ROW()-3)/(MATCH(9.99E+307,'Returns (Calc)'!$A:$A)-3),"")</f>
        <v>92.237721518987343</v>
      </c>
      <c r="AI43" s="143">
        <f>IFERROR('Price History'!N3+(INDEX('Price History'!N:N,MATCH(9.99E+307,'Returns (Calc)'!$A:$A)+1)-'Price History'!N3)*(ROW()-3)/(MATCH(9.99E+307,'Returns (Calc)'!$A:$A)-3),"")</f>
        <v>388.35063291139238</v>
      </c>
      <c r="AJ43" s="143">
        <f>IFERROR('Price History'!O3+(INDEX('Price History'!O:O,MATCH(9.99E+307,'Returns (Calc)'!$A:$A)+1)-'Price History'!O3)*(ROW()-3)/(MATCH(9.99E+307,'Returns (Calc)'!$A:$A)-3),"")</f>
        <v>86.631518987341778</v>
      </c>
      <c r="AK43" s="143">
        <f>IFERROR('Price History'!Q3+(INDEX('Price History'!Q:Q,MATCH(9.99E+307,'Returns (Calc)'!$A:$A)+1)-'Price History'!Q3)*(ROW()-3)/(MATCH(9.99E+307,'Returns (Calc)'!$A:$A)-3),"")</f>
        <v>17.574683544303799</v>
      </c>
      <c r="AL43" s="143">
        <f>IFERROR('Price History'!R3+(INDEX('Price History'!R:R,MATCH(9.99E+307,'Returns (Calc)'!$A:$A)+1)-'Price History'!R3)*(ROW()-3)/(MATCH(9.99E+307,'Returns (Calc)'!$A:$A)-3),"")</f>
        <v>41.20405063291139</v>
      </c>
      <c r="AM43" s="143">
        <f>IFERROR('Price History'!S3+(INDEX('Price History'!S:S,MATCH(9.99E+307,'Returns (Calc)'!$A:$A)+1)-'Price History'!S3)*(ROW()-3)/(MATCH(9.99E+307,'Returns (Calc)'!$A:$A)-3),"")</f>
        <v>81.832531645569617</v>
      </c>
      <c r="AN43" s="143">
        <f>IFERROR('Price History'!T3+(INDEX('Price History'!T:T,MATCH(9.99E+307,'Returns (Calc)'!$A:$A)+1)-'Price History'!T3)*(ROW()-3)/(MATCH(9.99E+307,'Returns (Calc)'!$A:$A)-3),"")</f>
        <v>31.969113924050632</v>
      </c>
      <c r="AO43" s="144">
        <f>IFERROR('Price History'!V3+(INDEX('Price History'!V:V,MATCH(9.99E+307,'Returns (Calc)'!$A:$A)+1)-'Price History'!V3)*(ROW()-3)/(MATCH(9.99E+307,'Returns (Calc)'!$A:$A)-3),"")</f>
        <v>267.28316455696205</v>
      </c>
      <c r="AP43" s="142">
        <f>IFERROR(IF(OR(NOT(ISNUMBER('Price History'!W44)),NOT(ISNUMBER('Price History'!W43)),'Price History'!W43=0),"",'Price History'!W44/'Price History'!W43-1),"")</f>
        <v>-2.4059882373907993E-3</v>
      </c>
      <c r="AQ43" s="142" t="str">
        <f>IFERROR(IF(OR(NOT(ISNUMBER('Price History'!X44)),NOT(ISNUMBER('Price History'!X43)),'Price History'!X43=0),"",'Price History'!X44/'Price History'!X43-1),"")</f>
        <v/>
      </c>
      <c r="AR43" s="142">
        <f>IFERROR(IF(OR(NOT(ISNUMBER('Price History'!Y44)),NOT(ISNUMBER('Price History'!Y43)),'Price History'!Y43=0),"",'Price History'!Y44/'Price History'!Y43-1),"")</f>
        <v>-2.1263023601947317E-4</v>
      </c>
      <c r="AS43" s="142">
        <f>IFERROR(IF(OR(NOT(ISNUMBER('Price History'!Z44)),NOT(ISNUMBER('Price History'!Z43)),'Price History'!Z43=0),"",'Price History'!Z44/'Price History'!Z43-1),"")</f>
        <v>-3.2080942686162128E-2</v>
      </c>
      <c r="AT43" s="142">
        <f>IFERROR(IF(OR(NOT(ISNUMBER('Price History'!AA44)),NOT(ISNUMBER('Price History'!AA43)),'Price History'!AA43=0),"",'Price History'!AA44/'Price History'!AA43-1),"")</f>
        <v>-1.6324150998396791E-2</v>
      </c>
    </row>
    <row r="44" spans="1:46" ht="15" customHeight="1" x14ac:dyDescent="0.35">
      <c r="A44" s="140">
        <f>IF('Price History'!A45="","",'Price History'!A45)</f>
        <v>45478</v>
      </c>
      <c r="B44" s="141">
        <f>IFERROR(IF(OR(NOT(ISNUMBER('Price History'!B45)),NOT(ISNUMBER('Price History'!B44)),'Price History'!B44=0),"",'Price History'!B45/'Price History'!B44-1),"")</f>
        <v>4.1041149152176493E-2</v>
      </c>
      <c r="C44" s="141">
        <f>IFERROR(IF(OR(NOT(ISNUMBER('Price History'!C45)),NOT(ISNUMBER('Price History'!C44)),'Price History'!C44=0),"",'Price History'!C45/'Price History'!C44-1),"")</f>
        <v>4.4738644145172257E-2</v>
      </c>
      <c r="D44" s="141">
        <f>IFERROR(IF(OR(NOT(ISNUMBER('Price History'!D45)),NOT(ISNUMBER('Price History'!D44)),'Price History'!D44=0),"",'Price History'!D45/'Price History'!D44-1),"")</f>
        <v>5.0597105606517756E-2</v>
      </c>
      <c r="E44" s="141">
        <f>IFERROR(IF(OR(NOT(ISNUMBER('Price History'!E45)),NOT(ISNUMBER('Price History'!E44)),'Price History'!E44=0),"",'Price History'!E45/'Price History'!E44-1),"")</f>
        <v>6.0902733630006312E-2</v>
      </c>
      <c r="F44" s="141">
        <f>IFERROR(IF(OR(NOT(ISNUMBER('Price History'!F45)),NOT(ISNUMBER('Price History'!F44)),'Price History'!F44=0),"",'Price History'!F45/'Price History'!F44-1),"")</f>
        <v>1.6910229645094033E-2</v>
      </c>
      <c r="G44" s="141">
        <f>IFERROR(IF(OR(NOT(ISNUMBER('Price History'!G45)),NOT(ISNUMBER('Price History'!G44)),'Price History'!G44=0),"",'Price History'!G45/'Price History'!G44-1),"")</f>
        <v>3.7247163295510477E-2</v>
      </c>
      <c r="H44" s="141">
        <f>IFERROR(IF(OR(NOT(ISNUMBER('Price History'!H45)),NOT(ISNUMBER('Price History'!H44)),'Price History'!H44=0),"",'Price History'!H45/'Price History'!H44-1),"")</f>
        <v>5.3602879240366441E-4</v>
      </c>
      <c r="I44" s="141">
        <f>IFERROR(IF(OR(NOT(ISNUMBER('Price History'!I45)),NOT(ISNUMBER('Price History'!I44)),'Price History'!I44=0),"",'Price History'!I45/'Price History'!I44-1),"")</f>
        <v>1.8506493506493582E-2</v>
      </c>
      <c r="J44" s="141">
        <f>IFERROR(IF(OR(NOT(ISNUMBER('Price History'!J45)),NOT(ISNUMBER('Price History'!J44)),'Price History'!J44=0),"",'Price History'!J45/'Price History'!J44-1),"")</f>
        <v>1.9180972475304481E-2</v>
      </c>
      <c r="K44" s="141">
        <f>IFERROR(IF(OR(NOT(ISNUMBER('Price History'!K45)),NOT(ISNUMBER('Price History'!K44)),'Price History'!K44=0),"",'Price History'!K45/'Price History'!K44-1),"")</f>
        <v>7.500986971970014E-2</v>
      </c>
      <c r="L44" s="141">
        <f>IFERROR(IF(OR(NOT(ISNUMBER('Price History'!L45)),NOT(ISNUMBER('Price History'!L44)),'Price History'!L44=0),"",'Price History'!L45/'Price History'!L44-1),"")</f>
        <v>5.8579881656804833E-2</v>
      </c>
      <c r="M44" s="141">
        <f>IFERROR(IF(OR(NOT(ISNUMBER('Price History'!M45)),NOT(ISNUMBER('Price History'!M44)),'Price History'!M44=0),"",'Price History'!M45/'Price History'!M44-1),"")</f>
        <v>6.0111188325225884E-2</v>
      </c>
      <c r="N44" s="141">
        <f>IFERROR(IF(OR(NOT(ISNUMBER('Price History'!N45)),NOT(ISNUMBER('Price History'!N44)),'Price History'!N44=0),"",'Price History'!N45/'Price History'!N44-1),"")</f>
        <v>1.2480798771121293E-2</v>
      </c>
      <c r="O44" s="141">
        <f>IFERROR(IF(OR(NOT(ISNUMBER('Price History'!O45)),NOT(ISNUMBER('Price History'!O44)),'Price History'!O44=0),"",'Price History'!O45/'Price History'!O44-1),"")</f>
        <v>-1.6499365409022859E-2</v>
      </c>
      <c r="P44" s="141">
        <f>IFERROR(IF(OR(NOT(ISNUMBER('Price History'!P45)),NOT(ISNUMBER('Price History'!P44)),'Price History'!P44=0),"",'Price History'!P45/'Price History'!P44-1),"")</f>
        <v>-8.1672949201220257E-3</v>
      </c>
      <c r="Q44" s="141">
        <f>IFERROR(IF(OR(NOT(ISNUMBER('Price History'!Q45)),NOT(ISNUMBER('Price History'!Q44)),'Price History'!Q44=0),"",'Price History'!Q45/'Price History'!Q44-1),"")</f>
        <v>7.1044879570265618E-3</v>
      </c>
      <c r="R44" s="141">
        <f>IFERROR(IF(OR(NOT(ISNUMBER('Price History'!R45)),NOT(ISNUMBER('Price History'!R44)),'Price History'!R44=0),"",'Price History'!R45/'Price History'!R44-1),"")</f>
        <v>1.4523307566174815E-2</v>
      </c>
      <c r="S44" s="141">
        <f>IFERROR(IF(OR(NOT(ISNUMBER('Price History'!S45)),NOT(ISNUMBER('Price History'!S44)),'Price History'!S44=0),"",'Price History'!S45/'Price History'!S44-1),"")</f>
        <v>3.1042901988140859E-2</v>
      </c>
      <c r="T44" s="141">
        <f>IFERROR(IF(OR(NOT(ISNUMBER('Price History'!T45)),NOT(ISNUMBER('Price History'!T44)),'Price History'!T44=0),"",'Price History'!T45/'Price History'!T44-1),"")</f>
        <v>-1.966666666666661E-2</v>
      </c>
      <c r="U44" s="141">
        <f>IFERROR(IF(OR(NOT(ISNUMBER('Price History'!U45)),NOT(ISNUMBER('Price History'!U44)),'Price History'!U44=0),"",'Price History'!U45/'Price History'!U44-1),"")</f>
        <v>-9.2050209205020161E-3</v>
      </c>
      <c r="V44" s="142">
        <f>IFERROR(IF(OR(NOT(ISNUMBER('Price History'!V45)),NOT(ISNUMBER('Price History'!V44)),'Price History'!V44=0),"",'Price History'!V45/'Price History'!V44-1),"")</f>
        <v>3.0071691532648659E-2</v>
      </c>
      <c r="W44" s="143">
        <f>IFERROR('Price History'!B3+(INDEX('Price History'!B:B,MATCH(9.99E+307,'Returns (Calc)'!$A:$A)+1)-'Price History'!B3)*(ROW()-3)/(MATCH(9.99E+307,'Returns (Calc)'!$A:$A)-3),"")</f>
        <v>453.32544303797465</v>
      </c>
      <c r="X44" s="143">
        <f>IFERROR('Price History'!C3+(INDEX('Price History'!C:C,MATCH(9.99E+307,'Returns (Calc)'!$A:$A)+1)-'Price History'!C3)*(ROW()-3)/(MATCH(9.99E+307,'Returns (Calc)'!$A:$A)-3),"")</f>
        <v>88.002594936708846</v>
      </c>
      <c r="Y44" s="143">
        <f>IFERROR('Price History'!D3+(INDEX('Price History'!D:D,MATCH(9.99E+307,'Returns (Calc)'!$A:$A)+1)-'Price History'!D3)*(ROW()-3)/(MATCH(9.99E+307,'Returns (Calc)'!$A:$A)-3),"")</f>
        <v>915.53721518987345</v>
      </c>
      <c r="Z44" s="143">
        <f>IFERROR('Price History'!E3+(INDEX('Price History'!E:E,MATCH(9.99E+307,'Returns (Calc)'!$A:$A)+1)-'Price History'!E3)*(ROW()-3)/(MATCH(9.99E+307,'Returns (Calc)'!$A:$A)-3),"")</f>
        <v>152.87810126582278</v>
      </c>
      <c r="AA44" s="143">
        <f>IFERROR('Price History'!F3+(INDEX('Price History'!F:F,MATCH(9.99E+307,'Returns (Calc)'!$A:$A)+1)-'Price History'!F3)*(ROW()-3)/(MATCH(9.99E+307,'Returns (Calc)'!$A:$A)-3),"")</f>
        <v>100.70101265822785</v>
      </c>
      <c r="AB44" s="143">
        <f>IFERROR('Price History'!G3+(INDEX('Price History'!G:G,MATCH(9.99E+307,'Returns (Calc)'!$A:$A)+1)-'Price History'!G3)*(ROW()-3)/(MATCH(9.99E+307,'Returns (Calc)'!$A:$A)-3),"")</f>
        <v>86.528101265822784</v>
      </c>
      <c r="AC44" s="143">
        <f>IFERROR('Price History'!H3+(INDEX('Price History'!H:H,MATCH(9.99E+307,'Returns (Calc)'!$A:$A)+1)-'Price History'!H3)*(ROW()-3)/(MATCH(9.99E+307,'Returns (Calc)'!$A:$A)-3),"")</f>
        <v>330.10354430379749</v>
      </c>
      <c r="AD44" s="143">
        <f>IFERROR('Price History'!I3+(INDEX('Price History'!I:I,MATCH(9.99E+307,'Returns (Calc)'!$A:$A)+1)-'Price History'!I3)*(ROW()-3)/(MATCH(9.99E+307,'Returns (Calc)'!$A:$A)-3),"")</f>
        <v>93.120506329113923</v>
      </c>
      <c r="AE44" s="143">
        <f>IFERROR('Price History'!J3+(INDEX('Price History'!J:J,MATCH(9.99E+307,'Returns (Calc)'!$A:$A)+1)-'Price History'!J3)*(ROW()-3)/(MATCH(9.99E+307,'Returns (Calc)'!$A:$A)-3),"")</f>
        <v>116.26955696202532</v>
      </c>
      <c r="AF44" s="143">
        <f>IFERROR('Price History'!K3+(INDEX('Price History'!K:K,MATCH(9.99E+307,'Returns (Calc)'!$A:$A)+1)-'Price History'!K3)*(ROW()-3)/(MATCH(9.99E+307,'Returns (Calc)'!$A:$A)-3),"")</f>
        <v>60.331392405063283</v>
      </c>
      <c r="AG44" s="143">
        <f>IFERROR('Price History'!L3+(INDEX('Price History'!L:L,MATCH(9.99E+307,'Returns (Calc)'!$A:$A)+1)-'Price History'!L3)*(ROW()-3)/(MATCH(9.99E+307,'Returns (Calc)'!$A:$A)-3),"")</f>
        <v>186.18183544303798</v>
      </c>
      <c r="AH44" s="143">
        <f>IFERROR('Price History'!M3+(INDEX('Price History'!M:M,MATCH(9.99E+307,'Returns (Calc)'!$A:$A)+1)-'Price History'!M3)*(ROW()-3)/(MATCH(9.99E+307,'Returns (Calc)'!$A:$A)-3),"")</f>
        <v>93.593164556962023</v>
      </c>
      <c r="AI44" s="143">
        <f>IFERROR('Price History'!N3+(INDEX('Price History'!N:N,MATCH(9.99E+307,'Returns (Calc)'!$A:$A)+1)-'Price History'!N3)*(ROW()-3)/(MATCH(9.99E+307,'Returns (Calc)'!$A:$A)-3),"")</f>
        <v>389.33689873417723</v>
      </c>
      <c r="AJ44" s="143">
        <f>IFERROR('Price History'!O3+(INDEX('Price History'!O:O,MATCH(9.99E+307,'Returns (Calc)'!$A:$A)+1)-'Price History'!O3)*(ROW()-3)/(MATCH(9.99E+307,'Returns (Calc)'!$A:$A)-3),"")</f>
        <v>86.914556962025316</v>
      </c>
      <c r="AK44" s="143">
        <f>IFERROR('Price History'!Q3+(INDEX('Price History'!Q:Q,MATCH(9.99E+307,'Returns (Calc)'!$A:$A)+1)-'Price History'!Q3)*(ROW()-3)/(MATCH(9.99E+307,'Returns (Calc)'!$A:$A)-3),"")</f>
        <v>18.014050632911395</v>
      </c>
      <c r="AL44" s="143">
        <f>IFERROR('Price History'!R3+(INDEX('Price History'!R:R,MATCH(9.99E+307,'Returns (Calc)'!$A:$A)+1)-'Price History'!R3)*(ROW()-3)/(MATCH(9.99E+307,'Returns (Calc)'!$A:$A)-3),"")</f>
        <v>41.372151898734174</v>
      </c>
      <c r="AM44" s="143">
        <f>IFERROR('Price History'!S3+(INDEX('Price History'!S:S,MATCH(9.99E+307,'Returns (Calc)'!$A:$A)+1)-'Price History'!S3)*(ROW()-3)/(MATCH(9.99E+307,'Returns (Calc)'!$A:$A)-3),"")</f>
        <v>82.437594936708862</v>
      </c>
      <c r="AN44" s="143">
        <f>IFERROR('Price History'!T3+(INDEX('Price History'!T:T,MATCH(9.99E+307,'Returns (Calc)'!$A:$A)+1)-'Price History'!T3)*(ROW()-3)/(MATCH(9.99E+307,'Returns (Calc)'!$A:$A)-3),"")</f>
        <v>32.137341772151899</v>
      </c>
      <c r="AO44" s="144">
        <f>IFERROR('Price History'!V3+(INDEX('Price History'!V:V,MATCH(9.99E+307,'Returns (Calc)'!$A:$A)+1)-'Price History'!V3)*(ROW()-3)/(MATCH(9.99E+307,'Returns (Calc)'!$A:$A)-3),"")</f>
        <v>268.07449367088606</v>
      </c>
      <c r="AP44" s="142">
        <f>IFERROR(IF(OR(NOT(ISNUMBER('Price History'!W45)),NOT(ISNUMBER('Price History'!W44)),'Price History'!W44=0),"",'Price History'!W45/'Price History'!W44-1),"")</f>
        <v>-1.7865118356408249E-4</v>
      </c>
      <c r="AQ44" s="142" t="str">
        <f>IFERROR(IF(OR(NOT(ISNUMBER('Price History'!X45)),NOT(ISNUMBER('Price History'!X44)),'Price History'!X44=0),"",'Price History'!X45/'Price History'!X44-1),"")</f>
        <v/>
      </c>
      <c r="AR44" s="142">
        <f>IFERROR(IF(OR(NOT(ISNUMBER('Price History'!Y45)),NOT(ISNUMBER('Price History'!Y44)),'Price History'!Y44=0),"",'Price History'!Y45/'Price History'!Y44-1),"")</f>
        <v>4.2535091450446316E-4</v>
      </c>
      <c r="AS44" s="142">
        <f>IFERROR(IF(OR(NOT(ISNUMBER('Price History'!Z45)),NOT(ISNUMBER('Price History'!Z44)),'Price History'!Z44=0),"",'Price History'!Z45/'Price History'!Z44-1),"")</f>
        <v>9.6245777296195545E-3</v>
      </c>
      <c r="AT44" s="142">
        <f>IFERROR(IF(OR(NOT(ISNUMBER('Price History'!AA45)),NOT(ISNUMBER('Price History'!AA44)),'Price History'!AA44=0),"",'Price History'!AA45/'Price History'!AA44-1),"")</f>
        <v>2.3410875685286658E-2</v>
      </c>
    </row>
    <row r="45" spans="1:46" ht="15" customHeight="1" x14ac:dyDescent="0.35">
      <c r="A45" s="140">
        <f>IF('Price History'!A46="","",'Price History'!A46)</f>
        <v>45485</v>
      </c>
      <c r="B45" s="141">
        <f>IFERROR(IF(OR(NOT(ISNUMBER('Price History'!B46)),NOT(ISNUMBER('Price History'!B45)),'Price History'!B45=0),"",'Price History'!B46/'Price History'!B45-1),"")</f>
        <v>-3.3354082373690308E-2</v>
      </c>
      <c r="C45" s="141">
        <f>IFERROR(IF(OR(NOT(ISNUMBER('Price History'!C46)),NOT(ISNUMBER('Price History'!C45)),'Price History'!C45=0),"",'Price History'!C46/'Price History'!C45-1),"")</f>
        <v>-1.1688879178501255E-2</v>
      </c>
      <c r="D45" s="141">
        <f>IFERROR(IF(OR(NOT(ISNUMBER('Price History'!D46)),NOT(ISNUMBER('Price History'!D45)),'Price History'!D45=0),"",'Price History'!D46/'Price History'!D45-1),"")</f>
        <v>1.0039722793678596E-2</v>
      </c>
      <c r="E45" s="141">
        <f>IFERROR(IF(OR(NOT(ISNUMBER('Price History'!E46)),NOT(ISNUMBER('Price History'!E45)),'Price History'!E45=0),"",'Price History'!E46/'Price History'!E45-1),"")</f>
        <v>-1.5580057526365376E-3</v>
      </c>
      <c r="F45" s="141">
        <f>IFERROR(IF(OR(NOT(ISNUMBER('Price History'!F46)),NOT(ISNUMBER('Price History'!F45)),'Price History'!F45=0),"",'Price History'!F46/'Price History'!F45-1),"")</f>
        <v>-4.711558201601318E-2</v>
      </c>
      <c r="G45" s="141">
        <f>IFERROR(IF(OR(NOT(ISNUMBER('Price History'!G46)),NOT(ISNUMBER('Price History'!G45)),'Price History'!G45=0),"",'Price History'!G46/'Price History'!G45-1),"")</f>
        <v>2.8537455410226897E-3</v>
      </c>
      <c r="H45" s="141">
        <f>IFERROR(IF(OR(NOT(ISNUMBER('Price History'!H46)),NOT(ISNUMBER('Price History'!H45)),'Price History'!H45=0),"",'Price History'!H46/'Price History'!H45-1),"")</f>
        <v>1.5766110515842646E-2</v>
      </c>
      <c r="I45" s="141">
        <f>IFERROR(IF(OR(NOT(ISNUMBER('Price History'!I46)),NOT(ISNUMBER('Price History'!I45)),'Price History'!I45=0),"",'Price History'!I46/'Price History'!I45-1),"")</f>
        <v>2.7095951546063146E-2</v>
      </c>
      <c r="J45" s="141">
        <f>IFERROR(IF(OR(NOT(ISNUMBER('Price History'!J46)),NOT(ISNUMBER('Price History'!J45)),'Price History'!J45=0),"",'Price History'!J46/'Price History'!J45-1),"")</f>
        <v>4.9684765220664451E-2</v>
      </c>
      <c r="K45" s="141">
        <f>IFERROR(IF(OR(NOT(ISNUMBER('Price History'!K46)),NOT(ISNUMBER('Price History'!K45)),'Price History'!K45=0),"",'Price History'!K46/'Price History'!K45-1),"")</f>
        <v>3.084832904884327E-2</v>
      </c>
      <c r="L45" s="141">
        <f>IFERROR(IF(OR(NOT(ISNUMBER('Price History'!L46)),NOT(ISNUMBER('Price History'!L45)),'Price History'!L45=0),"",'Price History'!L46/'Price History'!L45-1),"")</f>
        <v>1.8222470653996625E-2</v>
      </c>
      <c r="M45" s="141">
        <f>IFERROR(IF(OR(NOT(ISNUMBER('Price History'!M46)),NOT(ISNUMBER('Price History'!M45)),'Price History'!M45=0),"",'Price History'!M46/'Price History'!M45-1),"")</f>
        <v>-2.2943297279580444E-2</v>
      </c>
      <c r="N45" s="141">
        <f>IFERROR(IF(OR(NOT(ISNUMBER('Price History'!N46)),NOT(ISNUMBER('Price History'!N45)),'Price History'!N45=0),"",'Price History'!N46/'Price History'!N45-1),"")</f>
        <v>2.9858608845902745E-2</v>
      </c>
      <c r="O45" s="141">
        <f>IFERROR(IF(OR(NOT(ISNUMBER('Price History'!O46)),NOT(ISNUMBER('Price History'!O45)),'Price History'!O45=0),"",'Price History'!O46/'Price History'!O45-1),"")</f>
        <v>5.5725011731581509E-2</v>
      </c>
      <c r="P45" s="141">
        <f>IFERROR(IF(OR(NOT(ISNUMBER('Price History'!P46)),NOT(ISNUMBER('Price History'!P45)),'Price History'!P45=0),"",'Price History'!P46/'Price History'!P45-1),"")</f>
        <v>4.2077640032576191E-2</v>
      </c>
      <c r="Q45" s="141">
        <f>IFERROR(IF(OR(NOT(ISNUMBER('Price History'!Q46)),NOT(ISNUMBER('Price History'!Q45)),'Price History'!Q45=0),"",'Price History'!Q46/'Price History'!Q45-1),"")</f>
        <v>3.4411562284928365E-3</v>
      </c>
      <c r="R45" s="141">
        <f>IFERROR(IF(OR(NOT(ISNUMBER('Price History'!R46)),NOT(ISNUMBER('Price History'!R45)),'Price History'!R45=0),"",'Price History'!R46/'Price History'!R45-1),"")</f>
        <v>-6.9268067420924506E-4</v>
      </c>
      <c r="S45" s="141">
        <f>IFERROR(IF(OR(NOT(ISNUMBER('Price History'!S46)),NOT(ISNUMBER('Price History'!S45)),'Price History'!S45=0),"",'Price History'!S46/'Price History'!S45-1),"")</f>
        <v>-2.0297699594046259E-3</v>
      </c>
      <c r="T45" s="141">
        <f>IFERROR(IF(OR(NOT(ISNUMBER('Price History'!T46)),NOT(ISNUMBER('Price History'!T45)),'Price History'!T45=0),"",'Price History'!T46/'Price History'!T45-1),"")</f>
        <v>3.8422305338320362E-2</v>
      </c>
      <c r="U45" s="141">
        <f>IFERROR(IF(OR(NOT(ISNUMBER('Price History'!U46)),NOT(ISNUMBER('Price History'!U45)),'Price History'!U45=0),"",'Price History'!U46/'Price History'!U45-1),"")</f>
        <v>3.3783783783783772E-2</v>
      </c>
      <c r="V45" s="142">
        <f>IFERROR(IF(OR(NOT(ISNUMBER('Price History'!V46)),NOT(ISNUMBER('Price History'!V45)),'Price History'!V45=0),"",'Price History'!V46/'Price History'!V45-1),"")</f>
        <v>-1.707986907941772E-2</v>
      </c>
      <c r="W45" s="143">
        <f>IFERROR('Price History'!B3+(INDEX('Price History'!B:B,MATCH(9.99E+307,'Returns (Calc)'!$A:$A)+1)-'Price History'!B3)*(ROW()-3)/(MATCH(9.99E+307,'Returns (Calc)'!$A:$A)-3),"")</f>
        <v>451.48240506329114</v>
      </c>
      <c r="X45" s="143">
        <f>IFERROR('Price History'!C3+(INDEX('Price History'!C:C,MATCH(9.99E+307,'Returns (Calc)'!$A:$A)+1)-'Price History'!C3)*(ROW()-3)/(MATCH(9.99E+307,'Returns (Calc)'!$A:$A)-3),"")</f>
        <v>89.022658227848098</v>
      </c>
      <c r="Y45" s="143">
        <f>IFERROR('Price History'!D3+(INDEX('Price History'!D:D,MATCH(9.99E+307,'Returns (Calc)'!$A:$A)+1)-'Price History'!D3)*(ROW()-3)/(MATCH(9.99E+307,'Returns (Calc)'!$A:$A)-3),"")</f>
        <v>923.67202531645569</v>
      </c>
      <c r="Z45" s="143">
        <f>IFERROR('Price History'!E3+(INDEX('Price History'!E:E,MATCH(9.99E+307,'Returns (Calc)'!$A:$A)+1)-'Price History'!E3)*(ROW()-3)/(MATCH(9.99E+307,'Returns (Calc)'!$A:$A)-3),"")</f>
        <v>154.60683544303797</v>
      </c>
      <c r="AA45" s="143">
        <f>IFERROR('Price History'!F3+(INDEX('Price History'!F:F,MATCH(9.99E+307,'Returns (Calc)'!$A:$A)+1)-'Price History'!F3)*(ROW()-3)/(MATCH(9.99E+307,'Returns (Calc)'!$A:$A)-3),"")</f>
        <v>102.14835443037974</v>
      </c>
      <c r="AB45" s="143">
        <f>IFERROR('Price History'!G3+(INDEX('Price History'!G:G,MATCH(9.99E+307,'Returns (Calc)'!$A:$A)+1)-'Price History'!G3)*(ROW()-3)/(MATCH(9.99E+307,'Returns (Calc)'!$A:$A)-3),"")</f>
        <v>87.556835443037983</v>
      </c>
      <c r="AC45" s="143">
        <f>IFERROR('Price History'!H3+(INDEX('Price History'!H:H,MATCH(9.99E+307,'Returns (Calc)'!$A:$A)+1)-'Price History'!H3)*(ROW()-3)/(MATCH(9.99E+307,'Returns (Calc)'!$A:$A)-3),"")</f>
        <v>336.46924050632913</v>
      </c>
      <c r="AD45" s="143">
        <f>IFERROR('Price History'!I3+(INDEX('Price History'!I:I,MATCH(9.99E+307,'Returns (Calc)'!$A:$A)+1)-'Price History'!I3)*(ROW()-3)/(MATCH(9.99E+307,'Returns (Calc)'!$A:$A)-3),"")</f>
        <v>94.324177215189877</v>
      </c>
      <c r="AE45" s="143">
        <f>IFERROR('Price History'!J3+(INDEX('Price History'!J:J,MATCH(9.99E+307,'Returns (Calc)'!$A:$A)+1)-'Price History'!J3)*(ROW()-3)/(MATCH(9.99E+307,'Returns (Calc)'!$A:$A)-3),"")</f>
        <v>116.37759493670886</v>
      </c>
      <c r="AF45" s="143">
        <f>IFERROR('Price History'!K3+(INDEX('Price History'!K:K,MATCH(9.99E+307,'Returns (Calc)'!$A:$A)+1)-'Price History'!K3)*(ROW()-3)/(MATCH(9.99E+307,'Returns (Calc)'!$A:$A)-3),"")</f>
        <v>61.428987341772149</v>
      </c>
      <c r="AG45" s="143">
        <f>IFERROR('Price History'!L3+(INDEX('Price History'!L:L,MATCH(9.99E+307,'Returns (Calc)'!$A:$A)+1)-'Price History'!L3)*(ROW()-3)/(MATCH(9.99E+307,'Returns (Calc)'!$A:$A)-3),"")</f>
        <v>188.63139240506328</v>
      </c>
      <c r="AH45" s="143">
        <f>IFERROR('Price History'!M3+(INDEX('Price History'!M:M,MATCH(9.99E+307,'Returns (Calc)'!$A:$A)+1)-'Price History'!M3)*(ROW()-3)/(MATCH(9.99E+307,'Returns (Calc)'!$A:$A)-3),"")</f>
        <v>94.948607594936703</v>
      </c>
      <c r="AI45" s="143">
        <f>IFERROR('Price History'!N3+(INDEX('Price History'!N:N,MATCH(9.99E+307,'Returns (Calc)'!$A:$A)+1)-'Price History'!N3)*(ROW()-3)/(MATCH(9.99E+307,'Returns (Calc)'!$A:$A)-3),"")</f>
        <v>390.32316455696201</v>
      </c>
      <c r="AJ45" s="143">
        <f>IFERROR('Price History'!O3+(INDEX('Price History'!O:O,MATCH(9.99E+307,'Returns (Calc)'!$A:$A)+1)-'Price History'!O3)*(ROW()-3)/(MATCH(9.99E+307,'Returns (Calc)'!$A:$A)-3),"")</f>
        <v>87.197594936708867</v>
      </c>
      <c r="AK45" s="143">
        <f>IFERROR('Price History'!Q3+(INDEX('Price History'!Q:Q,MATCH(9.99E+307,'Returns (Calc)'!$A:$A)+1)-'Price History'!Q3)*(ROW()-3)/(MATCH(9.99E+307,'Returns (Calc)'!$A:$A)-3),"")</f>
        <v>18.453417721518985</v>
      </c>
      <c r="AL45" s="143">
        <f>IFERROR('Price History'!R3+(INDEX('Price History'!R:R,MATCH(9.99E+307,'Returns (Calc)'!$A:$A)+1)-'Price History'!R3)*(ROW()-3)/(MATCH(9.99E+307,'Returns (Calc)'!$A:$A)-3),"")</f>
        <v>41.540253164556958</v>
      </c>
      <c r="AM45" s="143">
        <f>IFERROR('Price History'!S3+(INDEX('Price History'!S:S,MATCH(9.99E+307,'Returns (Calc)'!$A:$A)+1)-'Price History'!S3)*(ROW()-3)/(MATCH(9.99E+307,'Returns (Calc)'!$A:$A)-3),"")</f>
        <v>83.042658227848108</v>
      </c>
      <c r="AN45" s="143">
        <f>IFERROR('Price History'!T3+(INDEX('Price History'!T:T,MATCH(9.99E+307,'Returns (Calc)'!$A:$A)+1)-'Price History'!T3)*(ROW()-3)/(MATCH(9.99E+307,'Returns (Calc)'!$A:$A)-3),"")</f>
        <v>32.305569620253166</v>
      </c>
      <c r="AO45" s="144">
        <f>IFERROR('Price History'!V3+(INDEX('Price History'!V:V,MATCH(9.99E+307,'Returns (Calc)'!$A:$A)+1)-'Price History'!V3)*(ROW()-3)/(MATCH(9.99E+307,'Returns (Calc)'!$A:$A)-3),"")</f>
        <v>268.86582278481012</v>
      </c>
      <c r="AP45" s="142">
        <f>IFERROR(IF(OR(NOT(ISNUMBER('Price History'!W46)),NOT(ISNUMBER('Price History'!W45)),'Price History'!W45=0),"",'Price History'!W46/'Price History'!W45-1),"")</f>
        <v>2.447958545519513E-2</v>
      </c>
      <c r="AQ45" s="142" t="str">
        <f>IFERROR(IF(OR(NOT(ISNUMBER('Price History'!X46)),NOT(ISNUMBER('Price History'!X45)),'Price History'!X45=0),"",'Price History'!X46/'Price History'!X45-1),"")</f>
        <v/>
      </c>
      <c r="AR45" s="142">
        <f>IFERROR(IF(OR(NOT(ISNUMBER('Price History'!Y46)),NOT(ISNUMBER('Price History'!Y45)),'Price History'!Y45=0),"",'Price History'!Y46/'Price History'!Y45-1),"")</f>
        <v>9.3537414965985111E-3</v>
      </c>
      <c r="AS45" s="142">
        <f>IFERROR(IF(OR(NOT(ISNUMBER('Price History'!Z46)),NOT(ISNUMBER('Price History'!Z45)),'Price History'!Z45=0),"",'Price History'!Z46/'Price History'!Z45-1),"")</f>
        <v>-7.6388888888889728E-3</v>
      </c>
      <c r="AT45" s="142">
        <f>IFERROR(IF(OR(NOT(ISNUMBER('Price History'!AA46)),NOT(ISNUMBER('Price History'!AA45)),'Price History'!AA45=0),"",'Price History'!AA46/'Price History'!AA45-1),"")</f>
        <v>-6.2400463298103226E-2</v>
      </c>
    </row>
    <row r="46" spans="1:46" ht="15" customHeight="1" x14ac:dyDescent="0.35">
      <c r="A46" s="140">
        <f>IF('Price History'!A47="","",'Price History'!A47)</f>
        <v>45492</v>
      </c>
      <c r="B46" s="141">
        <f>IFERROR(IF(OR(NOT(ISNUMBER('Price History'!B47)),NOT(ISNUMBER('Price History'!B46)),'Price History'!B46=0),"",'Price History'!B47/'Price History'!B46-1),"")</f>
        <v>-1.4399427600393477E-2</v>
      </c>
      <c r="C46" s="141">
        <f>IFERROR(IF(OR(NOT(ISNUMBER('Price History'!C47)),NOT(ISNUMBER('Price History'!C46)),'Price History'!C46=0),"",'Price History'!C47/'Price History'!C46-1),"")</f>
        <v>-8.6548026970266423E-2</v>
      </c>
      <c r="D46" s="141">
        <f>IFERROR(IF(OR(NOT(ISNUMBER('Price History'!D47)),NOT(ISNUMBER('Price History'!D46)),'Price History'!D46=0),"",'Price History'!D47/'Price History'!D46-1),"")</f>
        <v>-0.17497653463487894</v>
      </c>
      <c r="E46" s="141">
        <f>IFERROR(IF(OR(NOT(ISNUMBER('Price History'!E47)),NOT(ISNUMBER('Price History'!E46)),'Price History'!E46=0),"",'Price History'!E47/'Price History'!E46-1),"")</f>
        <v>-7.4780938662825647E-2</v>
      </c>
      <c r="F46" s="141">
        <f>IFERROR(IF(OR(NOT(ISNUMBER('Price History'!F47)),NOT(ISNUMBER('Price History'!F46)),'Price History'!F46=0),"",'Price History'!F47/'Price History'!F46-1),"")</f>
        <v>-0.17871377787353226</v>
      </c>
      <c r="G46" s="141">
        <f>IFERROR(IF(OR(NOT(ISNUMBER('Price History'!G47)),NOT(ISNUMBER('Price History'!G46)),'Price History'!G46=0),"",'Price History'!G47/'Price History'!G46-1),"")</f>
        <v>-0.11097936921982454</v>
      </c>
      <c r="H46" s="141">
        <f>IFERROR(IF(OR(NOT(ISNUMBER('Price History'!H47)),NOT(ISNUMBER('Price History'!H46)),'Price History'!H46=0),"",'Price History'!H47/'Price History'!H46-1),"")</f>
        <v>-0.14443942133815557</v>
      </c>
      <c r="I46" s="141">
        <f>IFERROR(IF(OR(NOT(ISNUMBER('Price History'!I47)),NOT(ISNUMBER('Price History'!I46)),'Price History'!I46=0),"",'Price History'!I47/'Price History'!I46-1),"")</f>
        <v>-8.7523277467411509E-2</v>
      </c>
      <c r="J46" s="141">
        <f>IFERROR(IF(OR(NOT(ISNUMBER('Price History'!J47)),NOT(ISNUMBER('Price History'!J46)),'Price History'!J46=0),"",'Price History'!J47/'Price History'!J46-1),"")</f>
        <v>3.0031376064545201E-2</v>
      </c>
      <c r="K46" s="141">
        <f>IFERROR(IF(OR(NOT(ISNUMBER('Price History'!K47)),NOT(ISNUMBER('Price History'!K46)),'Price History'!K46=0),"",'Price History'!K47/'Price History'!K46-1),"")</f>
        <v>1.8168863555397152E-2</v>
      </c>
      <c r="L46" s="141">
        <f>IFERROR(IF(OR(NOT(ISNUMBER('Price History'!L47)),NOT(ISNUMBER('Price History'!L46)),'Price History'!L46=0),"",'Price History'!L47/'Price History'!L46-1),"")</f>
        <v>-0.11517347386912602</v>
      </c>
      <c r="M46" s="141">
        <f>IFERROR(IF(OR(NOT(ISNUMBER('Price History'!M47)),NOT(ISNUMBER('Price History'!M46)),'Price History'!M46=0),"",'Price History'!M47/'Price History'!M46-1),"")</f>
        <v>-4.8641395504864238E-2</v>
      </c>
      <c r="N46" s="141">
        <f>IFERROR(IF(OR(NOT(ISNUMBER('Price History'!N47)),NOT(ISNUMBER('Price History'!N46)),'Price History'!N46=0),"",'Price History'!N47/'Price History'!N46-1),"")</f>
        <v>5.7903998035764292E-3</v>
      </c>
      <c r="O46" s="141">
        <f>IFERROR(IF(OR(NOT(ISNUMBER('Price History'!O47)),NOT(ISNUMBER('Price History'!O46)),'Price History'!O46=0),"",'Price History'!O47/'Price History'!O46-1),"")</f>
        <v>2.6447383042560446E-2</v>
      </c>
      <c r="P46" s="141">
        <f>IFERROR(IF(OR(NOT(ISNUMBER('Price History'!P47)),NOT(ISNUMBER('Price History'!P46)),'Price History'!P46=0),"",'Price History'!P47/'Price History'!P46-1),"")</f>
        <v>1.415422021535262E-2</v>
      </c>
      <c r="Q46" s="141">
        <f>IFERROR(IF(OR(NOT(ISNUMBER('Price History'!Q47)),NOT(ISNUMBER('Price History'!Q46)),'Price History'!Q46=0),"",'Price History'!Q47/'Price History'!Q46-1),"")</f>
        <v>-6.6872427983538651E-3</v>
      </c>
      <c r="R46" s="141">
        <f>IFERROR(IF(OR(NOT(ISNUMBER('Price History'!R47)),NOT(ISNUMBER('Price History'!R46)),'Price History'!R46=0),"",'Price History'!R47/'Price History'!R46-1),"")</f>
        <v>-2.957486136783738E-2</v>
      </c>
      <c r="S46" s="141">
        <f>IFERROR(IF(OR(NOT(ISNUMBER('Price History'!S47)),NOT(ISNUMBER('Price History'!S46)),'Price History'!S46=0),"",'Price History'!S47/'Price History'!S46-1),"")</f>
        <v>-4.0451977401129935E-2</v>
      </c>
      <c r="T46" s="141">
        <f>IFERROR(IF(OR(NOT(ISNUMBER('Price History'!T47)),NOT(ISNUMBER('Price History'!T46)),'Price History'!T46=0),"",'Price History'!T47/'Price History'!T46-1),"")</f>
        <v>1.5062213490504295E-2</v>
      </c>
      <c r="U46" s="141">
        <f>IFERROR(IF(OR(NOT(ISNUMBER('Price History'!U47)),NOT(ISNUMBER('Price History'!U46)),'Price History'!U46=0),"",'Price History'!U47/'Price History'!U46-1),"")</f>
        <v>1.8382352941176405E-2</v>
      </c>
      <c r="V46" s="142">
        <f>IFERROR(IF(OR(NOT(ISNUMBER('Price History'!V47)),NOT(ISNUMBER('Price History'!V46)),'Price History'!V46=0),"",'Price History'!V47/'Price History'!V46-1),"")</f>
        <v>-1.0716882918052617E-3</v>
      </c>
      <c r="W46" s="143">
        <f>IFERROR('Price History'!B3+(INDEX('Price History'!B:B,MATCH(9.99E+307,'Returns (Calc)'!$A:$A)+1)-'Price History'!B3)*(ROW()-3)/(MATCH(9.99E+307,'Returns (Calc)'!$A:$A)-3),"")</f>
        <v>449.63936708860757</v>
      </c>
      <c r="X46" s="143">
        <f>IFERROR('Price History'!C3+(INDEX('Price History'!C:C,MATCH(9.99E+307,'Returns (Calc)'!$A:$A)+1)-'Price History'!C3)*(ROW()-3)/(MATCH(9.99E+307,'Returns (Calc)'!$A:$A)-3),"")</f>
        <v>90.042721518987335</v>
      </c>
      <c r="Y46" s="143">
        <f>IFERROR('Price History'!D3+(INDEX('Price History'!D:D,MATCH(9.99E+307,'Returns (Calc)'!$A:$A)+1)-'Price History'!D3)*(ROW()-3)/(MATCH(9.99E+307,'Returns (Calc)'!$A:$A)-3),"")</f>
        <v>931.80683544303793</v>
      </c>
      <c r="Z46" s="143">
        <f>IFERROR('Price History'!E3+(INDEX('Price History'!E:E,MATCH(9.99E+307,'Returns (Calc)'!$A:$A)+1)-'Price History'!E3)*(ROW()-3)/(MATCH(9.99E+307,'Returns (Calc)'!$A:$A)-3),"")</f>
        <v>156.33556962025315</v>
      </c>
      <c r="AA46" s="143">
        <f>IFERROR('Price History'!F3+(INDEX('Price History'!F:F,MATCH(9.99E+307,'Returns (Calc)'!$A:$A)+1)-'Price History'!F3)*(ROW()-3)/(MATCH(9.99E+307,'Returns (Calc)'!$A:$A)-3),"")</f>
        <v>103.59569620253164</v>
      </c>
      <c r="AB46" s="143">
        <f>IFERROR('Price History'!G3+(INDEX('Price History'!G:G,MATCH(9.99E+307,'Returns (Calc)'!$A:$A)+1)-'Price History'!G3)*(ROW()-3)/(MATCH(9.99E+307,'Returns (Calc)'!$A:$A)-3),"")</f>
        <v>88.585569620253153</v>
      </c>
      <c r="AC46" s="143">
        <f>IFERROR('Price History'!H3+(INDEX('Price History'!H:H,MATCH(9.99E+307,'Returns (Calc)'!$A:$A)+1)-'Price History'!H3)*(ROW()-3)/(MATCH(9.99E+307,'Returns (Calc)'!$A:$A)-3),"")</f>
        <v>342.83493670886077</v>
      </c>
      <c r="AD46" s="143">
        <f>IFERROR('Price History'!I3+(INDEX('Price History'!I:I,MATCH(9.99E+307,'Returns (Calc)'!$A:$A)+1)-'Price History'!I3)*(ROW()-3)/(MATCH(9.99E+307,'Returns (Calc)'!$A:$A)-3),"")</f>
        <v>95.527848101265818</v>
      </c>
      <c r="AE46" s="143">
        <f>IFERROR('Price History'!J3+(INDEX('Price History'!J:J,MATCH(9.99E+307,'Returns (Calc)'!$A:$A)+1)-'Price History'!J3)*(ROW()-3)/(MATCH(9.99E+307,'Returns (Calc)'!$A:$A)-3),"")</f>
        <v>116.4856329113924</v>
      </c>
      <c r="AF46" s="143">
        <f>IFERROR('Price History'!K3+(INDEX('Price History'!K:K,MATCH(9.99E+307,'Returns (Calc)'!$A:$A)+1)-'Price History'!K3)*(ROW()-3)/(MATCH(9.99E+307,'Returns (Calc)'!$A:$A)-3),"")</f>
        <v>62.526582278481008</v>
      </c>
      <c r="AG46" s="143">
        <f>IFERROR('Price History'!L3+(INDEX('Price History'!L:L,MATCH(9.99E+307,'Returns (Calc)'!$A:$A)+1)-'Price History'!L3)*(ROW()-3)/(MATCH(9.99E+307,'Returns (Calc)'!$A:$A)-3),"")</f>
        <v>191.08094936708858</v>
      </c>
      <c r="AH46" s="143">
        <f>IFERROR('Price History'!M3+(INDEX('Price History'!M:M,MATCH(9.99E+307,'Returns (Calc)'!$A:$A)+1)-'Price History'!M3)*(ROW()-3)/(MATCH(9.99E+307,'Returns (Calc)'!$A:$A)-3),"")</f>
        <v>96.304050632911384</v>
      </c>
      <c r="AI46" s="143">
        <f>IFERROR('Price History'!N3+(INDEX('Price History'!N:N,MATCH(9.99E+307,'Returns (Calc)'!$A:$A)+1)-'Price History'!N3)*(ROW()-3)/(MATCH(9.99E+307,'Returns (Calc)'!$A:$A)-3),"")</f>
        <v>391.3094303797468</v>
      </c>
      <c r="AJ46" s="143">
        <f>IFERROR('Price History'!O3+(INDEX('Price History'!O:O,MATCH(9.99E+307,'Returns (Calc)'!$A:$A)+1)-'Price History'!O3)*(ROW()-3)/(MATCH(9.99E+307,'Returns (Calc)'!$A:$A)-3),"")</f>
        <v>87.480632911392405</v>
      </c>
      <c r="AK46" s="143">
        <f>IFERROR('Price History'!Q3+(INDEX('Price History'!Q:Q,MATCH(9.99E+307,'Returns (Calc)'!$A:$A)+1)-'Price History'!Q3)*(ROW()-3)/(MATCH(9.99E+307,'Returns (Calc)'!$A:$A)-3),"")</f>
        <v>18.892784810126582</v>
      </c>
      <c r="AL46" s="143">
        <f>IFERROR('Price History'!R3+(INDEX('Price History'!R:R,MATCH(9.99E+307,'Returns (Calc)'!$A:$A)+1)-'Price History'!R3)*(ROW()-3)/(MATCH(9.99E+307,'Returns (Calc)'!$A:$A)-3),"")</f>
        <v>41.708354430379742</v>
      </c>
      <c r="AM46" s="143">
        <f>IFERROR('Price History'!S3+(INDEX('Price History'!S:S,MATCH(9.99E+307,'Returns (Calc)'!$A:$A)+1)-'Price History'!S3)*(ROW()-3)/(MATCH(9.99E+307,'Returns (Calc)'!$A:$A)-3),"")</f>
        <v>83.647721518987339</v>
      </c>
      <c r="AN46" s="143">
        <f>IFERROR('Price History'!T3+(INDEX('Price History'!T:T,MATCH(9.99E+307,'Returns (Calc)'!$A:$A)+1)-'Price History'!T3)*(ROW()-3)/(MATCH(9.99E+307,'Returns (Calc)'!$A:$A)-3),"")</f>
        <v>32.473797468354427</v>
      </c>
      <c r="AO46" s="144">
        <f>IFERROR('Price History'!V3+(INDEX('Price History'!V:V,MATCH(9.99E+307,'Returns (Calc)'!$A:$A)+1)-'Price History'!V3)*(ROW()-3)/(MATCH(9.99E+307,'Returns (Calc)'!$A:$A)-3),"")</f>
        <v>269.65715189873418</v>
      </c>
      <c r="AP46" s="142">
        <f>IFERROR(IF(OR(NOT(ISNUMBER('Price History'!W47)),NOT(ISNUMBER('Price History'!W46)),'Price History'!W46=0),"",'Price History'!W47/'Price History'!W46-1),"")</f>
        <v>7.8486090520624163E-3</v>
      </c>
      <c r="AQ46" s="142" t="str">
        <f>IFERROR(IF(OR(NOT(ISNUMBER('Price History'!X47)),NOT(ISNUMBER('Price History'!X46)),'Price History'!X46=0),"",'Price History'!X47/'Price History'!X46-1),"")</f>
        <v/>
      </c>
      <c r="AR46" s="142">
        <f>IFERROR(IF(OR(NOT(ISNUMBER('Price History'!Y47)),NOT(ISNUMBER('Price History'!Y46)),'Price History'!Y46=0),"",'Price History'!Y47/'Price History'!Y46-1),"")</f>
        <v>-2.3167649536647295E-3</v>
      </c>
      <c r="AS46" s="142">
        <f>IFERROR(IF(OR(NOT(ISNUMBER('Price History'!Z47)),NOT(ISNUMBER('Price History'!Z46)),'Price History'!Z46=0),"",'Price History'!Z47/'Price History'!Z46-1),"")</f>
        <v>7.6340734143398592E-4</v>
      </c>
      <c r="AT46" s="142">
        <f>IFERROR(IF(OR(NOT(ISNUMBER('Price History'!AA47)),NOT(ISNUMBER('Price History'!AA46)),'Price History'!AA46=0),"",'Price History'!AA47/'Price History'!AA46-1),"")</f>
        <v>-2.2081531809759247E-2</v>
      </c>
    </row>
    <row r="47" spans="1:46" ht="15" customHeight="1" x14ac:dyDescent="0.35">
      <c r="A47" s="140">
        <f>IF('Price History'!A48="","",'Price History'!A48)</f>
        <v>45499</v>
      </c>
      <c r="B47" s="141">
        <f>IFERROR(IF(OR(NOT(ISNUMBER('Price History'!B48)),NOT(ISNUMBER('Price History'!B47)),'Price History'!B47=0),"",'Price History'!B48/'Price History'!B47-1),"")</f>
        <v>-1.55353901996369E-2</v>
      </c>
      <c r="C47" s="141">
        <f>IFERROR(IF(OR(NOT(ISNUMBER('Price History'!C48)),NOT(ISNUMBER('Price History'!C47)),'Price History'!C47=0),"",'Price History'!C48/'Price History'!C47-1),"")</f>
        <v>-3.436592449177156E-2</v>
      </c>
      <c r="D47" s="141">
        <f>IFERROR(IF(OR(NOT(ISNUMBER('Price History'!D48)),NOT(ISNUMBER('Price History'!D47)),'Price History'!D47=0),"",'Price History'!D48/'Price History'!D47-1),"")</f>
        <v>-7.7931238480967169E-3</v>
      </c>
      <c r="E47" s="141">
        <f>IFERROR(IF(OR(NOT(ISNUMBER('Price History'!E48)),NOT(ISNUMBER('Price History'!E47)),'Price History'!E47=0),"",'Price History'!E48/'Price History'!E47-1),"")</f>
        <v>-3.6325895173845324E-2</v>
      </c>
      <c r="F47" s="141">
        <f>IFERROR(IF(OR(NOT(ISNUMBER('Price History'!F48)),NOT(ISNUMBER('Price History'!F47)),'Price History'!F47=0),"",'Price History'!F48/'Price History'!F47-1),"")</f>
        <v>-0.16002098635886663</v>
      </c>
      <c r="G47" s="141">
        <f>IFERROR(IF(OR(NOT(ISNUMBER('Price History'!G48)),NOT(ISNUMBER('Price History'!G47)),'Price History'!G47=0),"",'Price History'!G48/'Price History'!G47-1),"")</f>
        <v>3.2675380101360396E-2</v>
      </c>
      <c r="H47" s="141">
        <f>IFERROR(IF(OR(NOT(ISNUMBER('Price History'!H48)),NOT(ISNUMBER('Price History'!H47)),'Price History'!H47=0),"",'Price History'!H48/'Price History'!H47-1),"")</f>
        <v>-4.2448260678115357E-2</v>
      </c>
      <c r="I47" s="141">
        <f>IFERROR(IF(OR(NOT(ISNUMBER('Price History'!I48)),NOT(ISNUMBER('Price History'!I47)),'Price History'!I47=0),"",'Price History'!I48/'Price History'!I47-1),"")</f>
        <v>-4.1241496598639404E-2</v>
      </c>
      <c r="J47" s="141">
        <f>IFERROR(IF(OR(NOT(ISNUMBER('Price History'!J48)),NOT(ISNUMBER('Price History'!J47)),'Price History'!J47=0),"",'Price History'!J48/'Price History'!J47-1),"")</f>
        <v>-8.7032201914708507E-3</v>
      </c>
      <c r="K47" s="141">
        <f>IFERROR(IF(OR(NOT(ISNUMBER('Price History'!K48)),NOT(ISNUMBER('Price History'!K47)),'Price History'!K47=0),"",'Price History'!K48/'Price History'!K47-1),"")</f>
        <v>-4.8985304408677321E-2</v>
      </c>
      <c r="L47" s="141">
        <f>IFERROR(IF(OR(NOT(ISNUMBER('Price History'!L48)),NOT(ISNUMBER('Price History'!L47)),'Price History'!L47=0),"",'Price History'!L48/'Price History'!L47-1),"")</f>
        <v>-2.3079786574016659E-2</v>
      </c>
      <c r="M47" s="141">
        <f>IFERROR(IF(OR(NOT(ISNUMBER('Price History'!M48)),NOT(ISNUMBER('Price History'!M47)),'Price History'!M47=0),"",'Price History'!M48/'Price History'!M47-1),"")</f>
        <v>-9.6027268453220516E-2</v>
      </c>
      <c r="N47" s="141">
        <f>IFERROR(IF(OR(NOT(ISNUMBER('Price History'!N48)),NOT(ISNUMBER('Price History'!N47)),'Price History'!N47=0),"",'Price History'!N48/'Price History'!N47-1),"")</f>
        <v>7.5065606119169015E-3</v>
      </c>
      <c r="O47" s="141">
        <f>IFERROR(IF(OR(NOT(ISNUMBER('Price History'!O48)),NOT(ISNUMBER('Price History'!O47)),'Price History'!O47=0),"",'Price History'!O48/'Price History'!O47-1),"")</f>
        <v>3.6267186315903421E-2</v>
      </c>
      <c r="P47" s="141">
        <f>IFERROR(IF(OR(NOT(ISNUMBER('Price History'!P48)),NOT(ISNUMBER('Price History'!P47)),'Price History'!P47=0),"",'Price History'!P48/'Price History'!P47-1),"")</f>
        <v>2.1149070982104723E-2</v>
      </c>
      <c r="Q47" s="141">
        <f>IFERROR(IF(OR(NOT(ISNUMBER('Price History'!Q48)),NOT(ISNUMBER('Price History'!Q47)),'Price History'!Q47=0),"",'Price History'!Q48/'Price History'!Q47-1),"")</f>
        <v>-4.1429311237700661E-3</v>
      </c>
      <c r="R47" s="141">
        <f>IFERROR(IF(OR(NOT(ISNUMBER('Price History'!R48)),NOT(ISNUMBER('Price History'!R47)),'Price History'!R47=0),"",'Price History'!R48/'Price History'!R47-1),"")</f>
        <v>-2.261904761904765E-2</v>
      </c>
      <c r="S47" s="141">
        <f>IFERROR(IF(OR(NOT(ISNUMBER('Price History'!S48)),NOT(ISNUMBER('Price History'!S47)),'Price History'!S47=0),"",'Price History'!S48/'Price History'!S47-1),"")</f>
        <v>-1.8841262364578504E-2</v>
      </c>
      <c r="T47" s="141">
        <f>IFERROR(IF(OR(NOT(ISNUMBER('Price History'!T48)),NOT(ISNUMBER('Price History'!T47)),'Price History'!T47=0),"",'Price History'!T48/'Price History'!T47-1),"")</f>
        <v>1.806451612903226E-2</v>
      </c>
      <c r="U47" s="141">
        <f>IFERROR(IF(OR(NOT(ISNUMBER('Price History'!U48)),NOT(ISNUMBER('Price History'!U47)),'Price History'!U47=0),"",'Price History'!U48/'Price History'!U47-1),"")</f>
        <v>1.6847172081829287E-2</v>
      </c>
      <c r="V47" s="142">
        <f>IFERROR(IF(OR(NOT(ISNUMBER('Price History'!V48)),NOT(ISNUMBER('Price History'!V47)),'Price History'!V47=0),"",'Price History'!V48/'Price History'!V47-1),"")</f>
        <v>-2.2606230123759508E-2</v>
      </c>
      <c r="W47" s="143">
        <f>IFERROR('Price History'!B3+(INDEX('Price History'!B:B,MATCH(9.99E+307,'Returns (Calc)'!$A:$A)+1)-'Price History'!B3)*(ROW()-3)/(MATCH(9.99E+307,'Returns (Calc)'!$A:$A)-3),"")</f>
        <v>447.79632911392406</v>
      </c>
      <c r="X47" s="143">
        <f>IFERROR('Price History'!C3+(INDEX('Price History'!C:C,MATCH(9.99E+307,'Returns (Calc)'!$A:$A)+1)-'Price History'!C3)*(ROW()-3)/(MATCH(9.99E+307,'Returns (Calc)'!$A:$A)-3),"")</f>
        <v>91.062784810126573</v>
      </c>
      <c r="Y47" s="143">
        <f>IFERROR('Price History'!D3+(INDEX('Price History'!D:D,MATCH(9.99E+307,'Returns (Calc)'!$A:$A)+1)-'Price History'!D3)*(ROW()-3)/(MATCH(9.99E+307,'Returns (Calc)'!$A:$A)-3),"")</f>
        <v>939.94164556962028</v>
      </c>
      <c r="Z47" s="143">
        <f>IFERROR('Price History'!E3+(INDEX('Price History'!E:E,MATCH(9.99E+307,'Returns (Calc)'!$A:$A)+1)-'Price History'!E3)*(ROW()-3)/(MATCH(9.99E+307,'Returns (Calc)'!$A:$A)-3),"")</f>
        <v>158.06430379746837</v>
      </c>
      <c r="AA47" s="143">
        <f>IFERROR('Price History'!F3+(INDEX('Price History'!F:F,MATCH(9.99E+307,'Returns (Calc)'!$A:$A)+1)-'Price History'!F3)*(ROW()-3)/(MATCH(9.99E+307,'Returns (Calc)'!$A:$A)-3),"")</f>
        <v>105.04303797468354</v>
      </c>
      <c r="AB47" s="143">
        <f>IFERROR('Price History'!G3+(INDEX('Price History'!G:G,MATCH(9.99E+307,'Returns (Calc)'!$A:$A)+1)-'Price History'!G3)*(ROW()-3)/(MATCH(9.99E+307,'Returns (Calc)'!$A:$A)-3),"")</f>
        <v>89.614303797468352</v>
      </c>
      <c r="AC47" s="143">
        <f>IFERROR('Price History'!H3+(INDEX('Price History'!H:H,MATCH(9.99E+307,'Returns (Calc)'!$A:$A)+1)-'Price History'!H3)*(ROW()-3)/(MATCH(9.99E+307,'Returns (Calc)'!$A:$A)-3),"")</f>
        <v>349.20063291139246</v>
      </c>
      <c r="AD47" s="143">
        <f>IFERROR('Price History'!I3+(INDEX('Price History'!I:I,MATCH(9.99E+307,'Returns (Calc)'!$A:$A)+1)-'Price History'!I3)*(ROW()-3)/(MATCH(9.99E+307,'Returns (Calc)'!$A:$A)-3),"")</f>
        <v>96.731518987341758</v>
      </c>
      <c r="AE47" s="143">
        <f>IFERROR('Price History'!J3+(INDEX('Price History'!J:J,MATCH(9.99E+307,'Returns (Calc)'!$A:$A)+1)-'Price History'!J3)*(ROW()-3)/(MATCH(9.99E+307,'Returns (Calc)'!$A:$A)-3),"")</f>
        <v>116.59367088607596</v>
      </c>
      <c r="AF47" s="143">
        <f>IFERROR('Price History'!K3+(INDEX('Price History'!K:K,MATCH(9.99E+307,'Returns (Calc)'!$A:$A)+1)-'Price History'!K3)*(ROW()-3)/(MATCH(9.99E+307,'Returns (Calc)'!$A:$A)-3),"")</f>
        <v>63.624177215189867</v>
      </c>
      <c r="AG47" s="143">
        <f>IFERROR('Price History'!L3+(INDEX('Price History'!L:L,MATCH(9.99E+307,'Returns (Calc)'!$A:$A)+1)-'Price History'!L3)*(ROW()-3)/(MATCH(9.99E+307,'Returns (Calc)'!$A:$A)-3),"")</f>
        <v>193.5305063291139</v>
      </c>
      <c r="AH47" s="143">
        <f>IFERROR('Price History'!M3+(INDEX('Price History'!M:M,MATCH(9.99E+307,'Returns (Calc)'!$A:$A)+1)-'Price History'!M3)*(ROW()-3)/(MATCH(9.99E+307,'Returns (Calc)'!$A:$A)-3),"")</f>
        <v>97.659493670886064</v>
      </c>
      <c r="AI47" s="143">
        <f>IFERROR('Price History'!N3+(INDEX('Price History'!N:N,MATCH(9.99E+307,'Returns (Calc)'!$A:$A)+1)-'Price History'!N3)*(ROW()-3)/(MATCH(9.99E+307,'Returns (Calc)'!$A:$A)-3),"")</f>
        <v>392.29569620253164</v>
      </c>
      <c r="AJ47" s="143">
        <f>IFERROR('Price History'!O3+(INDEX('Price History'!O:O,MATCH(9.99E+307,'Returns (Calc)'!$A:$A)+1)-'Price History'!O3)*(ROW()-3)/(MATCH(9.99E+307,'Returns (Calc)'!$A:$A)-3),"")</f>
        <v>87.763670886075943</v>
      </c>
      <c r="AK47" s="143">
        <f>IFERROR('Price History'!Q3+(INDEX('Price History'!Q:Q,MATCH(9.99E+307,'Returns (Calc)'!$A:$A)+1)-'Price History'!Q3)*(ROW()-3)/(MATCH(9.99E+307,'Returns (Calc)'!$A:$A)-3),"")</f>
        <v>19.332151898734178</v>
      </c>
      <c r="AL47" s="143">
        <f>IFERROR('Price History'!R3+(INDEX('Price History'!R:R,MATCH(9.99E+307,'Returns (Calc)'!$A:$A)+1)-'Price History'!R3)*(ROW()-3)/(MATCH(9.99E+307,'Returns (Calc)'!$A:$A)-3),"")</f>
        <v>41.876455696202527</v>
      </c>
      <c r="AM47" s="143">
        <f>IFERROR('Price History'!S3+(INDEX('Price History'!S:S,MATCH(9.99E+307,'Returns (Calc)'!$A:$A)+1)-'Price History'!S3)*(ROW()-3)/(MATCH(9.99E+307,'Returns (Calc)'!$A:$A)-3),"")</f>
        <v>84.252784810126585</v>
      </c>
      <c r="AN47" s="143">
        <f>IFERROR('Price History'!T3+(INDEX('Price History'!T:T,MATCH(9.99E+307,'Returns (Calc)'!$A:$A)+1)-'Price History'!T3)*(ROW()-3)/(MATCH(9.99E+307,'Returns (Calc)'!$A:$A)-3),"")</f>
        <v>32.642025316455694</v>
      </c>
      <c r="AO47" s="144">
        <f>IFERROR('Price History'!V3+(INDEX('Price History'!V:V,MATCH(9.99E+307,'Returns (Calc)'!$A:$A)+1)-'Price History'!V3)*(ROW()-3)/(MATCH(9.99E+307,'Returns (Calc)'!$A:$A)-3),"")</f>
        <v>270.44848101265825</v>
      </c>
      <c r="AP47" s="142">
        <f>IFERROR(IF(OR(NOT(ISNUMBER('Price History'!W48)),NOT(ISNUMBER('Price History'!W47)),'Price History'!W47=0),"",'Price History'!W48/'Price History'!W47-1),"")</f>
        <v>8.912347495024564E-3</v>
      </c>
      <c r="AQ47" s="142" t="str">
        <f>IFERROR(IF(OR(NOT(ISNUMBER('Price History'!X48)),NOT(ISNUMBER('Price History'!X47)),'Price History'!X47=0),"",'Price History'!X48/'Price History'!X47-1),"")</f>
        <v/>
      </c>
      <c r="AR47" s="142">
        <f>IFERROR(IF(OR(NOT(ISNUMBER('Price History'!Y48)),NOT(ISNUMBER('Price History'!Y47)),'Price History'!Y47=0),"",'Price History'!Y48/'Price History'!Y47-1),"")</f>
        <v>3.3776651889381171E-3</v>
      </c>
      <c r="AS47" s="142">
        <f>IFERROR(IF(OR(NOT(ISNUMBER('Price History'!Z48)),NOT(ISNUMBER('Price History'!Z47)),'Price History'!Z47=0),"",'Price History'!Z48/'Price History'!Z47-1),"")</f>
        <v>6.7128599580446258E-2</v>
      </c>
      <c r="AT47" s="142">
        <f>IFERROR(IF(OR(NOT(ISNUMBER('Price History'!AA48)),NOT(ISNUMBER('Price History'!AA47)),'Price History'!AA47=0),"",'Price History'!AA48/'Price History'!AA47-1),"")</f>
        <v>-3.0001579030475289E-3</v>
      </c>
    </row>
    <row r="48" spans="1:46" ht="15" customHeight="1" x14ac:dyDescent="0.35">
      <c r="A48" s="140">
        <f>IF('Price History'!A49="","",'Price History'!A49)</f>
        <v>45506</v>
      </c>
      <c r="B48" s="141">
        <f>IFERROR(IF(OR(NOT(ISNUMBER('Price History'!B49)),NOT(ISNUMBER('Price History'!B48)),'Price History'!B48=0),"",'Price History'!B49/'Price History'!B48-1),"")</f>
        <v>-2.9994100730034834E-2</v>
      </c>
      <c r="C48" s="141">
        <f>IFERROR(IF(OR(NOT(ISNUMBER('Price History'!C49)),NOT(ISNUMBER('Price History'!C48)),'Price History'!C48=0),"",'Price History'!C49/'Price History'!C48-1),"")</f>
        <v>3.7593984962414062E-4</v>
      </c>
      <c r="D48" s="141">
        <f>IFERROR(IF(OR(NOT(ISNUMBER('Price History'!D49)),NOT(ISNUMBER('Price History'!D48)),'Price History'!D48=0),"",'Price History'!D49/'Price History'!D48-1),"")</f>
        <v>-8.7280565970669466E-2</v>
      </c>
      <c r="E48" s="141">
        <f>IFERROR(IF(OR(NOT(ISNUMBER('Price History'!E49)),NOT(ISNUMBER('Price History'!E48)),'Price History'!E48=0),"",'Price History'!E49/'Price History'!E48-1),"")</f>
        <v>-5.1494345718901546E-2</v>
      </c>
      <c r="F48" s="141">
        <f>IFERROR(IF(OR(NOT(ISNUMBER('Price History'!F49)),NOT(ISNUMBER('Price History'!F48)),'Price History'!F48=0),"",'Price History'!F49/'Price History'!F48-1),"")</f>
        <v>-0.14943785134291077</v>
      </c>
      <c r="G48" s="141">
        <f>IFERROR(IF(OR(NOT(ISNUMBER('Price History'!G49)),NOT(ISNUMBER('Price History'!G48)),'Price History'!G48=0),"",'Price History'!G49/'Price History'!G48-1),"")</f>
        <v>-0.11584657109647445</v>
      </c>
      <c r="H48" s="141">
        <f>IFERROR(IF(OR(NOT(ISNUMBER('Price History'!H49)),NOT(ISNUMBER('Price History'!H48)),'Price History'!H48=0),"",'Price History'!H49/'Price History'!H48-1),"")</f>
        <v>-0.1527637266623747</v>
      </c>
      <c r="I48" s="141">
        <f>IFERROR(IF(OR(NOT(ISNUMBER('Price History'!I49)),NOT(ISNUMBER('Price History'!I48)),'Price History'!I48=0),"",'Price History'!I49/'Price History'!I48-1),"")</f>
        <v>-5.1263858093126391E-2</v>
      </c>
      <c r="J48" s="141">
        <f>IFERROR(IF(OR(NOT(ISNUMBER('Price History'!J49)),NOT(ISNUMBER('Price History'!J48)),'Price History'!J48=0),"",'Price History'!J49/'Price History'!J48-1),"")</f>
        <v>1.0623353819139592E-2</v>
      </c>
      <c r="K48" s="141">
        <f>IFERROR(IF(OR(NOT(ISNUMBER('Price History'!K49)),NOT(ISNUMBER('Price History'!K48)),'Price History'!K48=0),"",'Price History'!K49/'Price History'!K48-1),"")</f>
        <v>-8.9771891096394496E-2</v>
      </c>
      <c r="L48" s="141">
        <f>IFERROR(IF(OR(NOT(ISNUMBER('Price History'!L49)),NOT(ISNUMBER('Price History'!L48)),'Price History'!L48=0),"",'Price History'!L49/'Price History'!L48-1),"")</f>
        <v>-7.4622126254286769E-2</v>
      </c>
      <c r="M48" s="141">
        <f>IFERROR(IF(OR(NOT(ISNUMBER('Price History'!M49)),NOT(ISNUMBER('Price History'!M48)),'Price History'!M48=0),"",'Price History'!M49/'Price History'!M48-1),"")</f>
        <v>-9.9336887270836005E-2</v>
      </c>
      <c r="N48" s="141">
        <f>IFERROR(IF(OR(NOT(ISNUMBER('Price History'!N49)),NOT(ISNUMBER('Price History'!N48)),'Price History'!N48=0),"",'Price History'!N49/'Price History'!N48-1),"")</f>
        <v>-1.6153131688406708E-3</v>
      </c>
      <c r="O48" s="141">
        <f>IFERROR(IF(OR(NOT(ISNUMBER('Price History'!O49)),NOT(ISNUMBER('Price History'!O48)),'Price History'!O48=0),"",'Price History'!O49/'Price History'!O48-1),"")</f>
        <v>-7.1458420392812361E-2</v>
      </c>
      <c r="P48" s="141">
        <f>IFERROR(IF(OR(NOT(ISNUMBER('Price History'!P49)),NOT(ISNUMBER('Price History'!P48)),'Price History'!P48=0),"",'Price History'!P49/'Price History'!P48-1),"")</f>
        <v>-1.4422270669126269E-2</v>
      </c>
      <c r="Q48" s="141">
        <f>IFERROR(IF(OR(NOT(ISNUMBER('Price History'!Q49)),NOT(ISNUMBER('Price History'!Q48)),'Price History'!Q48=0),"",'Price History'!Q49/'Price History'!Q48-1),"")</f>
        <v>-1.0747096550528634E-2</v>
      </c>
      <c r="R48" s="141">
        <f>IFERROR(IF(OR(NOT(ISNUMBER('Price History'!R49)),NOT(ISNUMBER('Price History'!R48)),'Price History'!R48=0),"",'Price History'!R49/'Price History'!R48-1),"")</f>
        <v>-2.655298416565155E-2</v>
      </c>
      <c r="S48" s="141">
        <f>IFERROR(IF(OR(NOT(ISNUMBER('Price History'!S49)),NOT(ISNUMBER('Price History'!S48)),'Price History'!S48=0),"",'Price History'!S49/'Price History'!S48-1),"")</f>
        <v>-2.9764762361977781E-2</v>
      </c>
      <c r="T48" s="141">
        <f>IFERROR(IF(OR(NOT(ISNUMBER('Price History'!T49)),NOT(ISNUMBER('Price History'!T48)),'Price History'!T48=0),"",'Price History'!T49/'Price History'!T48-1),"")</f>
        <v>-2.8833967046894782E-2</v>
      </c>
      <c r="U48" s="141">
        <f>IFERROR(IF(OR(NOT(ISNUMBER('Price History'!U49)),NOT(ISNUMBER('Price History'!U48)),'Price History'!U48=0),"",'Price History'!U49/'Price History'!U48-1),"")</f>
        <v>-2.0118343195266286E-2</v>
      </c>
      <c r="V48" s="142">
        <f>IFERROR(IF(OR(NOT(ISNUMBER('Price History'!V49)),NOT(ISNUMBER('Price History'!V48)),'Price History'!V48=0),"",'Price History'!V49/'Price History'!V48-1),"")</f>
        <v>2.7480497079462207E-2</v>
      </c>
      <c r="W48" s="143">
        <f>IFERROR('Price History'!B3+(INDEX('Price History'!B:B,MATCH(9.99E+307,'Returns (Calc)'!$A:$A)+1)-'Price History'!B3)*(ROW()-3)/(MATCH(9.99E+307,'Returns (Calc)'!$A:$A)-3),"")</f>
        <v>445.95329113924049</v>
      </c>
      <c r="X48" s="143">
        <f>IFERROR('Price History'!C3+(INDEX('Price History'!C:C,MATCH(9.99E+307,'Returns (Calc)'!$A:$A)+1)-'Price History'!C3)*(ROW()-3)/(MATCH(9.99E+307,'Returns (Calc)'!$A:$A)-3),"")</f>
        <v>92.082848101265824</v>
      </c>
      <c r="Y48" s="143">
        <f>IFERROR('Price History'!D3+(INDEX('Price History'!D:D,MATCH(9.99E+307,'Returns (Calc)'!$A:$A)+1)-'Price History'!D3)*(ROW()-3)/(MATCH(9.99E+307,'Returns (Calc)'!$A:$A)-3),"")</f>
        <v>948.07645569620252</v>
      </c>
      <c r="Z48" s="143">
        <f>IFERROR('Price History'!E3+(INDEX('Price History'!E:E,MATCH(9.99E+307,'Returns (Calc)'!$A:$A)+1)-'Price History'!E3)*(ROW()-3)/(MATCH(9.99E+307,'Returns (Calc)'!$A:$A)-3),"")</f>
        <v>159.79303797468356</v>
      </c>
      <c r="AA48" s="143">
        <f>IFERROR('Price History'!F3+(INDEX('Price History'!F:F,MATCH(9.99E+307,'Returns (Calc)'!$A:$A)+1)-'Price History'!F3)*(ROW()-3)/(MATCH(9.99E+307,'Returns (Calc)'!$A:$A)-3),"")</f>
        <v>106.49037974683544</v>
      </c>
      <c r="AB48" s="143">
        <f>IFERROR('Price History'!G3+(INDEX('Price History'!G:G,MATCH(9.99E+307,'Returns (Calc)'!$A:$A)+1)-'Price History'!G3)*(ROW()-3)/(MATCH(9.99E+307,'Returns (Calc)'!$A:$A)-3),"")</f>
        <v>90.643037974683551</v>
      </c>
      <c r="AC48" s="143">
        <f>IFERROR('Price History'!H3+(INDEX('Price History'!H:H,MATCH(9.99E+307,'Returns (Calc)'!$A:$A)+1)-'Price History'!H3)*(ROW()-3)/(MATCH(9.99E+307,'Returns (Calc)'!$A:$A)-3),"")</f>
        <v>355.5663291139241</v>
      </c>
      <c r="AD48" s="143">
        <f>IFERROR('Price History'!I3+(INDEX('Price History'!I:I,MATCH(9.99E+307,'Returns (Calc)'!$A:$A)+1)-'Price History'!I3)*(ROW()-3)/(MATCH(9.99E+307,'Returns (Calc)'!$A:$A)-3),"")</f>
        <v>97.935189873417713</v>
      </c>
      <c r="AE48" s="143">
        <f>IFERROR('Price History'!J3+(INDEX('Price History'!J:J,MATCH(9.99E+307,'Returns (Calc)'!$A:$A)+1)-'Price History'!J3)*(ROW()-3)/(MATCH(9.99E+307,'Returns (Calc)'!$A:$A)-3),"")</f>
        <v>116.7017088607595</v>
      </c>
      <c r="AF48" s="143">
        <f>IFERROR('Price History'!K3+(INDEX('Price History'!K:K,MATCH(9.99E+307,'Returns (Calc)'!$A:$A)+1)-'Price History'!K3)*(ROW()-3)/(MATCH(9.99E+307,'Returns (Calc)'!$A:$A)-3),"")</f>
        <v>64.721772151898733</v>
      </c>
      <c r="AG48" s="143">
        <f>IFERROR('Price History'!L3+(INDEX('Price History'!L:L,MATCH(9.99E+307,'Returns (Calc)'!$A:$A)+1)-'Price History'!L3)*(ROW()-3)/(MATCH(9.99E+307,'Returns (Calc)'!$A:$A)-3),"")</f>
        <v>195.98006329113923</v>
      </c>
      <c r="AH48" s="143">
        <f>IFERROR('Price History'!M3+(INDEX('Price History'!M:M,MATCH(9.99E+307,'Returns (Calc)'!$A:$A)+1)-'Price History'!M3)*(ROW()-3)/(MATCH(9.99E+307,'Returns (Calc)'!$A:$A)-3),"")</f>
        <v>99.014936708860773</v>
      </c>
      <c r="AI48" s="143">
        <f>IFERROR('Price History'!N3+(INDEX('Price History'!N:N,MATCH(9.99E+307,'Returns (Calc)'!$A:$A)+1)-'Price History'!N3)*(ROW()-3)/(MATCH(9.99E+307,'Returns (Calc)'!$A:$A)-3),"")</f>
        <v>393.28196202531643</v>
      </c>
      <c r="AJ48" s="143">
        <f>IFERROR('Price History'!O3+(INDEX('Price History'!O:O,MATCH(9.99E+307,'Returns (Calc)'!$A:$A)+1)-'Price History'!O3)*(ROW()-3)/(MATCH(9.99E+307,'Returns (Calc)'!$A:$A)-3),"")</f>
        <v>88.046708860759495</v>
      </c>
      <c r="AK48" s="143">
        <f>IFERROR('Price History'!Q3+(INDEX('Price History'!Q:Q,MATCH(9.99E+307,'Returns (Calc)'!$A:$A)+1)-'Price History'!Q3)*(ROW()-3)/(MATCH(9.99E+307,'Returns (Calc)'!$A:$A)-3),"")</f>
        <v>19.771518987341771</v>
      </c>
      <c r="AL48" s="143">
        <f>IFERROR('Price History'!R3+(INDEX('Price History'!R:R,MATCH(9.99E+307,'Returns (Calc)'!$A:$A)+1)-'Price History'!R3)*(ROW()-3)/(MATCH(9.99E+307,'Returns (Calc)'!$A:$A)-3),"")</f>
        <v>42.044556962025311</v>
      </c>
      <c r="AM48" s="143">
        <f>IFERROR('Price History'!S3+(INDEX('Price History'!S:S,MATCH(9.99E+307,'Returns (Calc)'!$A:$A)+1)-'Price History'!S3)*(ROW()-3)/(MATCH(9.99E+307,'Returns (Calc)'!$A:$A)-3),"")</f>
        <v>84.85784810126583</v>
      </c>
      <c r="AN48" s="143">
        <f>IFERROR('Price History'!T3+(INDEX('Price History'!T:T,MATCH(9.99E+307,'Returns (Calc)'!$A:$A)+1)-'Price History'!T3)*(ROW()-3)/(MATCH(9.99E+307,'Returns (Calc)'!$A:$A)-3),"")</f>
        <v>32.810253164556961</v>
      </c>
      <c r="AO48" s="144">
        <f>IFERROR('Price History'!V3+(INDEX('Price History'!V:V,MATCH(9.99E+307,'Returns (Calc)'!$A:$A)+1)-'Price History'!V3)*(ROW()-3)/(MATCH(9.99E+307,'Returns (Calc)'!$A:$A)-3),"")</f>
        <v>271.23981012658226</v>
      </c>
      <c r="AP48" s="142">
        <f>IFERROR(IF(OR(NOT(ISNUMBER('Price History'!W49)),NOT(ISNUMBER('Price History'!W48)),'Price History'!W48=0),"",'Price History'!W49/'Price History'!W48-1),"")</f>
        <v>-2.3584905660377409E-2</v>
      </c>
      <c r="AQ48" s="142" t="str">
        <f>IFERROR(IF(OR(NOT(ISNUMBER('Price History'!X49)),NOT(ISNUMBER('Price History'!X48)),'Price History'!X48=0),"",'Price History'!X49/'Price History'!X48-1),"")</f>
        <v/>
      </c>
      <c r="AR48" s="142">
        <f>IFERROR(IF(OR(NOT(ISNUMBER('Price History'!Y49)),NOT(ISNUMBER('Price History'!Y48)),'Price History'!Y48=0),"",'Price History'!Y49/'Price History'!Y48-1),"")</f>
        <v>-5.4702293288448889E-3</v>
      </c>
      <c r="AS48" s="142">
        <f>IFERROR(IF(OR(NOT(ISNUMBER('Price History'!Z49)),NOT(ISNUMBER('Price History'!Z48)),'Price History'!Z48=0),"",'Price History'!Z49/'Price History'!Z48-1),"")</f>
        <v>-5.6114850777387315E-2</v>
      </c>
      <c r="AT48" s="142">
        <f>IFERROR(IF(OR(NOT(ISNUMBER('Price History'!AA49)),NOT(ISNUMBER('Price History'!AA48)),'Price History'!AA48=0),"",'Price History'!AA49/'Price History'!AA48-1),"")</f>
        <v>-2.8191320874247694E-2</v>
      </c>
    </row>
    <row r="49" spans="1:46" ht="15" customHeight="1" x14ac:dyDescent="0.35">
      <c r="A49" s="140">
        <f>IF('Price History'!A50="","",'Price History'!A50)</f>
        <v>45513</v>
      </c>
      <c r="B49" s="141">
        <f>IFERROR(IF(OR(NOT(ISNUMBER('Price History'!B50)),NOT(ISNUMBER('Price History'!B49)),'Price History'!B49=0),"",'Price History'!B50/'Price History'!B49-1),"")</f>
        <v>1.9252332896212199E-2</v>
      </c>
      <c r="C49" s="141">
        <f>IFERROR(IF(OR(NOT(ISNUMBER('Price History'!C50)),NOT(ISNUMBER('Price History'!C49)),'Price History'!C49=0),"",'Price History'!C50/'Price History'!C49-1),"")</f>
        <v>5.1609670549918718E-2</v>
      </c>
      <c r="D49" s="141">
        <f>IFERROR(IF(OR(NOT(ISNUMBER('Price History'!D50)),NOT(ISNUMBER('Price History'!D49)),'Price History'!D49=0),"",'Price History'!D50/'Price History'!D49-1),"")</f>
        <v>6.3252974208866775E-2</v>
      </c>
      <c r="E49" s="141">
        <f>IFERROR(IF(OR(NOT(ISNUMBER('Price History'!E50)),NOT(ISNUMBER('Price History'!E49)),'Price History'!E49=0),"",'Price History'!E50/'Price History'!E49-1),"")</f>
        <v>3.0870768575686602E-2</v>
      </c>
      <c r="F49" s="141">
        <f>IFERROR(IF(OR(NOT(ISNUMBER('Price History'!F50)),NOT(ISNUMBER('Price History'!F49)),'Price History'!F49=0),"",'Price History'!F50/'Price History'!F49-1),"")</f>
        <v>0.10556269506150184</v>
      </c>
      <c r="G49" s="141">
        <f>IFERROR(IF(OR(NOT(ISNUMBER('Price History'!G50)),NOT(ISNUMBER('Price History'!G49)),'Price History'!G49=0),"",'Price History'!G50/'Price History'!G49-1),"")</f>
        <v>7.2597137014315027E-2</v>
      </c>
      <c r="H49" s="141">
        <f>IFERROR(IF(OR(NOT(ISNUMBER('Price History'!H50)),NOT(ISNUMBER('Price History'!H49)),'Price History'!H49=0),"",'Price History'!H50/'Price History'!H49-1),"")</f>
        <v>4.1250542770299159E-3</v>
      </c>
      <c r="I49" s="141">
        <f>IFERROR(IF(OR(NOT(ISNUMBER('Price History'!I50)),NOT(ISNUMBER('Price History'!I49)),'Price History'!I49=0),"",'Price History'!I50/'Price History'!I49-1),"")</f>
        <v>-2.3464522763391615E-2</v>
      </c>
      <c r="J49" s="141">
        <f>IFERROR(IF(OR(NOT(ISNUMBER('Price History'!J50)),NOT(ISNUMBER('Price History'!J49)),'Price History'!J49=0),"",'Price History'!J50/'Price History'!J49-1),"")</f>
        <v>-1.6766571105898631E-2</v>
      </c>
      <c r="K49" s="141">
        <f>IFERROR(IF(OR(NOT(ISNUMBER('Price History'!K50)),NOT(ISNUMBER('Price History'!K49)),'Price History'!K49=0),"",'Price History'!K50/'Price History'!K49-1),"")</f>
        <v>0.21301535974130981</v>
      </c>
      <c r="L49" s="141">
        <f>IFERROR(IF(OR(NOT(ISNUMBER('Price History'!L50)),NOT(ISNUMBER('Price History'!L49)),'Price History'!L49=0),"",'Price History'!L50/'Price History'!L49-1),"")</f>
        <v>0.11516024981126893</v>
      </c>
      <c r="M49" s="141">
        <f>IFERROR(IF(OR(NOT(ISNUMBER('Price History'!M50)),NOT(ISNUMBER('Price History'!M49)),'Price History'!M49=0),"",'Price History'!M50/'Price History'!M49-1),"")</f>
        <v>2.8872527789808089E-2</v>
      </c>
      <c r="N49" s="141">
        <f>IFERROR(IF(OR(NOT(ISNUMBER('Price History'!N50)),NOT(ISNUMBER('Price History'!N49)),'Price History'!N49=0),"",'Price History'!N50/'Price History'!N49-1),"")</f>
        <v>-5.2602839461230455E-2</v>
      </c>
      <c r="O49" s="141">
        <f>IFERROR(IF(OR(NOT(ISNUMBER('Price History'!O50)),NOT(ISNUMBER('Price History'!O49)),'Price History'!O49=0),"",'Price History'!O50/'Price History'!O49-1),"")</f>
        <v>-1.7664266426642539E-2</v>
      </c>
      <c r="P49" s="141">
        <f>IFERROR(IF(OR(NOT(ISNUMBER('Price History'!P50)),NOT(ISNUMBER('Price History'!P49)),'Price History'!P49=0),"",'Price History'!P50/'Price History'!P49-1),"")</f>
        <v>-1.0124213033860907E-2</v>
      </c>
      <c r="Q49" s="141">
        <f>IFERROR(IF(OR(NOT(ISNUMBER('Price History'!Q50)),NOT(ISNUMBER('Price History'!Q49)),'Price History'!Q49=0),"",'Price History'!Q50/'Price History'!Q49-1),"")</f>
        <v>7.0089363939018767E-4</v>
      </c>
      <c r="R49" s="141">
        <f>IFERROR(IF(OR(NOT(ISNUMBER('Price History'!R50)),NOT(ISNUMBER('Price History'!R49)),'Price History'!R49=0),"",'Price History'!R50/'Price History'!R49-1),"")</f>
        <v>2.752752752752663E-3</v>
      </c>
      <c r="S49" s="141">
        <f>IFERROR(IF(OR(NOT(ISNUMBER('Price History'!S50)),NOT(ISNUMBER('Price History'!S49)),'Price History'!S49=0),"",'Price History'!S50/'Price History'!S49-1),"")</f>
        <v>1.7318159327065707E-2</v>
      </c>
      <c r="T49" s="141">
        <f>IFERROR(IF(OR(NOT(ISNUMBER('Price History'!T50)),NOT(ISNUMBER('Price History'!T49)),'Price History'!T49=0),"",'Price History'!T50/'Price History'!T49-1),"")</f>
        <v>-9.7879282218593655E-4</v>
      </c>
      <c r="U49" s="141">
        <f>IFERROR(IF(OR(NOT(ISNUMBER('Price History'!U50)),NOT(ISNUMBER('Price History'!U49)),'Price History'!U49=0),"",'Price History'!U50/'Price History'!U49-1),"")</f>
        <v>-8.0515297906601502E-3</v>
      </c>
      <c r="V49" s="142">
        <f>IFERROR(IF(OR(NOT(ISNUMBER('Price History'!V50)),NOT(ISNUMBER('Price History'!V49)),'Price History'!V49=0),"",'Price History'!V50/'Price History'!V49-1),"")</f>
        <v>-2.3655093475772659E-2</v>
      </c>
      <c r="W49" s="143">
        <f>IFERROR('Price History'!B3+(INDEX('Price History'!B:B,MATCH(9.99E+307,'Returns (Calc)'!$A:$A)+1)-'Price History'!B3)*(ROW()-3)/(MATCH(9.99E+307,'Returns (Calc)'!$A:$A)-3),"")</f>
        <v>444.11025316455698</v>
      </c>
      <c r="X49" s="143">
        <f>IFERROR('Price History'!C3+(INDEX('Price History'!C:C,MATCH(9.99E+307,'Returns (Calc)'!$A:$A)+1)-'Price History'!C3)*(ROW()-3)/(MATCH(9.99E+307,'Returns (Calc)'!$A:$A)-3),"")</f>
        <v>93.102911392405062</v>
      </c>
      <c r="Y49" s="143">
        <f>IFERROR('Price History'!D3+(INDEX('Price History'!D:D,MATCH(9.99E+307,'Returns (Calc)'!$A:$A)+1)-'Price History'!D3)*(ROW()-3)/(MATCH(9.99E+307,'Returns (Calc)'!$A:$A)-3),"")</f>
        <v>956.21126582278475</v>
      </c>
      <c r="Z49" s="143">
        <f>IFERROR('Price History'!E3+(INDEX('Price History'!E:E,MATCH(9.99E+307,'Returns (Calc)'!$A:$A)+1)-'Price History'!E3)*(ROW()-3)/(MATCH(9.99E+307,'Returns (Calc)'!$A:$A)-3),"")</f>
        <v>161.52177215189874</v>
      </c>
      <c r="AA49" s="143">
        <f>IFERROR('Price History'!F3+(INDEX('Price History'!F:F,MATCH(9.99E+307,'Returns (Calc)'!$A:$A)+1)-'Price History'!F3)*(ROW()-3)/(MATCH(9.99E+307,'Returns (Calc)'!$A:$A)-3),"")</f>
        <v>107.93772151898735</v>
      </c>
      <c r="AB49" s="143">
        <f>IFERROR('Price History'!G3+(INDEX('Price History'!G:G,MATCH(9.99E+307,'Returns (Calc)'!$A:$A)+1)-'Price History'!G3)*(ROW()-3)/(MATCH(9.99E+307,'Returns (Calc)'!$A:$A)-3),"")</f>
        <v>91.671772151898722</v>
      </c>
      <c r="AC49" s="143">
        <f>IFERROR('Price History'!H3+(INDEX('Price History'!H:H,MATCH(9.99E+307,'Returns (Calc)'!$A:$A)+1)-'Price History'!H3)*(ROW()-3)/(MATCH(9.99E+307,'Returns (Calc)'!$A:$A)-3),"")</f>
        <v>361.93202531645574</v>
      </c>
      <c r="AD49" s="143">
        <f>IFERROR('Price History'!I3+(INDEX('Price History'!I:I,MATCH(9.99E+307,'Returns (Calc)'!$A:$A)+1)-'Price History'!I3)*(ROW()-3)/(MATCH(9.99E+307,'Returns (Calc)'!$A:$A)-3),"")</f>
        <v>99.138860759493667</v>
      </c>
      <c r="AE49" s="143">
        <f>IFERROR('Price History'!J3+(INDEX('Price History'!J:J,MATCH(9.99E+307,'Returns (Calc)'!$A:$A)+1)-'Price History'!J3)*(ROW()-3)/(MATCH(9.99E+307,'Returns (Calc)'!$A:$A)-3),"")</f>
        <v>116.80974683544304</v>
      </c>
      <c r="AF49" s="143">
        <f>IFERROR('Price History'!K3+(INDEX('Price History'!K:K,MATCH(9.99E+307,'Returns (Calc)'!$A:$A)+1)-'Price History'!K3)*(ROW()-3)/(MATCH(9.99E+307,'Returns (Calc)'!$A:$A)-3),"")</f>
        <v>65.819367088607592</v>
      </c>
      <c r="AG49" s="143">
        <f>IFERROR('Price History'!L3+(INDEX('Price History'!L:L,MATCH(9.99E+307,'Returns (Calc)'!$A:$A)+1)-'Price History'!L3)*(ROW()-3)/(MATCH(9.99E+307,'Returns (Calc)'!$A:$A)-3),"")</f>
        <v>198.42962025316456</v>
      </c>
      <c r="AH49" s="143">
        <f>IFERROR('Price History'!M3+(INDEX('Price History'!M:M,MATCH(9.99E+307,'Returns (Calc)'!$A:$A)+1)-'Price History'!M3)*(ROW()-3)/(MATCH(9.99E+307,'Returns (Calc)'!$A:$A)-3),"")</f>
        <v>100.37037974683545</v>
      </c>
      <c r="AI49" s="143">
        <f>IFERROR('Price History'!N3+(INDEX('Price History'!N:N,MATCH(9.99E+307,'Returns (Calc)'!$A:$A)+1)-'Price History'!N3)*(ROW()-3)/(MATCH(9.99E+307,'Returns (Calc)'!$A:$A)-3),"")</f>
        <v>394.26822784810128</v>
      </c>
      <c r="AJ49" s="143">
        <f>IFERROR('Price History'!O3+(INDEX('Price History'!O:O,MATCH(9.99E+307,'Returns (Calc)'!$A:$A)+1)-'Price History'!O3)*(ROW()-3)/(MATCH(9.99E+307,'Returns (Calc)'!$A:$A)-3),"")</f>
        <v>88.329746835443046</v>
      </c>
      <c r="AK49" s="143">
        <f>IFERROR('Price History'!Q3+(INDEX('Price History'!Q:Q,MATCH(9.99E+307,'Returns (Calc)'!$A:$A)+1)-'Price History'!Q3)*(ROW()-3)/(MATCH(9.99E+307,'Returns (Calc)'!$A:$A)-3),"")</f>
        <v>20.210886075949368</v>
      </c>
      <c r="AL49" s="143">
        <f>IFERROR('Price History'!R3+(INDEX('Price History'!R:R,MATCH(9.99E+307,'Returns (Calc)'!$A:$A)+1)-'Price History'!R3)*(ROW()-3)/(MATCH(9.99E+307,'Returns (Calc)'!$A:$A)-3),"")</f>
        <v>42.212658227848102</v>
      </c>
      <c r="AM49" s="143">
        <f>IFERROR('Price History'!S3+(INDEX('Price History'!S:S,MATCH(9.99E+307,'Returns (Calc)'!$A:$A)+1)-'Price History'!S3)*(ROW()-3)/(MATCH(9.99E+307,'Returns (Calc)'!$A:$A)-3),"")</f>
        <v>85.462911392405061</v>
      </c>
      <c r="AN49" s="143">
        <f>IFERROR('Price History'!T3+(INDEX('Price History'!T:T,MATCH(9.99E+307,'Returns (Calc)'!$A:$A)+1)-'Price History'!T3)*(ROW()-3)/(MATCH(9.99E+307,'Returns (Calc)'!$A:$A)-3),"")</f>
        <v>32.978481012658229</v>
      </c>
      <c r="AO49" s="144">
        <f>IFERROR('Price History'!V3+(INDEX('Price History'!V:V,MATCH(9.99E+307,'Returns (Calc)'!$A:$A)+1)-'Price History'!V3)*(ROW()-3)/(MATCH(9.99E+307,'Returns (Calc)'!$A:$A)-3),"")</f>
        <v>272.03113924050632</v>
      </c>
      <c r="AP49" s="142">
        <f>IFERROR(IF(OR(NOT(ISNUMBER('Price History'!W50)),NOT(ISNUMBER('Price History'!W49)),'Price History'!W49=0),"",'Price History'!W50/'Price History'!W49-1),"")</f>
        <v>-2.1080368906455371E-3</v>
      </c>
      <c r="AQ49" s="142" t="str">
        <f>IFERROR(IF(OR(NOT(ISNUMBER('Price History'!X50)),NOT(ISNUMBER('Price History'!X49)),'Price History'!X49=0),"",'Price History'!X50/'Price History'!X49-1),"")</f>
        <v/>
      </c>
      <c r="AR49" s="142">
        <f>IFERROR(IF(OR(NOT(ISNUMBER('Price History'!Y50)),NOT(ISNUMBER('Price History'!Y49)),'Price History'!Y49=0),"",'Price History'!Y50/'Price History'!Y49-1),"")</f>
        <v>6.3465199915357928E-4</v>
      </c>
      <c r="AS49" s="142">
        <f>IFERROR(IF(OR(NOT(ISNUMBER('Price History'!Z50)),NOT(ISNUMBER('Price History'!Z49)),'Price History'!Z49=0),"",'Price History'!Z50/'Price History'!Z49-1),"")</f>
        <v>4.2726412117387147E-2</v>
      </c>
      <c r="AT49" s="142">
        <f>IFERROR(IF(OR(NOT(ISNUMBER('Price History'!AA50)),NOT(ISNUMBER('Price History'!AA49)),'Price History'!AA49=0),"",'Price History'!AA50/'Price History'!AA49-1),"")</f>
        <v>3.3083441981747175E-2</v>
      </c>
    </row>
    <row r="50" spans="1:46" ht="15" customHeight="1" x14ac:dyDescent="0.35">
      <c r="A50" s="140">
        <f>IF('Price History'!A51="","",'Price History'!A51)</f>
        <v>45520</v>
      </c>
      <c r="B50" s="141">
        <f>IFERROR(IF(OR(NOT(ISNUMBER('Price History'!B51)),NOT(ISNUMBER('Price History'!B50)),'Price History'!B50=0),"",'Price History'!B51/'Price History'!B50-1),"")</f>
        <v>3.1997016595189498E-2</v>
      </c>
      <c r="C50" s="141">
        <f>IFERROR(IF(OR(NOT(ISNUMBER('Price History'!C51)),NOT(ISNUMBER('Price History'!C50)),'Price History'!C50=0),"",'Price History'!C51/'Price History'!C50-1),"")</f>
        <v>5.384157236450271E-2</v>
      </c>
      <c r="D50" s="141">
        <f>IFERROR(IF(OR(NOT(ISNUMBER('Price History'!D51)),NOT(ISNUMBER('Price History'!D50)),'Price History'!D50=0),"",'Price History'!D51/'Price History'!D50-1),"")</f>
        <v>6.75362729807647E-2</v>
      </c>
      <c r="E50" s="141">
        <f>IFERROR(IF(OR(NOT(ISNUMBER('Price History'!E51)),NOT(ISNUMBER('Price History'!E50)),'Price History'!E50=0),"",'Price History'!E51/'Price History'!E50-1),"")</f>
        <v>0.11778879250998231</v>
      </c>
      <c r="F50" s="141">
        <f>IFERROR(IF(OR(NOT(ISNUMBER('Price History'!F51)),NOT(ISNUMBER('Price History'!F50)),'Price History'!F50=0),"",'Price History'!F51/'Price History'!F50-1),"")</f>
        <v>9.0003321155762261E-2</v>
      </c>
      <c r="G50" s="141">
        <f>IFERROR(IF(OR(NOT(ISNUMBER('Price History'!G51)),NOT(ISNUMBER('Price History'!G50)),'Price History'!G50=0),"",'Price History'!G51/'Price History'!G50-1),"")</f>
        <v>9.9550592400925897E-2</v>
      </c>
      <c r="H50" s="141">
        <f>IFERROR(IF(OR(NOT(ISNUMBER('Price History'!H51)),NOT(ISNUMBER('Price History'!H50)),'Price History'!H50=0),"",'Price History'!H51/'Price History'!H50-1),"")</f>
        <v>0.16021621621621618</v>
      </c>
      <c r="I50" s="141">
        <f>IFERROR(IF(OR(NOT(ISNUMBER('Price History'!I51)),NOT(ISNUMBER('Price History'!I50)),'Price History'!I50=0),"",'Price History'!I51/'Price History'!I50-1),"")</f>
        <v>0.18935477694811409</v>
      </c>
      <c r="J50" s="141">
        <f>IFERROR(IF(OR(NOT(ISNUMBER('Price History'!J51)),NOT(ISNUMBER('Price History'!J50)),'Price History'!J50=0),"",'Price History'!J51/'Price History'!J50-1),"")</f>
        <v>7.7752253048242181E-3</v>
      </c>
      <c r="K50" s="141">
        <f>IFERROR(IF(OR(NOT(ISNUMBER('Price History'!K51)),NOT(ISNUMBER('Price History'!K50)),'Price History'!K50=0),"",'Price History'!K51/'Price History'!K50-1),"")</f>
        <v>6.8977007664111856E-2</v>
      </c>
      <c r="L50" s="141">
        <f>IFERROR(IF(OR(NOT(ISNUMBER('Price History'!L51)),NOT(ISNUMBER('Price History'!L50)),'Price History'!L50=0),"",'Price History'!L51/'Price History'!L50-1),"")</f>
        <v>4.4433503600221469E-2</v>
      </c>
      <c r="M50" s="141">
        <f>IFERROR(IF(OR(NOT(ISNUMBER('Price History'!M51)),NOT(ISNUMBER('Price History'!M50)),'Price History'!M50=0),"",'Price History'!M51/'Price History'!M50-1),"")</f>
        <v>0.11140732425985678</v>
      </c>
      <c r="N50" s="141">
        <f>IFERROR(IF(OR(NOT(ISNUMBER('Price History'!N51)),NOT(ISNUMBER('Price History'!N50)),'Price History'!N50=0),"",'Price History'!N51/'Price History'!N50-1),"")</f>
        <v>1.9041519906073168E-2</v>
      </c>
      <c r="O50" s="141">
        <f>IFERROR(IF(OR(NOT(ISNUMBER('Price History'!O51)),NOT(ISNUMBER('Price History'!O50)),'Price History'!O50=0),"",'Price History'!O51/'Price History'!O50-1),"")</f>
        <v>2.8633604398121681E-2</v>
      </c>
      <c r="P50" s="141">
        <f>IFERROR(IF(OR(NOT(ISNUMBER('Price History'!P51)),NOT(ISNUMBER('Price History'!P50)),'Price History'!P50=0),"",'Price History'!P51/'Price History'!P50-1),"")</f>
        <v>2.5612376450365293E-2</v>
      </c>
      <c r="Q50" s="141">
        <f>IFERROR(IF(OR(NOT(ISNUMBER('Price History'!Q51)),NOT(ISNUMBER('Price History'!Q50)),'Price History'!Q50=0),"",'Price History'!Q51/'Price History'!Q50-1),"")</f>
        <v>2.6090001751006842E-2</v>
      </c>
      <c r="R50" s="141">
        <f>IFERROR(IF(OR(NOT(ISNUMBER('Price History'!R51)),NOT(ISNUMBER('Price History'!R50)),'Price History'!R50=0),"",'Price History'!R51/'Price History'!R50-1),"")</f>
        <v>4.217619166458686E-2</v>
      </c>
      <c r="S50" s="141">
        <f>IFERROR(IF(OR(NOT(ISNUMBER('Price History'!S51)),NOT(ISNUMBER('Price History'!S50)),'Price History'!S50=0),"",'Price History'!S51/'Price History'!S50-1),"")</f>
        <v>5.7028210116731648E-2</v>
      </c>
      <c r="T50" s="141">
        <f>IFERROR(IF(OR(NOT(ISNUMBER('Price History'!T51)),NOT(ISNUMBER('Price History'!T50)),'Price History'!T50=0),"",'Price History'!T51/'Price History'!T50-1),"")</f>
        <v>1.6329196603527052E-2</v>
      </c>
      <c r="U50" s="141">
        <f>IFERROR(IF(OR(NOT(ISNUMBER('Price History'!U51)),NOT(ISNUMBER('Price History'!U50)),'Price History'!U50=0),"",'Price History'!U51/'Price History'!U50-1),"")</f>
        <v>2.2727272727272707E-2</v>
      </c>
      <c r="V50" s="142">
        <f>IFERROR(IF(OR(NOT(ISNUMBER('Price History'!V51)),NOT(ISNUMBER('Price History'!V50)),'Price History'!V50=0),"",'Price History'!V51/'Price History'!V50-1),"")</f>
        <v>2.9347401328644107E-2</v>
      </c>
      <c r="W50" s="143">
        <f>IFERROR('Price History'!B3+(INDEX('Price History'!B:B,MATCH(9.99E+307,'Returns (Calc)'!$A:$A)+1)-'Price History'!B3)*(ROW()-3)/(MATCH(9.99E+307,'Returns (Calc)'!$A:$A)-3),"")</f>
        <v>442.26721518987341</v>
      </c>
      <c r="X50" s="143">
        <f>IFERROR('Price History'!C3+(INDEX('Price History'!C:C,MATCH(9.99E+307,'Returns (Calc)'!$A:$A)+1)-'Price History'!C3)*(ROW()-3)/(MATCH(9.99E+307,'Returns (Calc)'!$A:$A)-3),"")</f>
        <v>94.1229746835443</v>
      </c>
      <c r="Y50" s="143">
        <f>IFERROR('Price History'!D3+(INDEX('Price History'!D:D,MATCH(9.99E+307,'Returns (Calc)'!$A:$A)+1)-'Price History'!D3)*(ROW()-3)/(MATCH(9.99E+307,'Returns (Calc)'!$A:$A)-3),"")</f>
        <v>964.3460759493671</v>
      </c>
      <c r="Z50" s="143">
        <f>IFERROR('Price History'!E3+(INDEX('Price History'!E:E,MATCH(9.99E+307,'Returns (Calc)'!$A:$A)+1)-'Price History'!E3)*(ROW()-3)/(MATCH(9.99E+307,'Returns (Calc)'!$A:$A)-3),"")</f>
        <v>163.25050632911393</v>
      </c>
      <c r="AA50" s="143">
        <f>IFERROR('Price History'!F3+(INDEX('Price History'!F:F,MATCH(9.99E+307,'Returns (Calc)'!$A:$A)+1)-'Price History'!F3)*(ROW()-3)/(MATCH(9.99E+307,'Returns (Calc)'!$A:$A)-3),"")</f>
        <v>109.38506329113925</v>
      </c>
      <c r="AB50" s="143">
        <f>IFERROR('Price History'!G3+(INDEX('Price History'!G:G,MATCH(9.99E+307,'Returns (Calc)'!$A:$A)+1)-'Price History'!G3)*(ROW()-3)/(MATCH(9.99E+307,'Returns (Calc)'!$A:$A)-3),"")</f>
        <v>92.700506329113921</v>
      </c>
      <c r="AC50" s="143">
        <f>IFERROR('Price History'!H3+(INDEX('Price History'!H:H,MATCH(9.99E+307,'Returns (Calc)'!$A:$A)+1)-'Price History'!H3)*(ROW()-3)/(MATCH(9.99E+307,'Returns (Calc)'!$A:$A)-3),"")</f>
        <v>368.29772151898737</v>
      </c>
      <c r="AD50" s="143">
        <f>IFERROR('Price History'!I3+(INDEX('Price History'!I:I,MATCH(9.99E+307,'Returns (Calc)'!$A:$A)+1)-'Price History'!I3)*(ROW()-3)/(MATCH(9.99E+307,'Returns (Calc)'!$A:$A)-3),"")</f>
        <v>100.34253164556961</v>
      </c>
      <c r="AE50" s="143">
        <f>IFERROR('Price History'!J3+(INDEX('Price History'!J:J,MATCH(9.99E+307,'Returns (Calc)'!$A:$A)+1)-'Price History'!J3)*(ROW()-3)/(MATCH(9.99E+307,'Returns (Calc)'!$A:$A)-3),"")</f>
        <v>116.91778481012659</v>
      </c>
      <c r="AF50" s="143">
        <f>IFERROR('Price History'!K3+(INDEX('Price History'!K:K,MATCH(9.99E+307,'Returns (Calc)'!$A:$A)+1)-'Price History'!K3)*(ROW()-3)/(MATCH(9.99E+307,'Returns (Calc)'!$A:$A)-3),"")</f>
        <v>66.916962025316451</v>
      </c>
      <c r="AG50" s="143">
        <f>IFERROR('Price History'!L3+(INDEX('Price History'!L:L,MATCH(9.99E+307,'Returns (Calc)'!$A:$A)+1)-'Price History'!L3)*(ROW()-3)/(MATCH(9.99E+307,'Returns (Calc)'!$A:$A)-3),"")</f>
        <v>200.87917721518988</v>
      </c>
      <c r="AH50" s="143">
        <f>IFERROR('Price History'!M3+(INDEX('Price History'!M:M,MATCH(9.99E+307,'Returns (Calc)'!$A:$A)+1)-'Price History'!M3)*(ROW()-3)/(MATCH(9.99E+307,'Returns (Calc)'!$A:$A)-3),"")</f>
        <v>101.72582278481013</v>
      </c>
      <c r="AI50" s="143">
        <f>IFERROR('Price History'!N3+(INDEX('Price History'!N:N,MATCH(9.99E+307,'Returns (Calc)'!$A:$A)+1)-'Price History'!N3)*(ROW()-3)/(MATCH(9.99E+307,'Returns (Calc)'!$A:$A)-3),"")</f>
        <v>395.25449367088606</v>
      </c>
      <c r="AJ50" s="143">
        <f>IFERROR('Price History'!O3+(INDEX('Price History'!O:O,MATCH(9.99E+307,'Returns (Calc)'!$A:$A)+1)-'Price History'!O3)*(ROW()-3)/(MATCH(9.99E+307,'Returns (Calc)'!$A:$A)-3),"")</f>
        <v>88.612784810126584</v>
      </c>
      <c r="AK50" s="143">
        <f>IFERROR('Price History'!Q3+(INDEX('Price History'!Q:Q,MATCH(9.99E+307,'Returns (Calc)'!$A:$A)+1)-'Price History'!Q3)*(ROW()-3)/(MATCH(9.99E+307,'Returns (Calc)'!$A:$A)-3),"")</f>
        <v>20.650253164556965</v>
      </c>
      <c r="AL50" s="143">
        <f>IFERROR('Price History'!R3+(INDEX('Price History'!R:R,MATCH(9.99E+307,'Returns (Calc)'!$A:$A)+1)-'Price History'!R3)*(ROW()-3)/(MATCH(9.99E+307,'Returns (Calc)'!$A:$A)-3),"")</f>
        <v>42.380759493670887</v>
      </c>
      <c r="AM50" s="143">
        <f>IFERROR('Price History'!S3+(INDEX('Price History'!S:S,MATCH(9.99E+307,'Returns (Calc)'!$A:$A)+1)-'Price History'!S3)*(ROW()-3)/(MATCH(9.99E+307,'Returns (Calc)'!$A:$A)-3),"")</f>
        <v>86.067974683544307</v>
      </c>
      <c r="AN50" s="143">
        <f>IFERROR('Price History'!T3+(INDEX('Price History'!T:T,MATCH(9.99E+307,'Returns (Calc)'!$A:$A)+1)-'Price History'!T3)*(ROW()-3)/(MATCH(9.99E+307,'Returns (Calc)'!$A:$A)-3),"")</f>
        <v>33.146708860759489</v>
      </c>
      <c r="AO50" s="144">
        <f>IFERROR('Price History'!V3+(INDEX('Price History'!V:V,MATCH(9.99E+307,'Returns (Calc)'!$A:$A)+1)-'Price History'!V3)*(ROW()-3)/(MATCH(9.99E+307,'Returns (Calc)'!$A:$A)-3),"")</f>
        <v>272.82246835443038</v>
      </c>
      <c r="AP50" s="142">
        <f>IFERROR(IF(OR(NOT(ISNUMBER('Price History'!W51)),NOT(ISNUMBER('Price History'!W50)),'Price History'!W50=0),"",'Price History'!W51/'Price History'!W50-1),"")</f>
        <v>2.7990493794560312E-2</v>
      </c>
      <c r="AQ50" s="142" t="str">
        <f>IFERROR(IF(OR(NOT(ISNUMBER('Price History'!X51)),NOT(ISNUMBER('Price History'!X50)),'Price History'!X50=0),"",'Price History'!X51/'Price History'!X50-1),"")</f>
        <v/>
      </c>
      <c r="AR50" s="142">
        <f>IFERROR(IF(OR(NOT(ISNUMBER('Price History'!Y51)),NOT(ISNUMBER('Price History'!Y50)),'Price History'!Y50=0),"",'Price History'!Y51/'Price History'!Y50-1),"")</f>
        <v>2.1353065539112093E-2</v>
      </c>
      <c r="AS50" s="142">
        <f>IFERROR(IF(OR(NOT(ISNUMBER('Price History'!Z51)),NOT(ISNUMBER('Price History'!Z50)),'Price History'!Z50=0),"",'Price History'!Z51/'Price History'!Z50-1),"")</f>
        <v>1.3678731388451659E-2</v>
      </c>
      <c r="AT50" s="142">
        <f>IFERROR(IF(OR(NOT(ISNUMBER('Price History'!AA51)),NOT(ISNUMBER('Price History'!AA50)),'Price History'!AA50=0),"",'Price History'!AA51/'Price History'!AA50-1),"")</f>
        <v>6.3416942735447179E-2</v>
      </c>
    </row>
    <row r="51" spans="1:46" ht="15" customHeight="1" x14ac:dyDescent="0.35">
      <c r="A51" s="140">
        <f>IF('Price History'!A52="","",'Price History'!A52)</f>
        <v>45527</v>
      </c>
      <c r="B51" s="141">
        <f>IFERROR(IF(OR(NOT(ISNUMBER('Price History'!B52)),NOT(ISNUMBER('Price History'!B51)),'Price History'!B51=0),"",'Price History'!B52/'Price History'!B51-1),"")</f>
        <v>8.7449860875219443E-3</v>
      </c>
      <c r="C51" s="141">
        <f>IFERROR(IF(OR(NOT(ISNUMBER('Price History'!C52)),NOT(ISNUMBER('Price History'!C51)),'Price History'!C51=0),"",'Price History'!C52/'Price History'!C51-1),"")</f>
        <v>3.5040126596586063E-3</v>
      </c>
      <c r="D51" s="141">
        <f>IFERROR(IF(OR(NOT(ISNUMBER('Price History'!D52)),NOT(ISNUMBER('Price History'!D51)),'Price History'!D51=0),"",'Price History'!D52/'Price History'!D51-1),"")</f>
        <v>-1.241809810518868E-2</v>
      </c>
      <c r="E51" s="141">
        <f>IFERROR(IF(OR(NOT(ISNUMBER('Price History'!E52)),NOT(ISNUMBER('Price History'!E51)),'Price History'!E51=0),"",'Price History'!E52/'Price History'!E51-1),"")</f>
        <v>3.8184393668780903E-3</v>
      </c>
      <c r="F51" s="141">
        <f>IFERROR(IF(OR(NOT(ISNUMBER('Price History'!F52)),NOT(ISNUMBER('Price History'!F51)),'Price History'!F51=0),"",'Price History'!F52/'Price History'!F51-1),"")</f>
        <v>3.427787934186477E-2</v>
      </c>
      <c r="G51" s="141">
        <f>IFERROR(IF(OR(NOT(ISNUMBER('Price History'!G52)),NOT(ISNUMBER('Price History'!G51)),'Price History'!G51=0),"",'Price History'!G52/'Price History'!G51-1),"")</f>
        <v>-2.1055239038890727E-3</v>
      </c>
      <c r="H51" s="141">
        <f>IFERROR(IF(OR(NOT(ISNUMBER('Price History'!H52)),NOT(ISNUMBER('Price History'!H51)),'Price History'!H51=0),"",'Price History'!H52/'Price History'!H51-1),"")</f>
        <v>-4.7614610510622435E-2</v>
      </c>
      <c r="I51" s="141">
        <f>IFERROR(IF(OR(NOT(ISNUMBER('Price History'!I52)),NOT(ISNUMBER('Price History'!I51)),'Price History'!I51=0),"",'Price History'!I52/'Price History'!I51-1),"")</f>
        <v>3.8393432066967215E-2</v>
      </c>
      <c r="J51" s="141">
        <f>IFERROR(IF(OR(NOT(ISNUMBER('Price History'!J52)),NOT(ISNUMBER('Price History'!J51)),'Price History'!J51=0),"",'Price History'!J52/'Price History'!J51-1),"")</f>
        <v>4.8921620199894766E-2</v>
      </c>
      <c r="K51" s="141">
        <f>IFERROR(IF(OR(NOT(ISNUMBER('Price History'!K52)),NOT(ISNUMBER('Price History'!K51)),'Price History'!K51=0),"",'Price History'!K52/'Price History'!K51-1),"")</f>
        <v>-9.3516209476308676E-3</v>
      </c>
      <c r="L51" s="141">
        <f>IFERROR(IF(OR(NOT(ISNUMBER('Price History'!L52)),NOT(ISNUMBER('Price History'!L51)),'Price History'!L51=0),"",'Price History'!L52/'Price History'!L51-1),"")</f>
        <v>-1.8678922868422654E-2</v>
      </c>
      <c r="M51" s="141">
        <f>IFERROR(IF(OR(NOT(ISNUMBER('Price History'!M52)),NOT(ISNUMBER('Price History'!M51)),'Price History'!M51=0),"",'Price History'!M52/'Price History'!M51-1),"")</f>
        <v>-1.0983461684130669E-2</v>
      </c>
      <c r="N51" s="141">
        <f>IFERROR(IF(OR(NOT(ISNUMBER('Price History'!N52)),NOT(ISNUMBER('Price History'!N51)),'Price History'!N51=0),"",'Price History'!N52/'Price History'!N51-1),"")</f>
        <v>8.1069191612375135E-3</v>
      </c>
      <c r="O51" s="141">
        <f>IFERROR(IF(OR(NOT(ISNUMBER('Price History'!O52)),NOT(ISNUMBER('Price History'!O51)),'Price History'!O51=0),"",'Price History'!O52/'Price History'!O51-1),"")</f>
        <v>3.1065582897227495E-2</v>
      </c>
      <c r="P51" s="141">
        <f>IFERROR(IF(OR(NOT(ISNUMBER('Price History'!P52)),NOT(ISNUMBER('Price History'!P51)),'Price History'!P51=0),"",'Price History'!P52/'Price History'!P51-1),"")</f>
        <v>2.0782703427470128E-2</v>
      </c>
      <c r="Q51" s="141">
        <f>IFERROR(IF(OR(NOT(ISNUMBER('Price History'!Q52)),NOT(ISNUMBER('Price History'!Q51)),'Price History'!Q51=0),"",'Price History'!Q52/'Price History'!Q51-1),"")</f>
        <v>8.8737201365187701E-3</v>
      </c>
      <c r="R51" s="141">
        <f>IFERROR(IF(OR(NOT(ISNUMBER('Price History'!R52)),NOT(ISNUMBER('Price History'!R51)),'Price History'!R51=0),"",'Price History'!R52/'Price History'!R51-1),"")</f>
        <v>8.3812260536397787E-3</v>
      </c>
      <c r="S51" s="141">
        <f>IFERROR(IF(OR(NOT(ISNUMBER('Price History'!S52)),NOT(ISNUMBER('Price History'!S51)),'Price History'!S51=0),"",'Price History'!S52/'Price History'!S51-1),"")</f>
        <v>1.3804210284136476E-2</v>
      </c>
      <c r="T51" s="141">
        <f>IFERROR(IF(OR(NOT(ISNUMBER('Price History'!T52)),NOT(ISNUMBER('Price History'!T51)),'Price History'!T51=0),"",'Price History'!T52/'Price History'!T51-1),"")</f>
        <v>3.2776349614395794E-2</v>
      </c>
      <c r="U51" s="141">
        <f>IFERROR(IF(OR(NOT(ISNUMBER('Price History'!U52)),NOT(ISNUMBER('Price History'!U51)),'Price History'!U51=0),"",'Price History'!U52/'Price History'!U51-1),"")</f>
        <v>1.8650793650793807E-2</v>
      </c>
      <c r="V51" s="142">
        <f>IFERROR(IF(OR(NOT(ISNUMBER('Price History'!V52)),NOT(ISNUMBER('Price History'!V51)),'Price History'!V51=0),"",'Price History'!V52/'Price History'!V51-1),"")</f>
        <v>2.2778178505000746E-4</v>
      </c>
      <c r="W51" s="143">
        <f>IFERROR('Price History'!B3+(INDEX('Price History'!B:B,MATCH(9.99E+307,'Returns (Calc)'!$A:$A)+1)-'Price History'!B3)*(ROW()-3)/(MATCH(9.99E+307,'Returns (Calc)'!$A:$A)-3),"")</f>
        <v>440.42417721518984</v>
      </c>
      <c r="X51" s="143">
        <f>IFERROR('Price History'!C3+(INDEX('Price History'!C:C,MATCH(9.99E+307,'Returns (Calc)'!$A:$A)+1)-'Price History'!C3)*(ROW()-3)/(MATCH(9.99E+307,'Returns (Calc)'!$A:$A)-3),"")</f>
        <v>95.143037974683551</v>
      </c>
      <c r="Y51" s="143">
        <f>IFERROR('Price History'!D3+(INDEX('Price History'!D:D,MATCH(9.99E+307,'Returns (Calc)'!$A:$A)+1)-'Price History'!D3)*(ROW()-3)/(MATCH(9.99E+307,'Returns (Calc)'!$A:$A)-3),"")</f>
        <v>972.48088607594934</v>
      </c>
      <c r="Z51" s="143">
        <f>IFERROR('Price History'!E3+(INDEX('Price History'!E:E,MATCH(9.99E+307,'Returns (Calc)'!$A:$A)+1)-'Price History'!E3)*(ROW()-3)/(MATCH(9.99E+307,'Returns (Calc)'!$A:$A)-3),"")</f>
        <v>164.97924050632912</v>
      </c>
      <c r="AA51" s="143">
        <f>IFERROR('Price History'!F3+(INDEX('Price History'!F:F,MATCH(9.99E+307,'Returns (Calc)'!$A:$A)+1)-'Price History'!F3)*(ROW()-3)/(MATCH(9.99E+307,'Returns (Calc)'!$A:$A)-3),"")</f>
        <v>110.83240506329113</v>
      </c>
      <c r="AB51" s="143">
        <f>IFERROR('Price History'!G3+(INDEX('Price History'!G:G,MATCH(9.99E+307,'Returns (Calc)'!$A:$A)+1)-'Price History'!G3)*(ROW()-3)/(MATCH(9.99E+307,'Returns (Calc)'!$A:$A)-3),"")</f>
        <v>93.72924050632912</v>
      </c>
      <c r="AC51" s="143">
        <f>IFERROR('Price History'!H3+(INDEX('Price History'!H:H,MATCH(9.99E+307,'Returns (Calc)'!$A:$A)+1)-'Price History'!H3)*(ROW()-3)/(MATCH(9.99E+307,'Returns (Calc)'!$A:$A)-3),"")</f>
        <v>374.66341772151901</v>
      </c>
      <c r="AD51" s="143">
        <f>IFERROR('Price History'!I3+(INDEX('Price History'!I:I,MATCH(9.99E+307,'Returns (Calc)'!$A:$A)+1)-'Price History'!I3)*(ROW()-3)/(MATCH(9.99E+307,'Returns (Calc)'!$A:$A)-3),"")</f>
        <v>101.54620253164558</v>
      </c>
      <c r="AE51" s="143">
        <f>IFERROR('Price History'!J3+(INDEX('Price History'!J:J,MATCH(9.99E+307,'Returns (Calc)'!$A:$A)+1)-'Price History'!J3)*(ROW()-3)/(MATCH(9.99E+307,'Returns (Calc)'!$A:$A)-3),"")</f>
        <v>117.02582278481013</v>
      </c>
      <c r="AF51" s="143">
        <f>IFERROR('Price History'!K3+(INDEX('Price History'!K:K,MATCH(9.99E+307,'Returns (Calc)'!$A:$A)+1)-'Price History'!K3)*(ROW()-3)/(MATCH(9.99E+307,'Returns (Calc)'!$A:$A)-3),"")</f>
        <v>68.014556962025324</v>
      </c>
      <c r="AG51" s="143">
        <f>IFERROR('Price History'!L3+(INDEX('Price History'!L:L,MATCH(9.99E+307,'Returns (Calc)'!$A:$A)+1)-'Price History'!L3)*(ROW()-3)/(MATCH(9.99E+307,'Returns (Calc)'!$A:$A)-3),"")</f>
        <v>203.32873417721518</v>
      </c>
      <c r="AH51" s="143">
        <f>IFERROR('Price History'!M3+(INDEX('Price History'!M:M,MATCH(9.99E+307,'Returns (Calc)'!$A:$A)+1)-'Price History'!M3)*(ROW()-3)/(MATCH(9.99E+307,'Returns (Calc)'!$A:$A)-3),"")</f>
        <v>103.08126582278481</v>
      </c>
      <c r="AI51" s="143">
        <f>IFERROR('Price History'!N3+(INDEX('Price History'!N:N,MATCH(9.99E+307,'Returns (Calc)'!$A:$A)+1)-'Price History'!N3)*(ROW()-3)/(MATCH(9.99E+307,'Returns (Calc)'!$A:$A)-3),"")</f>
        <v>396.24075949367091</v>
      </c>
      <c r="AJ51" s="143">
        <f>IFERROR('Price History'!O3+(INDEX('Price History'!O:O,MATCH(9.99E+307,'Returns (Calc)'!$A:$A)+1)-'Price History'!O3)*(ROW()-3)/(MATCH(9.99E+307,'Returns (Calc)'!$A:$A)-3),"")</f>
        <v>88.895822784810122</v>
      </c>
      <c r="AK51" s="143">
        <f>IFERROR('Price History'!Q3+(INDEX('Price History'!Q:Q,MATCH(9.99E+307,'Returns (Calc)'!$A:$A)+1)-'Price History'!Q3)*(ROW()-3)/(MATCH(9.99E+307,'Returns (Calc)'!$A:$A)-3),"")</f>
        <v>21.089620253164558</v>
      </c>
      <c r="AL51" s="143">
        <f>IFERROR('Price History'!R3+(INDEX('Price History'!R:R,MATCH(9.99E+307,'Returns (Calc)'!$A:$A)+1)-'Price History'!R3)*(ROW()-3)/(MATCH(9.99E+307,'Returns (Calc)'!$A:$A)-3),"")</f>
        <v>42.548860759493671</v>
      </c>
      <c r="AM51" s="143">
        <f>IFERROR('Price History'!S3+(INDEX('Price History'!S:S,MATCH(9.99E+307,'Returns (Calc)'!$A:$A)+1)-'Price History'!S3)*(ROW()-3)/(MATCH(9.99E+307,'Returns (Calc)'!$A:$A)-3),"")</f>
        <v>86.673037974683538</v>
      </c>
      <c r="AN51" s="143">
        <f>IFERROR('Price History'!T3+(INDEX('Price History'!T:T,MATCH(9.99E+307,'Returns (Calc)'!$A:$A)+1)-'Price History'!T3)*(ROW()-3)/(MATCH(9.99E+307,'Returns (Calc)'!$A:$A)-3),"")</f>
        <v>33.314936708860756</v>
      </c>
      <c r="AO51" s="144">
        <f>IFERROR('Price History'!V3+(INDEX('Price History'!V:V,MATCH(9.99E+307,'Returns (Calc)'!$A:$A)+1)-'Price History'!V3)*(ROW()-3)/(MATCH(9.99E+307,'Returns (Calc)'!$A:$A)-3),"")</f>
        <v>273.61379746835445</v>
      </c>
      <c r="AP51" s="142">
        <f>IFERROR(IF(OR(NOT(ISNUMBER('Price History'!W52)),NOT(ISNUMBER('Price History'!W51)),'Price History'!W51=0),"",'Price History'!W52/'Price History'!W51-1),"")</f>
        <v>1.6525387447555273E-2</v>
      </c>
      <c r="AQ51" s="142" t="str">
        <f>IFERROR(IF(OR(NOT(ISNUMBER('Price History'!X52)),NOT(ISNUMBER('Price History'!X51)),'Price History'!X51=0),"",'Price History'!X52/'Price History'!X51-1),"")</f>
        <v/>
      </c>
      <c r="AR51" s="142">
        <f>IFERROR(IF(OR(NOT(ISNUMBER('Price History'!Y52)),NOT(ISNUMBER('Price History'!Y51)),'Price History'!Y51=0),"",'Price History'!Y52/'Price History'!Y51-1),"")</f>
        <v>8.6938522045123534E-3</v>
      </c>
      <c r="AS51" s="142">
        <f>IFERROR(IF(OR(NOT(ISNUMBER('Price History'!Z52)),NOT(ISNUMBER('Price History'!Z51)),'Price History'!Z51=0),"",'Price History'!Z52/'Price History'!Z51-1),"")</f>
        <v>1.0628134702651115E-2</v>
      </c>
      <c r="AT51" s="142">
        <f>IFERROR(IF(OR(NOT(ISNUMBER('Price History'!AA52)),NOT(ISNUMBER('Price History'!AA51)),'Price History'!AA51=0),"",'Price History'!AA52/'Price History'!AA51-1),"")</f>
        <v>1.8691588785046731E-2</v>
      </c>
    </row>
    <row r="52" spans="1:46" ht="15" customHeight="1" x14ac:dyDescent="0.35">
      <c r="A52" s="140">
        <f>IF('Price History'!A53="","",'Price History'!A53)</f>
        <v>45534</v>
      </c>
      <c r="B52" s="141">
        <f>IFERROR(IF(OR(NOT(ISNUMBER('Price History'!B53)),NOT(ISNUMBER('Price History'!B52)),'Price History'!B52=0),"",'Price History'!B53/'Price History'!B52-1),"")</f>
        <v>2.8855454056958552E-2</v>
      </c>
      <c r="C52" s="141">
        <f>IFERROR(IF(OR(NOT(ISNUMBER('Price History'!C53)),NOT(ISNUMBER('Price History'!C52)),'Price History'!C52=0),"",'Price History'!C53/'Price History'!C52-1),"")</f>
        <v>-4.8434332056770391E-3</v>
      </c>
      <c r="D52" s="141">
        <f>IFERROR(IF(OR(NOT(ISNUMBER('Price History'!D53)),NOT(ISNUMBER('Price History'!D52)),'Price History'!D52=0),"",'Price History'!D53/'Price History'!D52-1),"")</f>
        <v>-3.7319287235233478E-3</v>
      </c>
      <c r="E52" s="141">
        <f>IFERROR(IF(OR(NOT(ISNUMBER('Price History'!E53)),NOT(ISNUMBER('Price History'!E52)),'Price History'!E52=0),"",'Price History'!E53/'Price History'!E52-1),"")</f>
        <v>-2.1289649671758948E-2</v>
      </c>
      <c r="F52" s="141">
        <f>IFERROR(IF(OR(NOT(ISNUMBER('Price History'!F53)),NOT(ISNUMBER('Price History'!F52)),'Price History'!F52=0),"",'Price History'!F53/'Price History'!F52-1),"")</f>
        <v>2.1063485049344521E-2</v>
      </c>
      <c r="G52" s="141">
        <f>IFERROR(IF(OR(NOT(ISNUMBER('Price History'!G53)),NOT(ISNUMBER('Price History'!G52)),'Price History'!G52=0),"",'Price History'!G53/'Price History'!G52-1),"")</f>
        <v>1.8617351371479351E-3</v>
      </c>
      <c r="H52" s="141">
        <f>IFERROR(IF(OR(NOT(ISNUMBER('Price History'!H53)),NOT(ISNUMBER('Price History'!H52)),'Price History'!H52=0),"",'Price History'!H53/'Price History'!H52-1),"")</f>
        <v>-6.4279424713824418E-2</v>
      </c>
      <c r="I52" s="141">
        <f>IFERROR(IF(OR(NOT(ISNUMBER('Price History'!I53)),NOT(ISNUMBER('Price History'!I52)),'Price History'!I52=0),"",'Price History'!I53/'Price History'!I52-1),"")</f>
        <v>-7.7280830943337597E-2</v>
      </c>
      <c r="J52" s="141">
        <f>IFERROR(IF(OR(NOT(ISNUMBER('Price History'!J53)),NOT(ISNUMBER('Price History'!J52)),'Price History'!J52=0),"",'Price History'!J53/'Price History'!J52-1),"")</f>
        <v>-8.1076563022400849E-3</v>
      </c>
      <c r="K52" s="141">
        <f>IFERROR(IF(OR(NOT(ISNUMBER('Price History'!K53)),NOT(ISNUMBER('Price History'!K52)),'Price History'!K52=0),"",'Price History'!K53/'Price History'!K52-1),"")</f>
        <v>-9.4398993077406956E-3</v>
      </c>
      <c r="L52" s="141">
        <f>IFERROR(IF(OR(NOT(ISNUMBER('Price History'!L53)),NOT(ISNUMBER('Price History'!L52)),'Price History'!L52=0),"",'Price History'!L53/'Price History'!L52-1),"")</f>
        <v>2.4618710219765916E-3</v>
      </c>
      <c r="M52" s="141">
        <f>IFERROR(IF(OR(NOT(ISNUMBER('Price History'!M53)),NOT(ISNUMBER('Price History'!M52)),'Price History'!M52=0),"",'Price History'!M53/'Price History'!M52-1),"")</f>
        <v>5.7058973704365634E-2</v>
      </c>
      <c r="N52" s="141">
        <f>IFERROR(IF(OR(NOT(ISNUMBER('Price History'!N53)),NOT(ISNUMBER('Price History'!N52)),'Price History'!N52=0),"",'Price History'!N53/'Price History'!N52-1),"")</f>
        <v>3.0442191006566421E-2</v>
      </c>
      <c r="O52" s="141">
        <f>IFERROR(IF(OR(NOT(ISNUMBER('Price History'!O53)),NOT(ISNUMBER('Price History'!O52)),'Price History'!O52=0),"",'Price History'!O53/'Price History'!O52-1),"")</f>
        <v>5.399568034558655E-4</v>
      </c>
      <c r="P52" s="141">
        <f>IFERROR(IF(OR(NOT(ISNUMBER('Price History'!P53)),NOT(ISNUMBER('Price History'!P52)),'Price History'!P52=0),"",'Price History'!P53/'Price History'!P52-1),"")</f>
        <v>1.3709876036450241E-2</v>
      </c>
      <c r="Q52" s="141">
        <f>IFERROR(IF(OR(NOT(ISNUMBER('Price History'!Q53)),NOT(ISNUMBER('Price History'!Q52)),'Price History'!Q52=0),"",'Price History'!Q53/'Price History'!Q52-1),"")</f>
        <v>3.5520974289580121E-3</v>
      </c>
      <c r="R52" s="141">
        <f>IFERROR(IF(OR(NOT(ISNUMBER('Price History'!R53)),NOT(ISNUMBER('Price History'!R52)),'Price History'!R52=0),"",'Price History'!R53/'Price History'!R52-1),"")</f>
        <v>3.3246259795773891E-3</v>
      </c>
      <c r="S52" s="141">
        <f>IFERROR(IF(OR(NOT(ISNUMBER('Price History'!S53)),NOT(ISNUMBER('Price History'!S52)),'Price History'!S52=0),"",'Price History'!S53/'Price History'!S52-1),"")</f>
        <v>-3.9714058776806338E-3</v>
      </c>
      <c r="T52" s="141">
        <f>IFERROR(IF(OR(NOT(ISNUMBER('Price History'!T53)),NOT(ISNUMBER('Price History'!T52)),'Price History'!T52=0),"",'Price History'!T53/'Price History'!T52-1),"")</f>
        <v>3.1113876789048422E-3</v>
      </c>
      <c r="U52" s="141">
        <f>IFERROR(IF(OR(NOT(ISNUMBER('Price History'!U53)),NOT(ISNUMBER('Price History'!U52)),'Price History'!U52=0),"",'Price History'!U53/'Price History'!U52-1),"")</f>
        <v>1.2465913517724747E-2</v>
      </c>
      <c r="V52" s="142">
        <f>IFERROR(IF(OR(NOT(ISNUMBER('Price History'!V53)),NOT(ISNUMBER('Price History'!V52)),'Price History'!V52=0),"",'Price History'!V53/'Price History'!V52-1),"")</f>
        <v>3.3400387140850807E-2</v>
      </c>
      <c r="W52" s="143">
        <f>IFERROR('Price History'!B3+(INDEX('Price History'!B:B,MATCH(9.99E+307,'Returns (Calc)'!$A:$A)+1)-'Price History'!B3)*(ROW()-3)/(MATCH(9.99E+307,'Returns (Calc)'!$A:$A)-3),"")</f>
        <v>438.58113924050633</v>
      </c>
      <c r="X52" s="143">
        <f>IFERROR('Price History'!C3+(INDEX('Price History'!C:C,MATCH(9.99E+307,'Returns (Calc)'!$A:$A)+1)-'Price History'!C3)*(ROW()-3)/(MATCH(9.99E+307,'Returns (Calc)'!$A:$A)-3),"")</f>
        <v>96.163101265822775</v>
      </c>
      <c r="Y52" s="143">
        <f>IFERROR('Price History'!D3+(INDEX('Price History'!D:D,MATCH(9.99E+307,'Returns (Calc)'!$A:$A)+1)-'Price History'!D3)*(ROW()-3)/(MATCH(9.99E+307,'Returns (Calc)'!$A:$A)-3),"")</f>
        <v>980.61569620253158</v>
      </c>
      <c r="Z52" s="143">
        <f>IFERROR('Price History'!E3+(INDEX('Price History'!E:E,MATCH(9.99E+307,'Returns (Calc)'!$A:$A)+1)-'Price History'!E3)*(ROW()-3)/(MATCH(9.99E+307,'Returns (Calc)'!$A:$A)-3),"")</f>
        <v>166.70797468354431</v>
      </c>
      <c r="AA52" s="143">
        <f>IFERROR('Price History'!F3+(INDEX('Price History'!F:F,MATCH(9.99E+307,'Returns (Calc)'!$A:$A)+1)-'Price History'!F3)*(ROW()-3)/(MATCH(9.99E+307,'Returns (Calc)'!$A:$A)-3),"")</f>
        <v>112.27974683544304</v>
      </c>
      <c r="AB52" s="143">
        <f>IFERROR('Price History'!G3+(INDEX('Price History'!G:G,MATCH(9.99E+307,'Returns (Calc)'!$A:$A)+1)-'Price History'!G3)*(ROW()-3)/(MATCH(9.99E+307,'Returns (Calc)'!$A:$A)-3),"")</f>
        <v>94.757974683544305</v>
      </c>
      <c r="AC52" s="143">
        <f>IFERROR('Price History'!H3+(INDEX('Price History'!H:H,MATCH(9.99E+307,'Returns (Calc)'!$A:$A)+1)-'Price History'!H3)*(ROW()-3)/(MATCH(9.99E+307,'Returns (Calc)'!$A:$A)-3),"")</f>
        <v>381.02911392405065</v>
      </c>
      <c r="AD52" s="143">
        <f>IFERROR('Price History'!I3+(INDEX('Price History'!I:I,MATCH(9.99E+307,'Returns (Calc)'!$A:$A)+1)-'Price History'!I3)*(ROW()-3)/(MATCH(9.99E+307,'Returns (Calc)'!$A:$A)-3),"")</f>
        <v>102.74987341772152</v>
      </c>
      <c r="AE52" s="143">
        <f>IFERROR('Price History'!J3+(INDEX('Price History'!J:J,MATCH(9.99E+307,'Returns (Calc)'!$A:$A)+1)-'Price History'!J3)*(ROW()-3)/(MATCH(9.99E+307,'Returns (Calc)'!$A:$A)-3),"")</f>
        <v>117.13386075949367</v>
      </c>
      <c r="AF52" s="143">
        <f>IFERROR('Price History'!K3+(INDEX('Price History'!K:K,MATCH(9.99E+307,'Returns (Calc)'!$A:$A)+1)-'Price History'!K3)*(ROW()-3)/(MATCH(9.99E+307,'Returns (Calc)'!$A:$A)-3),"")</f>
        <v>69.112151898734183</v>
      </c>
      <c r="AG52" s="143">
        <f>IFERROR('Price History'!L3+(INDEX('Price History'!L:L,MATCH(9.99E+307,'Returns (Calc)'!$A:$A)+1)-'Price History'!L3)*(ROW()-3)/(MATCH(9.99E+307,'Returns (Calc)'!$A:$A)-3),"")</f>
        <v>205.77829113924048</v>
      </c>
      <c r="AH52" s="143">
        <f>IFERROR('Price History'!M3+(INDEX('Price History'!M:M,MATCH(9.99E+307,'Returns (Calc)'!$A:$A)+1)-'Price History'!M3)*(ROW()-3)/(MATCH(9.99E+307,'Returns (Calc)'!$A:$A)-3),"")</f>
        <v>104.4367088607595</v>
      </c>
      <c r="AI52" s="143">
        <f>IFERROR('Price History'!N3+(INDEX('Price History'!N:N,MATCH(9.99E+307,'Returns (Calc)'!$A:$A)+1)-'Price History'!N3)*(ROW()-3)/(MATCH(9.99E+307,'Returns (Calc)'!$A:$A)-3),"")</f>
        <v>397.22702531645569</v>
      </c>
      <c r="AJ52" s="143">
        <f>IFERROR('Price History'!O3+(INDEX('Price History'!O:O,MATCH(9.99E+307,'Returns (Calc)'!$A:$A)+1)-'Price History'!O3)*(ROW()-3)/(MATCH(9.99E+307,'Returns (Calc)'!$A:$A)-3),"")</f>
        <v>89.178860759493674</v>
      </c>
      <c r="AK52" s="143">
        <f>IFERROR('Price History'!Q3+(INDEX('Price History'!Q:Q,MATCH(9.99E+307,'Returns (Calc)'!$A:$A)+1)-'Price History'!Q3)*(ROW()-3)/(MATCH(9.99E+307,'Returns (Calc)'!$A:$A)-3),"")</f>
        <v>21.528987341772151</v>
      </c>
      <c r="AL52" s="143">
        <f>IFERROR('Price History'!R3+(INDEX('Price History'!R:R,MATCH(9.99E+307,'Returns (Calc)'!$A:$A)+1)-'Price History'!R3)*(ROW()-3)/(MATCH(9.99E+307,'Returns (Calc)'!$A:$A)-3),"")</f>
        <v>42.716962025316455</v>
      </c>
      <c r="AM52" s="143">
        <f>IFERROR('Price History'!S3+(INDEX('Price History'!S:S,MATCH(9.99E+307,'Returns (Calc)'!$A:$A)+1)-'Price History'!S3)*(ROW()-3)/(MATCH(9.99E+307,'Returns (Calc)'!$A:$A)-3),"")</f>
        <v>87.278101265822784</v>
      </c>
      <c r="AN52" s="143">
        <f>IFERROR('Price History'!T3+(INDEX('Price History'!T:T,MATCH(9.99E+307,'Returns (Calc)'!$A:$A)+1)-'Price History'!T3)*(ROW()-3)/(MATCH(9.99E+307,'Returns (Calc)'!$A:$A)-3),"")</f>
        <v>33.483164556962024</v>
      </c>
      <c r="AO52" s="144">
        <f>IFERROR('Price History'!V3+(INDEX('Price History'!V:V,MATCH(9.99E+307,'Returns (Calc)'!$A:$A)+1)-'Price History'!V3)*(ROW()-3)/(MATCH(9.99E+307,'Returns (Calc)'!$A:$A)-3),"")</f>
        <v>274.40512658227851</v>
      </c>
      <c r="AP52" s="142">
        <f>IFERROR(IF(OR(NOT(ISNUMBER('Price History'!W53)),NOT(ISNUMBER('Price History'!W52)),'Price History'!W52=0),"",'Price History'!W53/'Price History'!W52-1),"")</f>
        <v>1.2634770889487834E-2</v>
      </c>
      <c r="AQ52" s="142" t="str">
        <f>IFERROR(IF(OR(NOT(ISNUMBER('Price History'!X53)),NOT(ISNUMBER('Price History'!X52)),'Price History'!X52=0),"",'Price History'!X53/'Price History'!X52-1),"")</f>
        <v/>
      </c>
      <c r="AR52" s="142">
        <f>IFERROR(IF(OR(NOT(ISNUMBER('Price History'!Y53)),NOT(ISNUMBER('Price History'!Y52)),'Price History'!Y52=0),"",'Price History'!Y53/'Price History'!Y52-1),"")</f>
        <v>1.2312743689718797E-2</v>
      </c>
      <c r="AS52" s="142">
        <f>IFERROR(IF(OR(NOT(ISNUMBER('Price History'!Z53)),NOT(ISNUMBER('Price History'!Z52)),'Price History'!Z52=0),"",'Price History'!Z53/'Price History'!Z52-1),"")</f>
        <v>1.9851116625310361E-2</v>
      </c>
      <c r="AT52" s="142">
        <f>IFERROR(IF(OR(NOT(ISNUMBER('Price History'!AA53)),NOT(ISNUMBER('Price History'!AA52)),'Price History'!AA52=0),"",'Price History'!AA53/'Price History'!AA52-1),"")</f>
        <v>2.1406727828746197E-2</v>
      </c>
    </row>
    <row r="53" spans="1:46" ht="15" customHeight="1" x14ac:dyDescent="0.35">
      <c r="A53" s="140">
        <f>IF('Price History'!A54="","",'Price History'!A54)</f>
        <v>45541</v>
      </c>
      <c r="B53" s="141">
        <f>IFERROR(IF(OR(NOT(ISNUMBER('Price History'!B54)),NOT(ISNUMBER('Price History'!B53)),'Price History'!B53=0),"",'Price History'!B54/'Price History'!B53-1),"")</f>
        <v>-1.9150084434463199E-2</v>
      </c>
      <c r="C53" s="141">
        <f>IFERROR(IF(OR(NOT(ISNUMBER('Price History'!C54)),NOT(ISNUMBER('Price History'!C53)),'Price History'!C53=0),"",'Price History'!C54/'Price History'!C53-1),"")</f>
        <v>-0.11058290888511602</v>
      </c>
      <c r="D53" s="141">
        <f>IFERROR(IF(OR(NOT(ISNUMBER('Price History'!D54)),NOT(ISNUMBER('Price History'!D53)),'Price History'!D53=0),"",'Price History'!D54/'Price History'!D53-1),"")</f>
        <v>-0.16714849769958495</v>
      </c>
      <c r="E53" s="141">
        <f>IFERROR(IF(OR(NOT(ISNUMBER('Price History'!E54)),NOT(ISNUMBER('Price History'!E53)),'Price History'!E53=0),"",'Price History'!E54/'Price History'!E53-1),"")</f>
        <v>-0.15853811434302922</v>
      </c>
      <c r="F53" s="141">
        <f>IFERROR(IF(OR(NOT(ISNUMBER('Price History'!F54)),NOT(ISNUMBER('Price History'!F53)),'Price History'!F53=0),"",'Price History'!F54/'Price History'!F53-1),"")</f>
        <v>-0.11136757068667036</v>
      </c>
      <c r="G53" s="141">
        <f>IFERROR(IF(OR(NOT(ISNUMBER('Price History'!G54)),NOT(ISNUMBER('Price History'!G53)),'Price History'!G53=0),"",'Price History'!G54/'Price History'!G53-1),"")</f>
        <v>-0.14234390485629334</v>
      </c>
      <c r="H53" s="141">
        <f>IFERROR(IF(OR(NOT(ISNUMBER('Price History'!H54)),NOT(ISNUMBER('Price History'!H53)),'Price History'!H53=0),"",'Price History'!H54/'Price History'!H53-1),"")</f>
        <v>-0.10246758678377244</v>
      </c>
      <c r="I53" s="141">
        <f>IFERROR(IF(OR(NOT(ISNUMBER('Price History'!I54)),NOT(ISNUMBER('Price History'!I53)),'Price History'!I53=0),"",'Price History'!I54/'Price History'!I53-1),"")</f>
        <v>-0.13852486559139787</v>
      </c>
      <c r="J53" s="141">
        <f>IFERROR(IF(OR(NOT(ISNUMBER('Price History'!J54)),NOT(ISNUMBER('Price History'!J53)),'Price History'!J53=0),"",'Price History'!J54/'Price History'!J53-1),"")</f>
        <v>-4.5504339765737312E-3</v>
      </c>
      <c r="K53" s="141">
        <f>IFERROR(IF(OR(NOT(ISNUMBER('Price History'!K54)),NOT(ISNUMBER('Price History'!K53)),'Price History'!K53=0),"",'Price History'!K54/'Price History'!K53-1),"")</f>
        <v>-3.6531130876747198E-2</v>
      </c>
      <c r="L53" s="141">
        <f>IFERROR(IF(OR(NOT(ISNUMBER('Price History'!L54)),NOT(ISNUMBER('Price History'!L53)),'Price History'!L53=0),"",'Price History'!L54/'Price History'!L53-1),"")</f>
        <v>-8.6672656483977262E-2</v>
      </c>
      <c r="M53" s="141">
        <f>IFERROR(IF(OR(NOT(ISNUMBER('Price History'!M54)),NOT(ISNUMBER('Price History'!M53)),'Price History'!M53=0),"",'Price History'!M54/'Price History'!M53-1),"")</f>
        <v>-0.13561164110614665</v>
      </c>
      <c r="N53" s="141">
        <f>IFERROR(IF(OR(NOT(ISNUMBER('Price History'!N54)),NOT(ISNUMBER('Price History'!N53)),'Price History'!N53=0),"",'Price History'!N54/'Price History'!N53-1),"")</f>
        <v>-5.624231180302075E-2</v>
      </c>
      <c r="O53" s="141">
        <f>IFERROR(IF(OR(NOT(ISNUMBER('Price History'!O54)),NOT(ISNUMBER('Price History'!O53)),'Price History'!O53=0),"",'Price History'!O54/'Price History'!O53-1),"")</f>
        <v>-5.6664867781975214E-2</v>
      </c>
      <c r="P53" s="141">
        <f>IFERROR(IF(OR(NOT(ISNUMBER('Price History'!P54)),NOT(ISNUMBER('Price History'!P53)),'Price History'!P53=0),"",'Price History'!P54/'Price History'!P53-1),"")</f>
        <v>-2.1379980563654088E-2</v>
      </c>
      <c r="Q53" s="141">
        <f>IFERROR(IF(OR(NOT(ISNUMBER('Price History'!Q54)),NOT(ISNUMBER('Price History'!Q53)),'Price History'!Q53=0),"",'Price History'!Q54/'Price History'!Q53-1),"")</f>
        <v>-2.696780718017866E-2</v>
      </c>
      <c r="R53" s="141">
        <f>IFERROR(IF(OR(NOT(ISNUMBER('Price History'!R54)),NOT(ISNUMBER('Price History'!R53)),'Price History'!R53=0),"",'Price History'!R54/'Price History'!R53-1),"")</f>
        <v>-4.0236686390532572E-2</v>
      </c>
      <c r="S53" s="141">
        <f>IFERROR(IF(OR(NOT(ISNUMBER('Price History'!S54)),NOT(ISNUMBER('Price History'!S53)),'Price History'!S53=0),"",'Price History'!S54/'Price History'!S53-1),"")</f>
        <v>-5.9808612440191422E-2</v>
      </c>
      <c r="T53" s="141">
        <f>IFERROR(IF(OR(NOT(ISNUMBER('Price History'!T54)),NOT(ISNUMBER('Price History'!T53)),'Price History'!T53=0),"",'Price History'!T54/'Price History'!T53-1),"")</f>
        <v>-4.1253101736972719E-2</v>
      </c>
      <c r="U53" s="141">
        <f>IFERROR(IF(OR(NOT(ISNUMBER('Price History'!U54)),NOT(ISNUMBER('Price History'!U53)),'Price History'!U53=0),"",'Price History'!U54/'Price History'!U53-1),"")</f>
        <v>-3.001154290111574E-2</v>
      </c>
      <c r="V53" s="142">
        <f>IFERROR(IF(OR(NOT(ISNUMBER('Price History'!V54)),NOT(ISNUMBER('Price History'!V53)),'Price History'!V53=0),"",'Price History'!V54/'Price History'!V53-1),"")</f>
        <v>1.0834833070114458E-2</v>
      </c>
      <c r="W53" s="143">
        <f>IFERROR('Price History'!B3+(INDEX('Price History'!B:B,MATCH(9.99E+307,'Returns (Calc)'!$A:$A)+1)-'Price History'!B3)*(ROW()-3)/(MATCH(9.99E+307,'Returns (Calc)'!$A:$A)-3),"")</f>
        <v>436.73810126582276</v>
      </c>
      <c r="X53" s="143">
        <f>IFERROR('Price History'!C3+(INDEX('Price History'!C:C,MATCH(9.99E+307,'Returns (Calc)'!$A:$A)+1)-'Price History'!C3)*(ROW()-3)/(MATCH(9.99E+307,'Returns (Calc)'!$A:$A)-3),"")</f>
        <v>97.183164556962026</v>
      </c>
      <c r="Y53" s="143">
        <f>IFERROR('Price History'!D3+(INDEX('Price History'!D:D,MATCH(9.99E+307,'Returns (Calc)'!$A:$A)+1)-'Price History'!D3)*(ROW()-3)/(MATCH(9.99E+307,'Returns (Calc)'!$A:$A)-3),"")</f>
        <v>988.75050632911393</v>
      </c>
      <c r="Z53" s="143">
        <f>IFERROR('Price History'!E3+(INDEX('Price History'!E:E,MATCH(9.99E+307,'Returns (Calc)'!$A:$A)+1)-'Price History'!E3)*(ROW()-3)/(MATCH(9.99E+307,'Returns (Calc)'!$A:$A)-3),"")</f>
        <v>168.4367088607595</v>
      </c>
      <c r="AA53" s="143">
        <f>IFERROR('Price History'!F3+(INDEX('Price History'!F:F,MATCH(9.99E+307,'Returns (Calc)'!$A:$A)+1)-'Price History'!F3)*(ROW()-3)/(MATCH(9.99E+307,'Returns (Calc)'!$A:$A)-3),"")</f>
        <v>113.72708860759494</v>
      </c>
      <c r="AB53" s="143">
        <f>IFERROR('Price History'!G3+(INDEX('Price History'!G:G,MATCH(9.99E+307,'Returns (Calc)'!$A:$A)+1)-'Price History'!G3)*(ROW()-3)/(MATCH(9.99E+307,'Returns (Calc)'!$A:$A)-3),"")</f>
        <v>95.786708860759489</v>
      </c>
      <c r="AC53" s="143">
        <f>IFERROR('Price History'!H3+(INDEX('Price History'!H:H,MATCH(9.99E+307,'Returns (Calc)'!$A:$A)+1)-'Price History'!H3)*(ROW()-3)/(MATCH(9.99E+307,'Returns (Calc)'!$A:$A)-3),"")</f>
        <v>387.39481012658234</v>
      </c>
      <c r="AD53" s="143">
        <f>IFERROR('Price History'!I3+(INDEX('Price History'!I:I,MATCH(9.99E+307,'Returns (Calc)'!$A:$A)+1)-'Price History'!I3)*(ROW()-3)/(MATCH(9.99E+307,'Returns (Calc)'!$A:$A)-3),"")</f>
        <v>103.95354430379746</v>
      </c>
      <c r="AE53" s="143">
        <f>IFERROR('Price History'!J3+(INDEX('Price History'!J:J,MATCH(9.99E+307,'Returns (Calc)'!$A:$A)+1)-'Price History'!J3)*(ROW()-3)/(MATCH(9.99E+307,'Returns (Calc)'!$A:$A)-3),"")</f>
        <v>117.24189873417721</v>
      </c>
      <c r="AF53" s="143">
        <f>IFERROR('Price History'!K3+(INDEX('Price History'!K:K,MATCH(9.99E+307,'Returns (Calc)'!$A:$A)+1)-'Price History'!K3)*(ROW()-3)/(MATCH(9.99E+307,'Returns (Calc)'!$A:$A)-3),"")</f>
        <v>70.209746835443042</v>
      </c>
      <c r="AG53" s="143">
        <f>IFERROR('Price History'!L3+(INDEX('Price History'!L:L,MATCH(9.99E+307,'Returns (Calc)'!$A:$A)+1)-'Price History'!L3)*(ROW()-3)/(MATCH(9.99E+307,'Returns (Calc)'!$A:$A)-3),"")</f>
        <v>208.22784810126581</v>
      </c>
      <c r="AH53" s="143">
        <f>IFERROR('Price History'!M3+(INDEX('Price History'!M:M,MATCH(9.99E+307,'Returns (Calc)'!$A:$A)+1)-'Price History'!M3)*(ROW()-3)/(MATCH(9.99E+307,'Returns (Calc)'!$A:$A)-3),"")</f>
        <v>105.79215189873418</v>
      </c>
      <c r="AI53" s="143">
        <f>IFERROR('Price History'!N3+(INDEX('Price History'!N:N,MATCH(9.99E+307,'Returns (Calc)'!$A:$A)+1)-'Price History'!N3)*(ROW()-3)/(MATCH(9.99E+307,'Returns (Calc)'!$A:$A)-3),"")</f>
        <v>398.21329113924048</v>
      </c>
      <c r="AJ53" s="143">
        <f>IFERROR('Price History'!O3+(INDEX('Price History'!O:O,MATCH(9.99E+307,'Returns (Calc)'!$A:$A)+1)-'Price History'!O3)*(ROW()-3)/(MATCH(9.99E+307,'Returns (Calc)'!$A:$A)-3),"")</f>
        <v>89.461898734177225</v>
      </c>
      <c r="AK53" s="143">
        <f>IFERROR('Price History'!Q3+(INDEX('Price History'!Q:Q,MATCH(9.99E+307,'Returns (Calc)'!$A:$A)+1)-'Price History'!Q3)*(ROW()-3)/(MATCH(9.99E+307,'Returns (Calc)'!$A:$A)-3),"")</f>
        <v>21.968354430379748</v>
      </c>
      <c r="AL53" s="143">
        <f>IFERROR('Price History'!R3+(INDEX('Price History'!R:R,MATCH(9.99E+307,'Returns (Calc)'!$A:$A)+1)-'Price History'!R3)*(ROW()-3)/(MATCH(9.99E+307,'Returns (Calc)'!$A:$A)-3),"")</f>
        <v>42.88506329113924</v>
      </c>
      <c r="AM53" s="143">
        <f>IFERROR('Price History'!S3+(INDEX('Price History'!S:S,MATCH(9.99E+307,'Returns (Calc)'!$A:$A)+1)-'Price History'!S3)*(ROW()-3)/(MATCH(9.99E+307,'Returns (Calc)'!$A:$A)-3),"")</f>
        <v>87.883164556962029</v>
      </c>
      <c r="AN53" s="143">
        <f>IFERROR('Price History'!T3+(INDEX('Price History'!T:T,MATCH(9.99E+307,'Returns (Calc)'!$A:$A)+1)-'Price History'!T3)*(ROW()-3)/(MATCH(9.99E+307,'Returns (Calc)'!$A:$A)-3),"")</f>
        <v>33.651392405063291</v>
      </c>
      <c r="AO53" s="144">
        <f>IFERROR('Price History'!V3+(INDEX('Price History'!V:V,MATCH(9.99E+307,'Returns (Calc)'!$A:$A)+1)-'Price History'!V3)*(ROW()-3)/(MATCH(9.99E+307,'Returns (Calc)'!$A:$A)-3),"")</f>
        <v>275.19645569620252</v>
      </c>
      <c r="AP53" s="142">
        <f>IFERROR(IF(OR(NOT(ISNUMBER('Price History'!W54)),NOT(ISNUMBER('Price History'!W53)),'Price History'!W53=0),"",'Price History'!W54/'Price History'!W53-1),"")</f>
        <v>-3.360505739477615E-2</v>
      </c>
      <c r="AQ53" s="142" t="str">
        <f>IFERROR(IF(OR(NOT(ISNUMBER('Price History'!X54)),NOT(ISNUMBER('Price History'!X53)),'Price History'!X53=0),"",'Price History'!X54/'Price History'!X53-1),"")</f>
        <v/>
      </c>
      <c r="AR53" s="142">
        <f>IFERROR(IF(OR(NOT(ISNUMBER('Price History'!Y54)),NOT(ISNUMBER('Price History'!Y53)),'Price History'!Y53=0),"",'Price History'!Y54/'Price History'!Y53-1),"")</f>
        <v>-1.5406446381512229E-2</v>
      </c>
      <c r="AS53" s="142">
        <f>IFERROR(IF(OR(NOT(ISNUMBER('Price History'!Z54)),NOT(ISNUMBER('Price History'!Z53)),'Price History'!Z53=0),"",'Price History'!Z54/'Price History'!Z53-1),"")</f>
        <v>-7.6642335766423431E-2</v>
      </c>
      <c r="AT53" s="142">
        <f>IFERROR(IF(OR(NOT(ISNUMBER('Price History'!AA54)),NOT(ISNUMBER('Price History'!AA53)),'Price History'!AA53=0),"",'Price History'!AA54/'Price History'!AA53-1),"")</f>
        <v>-5.075563159395502E-2</v>
      </c>
    </row>
    <row r="54" spans="1:46" ht="15" customHeight="1" x14ac:dyDescent="0.35">
      <c r="A54" s="140">
        <f>IF('Price History'!A55="","",'Price History'!A55)</f>
        <v>45548</v>
      </c>
      <c r="B54" s="141">
        <f>IFERROR(IF(OR(NOT(ISNUMBER('Price History'!B55)),NOT(ISNUMBER('Price History'!B54)),'Price History'!B54=0),"",'Price History'!B55/'Price History'!B54-1),"")</f>
        <v>-4.7106015157700409E-2</v>
      </c>
      <c r="C54" s="141">
        <f>IFERROR(IF(OR(NOT(ISNUMBER('Price History'!C55)),NOT(ISNUMBER('Price History'!C54)),'Price History'!C54=0),"",'Price History'!C55/'Price History'!C54-1),"")</f>
        <v>0.1445660473402901</v>
      </c>
      <c r="D54" s="141">
        <f>IFERROR(IF(OR(NOT(ISNUMBER('Price History'!D55)),NOT(ISNUMBER('Price History'!D54)),'Price History'!D54=0),"",'Price History'!D55/'Price History'!D54-1),"")</f>
        <v>8.4443123801291264E-2</v>
      </c>
      <c r="E54" s="141">
        <f>IFERROR(IF(OR(NOT(ISNUMBER('Price History'!E55)),NOT(ISNUMBER('Price History'!E54)),'Price History'!E54=0),"",'Price History'!E55/'Price History'!E54-1),"")</f>
        <v>0.22401847575057765</v>
      </c>
      <c r="F54" s="141">
        <f>IFERROR(IF(OR(NOT(ISNUMBER('Price History'!F55)),NOT(ISNUMBER('Price History'!F54)),'Price History'!F54=0),"",'Price History'!F55/'Price History'!F54-1),"")</f>
        <v>5.1623376623376682E-2</v>
      </c>
      <c r="G54" s="141">
        <f>IFERROR(IF(OR(NOT(ISNUMBER('Price History'!G55)),NOT(ISNUMBER('Price History'!G54)),'Price History'!G54=0),"",'Price History'!G55/'Price History'!G54-1),"")</f>
        <v>6.9334103712263451E-2</v>
      </c>
      <c r="H54" s="141">
        <f>IFERROR(IF(OR(NOT(ISNUMBER('Price History'!H55)),NOT(ISNUMBER('Price History'!H54)),'Price History'!H54=0),"",'Price History'!H55/'Price History'!H54-1),"")</f>
        <v>5.6034482758620774E-2</v>
      </c>
      <c r="I54" s="141">
        <f>IFERROR(IF(OR(NOT(ISNUMBER('Price History'!I55)),NOT(ISNUMBER('Price History'!I54)),'Price History'!I54=0),"",'Price History'!I55/'Price History'!I54-1),"")</f>
        <v>0.15826426133593374</v>
      </c>
      <c r="J54" s="141">
        <f>IFERROR(IF(OR(NOT(ISNUMBER('Price History'!J55)),NOT(ISNUMBER('Price History'!J54)),'Price History'!J54=0),"",'Price History'!J55/'Price History'!J54-1),"")</f>
        <v>2.1586387877761792E-2</v>
      </c>
      <c r="K54" s="141">
        <f>IFERROR(IF(OR(NOT(ISNUMBER('Price History'!K55)),NOT(ISNUMBER('Price History'!K54)),'Price History'!K54=0),"",'Price History'!K55/'Price History'!K54-1),"")</f>
        <v>0.17342565117045838</v>
      </c>
      <c r="L54" s="141">
        <f>IFERROR(IF(OR(NOT(ISNUMBER('Price History'!L55)),NOT(ISNUMBER('Price History'!L54)),'Price History'!L54=0),"",'Price History'!L55/'Price History'!L54-1),"")</f>
        <v>0.1040136411332635</v>
      </c>
      <c r="M54" s="141">
        <f>IFERROR(IF(OR(NOT(ISNUMBER('Price History'!M55)),NOT(ISNUMBER('Price History'!M54)),'Price History'!M54=0),"",'Price History'!M55/'Price History'!M54-1),"")</f>
        <v>0.19488683989941324</v>
      </c>
      <c r="N54" s="141">
        <f>IFERROR(IF(OR(NOT(ISNUMBER('Price History'!N55)),NOT(ISNUMBER('Price History'!N54)),'Price History'!N54=0),"",'Price History'!N55/'Price History'!N54-1),"")</f>
        <v>3.7115384615384661E-2</v>
      </c>
      <c r="O54" s="141">
        <f>IFERROR(IF(OR(NOT(ISNUMBER('Price History'!O55)),NOT(ISNUMBER('Price History'!O54)),'Price History'!O54=0),"",'Price History'!O55/'Price History'!O54-1),"")</f>
        <v>2.8832951945080065E-2</v>
      </c>
      <c r="P54" s="141">
        <f>IFERROR(IF(OR(NOT(ISNUMBER('Price History'!P55)),NOT(ISNUMBER('Price History'!P54)),'Price History'!P54=0),"",'Price History'!P55/'Price History'!P54-1),"")</f>
        <v>1.8536908308507183E-2</v>
      </c>
      <c r="Q54" s="141">
        <f>IFERROR(IF(OR(NOT(ISNUMBER('Price History'!Q55)),NOT(ISNUMBER('Price History'!Q54)),'Price History'!Q54=0),"",'Price History'!Q55/'Price History'!Q54-1),"")</f>
        <v>2.5983024424042878E-2</v>
      </c>
      <c r="R54" s="141">
        <f>IFERROR(IF(OR(NOT(ISNUMBER('Price History'!R55)),NOT(ISNUMBER('Price History'!R54)),'Price History'!R54=0),"",'Price History'!R55/'Price History'!R54-1),"")</f>
        <v>4.636251541307046E-2</v>
      </c>
      <c r="S54" s="141">
        <f>IFERROR(IF(OR(NOT(ISNUMBER('Price History'!S55)),NOT(ISNUMBER('Price History'!S54)),'Price History'!S54=0),"",'Price History'!S55/'Price History'!S54-1),"")</f>
        <v>6.1553374530473715E-2</v>
      </c>
      <c r="T54" s="141">
        <f>IFERROR(IF(OR(NOT(ISNUMBER('Price History'!T55)),NOT(ISNUMBER('Price History'!T54)),'Price History'!T54=0),"",'Price History'!T55/'Price History'!T54-1),"")</f>
        <v>2.5558071821417006E-2</v>
      </c>
      <c r="U54" s="141">
        <f>IFERROR(IF(OR(NOT(ISNUMBER('Price History'!U55)),NOT(ISNUMBER('Price History'!U54)),'Price History'!U54=0),"",'Price History'!U55/'Price History'!U54-1),"")</f>
        <v>1.6660055533518348E-2</v>
      </c>
      <c r="V54" s="142">
        <f>IFERROR(IF(OR(NOT(ISNUMBER('Price History'!V55)),NOT(ISNUMBER('Price History'!V54)),'Price History'!V54=0),"",'Price History'!V55/'Price History'!V54-1),"")</f>
        <v>2.8558971005014033E-2</v>
      </c>
      <c r="W54" s="143">
        <f>IFERROR('Price History'!B3+(INDEX('Price History'!B:B,MATCH(9.99E+307,'Returns (Calc)'!$A:$A)+1)-'Price History'!B3)*(ROW()-3)/(MATCH(9.99E+307,'Returns (Calc)'!$A:$A)-3),"")</f>
        <v>434.89506329113925</v>
      </c>
      <c r="X54" s="143">
        <f>IFERROR('Price History'!C3+(INDEX('Price History'!C:C,MATCH(9.99E+307,'Returns (Calc)'!$A:$A)+1)-'Price History'!C3)*(ROW()-3)/(MATCH(9.99E+307,'Returns (Calc)'!$A:$A)-3),"")</f>
        <v>98.203227848101264</v>
      </c>
      <c r="Y54" s="143">
        <f>IFERROR('Price History'!D3+(INDEX('Price History'!D:D,MATCH(9.99E+307,'Returns (Calc)'!$A:$A)+1)-'Price History'!D3)*(ROW()-3)/(MATCH(9.99E+307,'Returns (Calc)'!$A:$A)-3),"")</f>
        <v>996.88531645569628</v>
      </c>
      <c r="Z54" s="143">
        <f>IFERROR('Price History'!E3+(INDEX('Price History'!E:E,MATCH(9.99E+307,'Returns (Calc)'!$A:$A)+1)-'Price History'!E3)*(ROW()-3)/(MATCH(9.99E+307,'Returns (Calc)'!$A:$A)-3),"")</f>
        <v>170.16544303797468</v>
      </c>
      <c r="AA54" s="143">
        <f>IFERROR('Price History'!F3+(INDEX('Price History'!F:F,MATCH(9.99E+307,'Returns (Calc)'!$A:$A)+1)-'Price History'!F3)*(ROW()-3)/(MATCH(9.99E+307,'Returns (Calc)'!$A:$A)-3),"")</f>
        <v>115.17443037974684</v>
      </c>
      <c r="AB54" s="143">
        <f>IFERROR('Price History'!G3+(INDEX('Price History'!G:G,MATCH(9.99E+307,'Returns (Calc)'!$A:$A)+1)-'Price History'!G3)*(ROW()-3)/(MATCH(9.99E+307,'Returns (Calc)'!$A:$A)-3),"")</f>
        <v>96.815443037974688</v>
      </c>
      <c r="AC54" s="143">
        <f>IFERROR('Price History'!H3+(INDEX('Price History'!H:H,MATCH(9.99E+307,'Returns (Calc)'!$A:$A)+1)-'Price History'!H3)*(ROW()-3)/(MATCH(9.99E+307,'Returns (Calc)'!$A:$A)-3),"")</f>
        <v>393.76050632911398</v>
      </c>
      <c r="AD54" s="143">
        <f>IFERROR('Price History'!I3+(INDEX('Price History'!I:I,MATCH(9.99E+307,'Returns (Calc)'!$A:$A)+1)-'Price History'!I3)*(ROW()-3)/(MATCH(9.99E+307,'Returns (Calc)'!$A:$A)-3),"")</f>
        <v>105.15721518987341</v>
      </c>
      <c r="AE54" s="143">
        <f>IFERROR('Price History'!J3+(INDEX('Price History'!J:J,MATCH(9.99E+307,'Returns (Calc)'!$A:$A)+1)-'Price History'!J3)*(ROW()-3)/(MATCH(9.99E+307,'Returns (Calc)'!$A:$A)-3),"")</f>
        <v>117.34993670886077</v>
      </c>
      <c r="AF54" s="143">
        <f>IFERROR('Price History'!K3+(INDEX('Price History'!K:K,MATCH(9.99E+307,'Returns (Calc)'!$A:$A)+1)-'Price History'!K3)*(ROW()-3)/(MATCH(9.99E+307,'Returns (Calc)'!$A:$A)-3),"")</f>
        <v>71.307341772151901</v>
      </c>
      <c r="AG54" s="143">
        <f>IFERROR('Price History'!L3+(INDEX('Price History'!L:L,MATCH(9.99E+307,'Returns (Calc)'!$A:$A)+1)-'Price History'!L3)*(ROW()-3)/(MATCH(9.99E+307,'Returns (Calc)'!$A:$A)-3),"")</f>
        <v>210.67740506329113</v>
      </c>
      <c r="AH54" s="143">
        <f>IFERROR('Price History'!M3+(INDEX('Price History'!M:M,MATCH(9.99E+307,'Returns (Calc)'!$A:$A)+1)-'Price History'!M3)*(ROW()-3)/(MATCH(9.99E+307,'Returns (Calc)'!$A:$A)-3),"")</f>
        <v>107.14759493670886</v>
      </c>
      <c r="AI54" s="143">
        <f>IFERROR('Price History'!N3+(INDEX('Price History'!N:N,MATCH(9.99E+307,'Returns (Calc)'!$A:$A)+1)-'Price History'!N3)*(ROW()-3)/(MATCH(9.99E+307,'Returns (Calc)'!$A:$A)-3),"")</f>
        <v>399.19955696202533</v>
      </c>
      <c r="AJ54" s="143">
        <f>IFERROR('Price History'!O3+(INDEX('Price History'!O:O,MATCH(9.99E+307,'Returns (Calc)'!$A:$A)+1)-'Price History'!O3)*(ROW()-3)/(MATCH(9.99E+307,'Returns (Calc)'!$A:$A)-3),"")</f>
        <v>89.744936708860763</v>
      </c>
      <c r="AK54" s="143">
        <f>IFERROR('Price History'!Q3+(INDEX('Price History'!Q:Q,MATCH(9.99E+307,'Returns (Calc)'!$A:$A)+1)-'Price History'!Q3)*(ROW()-3)/(MATCH(9.99E+307,'Returns (Calc)'!$A:$A)-3),"")</f>
        <v>22.407721518987341</v>
      </c>
      <c r="AL54" s="143">
        <f>IFERROR('Price History'!R3+(INDEX('Price History'!R:R,MATCH(9.99E+307,'Returns (Calc)'!$A:$A)+1)-'Price History'!R3)*(ROW()-3)/(MATCH(9.99E+307,'Returns (Calc)'!$A:$A)-3),"")</f>
        <v>43.053164556962024</v>
      </c>
      <c r="AM54" s="143">
        <f>IFERROR('Price History'!S3+(INDEX('Price History'!S:S,MATCH(9.99E+307,'Returns (Calc)'!$A:$A)+1)-'Price History'!S3)*(ROW()-3)/(MATCH(9.99E+307,'Returns (Calc)'!$A:$A)-3),"")</f>
        <v>88.488227848101261</v>
      </c>
      <c r="AN54" s="143">
        <f>IFERROR('Price History'!T3+(INDEX('Price History'!T:T,MATCH(9.99E+307,'Returns (Calc)'!$A:$A)+1)-'Price History'!T3)*(ROW()-3)/(MATCH(9.99E+307,'Returns (Calc)'!$A:$A)-3),"")</f>
        <v>33.819620253164558</v>
      </c>
      <c r="AO54" s="144">
        <f>IFERROR('Price History'!V3+(INDEX('Price History'!V:V,MATCH(9.99E+307,'Returns (Calc)'!$A:$A)+1)-'Price History'!V3)*(ROW()-3)/(MATCH(9.99E+307,'Returns (Calc)'!$A:$A)-3),"")</f>
        <v>275.98778481012658</v>
      </c>
      <c r="AP54" s="142">
        <f>IFERROR(IF(OR(NOT(ISNUMBER('Price History'!W55)),NOT(ISNUMBER('Price History'!W54)),'Price History'!W54=0),"",'Price History'!W55/'Price History'!W54-1),"")</f>
        <v>2.3928386985711647E-2</v>
      </c>
      <c r="AQ54" s="142" t="str">
        <f>IFERROR(IF(OR(NOT(ISNUMBER('Price History'!X55)),NOT(ISNUMBER('Price History'!X54)),'Price History'!X54=0),"",'Price History'!X55/'Price History'!X54-1),"")</f>
        <v/>
      </c>
      <c r="AR54" s="142">
        <f>IFERROR(IF(OR(NOT(ISNUMBER('Price History'!Y55)),NOT(ISNUMBER('Price History'!Y54)),'Price History'!Y54=0),"",'Price History'!Y55/'Price History'!Y54-1),"")</f>
        <v>2.2647724933086311E-2</v>
      </c>
      <c r="AS54" s="142">
        <f>IFERROR(IF(OR(NOT(ISNUMBER('Price History'!Z55)),NOT(ISNUMBER('Price History'!Z54)),'Price History'!Z54=0),"",'Price History'!Z55/'Price History'!Z54-1),"")</f>
        <v>0.10571554049814935</v>
      </c>
      <c r="AT54" s="142">
        <f>IFERROR(IF(OR(NOT(ISNUMBER('Price History'!AA55)),NOT(ISNUMBER('Price History'!AA54)),'Price History'!AA54=0),"",'Price History'!AA55/'Price History'!AA54-1),"")</f>
        <v>4.7011114448783253E-2</v>
      </c>
    </row>
    <row r="55" spans="1:46" ht="15" customHeight="1" x14ac:dyDescent="0.35">
      <c r="A55" s="140">
        <f>IF('Price History'!A56="","",'Price History'!A56)</f>
        <v>45555</v>
      </c>
      <c r="B55" s="141">
        <f>IFERROR(IF(OR(NOT(ISNUMBER('Price History'!B56)),NOT(ISNUMBER('Price History'!B55)),'Price History'!B55=0),"",'Price History'!B56/'Price History'!B55-1),"")</f>
        <v>-2.7138785925829412E-2</v>
      </c>
      <c r="C55" s="141">
        <f>IFERROR(IF(OR(NOT(ISNUMBER('Price History'!C56)),NOT(ISNUMBER('Price History'!C55)),'Price History'!C55=0),"",'Price History'!C56/'Price History'!C55-1),"")</f>
        <v>6.8601289748721372E-2</v>
      </c>
      <c r="D55" s="141">
        <f>IFERROR(IF(OR(NOT(ISNUMBER('Price History'!D56)),NOT(ISNUMBER('Price History'!D55)),'Price History'!D55=0),"",'Price History'!D56/'Price History'!D55-1),"")</f>
        <v>-2.5818906464067815E-2</v>
      </c>
      <c r="E55" s="141">
        <f>IFERROR(IF(OR(NOT(ISNUMBER('Price History'!E56)),NOT(ISNUMBER('Price History'!E55)),'Price History'!E55=0),"",'Price History'!E56/'Price History'!E55-1),"")</f>
        <v>2.3676202069385255E-2</v>
      </c>
      <c r="F55" s="141">
        <f>IFERROR(IF(OR(NOT(ISNUMBER('Price History'!F56)),NOT(ISNUMBER('Price History'!F55)),'Price History'!F55=0),"",'Price History'!F56/'Price History'!F55-1),"")</f>
        <v>0.15714726767520837</v>
      </c>
      <c r="G55" s="141">
        <f>IFERROR(IF(OR(NOT(ISNUMBER('Price History'!G56)),NOT(ISNUMBER('Price History'!G55)),'Price History'!G55=0),"",'Price History'!G56/'Price History'!G55-1),"")</f>
        <v>9.8608672159936628E-3</v>
      </c>
      <c r="H55" s="141">
        <f>IFERROR(IF(OR(NOT(ISNUMBER('Price History'!H56)),NOT(ISNUMBER('Price History'!H55)),'Price History'!H55=0),"",'Price History'!H56/'Price History'!H55-1),"")</f>
        <v>-3.5300606729179451E-3</v>
      </c>
      <c r="I55" s="141">
        <f>IFERROR(IF(OR(NOT(ISNUMBER('Price History'!I56)),NOT(ISNUMBER('Price History'!I55)),'Price History'!I55=0),"",'Price History'!I56/'Price History'!I55-1),"")</f>
        <v>-2.6014480552281505E-2</v>
      </c>
      <c r="J55" s="141">
        <f>IFERROR(IF(OR(NOT(ISNUMBER('Price History'!J56)),NOT(ISNUMBER('Price History'!J55)),'Price History'!J55=0),"",'Price History'!J56/'Price History'!J55-1),"")</f>
        <v>-2.7510772290354701E-2</v>
      </c>
      <c r="K55" s="141">
        <f>IFERROR(IF(OR(NOT(ISNUMBER('Price History'!K56)),NOT(ISNUMBER('Price History'!K55)),'Price History'!K55=0),"",'Price History'!K56/'Price History'!K55-1),"")</f>
        <v>4.5237426243326828E-2</v>
      </c>
      <c r="L55" s="141">
        <f>IFERROR(IF(OR(NOT(ISNUMBER('Price History'!L56)),NOT(ISNUMBER('Price History'!L55)),'Price History'!L55=0),"",'Price History'!L56/'Price History'!L55-1),"")</f>
        <v>9.2075561363904601E-3</v>
      </c>
      <c r="M55" s="141">
        <f>IFERROR(IF(OR(NOT(ISNUMBER('Price History'!M56)),NOT(ISNUMBER('Price History'!M55)),'Price History'!M55=0),"",'Price History'!M56/'Price History'!M55-1),"")</f>
        <v>0.10265403951829777</v>
      </c>
      <c r="N55" s="141">
        <f>IFERROR(IF(OR(NOT(ISNUMBER('Price History'!N56)),NOT(ISNUMBER('Price History'!N55)),'Price History'!N55=0),"",'Price History'!N56/'Price History'!N55-1),"")</f>
        <v>-4.2132805900653048E-2</v>
      </c>
      <c r="O55" s="141">
        <f>IFERROR(IF(OR(NOT(ISNUMBER('Price History'!O56)),NOT(ISNUMBER('Price History'!O55)),'Price History'!O55=0),"",'Price History'!O56/'Price History'!O55-1),"")</f>
        <v>3.0249110320284656E-2</v>
      </c>
      <c r="P55" s="141">
        <f>IFERROR(IF(OR(NOT(ISNUMBER('Price History'!P56)),NOT(ISNUMBER('Price History'!P55)),'Price History'!P55=0),"",'Price History'!P56/'Price History'!P55-1),"")</f>
        <v>1.2105947351316093E-2</v>
      </c>
      <c r="Q55" s="141">
        <f>IFERROR(IF(OR(NOT(ISNUMBER('Price History'!Q56)),NOT(ISNUMBER('Price History'!Q55)),'Price History'!Q55=0),"",'Price History'!Q56/'Price History'!Q55-1),"")</f>
        <v>8.2728347121392432E-3</v>
      </c>
      <c r="R55" s="141">
        <f>IFERROR(IF(OR(NOT(ISNUMBER('Price History'!R56)),NOT(ISNUMBER('Price History'!R55)),'Price History'!R55=0),"",'Price History'!R56/'Price History'!R55-1),"")</f>
        <v>1.2491161913740223E-2</v>
      </c>
      <c r="S55" s="141">
        <f>IFERROR(IF(OR(NOT(ISNUMBER('Price History'!S56)),NOT(ISNUMBER('Price History'!S55)),'Price History'!S55=0),"",'Price History'!S56/'Price History'!S55-1),"")</f>
        <v>1.6208195411482773E-2</v>
      </c>
      <c r="T55" s="141">
        <f>IFERROR(IF(OR(NOT(ISNUMBER('Price History'!T56)),NOT(ISNUMBER('Price History'!T55)),'Price History'!T55=0),"",'Price History'!T56/'Price History'!T55-1),"")</f>
        <v>1.7350157728706739E-2</v>
      </c>
      <c r="U55" s="141">
        <f>IFERROR(IF(OR(NOT(ISNUMBER('Price History'!U56)),NOT(ISNUMBER('Price History'!U55)),'Price History'!U55=0),"",'Price History'!U56/'Price History'!U55-1),"")</f>
        <v>1.3265704252828803E-2</v>
      </c>
      <c r="V55" s="142">
        <f>IFERROR(IF(OR(NOT(ISNUMBER('Price History'!V56)),NOT(ISNUMBER('Price History'!V55)),'Price History'!V55=0),"",'Price History'!V56/'Price History'!V55-1),"")</f>
        <v>-8.9727285572981375E-3</v>
      </c>
      <c r="W55" s="143">
        <f>IFERROR('Price History'!B3+(INDEX('Price History'!B:B,MATCH(9.99E+307,'Returns (Calc)'!$A:$A)+1)-'Price History'!B3)*(ROW()-3)/(MATCH(9.99E+307,'Returns (Calc)'!$A:$A)-3),"")</f>
        <v>433.05202531645568</v>
      </c>
      <c r="X55" s="143">
        <f>IFERROR('Price History'!C3+(INDEX('Price History'!C:C,MATCH(9.99E+307,'Returns (Calc)'!$A:$A)+1)-'Price History'!C3)*(ROW()-3)/(MATCH(9.99E+307,'Returns (Calc)'!$A:$A)-3),"")</f>
        <v>99.223291139240501</v>
      </c>
      <c r="Y55" s="143">
        <f>IFERROR('Price History'!D3+(INDEX('Price History'!D:D,MATCH(9.99E+307,'Returns (Calc)'!$A:$A)+1)-'Price History'!D3)*(ROW()-3)/(MATCH(9.99E+307,'Returns (Calc)'!$A:$A)-3),"")</f>
        <v>1005.0201265822784</v>
      </c>
      <c r="Z55" s="143">
        <f>IFERROR('Price History'!E3+(INDEX('Price History'!E:E,MATCH(9.99E+307,'Returns (Calc)'!$A:$A)+1)-'Price History'!E3)*(ROW()-3)/(MATCH(9.99E+307,'Returns (Calc)'!$A:$A)-3),"")</f>
        <v>171.89417721518987</v>
      </c>
      <c r="AA55" s="143">
        <f>IFERROR('Price History'!F3+(INDEX('Price History'!F:F,MATCH(9.99E+307,'Returns (Calc)'!$A:$A)+1)-'Price History'!F3)*(ROW()-3)/(MATCH(9.99E+307,'Returns (Calc)'!$A:$A)-3),"")</f>
        <v>116.62177215189874</v>
      </c>
      <c r="AB55" s="143">
        <f>IFERROR('Price History'!G3+(INDEX('Price History'!G:G,MATCH(9.99E+307,'Returns (Calc)'!$A:$A)+1)-'Price History'!G3)*(ROW()-3)/(MATCH(9.99E+307,'Returns (Calc)'!$A:$A)-3),"")</f>
        <v>97.844177215189873</v>
      </c>
      <c r="AC55" s="143">
        <f>IFERROR('Price History'!H3+(INDEX('Price History'!H:H,MATCH(9.99E+307,'Returns (Calc)'!$A:$A)+1)-'Price History'!H3)*(ROW()-3)/(MATCH(9.99E+307,'Returns (Calc)'!$A:$A)-3),"")</f>
        <v>400.12620253164562</v>
      </c>
      <c r="AD55" s="143">
        <f>IFERROR('Price History'!I3+(INDEX('Price History'!I:I,MATCH(9.99E+307,'Returns (Calc)'!$A:$A)+1)-'Price History'!I3)*(ROW()-3)/(MATCH(9.99E+307,'Returns (Calc)'!$A:$A)-3),"")</f>
        <v>106.36088607594937</v>
      </c>
      <c r="AE55" s="143">
        <f>IFERROR('Price History'!J3+(INDEX('Price History'!J:J,MATCH(9.99E+307,'Returns (Calc)'!$A:$A)+1)-'Price History'!J3)*(ROW()-3)/(MATCH(9.99E+307,'Returns (Calc)'!$A:$A)-3),"")</f>
        <v>117.45797468354431</v>
      </c>
      <c r="AF55" s="143">
        <f>IFERROR('Price History'!K3+(INDEX('Price History'!K:K,MATCH(9.99E+307,'Returns (Calc)'!$A:$A)+1)-'Price History'!K3)*(ROW()-3)/(MATCH(9.99E+307,'Returns (Calc)'!$A:$A)-3),"")</f>
        <v>72.40493670886076</v>
      </c>
      <c r="AG55" s="143">
        <f>IFERROR('Price History'!L3+(INDEX('Price History'!L:L,MATCH(9.99E+307,'Returns (Calc)'!$A:$A)+1)-'Price History'!L3)*(ROW()-3)/(MATCH(9.99E+307,'Returns (Calc)'!$A:$A)-3),"")</f>
        <v>213.12696202531646</v>
      </c>
      <c r="AH55" s="143">
        <f>IFERROR('Price History'!M3+(INDEX('Price History'!M:M,MATCH(9.99E+307,'Returns (Calc)'!$A:$A)+1)-'Price History'!M3)*(ROW()-3)/(MATCH(9.99E+307,'Returns (Calc)'!$A:$A)-3),"")</f>
        <v>108.50303797468354</v>
      </c>
      <c r="AI55" s="143">
        <f>IFERROR('Price History'!N3+(INDEX('Price History'!N:N,MATCH(9.99E+307,'Returns (Calc)'!$A:$A)+1)-'Price History'!N3)*(ROW()-3)/(MATCH(9.99E+307,'Returns (Calc)'!$A:$A)-3),"")</f>
        <v>400.18582278481011</v>
      </c>
      <c r="AJ55" s="143">
        <f>IFERROR('Price History'!O3+(INDEX('Price History'!O:O,MATCH(9.99E+307,'Returns (Calc)'!$A:$A)+1)-'Price History'!O3)*(ROW()-3)/(MATCH(9.99E+307,'Returns (Calc)'!$A:$A)-3),"")</f>
        <v>90.027974683544301</v>
      </c>
      <c r="AK55" s="143">
        <f>IFERROR('Price History'!Q3+(INDEX('Price History'!Q:Q,MATCH(9.99E+307,'Returns (Calc)'!$A:$A)+1)-'Price History'!Q3)*(ROW()-3)/(MATCH(9.99E+307,'Returns (Calc)'!$A:$A)-3),"")</f>
        <v>22.847088607594937</v>
      </c>
      <c r="AL55" s="143">
        <f>IFERROR('Price History'!R3+(INDEX('Price History'!R:R,MATCH(9.99E+307,'Returns (Calc)'!$A:$A)+1)-'Price History'!R3)*(ROW()-3)/(MATCH(9.99E+307,'Returns (Calc)'!$A:$A)-3),"")</f>
        <v>43.221265822784808</v>
      </c>
      <c r="AM55" s="143">
        <f>IFERROR('Price History'!S3+(INDEX('Price History'!S:S,MATCH(9.99E+307,'Returns (Calc)'!$A:$A)+1)-'Price History'!S3)*(ROW()-3)/(MATCH(9.99E+307,'Returns (Calc)'!$A:$A)-3),"")</f>
        <v>89.093291139240506</v>
      </c>
      <c r="AN55" s="143">
        <f>IFERROR('Price History'!T3+(INDEX('Price History'!T:T,MATCH(9.99E+307,'Returns (Calc)'!$A:$A)+1)-'Price History'!T3)*(ROW()-3)/(MATCH(9.99E+307,'Returns (Calc)'!$A:$A)-3),"")</f>
        <v>33.987848101265826</v>
      </c>
      <c r="AO55" s="144">
        <f>IFERROR('Price History'!V3+(INDEX('Price History'!V:V,MATCH(9.99E+307,'Returns (Calc)'!$A:$A)+1)-'Price History'!V3)*(ROW()-3)/(MATCH(9.99E+307,'Returns (Calc)'!$A:$A)-3),"")</f>
        <v>276.77911392405065</v>
      </c>
      <c r="AP55" s="142">
        <f>IFERROR(IF(OR(NOT(ISNUMBER('Price History'!W56)),NOT(ISNUMBER('Price History'!W55)),'Price History'!W55=0),"",'Price History'!W56/'Price History'!W55-1),"")</f>
        <v>1.4542703429724302E-2</v>
      </c>
      <c r="AQ55" s="142" t="str">
        <f>IFERROR(IF(OR(NOT(ISNUMBER('Price History'!X56)),NOT(ISNUMBER('Price History'!X55)),'Price History'!X55=0),"",'Price History'!X56/'Price History'!X55-1),"")</f>
        <v/>
      </c>
      <c r="AR55" s="142">
        <f>IFERROR(IF(OR(NOT(ISNUMBER('Price History'!Y56)),NOT(ISNUMBER('Price History'!Y55)),'Price History'!Y55=0),"",'Price History'!Y56/'Price History'!Y55-1),"")</f>
        <v>5.4358767867928037E-3</v>
      </c>
      <c r="AS55" s="142">
        <f>IFERROR(IF(OR(NOT(ISNUMBER('Price History'!Z56)),NOT(ISNUMBER('Price History'!Z55)),'Price History'!Z55=0),"",'Price History'!Z56/'Price History'!Z55-1),"")</f>
        <v>5.1350431230140714E-2</v>
      </c>
      <c r="AT55" s="142">
        <f>IFERROR(IF(OR(NOT(ISNUMBER('Price History'!AA56)),NOT(ISNUMBER('Price History'!AA55)),'Price History'!AA55=0),"",'Price History'!AA56/'Price History'!AA55-1),"")</f>
        <v>5.5946062257925533E-3</v>
      </c>
    </row>
    <row r="56" spans="1:46" ht="15" customHeight="1" x14ac:dyDescent="0.35">
      <c r="A56" s="140">
        <f>IF('Price History'!A57="","",'Price History'!A57)</f>
        <v>45562</v>
      </c>
      <c r="B56" s="141">
        <f>IFERROR(IF(OR(NOT(ISNUMBER('Price History'!B57)),NOT(ISNUMBER('Price History'!B56)),'Price History'!B56=0),"",'Price History'!B57/'Price History'!B56-1),"")</f>
        <v>-1.305762971472324E-2</v>
      </c>
      <c r="C56" s="141">
        <f>IFERROR(IF(OR(NOT(ISNUMBER('Price History'!C57)),NOT(ISNUMBER('Price History'!C56)),'Price History'!C56=0),"",'Price History'!C57/'Price History'!C56-1),"")</f>
        <v>-1.0820934346061906E-2</v>
      </c>
      <c r="D56" s="141">
        <f>IFERROR(IF(OR(NOT(ISNUMBER('Price History'!D57)),NOT(ISNUMBER('Price History'!D56)),'Price History'!D56=0),"",'Price History'!D57/'Price History'!D56-1),"")</f>
        <v>5.8171497244844383E-2</v>
      </c>
      <c r="E56" s="141">
        <f>IFERROR(IF(OR(NOT(ISNUMBER('Price History'!E57)),NOT(ISNUMBER('Price History'!E56)),'Price History'!E56=0),"",'Price History'!E57/'Price History'!E56-1),"")</f>
        <v>9.2752244485403423E-3</v>
      </c>
      <c r="F56" s="141">
        <f>IFERROR(IF(OR(NOT(ISNUMBER('Price History'!F57)),NOT(ISNUMBER('Price History'!F56)),'Price History'!F56=0),"",'Price History'!F57/'Price History'!F56-1),"")</f>
        <v>-4.6691568836712882E-2</v>
      </c>
      <c r="G56" s="141">
        <f>IFERROR(IF(OR(NOT(ISNUMBER('Price History'!G57)),NOT(ISNUMBER('Price History'!G56)),'Price History'!G56=0),"",'Price History'!G57/'Price History'!G56-1),"")</f>
        <v>3.1032637774210725E-2</v>
      </c>
      <c r="H56" s="141">
        <f>IFERROR(IF(OR(NOT(ISNUMBER('Price History'!H57)),NOT(ISNUMBER('Price History'!H56)),'Price History'!H56=0),"",'Price History'!H57/'Price History'!H56-1),"")</f>
        <v>0.1826635669212886</v>
      </c>
      <c r="I56" s="141">
        <f>IFERROR(IF(OR(NOT(ISNUMBER('Price History'!I57)),NOT(ISNUMBER('Price History'!I56)),'Price History'!I56=0),"",'Price History'!I57/'Price History'!I56-1),"")</f>
        <v>4.6590025066989282E-2</v>
      </c>
      <c r="J56" s="141">
        <f>IFERROR(IF(OR(NOT(ISNUMBER('Price History'!J57)),NOT(ISNUMBER('Price History'!J56)),'Price History'!J56=0),"",'Price History'!J57/'Price History'!J56-1),"")</f>
        <v>9.3728698023176626E-4</v>
      </c>
      <c r="K56" s="141">
        <f>IFERROR(IF(OR(NOT(ISNUMBER('Price History'!K57)),NOT(ISNUMBER('Price History'!K56)),'Price History'!K56=0),"",'Price History'!K57/'Price History'!K56-1),"")</f>
        <v>-9.6774193548386789E-3</v>
      </c>
      <c r="L56" s="141">
        <f>IFERROR(IF(OR(NOT(ISNUMBER('Price History'!L57)),NOT(ISNUMBER('Price History'!L56)),'Price History'!L56=0),"",'Price History'!L57/'Price History'!L56-1),"")</f>
        <v>2.2308552592854358E-2</v>
      </c>
      <c r="M56" s="141">
        <f>IFERROR(IF(OR(NOT(ISNUMBER('Price History'!M57)),NOT(ISNUMBER('Price History'!M56)),'Price History'!M56=0),"",'Price History'!M57/'Price History'!M56-1),"")</f>
        <v>4.0928851659421062E-2</v>
      </c>
      <c r="N56" s="141">
        <f>IFERROR(IF(OR(NOT(ISNUMBER('Price History'!N57)),NOT(ISNUMBER('Price History'!N56)),'Price History'!N56=0),"",'Price History'!N57/'Price History'!N56-1),"")</f>
        <v>-4.3878516734062734E-3</v>
      </c>
      <c r="O56" s="141">
        <f>IFERROR(IF(OR(NOT(ISNUMBER('Price History'!O57)),NOT(ISNUMBER('Price History'!O56)),'Price History'!O56=0),"",'Price History'!O57/'Price History'!O56-1),"")</f>
        <v>4.3177892918833116E-4</v>
      </c>
      <c r="P56" s="141">
        <f>IFERROR(IF(OR(NOT(ISNUMBER('Price History'!P57)),NOT(ISNUMBER('Price History'!P56)),'Price History'!P56=0),"",'Price History'!P57/'Price History'!P56-1),"")</f>
        <v>7.7065103957614234E-3</v>
      </c>
      <c r="Q56" s="141">
        <f>IFERROR(IF(OR(NOT(ISNUMBER('Price History'!Q57)),NOT(ISNUMBER('Price History'!Q56)),'Price History'!Q56=0),"",'Price History'!Q57/'Price History'!Q56-1),"")</f>
        <v>6.8653717347622045E-3</v>
      </c>
      <c r="R56" s="141">
        <f>IFERROR(IF(OR(NOT(ISNUMBER('Price History'!R57)),NOT(ISNUMBER('Price History'!R56)),'Price History'!R56=0),"",'Price History'!R57/'Price History'!R56-1),"")</f>
        <v>6.9832402234635271E-3</v>
      </c>
      <c r="S56" s="141">
        <f>IFERROR(IF(OR(NOT(ISNUMBER('Price History'!S57)),NOT(ISNUMBER('Price History'!S56)),'Price History'!S56=0),"",'Price History'!S57/'Price History'!S56-1),"")</f>
        <v>-1.3478602718185462E-3</v>
      </c>
      <c r="T56" s="141">
        <f>IFERROR(IF(OR(NOT(ISNUMBER('Price History'!T57)),NOT(ISNUMBER('Price History'!T56)),'Price History'!T56=0),"",'Price History'!T57/'Price History'!T56-1),"")</f>
        <v>2.1705426356588564E-3</v>
      </c>
      <c r="U56" s="141">
        <f>IFERROR(IF(OR(NOT(ISNUMBER('Price History'!U57)),NOT(ISNUMBER('Price History'!U56)),'Price History'!U56=0),"",'Price History'!U57/'Price History'!U56-1),"")</f>
        <v>6.16095494801705E-3</v>
      </c>
      <c r="V56" s="142">
        <f>IFERROR(IF(OR(NOT(ISNUMBER('Price History'!V57)),NOT(ISNUMBER('Price History'!V56)),'Price History'!V56=0),"",'Price History'!V57/'Price History'!V56-1),"")</f>
        <v>-3.3720681542739106E-2</v>
      </c>
      <c r="W56" s="143">
        <f>IFERROR('Price History'!B3+(INDEX('Price History'!B:B,MATCH(9.99E+307,'Returns (Calc)'!$A:$A)+1)-'Price History'!B3)*(ROW()-3)/(MATCH(9.99E+307,'Returns (Calc)'!$A:$A)-3),"")</f>
        <v>431.20898734177217</v>
      </c>
      <c r="X56" s="143">
        <f>IFERROR('Price History'!C3+(INDEX('Price History'!C:C,MATCH(9.99E+307,'Returns (Calc)'!$A:$A)+1)-'Price History'!C3)*(ROW()-3)/(MATCH(9.99E+307,'Returns (Calc)'!$A:$A)-3),"")</f>
        <v>100.24335443037975</v>
      </c>
      <c r="Y56" s="143">
        <f>IFERROR('Price History'!D3+(INDEX('Price History'!D:D,MATCH(9.99E+307,'Returns (Calc)'!$A:$A)+1)-'Price History'!D3)*(ROW()-3)/(MATCH(9.99E+307,'Returns (Calc)'!$A:$A)-3),"")</f>
        <v>1013.1549367088608</v>
      </c>
      <c r="Z56" s="143">
        <f>IFERROR('Price History'!E3+(INDEX('Price History'!E:E,MATCH(9.99E+307,'Returns (Calc)'!$A:$A)+1)-'Price History'!E3)*(ROW()-3)/(MATCH(9.99E+307,'Returns (Calc)'!$A:$A)-3),"")</f>
        <v>173.62291139240506</v>
      </c>
      <c r="AA56" s="143">
        <f>IFERROR('Price History'!F3+(INDEX('Price History'!F:F,MATCH(9.99E+307,'Returns (Calc)'!$A:$A)+1)-'Price History'!F3)*(ROW()-3)/(MATCH(9.99E+307,'Returns (Calc)'!$A:$A)-3),"")</f>
        <v>118.06911392405064</v>
      </c>
      <c r="AB56" s="143">
        <f>IFERROR('Price History'!G3+(INDEX('Price History'!G:G,MATCH(9.99E+307,'Returns (Calc)'!$A:$A)+1)-'Price History'!G3)*(ROW()-3)/(MATCH(9.99E+307,'Returns (Calc)'!$A:$A)-3),"")</f>
        <v>98.872911392405058</v>
      </c>
      <c r="AC56" s="143">
        <f>IFERROR('Price History'!H3+(INDEX('Price History'!H:H,MATCH(9.99E+307,'Returns (Calc)'!$A:$A)+1)-'Price History'!H3)*(ROW()-3)/(MATCH(9.99E+307,'Returns (Calc)'!$A:$A)-3),"")</f>
        <v>406.49189873417725</v>
      </c>
      <c r="AD56" s="143">
        <f>IFERROR('Price History'!I3+(INDEX('Price History'!I:I,MATCH(9.99E+307,'Returns (Calc)'!$A:$A)+1)-'Price History'!I3)*(ROW()-3)/(MATCH(9.99E+307,'Returns (Calc)'!$A:$A)-3),"")</f>
        <v>107.56455696202531</v>
      </c>
      <c r="AE56" s="143">
        <f>IFERROR('Price History'!J3+(INDEX('Price History'!J:J,MATCH(9.99E+307,'Returns (Calc)'!$A:$A)+1)-'Price History'!J3)*(ROW()-3)/(MATCH(9.99E+307,'Returns (Calc)'!$A:$A)-3),"")</f>
        <v>117.56601265822785</v>
      </c>
      <c r="AF56" s="143">
        <f>IFERROR('Price History'!K3+(INDEX('Price History'!K:K,MATCH(9.99E+307,'Returns (Calc)'!$A:$A)+1)-'Price History'!K3)*(ROW()-3)/(MATCH(9.99E+307,'Returns (Calc)'!$A:$A)-3),"")</f>
        <v>73.502531645569618</v>
      </c>
      <c r="AG56" s="143">
        <f>IFERROR('Price History'!L3+(INDEX('Price History'!L:L,MATCH(9.99E+307,'Returns (Calc)'!$A:$A)+1)-'Price History'!L3)*(ROW()-3)/(MATCH(9.99E+307,'Returns (Calc)'!$A:$A)-3),"")</f>
        <v>215.57651898734179</v>
      </c>
      <c r="AH56" s="143">
        <f>IFERROR('Price History'!M3+(INDEX('Price History'!M:M,MATCH(9.99E+307,'Returns (Calc)'!$A:$A)+1)-'Price History'!M3)*(ROW()-3)/(MATCH(9.99E+307,'Returns (Calc)'!$A:$A)-3),"")</f>
        <v>109.85848101265822</v>
      </c>
      <c r="AI56" s="143">
        <f>IFERROR('Price History'!N3+(INDEX('Price History'!N:N,MATCH(9.99E+307,'Returns (Calc)'!$A:$A)+1)-'Price History'!N3)*(ROW()-3)/(MATCH(9.99E+307,'Returns (Calc)'!$A:$A)-3),"")</f>
        <v>401.1720886075949</v>
      </c>
      <c r="AJ56" s="143">
        <f>IFERROR('Price History'!O3+(INDEX('Price History'!O:O,MATCH(9.99E+307,'Returns (Calc)'!$A:$A)+1)-'Price History'!O3)*(ROW()-3)/(MATCH(9.99E+307,'Returns (Calc)'!$A:$A)-3),"")</f>
        <v>90.311012658227853</v>
      </c>
      <c r="AK56" s="143">
        <f>IFERROR('Price History'!Q3+(INDEX('Price History'!Q:Q,MATCH(9.99E+307,'Returns (Calc)'!$A:$A)+1)-'Price History'!Q3)*(ROW()-3)/(MATCH(9.99E+307,'Returns (Calc)'!$A:$A)-3),"")</f>
        <v>23.286455696202534</v>
      </c>
      <c r="AL56" s="143">
        <f>IFERROR('Price History'!R3+(INDEX('Price History'!R:R,MATCH(9.99E+307,'Returns (Calc)'!$A:$A)+1)-'Price History'!R3)*(ROW()-3)/(MATCH(9.99E+307,'Returns (Calc)'!$A:$A)-3),"")</f>
        <v>43.389367088607592</v>
      </c>
      <c r="AM56" s="143">
        <f>IFERROR('Price History'!S3+(INDEX('Price History'!S:S,MATCH(9.99E+307,'Returns (Calc)'!$A:$A)+1)-'Price History'!S3)*(ROW()-3)/(MATCH(9.99E+307,'Returns (Calc)'!$A:$A)-3),"")</f>
        <v>89.698354430379737</v>
      </c>
      <c r="AN56" s="143">
        <f>IFERROR('Price History'!T3+(INDEX('Price History'!T:T,MATCH(9.99E+307,'Returns (Calc)'!$A:$A)+1)-'Price History'!T3)*(ROW()-3)/(MATCH(9.99E+307,'Returns (Calc)'!$A:$A)-3),"")</f>
        <v>34.156075949367086</v>
      </c>
      <c r="AO56" s="144">
        <f>IFERROR('Price History'!V3+(INDEX('Price History'!V:V,MATCH(9.99E+307,'Returns (Calc)'!$A:$A)+1)-'Price History'!V3)*(ROW()-3)/(MATCH(9.99E+307,'Returns (Calc)'!$A:$A)-3),"")</f>
        <v>277.57044303797471</v>
      </c>
      <c r="AP56" s="142">
        <f>IFERROR(IF(OR(NOT(ISNUMBER('Price History'!W57)),NOT(ISNUMBER('Price History'!W56)),'Price History'!W56=0),"",'Price History'!W57/'Price History'!W56-1),"")</f>
        <v>5.9656972408650422E-3</v>
      </c>
      <c r="AQ56" s="142" t="str">
        <f>IFERROR(IF(OR(NOT(ISNUMBER('Price History'!X57)),NOT(ISNUMBER('Price History'!X56)),'Price History'!X56=0),"",'Price History'!X57/'Price History'!X56-1),"")</f>
        <v/>
      </c>
      <c r="AR56" s="142">
        <f>IFERROR(IF(OR(NOT(ISNUMBER('Price History'!Y57)),NOT(ISNUMBER('Price History'!Y56)),'Price History'!Y56=0),"",'Price History'!Y57/'Price History'!Y56-1),"")</f>
        <v>4.405286343612369E-3</v>
      </c>
      <c r="AS56" s="142">
        <f>IFERROR(IF(OR(NOT(ISNUMBER('Price History'!Z57)),NOT(ISNUMBER('Price History'!Z56)),'Price History'!Z56=0),"",'Price History'!Z57/'Price History'!Z56-1),"")</f>
        <v>-9.4986237789410621E-3</v>
      </c>
      <c r="AT56" s="142">
        <f>IFERROR(IF(OR(NOT(ISNUMBER('Price History'!AA57)),NOT(ISNUMBER('Price History'!AA56)),'Price History'!AA56=0),"",'Price History'!AA57/'Price History'!AA56-1),"")</f>
        <v>9.1298145506419903E-3</v>
      </c>
    </row>
    <row r="57" spans="1:46" ht="15" customHeight="1" x14ac:dyDescent="0.35">
      <c r="A57" s="140">
        <f>IF('Price History'!A58="","",'Price History'!A58)</f>
        <v>45569</v>
      </c>
      <c r="B57" s="141">
        <f>IFERROR(IF(OR(NOT(ISNUMBER('Price History'!B58)),NOT(ISNUMBER('Price History'!B57)),'Price History'!B57=0),"",'Price History'!B58/'Price History'!B57-1),"")</f>
        <v>-1.6023900054318307E-2</v>
      </c>
      <c r="C57" s="141">
        <f>IFERROR(IF(OR(NOT(ISNUMBER('Price History'!C58)),NOT(ISNUMBER('Price History'!C57)),'Price History'!C57=0),"",'Price History'!C58/'Price History'!C57-1),"")</f>
        <v>4.1232775849374237E-2</v>
      </c>
      <c r="D57" s="141">
        <f>IFERROR(IF(OR(NOT(ISNUMBER('Price History'!D58)),NOT(ISNUMBER('Price History'!D57)),'Price History'!D57=0),"",'Price History'!D58/'Price History'!D57-1),"")</f>
        <v>-1.0148972416542779E-2</v>
      </c>
      <c r="E57" s="141">
        <f>IFERROR(IF(OR(NOT(ISNUMBER('Price History'!E58)),NOT(ISNUMBER('Price History'!E57)),'Price History'!E57=0),"",'Price History'!E58/'Price History'!E57-1),"")</f>
        <v>2.2857142857142909E-2</v>
      </c>
      <c r="F57" s="141">
        <f>IFERROR(IF(OR(NOT(ISNUMBER('Price History'!F58)),NOT(ISNUMBER('Price History'!F57)),'Price History'!F57=0),"",'Price History'!F58/'Price History'!F57-1),"")</f>
        <v>2.2390148334732851E-2</v>
      </c>
      <c r="G57" s="141">
        <f>IFERROR(IF(OR(NOT(ISNUMBER('Price History'!G58)),NOT(ISNUMBER('Price History'!G57)),'Price History'!G57=0),"",'Price History'!G58/'Price History'!G57-1),"")</f>
        <v>6.3570316554228956E-3</v>
      </c>
      <c r="H57" s="141">
        <f>IFERROR(IF(OR(NOT(ISNUMBER('Price History'!H58)),NOT(ISNUMBER('Price History'!H57)),'Price History'!H57=0),"",'Price History'!H58/'Price History'!H57-1),"")</f>
        <v>-4.8862679022746436E-2</v>
      </c>
      <c r="I57" s="141">
        <f>IFERROR(IF(OR(NOT(ISNUMBER('Price History'!I58)),NOT(ISNUMBER('Price History'!I57)),'Price History'!I57=0),"",'Price History'!I58/'Price History'!I57-1),"")</f>
        <v>2.8989098116947609E-2</v>
      </c>
      <c r="J57" s="141">
        <f>IFERROR(IF(OR(NOT(ISNUMBER('Price History'!J58)),NOT(ISNUMBER('Price History'!J57)),'Price History'!J57=0),"",'Price History'!J58/'Price History'!J57-1),"")</f>
        <v>-2.5197922873925194E-2</v>
      </c>
      <c r="K57" s="141">
        <f>IFERROR(IF(OR(NOT(ISNUMBER('Price History'!K58)),NOT(ISNUMBER('Price History'!K57)),'Price History'!K57=0),"",'Price History'!K58/'Price History'!K57-1),"")</f>
        <v>8.6047774158523271E-2</v>
      </c>
      <c r="L57" s="141">
        <f>IFERROR(IF(OR(NOT(ISNUMBER('Price History'!L58)),NOT(ISNUMBER('Price History'!L57)),'Price History'!L57=0),"",'Price History'!L58/'Price History'!L57-1),"")</f>
        <v>1.7964071856287456E-2</v>
      </c>
      <c r="M57" s="141">
        <f>IFERROR(IF(OR(NOT(ISNUMBER('Price History'!M58)),NOT(ISNUMBER('Price History'!M57)),'Price History'!M57=0),"",'Price History'!M58/'Price History'!M57-1),"")</f>
        <v>6.9063868799022154E-2</v>
      </c>
      <c r="N57" s="141">
        <f>IFERROR(IF(OR(NOT(ISNUMBER('Price History'!N58)),NOT(ISNUMBER('Price History'!N57)),'Price History'!N57=0),"",'Price History'!N58/'Price History'!N57-1),"")</f>
        <v>-1.6354130660214294E-2</v>
      </c>
      <c r="O57" s="141">
        <f>IFERROR(IF(OR(NOT(ISNUMBER('Price History'!O58)),NOT(ISNUMBER('Price History'!O57)),'Price History'!O57=0),"",'Price History'!O58/'Price History'!O57-1),"")</f>
        <v>2.8053517479498247E-3</v>
      </c>
      <c r="P57" s="141">
        <f>IFERROR(IF(OR(NOT(ISNUMBER('Price History'!P58)),NOT(ISNUMBER('Price History'!P57)),'Price History'!P57=0),"",'Price History'!P58/'Price History'!P57-1),"")</f>
        <v>-3.9831116067872152E-3</v>
      </c>
      <c r="Q57" s="141">
        <f>IFERROR(IF(OR(NOT(ISNUMBER('Price History'!Q58)),NOT(ISNUMBER('Price History'!Q57)),'Price History'!Q57=0),"",'Price History'!Q58/'Price History'!Q57-1),"")</f>
        <v>1.3304506901712365E-3</v>
      </c>
      <c r="R57" s="141">
        <f>IFERROR(IF(OR(NOT(ISNUMBER('Price History'!R58)),NOT(ISNUMBER('Price History'!R57)),'Price History'!R57=0),"",'Price History'!R58/'Price History'!R57-1),"")</f>
        <v>2.3116042533517511E-3</v>
      </c>
      <c r="S57" s="141">
        <f>IFERROR(IF(OR(NOT(ISNUMBER('Price History'!S58)),NOT(ISNUMBER('Price History'!S57)),'Price History'!S57=0),"",'Price History'!S58/'Price History'!S57-1),"")</f>
        <v>1.4958947250027999E-2</v>
      </c>
      <c r="T57" s="141">
        <f>IFERROR(IF(OR(NOT(ISNUMBER('Price History'!T58)),NOT(ISNUMBER('Price History'!T57)),'Price History'!T57=0),"",'Price History'!T58/'Price History'!T57-1),"")</f>
        <v>1.8564356435643692E-2</v>
      </c>
      <c r="U57" s="141">
        <f>IFERROR(IF(OR(NOT(ISNUMBER('Price History'!U58)),NOT(ISNUMBER('Price History'!U57)),'Price History'!U57=0),"",'Price History'!U58/'Price History'!U57-1),"")</f>
        <v>4.9751243781095411E-3</v>
      </c>
      <c r="V57" s="142">
        <f>IFERROR(IF(OR(NOT(ISNUMBER('Price History'!V58)),NOT(ISNUMBER('Price History'!V57)),'Price History'!V57=0),"",'Price History'!V58/'Price History'!V57-1),"")</f>
        <v>1.0033938320791025E-2</v>
      </c>
      <c r="W57" s="143">
        <f>IFERROR('Price History'!B3+(INDEX('Price History'!B:B,MATCH(9.99E+307,'Returns (Calc)'!$A:$A)+1)-'Price History'!B3)*(ROW()-3)/(MATCH(9.99E+307,'Returns (Calc)'!$A:$A)-3),"")</f>
        <v>429.3659493670886</v>
      </c>
      <c r="X57" s="143">
        <f>IFERROR('Price History'!C3+(INDEX('Price History'!C:C,MATCH(9.99E+307,'Returns (Calc)'!$A:$A)+1)-'Price History'!C3)*(ROW()-3)/(MATCH(9.99E+307,'Returns (Calc)'!$A:$A)-3),"")</f>
        <v>101.26341772151898</v>
      </c>
      <c r="Y57" s="143">
        <f>IFERROR('Price History'!D3+(INDEX('Price History'!D:D,MATCH(9.99E+307,'Returns (Calc)'!$A:$A)+1)-'Price History'!D3)*(ROW()-3)/(MATCH(9.99E+307,'Returns (Calc)'!$A:$A)-3),"")</f>
        <v>1021.289746835443</v>
      </c>
      <c r="Z57" s="143">
        <f>IFERROR('Price History'!E3+(INDEX('Price History'!E:E,MATCH(9.99E+307,'Returns (Calc)'!$A:$A)+1)-'Price History'!E3)*(ROW()-3)/(MATCH(9.99E+307,'Returns (Calc)'!$A:$A)-3),"")</f>
        <v>175.35164556962025</v>
      </c>
      <c r="AA57" s="143">
        <f>IFERROR('Price History'!F3+(INDEX('Price History'!F:F,MATCH(9.99E+307,'Returns (Calc)'!$A:$A)+1)-'Price History'!F3)*(ROW()-3)/(MATCH(9.99E+307,'Returns (Calc)'!$A:$A)-3),"")</f>
        <v>119.51645569620254</v>
      </c>
      <c r="AB57" s="143">
        <f>IFERROR('Price History'!G3+(INDEX('Price History'!G:G,MATCH(9.99E+307,'Returns (Calc)'!$A:$A)+1)-'Price History'!G3)*(ROW()-3)/(MATCH(9.99E+307,'Returns (Calc)'!$A:$A)-3),"")</f>
        <v>99.901645569620257</v>
      </c>
      <c r="AC57" s="143">
        <f>IFERROR('Price History'!H3+(INDEX('Price History'!H:H,MATCH(9.99E+307,'Returns (Calc)'!$A:$A)+1)-'Price History'!H3)*(ROW()-3)/(MATCH(9.99E+307,'Returns (Calc)'!$A:$A)-3),"")</f>
        <v>412.85759493670889</v>
      </c>
      <c r="AD57" s="143">
        <f>IFERROR('Price History'!I3+(INDEX('Price History'!I:I,MATCH(9.99E+307,'Returns (Calc)'!$A:$A)+1)-'Price History'!I3)*(ROW()-3)/(MATCH(9.99E+307,'Returns (Calc)'!$A:$A)-3),"")</f>
        <v>108.76822784810128</v>
      </c>
      <c r="AE57" s="143">
        <f>IFERROR('Price History'!J3+(INDEX('Price History'!J:J,MATCH(9.99E+307,'Returns (Calc)'!$A:$A)+1)-'Price History'!J3)*(ROW()-3)/(MATCH(9.99E+307,'Returns (Calc)'!$A:$A)-3),"")</f>
        <v>117.67405063291139</v>
      </c>
      <c r="AF57" s="143">
        <f>IFERROR('Price History'!K3+(INDEX('Price History'!K:K,MATCH(9.99E+307,'Returns (Calc)'!$A:$A)+1)-'Price History'!K3)*(ROW()-3)/(MATCH(9.99E+307,'Returns (Calc)'!$A:$A)-3),"")</f>
        <v>74.600126582278477</v>
      </c>
      <c r="AG57" s="143">
        <f>IFERROR('Price History'!L3+(INDEX('Price History'!L:L,MATCH(9.99E+307,'Returns (Calc)'!$A:$A)+1)-'Price History'!L3)*(ROW()-3)/(MATCH(9.99E+307,'Returns (Calc)'!$A:$A)-3),"")</f>
        <v>218.02607594936708</v>
      </c>
      <c r="AH57" s="143">
        <f>IFERROR('Price History'!M3+(INDEX('Price History'!M:M,MATCH(9.99E+307,'Returns (Calc)'!$A:$A)+1)-'Price History'!M3)*(ROW()-3)/(MATCH(9.99E+307,'Returns (Calc)'!$A:$A)-3),"")</f>
        <v>111.2139240506329</v>
      </c>
      <c r="AI57" s="143">
        <f>IFERROR('Price History'!N3+(INDEX('Price History'!N:N,MATCH(9.99E+307,'Returns (Calc)'!$A:$A)+1)-'Price History'!N3)*(ROW()-3)/(MATCH(9.99E+307,'Returns (Calc)'!$A:$A)-3),"")</f>
        <v>402.15835443037975</v>
      </c>
      <c r="AJ57" s="143">
        <f>IFERROR('Price History'!O3+(INDEX('Price History'!O:O,MATCH(9.99E+307,'Returns (Calc)'!$A:$A)+1)-'Price History'!O3)*(ROW()-3)/(MATCH(9.99E+307,'Returns (Calc)'!$A:$A)-3),"")</f>
        <v>90.59405063291139</v>
      </c>
      <c r="AK57" s="143">
        <f>IFERROR('Price History'!Q3+(INDEX('Price History'!Q:Q,MATCH(9.99E+307,'Returns (Calc)'!$A:$A)+1)-'Price History'!Q3)*(ROW()-3)/(MATCH(9.99E+307,'Returns (Calc)'!$A:$A)-3),"")</f>
        <v>23.725822784810127</v>
      </c>
      <c r="AL57" s="143">
        <f>IFERROR('Price History'!R3+(INDEX('Price History'!R:R,MATCH(9.99E+307,'Returns (Calc)'!$A:$A)+1)-'Price History'!R3)*(ROW()-3)/(MATCH(9.99E+307,'Returns (Calc)'!$A:$A)-3),"")</f>
        <v>43.557468354430377</v>
      </c>
      <c r="AM57" s="143">
        <f>IFERROR('Price History'!S3+(INDEX('Price History'!S:S,MATCH(9.99E+307,'Returns (Calc)'!$A:$A)+1)-'Price History'!S3)*(ROW()-3)/(MATCH(9.99E+307,'Returns (Calc)'!$A:$A)-3),"")</f>
        <v>90.303417721518997</v>
      </c>
      <c r="AN57" s="143">
        <f>IFERROR('Price History'!T3+(INDEX('Price History'!T:T,MATCH(9.99E+307,'Returns (Calc)'!$A:$A)+1)-'Price History'!T3)*(ROW()-3)/(MATCH(9.99E+307,'Returns (Calc)'!$A:$A)-3),"")</f>
        <v>34.324303797468353</v>
      </c>
      <c r="AO57" s="144">
        <f>IFERROR('Price History'!V3+(INDEX('Price History'!V:V,MATCH(9.99E+307,'Returns (Calc)'!$A:$A)+1)-'Price History'!V3)*(ROW()-3)/(MATCH(9.99E+307,'Returns (Calc)'!$A:$A)-3),"")</f>
        <v>278.36177215189872</v>
      </c>
      <c r="AP57" s="142">
        <f>IFERROR(IF(OR(NOT(ISNUMBER('Price History'!W58)),NOT(ISNUMBER('Price History'!W57)),'Price History'!W57=0),"",'Price History'!W58/'Price History'!W57-1),"")</f>
        <v>7.165801828515006E-3</v>
      </c>
      <c r="AQ57" s="142" t="str">
        <f>IFERROR(IF(OR(NOT(ISNUMBER('Price History'!X58)),NOT(ISNUMBER('Price History'!X57)),'Price History'!X57=0),"",'Price History'!X58/'Price History'!X57-1),"")</f>
        <v/>
      </c>
      <c r="AR57" s="142">
        <f>IFERROR(IF(OR(NOT(ISNUMBER('Price History'!Y58)),NOT(ISNUMBER('Price History'!Y57)),'Price History'!Y57=0),"",'Price History'!Y58/'Price History'!Y57-1),"")</f>
        <v>2.1929824561404132E-3</v>
      </c>
      <c r="AS57" s="142">
        <f>IFERROR(IF(OR(NOT(ISNUMBER('Price History'!Z58)),NOT(ISNUMBER('Price History'!Z57)),'Price History'!Z57=0),"",'Price History'!Z58/'Price History'!Z57-1),"")</f>
        <v>9.2083038195389655E-3</v>
      </c>
      <c r="AT57" s="142">
        <f>IFERROR(IF(OR(NOT(ISNUMBER('Price History'!AA58)),NOT(ISNUMBER('Price History'!AA57)),'Price History'!AA57=0),"",'Price History'!AA58/'Price History'!AA57-1),"")</f>
        <v>1.7387616624257918E-2</v>
      </c>
    </row>
    <row r="58" spans="1:46" ht="15" customHeight="1" x14ac:dyDescent="0.35">
      <c r="A58" s="140">
        <f>IF('Price History'!A59="","",'Price History'!A59)</f>
        <v>45576</v>
      </c>
      <c r="B58" s="141">
        <f>IFERROR(IF(OR(NOT(ISNUMBER('Price History'!B59)),NOT(ISNUMBER('Price History'!B58)),'Price History'!B58=0),"",'Price History'!B59/'Price History'!B58-1),"")</f>
        <v>-2.3264066874334577E-2</v>
      </c>
      <c r="C58" s="141">
        <f>IFERROR(IF(OR(NOT(ISNUMBER('Price History'!C59)),NOT(ISNUMBER('Price History'!C58)),'Price History'!C58=0),"",'Price History'!C59/'Price History'!C58-1),"")</f>
        <v>5.2934639862612487E-2</v>
      </c>
      <c r="D58" s="141">
        <f>IFERROR(IF(OR(NOT(ISNUMBER('Price History'!D59)),NOT(ISNUMBER('Price History'!D58)),'Price History'!D58=0),"",'Price History'!D59/'Price History'!D58-1),"")</f>
        <v>9.2277271229266322E-3</v>
      </c>
      <c r="E58" s="141">
        <f>IFERROR(IF(OR(NOT(ISNUMBER('Price History'!E59)),NOT(ISNUMBER('Price History'!E58)),'Price History'!E58=0),"",'Price History'!E59/'Price History'!E58-1),"")</f>
        <v>2.7414617289638787E-2</v>
      </c>
      <c r="F58" s="141">
        <f>IFERROR(IF(OR(NOT(ISNUMBER('Price History'!F59)),NOT(ISNUMBER('Price History'!F58)),'Price History'!F58=0),"",'Price History'!F59/'Price History'!F58-1),"")</f>
        <v>9.5674787845606346E-2</v>
      </c>
      <c r="G58" s="141">
        <f>IFERROR(IF(OR(NOT(ISNUMBER('Price History'!G59)),NOT(ISNUMBER('Price History'!G58)),'Price History'!G58=0),"",'Price History'!G59/'Price History'!G58-1),"")</f>
        <v>2.0755446693309532E-2</v>
      </c>
      <c r="H58" s="141">
        <f>IFERROR(IF(OR(NOT(ISNUMBER('Price History'!H59)),NOT(ISNUMBER('Price History'!H58)),'Price History'!H58=0),"",'Price History'!H59/'Price History'!H58-1),"")</f>
        <v>4.6845782895384325E-2</v>
      </c>
      <c r="I58" s="141">
        <f>IFERROR(IF(OR(NOT(ISNUMBER('Price History'!I59)),NOT(ISNUMBER('Price History'!I58)),'Price History'!I58=0),"",'Price History'!I59/'Price History'!I58-1),"")</f>
        <v>7.9059314551729543E-2</v>
      </c>
      <c r="J58" s="141">
        <f>IFERROR(IF(OR(NOT(ISNUMBER('Price History'!J59)),NOT(ISNUMBER('Price History'!J58)),'Price History'!J58=0),"",'Price History'!J59/'Price History'!J58-1),"")</f>
        <v>-1.7815037987948701E-2</v>
      </c>
      <c r="K58" s="141">
        <f>IFERROR(IF(OR(NOT(ISNUMBER('Price History'!K59)),NOT(ISNUMBER('Price History'!K58)),'Price History'!K58=0),"",'Price History'!K59/'Price History'!K58-1),"")</f>
        <v>8.7478130467383064E-2</v>
      </c>
      <c r="L58" s="141">
        <f>IFERROR(IF(OR(NOT(ISNUMBER('Price History'!L59)),NOT(ISNUMBER('Price History'!L58)),'Price History'!L58=0),"",'Price History'!L59/'Price History'!L58-1),"")</f>
        <v>5.3223981900452522E-2</v>
      </c>
      <c r="M58" s="141">
        <f>IFERROR(IF(OR(NOT(ISNUMBER('Price History'!M59)),NOT(ISNUMBER('Price History'!M58)),'Price History'!M58=0),"",'Price History'!M59/'Price History'!M58-1),"")</f>
        <v>6.3077656026679252E-2</v>
      </c>
      <c r="N58" s="141">
        <f>IFERROR(IF(OR(NOT(ISNUMBER('Price History'!N59)),NOT(ISNUMBER('Price History'!N58)),'Price History'!N58=0),"",'Price History'!N59/'Price History'!N58-1),"")</f>
        <v>5.7982473479607277E-2</v>
      </c>
      <c r="O58" s="141">
        <f>IFERROR(IF(OR(NOT(ISNUMBER('Price History'!O59)),NOT(ISNUMBER('Price History'!O58)),'Price History'!O58=0),"",'Price History'!O59/'Price History'!O58-1),"")</f>
        <v>1.1943189154293155E-2</v>
      </c>
      <c r="P58" s="141">
        <f>IFERROR(IF(OR(NOT(ISNUMBER('Price History'!P59)),NOT(ISNUMBER('Price History'!P58)),'Price History'!P58=0),"",'Price History'!P59/'Price History'!P58-1),"")</f>
        <v>5.5986563224830199E-4</v>
      </c>
      <c r="Q58" s="141">
        <f>IFERROR(IF(OR(NOT(ISNUMBER('Price History'!Q59)),NOT(ISNUMBER('Price History'!Q58)),'Price History'!Q58=0),"",'Price History'!Q59/'Price History'!Q58-1),"")</f>
        <v>8.1381830260753851E-3</v>
      </c>
      <c r="R58" s="141">
        <f>IFERROR(IF(OR(NOT(ISNUMBER('Price History'!R59)),NOT(ISNUMBER('Price History'!R58)),'Price History'!R58=0),"",'Price History'!R59/'Price History'!R58-1),"")</f>
        <v>8.9944649446493941E-3</v>
      </c>
      <c r="S58" s="141">
        <f>IFERROR(IF(OR(NOT(ISNUMBER('Price History'!S59)),NOT(ISNUMBER('Price History'!S58)),'Price History'!S58=0),"",'Price History'!S59/'Price History'!S58-1),"")</f>
        <v>2.1609042553191626E-2</v>
      </c>
      <c r="T58" s="141">
        <f>IFERROR(IF(OR(NOT(ISNUMBER('Price History'!T59)),NOT(ISNUMBER('Price History'!T58)),'Price History'!T58=0),"",'Price History'!T59/'Price History'!T58-1),"")</f>
        <v>4.2527339003646247E-3</v>
      </c>
      <c r="U58" s="141">
        <f>IFERROR(IF(OR(NOT(ISNUMBER('Price History'!U59)),NOT(ISNUMBER('Price History'!U58)),'Price History'!U58=0),"",'Price History'!U59/'Price History'!U58-1),"")</f>
        <v>1.1424219345011366E-2</v>
      </c>
      <c r="V58" s="142">
        <f>IFERROR(IF(OR(NOT(ISNUMBER('Price History'!V59)),NOT(ISNUMBER('Price History'!V58)),'Price History'!V58=0),"",'Price History'!V59/'Price History'!V58-1),"")</f>
        <v>-3.2870708546395289E-4</v>
      </c>
      <c r="W58" s="143">
        <f>IFERROR('Price History'!B3+(INDEX('Price History'!B:B,MATCH(9.99E+307,'Returns (Calc)'!$A:$A)+1)-'Price History'!B3)*(ROW()-3)/(MATCH(9.99E+307,'Returns (Calc)'!$A:$A)-3),"")</f>
        <v>427.52291139240504</v>
      </c>
      <c r="X58" s="143">
        <f>IFERROR('Price History'!C3+(INDEX('Price History'!C:C,MATCH(9.99E+307,'Returns (Calc)'!$A:$A)+1)-'Price History'!C3)*(ROW()-3)/(MATCH(9.99E+307,'Returns (Calc)'!$A:$A)-3),"")</f>
        <v>102.28348101265823</v>
      </c>
      <c r="Y58" s="143">
        <f>IFERROR('Price History'!D3+(INDEX('Price History'!D:D,MATCH(9.99E+307,'Returns (Calc)'!$A:$A)+1)-'Price History'!D3)*(ROW()-3)/(MATCH(9.99E+307,'Returns (Calc)'!$A:$A)-3),"")</f>
        <v>1029.4245569620252</v>
      </c>
      <c r="Z58" s="143">
        <f>IFERROR('Price History'!E3+(INDEX('Price History'!E:E,MATCH(9.99E+307,'Returns (Calc)'!$A:$A)+1)-'Price History'!E3)*(ROW()-3)/(MATCH(9.99E+307,'Returns (Calc)'!$A:$A)-3),"")</f>
        <v>177.08037974683543</v>
      </c>
      <c r="AA58" s="143">
        <f>IFERROR('Price History'!F3+(INDEX('Price History'!F:F,MATCH(9.99E+307,'Returns (Calc)'!$A:$A)+1)-'Price History'!F3)*(ROW()-3)/(MATCH(9.99E+307,'Returns (Calc)'!$A:$A)-3),"")</f>
        <v>120.96379746835443</v>
      </c>
      <c r="AB58" s="143">
        <f>IFERROR('Price History'!G3+(INDEX('Price History'!G:G,MATCH(9.99E+307,'Returns (Calc)'!$A:$A)+1)-'Price History'!G3)*(ROW()-3)/(MATCH(9.99E+307,'Returns (Calc)'!$A:$A)-3),"")</f>
        <v>100.93037974683543</v>
      </c>
      <c r="AC58" s="143">
        <f>IFERROR('Price History'!H3+(INDEX('Price History'!H:H,MATCH(9.99E+307,'Returns (Calc)'!$A:$A)+1)-'Price History'!H3)*(ROW()-3)/(MATCH(9.99E+307,'Returns (Calc)'!$A:$A)-3),"")</f>
        <v>419.22329113924053</v>
      </c>
      <c r="AD58" s="143">
        <f>IFERROR('Price History'!I3+(INDEX('Price History'!I:I,MATCH(9.99E+307,'Returns (Calc)'!$A:$A)+1)-'Price History'!I3)*(ROW()-3)/(MATCH(9.99E+307,'Returns (Calc)'!$A:$A)-3),"")</f>
        <v>109.97189873417722</v>
      </c>
      <c r="AE58" s="143">
        <f>IFERROR('Price History'!J3+(INDEX('Price History'!J:J,MATCH(9.99E+307,'Returns (Calc)'!$A:$A)+1)-'Price History'!J3)*(ROW()-3)/(MATCH(9.99E+307,'Returns (Calc)'!$A:$A)-3),"")</f>
        <v>117.78208860759494</v>
      </c>
      <c r="AF58" s="143">
        <f>IFERROR('Price History'!K3+(INDEX('Price History'!K:K,MATCH(9.99E+307,'Returns (Calc)'!$A:$A)+1)-'Price History'!K3)*(ROW()-3)/(MATCH(9.99E+307,'Returns (Calc)'!$A:$A)-3),"")</f>
        <v>75.697721518987336</v>
      </c>
      <c r="AG58" s="143">
        <f>IFERROR('Price History'!L3+(INDEX('Price History'!L:L,MATCH(9.99E+307,'Returns (Calc)'!$A:$A)+1)-'Price History'!L3)*(ROW()-3)/(MATCH(9.99E+307,'Returns (Calc)'!$A:$A)-3),"")</f>
        <v>220.47563291139238</v>
      </c>
      <c r="AH58" s="143">
        <f>IFERROR('Price History'!M3+(INDEX('Price History'!M:M,MATCH(9.99E+307,'Returns (Calc)'!$A:$A)+1)-'Price History'!M3)*(ROW()-3)/(MATCH(9.99E+307,'Returns (Calc)'!$A:$A)-3),"")</f>
        <v>112.56936708860761</v>
      </c>
      <c r="AI58" s="143">
        <f>IFERROR('Price History'!N3+(INDEX('Price History'!N:N,MATCH(9.99E+307,'Returns (Calc)'!$A:$A)+1)-'Price History'!N3)*(ROW()-3)/(MATCH(9.99E+307,'Returns (Calc)'!$A:$A)-3),"")</f>
        <v>403.14462025316453</v>
      </c>
      <c r="AJ58" s="143">
        <f>IFERROR('Price History'!O3+(INDEX('Price History'!O:O,MATCH(9.99E+307,'Returns (Calc)'!$A:$A)+1)-'Price History'!O3)*(ROW()-3)/(MATCH(9.99E+307,'Returns (Calc)'!$A:$A)-3),"")</f>
        <v>90.877088607594942</v>
      </c>
      <c r="AK58" s="143">
        <f>IFERROR('Price History'!Q3+(INDEX('Price History'!Q:Q,MATCH(9.99E+307,'Returns (Calc)'!$A:$A)+1)-'Price History'!Q3)*(ROW()-3)/(MATCH(9.99E+307,'Returns (Calc)'!$A:$A)-3),"")</f>
        <v>24.16518987341772</v>
      </c>
      <c r="AL58" s="143">
        <f>IFERROR('Price History'!R3+(INDEX('Price History'!R:R,MATCH(9.99E+307,'Returns (Calc)'!$A:$A)+1)-'Price History'!R3)*(ROW()-3)/(MATCH(9.99E+307,'Returns (Calc)'!$A:$A)-3),"")</f>
        <v>43.725569620253161</v>
      </c>
      <c r="AM58" s="143">
        <f>IFERROR('Price History'!S3+(INDEX('Price History'!S:S,MATCH(9.99E+307,'Returns (Calc)'!$A:$A)+1)-'Price History'!S3)*(ROW()-3)/(MATCH(9.99E+307,'Returns (Calc)'!$A:$A)-3),"")</f>
        <v>90.908481012658228</v>
      </c>
      <c r="AN58" s="143">
        <f>IFERROR('Price History'!T3+(INDEX('Price History'!T:T,MATCH(9.99E+307,'Returns (Calc)'!$A:$A)+1)-'Price History'!T3)*(ROW()-3)/(MATCH(9.99E+307,'Returns (Calc)'!$A:$A)-3),"")</f>
        <v>34.49253164556962</v>
      </c>
      <c r="AO58" s="144">
        <f>IFERROR('Price History'!V3+(INDEX('Price History'!V:V,MATCH(9.99E+307,'Returns (Calc)'!$A:$A)+1)-'Price History'!V3)*(ROW()-3)/(MATCH(9.99E+307,'Returns (Calc)'!$A:$A)-3),"")</f>
        <v>279.15310126582278</v>
      </c>
      <c r="AP58" s="142">
        <f>IFERROR(IF(OR(NOT(ISNUMBER('Price History'!W59)),NOT(ISNUMBER('Price History'!W58)),'Price History'!W58=0),"",'Price History'!W59/'Price History'!W58-1),"")</f>
        <v>1.1122015047432043E-2</v>
      </c>
      <c r="AQ58" s="142" t="str">
        <f>IFERROR(IF(OR(NOT(ISNUMBER('Price History'!X59)),NOT(ISNUMBER('Price History'!X58)),'Price History'!X58=0),"",'Price History'!X59/'Price History'!X58-1),"")</f>
        <v/>
      </c>
      <c r="AR58" s="142">
        <f>IFERROR(IF(OR(NOT(ISNUMBER('Price History'!Y59)),NOT(ISNUMBER('Price History'!Y58)),'Price History'!Y58=0),"",'Price History'!Y59/'Price History'!Y58-1),"")</f>
        <v>5.3709966182613478E-3</v>
      </c>
      <c r="AS58" s="142">
        <f>IFERROR(IF(OR(NOT(ISNUMBER('Price History'!Z59)),NOT(ISNUMBER('Price History'!Z58)),'Price History'!Z58=0),"",'Price History'!Z59/'Price History'!Z58-1),"")</f>
        <v>2.1811899362919718E-2</v>
      </c>
      <c r="AT58" s="142">
        <f>IFERROR(IF(OR(NOT(ISNUMBER('Price History'!AA59)),NOT(ISNUMBER('Price History'!AA58)),'Price History'!AA58=0),"",'Price History'!AA59/'Price History'!AA58-1),"")</f>
        <v>4.3073502848409717E-3</v>
      </c>
    </row>
    <row r="59" spans="1:46" ht="15" customHeight="1" x14ac:dyDescent="0.35">
      <c r="A59" s="140">
        <f>IF('Price History'!A60="","",'Price History'!A60)</f>
        <v>45583</v>
      </c>
      <c r="B59" s="141">
        <f>IFERROR(IF(OR(NOT(ISNUMBER('Price History'!B60)),NOT(ISNUMBER('Price History'!B59)),'Price History'!B59=0),"",'Price History'!B60/'Price History'!B59-1),"")</f>
        <v>-1.049614468531801E-3</v>
      </c>
      <c r="C59" s="141">
        <f>IFERROR(IF(OR(NOT(ISNUMBER('Price History'!C60)),NOT(ISNUMBER('Price History'!C59)),'Price History'!C59=0),"",'Price History'!C60/'Price History'!C59-1),"")</f>
        <v>-3.5786241964885335E-2</v>
      </c>
      <c r="D59" s="141">
        <f>IFERROR(IF(OR(NOT(ISNUMBER('Price History'!D60)),NOT(ISNUMBER('Price History'!D59)),'Price History'!D59=0),"",'Price History'!D60/'Price History'!D59-1),"")</f>
        <v>-0.13967804748255386</v>
      </c>
      <c r="E59" s="141">
        <f>IFERROR(IF(OR(NOT(ISNUMBER('Price History'!E60)),NOT(ISNUMBER('Price History'!E59)),'Price History'!E59=0),"",'Price History'!E60/'Price History'!E59-1),"")</f>
        <v>-8.7448848029596515E-3</v>
      </c>
      <c r="F59" s="141">
        <f>IFERROR(IF(OR(NOT(ISNUMBER('Price History'!F60)),NOT(ISNUMBER('Price History'!F59)),'Price History'!F59=0),"",'Price History'!F60/'Price History'!F59-1),"")</f>
        <v>-3.1355402873204152E-2</v>
      </c>
      <c r="G59" s="141">
        <f>IFERROR(IF(OR(NOT(ISNUMBER('Price History'!G60)),NOT(ISNUMBER('Price History'!G59)),'Price History'!G59=0),"",'Price History'!G60/'Price History'!G59-1),"")</f>
        <v>-0.15584743622126807</v>
      </c>
      <c r="H59" s="141">
        <f>IFERROR(IF(OR(NOT(ISNUMBER('Price History'!H60)),NOT(ISNUMBER('Price History'!H59)),'Price History'!H59=0),"",'Price History'!H60/'Price History'!H59-1),"")</f>
        <v>3.9578828617091277E-2</v>
      </c>
      <c r="I59" s="141">
        <f>IFERROR(IF(OR(NOT(ISNUMBER('Price History'!I60)),NOT(ISNUMBER('Price History'!I59)),'Price History'!I59=0),"",'Price History'!I60/'Price History'!I59-1),"")</f>
        <v>2.3728057125855351E-2</v>
      </c>
      <c r="J59" s="141">
        <f>IFERROR(IF(OR(NOT(ISNUMBER('Price History'!J60)),NOT(ISNUMBER('Price History'!J59)),'Price History'!J59=0),"",'Price History'!J60/'Price History'!J59-1),"")</f>
        <v>1.8760558371121228E-2</v>
      </c>
      <c r="K59" s="141">
        <f>IFERROR(IF(OR(NOT(ISNUMBER('Price History'!K60)),NOT(ISNUMBER('Price History'!K59)),'Price History'!K59=0),"",'Price History'!K60/'Price History'!K59-1),"")</f>
        <v>-1.2410940013789951E-2</v>
      </c>
      <c r="L59" s="141">
        <f>IFERROR(IF(OR(NOT(ISNUMBER('Price History'!L60)),NOT(ISNUMBER('Price History'!L59)),'Price History'!L59=0),"",'Price History'!L60/'Price History'!L59-1),"")</f>
        <v>5.2252832823156625E-2</v>
      </c>
      <c r="M59" s="141">
        <f>IFERROR(IF(OR(NOT(ISNUMBER('Price History'!M60)),NOT(ISNUMBER('Price History'!M59)),'Price History'!M59=0),"",'Price History'!M60/'Price History'!M59-1),"")</f>
        <v>3.6748229810881217E-3</v>
      </c>
      <c r="N59" s="141">
        <f>IFERROR(IF(OR(NOT(ISNUMBER('Price History'!N60)),NOT(ISNUMBER('Price History'!N59)),'Price History'!N59=0),"",'Price History'!N60/'Price History'!N59-1),"")</f>
        <v>2.6779597683252998E-3</v>
      </c>
      <c r="O59" s="141">
        <f>IFERROR(IF(OR(NOT(ISNUMBER('Price History'!O60)),NOT(ISNUMBER('Price History'!O59)),'Price History'!O59=0),"",'Price History'!O60/'Price History'!O59-1),"")</f>
        <v>1.254651780967575E-2</v>
      </c>
      <c r="P59" s="141">
        <f>IFERROR(IF(OR(NOT(ISNUMBER('Price History'!P60)),NOT(ISNUMBER('Price History'!P59)),'Price History'!P59=0),"",'Price History'!P60/'Price History'!P59-1),"")</f>
        <v>1.934452438049572E-2</v>
      </c>
      <c r="Q59" s="141">
        <f>IFERROR(IF(OR(NOT(ISNUMBER('Price History'!Q60)),NOT(ISNUMBER('Price History'!Q59)),'Price History'!Q59=0),"",'Price History'!Q60/'Price History'!Q59-1),"")</f>
        <v>8.2372322899506578E-3</v>
      </c>
      <c r="R59" s="141">
        <f>IFERROR(IF(OR(NOT(ISNUMBER('Price History'!R60)),NOT(ISNUMBER('Price History'!R59)),'Price History'!R59=0),"",'Price History'!R60/'Price History'!R59-1),"")</f>
        <v>7.5428571428570734E-3</v>
      </c>
      <c r="S59" s="141">
        <f>IFERROR(IF(OR(NOT(ISNUMBER('Price History'!S60)),NOT(ISNUMBER('Price History'!S59)),'Price History'!S59=0),"",'Price History'!S60/'Price History'!S59-1),"")</f>
        <v>4.3388653867013627E-3</v>
      </c>
      <c r="T59" s="141">
        <f>IFERROR(IF(OR(NOT(ISNUMBER('Price History'!T60)),NOT(ISNUMBER('Price History'!T59)),'Price History'!T59=0),"",'Price History'!T60/'Price History'!T59-1),"")</f>
        <v>-4.8396854204477702E-3</v>
      </c>
      <c r="U59" s="141">
        <f>IFERROR(IF(OR(NOT(ISNUMBER('Price History'!U60)),NOT(ISNUMBER('Price History'!U59)),'Price History'!U59=0),"",'Price History'!U60/'Price History'!U59-1),"")</f>
        <v>9.4126506024097001E-3</v>
      </c>
      <c r="V59" s="142">
        <f>IFERROR(IF(OR(NOT(ISNUMBER('Price History'!V60)),NOT(ISNUMBER('Price History'!V59)),'Price History'!V59=0),"",'Price History'!V60/'Price History'!V59-1),"")</f>
        <v>4.5997588688758251E-2</v>
      </c>
      <c r="W59" s="143">
        <f>IFERROR('Price History'!B3+(INDEX('Price History'!B:B,MATCH(9.99E+307,'Returns (Calc)'!$A:$A)+1)-'Price History'!B3)*(ROW()-3)/(MATCH(9.99E+307,'Returns (Calc)'!$A:$A)-3),"")</f>
        <v>425.67987341772152</v>
      </c>
      <c r="X59" s="143">
        <f>IFERROR('Price History'!C3+(INDEX('Price History'!C:C,MATCH(9.99E+307,'Returns (Calc)'!$A:$A)+1)-'Price History'!C3)*(ROW()-3)/(MATCH(9.99E+307,'Returns (Calc)'!$A:$A)-3),"")</f>
        <v>103.30354430379745</v>
      </c>
      <c r="Y59" s="143">
        <f>IFERROR('Price History'!D3+(INDEX('Price History'!D:D,MATCH(9.99E+307,'Returns (Calc)'!$A:$A)+1)-'Price History'!D3)*(ROW()-3)/(MATCH(9.99E+307,'Returns (Calc)'!$A:$A)-3),"")</f>
        <v>1037.5593670886076</v>
      </c>
      <c r="Z59" s="143">
        <f>IFERROR('Price History'!E3+(INDEX('Price History'!E:E,MATCH(9.99E+307,'Returns (Calc)'!$A:$A)+1)-'Price History'!E3)*(ROW()-3)/(MATCH(9.99E+307,'Returns (Calc)'!$A:$A)-3),"")</f>
        <v>178.80911392405062</v>
      </c>
      <c r="AA59" s="143">
        <f>IFERROR('Price History'!F3+(INDEX('Price History'!F:F,MATCH(9.99E+307,'Returns (Calc)'!$A:$A)+1)-'Price History'!F3)*(ROW()-3)/(MATCH(9.99E+307,'Returns (Calc)'!$A:$A)-3),"")</f>
        <v>122.41113924050633</v>
      </c>
      <c r="AB59" s="143">
        <f>IFERROR('Price History'!G3+(INDEX('Price History'!G:G,MATCH(9.99E+307,'Returns (Calc)'!$A:$A)+1)-'Price History'!G3)*(ROW()-3)/(MATCH(9.99E+307,'Returns (Calc)'!$A:$A)-3),"")</f>
        <v>101.95911392405063</v>
      </c>
      <c r="AC59" s="143">
        <f>IFERROR('Price History'!H3+(INDEX('Price History'!H:H,MATCH(9.99E+307,'Returns (Calc)'!$A:$A)+1)-'Price History'!H3)*(ROW()-3)/(MATCH(9.99E+307,'Returns (Calc)'!$A:$A)-3),"")</f>
        <v>425.58898734177222</v>
      </c>
      <c r="AD59" s="143">
        <f>IFERROR('Price History'!I3+(INDEX('Price History'!I:I,MATCH(9.99E+307,'Returns (Calc)'!$A:$A)+1)-'Price History'!I3)*(ROW()-3)/(MATCH(9.99E+307,'Returns (Calc)'!$A:$A)-3),"")</f>
        <v>111.17556962025316</v>
      </c>
      <c r="AE59" s="143">
        <f>IFERROR('Price History'!J3+(INDEX('Price History'!J:J,MATCH(9.99E+307,'Returns (Calc)'!$A:$A)+1)-'Price History'!J3)*(ROW()-3)/(MATCH(9.99E+307,'Returns (Calc)'!$A:$A)-3),"")</f>
        <v>117.89012658227848</v>
      </c>
      <c r="AF59" s="143">
        <f>IFERROR('Price History'!K3+(INDEX('Price History'!K:K,MATCH(9.99E+307,'Returns (Calc)'!$A:$A)+1)-'Price History'!K3)*(ROW()-3)/(MATCH(9.99E+307,'Returns (Calc)'!$A:$A)-3),"")</f>
        <v>76.795316455696195</v>
      </c>
      <c r="AG59" s="143">
        <f>IFERROR('Price History'!L3+(INDEX('Price History'!L:L,MATCH(9.99E+307,'Returns (Calc)'!$A:$A)+1)-'Price History'!L3)*(ROW()-3)/(MATCH(9.99E+307,'Returns (Calc)'!$A:$A)-3),"")</f>
        <v>222.92518987341774</v>
      </c>
      <c r="AH59" s="143">
        <f>IFERROR('Price History'!M3+(INDEX('Price History'!M:M,MATCH(9.99E+307,'Returns (Calc)'!$A:$A)+1)-'Price History'!M3)*(ROW()-3)/(MATCH(9.99E+307,'Returns (Calc)'!$A:$A)-3),"")</f>
        <v>113.92481012658229</v>
      </c>
      <c r="AI59" s="143">
        <f>IFERROR('Price History'!N3+(INDEX('Price History'!N:N,MATCH(9.99E+307,'Returns (Calc)'!$A:$A)+1)-'Price History'!N3)*(ROW()-3)/(MATCH(9.99E+307,'Returns (Calc)'!$A:$A)-3),"")</f>
        <v>404.13088607594938</v>
      </c>
      <c r="AJ59" s="143">
        <f>IFERROR('Price History'!O3+(INDEX('Price History'!O:O,MATCH(9.99E+307,'Returns (Calc)'!$A:$A)+1)-'Price History'!O3)*(ROW()-3)/(MATCH(9.99E+307,'Returns (Calc)'!$A:$A)-3),"")</f>
        <v>91.16012658227848</v>
      </c>
      <c r="AK59" s="143">
        <f>IFERROR('Price History'!Q3+(INDEX('Price History'!Q:Q,MATCH(9.99E+307,'Returns (Calc)'!$A:$A)+1)-'Price History'!Q3)*(ROW()-3)/(MATCH(9.99E+307,'Returns (Calc)'!$A:$A)-3),"")</f>
        <v>24.604556962025317</v>
      </c>
      <c r="AL59" s="143">
        <f>IFERROR('Price History'!R3+(INDEX('Price History'!R:R,MATCH(9.99E+307,'Returns (Calc)'!$A:$A)+1)-'Price History'!R3)*(ROW()-3)/(MATCH(9.99E+307,'Returns (Calc)'!$A:$A)-3),"")</f>
        <v>43.893670886075945</v>
      </c>
      <c r="AM59" s="143">
        <f>IFERROR('Price History'!S3+(INDEX('Price History'!S:S,MATCH(9.99E+307,'Returns (Calc)'!$A:$A)+1)-'Price History'!S3)*(ROW()-3)/(MATCH(9.99E+307,'Returns (Calc)'!$A:$A)-3),"")</f>
        <v>91.51354430379746</v>
      </c>
      <c r="AN59" s="143">
        <f>IFERROR('Price History'!T3+(INDEX('Price History'!T:T,MATCH(9.99E+307,'Returns (Calc)'!$A:$A)+1)-'Price History'!T3)*(ROW()-3)/(MATCH(9.99E+307,'Returns (Calc)'!$A:$A)-3),"")</f>
        <v>34.660759493670881</v>
      </c>
      <c r="AO59" s="144">
        <f>IFERROR('Price History'!V3+(INDEX('Price History'!V:V,MATCH(9.99E+307,'Returns (Calc)'!$A:$A)+1)-'Price History'!V3)*(ROW()-3)/(MATCH(9.99E+307,'Returns (Calc)'!$A:$A)-3),"")</f>
        <v>279.94443037974685</v>
      </c>
      <c r="AP59" s="142">
        <f>IFERROR(IF(OR(NOT(ISNUMBER('Price History'!W60)),NOT(ISNUMBER('Price History'!W59)),'Price History'!W59=0),"",'Price History'!W60/'Price History'!W59-1),"")</f>
        <v>1.0109996764801066E-2</v>
      </c>
      <c r="AQ59" s="142" t="str">
        <f>IFERROR(IF(OR(NOT(ISNUMBER('Price History'!X60)),NOT(ISNUMBER('Price History'!X59)),'Price History'!X59=0),"",'Price History'!X60/'Price History'!X59-1),"")</f>
        <v/>
      </c>
      <c r="AR59" s="142">
        <f>IFERROR(IF(OR(NOT(ISNUMBER('Price History'!Y60)),NOT(ISNUMBER('Price History'!Y59)),'Price History'!Y59=0),"",'Price History'!Y60/'Price History'!Y59-1),"")</f>
        <v>7.3209339137316753E-3</v>
      </c>
      <c r="AS59" s="142">
        <f>IFERROR(IF(OR(NOT(ISNUMBER('Price History'!Z60)),NOT(ISNUMBER('Price History'!Z59)),'Price History'!Z59=0),"",'Price History'!Z60/'Price History'!Z59-1),"")</f>
        <v>7.555743421747918E-3</v>
      </c>
      <c r="AT59" s="142">
        <f>IFERROR(IF(OR(NOT(ISNUMBER('Price History'!AA60)),NOT(ISNUMBER('Price History'!AA59)),'Price History'!AA59=0),"",'Price History'!AA60/'Price History'!AA59-1),"")</f>
        <v>5.6862202545655771E-2</v>
      </c>
    </row>
    <row r="60" spans="1:46" ht="15" customHeight="1" x14ac:dyDescent="0.35">
      <c r="A60" s="140">
        <f>IF('Price History'!A61="","",'Price History'!A61)</f>
        <v>45590</v>
      </c>
      <c r="B60" s="141">
        <f>IFERROR(IF(OR(NOT(ISNUMBER('Price History'!B61)),NOT(ISNUMBER('Price History'!B60)),'Price History'!B60=0),"",'Price History'!B61/'Price History'!B60-1),"")</f>
        <v>-2.2590422307536828E-2</v>
      </c>
      <c r="C60" s="141">
        <f>IFERROR(IF(OR(NOT(ISNUMBER('Price History'!C61)),NOT(ISNUMBER('Price History'!C60)),'Price History'!C60=0),"",'Price History'!C61/'Price History'!C60-1),"")</f>
        <v>-1.9701492537313459E-2</v>
      </c>
      <c r="D60" s="141">
        <f>IFERROR(IF(OR(NOT(ISNUMBER('Price History'!D61)),NOT(ISNUMBER('Price History'!D60)),'Price History'!D60=0),"",'Price History'!D61/'Price History'!D60-1),"")</f>
        <v>-1.5983917676497872E-2</v>
      </c>
      <c r="E60" s="141">
        <f>IFERROR(IF(OR(NOT(ISNUMBER('Price History'!E61)),NOT(ISNUMBER('Price History'!E60)),'Price History'!E60=0),"",'Price History'!E61/'Price History'!E60-1),"")</f>
        <v>-3.8285358819204918E-2</v>
      </c>
      <c r="F60" s="141">
        <f>IFERROR(IF(OR(NOT(ISNUMBER('Price History'!F61)),NOT(ISNUMBER('Price History'!F60)),'Price History'!F60=0),"",'Price History'!F61/'Price History'!F60-1),"")</f>
        <v>-3.0822801134898103E-2</v>
      </c>
      <c r="G60" s="141">
        <f>IFERROR(IF(OR(NOT(ISNUMBER('Price History'!G61)),NOT(ISNUMBER('Price History'!G60)),'Price History'!G60=0),"",'Price History'!G61/'Price History'!G60-1),"")</f>
        <v>-7.9293836026331777E-3</v>
      </c>
      <c r="H60" s="141">
        <f>IFERROR(IF(OR(NOT(ISNUMBER('Price History'!H61)),NOT(ISNUMBER('Price History'!H60)),'Price History'!H60=0),"",'Price History'!H61/'Price History'!H60-1),"")</f>
        <v>-2.9119189726894534E-2</v>
      </c>
      <c r="I60" s="141">
        <f>IFERROR(IF(OR(NOT(ISNUMBER('Price History'!I61)),NOT(ISNUMBER('Price History'!I60)),'Price History'!I60=0),"",'Price History'!I61/'Price History'!I60-1),"")</f>
        <v>2.5648477802804548E-2</v>
      </c>
      <c r="J60" s="141">
        <f>IFERROR(IF(OR(NOT(ISNUMBER('Price History'!J61)),NOT(ISNUMBER('Price History'!J60)),'Price History'!J60=0),"",'Price History'!J61/'Price History'!J60-1),"")</f>
        <v>-4.0495723511956738E-2</v>
      </c>
      <c r="K60" s="141">
        <f>IFERROR(IF(OR(NOT(ISNUMBER('Price History'!K61)),NOT(ISNUMBER('Price History'!K60)),'Price History'!K60=0),"",'Price History'!K61/'Price History'!K60-1),"")</f>
        <v>4.3984175005818082E-2</v>
      </c>
      <c r="L60" s="141">
        <f>IFERROR(IF(OR(NOT(ISNUMBER('Price History'!L61)),NOT(ISNUMBER('Price History'!L60)),'Price History'!L60=0),"",'Price History'!L61/'Price History'!L60-1),"")</f>
        <v>1.3269368173930873E-2</v>
      </c>
      <c r="M60" s="141">
        <f>IFERROR(IF(OR(NOT(ISNUMBER('Price History'!M61)),NOT(ISNUMBER('Price History'!M60)),'Price History'!M60=0),"",'Price History'!M61/'Price History'!M60-1),"")</f>
        <v>-7.1441328808719007E-4</v>
      </c>
      <c r="N60" s="141">
        <f>IFERROR(IF(OR(NOT(ISNUMBER('Price History'!N61)),NOT(ISNUMBER('Price History'!N60)),'Price History'!N60=0),"",'Price History'!N61/'Price History'!N60-1),"")</f>
        <v>-1.0973084886128359E-2</v>
      </c>
      <c r="O60" s="141">
        <f>IFERROR(IF(OR(NOT(ISNUMBER('Price History'!O61)),NOT(ISNUMBER('Price History'!O60)),'Price History'!O60=0),"",'Price History'!O61/'Price History'!O60-1),"")</f>
        <v>-3.328782946550457E-2</v>
      </c>
      <c r="P60" s="141">
        <f>IFERROR(IF(OR(NOT(ISNUMBER('Price History'!P61)),NOT(ISNUMBER('Price History'!P60)),'Price History'!P60=0),"",'Price History'!P61/'Price History'!P60-1),"")</f>
        <v>-2.3604140526976125E-2</v>
      </c>
      <c r="Q60" s="141">
        <f>IFERROR(IF(OR(NOT(ISNUMBER('Price History'!Q61)),NOT(ISNUMBER('Price History'!Q60)),'Price History'!Q60=0),"",'Price History'!Q61/'Price History'!Q60-1),"")</f>
        <v>-2.7777777777777679E-3</v>
      </c>
      <c r="R60" s="141">
        <f>IFERROR(IF(OR(NOT(ISNUMBER('Price History'!R61)),NOT(ISNUMBER('Price History'!R60)),'Price History'!R60=0),"",'Price History'!R61/'Price History'!R60-1),"")</f>
        <v>2.2686025408349408E-3</v>
      </c>
      <c r="S60" s="141">
        <f>IFERROR(IF(OR(NOT(ISNUMBER('Price History'!S61)),NOT(ISNUMBER('Price History'!S60)),'Price History'!S60=0),"",'Price History'!S61/'Price History'!S60-1),"")</f>
        <v>-1.4688411275515678E-2</v>
      </c>
      <c r="T60" s="141">
        <f>IFERROR(IF(OR(NOT(ISNUMBER('Price History'!T61)),NOT(ISNUMBER('Price History'!T60)),'Price History'!T60=0),"",'Price History'!T61/'Price History'!T60-1),"")</f>
        <v>-1.9148936170212627E-2</v>
      </c>
      <c r="U60" s="141">
        <f>IFERROR(IF(OR(NOT(ISNUMBER('Price History'!U61)),NOT(ISNUMBER('Price History'!U60)),'Price History'!U60=0),"",'Price History'!U61/'Price History'!U60-1),"")</f>
        <v>-2.3125699365908137E-2</v>
      </c>
      <c r="V60" s="142">
        <f>IFERROR(IF(OR(NOT(ISNUMBER('Price History'!V61)),NOT(ISNUMBER('Price History'!V60)),'Price History'!V60=0),"",'Price History'!V61/'Price History'!V60-1),"")</f>
        <v>-3.0562347188264005E-2</v>
      </c>
      <c r="W60" s="143">
        <f>IFERROR('Price History'!B3+(INDEX('Price History'!B:B,MATCH(9.99E+307,'Returns (Calc)'!$A:$A)+1)-'Price History'!B3)*(ROW()-3)/(MATCH(9.99E+307,'Returns (Calc)'!$A:$A)-3),"")</f>
        <v>423.83683544303796</v>
      </c>
      <c r="X60" s="143">
        <f>IFERROR('Price History'!C3+(INDEX('Price History'!C:C,MATCH(9.99E+307,'Returns (Calc)'!$A:$A)+1)-'Price History'!C3)*(ROW()-3)/(MATCH(9.99E+307,'Returns (Calc)'!$A:$A)-3),"")</f>
        <v>104.3236075949367</v>
      </c>
      <c r="Y60" s="143">
        <f>IFERROR('Price History'!D3+(INDEX('Price History'!D:D,MATCH(9.99E+307,'Returns (Calc)'!$A:$A)+1)-'Price History'!D3)*(ROW()-3)/(MATCH(9.99E+307,'Returns (Calc)'!$A:$A)-3),"")</f>
        <v>1045.6941772151899</v>
      </c>
      <c r="Z60" s="143">
        <f>IFERROR('Price History'!E3+(INDEX('Price History'!E:E,MATCH(9.99E+307,'Returns (Calc)'!$A:$A)+1)-'Price History'!E3)*(ROW()-3)/(MATCH(9.99E+307,'Returns (Calc)'!$A:$A)-3),"")</f>
        <v>180.53784810126581</v>
      </c>
      <c r="AA60" s="143">
        <f>IFERROR('Price History'!F3+(INDEX('Price History'!F:F,MATCH(9.99E+307,'Returns (Calc)'!$A:$A)+1)-'Price History'!F3)*(ROW()-3)/(MATCH(9.99E+307,'Returns (Calc)'!$A:$A)-3),"")</f>
        <v>123.85848101265823</v>
      </c>
      <c r="AB60" s="143">
        <f>IFERROR('Price History'!G3+(INDEX('Price History'!G:G,MATCH(9.99E+307,'Returns (Calc)'!$A:$A)+1)-'Price History'!G3)*(ROW()-3)/(MATCH(9.99E+307,'Returns (Calc)'!$A:$A)-3),"")</f>
        <v>102.98784810126583</v>
      </c>
      <c r="AC60" s="143">
        <f>IFERROR('Price History'!H3+(INDEX('Price History'!H:H,MATCH(9.99E+307,'Returns (Calc)'!$A:$A)+1)-'Price History'!H3)*(ROW()-3)/(MATCH(9.99E+307,'Returns (Calc)'!$A:$A)-3),"")</f>
        <v>431.95468354430386</v>
      </c>
      <c r="AD60" s="143">
        <f>IFERROR('Price History'!I3+(INDEX('Price History'!I:I,MATCH(9.99E+307,'Returns (Calc)'!$A:$A)+1)-'Price History'!I3)*(ROW()-3)/(MATCH(9.99E+307,'Returns (Calc)'!$A:$A)-3),"")</f>
        <v>112.3792405063291</v>
      </c>
      <c r="AE60" s="143">
        <f>IFERROR('Price History'!J3+(INDEX('Price History'!J:J,MATCH(9.99E+307,'Returns (Calc)'!$A:$A)+1)-'Price History'!J3)*(ROW()-3)/(MATCH(9.99E+307,'Returns (Calc)'!$A:$A)-3),"")</f>
        <v>117.99816455696202</v>
      </c>
      <c r="AF60" s="143">
        <f>IFERROR('Price History'!K3+(INDEX('Price History'!K:K,MATCH(9.99E+307,'Returns (Calc)'!$A:$A)+1)-'Price History'!K3)*(ROW()-3)/(MATCH(9.99E+307,'Returns (Calc)'!$A:$A)-3),"")</f>
        <v>77.892911392405054</v>
      </c>
      <c r="AG60" s="143">
        <f>IFERROR('Price History'!L3+(INDEX('Price History'!L:L,MATCH(9.99E+307,'Returns (Calc)'!$A:$A)+1)-'Price History'!L3)*(ROW()-3)/(MATCH(9.99E+307,'Returns (Calc)'!$A:$A)-3),"")</f>
        <v>225.37474683544303</v>
      </c>
      <c r="AH60" s="143">
        <f>IFERROR('Price History'!M3+(INDEX('Price History'!M:M,MATCH(9.99E+307,'Returns (Calc)'!$A:$A)+1)-'Price History'!M3)*(ROW()-3)/(MATCH(9.99E+307,'Returns (Calc)'!$A:$A)-3),"")</f>
        <v>115.28025316455697</v>
      </c>
      <c r="AI60" s="143">
        <f>IFERROR('Price History'!N3+(INDEX('Price History'!N:N,MATCH(9.99E+307,'Returns (Calc)'!$A:$A)+1)-'Price History'!N3)*(ROW()-3)/(MATCH(9.99E+307,'Returns (Calc)'!$A:$A)-3),"")</f>
        <v>405.11715189873416</v>
      </c>
      <c r="AJ60" s="143">
        <f>IFERROR('Price History'!O3+(INDEX('Price History'!O:O,MATCH(9.99E+307,'Returns (Calc)'!$A:$A)+1)-'Price History'!O3)*(ROW()-3)/(MATCH(9.99E+307,'Returns (Calc)'!$A:$A)-3),"")</f>
        <v>91.443164556962031</v>
      </c>
      <c r="AK60" s="143">
        <f>IFERROR('Price History'!Q3+(INDEX('Price History'!Q:Q,MATCH(9.99E+307,'Returns (Calc)'!$A:$A)+1)-'Price History'!Q3)*(ROW()-3)/(MATCH(9.99E+307,'Returns (Calc)'!$A:$A)-3),"")</f>
        <v>25.043924050632913</v>
      </c>
      <c r="AL60" s="143">
        <f>IFERROR('Price History'!R3+(INDEX('Price History'!R:R,MATCH(9.99E+307,'Returns (Calc)'!$A:$A)+1)-'Price History'!R3)*(ROW()-3)/(MATCH(9.99E+307,'Returns (Calc)'!$A:$A)-3),"")</f>
        <v>44.06177215189873</v>
      </c>
      <c r="AM60" s="143">
        <f>IFERROR('Price History'!S3+(INDEX('Price History'!S:S,MATCH(9.99E+307,'Returns (Calc)'!$A:$A)+1)-'Price History'!S3)*(ROW()-3)/(MATCH(9.99E+307,'Returns (Calc)'!$A:$A)-3),"")</f>
        <v>92.118607594936719</v>
      </c>
      <c r="AN60" s="143">
        <f>IFERROR('Price History'!T3+(INDEX('Price History'!T:T,MATCH(9.99E+307,'Returns (Calc)'!$A:$A)+1)-'Price History'!T3)*(ROW()-3)/(MATCH(9.99E+307,'Returns (Calc)'!$A:$A)-3),"")</f>
        <v>34.828987341772148</v>
      </c>
      <c r="AO60" s="144">
        <f>IFERROR('Price History'!V3+(INDEX('Price History'!V:V,MATCH(9.99E+307,'Returns (Calc)'!$A:$A)+1)-'Price History'!V3)*(ROW()-3)/(MATCH(9.99E+307,'Returns (Calc)'!$A:$A)-3),"")</f>
        <v>280.73575949367091</v>
      </c>
      <c r="AP60" s="142">
        <f>IFERROR(IF(OR(NOT(ISNUMBER('Price History'!W61)),NOT(ISNUMBER('Price History'!W60)),'Price History'!W60=0),"",'Price History'!W61/'Price History'!W60-1),"")</f>
        <v>-2.2820081671871217E-2</v>
      </c>
      <c r="AQ60" s="142" t="str">
        <f>IFERROR(IF(OR(NOT(ISNUMBER('Price History'!X61)),NOT(ISNUMBER('Price History'!X60)),'Price History'!X60=0),"",'Price History'!X61/'Price History'!X60-1),"")</f>
        <v/>
      </c>
      <c r="AR60" s="142">
        <f>IFERROR(IF(OR(NOT(ISNUMBER('Price History'!Y61)),NOT(ISNUMBER('Price History'!Y60)),'Price History'!Y60=0),"",'Price History'!Y61/'Price History'!Y60-1),"")</f>
        <v>-1.1196228638774119E-2</v>
      </c>
      <c r="AS60" s="142">
        <f>IFERROR(IF(OR(NOT(ISNUMBER('Price History'!Z61)),NOT(ISNUMBER('Price History'!Z60)),'Price History'!Z60=0),"",'Price History'!Z61/'Price History'!Z60-1),"")</f>
        <v>-7.011379726257283E-2</v>
      </c>
      <c r="AT60" s="142">
        <f>IFERROR(IF(OR(NOT(ISNUMBER('Price History'!AA61)),NOT(ISNUMBER('Price History'!AA60)),'Price History'!AA60=0),"",'Price History'!AA61/'Price History'!AA60-1),"")</f>
        <v>-1.2043461186019178E-2</v>
      </c>
    </row>
    <row r="61" spans="1:46" ht="15" customHeight="1" x14ac:dyDescent="0.35">
      <c r="A61" s="140">
        <f>IF('Price History'!A62="","",'Price History'!A62)</f>
        <v>45597</v>
      </c>
      <c r="B61" s="141">
        <f>IFERROR(IF(OR(NOT(ISNUMBER('Price History'!B62)),NOT(ISNUMBER('Price History'!B61)),'Price History'!B61=0),"",'Price History'!B62/'Price History'!B61-1),"")</f>
        <v>-1.901926734474535E-3</v>
      </c>
      <c r="C61" s="141">
        <f>IFERROR(IF(OR(NOT(ISNUMBER('Price History'!C62)),NOT(ISNUMBER('Price History'!C61)),'Price History'!C61=0),"",'Price History'!C62/'Price History'!C61-1),"")</f>
        <v>2.0300446609833322E-4</v>
      </c>
      <c r="D61" s="141">
        <f>IFERROR(IF(OR(NOT(ISNUMBER('Price History'!D62)),NOT(ISNUMBER('Price History'!D61)),'Price History'!D61=0),"",'Price History'!D62/'Price History'!D61-1),"")</f>
        <v>-4.9744989070960255E-2</v>
      </c>
      <c r="E61" s="141">
        <f>IFERROR(IF(OR(NOT(ISNUMBER('Price History'!E62)),NOT(ISNUMBER('Price History'!E61)),'Price History'!E61=0),"",'Price History'!E62/'Price History'!E61-1),"")</f>
        <v>-2.3638715747383299E-2</v>
      </c>
      <c r="F61" s="141">
        <f>IFERROR(IF(OR(NOT(ISNUMBER('Price History'!F62)),NOT(ISNUMBER('Price History'!F61)),'Price History'!F61=0),"",'Price History'!F62/'Price History'!F61-1),"")</f>
        <v>8.3832335329341312E-3</v>
      </c>
      <c r="G61" s="141">
        <f>IFERROR(IF(OR(NOT(ISNUMBER('Price History'!G62)),NOT(ISNUMBER('Price History'!G61)),'Price History'!G61=0),"",'Price History'!G62/'Price History'!G61-1),"")</f>
        <v>-5.579852209319891E-3</v>
      </c>
      <c r="H61" s="141">
        <f>IFERROR(IF(OR(NOT(ISNUMBER('Price History'!H62)),NOT(ISNUMBER('Price History'!H61)),'Price History'!H61=0),"",'Price History'!H62/'Price History'!H61-1),"")</f>
        <v>-7.5819672131147597E-2</v>
      </c>
      <c r="I61" s="141">
        <f>IFERROR(IF(OR(NOT(ISNUMBER('Price History'!I62)),NOT(ISNUMBER('Price History'!I61)),'Price History'!I61=0),"",'Price History'!I62/'Price History'!I61-1),"")</f>
        <v>-4.3355058090110532E-2</v>
      </c>
      <c r="J61" s="141">
        <f>IFERROR(IF(OR(NOT(ISNUMBER('Price History'!J62)),NOT(ISNUMBER('Price History'!J61)),'Price History'!J61=0),"",'Price History'!J62/'Price History'!J61-1),"")</f>
        <v>-3.5201018737493261E-2</v>
      </c>
      <c r="K61" s="141">
        <f>IFERROR(IF(OR(NOT(ISNUMBER('Price History'!K62)),NOT(ISNUMBER('Price History'!K61)),'Price History'!K61=0),"",'Price History'!K62/'Price History'!K61-1),"")</f>
        <v>-6.553722692822106E-2</v>
      </c>
      <c r="L61" s="141">
        <f>IFERROR(IF(OR(NOT(ISNUMBER('Price History'!L62)),NOT(ISNUMBER('Price History'!L61)),'Price History'!L61=0),"",'Price History'!L62/'Price History'!L61-1),"")</f>
        <v>-5.1576508512138464E-2</v>
      </c>
      <c r="M61" s="141">
        <f>IFERROR(IF(OR(NOT(ISNUMBER('Price History'!M62)),NOT(ISNUMBER('Price History'!M61)),'Price History'!M61=0),"",'Price History'!M62/'Price History'!M61-1),"")</f>
        <v>-4.7006255585344103E-2</v>
      </c>
      <c r="N61" s="141">
        <f>IFERROR(IF(OR(NOT(ISNUMBER('Price History'!N62)),NOT(ISNUMBER('Price History'!N61)),'Price History'!N61=0),"",'Price History'!N62/'Price History'!N61-1),"")</f>
        <v>-1.3774335356918521E-2</v>
      </c>
      <c r="O61" s="141">
        <f>IFERROR(IF(OR(NOT(ISNUMBER('Price History'!O62)),NOT(ISNUMBER('Price History'!O61)),'Price History'!O61=0),"",'Price History'!O62/'Price History'!O61-1),"")</f>
        <v>-2.3897458179448217E-3</v>
      </c>
      <c r="P61" s="141">
        <f>IFERROR(IF(OR(NOT(ISNUMBER('Price History'!P62)),NOT(ISNUMBER('Price History'!P61)),'Price History'!P61=0),"",'Price History'!P62/'Price History'!P61-1),"")</f>
        <v>-9.6377800979841055E-4</v>
      </c>
      <c r="Q61" s="141">
        <f>IFERROR(IF(OR(NOT(ISNUMBER('Price History'!Q62)),NOT(ISNUMBER('Price History'!Q61)),'Price History'!Q61=0),"",'Price History'!Q62/'Price History'!Q61-1),"")</f>
        <v>-8.8481074881205934E-3</v>
      </c>
      <c r="R61" s="141">
        <f>IFERROR(IF(OR(NOT(ISNUMBER('Price History'!R62)),NOT(ISNUMBER('Price History'!R61)),'Price History'!R61=0),"",'Price History'!R62/'Price History'!R61-1),"")</f>
        <v>-8.3748302399274666E-3</v>
      </c>
      <c r="S61" s="141">
        <f>IFERROR(IF(OR(NOT(ISNUMBER('Price History'!S62)),NOT(ISNUMBER('Price History'!S61)),'Price History'!S61=0),"",'Price History'!S62/'Price History'!S61-1),"")</f>
        <v>-1.3701633234681543E-2</v>
      </c>
      <c r="T61" s="141">
        <f>IFERROR(IF(OR(NOT(ISNUMBER('Price History'!T62)),NOT(ISNUMBER('Price History'!T61)),'Price History'!T61=0),"",'Price History'!T62/'Price History'!T61-1),"")</f>
        <v>6.197706848465323E-4</v>
      </c>
      <c r="U61" s="141">
        <f>IFERROR(IF(OR(NOT(ISNUMBER('Price History'!U62)),NOT(ISNUMBER('Price History'!U61)),'Price History'!U61=0),"",'Price History'!U62/'Price History'!U61-1),"")</f>
        <v>-1.5273004963727299E-3</v>
      </c>
      <c r="V61" s="142">
        <f>IFERROR(IF(OR(NOT(ISNUMBER('Price History'!V62)),NOT(ISNUMBER('Price History'!V61)),'Price History'!V61=0),"",'Price History'!V62/'Price History'!V61-1),"")</f>
        <v>3.1958205728697564E-2</v>
      </c>
      <c r="W61" s="143">
        <f>IFERROR('Price History'!B3+(INDEX('Price History'!B:B,MATCH(9.99E+307,'Returns (Calc)'!$A:$A)+1)-'Price History'!B3)*(ROW()-3)/(MATCH(9.99E+307,'Returns (Calc)'!$A:$A)-3),"")</f>
        <v>421.99379746835444</v>
      </c>
      <c r="X61" s="143">
        <f>IFERROR('Price History'!C3+(INDEX('Price History'!C:C,MATCH(9.99E+307,'Returns (Calc)'!$A:$A)+1)-'Price History'!C3)*(ROW()-3)/(MATCH(9.99E+307,'Returns (Calc)'!$A:$A)-3),"")</f>
        <v>105.34367088607594</v>
      </c>
      <c r="Y61" s="143">
        <f>IFERROR('Price History'!D3+(INDEX('Price History'!D:D,MATCH(9.99E+307,'Returns (Calc)'!$A:$A)+1)-'Price History'!D3)*(ROW()-3)/(MATCH(9.99E+307,'Returns (Calc)'!$A:$A)-3),"")</f>
        <v>1053.8289873417721</v>
      </c>
      <c r="Z61" s="143">
        <f>IFERROR('Price History'!E3+(INDEX('Price History'!E:E,MATCH(9.99E+307,'Returns (Calc)'!$A:$A)+1)-'Price History'!E3)*(ROW()-3)/(MATCH(9.99E+307,'Returns (Calc)'!$A:$A)-3),"")</f>
        <v>182.266582278481</v>
      </c>
      <c r="AA61" s="143">
        <f>IFERROR('Price History'!F3+(INDEX('Price History'!F:F,MATCH(9.99E+307,'Returns (Calc)'!$A:$A)+1)-'Price History'!F3)*(ROW()-3)/(MATCH(9.99E+307,'Returns (Calc)'!$A:$A)-3),"")</f>
        <v>125.30582278481013</v>
      </c>
      <c r="AB61" s="143">
        <f>IFERROR('Price History'!G3+(INDEX('Price History'!G:G,MATCH(9.99E+307,'Returns (Calc)'!$A:$A)+1)-'Price History'!G3)*(ROW()-3)/(MATCH(9.99E+307,'Returns (Calc)'!$A:$A)-3),"")</f>
        <v>104.01658227848101</v>
      </c>
      <c r="AC61" s="143">
        <f>IFERROR('Price History'!H3+(INDEX('Price History'!H:H,MATCH(9.99E+307,'Returns (Calc)'!$A:$A)+1)-'Price History'!H3)*(ROW()-3)/(MATCH(9.99E+307,'Returns (Calc)'!$A:$A)-3),"")</f>
        <v>438.3203797468355</v>
      </c>
      <c r="AD61" s="143">
        <f>IFERROR('Price History'!I3+(INDEX('Price History'!I:I,MATCH(9.99E+307,'Returns (Calc)'!$A:$A)+1)-'Price History'!I3)*(ROW()-3)/(MATCH(9.99E+307,'Returns (Calc)'!$A:$A)-3),"")</f>
        <v>113.58291139240507</v>
      </c>
      <c r="AE61" s="143">
        <f>IFERROR('Price History'!J3+(INDEX('Price History'!J:J,MATCH(9.99E+307,'Returns (Calc)'!$A:$A)+1)-'Price History'!J3)*(ROW()-3)/(MATCH(9.99E+307,'Returns (Calc)'!$A:$A)-3),"")</f>
        <v>118.10620253164556</v>
      </c>
      <c r="AF61" s="143">
        <f>IFERROR('Price History'!K3+(INDEX('Price History'!K:K,MATCH(9.99E+307,'Returns (Calc)'!$A:$A)+1)-'Price History'!K3)*(ROW()-3)/(MATCH(9.99E+307,'Returns (Calc)'!$A:$A)-3),"")</f>
        <v>78.990506329113913</v>
      </c>
      <c r="AG61" s="143">
        <f>IFERROR('Price History'!L3+(INDEX('Price History'!L:L,MATCH(9.99E+307,'Returns (Calc)'!$A:$A)+1)-'Price History'!L3)*(ROW()-3)/(MATCH(9.99E+307,'Returns (Calc)'!$A:$A)-3),"")</f>
        <v>227.82430379746833</v>
      </c>
      <c r="AH61" s="143">
        <f>IFERROR('Price History'!M3+(INDEX('Price History'!M:M,MATCH(9.99E+307,'Returns (Calc)'!$A:$A)+1)-'Price History'!M3)*(ROW()-3)/(MATCH(9.99E+307,'Returns (Calc)'!$A:$A)-3),"")</f>
        <v>116.63569620253165</v>
      </c>
      <c r="AI61" s="143">
        <f>IFERROR('Price History'!N3+(INDEX('Price History'!N:N,MATCH(9.99E+307,'Returns (Calc)'!$A:$A)+1)-'Price History'!N3)*(ROW()-3)/(MATCH(9.99E+307,'Returns (Calc)'!$A:$A)-3),"")</f>
        <v>406.10341772151901</v>
      </c>
      <c r="AJ61" s="143">
        <f>IFERROR('Price History'!O3+(INDEX('Price History'!O:O,MATCH(9.99E+307,'Returns (Calc)'!$A:$A)+1)-'Price History'!O3)*(ROW()-3)/(MATCH(9.99E+307,'Returns (Calc)'!$A:$A)-3),"")</f>
        <v>91.726202531645569</v>
      </c>
      <c r="AK61" s="143">
        <f>IFERROR('Price History'!Q3+(INDEX('Price History'!Q:Q,MATCH(9.99E+307,'Returns (Calc)'!$A:$A)+1)-'Price History'!Q3)*(ROW()-3)/(MATCH(9.99E+307,'Returns (Calc)'!$A:$A)-3),"")</f>
        <v>25.483291139240507</v>
      </c>
      <c r="AL61" s="143">
        <f>IFERROR('Price History'!R3+(INDEX('Price History'!R:R,MATCH(9.99E+307,'Returns (Calc)'!$A:$A)+1)-'Price History'!R3)*(ROW()-3)/(MATCH(9.99E+307,'Returns (Calc)'!$A:$A)-3),"")</f>
        <v>44.229873417721514</v>
      </c>
      <c r="AM61" s="143">
        <f>IFERROR('Price History'!S3+(INDEX('Price History'!S:S,MATCH(9.99E+307,'Returns (Calc)'!$A:$A)+1)-'Price History'!S3)*(ROW()-3)/(MATCH(9.99E+307,'Returns (Calc)'!$A:$A)-3),"")</f>
        <v>92.723670886075951</v>
      </c>
      <c r="AN61" s="143">
        <f>IFERROR('Price History'!T3+(INDEX('Price History'!T:T,MATCH(9.99E+307,'Returns (Calc)'!$A:$A)+1)-'Price History'!T3)*(ROW()-3)/(MATCH(9.99E+307,'Returns (Calc)'!$A:$A)-3),"")</f>
        <v>34.997215189873415</v>
      </c>
      <c r="AO61" s="144">
        <f>IFERROR('Price History'!V3+(INDEX('Price History'!V:V,MATCH(9.99E+307,'Returns (Calc)'!$A:$A)+1)-'Price History'!V3)*(ROW()-3)/(MATCH(9.99E+307,'Returns (Calc)'!$A:$A)-3),"")</f>
        <v>281.52708860759492</v>
      </c>
      <c r="AP61" s="142">
        <f>IFERROR(IF(OR(NOT(ISNUMBER('Price History'!W62)),NOT(ISNUMBER('Price History'!W61)),'Price History'!W61=0),"",'Price History'!W62/'Price History'!W61-1),"")</f>
        <v>-6.9649295313012338E-3</v>
      </c>
      <c r="AQ61" s="142" t="str">
        <f>IFERROR(IF(OR(NOT(ISNUMBER('Price History'!X62)),NOT(ISNUMBER('Price History'!X61)),'Price History'!X61=0),"",'Price History'!X62/'Price History'!X61-1),"")</f>
        <v/>
      </c>
      <c r="AR61" s="142">
        <f>IFERROR(IF(OR(NOT(ISNUMBER('Price History'!Y62)),NOT(ISNUMBER('Price History'!Y61)),'Price History'!Y61=0),"",'Price History'!Y62/'Price History'!Y61-1),"")</f>
        <v>-6.5554231227653581E-3</v>
      </c>
      <c r="AS61" s="142">
        <f>IFERROR(IF(OR(NOT(ISNUMBER('Price History'!Z62)),NOT(ISNUMBER('Price History'!Z61)),'Price History'!Z61=0),"",'Price History'!Z62/'Price History'!Z61-1),"")</f>
        <v>-4.1337694563500893E-2</v>
      </c>
      <c r="AT61" s="142">
        <f>IFERROR(IF(OR(NOT(ISNUMBER('Price History'!AA62)),NOT(ISNUMBER('Price History'!AA61)),'Price History'!AA61=0),"",'Price History'!AA62/'Price History'!AA61-1),"")</f>
        <v>1.8550417384390894E-3</v>
      </c>
    </row>
    <row r="62" spans="1:46" ht="15" customHeight="1" x14ac:dyDescent="0.35">
      <c r="A62" s="140">
        <f>IF('Price History'!A63="","",'Price History'!A63)</f>
        <v>45604</v>
      </c>
      <c r="B62" s="141">
        <f>IFERROR(IF(OR(NOT(ISNUMBER('Price History'!B63)),NOT(ISNUMBER('Price History'!B62)),'Price History'!B62=0),"",'Price History'!B63/'Price History'!B62-1),"")</f>
        <v>2.4606462303231158E-2</v>
      </c>
      <c r="C62" s="141">
        <f>IFERROR(IF(OR(NOT(ISNUMBER('Price History'!C63)),NOT(ISNUMBER('Price History'!C62)),'Price History'!C62=0),"",'Price History'!C63/'Price History'!C62-1),"")</f>
        <v>1.5932616196468352E-2</v>
      </c>
      <c r="D62" s="141">
        <f>IFERROR(IF(OR(NOT(ISNUMBER('Price History'!D63)),NOT(ISNUMBER('Price History'!D62)),'Price History'!D62=0),"",'Price History'!D63/'Price History'!D62-1),"")</f>
        <v>-7.8027512591144488E-3</v>
      </c>
      <c r="E62" s="141">
        <f>IFERROR(IF(OR(NOT(ISNUMBER('Price History'!E63)),NOT(ISNUMBER('Price History'!E62)),'Price History'!E62=0),"",'Price History'!E63/'Price History'!E62-1),"")</f>
        <v>8.7147675258973711E-2</v>
      </c>
      <c r="F62" s="141">
        <f>IFERROR(IF(OR(NOT(ISNUMBER('Price History'!F63)),NOT(ISNUMBER('Price History'!F62)),'Price History'!F62=0),"",'Price History'!F63/'Price History'!F62-1),"")</f>
        <v>8.8809712325151891E-2</v>
      </c>
      <c r="G62" s="141">
        <f>IFERROR(IF(OR(NOT(ISNUMBER('Price History'!G63)),NOT(ISNUMBER('Price History'!G62)),'Price History'!G62=0),"",'Price History'!G63/'Price History'!G62-1),"")</f>
        <v>2.6994237185320014E-2</v>
      </c>
      <c r="H62" s="141">
        <f>IFERROR(IF(OR(NOT(ISNUMBER('Price History'!H63)),NOT(ISNUMBER('Price History'!H62)),'Price History'!H62=0),"",'Price History'!H63/'Price History'!H62-1),"")</f>
        <v>0.1220520056440233</v>
      </c>
      <c r="I62" s="141">
        <f>IFERROR(IF(OR(NOT(ISNUMBER('Price History'!I63)),NOT(ISNUMBER('Price History'!I62)),'Price History'!I62=0),"",'Price History'!I63/'Price History'!I62-1),"")</f>
        <v>9.0269549763033252E-2</v>
      </c>
      <c r="J62" s="141">
        <f>IFERROR(IF(OR(NOT(ISNUMBER('Price History'!J63)),NOT(ISNUMBER('Price History'!J62)),'Price History'!J62=0),"",'Price History'!J63/'Price History'!J62-1),"")</f>
        <v>2.1400961629112869E-2</v>
      </c>
      <c r="K62" s="141">
        <f>IFERROR(IF(OR(NOT(ISNUMBER('Price History'!K63)),NOT(ISNUMBER('Price History'!K62)),'Price History'!K62=0),"",'Price History'!K63/'Price History'!K62-1),"")</f>
        <v>0.39289122137404586</v>
      </c>
      <c r="L62" s="141">
        <f>IFERROR(IF(OR(NOT(ISNUMBER('Price History'!L63)),NOT(ISNUMBER('Price History'!L62)),'Price History'!L62=0),"",'Price History'!L63/'Price History'!L62-1),"")</f>
        <v>4.2750929368029711E-2</v>
      </c>
      <c r="M62" s="141">
        <f>IFERROR(IF(OR(NOT(ISNUMBER('Price History'!M63)),NOT(ISNUMBER('Price History'!M62)),'Price History'!M62=0),"",'Price History'!M63/'Price History'!M62-1),"")</f>
        <v>0.17638784696174037</v>
      </c>
      <c r="N62" s="141">
        <f>IFERROR(IF(OR(NOT(ISNUMBER('Price History'!N63)),NOT(ISNUMBER('Price History'!N62)),'Price History'!N62=0),"",'Price History'!N63/'Price History'!N62-1),"")</f>
        <v>9.6833078621158197E-2</v>
      </c>
      <c r="O62" s="141">
        <f>IFERROR(IF(OR(NOT(ISNUMBER('Price History'!O63)),NOT(ISNUMBER('Price History'!O62)),'Price History'!O62=0),"",'Price History'!O63/'Price History'!O62-1),"")</f>
        <v>8.8632404181184565E-2</v>
      </c>
      <c r="P62" s="141">
        <f>IFERROR(IF(OR(NOT(ISNUMBER('Price History'!P63)),NOT(ISNUMBER('Price History'!P62)),'Price History'!P62=0),"",'Price History'!P63/'Price History'!P62-1),"")</f>
        <v>3.4729479861725254E-2</v>
      </c>
      <c r="Q62" s="141">
        <f>IFERROR(IF(OR(NOT(ISNUMBER('Price History'!Q63)),NOT(ISNUMBER('Price History'!Q62)),'Price History'!Q62=0),"",'Price History'!Q63/'Price History'!Q62-1),"")</f>
        <v>2.4301537444205712E-2</v>
      </c>
      <c r="R62" s="141">
        <f>IFERROR(IF(OR(NOT(ISNUMBER('Price History'!R63)),NOT(ISNUMBER('Price History'!R62)),'Price History'!R62=0),"",'Price History'!R63/'Price History'!R62-1),"")</f>
        <v>3.8575667655786239E-2</v>
      </c>
      <c r="S62" s="141">
        <f>IFERROR(IF(OR(NOT(ISNUMBER('Price History'!S63)),NOT(ISNUMBER('Price History'!S62)),'Price History'!S62=0),"",'Price History'!S63/'Price History'!S62-1),"")</f>
        <v>5.9791064681040229E-2</v>
      </c>
      <c r="T62" s="141">
        <f>IFERROR(IF(OR(NOT(ISNUMBER('Price History'!T63)),NOT(ISNUMBER('Price History'!T62)),'Price History'!T62=0),"",'Price History'!T63/'Price History'!T62-1),"")</f>
        <v>7.7423350882626307E-2</v>
      </c>
      <c r="U62" s="141">
        <f>IFERROR(IF(OR(NOT(ISNUMBER('Price History'!U63)),NOT(ISNUMBER('Price History'!U62)),'Price History'!U62=0),"",'Price History'!U63/'Price History'!U62-1),"")</f>
        <v>3.4799235181644406E-2</v>
      </c>
      <c r="V62" s="142">
        <f>IFERROR(IF(OR(NOT(ISNUMBER('Price History'!V63)),NOT(ISNUMBER('Price History'!V62)),'Price History'!V62=0),"",'Price History'!V63/'Price History'!V62-1),"")</f>
        <v>5.8934431953075794E-2</v>
      </c>
      <c r="W62" s="143">
        <f>IFERROR('Price History'!B3+(INDEX('Price History'!B:B,MATCH(9.99E+307,'Returns (Calc)'!$A:$A)+1)-'Price History'!B3)*(ROW()-3)/(MATCH(9.99E+307,'Returns (Calc)'!$A:$A)-3),"")</f>
        <v>420.15075949367088</v>
      </c>
      <c r="X62" s="143">
        <f>IFERROR('Price History'!C3+(INDEX('Price History'!C:C,MATCH(9.99E+307,'Returns (Calc)'!$A:$A)+1)-'Price History'!C3)*(ROW()-3)/(MATCH(9.99E+307,'Returns (Calc)'!$A:$A)-3),"")</f>
        <v>106.36373417721518</v>
      </c>
      <c r="Y62" s="143">
        <f>IFERROR('Price History'!D3+(INDEX('Price History'!D:D,MATCH(9.99E+307,'Returns (Calc)'!$A:$A)+1)-'Price History'!D3)*(ROW()-3)/(MATCH(9.99E+307,'Returns (Calc)'!$A:$A)-3),"")</f>
        <v>1061.9637974683544</v>
      </c>
      <c r="Z62" s="143">
        <f>IFERROR('Price History'!E3+(INDEX('Price History'!E:E,MATCH(9.99E+307,'Returns (Calc)'!$A:$A)+1)-'Price History'!E3)*(ROW()-3)/(MATCH(9.99E+307,'Returns (Calc)'!$A:$A)-3),"")</f>
        <v>183.99531645569618</v>
      </c>
      <c r="AA62" s="143">
        <f>IFERROR('Price History'!F3+(INDEX('Price History'!F:F,MATCH(9.99E+307,'Returns (Calc)'!$A:$A)+1)-'Price History'!F3)*(ROW()-3)/(MATCH(9.99E+307,'Returns (Calc)'!$A:$A)-3),"")</f>
        <v>126.75316455696203</v>
      </c>
      <c r="AB62" s="143">
        <f>IFERROR('Price History'!G3+(INDEX('Price History'!G:G,MATCH(9.99E+307,'Returns (Calc)'!$A:$A)+1)-'Price History'!G3)*(ROW()-3)/(MATCH(9.99E+307,'Returns (Calc)'!$A:$A)-3),"")</f>
        <v>105.0453164556962</v>
      </c>
      <c r="AC62" s="143">
        <f>IFERROR('Price History'!H3+(INDEX('Price History'!H:H,MATCH(9.99E+307,'Returns (Calc)'!$A:$A)+1)-'Price History'!H3)*(ROW()-3)/(MATCH(9.99E+307,'Returns (Calc)'!$A:$A)-3),"")</f>
        <v>444.68607594936714</v>
      </c>
      <c r="AD62" s="143">
        <f>IFERROR('Price History'!I3+(INDEX('Price History'!I:I,MATCH(9.99E+307,'Returns (Calc)'!$A:$A)+1)-'Price History'!I3)*(ROW()-3)/(MATCH(9.99E+307,'Returns (Calc)'!$A:$A)-3),"")</f>
        <v>114.78658227848101</v>
      </c>
      <c r="AE62" s="143">
        <f>IFERROR('Price History'!J3+(INDEX('Price History'!J:J,MATCH(9.99E+307,'Returns (Calc)'!$A:$A)+1)-'Price History'!J3)*(ROW()-3)/(MATCH(9.99E+307,'Returns (Calc)'!$A:$A)-3),"")</f>
        <v>118.21424050632912</v>
      </c>
      <c r="AF62" s="143">
        <f>IFERROR('Price History'!K3+(INDEX('Price History'!K:K,MATCH(9.99E+307,'Returns (Calc)'!$A:$A)+1)-'Price History'!K3)*(ROW()-3)/(MATCH(9.99E+307,'Returns (Calc)'!$A:$A)-3),"")</f>
        <v>80.088101265822772</v>
      </c>
      <c r="AG62" s="143">
        <f>IFERROR('Price History'!L3+(INDEX('Price History'!L:L,MATCH(9.99E+307,'Returns (Calc)'!$A:$A)+1)-'Price History'!L3)*(ROW()-3)/(MATCH(9.99E+307,'Returns (Calc)'!$A:$A)-3),"")</f>
        <v>230.27386075949366</v>
      </c>
      <c r="AH62" s="143">
        <f>IFERROR('Price History'!M3+(INDEX('Price History'!M:M,MATCH(9.99E+307,'Returns (Calc)'!$A:$A)+1)-'Price History'!M3)*(ROW()-3)/(MATCH(9.99E+307,'Returns (Calc)'!$A:$A)-3),"")</f>
        <v>117.99113924050633</v>
      </c>
      <c r="AI62" s="143">
        <f>IFERROR('Price History'!N3+(INDEX('Price History'!N:N,MATCH(9.99E+307,'Returns (Calc)'!$A:$A)+1)-'Price History'!N3)*(ROW()-3)/(MATCH(9.99E+307,'Returns (Calc)'!$A:$A)-3),"")</f>
        <v>407.0896835443038</v>
      </c>
      <c r="AJ62" s="143">
        <f>IFERROR('Price History'!O3+(INDEX('Price History'!O:O,MATCH(9.99E+307,'Returns (Calc)'!$A:$A)+1)-'Price History'!O3)*(ROW()-3)/(MATCH(9.99E+307,'Returns (Calc)'!$A:$A)-3),"")</f>
        <v>92.009240506329121</v>
      </c>
      <c r="AK62" s="143">
        <f>IFERROR('Price History'!Q3+(INDEX('Price History'!Q:Q,MATCH(9.99E+307,'Returns (Calc)'!$A:$A)+1)-'Price History'!Q3)*(ROW()-3)/(MATCH(9.99E+307,'Returns (Calc)'!$A:$A)-3),"")</f>
        <v>25.922658227848103</v>
      </c>
      <c r="AL62" s="143">
        <f>IFERROR('Price History'!R3+(INDEX('Price History'!R:R,MATCH(9.99E+307,'Returns (Calc)'!$A:$A)+1)-'Price History'!R3)*(ROW()-3)/(MATCH(9.99E+307,'Returns (Calc)'!$A:$A)-3),"")</f>
        <v>44.397974683544305</v>
      </c>
      <c r="AM62" s="143">
        <f>IFERROR('Price History'!S3+(INDEX('Price History'!S:S,MATCH(9.99E+307,'Returns (Calc)'!$A:$A)+1)-'Price History'!S3)*(ROW()-3)/(MATCH(9.99E+307,'Returns (Calc)'!$A:$A)-3),"")</f>
        <v>93.328734177215182</v>
      </c>
      <c r="AN62" s="143">
        <f>IFERROR('Price History'!T3+(INDEX('Price History'!T:T,MATCH(9.99E+307,'Returns (Calc)'!$A:$A)+1)-'Price History'!T3)*(ROW()-3)/(MATCH(9.99E+307,'Returns (Calc)'!$A:$A)-3),"")</f>
        <v>35.165443037974683</v>
      </c>
      <c r="AO62" s="144">
        <f>IFERROR('Price History'!V3+(INDEX('Price History'!V:V,MATCH(9.99E+307,'Returns (Calc)'!$A:$A)+1)-'Price History'!V3)*(ROW()-3)/(MATCH(9.99E+307,'Returns (Calc)'!$A:$A)-3),"")</f>
        <v>282.31841772151898</v>
      </c>
      <c r="AP62" s="142">
        <f>IFERROR(IF(OR(NOT(ISNUMBER('Price History'!W63)),NOT(ISNUMBER('Price History'!W62)),'Price History'!W62=0),"",'Price History'!W63/'Price History'!W62-1),"")</f>
        <v>3.8947107847182139E-2</v>
      </c>
      <c r="AQ62" s="142" t="str">
        <f>IFERROR(IF(OR(NOT(ISNUMBER('Price History'!X63)),NOT(ISNUMBER('Price History'!X62)),'Price History'!X62=0),"",'Price History'!X63/'Price History'!X62-1),"")</f>
        <v/>
      </c>
      <c r="AR62" s="142">
        <f>IFERROR(IF(OR(NOT(ISNUMBER('Price History'!Y63)),NOT(ISNUMBER('Price History'!Y62)),'Price History'!Y62=0),"",'Price History'!Y63/'Price History'!Y62-1),"")</f>
        <v>2.6794641071785641E-2</v>
      </c>
      <c r="AS62" s="142">
        <f>IFERROR(IF(OR(NOT(ISNUMBER('Price History'!Z63)),NOT(ISNUMBER('Price History'!Z62)),'Price History'!Z62=0),"",'Price History'!Z63/'Price History'!Z62-1),"")</f>
        <v>7.6357432790164159E-2</v>
      </c>
      <c r="AT62" s="142">
        <f>IFERROR(IF(OR(NOT(ISNUMBER('Price History'!AA63)),NOT(ISNUMBER('Price History'!AA62)),'Price History'!AA62=0),"",'Price History'!AA63/'Price History'!AA62-1),"")</f>
        <v>5.1448221134770433E-2</v>
      </c>
    </row>
    <row r="63" spans="1:46" ht="15" customHeight="1" x14ac:dyDescent="0.35">
      <c r="A63" s="140">
        <f>IF('Price History'!A64="","",'Price History'!A64)</f>
        <v>45611</v>
      </c>
      <c r="B63" s="141">
        <f>IFERROR(IF(OR(NOT(ISNUMBER('Price History'!B64)),NOT(ISNUMBER('Price History'!B63)),'Price History'!B63=0),"",'Price History'!B64/'Price History'!B63-1),"")</f>
        <v>1.7566911943074359E-2</v>
      </c>
      <c r="C63" s="141">
        <f>IFERROR(IF(OR(NOT(ISNUMBER('Price History'!C64)),NOT(ISNUMBER('Price History'!C63)),'Price History'!C63=0),"",'Price History'!C64/'Price History'!C63-1),"")</f>
        <v>-6.5028468684447116E-2</v>
      </c>
      <c r="D63" s="141">
        <f>IFERROR(IF(OR(NOT(ISNUMBER('Price History'!D64)),NOT(ISNUMBER('Price History'!D63)),'Price History'!D63=0),"",'Price History'!D64/'Price History'!D63-1),"")</f>
        <v>-1.6182798957512623E-2</v>
      </c>
      <c r="E63" s="141">
        <f>IFERROR(IF(OR(NOT(ISNUMBER('Price History'!E64)),NOT(ISNUMBER('Price History'!E63)),'Price History'!E63=0),"",'Price History'!E64/'Price History'!E63-1),"")</f>
        <v>-0.10237659963436918</v>
      </c>
      <c r="F63" s="141">
        <f>IFERROR(IF(OR(NOT(ISNUMBER('Price History'!F64)),NOT(ISNUMBER('Price History'!F63)),'Price History'!F63=0),"",'Price History'!F64/'Price History'!F63-1),"")</f>
        <v>2.0361168343230984E-2</v>
      </c>
      <c r="G63" s="141">
        <f>IFERROR(IF(OR(NOT(ISNUMBER('Price History'!G64)),NOT(ISNUMBER('Price History'!G63)),'Price History'!G63=0),"",'Price History'!G64/'Price History'!G63-1),"")</f>
        <v>-0.10617247489663317</v>
      </c>
      <c r="H63" s="141">
        <f>IFERROR(IF(OR(NOT(ISNUMBER('Price History'!H64)),NOT(ISNUMBER('Price History'!H63)),'Price History'!H63=0),"",'Price History'!H64/'Price History'!H63-1),"")</f>
        <v>-0.13904607922392886</v>
      </c>
      <c r="I63" s="141">
        <f>IFERROR(IF(OR(NOT(ISNUMBER('Price History'!I64)),NOT(ISNUMBER('Price History'!I63)),'Price History'!I63=0),"",'Price History'!I64/'Price History'!I63-1),"")</f>
        <v>-3.8239489234531021E-2</v>
      </c>
      <c r="J63" s="141">
        <f>IFERROR(IF(OR(NOT(ISNUMBER('Price History'!J64)),NOT(ISNUMBER('Price History'!J63)),'Price History'!J63=0),"",'Price History'!J64/'Price History'!J63-1),"")</f>
        <v>-2.0767952741369777E-2</v>
      </c>
      <c r="K63" s="141">
        <f>IFERROR(IF(OR(NOT(ISNUMBER('Price History'!K64)),NOT(ISNUMBER('Price History'!K63)),'Price History'!K63=0),"",'Price History'!K64/'Price History'!K63-1),"")</f>
        <v>0.1263915053947593</v>
      </c>
      <c r="L63" s="141">
        <f>IFERROR(IF(OR(NOT(ISNUMBER('Price History'!L64)),NOT(ISNUMBER('Price History'!L63)),'Price History'!L63=0),"",'Price History'!L64/'Price History'!L63-1),"")</f>
        <v>-7.5477463712757764E-2</v>
      </c>
      <c r="M63" s="141">
        <f>IFERROR(IF(OR(NOT(ISNUMBER('Price History'!M64)),NOT(ISNUMBER('Price History'!M63)),'Price History'!M63=0),"",'Price History'!M64/'Price History'!M63-1),"")</f>
        <v>-3.882024711040255E-2</v>
      </c>
      <c r="N63" s="141">
        <f>IFERROR(IF(OR(NOT(ISNUMBER('Price History'!N64)),NOT(ISNUMBER('Price History'!N63)),'Price History'!N63=0),"",'Price History'!N64/'Price History'!N63-1),"")</f>
        <v>-9.8773077369663675E-2</v>
      </c>
      <c r="O63" s="141">
        <f>IFERROR(IF(OR(NOT(ISNUMBER('Price History'!O64)),NOT(ISNUMBER('Price History'!O63)),'Price History'!O63=0),"",'Price History'!O64/'Price History'!O63-1),"")</f>
        <v>-1.940388077615518E-2</v>
      </c>
      <c r="P63" s="141">
        <f>IFERROR(IF(OR(NOT(ISNUMBER('Price History'!P64)),NOT(ISNUMBER('Price History'!P63)),'Price History'!P63=0),"",'Price History'!P64/'Price History'!P63-1),"")</f>
        <v>1.2431046538730062E-3</v>
      </c>
      <c r="Q63" s="141">
        <f>IFERROR(IF(OR(NOT(ISNUMBER('Price History'!Q64)),NOT(ISNUMBER('Price History'!Q63)),'Price History'!Q63=0),"",'Price History'!Q64/'Price History'!Q63-1),"")</f>
        <v>-9.5222724338283049E-3</v>
      </c>
      <c r="R63" s="141">
        <f>IFERROR(IF(OR(NOT(ISNUMBER('Price History'!R64)),NOT(ISNUMBER('Price History'!R63)),'Price History'!R63=0),"",'Price History'!R64/'Price History'!R63-1),"")</f>
        <v>-1.6483516483516536E-2</v>
      </c>
      <c r="S63" s="141">
        <f>IFERROR(IF(OR(NOT(ISNUMBER('Price History'!S64)),NOT(ISNUMBER('Price History'!S63)),'Price History'!S63=0),"",'Price History'!S64/'Price History'!S63-1),"")</f>
        <v>-3.0830536912751616E-2</v>
      </c>
      <c r="T63" s="141">
        <f>IFERROR(IF(OR(NOT(ISNUMBER('Price History'!T64)),NOT(ISNUMBER('Price History'!T63)),'Price History'!T63=0),"",'Price History'!T64/'Price History'!T63-1),"")</f>
        <v>-1.5234262719172165E-2</v>
      </c>
      <c r="U63" s="141">
        <f>IFERROR(IF(OR(NOT(ISNUMBER('Price History'!U64)),NOT(ISNUMBER('Price History'!U63)),'Price History'!U63=0),"",'Price History'!U64/'Price History'!U63-1),"")</f>
        <v>-1.552106430155209E-2</v>
      </c>
      <c r="V63" s="142">
        <f>IFERROR(IF(OR(NOT(ISNUMBER('Price History'!V64)),NOT(ISNUMBER('Price History'!V63)),'Price History'!V63=0),"",'Price History'!V64/'Price History'!V63-1),"")</f>
        <v>7.6491922189252382E-3</v>
      </c>
      <c r="W63" s="143">
        <f>IFERROR('Price History'!B3+(INDEX('Price History'!B:B,MATCH(9.99E+307,'Returns (Calc)'!$A:$A)+1)-'Price History'!B3)*(ROW()-3)/(MATCH(9.99E+307,'Returns (Calc)'!$A:$A)-3),"")</f>
        <v>418.30772151898731</v>
      </c>
      <c r="X63" s="143">
        <f>IFERROR('Price History'!C3+(INDEX('Price History'!C:C,MATCH(9.99E+307,'Returns (Calc)'!$A:$A)+1)-'Price History'!C3)*(ROW()-3)/(MATCH(9.99E+307,'Returns (Calc)'!$A:$A)-3),"")</f>
        <v>107.38379746835443</v>
      </c>
      <c r="Y63" s="143">
        <f>IFERROR('Price History'!D3+(INDEX('Price History'!D:D,MATCH(9.99E+307,'Returns (Calc)'!$A:$A)+1)-'Price History'!D3)*(ROW()-3)/(MATCH(9.99E+307,'Returns (Calc)'!$A:$A)-3),"")</f>
        <v>1070.0986075949368</v>
      </c>
      <c r="Z63" s="143">
        <f>IFERROR('Price History'!E3+(INDEX('Price History'!E:E,MATCH(9.99E+307,'Returns (Calc)'!$A:$A)+1)-'Price History'!E3)*(ROW()-3)/(MATCH(9.99E+307,'Returns (Calc)'!$A:$A)-3),"")</f>
        <v>185.72405063291137</v>
      </c>
      <c r="AA63" s="143">
        <f>IFERROR('Price History'!F3+(INDEX('Price History'!F:F,MATCH(9.99E+307,'Returns (Calc)'!$A:$A)+1)-'Price History'!F3)*(ROW()-3)/(MATCH(9.99E+307,'Returns (Calc)'!$A:$A)-3),"")</f>
        <v>128.20050632911392</v>
      </c>
      <c r="AB63" s="143">
        <f>IFERROR('Price History'!G3+(INDEX('Price History'!G:G,MATCH(9.99E+307,'Returns (Calc)'!$A:$A)+1)-'Price History'!G3)*(ROW()-3)/(MATCH(9.99E+307,'Returns (Calc)'!$A:$A)-3),"")</f>
        <v>106.07405063291139</v>
      </c>
      <c r="AC63" s="143">
        <f>IFERROR('Price History'!H3+(INDEX('Price History'!H:H,MATCH(9.99E+307,'Returns (Calc)'!$A:$A)+1)-'Price History'!H3)*(ROW()-3)/(MATCH(9.99E+307,'Returns (Calc)'!$A:$A)-3),"")</f>
        <v>451.05177215189877</v>
      </c>
      <c r="AD63" s="143">
        <f>IFERROR('Price History'!I3+(INDEX('Price History'!I:I,MATCH(9.99E+307,'Returns (Calc)'!$A:$A)+1)-'Price History'!I3)*(ROW()-3)/(MATCH(9.99E+307,'Returns (Calc)'!$A:$A)-3),"")</f>
        <v>115.99025316455695</v>
      </c>
      <c r="AE63" s="143">
        <f>IFERROR('Price History'!J3+(INDEX('Price History'!J:J,MATCH(9.99E+307,'Returns (Calc)'!$A:$A)+1)-'Price History'!J3)*(ROW()-3)/(MATCH(9.99E+307,'Returns (Calc)'!$A:$A)-3),"")</f>
        <v>118.32227848101266</v>
      </c>
      <c r="AF63" s="143">
        <f>IFERROR('Price History'!K3+(INDEX('Price History'!K:K,MATCH(9.99E+307,'Returns (Calc)'!$A:$A)+1)-'Price History'!K3)*(ROW()-3)/(MATCH(9.99E+307,'Returns (Calc)'!$A:$A)-3),"")</f>
        <v>81.185696202531631</v>
      </c>
      <c r="AG63" s="143">
        <f>IFERROR('Price History'!L3+(INDEX('Price History'!L:L,MATCH(9.99E+307,'Returns (Calc)'!$A:$A)+1)-'Price History'!L3)*(ROW()-3)/(MATCH(9.99E+307,'Returns (Calc)'!$A:$A)-3),"")</f>
        <v>232.72341772151898</v>
      </c>
      <c r="AH63" s="143">
        <f>IFERROR('Price History'!M3+(INDEX('Price History'!M:M,MATCH(9.99E+307,'Returns (Calc)'!$A:$A)+1)-'Price History'!M3)*(ROW()-3)/(MATCH(9.99E+307,'Returns (Calc)'!$A:$A)-3),"")</f>
        <v>119.34658227848101</v>
      </c>
      <c r="AI63" s="143">
        <f>IFERROR('Price History'!N3+(INDEX('Price History'!N:N,MATCH(9.99E+307,'Returns (Calc)'!$A:$A)+1)-'Price History'!N3)*(ROW()-3)/(MATCH(9.99E+307,'Returns (Calc)'!$A:$A)-3),"")</f>
        <v>408.07594936708858</v>
      </c>
      <c r="AJ63" s="143">
        <f>IFERROR('Price History'!O3+(INDEX('Price History'!O:O,MATCH(9.99E+307,'Returns (Calc)'!$A:$A)+1)-'Price History'!O3)*(ROW()-3)/(MATCH(9.99E+307,'Returns (Calc)'!$A:$A)-3),"")</f>
        <v>92.292278481012659</v>
      </c>
      <c r="AK63" s="143">
        <f>IFERROR('Price History'!Q3+(INDEX('Price History'!Q:Q,MATCH(9.99E+307,'Returns (Calc)'!$A:$A)+1)-'Price History'!Q3)*(ROW()-3)/(MATCH(9.99E+307,'Returns (Calc)'!$A:$A)-3),"")</f>
        <v>26.362025316455696</v>
      </c>
      <c r="AL63" s="143">
        <f>IFERROR('Price History'!R3+(INDEX('Price History'!R:R,MATCH(9.99E+307,'Returns (Calc)'!$A:$A)+1)-'Price History'!R3)*(ROW()-3)/(MATCH(9.99E+307,'Returns (Calc)'!$A:$A)-3),"")</f>
        <v>44.566075949367089</v>
      </c>
      <c r="AM63" s="143">
        <f>IFERROR('Price History'!S3+(INDEX('Price History'!S:S,MATCH(9.99E+307,'Returns (Calc)'!$A:$A)+1)-'Price History'!S3)*(ROW()-3)/(MATCH(9.99E+307,'Returns (Calc)'!$A:$A)-3),"")</f>
        <v>93.933797468354442</v>
      </c>
      <c r="AN63" s="143">
        <f>IFERROR('Price History'!T3+(INDEX('Price History'!T:T,MATCH(9.99E+307,'Returns (Calc)'!$A:$A)+1)-'Price History'!T3)*(ROW()-3)/(MATCH(9.99E+307,'Returns (Calc)'!$A:$A)-3),"")</f>
        <v>35.33367088607595</v>
      </c>
      <c r="AO63" s="144">
        <f>IFERROR('Price History'!V3+(INDEX('Price History'!V:V,MATCH(9.99E+307,'Returns (Calc)'!$A:$A)+1)-'Price History'!V3)*(ROW()-3)/(MATCH(9.99E+307,'Returns (Calc)'!$A:$A)-3),"")</f>
        <v>283.10974683544305</v>
      </c>
      <c r="AP63" s="142">
        <f>IFERROR(IF(OR(NOT(ISNUMBER('Price History'!W64)),NOT(ISNUMBER('Price History'!W63)),'Price History'!W63=0),"",'Price History'!W64/'Price History'!W63-1),"")</f>
        <v>-1.3581129378127166E-2</v>
      </c>
      <c r="AQ63" s="142" t="str">
        <f>IFERROR(IF(OR(NOT(ISNUMBER('Price History'!X64)),NOT(ISNUMBER('Price History'!X63)),'Price History'!X63=0),"",'Price History'!X64/'Price History'!X63-1),"")</f>
        <v/>
      </c>
      <c r="AR63" s="142">
        <f>IFERROR(IF(OR(NOT(ISNUMBER('Price History'!Y64)),NOT(ISNUMBER('Price History'!Y63)),'Price History'!Y63=0),"",'Price History'!Y64/'Price History'!Y63-1),"")</f>
        <v>-1.2658227848101222E-2</v>
      </c>
      <c r="AS63" s="142">
        <f>IFERROR(IF(OR(NOT(ISNUMBER('Price History'!Z64)),NOT(ISNUMBER('Price History'!Z63)),'Price History'!Z63=0),"",'Price History'!Z64/'Price History'!Z63-1),"")</f>
        <v>-4.2629939334317135E-2</v>
      </c>
      <c r="AT63" s="142">
        <f>IFERROR(IF(OR(NOT(ISNUMBER('Price History'!AA64)),NOT(ISNUMBER('Price History'!AA63)),'Price History'!AA63=0),"",'Price History'!AA64/'Price History'!AA63-1),"")</f>
        <v>3.647798742138364E-2</v>
      </c>
    </row>
    <row r="64" spans="1:46" ht="15" customHeight="1" x14ac:dyDescent="0.35">
      <c r="A64" s="140">
        <f>IF('Price History'!A65="","",'Price History'!A65)</f>
        <v>45618</v>
      </c>
      <c r="B64" s="141">
        <f>IFERROR(IF(OR(NOT(ISNUMBER('Price History'!B65)),NOT(ISNUMBER('Price History'!B64)),'Price History'!B64=0),"",'Price History'!B65/'Price History'!B64-1),"")</f>
        <v>1.7442437968095081E-2</v>
      </c>
      <c r="C64" s="141">
        <f>IFERROR(IF(OR(NOT(ISNUMBER('Price History'!C65)),NOT(ISNUMBER('Price History'!C64)),'Price History'!C64=0),"",'Price History'!C65/'Price History'!C64-1),"")</f>
        <v>8.5683760683760823E-2</v>
      </c>
      <c r="D64" s="141">
        <f>IFERROR(IF(OR(NOT(ISNUMBER('Price History'!D65)),NOT(ISNUMBER('Price History'!D64)),'Price History'!D64=0),"",'Price History'!D65/'Price History'!D64-1),"")</f>
        <v>2.1623952686052439E-2</v>
      </c>
      <c r="E64" s="141">
        <f>IFERROR(IF(OR(NOT(ISNUMBER('Price History'!E65)),NOT(ISNUMBER('Price History'!E64)),'Price History'!E64=0),"",'Price History'!E65/'Price History'!E64-1),"")</f>
        <v>-3.7030179596371227E-3</v>
      </c>
      <c r="F64" s="141">
        <f>IFERROR(IF(OR(NOT(ISNUMBER('Price History'!F65)),NOT(ISNUMBER('Price History'!F64)),'Price History'!F64=0),"",'Price History'!F65/'Price History'!F64-1),"")</f>
        <v>0.10547570970424025</v>
      </c>
      <c r="G64" s="141">
        <f>IFERROR(IF(OR(NOT(ISNUMBER('Price History'!G65)),NOT(ISNUMBER('Price History'!G64)),'Price History'!G64=0),"",'Price History'!G65/'Price History'!G64-1),"")</f>
        <v>4.3779943829505896E-2</v>
      </c>
      <c r="H64" s="141">
        <f>IFERROR(IF(OR(NOT(ISNUMBER('Price History'!H65)),NOT(ISNUMBER('Price History'!H64)),'Price History'!H64=0),"",'Price History'!H65/'Price History'!H64-1),"")</f>
        <v>6.5310380803338619E-2</v>
      </c>
      <c r="I64" s="141">
        <f>IFERROR(IF(OR(NOT(ISNUMBER('Price History'!I65)),NOT(ISNUMBER('Price History'!I64)),'Price History'!I64=0),"",'Price History'!I65/'Price History'!I64-1),"")</f>
        <v>-2.1186440677967155E-4</v>
      </c>
      <c r="J64" s="141">
        <f>IFERROR(IF(OR(NOT(ISNUMBER('Price History'!J65)),NOT(ISNUMBER('Price History'!J64)),'Price History'!J64=0),"",'Price History'!J65/'Price History'!J64-1),"")</f>
        <v>2.0925629182769301E-2</v>
      </c>
      <c r="K64" s="141">
        <f>IFERROR(IF(OR(NOT(ISNUMBER('Price History'!K65)),NOT(ISNUMBER('Price History'!K64)),'Price History'!K64=0),"",'Price History'!K65/'Price History'!K64-1),"")</f>
        <v>-2.1590390755663713E-2</v>
      </c>
      <c r="L64" s="141">
        <f>IFERROR(IF(OR(NOT(ISNUMBER('Price History'!L65)),NOT(ISNUMBER('Price History'!L64)),'Price History'!L64=0),"",'Price History'!L65/'Price History'!L64-1),"")</f>
        <v>2.1869663416515195E-2</v>
      </c>
      <c r="M64" s="141">
        <f>IFERROR(IF(OR(NOT(ISNUMBER('Price History'!M65)),NOT(ISNUMBER('Price History'!M64)),'Price History'!M64=0),"",'Price History'!M65/'Price History'!M64-1),"")</f>
        <v>0.1594791839442693</v>
      </c>
      <c r="N64" s="141">
        <f>IFERROR(IF(OR(NOT(ISNUMBER('Price History'!N65)),NOT(ISNUMBER('Price History'!N64)),'Price History'!N64=0),"",'Price History'!N65/'Price History'!N64-1),"")</f>
        <v>-3.1629804595232902E-2</v>
      </c>
      <c r="O64" s="141">
        <f>IFERROR(IF(OR(NOT(ISNUMBER('Price History'!O65)),NOT(ISNUMBER('Price History'!O64)),'Price History'!O64=0),"",'Price History'!O65/'Price History'!O64-1),"")</f>
        <v>3.6515707874337E-2</v>
      </c>
      <c r="P64" s="141">
        <f>IFERROR(IF(OR(NOT(ISNUMBER('Price History'!P65)),NOT(ISNUMBER('Price History'!P64)),'Price History'!P64=0),"",'Price History'!P65/'Price History'!P64-1),"")</f>
        <v>2.7159152634437911E-2</v>
      </c>
      <c r="Q64" s="141">
        <f>IFERROR(IF(OR(NOT(ISNUMBER('Price History'!Q65)),NOT(ISNUMBER('Price History'!Q64)),'Price History'!Q64=0),"",'Price History'!Q65/'Price History'!Q64-1),"")</f>
        <v>7.4955189832166536E-3</v>
      </c>
      <c r="R64" s="141">
        <f>IFERROR(IF(OR(NOT(ISNUMBER('Price History'!R65)),NOT(ISNUMBER('Price History'!R64)),'Price History'!R64=0),"",'Price History'!R65/'Price History'!R64-1),"")</f>
        <v>1.7206703910614518E-2</v>
      </c>
      <c r="S64" s="141">
        <f>IFERROR(IF(OR(NOT(ISNUMBER('Price History'!S65)),NOT(ISNUMBER('Price History'!S64)),'Price History'!S64=0),"",'Price History'!S65/'Price History'!S64-1),"")</f>
        <v>1.785327851114471E-2</v>
      </c>
      <c r="T64" s="141">
        <f>IFERROR(IF(OR(NOT(ISNUMBER('Price History'!T65)),NOT(ISNUMBER('Price History'!T64)),'Price History'!T64=0),"",'Price History'!T65/'Price History'!T64-1),"")</f>
        <v>3.8528896672504365E-2</v>
      </c>
      <c r="U64" s="141">
        <f>IFERROR(IF(OR(NOT(ISNUMBER('Price History'!U65)),NOT(ISNUMBER('Price History'!U64)),'Price History'!U64=0),"",'Price History'!U65/'Price History'!U64-1),"")</f>
        <v>2.5150150150150097E-2</v>
      </c>
      <c r="V64" s="142">
        <f>IFERROR(IF(OR(NOT(ISNUMBER('Price History'!V65)),NOT(ISNUMBER('Price History'!V64)),'Price History'!V64=0),"",'Price History'!V65/'Price History'!V64-1),"")</f>
        <v>9.1617040769564895E-4</v>
      </c>
      <c r="W64" s="143">
        <f>IFERROR('Price History'!B3+(INDEX('Price History'!B:B,MATCH(9.99E+307,'Returns (Calc)'!$A:$A)+1)-'Price History'!B3)*(ROW()-3)/(MATCH(9.99E+307,'Returns (Calc)'!$A:$A)-3),"")</f>
        <v>416.4646835443038</v>
      </c>
      <c r="X64" s="143">
        <f>IFERROR('Price History'!C3+(INDEX('Price History'!C:C,MATCH(9.99E+307,'Returns (Calc)'!$A:$A)+1)-'Price History'!C3)*(ROW()-3)/(MATCH(9.99E+307,'Returns (Calc)'!$A:$A)-3),"")</f>
        <v>108.40386075949365</v>
      </c>
      <c r="Y64" s="143">
        <f>IFERROR('Price History'!D3+(INDEX('Price History'!D:D,MATCH(9.99E+307,'Returns (Calc)'!$A:$A)+1)-'Price History'!D3)*(ROW()-3)/(MATCH(9.99E+307,'Returns (Calc)'!$A:$A)-3),"")</f>
        <v>1078.2334177215189</v>
      </c>
      <c r="Z64" s="143">
        <f>IFERROR('Price History'!E3+(INDEX('Price History'!E:E,MATCH(9.99E+307,'Returns (Calc)'!$A:$A)+1)-'Price History'!E3)*(ROW()-3)/(MATCH(9.99E+307,'Returns (Calc)'!$A:$A)-3),"")</f>
        <v>187.45278481012659</v>
      </c>
      <c r="AA64" s="143">
        <f>IFERROR('Price History'!F3+(INDEX('Price History'!F:F,MATCH(9.99E+307,'Returns (Calc)'!$A:$A)+1)-'Price History'!F3)*(ROW()-3)/(MATCH(9.99E+307,'Returns (Calc)'!$A:$A)-3),"")</f>
        <v>129.64784810126582</v>
      </c>
      <c r="AB64" s="143">
        <f>IFERROR('Price History'!G3+(INDEX('Price History'!G:G,MATCH(9.99E+307,'Returns (Calc)'!$A:$A)+1)-'Price History'!G3)*(ROW()-3)/(MATCH(9.99E+307,'Returns (Calc)'!$A:$A)-3),"")</f>
        <v>107.10278481012658</v>
      </c>
      <c r="AC64" s="143">
        <f>IFERROR('Price History'!H3+(INDEX('Price History'!H:H,MATCH(9.99E+307,'Returns (Calc)'!$A:$A)+1)-'Price History'!H3)*(ROW()-3)/(MATCH(9.99E+307,'Returns (Calc)'!$A:$A)-3),"")</f>
        <v>457.41746835443041</v>
      </c>
      <c r="AD64" s="143">
        <f>IFERROR('Price History'!I3+(INDEX('Price History'!I:I,MATCH(9.99E+307,'Returns (Calc)'!$A:$A)+1)-'Price History'!I3)*(ROW()-3)/(MATCH(9.99E+307,'Returns (Calc)'!$A:$A)-3),"")</f>
        <v>117.19392405063292</v>
      </c>
      <c r="AE64" s="143">
        <f>IFERROR('Price History'!J3+(INDEX('Price History'!J:J,MATCH(9.99E+307,'Returns (Calc)'!$A:$A)+1)-'Price History'!J3)*(ROW()-3)/(MATCH(9.99E+307,'Returns (Calc)'!$A:$A)-3),"")</f>
        <v>118.4303164556962</v>
      </c>
      <c r="AF64" s="143">
        <f>IFERROR('Price History'!K3+(INDEX('Price History'!K:K,MATCH(9.99E+307,'Returns (Calc)'!$A:$A)+1)-'Price History'!K3)*(ROW()-3)/(MATCH(9.99E+307,'Returns (Calc)'!$A:$A)-3),"")</f>
        <v>82.283291139240504</v>
      </c>
      <c r="AG64" s="143">
        <f>IFERROR('Price History'!L3+(INDEX('Price History'!L:L,MATCH(9.99E+307,'Returns (Calc)'!$A:$A)+1)-'Price History'!L3)*(ROW()-3)/(MATCH(9.99E+307,'Returns (Calc)'!$A:$A)-3),"")</f>
        <v>235.17297468354428</v>
      </c>
      <c r="AH64" s="143">
        <f>IFERROR('Price History'!M3+(INDEX('Price History'!M:M,MATCH(9.99E+307,'Returns (Calc)'!$A:$A)+1)-'Price History'!M3)*(ROW()-3)/(MATCH(9.99E+307,'Returns (Calc)'!$A:$A)-3),"")</f>
        <v>120.70202531645569</v>
      </c>
      <c r="AI64" s="143">
        <f>IFERROR('Price History'!N3+(INDEX('Price History'!N:N,MATCH(9.99E+307,'Returns (Calc)'!$A:$A)+1)-'Price History'!N3)*(ROW()-3)/(MATCH(9.99E+307,'Returns (Calc)'!$A:$A)-3),"")</f>
        <v>409.06221518987343</v>
      </c>
      <c r="AJ64" s="143">
        <f>IFERROR('Price History'!O3+(INDEX('Price History'!O:O,MATCH(9.99E+307,'Returns (Calc)'!$A:$A)+1)-'Price History'!O3)*(ROW()-3)/(MATCH(9.99E+307,'Returns (Calc)'!$A:$A)-3),"")</f>
        <v>92.57531645569621</v>
      </c>
      <c r="AK64" s="143">
        <f>IFERROR('Price History'!Q3+(INDEX('Price History'!Q:Q,MATCH(9.99E+307,'Returns (Calc)'!$A:$A)+1)-'Price History'!Q3)*(ROW()-3)/(MATCH(9.99E+307,'Returns (Calc)'!$A:$A)-3),"")</f>
        <v>26.801392405063289</v>
      </c>
      <c r="AL64" s="143">
        <f>IFERROR('Price History'!R3+(INDEX('Price History'!R:R,MATCH(9.99E+307,'Returns (Calc)'!$A:$A)+1)-'Price History'!R3)*(ROW()-3)/(MATCH(9.99E+307,'Returns (Calc)'!$A:$A)-3),"")</f>
        <v>44.734177215189874</v>
      </c>
      <c r="AM64" s="143">
        <f>IFERROR('Price History'!S3+(INDEX('Price History'!S:S,MATCH(9.99E+307,'Returns (Calc)'!$A:$A)+1)-'Price History'!S3)*(ROW()-3)/(MATCH(9.99E+307,'Returns (Calc)'!$A:$A)-3),"")</f>
        <v>94.538860759493673</v>
      </c>
      <c r="AN64" s="143">
        <f>IFERROR('Price History'!T3+(INDEX('Price History'!T:T,MATCH(9.99E+307,'Returns (Calc)'!$A:$A)+1)-'Price History'!T3)*(ROW()-3)/(MATCH(9.99E+307,'Returns (Calc)'!$A:$A)-3),"")</f>
        <v>35.501898734177217</v>
      </c>
      <c r="AO64" s="144">
        <f>IFERROR('Price History'!V3+(INDEX('Price History'!V:V,MATCH(9.99E+307,'Returns (Calc)'!$A:$A)+1)-'Price History'!V3)*(ROW()-3)/(MATCH(9.99E+307,'Returns (Calc)'!$A:$A)-3),"")</f>
        <v>283.90107594936711</v>
      </c>
      <c r="AP64" s="142">
        <f>IFERROR(IF(OR(NOT(ISNUMBER('Price History'!W65)),NOT(ISNUMBER('Price History'!W64)),'Price History'!W64=0),"",'Price History'!W65/'Price History'!W64-1),"")</f>
        <v>2.2383252818035437E-2</v>
      </c>
      <c r="AQ64" s="142" t="str">
        <f>IFERROR(IF(OR(NOT(ISNUMBER('Price History'!X65)),NOT(ISNUMBER('Price History'!X64)),'Price History'!X64=0),"",'Price History'!X65/'Price History'!X64-1),"")</f>
        <v/>
      </c>
      <c r="AR64" s="142">
        <f>IFERROR(IF(OR(NOT(ISNUMBER('Price History'!Y65)),NOT(ISNUMBER('Price History'!Y64)),'Price History'!Y64=0),"",'Price History'!Y65/'Price History'!Y64-1),"")</f>
        <v>1.4990138067061176E-2</v>
      </c>
      <c r="AS64" s="142">
        <f>IFERROR(IF(OR(NOT(ISNUMBER('Price History'!Z65)),NOT(ISNUMBER('Price History'!Z64)),'Price History'!Z64=0),"",'Price History'!Z65/'Price History'!Z64-1),"")</f>
        <v>2.3862533538848041E-2</v>
      </c>
      <c r="AT64" s="142">
        <f>IFERROR(IF(OR(NOT(ISNUMBER('Price History'!AA65)),NOT(ISNUMBER('Price History'!AA64)),'Price History'!AA64=0),"",'Price History'!AA65/'Price History'!AA64-1),"")</f>
        <v>8.9563106796116454E-2</v>
      </c>
    </row>
    <row r="65" spans="1:46" ht="15" customHeight="1" x14ac:dyDescent="0.35">
      <c r="A65" s="140">
        <f>IF('Price History'!A66="","",'Price History'!A66)</f>
        <v>45625</v>
      </c>
      <c r="B65" s="141">
        <f>IFERROR(IF(OR(NOT(ISNUMBER('Price History'!B66)),NOT(ISNUMBER('Price History'!B65)),'Price History'!B65=0),"",'Price History'!B66/'Price History'!B65-1),"")</f>
        <v>7.3806502001365626E-3</v>
      </c>
      <c r="C65" s="141">
        <f>IFERROR(IF(OR(NOT(ISNUMBER('Price History'!C66)),NOT(ISNUMBER('Price History'!C65)),'Price History'!C65=0),"",'Price History'!C66/'Price History'!C65-1),"")</f>
        <v>-1.5744932099981401E-3</v>
      </c>
      <c r="D65" s="141">
        <f>IFERROR(IF(OR(NOT(ISNUMBER('Price History'!D66)),NOT(ISNUMBER('Price History'!D65)),'Price History'!D65=0),"",'Price History'!D66/'Price History'!D65-1),"")</f>
        <v>2.0412470602424015E-2</v>
      </c>
      <c r="E65" s="141">
        <f>IFERROR(IF(OR(NOT(ISNUMBER('Price History'!E66)),NOT(ISNUMBER('Price History'!E65)),'Price History'!E65=0),"",'Price History'!E66/'Price History'!E65-1),"")</f>
        <v>-1.3070680790435607E-2</v>
      </c>
      <c r="F65" s="141">
        <f>IFERROR(IF(OR(NOT(ISNUMBER('Price History'!F66)),NOT(ISNUMBER('Price History'!F65)),'Price History'!F65=0),"",'Price History'!F66/'Price History'!F65-1),"")</f>
        <v>-7.0699473514558964E-2</v>
      </c>
      <c r="G65" s="141">
        <f>IFERROR(IF(OR(NOT(ISNUMBER('Price History'!G66)),NOT(ISNUMBER('Price History'!G65)),'Price History'!G65=0),"",'Price History'!G66/'Price History'!G65-1),"")</f>
        <v>1.1712567268122864E-2</v>
      </c>
      <c r="H65" s="141">
        <f>IFERROR(IF(OR(NOT(ISNUMBER('Price History'!H66)),NOT(ISNUMBER('Price History'!H65)),'Price History'!H65=0),"",'Price History'!H66/'Price History'!H65-1),"")</f>
        <v>-4.563705807462537E-2</v>
      </c>
      <c r="I65" s="141">
        <f>IFERROR(IF(OR(NOT(ISNUMBER('Price History'!I66)),NOT(ISNUMBER('Price History'!I65)),'Price History'!I65=0),"",'Price History'!I66/'Price History'!I65-1),"")</f>
        <v>-2.6064844246662444E-2</v>
      </c>
      <c r="J65" s="141">
        <f>IFERROR(IF(OR(NOT(ISNUMBER('Price History'!J66)),NOT(ISNUMBER('Price History'!J65)),'Price History'!J65=0),"",'Price History'!J66/'Price History'!J65-1),"")</f>
        <v>8.4941371987812264E-3</v>
      </c>
      <c r="K65" s="141">
        <f>IFERROR(IF(OR(NOT(ISNUMBER('Price History'!K66)),NOT(ISNUMBER('Price History'!K65)),'Price History'!K65=0),"",'Price History'!K66/'Price History'!K65-1),"")</f>
        <v>4.2424242424242475E-2</v>
      </c>
      <c r="L65" s="141">
        <f>IFERROR(IF(OR(NOT(ISNUMBER('Price History'!L66)),NOT(ISNUMBER('Price History'!L65)),'Price History'!L65=0),"",'Price History'!L66/'Price History'!L65-1),"")</f>
        <v>-2.8517520215633363E-2</v>
      </c>
      <c r="M65" s="141">
        <f>IFERROR(IF(OR(NOT(ISNUMBER('Price History'!M66)),NOT(ISNUMBER('Price History'!M65)),'Price History'!M65=0),"",'Price History'!M66/'Price History'!M65-1),"")</f>
        <v>-8.9550103712180751E-2</v>
      </c>
      <c r="N65" s="141">
        <f>IFERROR(IF(OR(NOT(ISNUMBER('Price History'!N66)),NOT(ISNUMBER('Price History'!N65)),'Price History'!N65=0),"",'Price History'!N66/'Price History'!N65-1),"")</f>
        <v>3.8051311617180561E-2</v>
      </c>
      <c r="O65" s="141">
        <f>IFERROR(IF(OR(NOT(ISNUMBER('Price History'!O66)),NOT(ISNUMBER('Price History'!O65)),'Price History'!O65=0),"",'Price History'!O66/'Price History'!O65-1),"")</f>
        <v>6.7900019681164103E-3</v>
      </c>
      <c r="P65" s="141">
        <f>IFERROR(IF(OR(NOT(ISNUMBER('Price History'!P66)),NOT(ISNUMBER('Price History'!P65)),'Price History'!P65=0),"",'Price History'!P66/'Price History'!P65-1),"")</f>
        <v>9.3676814988290502E-3</v>
      </c>
      <c r="Q65" s="141">
        <f>IFERROR(IF(OR(NOT(ISNUMBER('Price History'!Q66)),NOT(ISNUMBER('Price History'!Q65)),'Price History'!Q65=0),"",'Price History'!Q66/'Price History'!Q65-1),"")</f>
        <v>6.145883875141589E-3</v>
      </c>
      <c r="R65" s="141">
        <f>IFERROR(IF(OR(NOT(ISNUMBER('Price History'!R66)),NOT(ISNUMBER('Price History'!R65)),'Price History'!R65=0),"",'Price History'!R66/'Price History'!R65-1),"")</f>
        <v>9.2267135325130312E-3</v>
      </c>
      <c r="S65" s="141">
        <f>IFERROR(IF(OR(NOT(ISNUMBER('Price History'!S66)),NOT(ISNUMBER('Price History'!S65)),'Price History'!S65=0),"",'Price History'!S66/'Price History'!S65-1),"")</f>
        <v>1.3075369405761705E-2</v>
      </c>
      <c r="T65" s="141">
        <f>IFERROR(IF(OR(NOT(ISNUMBER('Price History'!T66)),NOT(ISNUMBER('Price History'!T65)),'Price History'!T65=0),"",'Price History'!T66/'Price History'!T65-1),"")</f>
        <v>1.9673974142777606E-3</v>
      </c>
      <c r="U65" s="141">
        <f>IFERROR(IF(OR(NOT(ISNUMBER('Price History'!U66)),NOT(ISNUMBER('Price History'!U65)),'Price History'!U65=0),"",'Price History'!U66/'Price History'!U65-1),"")</f>
        <v>6.2248260710362491E-3</v>
      </c>
      <c r="V65" s="142">
        <f>IFERROR(IF(OR(NOT(ISNUMBER('Price History'!V66)),NOT(ISNUMBER('Price History'!V65)),'Price History'!V65=0),"",'Price History'!V66/'Price History'!V65-1),"")</f>
        <v>1.6639424648578149E-2</v>
      </c>
      <c r="W65" s="143">
        <f>IFERROR('Price History'!B3+(INDEX('Price History'!B:B,MATCH(9.99E+307,'Returns (Calc)'!$A:$A)+1)-'Price History'!B3)*(ROW()-3)/(MATCH(9.99E+307,'Returns (Calc)'!$A:$A)-3),"")</f>
        <v>414.62164556962023</v>
      </c>
      <c r="X65" s="143">
        <f>IFERROR('Price History'!C3+(INDEX('Price History'!C:C,MATCH(9.99E+307,'Returns (Calc)'!$A:$A)+1)-'Price History'!C3)*(ROW()-3)/(MATCH(9.99E+307,'Returns (Calc)'!$A:$A)-3),"")</f>
        <v>109.42392405063291</v>
      </c>
      <c r="Y65" s="143">
        <f>IFERROR('Price History'!D3+(INDEX('Price History'!D:D,MATCH(9.99E+307,'Returns (Calc)'!$A:$A)+1)-'Price History'!D3)*(ROW()-3)/(MATCH(9.99E+307,'Returns (Calc)'!$A:$A)-3),"")</f>
        <v>1086.3682278481012</v>
      </c>
      <c r="Z65" s="143">
        <f>IFERROR('Price History'!E3+(INDEX('Price History'!E:E,MATCH(9.99E+307,'Returns (Calc)'!$A:$A)+1)-'Price History'!E3)*(ROW()-3)/(MATCH(9.99E+307,'Returns (Calc)'!$A:$A)-3),"")</f>
        <v>189.18151898734178</v>
      </c>
      <c r="AA65" s="143">
        <f>IFERROR('Price History'!F3+(INDEX('Price History'!F:F,MATCH(9.99E+307,'Returns (Calc)'!$A:$A)+1)-'Price History'!F3)*(ROW()-3)/(MATCH(9.99E+307,'Returns (Calc)'!$A:$A)-3),"")</f>
        <v>131.09518987341772</v>
      </c>
      <c r="AB65" s="143">
        <f>IFERROR('Price History'!G3+(INDEX('Price History'!G:G,MATCH(9.99E+307,'Returns (Calc)'!$A:$A)+1)-'Price History'!G3)*(ROW()-3)/(MATCH(9.99E+307,'Returns (Calc)'!$A:$A)-3),"")</f>
        <v>108.13151898734176</v>
      </c>
      <c r="AC65" s="143">
        <f>IFERROR('Price History'!H3+(INDEX('Price History'!H:H,MATCH(9.99E+307,'Returns (Calc)'!$A:$A)+1)-'Price History'!H3)*(ROW()-3)/(MATCH(9.99E+307,'Returns (Calc)'!$A:$A)-3),"")</f>
        <v>463.78316455696211</v>
      </c>
      <c r="AD65" s="143">
        <f>IFERROR('Price History'!I3+(INDEX('Price History'!I:I,MATCH(9.99E+307,'Returns (Calc)'!$A:$A)+1)-'Price History'!I3)*(ROW()-3)/(MATCH(9.99E+307,'Returns (Calc)'!$A:$A)-3),"")</f>
        <v>118.39759493670886</v>
      </c>
      <c r="AE65" s="143">
        <f>IFERROR('Price History'!J3+(INDEX('Price History'!J:J,MATCH(9.99E+307,'Returns (Calc)'!$A:$A)+1)-'Price History'!J3)*(ROW()-3)/(MATCH(9.99E+307,'Returns (Calc)'!$A:$A)-3),"")</f>
        <v>118.53835443037975</v>
      </c>
      <c r="AF65" s="143">
        <f>IFERROR('Price History'!K3+(INDEX('Price History'!K:K,MATCH(9.99E+307,'Returns (Calc)'!$A:$A)+1)-'Price History'!K3)*(ROW()-3)/(MATCH(9.99E+307,'Returns (Calc)'!$A:$A)-3),"")</f>
        <v>83.380886075949363</v>
      </c>
      <c r="AG65" s="143">
        <f>IFERROR('Price History'!L3+(INDEX('Price History'!L:L,MATCH(9.99E+307,'Returns (Calc)'!$A:$A)+1)-'Price History'!L3)*(ROW()-3)/(MATCH(9.99E+307,'Returns (Calc)'!$A:$A)-3),"")</f>
        <v>237.62253164556961</v>
      </c>
      <c r="AH65" s="143">
        <f>IFERROR('Price History'!M3+(INDEX('Price History'!M:M,MATCH(9.99E+307,'Returns (Calc)'!$A:$A)+1)-'Price History'!M3)*(ROW()-3)/(MATCH(9.99E+307,'Returns (Calc)'!$A:$A)-3),"")</f>
        <v>122.05746835443037</v>
      </c>
      <c r="AI65" s="143">
        <f>IFERROR('Price History'!N3+(INDEX('Price History'!N:N,MATCH(9.99E+307,'Returns (Calc)'!$A:$A)+1)-'Price History'!N3)*(ROW()-3)/(MATCH(9.99E+307,'Returns (Calc)'!$A:$A)-3),"")</f>
        <v>410.04848101265821</v>
      </c>
      <c r="AJ65" s="143">
        <f>IFERROR('Price History'!O3+(INDEX('Price History'!O:O,MATCH(9.99E+307,'Returns (Calc)'!$A:$A)+1)-'Price History'!O3)*(ROW()-3)/(MATCH(9.99E+307,'Returns (Calc)'!$A:$A)-3),"")</f>
        <v>92.858354430379748</v>
      </c>
      <c r="AK65" s="143">
        <f>IFERROR('Price History'!Q3+(INDEX('Price History'!Q:Q,MATCH(9.99E+307,'Returns (Calc)'!$A:$A)+1)-'Price History'!Q3)*(ROW()-3)/(MATCH(9.99E+307,'Returns (Calc)'!$A:$A)-3),"")</f>
        <v>27.240759493670886</v>
      </c>
      <c r="AL65" s="143">
        <f>IFERROR('Price History'!R3+(INDEX('Price History'!R:R,MATCH(9.99E+307,'Returns (Calc)'!$A:$A)+1)-'Price History'!R3)*(ROW()-3)/(MATCH(9.99E+307,'Returns (Calc)'!$A:$A)-3),"")</f>
        <v>44.902278481012658</v>
      </c>
      <c r="AM65" s="143">
        <f>IFERROR('Price History'!S3+(INDEX('Price History'!S:S,MATCH(9.99E+307,'Returns (Calc)'!$A:$A)+1)-'Price History'!S3)*(ROW()-3)/(MATCH(9.99E+307,'Returns (Calc)'!$A:$A)-3),"")</f>
        <v>95.143924050632904</v>
      </c>
      <c r="AN65" s="143">
        <f>IFERROR('Price History'!T3+(INDEX('Price History'!T:T,MATCH(9.99E+307,'Returns (Calc)'!$A:$A)+1)-'Price History'!T3)*(ROW()-3)/(MATCH(9.99E+307,'Returns (Calc)'!$A:$A)-3),"")</f>
        <v>35.670126582278478</v>
      </c>
      <c r="AO65" s="144">
        <f>IFERROR('Price History'!V3+(INDEX('Price History'!V:V,MATCH(9.99E+307,'Returns (Calc)'!$A:$A)+1)-'Price History'!V3)*(ROW()-3)/(MATCH(9.99E+307,'Returns (Calc)'!$A:$A)-3),"")</f>
        <v>284.69240506329118</v>
      </c>
      <c r="AP65" s="142">
        <f>IFERROR(IF(OR(NOT(ISNUMBER('Price History'!W66)),NOT(ISNUMBER('Price History'!W65)),'Price History'!W65=0),"",'Price History'!W66/'Price History'!W65-1),"")</f>
        <v>8.3477713025672529E-3</v>
      </c>
      <c r="AQ65" s="142" t="str">
        <f>IFERROR(IF(OR(NOT(ISNUMBER('Price History'!X66)),NOT(ISNUMBER('Price History'!X65)),'Price History'!X65=0),"",'Price History'!X66/'Price History'!X65-1),"")</f>
        <v/>
      </c>
      <c r="AR65" s="142">
        <f>IFERROR(IF(OR(NOT(ISNUMBER('Price History'!Y66)),NOT(ISNUMBER('Price History'!Y65)),'Price History'!Y65=0),"",'Price History'!Y66/'Price History'!Y65-1),"")</f>
        <v>1.1076564321803373E-2</v>
      </c>
      <c r="AS65" s="142">
        <f>IFERROR(IF(OR(NOT(ISNUMBER('Price History'!Z66)),NOT(ISNUMBER('Price History'!Z65)),'Price History'!Z65=0),"",'Price History'!Z66/'Price History'!Z65-1),"")</f>
        <v>5.5756899916363789E-3</v>
      </c>
      <c r="AT65" s="142">
        <f>IFERROR(IF(OR(NOT(ISNUMBER('Price History'!AA66)),NOT(ISNUMBER('Price History'!AA65)),'Price History'!AA65=0),"",'Price History'!AA66/'Price History'!AA65-1),"")</f>
        <v>-1.2252171975941084E-2</v>
      </c>
    </row>
    <row r="66" spans="1:46" ht="15" customHeight="1" x14ac:dyDescent="0.35">
      <c r="A66" s="140">
        <f>IF('Price History'!A67="","",'Price History'!A67)</f>
        <v>45632</v>
      </c>
      <c r="B66" s="141">
        <f>IFERROR(IF(OR(NOT(ISNUMBER('Price History'!B67)),NOT(ISNUMBER('Price History'!B66)),'Price History'!B66=0),"",'Price History'!B67/'Price History'!B66-1),"")</f>
        <v>7.1773302579807519E-2</v>
      </c>
      <c r="C66" s="141">
        <f>IFERROR(IF(OR(NOT(ISNUMBER('Price History'!C67)),NOT(ISNUMBER('Price History'!C66)),'Price History'!C66=0),"",'Price History'!C67/'Price History'!C66-1),"")</f>
        <v>6.6922925290755053E-2</v>
      </c>
      <c r="D66" s="141">
        <f>IFERROR(IF(OR(NOT(ISNUMBER('Price History'!D67)),NOT(ISNUMBER('Price History'!D66)),'Price History'!D66=0),"",'Price History'!D67/'Price History'!D66-1),"")</f>
        <v>3.2576899211062882E-2</v>
      </c>
      <c r="E66" s="141">
        <f>IFERROR(IF(OR(NOT(ISNUMBER('Price History'!E67)),NOT(ISNUMBER('Price History'!E66)),'Price History'!E66=0),"",'Price History'!E67/'Price History'!E66-1),"")</f>
        <v>0.10764499121265381</v>
      </c>
      <c r="F66" s="141">
        <f>IFERROR(IF(OR(NOT(ISNUMBER('Price History'!F67)),NOT(ISNUMBER('Price History'!F66)),'Price History'!F66=0),"",'Price History'!F67/'Price History'!F66-1),"")</f>
        <v>5.6885189039195261E-2</v>
      </c>
      <c r="G66" s="141">
        <f>IFERROR(IF(OR(NOT(ISNUMBER('Price History'!G67)),NOT(ISNUMBER('Price History'!G66)),'Price History'!G66=0),"",'Price History'!G67/'Price History'!G66-1),"")</f>
        <v>2.0337922403002029E-3</v>
      </c>
      <c r="H66" s="141">
        <f>IFERROR(IF(OR(NOT(ISNUMBER('Price History'!H67)),NOT(ISNUMBER('Price History'!H66)),'Price History'!H66=0),"",'Price History'!H67/'Price History'!H66-1),"")</f>
        <v>3.283735248845554E-2</v>
      </c>
      <c r="I66" s="141">
        <f>IFERROR(IF(OR(NOT(ISNUMBER('Price History'!I67)),NOT(ISNUMBER('Price History'!I66)),'Price History'!I66=0),"",'Price History'!I67/'Price History'!I66-1),"")</f>
        <v>3.0388743835219056E-2</v>
      </c>
      <c r="J66" s="141">
        <f>IFERROR(IF(OR(NOT(ISNUMBER('Price History'!J67)),NOT(ISNUMBER('Price History'!J66)),'Price History'!J66=0),"",'Price History'!J67/'Price History'!J66-1),"")</f>
        <v>-4.0922823400164732E-2</v>
      </c>
      <c r="K66" s="141">
        <f>IFERROR(IF(OR(NOT(ISNUMBER('Price History'!K67)),NOT(ISNUMBER('Price History'!K66)),'Price History'!K66=0),"",'Price History'!K67/'Price History'!K66-1),"")</f>
        <v>0.13804412641621955</v>
      </c>
      <c r="L66" s="141">
        <f>IFERROR(IF(OR(NOT(ISNUMBER('Price History'!L67)),NOT(ISNUMBER('Price History'!L66)),'Price History'!L66=0),"",'Price History'!L67/'Price History'!L66-1),"")</f>
        <v>9.9439542755673793E-2</v>
      </c>
      <c r="M66" s="141">
        <f>IFERROR(IF(OR(NOT(ISNUMBER('Price History'!M67)),NOT(ISNUMBER('Price History'!M66)),'Price History'!M66=0),"",'Price History'!M67/'Price History'!M66-1),"")</f>
        <v>4.933616152093645E-2</v>
      </c>
      <c r="N66" s="141">
        <f>IFERROR(IF(OR(NOT(ISNUMBER('Price History'!N67)),NOT(ISNUMBER('Price History'!N66)),'Price History'!N66=0),"",'Price History'!N67/'Price History'!N66-1),"")</f>
        <v>-1.28810373186935E-2</v>
      </c>
      <c r="O66" s="141">
        <f>IFERROR(IF(OR(NOT(ISNUMBER('Price History'!O67)),NOT(ISNUMBER('Price History'!O66)),'Price History'!O66=0),"",'Price History'!O67/'Price History'!O66-1),"")</f>
        <v>-2.0819079268888596E-2</v>
      </c>
      <c r="P66" s="141">
        <f>IFERROR(IF(OR(NOT(ISNUMBER('Price History'!P67)),NOT(ISNUMBER('Price History'!P66)),'Price History'!P66=0),"",'Price History'!P67/'Price History'!P66-1),"")</f>
        <v>-2.5297507671581676E-2</v>
      </c>
      <c r="Q66" s="141">
        <f>IFERROR(IF(OR(NOT(ISNUMBER('Price History'!Q67)),NOT(ISNUMBER('Price History'!Q66)),'Price History'!Q66=0),"",'Price History'!Q67/'Price History'!Q66-1),"")</f>
        <v>3.6971547982638242E-3</v>
      </c>
      <c r="R66" s="141">
        <f>IFERROR(IF(OR(NOT(ISNUMBER('Price History'!R67)),NOT(ISNUMBER('Price History'!R66)),'Price History'!R66=0),"",'Price History'!R67/'Price History'!R66-1),"")</f>
        <v>1.8502394427514224E-2</v>
      </c>
      <c r="S66" s="141">
        <f>IFERROR(IF(OR(NOT(ISNUMBER('Price History'!S67)),NOT(ISNUMBER('Price History'!S66)),'Price History'!S66=0),"",'Price History'!S67/'Price History'!S66-1),"")</f>
        <v>1.9307450157397765E-2</v>
      </c>
      <c r="T66" s="141">
        <f>IFERROR(IF(OR(NOT(ISNUMBER('Price History'!T67)),NOT(ISNUMBER('Price History'!T66)),'Price History'!T66=0),"",'Price History'!T67/'Price History'!T66-1),"")</f>
        <v>-8.4151472650773051E-4</v>
      </c>
      <c r="U66" s="141">
        <f>IFERROR(IF(OR(NOT(ISNUMBER('Price History'!U67)),NOT(ISNUMBER('Price History'!U66)),'Price History'!U66=0),"",'Price History'!U67/'Price History'!U66-1),"")</f>
        <v>-2.4017467248908297E-2</v>
      </c>
      <c r="V66" s="142">
        <f>IFERROR(IF(OR(NOT(ISNUMBER('Price History'!V67)),NOT(ISNUMBER('Price History'!V66)),'Price History'!V66=0),"",'Price History'!V67/'Price History'!V66-1),"")</f>
        <v>-1.2926460657898931E-2</v>
      </c>
      <c r="W66" s="143">
        <f>IFERROR('Price History'!B3+(INDEX('Price History'!B:B,MATCH(9.99E+307,'Returns (Calc)'!$A:$A)+1)-'Price History'!B3)*(ROW()-3)/(MATCH(9.99E+307,'Returns (Calc)'!$A:$A)-3),"")</f>
        <v>412.77860759493672</v>
      </c>
      <c r="X66" s="143">
        <f>IFERROR('Price History'!C3+(INDEX('Price History'!C:C,MATCH(9.99E+307,'Returns (Calc)'!$A:$A)+1)-'Price History'!C3)*(ROW()-3)/(MATCH(9.99E+307,'Returns (Calc)'!$A:$A)-3),"")</f>
        <v>110.44398734177216</v>
      </c>
      <c r="Y66" s="143">
        <f>IFERROR('Price History'!D3+(INDEX('Price History'!D:D,MATCH(9.99E+307,'Returns (Calc)'!$A:$A)+1)-'Price History'!D3)*(ROW()-3)/(MATCH(9.99E+307,'Returns (Calc)'!$A:$A)-3),"")</f>
        <v>1094.5030379746836</v>
      </c>
      <c r="Z66" s="143">
        <f>IFERROR('Price History'!E3+(INDEX('Price History'!E:E,MATCH(9.99E+307,'Returns (Calc)'!$A:$A)+1)-'Price History'!E3)*(ROW()-3)/(MATCH(9.99E+307,'Returns (Calc)'!$A:$A)-3),"")</f>
        <v>190.91025316455696</v>
      </c>
      <c r="AA66" s="143">
        <f>IFERROR('Price History'!F3+(INDEX('Price History'!F:F,MATCH(9.99E+307,'Returns (Calc)'!$A:$A)+1)-'Price History'!F3)*(ROW()-3)/(MATCH(9.99E+307,'Returns (Calc)'!$A:$A)-3),"")</f>
        <v>132.54253164556962</v>
      </c>
      <c r="AB66" s="143">
        <f>IFERROR('Price History'!G3+(INDEX('Price History'!G:G,MATCH(9.99E+307,'Returns (Calc)'!$A:$A)+1)-'Price History'!G3)*(ROW()-3)/(MATCH(9.99E+307,'Returns (Calc)'!$A:$A)-3),"")</f>
        <v>109.16025316455696</v>
      </c>
      <c r="AC66" s="143">
        <f>IFERROR('Price History'!H3+(INDEX('Price History'!H:H,MATCH(9.99E+307,'Returns (Calc)'!$A:$A)+1)-'Price History'!H3)*(ROW()-3)/(MATCH(9.99E+307,'Returns (Calc)'!$A:$A)-3),"")</f>
        <v>470.14886075949374</v>
      </c>
      <c r="AD66" s="143">
        <f>IFERROR('Price History'!I3+(INDEX('Price History'!I:I,MATCH(9.99E+307,'Returns (Calc)'!$A:$A)+1)-'Price History'!I3)*(ROW()-3)/(MATCH(9.99E+307,'Returns (Calc)'!$A:$A)-3),"")</f>
        <v>119.6012658227848</v>
      </c>
      <c r="AE66" s="143">
        <f>IFERROR('Price History'!J3+(INDEX('Price History'!J:J,MATCH(9.99E+307,'Returns (Calc)'!$A:$A)+1)-'Price History'!J3)*(ROW()-3)/(MATCH(9.99E+307,'Returns (Calc)'!$A:$A)-3),"")</f>
        <v>118.6463924050633</v>
      </c>
      <c r="AF66" s="143">
        <f>IFERROR('Price History'!K3+(INDEX('Price History'!K:K,MATCH(9.99E+307,'Returns (Calc)'!$A:$A)+1)-'Price History'!K3)*(ROW()-3)/(MATCH(9.99E+307,'Returns (Calc)'!$A:$A)-3),"")</f>
        <v>84.478481012658222</v>
      </c>
      <c r="AG66" s="143">
        <f>IFERROR('Price History'!L3+(INDEX('Price History'!L:L,MATCH(9.99E+307,'Returns (Calc)'!$A:$A)+1)-'Price History'!L3)*(ROW()-3)/(MATCH(9.99E+307,'Returns (Calc)'!$A:$A)-3),"")</f>
        <v>240.07208860759494</v>
      </c>
      <c r="AH66" s="143">
        <f>IFERROR('Price History'!M3+(INDEX('Price History'!M:M,MATCH(9.99E+307,'Returns (Calc)'!$A:$A)+1)-'Price History'!M3)*(ROW()-3)/(MATCH(9.99E+307,'Returns (Calc)'!$A:$A)-3),"")</f>
        <v>123.41291139240508</v>
      </c>
      <c r="AI66" s="143">
        <f>IFERROR('Price History'!N3+(INDEX('Price History'!N:N,MATCH(9.99E+307,'Returns (Calc)'!$A:$A)+1)-'Price History'!N3)*(ROW()-3)/(MATCH(9.99E+307,'Returns (Calc)'!$A:$A)-3),"")</f>
        <v>411.034746835443</v>
      </c>
      <c r="AJ66" s="143">
        <f>IFERROR('Price History'!O3+(INDEX('Price History'!O:O,MATCH(9.99E+307,'Returns (Calc)'!$A:$A)+1)-'Price History'!O3)*(ROW()-3)/(MATCH(9.99E+307,'Returns (Calc)'!$A:$A)-3),"")</f>
        <v>93.1413924050633</v>
      </c>
      <c r="AK66" s="143">
        <f>IFERROR('Price History'!Q3+(INDEX('Price History'!Q:Q,MATCH(9.99E+307,'Returns (Calc)'!$A:$A)+1)-'Price History'!Q3)*(ROW()-3)/(MATCH(9.99E+307,'Returns (Calc)'!$A:$A)-3),"")</f>
        <v>27.680126582278483</v>
      </c>
      <c r="AL66" s="143">
        <f>IFERROR('Price History'!R3+(INDEX('Price History'!R:R,MATCH(9.99E+307,'Returns (Calc)'!$A:$A)+1)-'Price History'!R3)*(ROW()-3)/(MATCH(9.99E+307,'Returns (Calc)'!$A:$A)-3),"")</f>
        <v>45.070379746835442</v>
      </c>
      <c r="AM66" s="143">
        <f>IFERROR('Price History'!S3+(INDEX('Price History'!S:S,MATCH(9.99E+307,'Returns (Calc)'!$A:$A)+1)-'Price History'!S3)*(ROW()-3)/(MATCH(9.99E+307,'Returns (Calc)'!$A:$A)-3),"")</f>
        <v>95.74898734177215</v>
      </c>
      <c r="AN66" s="143">
        <f>IFERROR('Price History'!T3+(INDEX('Price History'!T:T,MATCH(9.99E+307,'Returns (Calc)'!$A:$A)+1)-'Price History'!T3)*(ROW()-3)/(MATCH(9.99E+307,'Returns (Calc)'!$A:$A)-3),"")</f>
        <v>35.838354430379745</v>
      </c>
      <c r="AO66" s="144">
        <f>IFERROR('Price History'!V3+(INDEX('Price History'!V:V,MATCH(9.99E+307,'Returns (Calc)'!$A:$A)+1)-'Price History'!V3)*(ROW()-3)/(MATCH(9.99E+307,'Returns (Calc)'!$A:$A)-3),"")</f>
        <v>285.48373417721518</v>
      </c>
      <c r="AP66" s="142">
        <f>IFERROR(IF(OR(NOT(ISNUMBER('Price History'!W67)),NOT(ISNUMBER('Price History'!W66)),'Price History'!W66=0),"",'Price History'!W67/'Price History'!W66-1),"")</f>
        <v>-1.4370509215869909E-2</v>
      </c>
      <c r="AQ66" s="142" t="str">
        <f>IFERROR(IF(OR(NOT(ISNUMBER('Price History'!X67)),NOT(ISNUMBER('Price History'!X66)),'Price History'!X66=0),"",'Price History'!X67/'Price History'!X66-1),"")</f>
        <v/>
      </c>
      <c r="AR66" s="142">
        <f>IFERROR(IF(OR(NOT(ISNUMBER('Price History'!Y67)),NOT(ISNUMBER('Price History'!Y66)),'Price History'!Y66=0),"",'Price History'!Y67/'Price History'!Y66-1),"")</f>
        <v>-8.4566596194503019E-3</v>
      </c>
      <c r="AS66" s="142">
        <f>IFERROR(IF(OR(NOT(ISNUMBER('Price History'!Z67)),NOT(ISNUMBER('Price History'!Z66)),'Price History'!Z66=0),"",'Price History'!Z67/'Price History'!Z66-1),"")</f>
        <v>-3.6151926808982382E-2</v>
      </c>
      <c r="AT66" s="142">
        <f>IFERROR(IF(OR(NOT(ISNUMBER('Price History'!AA67)),NOT(ISNUMBER('Price History'!AA66)),'Price History'!AA66=0),"",'Price History'!AA67/'Price History'!AA66-1),"")</f>
        <v>5.401443391971128E-2</v>
      </c>
    </row>
    <row r="67" spans="1:46" ht="15" customHeight="1" x14ac:dyDescent="0.35">
      <c r="A67" s="140">
        <f>IF('Price History'!A68="","",'Price History'!A68)</f>
        <v>45639</v>
      </c>
      <c r="B67" s="141">
        <f>IFERROR(IF(OR(NOT(ISNUMBER('Price History'!B68)),NOT(ISNUMBER('Price History'!B67)),'Price History'!B67=0),"",'Price History'!B68/'Price History'!B67-1),"")</f>
        <v>-0.15782335069444453</v>
      </c>
      <c r="C67" s="141">
        <f>IFERROR(IF(OR(NOT(ISNUMBER('Price History'!C68)),NOT(ISNUMBER('Price History'!C67)),'Price History'!C67=0),"",'Price History'!C68/'Price History'!C67-1),"")</f>
        <v>3.8060046189376529E-2</v>
      </c>
      <c r="D67" s="141">
        <f>IFERROR(IF(OR(NOT(ISNUMBER('Price History'!D68)),NOT(ISNUMBER('Price History'!D67)),'Price History'!D67=0),"",'Price History'!D68/'Price History'!D67-1),"")</f>
        <v>1.354967020074116E-2</v>
      </c>
      <c r="E67" s="141">
        <f>IFERROR(IF(OR(NOT(ISNUMBER('Price History'!E68)),NOT(ISNUMBER('Price History'!E67)),'Price History'!E67=0),"",'Price History'!E68/'Price History'!E67-1),"")</f>
        <v>0.25216750722502401</v>
      </c>
      <c r="F67" s="141">
        <f>IFERROR(IF(OR(NOT(ISNUMBER('Price History'!F68)),NOT(ISNUMBER('Price History'!F67)),'Price History'!F67=0),"",'Price History'!F68/'Price History'!F67-1),"")</f>
        <v>6.4544360573242088E-3</v>
      </c>
      <c r="G67" s="141">
        <f>IFERROR(IF(OR(NOT(ISNUMBER('Price History'!G68)),NOT(ISNUMBER('Price History'!G67)),'Price History'!G67=0),"",'Price History'!G68/'Price History'!G67-1),"")</f>
        <v>8.2747853239657498E-3</v>
      </c>
      <c r="H67" s="141">
        <f>IFERROR(IF(OR(NOT(ISNUMBER('Price History'!H68)),NOT(ISNUMBER('Price History'!H67)),'Price History'!H67=0),"",'Price History'!H68/'Price History'!H67-1),"")</f>
        <v>1.3114754098360493E-2</v>
      </c>
      <c r="I67" s="141">
        <f>IFERROR(IF(OR(NOT(ISNUMBER('Price History'!I68)),NOT(ISNUMBER('Price History'!I67)),'Price History'!I67=0),"",'Price History'!I68/'Price History'!I67-1),"")</f>
        <v>-5.7506862814105664E-2</v>
      </c>
      <c r="J67" s="141">
        <f>IFERROR(IF(OR(NOT(ISNUMBER('Price History'!J68)),NOT(ISNUMBER('Price History'!J67)),'Price History'!J67=0),"",'Price History'!J68/'Price History'!J67-1),"")</f>
        <v>-7.7319587628865705E-3</v>
      </c>
      <c r="K67" s="141">
        <f>IFERROR(IF(OR(NOT(ISNUMBER('Price History'!K68)),NOT(ISNUMBER('Price History'!K67)),'Price History'!K67=0),"",'Price History'!K68/'Price History'!K67-1),"")</f>
        <v>-3.5368090123134577E-3</v>
      </c>
      <c r="L67" s="141">
        <f>IFERROR(IF(OR(NOT(ISNUMBER('Price History'!L68)),NOT(ISNUMBER('Price History'!L67)),'Price History'!L67=0),"",'Price History'!L68/'Price History'!L67-1),"")</f>
        <v>-6.8641800837833111E-3</v>
      </c>
      <c r="M67" s="141">
        <f>IFERROR(IF(OR(NOT(ISNUMBER('Price History'!M68)),NOT(ISNUMBER('Price History'!M67)),'Price History'!M67=0),"",'Price History'!M68/'Price History'!M67-1),"")</f>
        <v>-6.0342891367822005E-2</v>
      </c>
      <c r="N67" s="141">
        <f>IFERROR(IF(OR(NOT(ISNUMBER('Price History'!N68)),NOT(ISNUMBER('Price History'!N67)),'Price History'!N67=0),"",'Price History'!N68/'Price History'!N67-1),"")</f>
        <v>3.5273750270503612E-3</v>
      </c>
      <c r="O67" s="141">
        <f>IFERROR(IF(OR(NOT(ISNUMBER('Price History'!O68)),NOT(ISNUMBER('Price History'!O67)),'Price History'!O67=0),"",'Price History'!O68/'Price History'!O67-1),"")</f>
        <v>-1.2377720103813217E-2</v>
      </c>
      <c r="P67" s="141">
        <f>IFERROR(IF(OR(NOT(ISNUMBER('Price History'!P68)),NOT(ISNUMBER('Price History'!P67)),'Price History'!P67=0),"",'Price History'!P68/'Price History'!P67-1),"")</f>
        <v>-2.0195039545419569E-2</v>
      </c>
      <c r="Q67" s="141">
        <f>IFERROR(IF(OR(NOT(ISNUMBER('Price History'!Q68)),NOT(ISNUMBER('Price History'!Q67)),'Price History'!Q67=0),"",'Price History'!Q68/'Price History'!Q67-1),"")</f>
        <v>-1.7616912235746129E-3</v>
      </c>
      <c r="R67" s="141">
        <f>IFERROR(IF(OR(NOT(ISNUMBER('Price History'!R68)),NOT(ISNUMBER('Price History'!R67)),'Price History'!R67=0),"",'Price History'!R68/'Price History'!R67-1),"")</f>
        <v>3.8469758495405237E-3</v>
      </c>
      <c r="S67" s="141">
        <f>IFERROR(IF(OR(NOT(ISNUMBER('Price History'!S68)),NOT(ISNUMBER('Price History'!S67)),'Price History'!S67=0),"",'Price History'!S68/'Price History'!S67-1),"")</f>
        <v>-9.3679225859584214E-3</v>
      </c>
      <c r="T67" s="141">
        <f>IFERROR(IF(OR(NOT(ISNUMBER('Price History'!T68)),NOT(ISNUMBER('Price History'!T67)),'Price History'!T67=0),"",'Price History'!T68/'Price History'!T67-1),"")</f>
        <v>-4.1549691184727622E-2</v>
      </c>
      <c r="U67" s="141">
        <f>IFERROR(IF(OR(NOT(ISNUMBER('Price History'!U68)),NOT(ISNUMBER('Price History'!U67)),'Price History'!U67=0),"",'Price History'!U68/'Price History'!U67-1),"")</f>
        <v>-1.4914243102162494E-2</v>
      </c>
      <c r="V67" s="142">
        <f>IFERROR(IF(OR(NOT(ISNUMBER('Price History'!V68)),NOT(ISNUMBER('Price History'!V67)),'Price History'!V67=0),"",'Price History'!V68/'Price History'!V67-1),"")</f>
        <v>1.1988142163729121E-2</v>
      </c>
      <c r="W67" s="143">
        <f>IFERROR('Price History'!B3+(INDEX('Price History'!B:B,MATCH(9.99E+307,'Returns (Calc)'!$A:$A)+1)-'Price History'!B3)*(ROW()-3)/(MATCH(9.99E+307,'Returns (Calc)'!$A:$A)-3),"")</f>
        <v>410.93556962025315</v>
      </c>
      <c r="X67" s="143">
        <f>IFERROR('Price History'!C3+(INDEX('Price History'!C:C,MATCH(9.99E+307,'Returns (Calc)'!$A:$A)+1)-'Price History'!C3)*(ROW()-3)/(MATCH(9.99E+307,'Returns (Calc)'!$A:$A)-3),"")</f>
        <v>111.46405063291138</v>
      </c>
      <c r="Y67" s="143">
        <f>IFERROR('Price History'!D3+(INDEX('Price History'!D:D,MATCH(9.99E+307,'Returns (Calc)'!$A:$A)+1)-'Price History'!D3)*(ROW()-3)/(MATCH(9.99E+307,'Returns (Calc)'!$A:$A)-3),"")</f>
        <v>1102.6378481012657</v>
      </c>
      <c r="Z67" s="143">
        <f>IFERROR('Price History'!E3+(INDEX('Price History'!E:E,MATCH(9.99E+307,'Returns (Calc)'!$A:$A)+1)-'Price History'!E3)*(ROW()-3)/(MATCH(9.99E+307,'Returns (Calc)'!$A:$A)-3),"")</f>
        <v>192.63898734177215</v>
      </c>
      <c r="AA67" s="143">
        <f>IFERROR('Price History'!F3+(INDEX('Price History'!F:F,MATCH(9.99E+307,'Returns (Calc)'!$A:$A)+1)-'Price History'!F3)*(ROW()-3)/(MATCH(9.99E+307,'Returns (Calc)'!$A:$A)-3),"")</f>
        <v>133.98987341772153</v>
      </c>
      <c r="AB67" s="143">
        <f>IFERROR('Price History'!G3+(INDEX('Price History'!G:G,MATCH(9.99E+307,'Returns (Calc)'!$A:$A)+1)-'Price History'!G3)*(ROW()-3)/(MATCH(9.99E+307,'Returns (Calc)'!$A:$A)-3),"")</f>
        <v>110.18898734177216</v>
      </c>
      <c r="AC67" s="143">
        <f>IFERROR('Price History'!H3+(INDEX('Price History'!H:H,MATCH(9.99E+307,'Returns (Calc)'!$A:$A)+1)-'Price History'!H3)*(ROW()-3)/(MATCH(9.99E+307,'Returns (Calc)'!$A:$A)-3),"")</f>
        <v>476.51455696202538</v>
      </c>
      <c r="AD67" s="143">
        <f>IFERROR('Price History'!I3+(INDEX('Price History'!I:I,MATCH(9.99E+307,'Returns (Calc)'!$A:$A)+1)-'Price History'!I3)*(ROW()-3)/(MATCH(9.99E+307,'Returns (Calc)'!$A:$A)-3),"")</f>
        <v>120.80493670886077</v>
      </c>
      <c r="AE67" s="143">
        <f>IFERROR('Price History'!J3+(INDEX('Price History'!J:J,MATCH(9.99E+307,'Returns (Calc)'!$A:$A)+1)-'Price History'!J3)*(ROW()-3)/(MATCH(9.99E+307,'Returns (Calc)'!$A:$A)-3),"")</f>
        <v>118.75443037974684</v>
      </c>
      <c r="AF67" s="143">
        <f>IFERROR('Price History'!K3+(INDEX('Price History'!K:K,MATCH(9.99E+307,'Returns (Calc)'!$A:$A)+1)-'Price History'!K3)*(ROW()-3)/(MATCH(9.99E+307,'Returns (Calc)'!$A:$A)-3),"")</f>
        <v>85.57607594936708</v>
      </c>
      <c r="AG67" s="143">
        <f>IFERROR('Price History'!L3+(INDEX('Price History'!L:L,MATCH(9.99E+307,'Returns (Calc)'!$A:$A)+1)-'Price History'!L3)*(ROW()-3)/(MATCH(9.99E+307,'Returns (Calc)'!$A:$A)-3),"")</f>
        <v>242.52164556962023</v>
      </c>
      <c r="AH67" s="143">
        <f>IFERROR('Price History'!M3+(INDEX('Price History'!M:M,MATCH(9.99E+307,'Returns (Calc)'!$A:$A)+1)-'Price History'!M3)*(ROW()-3)/(MATCH(9.99E+307,'Returns (Calc)'!$A:$A)-3),"")</f>
        <v>124.76835443037976</v>
      </c>
      <c r="AI67" s="143">
        <f>IFERROR('Price History'!N3+(INDEX('Price History'!N:N,MATCH(9.99E+307,'Returns (Calc)'!$A:$A)+1)-'Price History'!N3)*(ROW()-3)/(MATCH(9.99E+307,'Returns (Calc)'!$A:$A)-3),"")</f>
        <v>412.02101265822785</v>
      </c>
      <c r="AJ67" s="143">
        <f>IFERROR('Price History'!O3+(INDEX('Price History'!O:O,MATCH(9.99E+307,'Returns (Calc)'!$A:$A)+1)-'Price History'!O3)*(ROW()-3)/(MATCH(9.99E+307,'Returns (Calc)'!$A:$A)-3),"")</f>
        <v>93.424430379746838</v>
      </c>
      <c r="AK67" s="143">
        <f>IFERROR('Price History'!Q3+(INDEX('Price History'!Q:Q,MATCH(9.99E+307,'Returns (Calc)'!$A:$A)+1)-'Price History'!Q3)*(ROW()-3)/(MATCH(9.99E+307,'Returns (Calc)'!$A:$A)-3),"")</f>
        <v>28.119493670886076</v>
      </c>
      <c r="AL67" s="143">
        <f>IFERROR('Price History'!R3+(INDEX('Price History'!R:R,MATCH(9.99E+307,'Returns (Calc)'!$A:$A)+1)-'Price History'!R3)*(ROW()-3)/(MATCH(9.99E+307,'Returns (Calc)'!$A:$A)-3),"")</f>
        <v>45.238481012658227</v>
      </c>
      <c r="AM67" s="143">
        <f>IFERROR('Price History'!S3+(INDEX('Price History'!S:S,MATCH(9.99E+307,'Returns (Calc)'!$A:$A)+1)-'Price History'!S3)*(ROW()-3)/(MATCH(9.99E+307,'Returns (Calc)'!$A:$A)-3),"")</f>
        <v>96.354050632911395</v>
      </c>
      <c r="AN67" s="143">
        <f>IFERROR('Price History'!T3+(INDEX('Price History'!T:T,MATCH(9.99E+307,'Returns (Calc)'!$A:$A)+1)-'Price History'!T3)*(ROW()-3)/(MATCH(9.99E+307,'Returns (Calc)'!$A:$A)-3),"")</f>
        <v>36.006582278481012</v>
      </c>
      <c r="AO67" s="144">
        <f>IFERROR('Price History'!V3+(INDEX('Price History'!V:V,MATCH(9.99E+307,'Returns (Calc)'!$A:$A)+1)-'Price History'!V3)*(ROW()-3)/(MATCH(9.99E+307,'Returns (Calc)'!$A:$A)-3),"")</f>
        <v>286.27506329113925</v>
      </c>
      <c r="AP67" s="142">
        <f>IFERROR(IF(OR(NOT(ISNUMBER('Price History'!W68)),NOT(ISNUMBER('Price History'!W67)),'Price History'!W67=0),"",'Price History'!W68/'Price History'!W67-1),"")</f>
        <v>-7.0522979397781294E-3</v>
      </c>
      <c r="AQ67" s="142" t="str">
        <f>IFERROR(IF(OR(NOT(ISNUMBER('Price History'!X68)),NOT(ISNUMBER('Price History'!X67)),'Price History'!X67=0),"",'Price History'!X68/'Price History'!X67-1),"")</f>
        <v/>
      </c>
      <c r="AR67" s="142">
        <f>IFERROR(IF(OR(NOT(ISNUMBER('Price History'!Y68)),NOT(ISNUMBER('Price History'!Y67)),'Price History'!Y67=0),"",'Price History'!Y68/'Price History'!Y67-1),"")</f>
        <v>-8.141112618724633E-3</v>
      </c>
      <c r="AS67" s="142">
        <f>IFERROR(IF(OR(NOT(ISNUMBER('Price History'!Z68)),NOT(ISNUMBER('Price History'!Z67)),'Price History'!Z67=0),"",'Price History'!Z68/'Price History'!Z67-1),"")</f>
        <v>-5.4478513490191505E-2</v>
      </c>
      <c r="AT67" s="142">
        <f>IFERROR(IF(OR(NOT(ISNUMBER('Price History'!AA68)),NOT(ISNUMBER('Price History'!AA67)),'Price History'!AA67=0),"",'Price History'!AA68/'Price History'!AA67-1),"")</f>
        <v>-1.6903819407296461E-2</v>
      </c>
    </row>
    <row r="68" spans="1:46" ht="15" customHeight="1" x14ac:dyDescent="0.35">
      <c r="A68" s="140">
        <f>IF('Price History'!A69="","",'Price History'!A69)</f>
        <v>45646</v>
      </c>
      <c r="B68" s="141">
        <f>IFERROR(IF(OR(NOT(ISNUMBER('Price History'!B69)),NOT(ISNUMBER('Price History'!B68)),'Price History'!B68=0),"",'Price History'!B69/'Price History'!B68-1),"")</f>
        <v>-3.9768945006334655E-2</v>
      </c>
      <c r="C68" s="141">
        <f>IFERROR(IF(OR(NOT(ISNUMBER('Price History'!C69)),NOT(ISNUMBER('Price History'!C68)),'Price History'!C68=0),"",'Price History'!C69/'Price History'!C68-1),"")</f>
        <v>3.9156358458662943E-3</v>
      </c>
      <c r="D68" s="141">
        <f>IFERROR(IF(OR(NOT(ISNUMBER('Price History'!D69)),NOT(ISNUMBER('Price History'!D68)),'Price History'!D68=0),"",'Price History'!D69/'Price History'!D68-1),"")</f>
        <v>-1.7956464044721843E-2</v>
      </c>
      <c r="E68" s="141">
        <f>IFERROR(IF(OR(NOT(ISNUMBER('Price History'!E69)),NOT(ISNUMBER('Price History'!E68)),'Price History'!E68=0),"",'Price History'!E69/'Price History'!E68-1),"")</f>
        <v>-1.7830474725075818E-2</v>
      </c>
      <c r="F68" s="141">
        <f>IFERROR(IF(OR(NOT(ISNUMBER('Price History'!F69)),NOT(ISNUMBER('Price History'!F68)),'Price History'!F68=0),"",'Price History'!F69/'Price History'!F68-1),"")</f>
        <v>-1.5543478260869659E-2</v>
      </c>
      <c r="G68" s="141">
        <f>IFERROR(IF(OR(NOT(ISNUMBER('Price History'!G69)),NOT(ISNUMBER('Price History'!G68)),'Price History'!G68=0),"",'Price History'!G69/'Price History'!G68-1),"")</f>
        <v>-3.7318055125425742E-2</v>
      </c>
      <c r="H68" s="141">
        <f>IFERROR(IF(OR(NOT(ISNUMBER('Price History'!H69)),NOT(ISNUMBER('Price History'!H68)),'Price History'!H68=0),"",'Price History'!H69/'Price History'!H68-1),"")</f>
        <v>-0.12072178091595565</v>
      </c>
      <c r="I68" s="141">
        <f>IFERROR(IF(OR(NOT(ISNUMBER('Price History'!I69)),NOT(ISNUMBER('Price History'!I68)),'Price History'!I68=0),"",'Price History'!I69/'Price History'!I68-1),"")</f>
        <v>3.360716952949927E-3</v>
      </c>
      <c r="J68" s="141">
        <f>IFERROR(IF(OR(NOT(ISNUMBER('Price History'!J69)),NOT(ISNUMBER('Price History'!J68)),'Price History'!J68=0),"",'Price History'!J69/'Price History'!J68-1),"")</f>
        <v>-6.2241462241462209E-2</v>
      </c>
      <c r="K68" s="141">
        <f>IFERROR(IF(OR(NOT(ISNUMBER('Price History'!K69)),NOT(ISNUMBER('Price History'!K68)),'Price History'!K68=0),"",'Price History'!K69/'Price History'!K68-1),"")</f>
        <v>5.889312475351649E-2</v>
      </c>
      <c r="L68" s="141">
        <f>IFERROR(IF(OR(NOT(ISNUMBER('Price History'!L69)),NOT(ISNUMBER('Price History'!L68)),'Price History'!L68=0),"",'Price History'!L69/'Price History'!L68-1),"")</f>
        <v>-1.8803679422676356E-2</v>
      </c>
      <c r="M68" s="141">
        <f>IFERROR(IF(OR(NOT(ISNUMBER('Price History'!M69)),NOT(ISNUMBER('Price History'!M68)),'Price History'!M68=0),"",'Price History'!M69/'Price History'!M68-1),"")</f>
        <v>-4.5574057843996485E-2</v>
      </c>
      <c r="N68" s="141">
        <f>IFERROR(IF(OR(NOT(ISNUMBER('Price History'!N69)),NOT(ISNUMBER('Price History'!N68)),'Price History'!N68=0),"",'Price History'!N69/'Price History'!N68-1),"")</f>
        <v>-0.14331615379639018</v>
      </c>
      <c r="O68" s="141">
        <f>IFERROR(IF(OR(NOT(ISNUMBER('Price History'!O69)),NOT(ISNUMBER('Price History'!O68)),'Price History'!O68=0),"",'Price History'!O69/'Price History'!O68-1),"")</f>
        <v>-5.387103294926221E-2</v>
      </c>
      <c r="P68" s="141">
        <f>IFERROR(IF(OR(NOT(ISNUMBER('Price History'!P69)),NOT(ISNUMBER('Price History'!P68)),'Price History'!P68=0),"",'Price History'!P69/'Price History'!P68-1),"")</f>
        <v>-3.1583072100313525E-2</v>
      </c>
      <c r="Q68" s="141">
        <f>IFERROR(IF(OR(NOT(ISNUMBER('Price History'!Q69)),NOT(ISNUMBER('Price History'!Q68)),'Price History'!Q68=0),"",'Price History'!Q69/'Price History'!Q68-1),"")</f>
        <v>-1.2193165409914886E-2</v>
      </c>
      <c r="R68" s="141">
        <f>IFERROR(IF(OR(NOT(ISNUMBER('Price History'!R69)),NOT(ISNUMBER('Price History'!R68)),'Price History'!R68=0),"",'Price History'!R69/'Price History'!R68-1),"")</f>
        <v>-1.1070896316797918E-2</v>
      </c>
      <c r="S68" s="141">
        <f>IFERROR(IF(OR(NOT(ISNUMBER('Price History'!S69)),NOT(ISNUMBER('Price History'!S68)),'Price History'!S68=0),"",'Price History'!S69/'Price History'!S68-1),"")</f>
        <v>-2.2446222591707476E-2</v>
      </c>
      <c r="T68" s="141">
        <f>IFERROR(IF(OR(NOT(ISNUMBER('Price History'!T69)),NOT(ISNUMBER('Price History'!T68)),'Price History'!T68=0),"",'Price History'!T69/'Price History'!T68-1),"")</f>
        <v>-3.0462800234329235E-2</v>
      </c>
      <c r="U68" s="141">
        <f>IFERROR(IF(OR(NOT(ISNUMBER('Price History'!U69)),NOT(ISNUMBER('Price History'!U68)),'Price History'!U68=0),"",'Price History'!U69/'Price History'!U68-1),"")</f>
        <v>-2.9901589704769194E-2</v>
      </c>
      <c r="V68" s="142">
        <f>IFERROR(IF(OR(NOT(ISNUMBER('Price History'!V69)),NOT(ISNUMBER('Price History'!V68)),'Price History'!V68=0),"",'Price History'!V69/'Price History'!V68-1),"")</f>
        <v>9.4640270400772053E-3</v>
      </c>
      <c r="W68" s="143">
        <f>IFERROR('Price History'!B3+(INDEX('Price History'!B:B,MATCH(9.99E+307,'Returns (Calc)'!$A:$A)+1)-'Price History'!B3)*(ROW()-3)/(MATCH(9.99E+307,'Returns (Calc)'!$A:$A)-3),"")</f>
        <v>409.09253164556958</v>
      </c>
      <c r="X68" s="143">
        <f>IFERROR('Price History'!C3+(INDEX('Price History'!C:C,MATCH(9.99E+307,'Returns (Calc)'!$A:$A)+1)-'Price History'!C3)*(ROW()-3)/(MATCH(9.99E+307,'Returns (Calc)'!$A:$A)-3),"")</f>
        <v>112.48411392405063</v>
      </c>
      <c r="Y68" s="143">
        <f>IFERROR('Price History'!D3+(INDEX('Price History'!D:D,MATCH(9.99E+307,'Returns (Calc)'!$A:$A)+1)-'Price History'!D3)*(ROW()-3)/(MATCH(9.99E+307,'Returns (Calc)'!$A:$A)-3),"")</f>
        <v>1110.7726582278481</v>
      </c>
      <c r="Z68" s="143">
        <f>IFERROR('Price History'!E3+(INDEX('Price History'!E:E,MATCH(9.99E+307,'Returns (Calc)'!$A:$A)+1)-'Price History'!E3)*(ROW()-3)/(MATCH(9.99E+307,'Returns (Calc)'!$A:$A)-3),"")</f>
        <v>194.36772151898734</v>
      </c>
      <c r="AA68" s="143">
        <f>IFERROR('Price History'!F3+(INDEX('Price History'!F:F,MATCH(9.99E+307,'Returns (Calc)'!$A:$A)+1)-'Price History'!F3)*(ROW()-3)/(MATCH(9.99E+307,'Returns (Calc)'!$A:$A)-3),"")</f>
        <v>135.43721518987343</v>
      </c>
      <c r="AB68" s="143">
        <f>IFERROR('Price History'!G3+(INDEX('Price History'!G:G,MATCH(9.99E+307,'Returns (Calc)'!$A:$A)+1)-'Price History'!G3)*(ROW()-3)/(MATCH(9.99E+307,'Returns (Calc)'!$A:$A)-3),"")</f>
        <v>111.21772151898733</v>
      </c>
      <c r="AC68" s="143">
        <f>IFERROR('Price History'!H3+(INDEX('Price History'!H:H,MATCH(9.99E+307,'Returns (Calc)'!$A:$A)+1)-'Price History'!H3)*(ROW()-3)/(MATCH(9.99E+307,'Returns (Calc)'!$A:$A)-3),"")</f>
        <v>482.88025316455702</v>
      </c>
      <c r="AD68" s="143">
        <f>IFERROR('Price History'!I3+(INDEX('Price History'!I:I,MATCH(9.99E+307,'Returns (Calc)'!$A:$A)+1)-'Price History'!I3)*(ROW()-3)/(MATCH(9.99E+307,'Returns (Calc)'!$A:$A)-3),"")</f>
        <v>122.00860759493671</v>
      </c>
      <c r="AE68" s="143">
        <f>IFERROR('Price History'!J3+(INDEX('Price History'!J:J,MATCH(9.99E+307,'Returns (Calc)'!$A:$A)+1)-'Price History'!J3)*(ROW()-3)/(MATCH(9.99E+307,'Returns (Calc)'!$A:$A)-3),"")</f>
        <v>118.86246835443038</v>
      </c>
      <c r="AF68" s="143">
        <f>IFERROR('Price History'!K3+(INDEX('Price History'!K:K,MATCH(9.99E+307,'Returns (Calc)'!$A:$A)+1)-'Price History'!K3)*(ROW()-3)/(MATCH(9.99E+307,'Returns (Calc)'!$A:$A)-3),"")</f>
        <v>86.673670886075939</v>
      </c>
      <c r="AG68" s="143">
        <f>IFERROR('Price History'!L3+(INDEX('Price History'!L:L,MATCH(9.99E+307,'Returns (Calc)'!$A:$A)+1)-'Price History'!L3)*(ROW()-3)/(MATCH(9.99E+307,'Returns (Calc)'!$A:$A)-3),"")</f>
        <v>244.97120253164556</v>
      </c>
      <c r="AH68" s="143">
        <f>IFERROR('Price History'!M3+(INDEX('Price History'!M:M,MATCH(9.99E+307,'Returns (Calc)'!$A:$A)+1)-'Price History'!M3)*(ROW()-3)/(MATCH(9.99E+307,'Returns (Calc)'!$A:$A)-3),"")</f>
        <v>126.12379746835444</v>
      </c>
      <c r="AI68" s="143">
        <f>IFERROR('Price History'!N3+(INDEX('Price History'!N:N,MATCH(9.99E+307,'Returns (Calc)'!$A:$A)+1)-'Price History'!N3)*(ROW()-3)/(MATCH(9.99E+307,'Returns (Calc)'!$A:$A)-3),"")</f>
        <v>413.00727848101263</v>
      </c>
      <c r="AJ68" s="143">
        <f>IFERROR('Price History'!O3+(INDEX('Price History'!O:O,MATCH(9.99E+307,'Returns (Calc)'!$A:$A)+1)-'Price History'!O3)*(ROW()-3)/(MATCH(9.99E+307,'Returns (Calc)'!$A:$A)-3),"")</f>
        <v>93.707468354430375</v>
      </c>
      <c r="AK68" s="143">
        <f>IFERROR('Price History'!Q3+(INDEX('Price History'!Q:Q,MATCH(9.99E+307,'Returns (Calc)'!$A:$A)+1)-'Price History'!Q3)*(ROW()-3)/(MATCH(9.99E+307,'Returns (Calc)'!$A:$A)-3),"")</f>
        <v>28.558860759493673</v>
      </c>
      <c r="AL68" s="143">
        <f>IFERROR('Price History'!R3+(INDEX('Price History'!R:R,MATCH(9.99E+307,'Returns (Calc)'!$A:$A)+1)-'Price History'!R3)*(ROW()-3)/(MATCH(9.99E+307,'Returns (Calc)'!$A:$A)-3),"")</f>
        <v>45.406582278481011</v>
      </c>
      <c r="AM68" s="143">
        <f>IFERROR('Price History'!S3+(INDEX('Price History'!S:S,MATCH(9.99E+307,'Returns (Calc)'!$A:$A)+1)-'Price History'!S3)*(ROW()-3)/(MATCH(9.99E+307,'Returns (Calc)'!$A:$A)-3),"")</f>
        <v>96.959113924050627</v>
      </c>
      <c r="AN68" s="143">
        <f>IFERROR('Price History'!T3+(INDEX('Price History'!T:T,MATCH(9.99E+307,'Returns (Calc)'!$A:$A)+1)-'Price History'!T3)*(ROW()-3)/(MATCH(9.99E+307,'Returns (Calc)'!$A:$A)-3),"")</f>
        <v>36.17481012658228</v>
      </c>
      <c r="AO68" s="144">
        <f>IFERROR('Price History'!V3+(INDEX('Price History'!V:V,MATCH(9.99E+307,'Returns (Calc)'!$A:$A)+1)-'Price History'!V3)*(ROW()-3)/(MATCH(9.99E+307,'Returns (Calc)'!$A:$A)-3),"")</f>
        <v>287.06639240506331</v>
      </c>
      <c r="AP68" s="142">
        <f>IFERROR(IF(OR(NOT(ISNUMBER('Price History'!W69)),NOT(ISNUMBER('Price History'!W68)),'Price History'!W68=0),"",'Price History'!W69/'Price History'!W68-1),"")</f>
        <v>-2.8569148511691012E-2</v>
      </c>
      <c r="AQ68" s="142" t="str">
        <f>IFERROR(IF(OR(NOT(ISNUMBER('Price History'!X69)),NOT(ISNUMBER('Price History'!X68)),'Price History'!X68=0),"",'Price History'!X69/'Price History'!X68-1),"")</f>
        <v/>
      </c>
      <c r="AR68" s="142">
        <f>IFERROR(IF(OR(NOT(ISNUMBER('Price History'!Y69)),NOT(ISNUMBER('Price History'!Y68)),'Price History'!Y68=0),"",'Price History'!Y69/'Price History'!Y68-1),"")</f>
        <v>-2.0519835841313339E-2</v>
      </c>
      <c r="AS68" s="142">
        <f>IFERROR(IF(OR(NOT(ISNUMBER('Price History'!Z69)),NOT(ISNUMBER('Price History'!Z68)),'Price History'!Z68=0),"",'Price History'!Z69/'Price History'!Z68-1),"")</f>
        <v>1.4176198588464306E-2</v>
      </c>
      <c r="AT68" s="142">
        <f>IFERROR(IF(OR(NOT(ISNUMBER('Price History'!AA69)),NOT(ISNUMBER('Price History'!AA68)),'Price History'!AA68=0),"",'Price History'!AA69/'Price History'!AA68-1),"")</f>
        <v>-1.0773751224289807E-2</v>
      </c>
    </row>
    <row r="69" spans="1:46" ht="15" customHeight="1" x14ac:dyDescent="0.35">
      <c r="A69" s="140">
        <f>IF('Price History'!A70="","",'Price History'!A70)</f>
        <v>45653</v>
      </c>
      <c r="B69" s="141">
        <f>IFERROR(IF(OR(NOT(ISNUMBER('Price History'!B70)),NOT(ISNUMBER('Price History'!B69)),'Price History'!B69=0),"",'Price History'!B70/'Price History'!B69-1),"")</f>
        <v>-1.5430373236129391E-3</v>
      </c>
      <c r="C69" s="141">
        <f>IFERROR(IF(OR(NOT(ISNUMBER('Price History'!C70)),NOT(ISNUMBER('Price History'!C69)),'Price History'!C69=0),"",'Price History'!C70/'Price History'!C69-1),"")</f>
        <v>1.9501817214786499E-3</v>
      </c>
      <c r="D69" s="141">
        <f>IFERROR(IF(OR(NOT(ISNUMBER('Price History'!D70)),NOT(ISNUMBER('Price History'!D69)),'Price History'!D69=0),"",'Price History'!D70/'Price History'!D69-1),"")</f>
        <v>1.12123738607941E-2</v>
      </c>
      <c r="E69" s="141">
        <f>IFERROR(IF(OR(NOT(ISNUMBER('Price History'!E70)),NOT(ISNUMBER('Price History'!E69)),'Price History'!E69=0),"",'Price History'!E70/'Price History'!E69-1),"")</f>
        <v>9.7866654379578977E-2</v>
      </c>
      <c r="F69" s="141">
        <f>IFERROR(IF(OR(NOT(ISNUMBER('Price History'!F70)),NOT(ISNUMBER('Price History'!F69)),'Price History'!F69=0),"",'Price History'!F70/'Price History'!F69-1),"")</f>
        <v>-2.0094954179087909E-2</v>
      </c>
      <c r="G69" s="141">
        <f>IFERROR(IF(OR(NOT(ISNUMBER('Price History'!G70)),NOT(ISNUMBER('Price History'!G69)),'Price History'!G69=0),"",'Price History'!G70/'Price History'!G69-1),"")</f>
        <v>2.4609940485764925E-2</v>
      </c>
      <c r="H69" s="141">
        <f>IFERROR(IF(OR(NOT(ISNUMBER('Price History'!H70)),NOT(ISNUMBER('Price History'!H69)),'Price History'!H69=0),"",'Price History'!H70/'Price History'!H69-1),"")</f>
        <v>-1.6506803479812482E-2</v>
      </c>
      <c r="I69" s="141">
        <f>IFERROR(IF(OR(NOT(ISNUMBER('Price History'!I70)),NOT(ISNUMBER('Price History'!I69)),'Price History'!I69=0),"",'Price History'!I70/'Price History'!I69-1),"")</f>
        <v>1.7119464086341685E-2</v>
      </c>
      <c r="J69" s="141">
        <f>IFERROR(IF(OR(NOT(ISNUMBER('Price History'!J70)),NOT(ISNUMBER('Price History'!J69)),'Price History'!J69=0),"",'Price History'!J70/'Price History'!J69-1),"")</f>
        <v>1.8567911366434098E-2</v>
      </c>
      <c r="K69" s="141">
        <f>IFERROR(IF(OR(NOT(ISNUMBER('Price History'!K70)),NOT(ISNUMBER('Price History'!K69)),'Price History'!K69=0),"",'Price History'!K70/'Price History'!K69-1),"")</f>
        <v>-1.8249534450651805E-2</v>
      </c>
      <c r="L69" s="141">
        <f>IFERROR(IF(OR(NOT(ISNUMBER('Price History'!L70)),NOT(ISNUMBER('Price History'!L69)),'Price History'!L69=0),"",'Price History'!L70/'Price History'!L69-1),"")</f>
        <v>2.2427098979644677E-2</v>
      </c>
      <c r="M69" s="141">
        <f>IFERROR(IF(OR(NOT(ISNUMBER('Price History'!M70)),NOT(ISNUMBER('Price History'!M69)),'Price History'!M69=0),"",'Price History'!M70/'Price History'!M69-1),"")</f>
        <v>-4.1071875782619616E-2</v>
      </c>
      <c r="N69" s="141">
        <f>IFERROR(IF(OR(NOT(ISNUMBER('Price History'!N70)),NOT(ISNUMBER('Price History'!N69)),'Price History'!N69=0),"",'Price History'!N70/'Price History'!N69-1),"")</f>
        <v>2.8922395348251806E-2</v>
      </c>
      <c r="O69" s="141">
        <f>IFERROR(IF(OR(NOT(ISNUMBER('Price History'!O70)),NOT(ISNUMBER('Price History'!O69)),'Price History'!O69=0),"",'Price History'!O70/'Price History'!O69-1),"")</f>
        <v>3.9525691699604515E-3</v>
      </c>
      <c r="P69" s="141">
        <f>IFERROR(IF(OR(NOT(ISNUMBER('Price History'!P70)),NOT(ISNUMBER('Price History'!P69)),'Price History'!P69=0),"",'Price History'!P70/'Price History'!P69-1),"")</f>
        <v>4.5318442987780649E-3</v>
      </c>
      <c r="Q69" s="141">
        <f>IFERROR(IF(OR(NOT(ISNUMBER('Price History'!Q70)),NOT(ISNUMBER('Price History'!Q69)),'Price History'!Q69=0),"",'Price History'!Q70/'Price History'!Q69-1),"")</f>
        <v>6.4966704563911293E-3</v>
      </c>
      <c r="R69" s="141">
        <f>IFERROR(IF(OR(NOT(ISNUMBER('Price History'!R70)),NOT(ISNUMBER('Price History'!R69)),'Price History'!R69=0),"",'Price History'!R70/'Price History'!R69-1),"")</f>
        <v>9.2572658772873684E-3</v>
      </c>
      <c r="S69" s="141">
        <f>IFERROR(IF(OR(NOT(ISNUMBER('Price History'!S70)),NOT(ISNUMBER('Price History'!S69)),'Price History'!S69=0),"",'Price History'!S70/'Price History'!S69-1),"")</f>
        <v>1.265015414053372E-2</v>
      </c>
      <c r="T69" s="141">
        <f>IFERROR(IF(OR(NOT(ISNUMBER('Price History'!T70)),NOT(ISNUMBER('Price History'!T69)),'Price History'!T69=0),"",'Price History'!T70/'Price History'!T69-1),"")</f>
        <v>9.3655589123866623E-3</v>
      </c>
      <c r="U69" s="141">
        <f>IFERROR(IF(OR(NOT(ISNUMBER('Price History'!U70)),NOT(ISNUMBER('Price History'!U69)),'Price History'!U69=0),"",'Price History'!U70/'Price History'!U69-1),"")</f>
        <v>6.6328521264145124E-3</v>
      </c>
      <c r="V69" s="142">
        <f>IFERROR(IF(OR(NOT(ISNUMBER('Price History'!V70)),NOT(ISNUMBER('Price History'!V69)),'Price History'!V69=0),"",'Price History'!V70/'Price History'!V69-1),"")</f>
        <v>2.9656557925954452E-3</v>
      </c>
      <c r="W69" s="143">
        <f>IFERROR('Price History'!B3+(INDEX('Price History'!B:B,MATCH(9.99E+307,'Returns (Calc)'!$A:$A)+1)-'Price History'!B3)*(ROW()-3)/(MATCH(9.99E+307,'Returns (Calc)'!$A:$A)-3),"")</f>
        <v>407.24949367088607</v>
      </c>
      <c r="X69" s="143">
        <f>IFERROR('Price History'!C3+(INDEX('Price History'!C:C,MATCH(9.99E+307,'Returns (Calc)'!$A:$A)+1)-'Price History'!C3)*(ROW()-3)/(MATCH(9.99E+307,'Returns (Calc)'!$A:$A)-3),"")</f>
        <v>113.50417721518986</v>
      </c>
      <c r="Y69" s="143">
        <f>IFERROR('Price History'!D3+(INDEX('Price History'!D:D,MATCH(9.99E+307,'Returns (Calc)'!$A:$A)+1)-'Price History'!D3)*(ROW()-3)/(MATCH(9.99E+307,'Returns (Calc)'!$A:$A)-3),"")</f>
        <v>1118.9074683544304</v>
      </c>
      <c r="Z69" s="143">
        <f>IFERROR('Price History'!E3+(INDEX('Price History'!E:E,MATCH(9.99E+307,'Returns (Calc)'!$A:$A)+1)-'Price History'!E3)*(ROW()-3)/(MATCH(9.99E+307,'Returns (Calc)'!$A:$A)-3),"")</f>
        <v>196.09645569620253</v>
      </c>
      <c r="AA69" s="143">
        <f>IFERROR('Price History'!F3+(INDEX('Price History'!F:F,MATCH(9.99E+307,'Returns (Calc)'!$A:$A)+1)-'Price History'!F3)*(ROW()-3)/(MATCH(9.99E+307,'Returns (Calc)'!$A:$A)-3),"")</f>
        <v>136.88455696202533</v>
      </c>
      <c r="AB69" s="143">
        <f>IFERROR('Price History'!G3+(INDEX('Price History'!G:G,MATCH(9.99E+307,'Returns (Calc)'!$A:$A)+1)-'Price History'!G3)*(ROW()-3)/(MATCH(9.99E+307,'Returns (Calc)'!$A:$A)-3),"")</f>
        <v>112.24645569620253</v>
      </c>
      <c r="AC69" s="143">
        <f>IFERROR('Price History'!H3+(INDEX('Price History'!H:H,MATCH(9.99E+307,'Returns (Calc)'!$A:$A)+1)-'Price History'!H3)*(ROW()-3)/(MATCH(9.99E+307,'Returns (Calc)'!$A:$A)-3),"")</f>
        <v>489.24594936708871</v>
      </c>
      <c r="AD69" s="143">
        <f>IFERROR('Price History'!I3+(INDEX('Price History'!I:I,MATCH(9.99E+307,'Returns (Calc)'!$A:$A)+1)-'Price History'!I3)*(ROW()-3)/(MATCH(9.99E+307,'Returns (Calc)'!$A:$A)-3),"")</f>
        <v>123.21227848101265</v>
      </c>
      <c r="AE69" s="143">
        <f>IFERROR('Price History'!J3+(INDEX('Price History'!J:J,MATCH(9.99E+307,'Returns (Calc)'!$A:$A)+1)-'Price History'!J3)*(ROW()-3)/(MATCH(9.99E+307,'Returns (Calc)'!$A:$A)-3),"")</f>
        <v>118.97050632911393</v>
      </c>
      <c r="AF69" s="143">
        <f>IFERROR('Price History'!K3+(INDEX('Price History'!K:K,MATCH(9.99E+307,'Returns (Calc)'!$A:$A)+1)-'Price History'!K3)*(ROW()-3)/(MATCH(9.99E+307,'Returns (Calc)'!$A:$A)-3),"")</f>
        <v>87.771265822784798</v>
      </c>
      <c r="AG69" s="143">
        <f>IFERROR('Price History'!L3+(INDEX('Price History'!L:L,MATCH(9.99E+307,'Returns (Calc)'!$A:$A)+1)-'Price History'!L3)*(ROW()-3)/(MATCH(9.99E+307,'Returns (Calc)'!$A:$A)-3),"")</f>
        <v>247.42075949367089</v>
      </c>
      <c r="AH69" s="143">
        <f>IFERROR('Price History'!M3+(INDEX('Price History'!M:M,MATCH(9.99E+307,'Returns (Calc)'!$A:$A)+1)-'Price History'!M3)*(ROW()-3)/(MATCH(9.99E+307,'Returns (Calc)'!$A:$A)-3),"")</f>
        <v>127.47924050632912</v>
      </c>
      <c r="AI69" s="143">
        <f>IFERROR('Price History'!N3+(INDEX('Price History'!N:N,MATCH(9.99E+307,'Returns (Calc)'!$A:$A)+1)-'Price History'!N3)*(ROW()-3)/(MATCH(9.99E+307,'Returns (Calc)'!$A:$A)-3),"")</f>
        <v>413.99354430379748</v>
      </c>
      <c r="AJ69" s="143">
        <f>IFERROR('Price History'!O3+(INDEX('Price History'!O:O,MATCH(9.99E+307,'Returns (Calc)'!$A:$A)+1)-'Price History'!O3)*(ROW()-3)/(MATCH(9.99E+307,'Returns (Calc)'!$A:$A)-3),"")</f>
        <v>93.990506329113927</v>
      </c>
      <c r="AK69" s="143">
        <f>IFERROR('Price History'!Q3+(INDEX('Price History'!Q:Q,MATCH(9.99E+307,'Returns (Calc)'!$A:$A)+1)-'Price History'!Q3)*(ROW()-3)/(MATCH(9.99E+307,'Returns (Calc)'!$A:$A)-3),"")</f>
        <v>28.998227848101269</v>
      </c>
      <c r="AL69" s="143">
        <f>IFERROR('Price History'!R3+(INDEX('Price History'!R:R,MATCH(9.99E+307,'Returns (Calc)'!$A:$A)+1)-'Price History'!R3)*(ROW()-3)/(MATCH(9.99E+307,'Returns (Calc)'!$A:$A)-3),"")</f>
        <v>45.574683544303795</v>
      </c>
      <c r="AM69" s="143">
        <f>IFERROR('Price History'!S3+(INDEX('Price History'!S:S,MATCH(9.99E+307,'Returns (Calc)'!$A:$A)+1)-'Price History'!S3)*(ROW()-3)/(MATCH(9.99E+307,'Returns (Calc)'!$A:$A)-3),"")</f>
        <v>97.564177215189872</v>
      </c>
      <c r="AN69" s="143">
        <f>IFERROR('Price History'!T3+(INDEX('Price History'!T:T,MATCH(9.99E+307,'Returns (Calc)'!$A:$A)+1)-'Price History'!T3)*(ROW()-3)/(MATCH(9.99E+307,'Returns (Calc)'!$A:$A)-3),"")</f>
        <v>36.34303797468354</v>
      </c>
      <c r="AO69" s="144">
        <f>IFERROR('Price History'!V3+(INDEX('Price History'!V:V,MATCH(9.99E+307,'Returns (Calc)'!$A:$A)+1)-'Price History'!V3)*(ROW()-3)/(MATCH(9.99E+307,'Returns (Calc)'!$A:$A)-3),"")</f>
        <v>287.85772151898732</v>
      </c>
      <c r="AP69" s="142">
        <f>IFERROR(IF(OR(NOT(ISNUMBER('Price History'!W70)),NOT(ISNUMBER('Price History'!W69)),'Price History'!W69=0),"",'Price History'!W70/'Price History'!W69-1),"")</f>
        <v>1.1911607656288625E-2</v>
      </c>
      <c r="AQ69" s="142" t="str">
        <f>IFERROR(IF(OR(NOT(ISNUMBER('Price History'!X70)),NOT(ISNUMBER('Price History'!X69)),'Price History'!X69=0),"",'Price History'!X70/'Price History'!X69-1),"")</f>
        <v/>
      </c>
      <c r="AR69" s="142">
        <f>IFERROR(IF(OR(NOT(ISNUMBER('Price History'!Y70)),NOT(ISNUMBER('Price History'!Y69)),'Price History'!Y69=0),"",'Price History'!Y70/'Price History'!Y69-1),"")</f>
        <v>4.3894652833200709E-3</v>
      </c>
      <c r="AS69" s="142">
        <f>IFERROR(IF(OR(NOT(ISNUMBER('Price History'!Z70)),NOT(ISNUMBER('Price History'!Z69)),'Price History'!Z69=0),"",'Price History'!Z70/'Price History'!Z69-1),"")</f>
        <v>1.1818345431639621E-2</v>
      </c>
      <c r="AT69" s="142">
        <f>IFERROR(IF(OR(NOT(ISNUMBER('Price History'!AA70)),NOT(ISNUMBER('Price History'!AA69)),'Price History'!AA69=0),"",'Price History'!AA70/'Price History'!AA69-1),"")</f>
        <v>-1.6501650165017256E-3</v>
      </c>
    </row>
    <row r="70" spans="1:46" ht="15" customHeight="1" x14ac:dyDescent="0.35">
      <c r="A70" s="140">
        <f>IF('Price History'!A71="","",'Price History'!A71)</f>
        <v>45660</v>
      </c>
      <c r="B70" s="141">
        <f>IFERROR(IF(OR(NOT(ISNUMBER('Price History'!B71)),NOT(ISNUMBER('Price History'!B70)),'Price History'!B70=0),"",'Price History'!B71/'Price History'!B70-1),"")</f>
        <v>-3.5634294929224208E-2</v>
      </c>
      <c r="C70" s="141">
        <f>IFERROR(IF(OR(NOT(ISNUMBER('Price History'!C71)),NOT(ISNUMBER('Price History'!C70)),'Price History'!C70=0),"",'Price History'!C71/'Price History'!C70-1),"")</f>
        <v>1.9198442891267931E-2</v>
      </c>
      <c r="D70" s="141">
        <f>IFERROR(IF(OR(NOT(ISNUMBER('Price History'!D71)),NOT(ISNUMBER('Price History'!D70)),'Price History'!D70=0),"",'Price History'!D71/'Price History'!D70-1),"")</f>
        <v>1.0803741506268949E-3</v>
      </c>
      <c r="E70" s="141">
        <f>IFERROR(IF(OR(NOT(ISNUMBER('Price History'!E71)),NOT(ISNUMBER('Price History'!E70)),'Price History'!E70=0),"",'Price History'!E71/'Price History'!E70-1),"")</f>
        <v>-3.8066059512318007E-2</v>
      </c>
      <c r="F70" s="141">
        <f>IFERROR(IF(OR(NOT(ISNUMBER('Price History'!F71)),NOT(ISNUMBER('Price History'!F70)),'Price History'!F70=0),"",'Price History'!F71/'Price History'!F70-1),"")</f>
        <v>1.1267605633802802E-2</v>
      </c>
      <c r="G70" s="141">
        <f>IFERROR(IF(OR(NOT(ISNUMBER('Price History'!G71)),NOT(ISNUMBER('Price History'!G70)),'Price History'!G70=0),"",'Price History'!G71/'Price History'!G70-1),"")</f>
        <v>1.883830455259039E-2</v>
      </c>
      <c r="H70" s="141">
        <f>IFERROR(IF(OR(NOT(ISNUMBER('Price History'!H71)),NOT(ISNUMBER('Price History'!H70)),'Price History'!H70=0),"",'Price History'!H71/'Price History'!H70-1),"")</f>
        <v>1.5309594012247629E-2</v>
      </c>
      <c r="I70" s="141">
        <f>IFERROR(IF(OR(NOT(ISNUMBER('Price History'!I71)),NOT(ISNUMBER('Price History'!I70)),'Price History'!I70=0),"",'Price History'!I71/'Price History'!I70-1),"")</f>
        <v>5.4445664105378766E-2</v>
      </c>
      <c r="J70" s="141">
        <f>IFERROR(IF(OR(NOT(ISNUMBER('Price History'!J71)),NOT(ISNUMBER('Price History'!J70)),'Price History'!J70=0),"",'Price History'!J71/'Price History'!J70-1),"")</f>
        <v>3.7264578507401058E-3</v>
      </c>
      <c r="K70" s="141">
        <f>IFERROR(IF(OR(NOT(ISNUMBER('Price History'!K71)),NOT(ISNUMBER('Price History'!K70)),'Price History'!K70=0),"",'Price History'!K71/'Price History'!K70-1),"")</f>
        <v>1.0242792109256493E-2</v>
      </c>
      <c r="L70" s="141">
        <f>IFERROR(IF(OR(NOT(ISNUMBER('Price History'!L71)),NOT(ISNUMBER('Price History'!L70)),'Price History'!L70=0),"",'Price History'!L71/'Price History'!L70-1),"")</f>
        <v>3.4599797365754803E-2</v>
      </c>
      <c r="M70" s="141">
        <f>IFERROR(IF(OR(NOT(ISNUMBER('Price History'!M71)),NOT(ISNUMBER('Price History'!M70)),'Price History'!M70=0),"",'Price History'!M71/'Price History'!M70-1),"")</f>
        <v>9.1668843039958148E-2</v>
      </c>
      <c r="N70" s="141">
        <f>IFERROR(IF(OR(NOT(ISNUMBER('Price History'!N71)),NOT(ISNUMBER('Price History'!N70)),'Price History'!N70=0),"",'Price History'!N71/'Price History'!N70-1),"")</f>
        <v>-4.0365984930031962E-3</v>
      </c>
      <c r="O70" s="141">
        <f>IFERROR(IF(OR(NOT(ISNUMBER('Price History'!O71)),NOT(ISNUMBER('Price History'!O70)),'Price History'!O70=0),"",'Price History'!O71/'Price History'!O70-1),"")</f>
        <v>7.8740157480314821E-3</v>
      </c>
      <c r="P70" s="141">
        <f>IFERROR(IF(OR(NOT(ISNUMBER('Price History'!P71)),NOT(ISNUMBER('Price History'!P70)),'Price History'!P70=0),"",'Price History'!P71/'Price History'!P70-1),"")</f>
        <v>-5.639249174251848E-4</v>
      </c>
      <c r="Q70" s="141">
        <f>IFERROR(IF(OR(NOT(ISNUMBER('Price History'!Q71)),NOT(ISNUMBER('Price History'!Q70)),'Price History'!Q70=0),"",'Price History'!Q71/'Price History'!Q70-1),"")</f>
        <v>-4.0342101016620502E-3</v>
      </c>
      <c r="R70" s="141">
        <f>IFERROR(IF(OR(NOT(ISNUMBER('Price History'!R71)),NOT(ISNUMBER('Price History'!R70)),'Price History'!R70=0),"",'Price History'!R71/'Price History'!R70-1),"")</f>
        <v>-3.4129692832765013E-3</v>
      </c>
      <c r="S70" s="141">
        <f>IFERROR(IF(OR(NOT(ISNUMBER('Price History'!S71)),NOT(ISNUMBER('Price History'!S70)),'Price History'!S70=0),"",'Price History'!S71/'Price History'!S70-1),"")</f>
        <v>3.0442998110433717E-3</v>
      </c>
      <c r="T70" s="141">
        <f>IFERROR(IF(OR(NOT(ISNUMBER('Price History'!T71)),NOT(ISNUMBER('Price History'!T70)),'Price History'!T70=0),"",'Price History'!T71/'Price History'!T70-1),"")</f>
        <v>7.4827895839568725E-3</v>
      </c>
      <c r="U70" s="141">
        <f>IFERROR(IF(OR(NOT(ISNUMBER('Price History'!U71)),NOT(ISNUMBER('Price History'!U70)),'Price History'!U70=0),"",'Price History'!U71/'Price History'!U70-1),"")</f>
        <v>-1.1627906976744429E-3</v>
      </c>
      <c r="V70" s="142">
        <f>IFERROR(IF(OR(NOT(ISNUMBER('Price History'!V71)),NOT(ISNUMBER('Price History'!V70)),'Price History'!V70=0),"",'Price History'!V71/'Price History'!V70-1),"")</f>
        <v>-1.1763957776929845E-2</v>
      </c>
      <c r="W70" s="143">
        <f>IFERROR('Price History'!B3+(INDEX('Price History'!B:B,MATCH(9.99E+307,'Returns (Calc)'!$A:$A)+1)-'Price History'!B3)*(ROW()-3)/(MATCH(9.99E+307,'Returns (Calc)'!$A:$A)-3),"")</f>
        <v>405.40645569620256</v>
      </c>
      <c r="X70" s="143">
        <f>IFERROR('Price History'!C3+(INDEX('Price History'!C:C,MATCH(9.99E+307,'Returns (Calc)'!$A:$A)+1)-'Price History'!C3)*(ROW()-3)/(MATCH(9.99E+307,'Returns (Calc)'!$A:$A)-3),"")</f>
        <v>114.52424050632911</v>
      </c>
      <c r="Y70" s="143">
        <f>IFERROR('Price History'!D3+(INDEX('Price History'!D:D,MATCH(9.99E+307,'Returns (Calc)'!$A:$A)+1)-'Price History'!D3)*(ROW()-3)/(MATCH(9.99E+307,'Returns (Calc)'!$A:$A)-3),"")</f>
        <v>1127.0422784810125</v>
      </c>
      <c r="Z70" s="143">
        <f>IFERROR('Price History'!E3+(INDEX('Price History'!E:E,MATCH(9.99E+307,'Returns (Calc)'!$A:$A)+1)-'Price History'!E3)*(ROW()-3)/(MATCH(9.99E+307,'Returns (Calc)'!$A:$A)-3),"")</f>
        <v>197.82518987341768</v>
      </c>
      <c r="AA70" s="143">
        <f>IFERROR('Price History'!F3+(INDEX('Price History'!F:F,MATCH(9.99E+307,'Returns (Calc)'!$A:$A)+1)-'Price History'!F3)*(ROW()-3)/(MATCH(9.99E+307,'Returns (Calc)'!$A:$A)-3),"")</f>
        <v>138.33189873417723</v>
      </c>
      <c r="AB70" s="143">
        <f>IFERROR('Price History'!G3+(INDEX('Price History'!G:G,MATCH(9.99E+307,'Returns (Calc)'!$A:$A)+1)-'Price History'!G3)*(ROW()-3)/(MATCH(9.99E+307,'Returns (Calc)'!$A:$A)-3),"")</f>
        <v>113.27518987341773</v>
      </c>
      <c r="AC70" s="143">
        <f>IFERROR('Price History'!H3+(INDEX('Price History'!H:H,MATCH(9.99E+307,'Returns (Calc)'!$A:$A)+1)-'Price History'!H3)*(ROW()-3)/(MATCH(9.99E+307,'Returns (Calc)'!$A:$A)-3),"")</f>
        <v>495.61164556962035</v>
      </c>
      <c r="AD70" s="143">
        <f>IFERROR('Price History'!I3+(INDEX('Price History'!I:I,MATCH(9.99E+307,'Returns (Calc)'!$A:$A)+1)-'Price History'!I3)*(ROW()-3)/(MATCH(9.99E+307,'Returns (Calc)'!$A:$A)-3),"")</f>
        <v>124.41594936708859</v>
      </c>
      <c r="AE70" s="143">
        <f>IFERROR('Price History'!J3+(INDEX('Price History'!J:J,MATCH(9.99E+307,'Returns (Calc)'!$A:$A)+1)-'Price History'!J3)*(ROW()-3)/(MATCH(9.99E+307,'Returns (Calc)'!$A:$A)-3),"")</f>
        <v>119.07854430379747</v>
      </c>
      <c r="AF70" s="143">
        <f>IFERROR('Price History'!K3+(INDEX('Price History'!K:K,MATCH(9.99E+307,'Returns (Calc)'!$A:$A)+1)-'Price History'!K3)*(ROW()-3)/(MATCH(9.99E+307,'Returns (Calc)'!$A:$A)-3),"")</f>
        <v>88.868860759493671</v>
      </c>
      <c r="AG70" s="143">
        <f>IFERROR('Price History'!L3+(INDEX('Price History'!L:L,MATCH(9.99E+307,'Returns (Calc)'!$A:$A)+1)-'Price History'!L3)*(ROW()-3)/(MATCH(9.99E+307,'Returns (Calc)'!$A:$A)-3),"")</f>
        <v>249.87031645569618</v>
      </c>
      <c r="AH70" s="143">
        <f>IFERROR('Price History'!M3+(INDEX('Price History'!M:M,MATCH(9.99E+307,'Returns (Calc)'!$A:$A)+1)-'Price History'!M3)*(ROW()-3)/(MATCH(9.99E+307,'Returns (Calc)'!$A:$A)-3),"")</f>
        <v>128.8346835443038</v>
      </c>
      <c r="AI70" s="143">
        <f>IFERROR('Price History'!N3+(INDEX('Price History'!N:N,MATCH(9.99E+307,'Returns (Calc)'!$A:$A)+1)-'Price History'!N3)*(ROW()-3)/(MATCH(9.99E+307,'Returns (Calc)'!$A:$A)-3),"")</f>
        <v>414.97981012658227</v>
      </c>
      <c r="AJ70" s="143">
        <f>IFERROR('Price History'!O3+(INDEX('Price History'!O:O,MATCH(9.99E+307,'Returns (Calc)'!$A:$A)+1)-'Price History'!O3)*(ROW()-3)/(MATCH(9.99E+307,'Returns (Calc)'!$A:$A)-3),"")</f>
        <v>94.273544303797465</v>
      </c>
      <c r="AK70" s="143">
        <f>IFERROR('Price History'!Q3+(INDEX('Price History'!Q:Q,MATCH(9.99E+307,'Returns (Calc)'!$A:$A)+1)-'Price History'!Q3)*(ROW()-3)/(MATCH(9.99E+307,'Returns (Calc)'!$A:$A)-3),"")</f>
        <v>29.437594936708862</v>
      </c>
      <c r="AL70" s="143">
        <f>IFERROR('Price History'!R3+(INDEX('Price History'!R:R,MATCH(9.99E+307,'Returns (Calc)'!$A:$A)+1)-'Price History'!R3)*(ROW()-3)/(MATCH(9.99E+307,'Returns (Calc)'!$A:$A)-3),"")</f>
        <v>45.742784810126579</v>
      </c>
      <c r="AM70" s="143">
        <f>IFERROR('Price History'!S3+(INDEX('Price History'!S:S,MATCH(9.99E+307,'Returns (Calc)'!$A:$A)+1)-'Price History'!S3)*(ROW()-3)/(MATCH(9.99E+307,'Returns (Calc)'!$A:$A)-3),"")</f>
        <v>98.169240506329118</v>
      </c>
      <c r="AN70" s="143">
        <f>IFERROR('Price History'!T3+(INDEX('Price History'!T:T,MATCH(9.99E+307,'Returns (Calc)'!$A:$A)+1)-'Price History'!T3)*(ROW()-3)/(MATCH(9.99E+307,'Returns (Calc)'!$A:$A)-3),"")</f>
        <v>36.511265822784807</v>
      </c>
      <c r="AO70" s="144">
        <f>IFERROR('Price History'!V3+(INDEX('Price History'!V:V,MATCH(9.99E+307,'Returns (Calc)'!$A:$A)+1)-'Price History'!V3)*(ROW()-3)/(MATCH(9.99E+307,'Returns (Calc)'!$A:$A)-3),"")</f>
        <v>288.64905063291138</v>
      </c>
      <c r="AP70" s="142">
        <f>IFERROR(IF(OR(NOT(ISNUMBER('Price History'!W71)),NOT(ISNUMBER('Price History'!W70)),'Price History'!W70=0),"",'Price History'!W71/'Price History'!W70-1),"")</f>
        <v>-1.7048222113980049E-3</v>
      </c>
      <c r="AQ70" s="142" t="str">
        <f>IFERROR(IF(OR(NOT(ISNUMBER('Price History'!X71)),NOT(ISNUMBER('Price History'!X70)),'Price History'!X70=0),"",'Price History'!X71/'Price History'!X70-1),"")</f>
        <v/>
      </c>
      <c r="AR70" s="142">
        <f>IFERROR(IF(OR(NOT(ISNUMBER('Price History'!Y71)),NOT(ISNUMBER('Price History'!Y70)),'Price History'!Y70=0),"",'Price History'!Y71/'Price History'!Y70-1),"")</f>
        <v>-1.3905442987683925E-3</v>
      </c>
      <c r="AS70" s="142">
        <f>IFERROR(IF(OR(NOT(ISNUMBER('Price History'!Z71)),NOT(ISNUMBER('Price History'!Z70)),'Price History'!Z70=0),"",'Price History'!Z71/'Price History'!Z70-1),"")</f>
        <v>1.1028103877623652E-2</v>
      </c>
      <c r="AT70" s="142">
        <f>IFERROR(IF(OR(NOT(ISNUMBER('Price History'!AA71)),NOT(ISNUMBER('Price History'!AA70)),'Price History'!AA70=0),"",'Price History'!AA71/'Price History'!AA70-1),"")</f>
        <v>-2.9090909090909056E-2</v>
      </c>
    </row>
    <row r="71" spans="1:46" ht="15" customHeight="1" x14ac:dyDescent="0.35">
      <c r="A71" s="140">
        <f>IF('Price History'!A72="","",'Price History'!A72)</f>
        <v>45667</v>
      </c>
      <c r="B71" s="141">
        <f>IFERROR(IF(OR(NOT(ISNUMBER('Price History'!B72)),NOT(ISNUMBER('Price History'!B71)),'Price History'!B71=0),"",'Price History'!B72/'Price History'!B71-1),"")</f>
        <v>-5.7249692268388386E-2</v>
      </c>
      <c r="C71" s="141">
        <f>IFERROR(IF(OR(NOT(ISNUMBER('Price History'!C72)),NOT(ISNUMBER('Price History'!C71)),'Price History'!C71=0),"",'Price History'!C72/'Price History'!C71-1),"")</f>
        <v>-7.4652777777777235E-3</v>
      </c>
      <c r="D71" s="141">
        <f>IFERROR(IF(OR(NOT(ISNUMBER('Price History'!D72)),NOT(ISNUMBER('Price History'!D71)),'Price History'!D71=0),"",'Price History'!D72/'Price History'!D71-1),"")</f>
        <v>3.4506262247593122E-2</v>
      </c>
      <c r="E71" s="141">
        <f>IFERROR(IF(OR(NOT(ISNUMBER('Price History'!E72)),NOT(ISNUMBER('Price History'!E71)),'Price History'!E71=0),"",'Price History'!E72/'Price History'!E71-1),"")</f>
        <v>-3.5427574171029597E-2</v>
      </c>
      <c r="F71" s="141">
        <f>IFERROR(IF(OR(NOT(ISNUMBER('Price History'!F72)),NOT(ISNUMBER('Price History'!F71)),'Price History'!F71=0),"",'Price History'!F72/'Price History'!F71-1),"")</f>
        <v>-2.8300835654596179E-2</v>
      </c>
      <c r="G71" s="141">
        <f>IFERROR(IF(OR(NOT(ISNUMBER('Price History'!G72)),NOT(ISNUMBER('Price History'!G71)),'Price History'!G71=0),"",'Price History'!G72/'Price History'!G71-1),"")</f>
        <v>3.9753466872110899E-2</v>
      </c>
      <c r="H71" s="141">
        <f>IFERROR(IF(OR(NOT(ISNUMBER('Price History'!H72)),NOT(ISNUMBER('Price History'!H71)),'Price History'!H71=0),"",'Price History'!H72/'Price History'!H71-1),"")</f>
        <v>0.1053278230760637</v>
      </c>
      <c r="I71" s="141">
        <f>IFERROR(IF(OR(NOT(ISNUMBER('Price History'!I72)),NOT(ISNUMBER('Price History'!I71)),'Price History'!I71=0),"",'Price History'!I72/'Price History'!I71-1),"")</f>
        <v>-5.9199111666319637E-2</v>
      </c>
      <c r="J71" s="141">
        <f>IFERROR(IF(OR(NOT(ISNUMBER('Price History'!J72)),NOT(ISNUMBER('Price History'!J71)),'Price History'!J71=0),"",'Price History'!J72/'Price History'!J71-1),"")</f>
        <v>-1.9265502709211346E-2</v>
      </c>
      <c r="K71" s="141">
        <f>IFERROR(IF(OR(NOT(ISNUMBER('Price History'!K72)),NOT(ISNUMBER('Price History'!K71)),'Price History'!K71=0),"",'Price History'!K72/'Price History'!K71-1),"")</f>
        <v>-0.15809237701840029</v>
      </c>
      <c r="L71" s="141">
        <f>IFERROR(IF(OR(NOT(ISNUMBER('Price History'!L72)),NOT(ISNUMBER('Price History'!L71)),'Price History'!L71=0),"",'Price History'!L72/'Price History'!L71-1),"")</f>
        <v>-1.1261812662194393E-3</v>
      </c>
      <c r="M71" s="141">
        <f>IFERROR(IF(OR(NOT(ISNUMBER('Price History'!M72)),NOT(ISNUMBER('Price History'!M71)),'Price History'!M71=0),"",'Price History'!M72/'Price History'!M71-1),"")</f>
        <v>2.5996810207336463E-2</v>
      </c>
      <c r="N71" s="141">
        <f>IFERROR(IF(OR(NOT(ISNUMBER('Price History'!N72)),NOT(ISNUMBER('Price History'!N71)),'Price History'!N71=0),"",'Price History'!N72/'Price History'!N71-1),"")</f>
        <v>6.0180295251897054E-3</v>
      </c>
      <c r="O71" s="141">
        <f>IFERROR(IF(OR(NOT(ISNUMBER('Price History'!O72)),NOT(ISNUMBER('Price History'!O71)),'Price History'!O71=0),"",'Price History'!O72/'Price History'!O71-1),"")</f>
        <v>-2.6288006756756688E-2</v>
      </c>
      <c r="P71" s="141">
        <f>IFERROR(IF(OR(NOT(ISNUMBER('Price History'!P72)),NOT(ISNUMBER('Price History'!P71)),'Price History'!P71=0),"",'Price History'!P72/'Price History'!P71-1),"")</f>
        <v>-2.4987909076253478E-2</v>
      </c>
      <c r="Q71" s="141">
        <f>IFERROR(IF(OR(NOT(ISNUMBER('Price History'!Q72)),NOT(ISNUMBER('Price History'!Q71)),'Price History'!Q71=0),"",'Price History'!Q72/'Price History'!Q71-1),"")</f>
        <v>-1.2151652624756926E-2</v>
      </c>
      <c r="R71" s="141">
        <f>IFERROR(IF(OR(NOT(ISNUMBER('Price History'!R72)),NOT(ISNUMBER('Price History'!R71)),'Price History'!R71=0),"",'Price History'!R72/'Price History'!R71-1),"")</f>
        <v>-1.9263698630136994E-2</v>
      </c>
      <c r="S71" s="141">
        <f>IFERROR(IF(OR(NOT(ISNUMBER('Price History'!S72)),NOT(ISNUMBER('Price History'!S71)),'Price History'!S71=0),"",'Price History'!S72/'Price History'!S71-1),"")</f>
        <v>-1.3500784929356247E-2</v>
      </c>
      <c r="T71" s="141">
        <f>IFERROR(IF(OR(NOT(ISNUMBER('Price History'!T72)),NOT(ISNUMBER('Price History'!T71)),'Price History'!T71=0),"",'Price History'!T72/'Price History'!T71-1),"")</f>
        <v>0</v>
      </c>
      <c r="U71" s="141">
        <f>IFERROR(IF(OR(NOT(ISNUMBER('Price History'!U72)),NOT(ISNUMBER('Price History'!U71)),'Price History'!U71=0),"",'Price History'!U72/'Price History'!U71-1),"")</f>
        <v>-1.5521924718665092E-2</v>
      </c>
      <c r="V71" s="142">
        <f>IFERROR(IF(OR(NOT(ISNUMBER('Price History'!V72)),NOT(ISNUMBER('Price History'!V71)),'Price History'!V71=0),"",'Price History'!V72/'Price History'!V71-1),"")</f>
        <v>-2.2842802908435655E-2</v>
      </c>
      <c r="W71" s="143">
        <f>IFERROR('Price History'!B3+(INDEX('Price History'!B:B,MATCH(9.99E+307,'Returns (Calc)'!$A:$A)+1)-'Price History'!B3)*(ROW()-3)/(MATCH(9.99E+307,'Returns (Calc)'!$A:$A)-3),"")</f>
        <v>403.56341772151899</v>
      </c>
      <c r="X71" s="143">
        <f>IFERROR('Price History'!C3+(INDEX('Price History'!C:C,MATCH(9.99E+307,'Returns (Calc)'!$A:$A)+1)-'Price History'!C3)*(ROW()-3)/(MATCH(9.99E+307,'Returns (Calc)'!$A:$A)-3),"")</f>
        <v>115.54430379746836</v>
      </c>
      <c r="Y71" s="143">
        <f>IFERROR('Price History'!D3+(INDEX('Price History'!D:D,MATCH(9.99E+307,'Returns (Calc)'!$A:$A)+1)-'Price History'!D3)*(ROW()-3)/(MATCH(9.99E+307,'Returns (Calc)'!$A:$A)-3),"")</f>
        <v>1135.1770886075949</v>
      </c>
      <c r="Z71" s="143">
        <f>IFERROR('Price History'!E3+(INDEX('Price History'!E:E,MATCH(9.99E+307,'Returns (Calc)'!$A:$A)+1)-'Price History'!E3)*(ROW()-3)/(MATCH(9.99E+307,'Returns (Calc)'!$A:$A)-3),"")</f>
        <v>199.55392405063293</v>
      </c>
      <c r="AA71" s="143">
        <f>IFERROR('Price History'!F3+(INDEX('Price History'!F:F,MATCH(9.99E+307,'Returns (Calc)'!$A:$A)+1)-'Price History'!F3)*(ROW()-3)/(MATCH(9.99E+307,'Returns (Calc)'!$A:$A)-3),"")</f>
        <v>139.77924050632913</v>
      </c>
      <c r="AB71" s="143">
        <f>IFERROR('Price History'!G3+(INDEX('Price History'!G:G,MATCH(9.99E+307,'Returns (Calc)'!$A:$A)+1)-'Price History'!G3)*(ROW()-3)/(MATCH(9.99E+307,'Returns (Calc)'!$A:$A)-3),"")</f>
        <v>114.3039240506329</v>
      </c>
      <c r="AC71" s="143">
        <f>IFERROR('Price History'!H3+(INDEX('Price History'!H:H,MATCH(9.99E+307,'Returns (Calc)'!$A:$A)+1)-'Price History'!H3)*(ROW()-3)/(MATCH(9.99E+307,'Returns (Calc)'!$A:$A)-3),"")</f>
        <v>501.97734177215199</v>
      </c>
      <c r="AD71" s="143">
        <f>IFERROR('Price History'!I3+(INDEX('Price History'!I:I,MATCH(9.99E+307,'Returns (Calc)'!$A:$A)+1)-'Price History'!I3)*(ROW()-3)/(MATCH(9.99E+307,'Returns (Calc)'!$A:$A)-3),"")</f>
        <v>125.61962025316456</v>
      </c>
      <c r="AE71" s="143">
        <f>IFERROR('Price History'!J3+(INDEX('Price History'!J:J,MATCH(9.99E+307,'Returns (Calc)'!$A:$A)+1)-'Price History'!J3)*(ROW()-3)/(MATCH(9.99E+307,'Returns (Calc)'!$A:$A)-3),"")</f>
        <v>119.18658227848101</v>
      </c>
      <c r="AF71" s="143">
        <f>IFERROR('Price History'!K3+(INDEX('Price History'!K:K,MATCH(9.99E+307,'Returns (Calc)'!$A:$A)+1)-'Price History'!K3)*(ROW()-3)/(MATCH(9.99E+307,'Returns (Calc)'!$A:$A)-3),"")</f>
        <v>89.96645569620253</v>
      </c>
      <c r="AG71" s="143">
        <f>IFERROR('Price History'!L3+(INDEX('Price History'!L:L,MATCH(9.99E+307,'Returns (Calc)'!$A:$A)+1)-'Price History'!L3)*(ROW()-3)/(MATCH(9.99E+307,'Returns (Calc)'!$A:$A)-3),"")</f>
        <v>252.31987341772151</v>
      </c>
      <c r="AH71" s="143">
        <f>IFERROR('Price History'!M3+(INDEX('Price History'!M:M,MATCH(9.99E+307,'Returns (Calc)'!$A:$A)+1)-'Price History'!M3)*(ROW()-3)/(MATCH(9.99E+307,'Returns (Calc)'!$A:$A)-3),"")</f>
        <v>130.19012658227848</v>
      </c>
      <c r="AI71" s="143">
        <f>IFERROR('Price History'!N3+(INDEX('Price History'!N:N,MATCH(9.99E+307,'Returns (Calc)'!$A:$A)+1)-'Price History'!N3)*(ROW()-3)/(MATCH(9.99E+307,'Returns (Calc)'!$A:$A)-3),"")</f>
        <v>415.96607594936711</v>
      </c>
      <c r="AJ71" s="143">
        <f>IFERROR('Price History'!O3+(INDEX('Price History'!O:O,MATCH(9.99E+307,'Returns (Calc)'!$A:$A)+1)-'Price History'!O3)*(ROW()-3)/(MATCH(9.99E+307,'Returns (Calc)'!$A:$A)-3),"")</f>
        <v>94.556582278481017</v>
      </c>
      <c r="AK71" s="143">
        <f>IFERROR('Price History'!Q3+(INDEX('Price History'!Q:Q,MATCH(9.99E+307,'Returns (Calc)'!$A:$A)+1)-'Price History'!Q3)*(ROW()-3)/(MATCH(9.99E+307,'Returns (Calc)'!$A:$A)-3),"")</f>
        <v>29.876962025316459</v>
      </c>
      <c r="AL71" s="143">
        <f>IFERROR('Price History'!R3+(INDEX('Price History'!R:R,MATCH(9.99E+307,'Returns (Calc)'!$A:$A)+1)-'Price History'!R3)*(ROW()-3)/(MATCH(9.99E+307,'Returns (Calc)'!$A:$A)-3),"")</f>
        <v>45.910886075949364</v>
      </c>
      <c r="AM71" s="143">
        <f>IFERROR('Price History'!S3+(INDEX('Price History'!S:S,MATCH(9.99E+307,'Returns (Calc)'!$A:$A)+1)-'Price History'!S3)*(ROW()-3)/(MATCH(9.99E+307,'Returns (Calc)'!$A:$A)-3),"")</f>
        <v>98.774303797468349</v>
      </c>
      <c r="AN71" s="143">
        <f>IFERROR('Price History'!T3+(INDEX('Price History'!T:T,MATCH(9.99E+307,'Returns (Calc)'!$A:$A)+1)-'Price History'!T3)*(ROW()-3)/(MATCH(9.99E+307,'Returns (Calc)'!$A:$A)-3),"")</f>
        <v>36.679493670886075</v>
      </c>
      <c r="AO71" s="144">
        <f>IFERROR('Price History'!V3+(INDEX('Price History'!V:V,MATCH(9.99E+307,'Returns (Calc)'!$A:$A)+1)-'Price History'!V3)*(ROW()-3)/(MATCH(9.99E+307,'Returns (Calc)'!$A:$A)-3),"")</f>
        <v>289.44037974683545</v>
      </c>
      <c r="AP71" s="142">
        <f>IFERROR(IF(OR(NOT(ISNUMBER('Price History'!W72)),NOT(ISNUMBER('Price History'!W71)),'Price History'!W71=0),"",'Price History'!W72/'Price History'!W71-1),"")</f>
        <v>-1.7971863056029824E-2</v>
      </c>
      <c r="AQ71" s="142" t="str">
        <f>IFERROR(IF(OR(NOT(ISNUMBER('Price History'!X72)),NOT(ISNUMBER('Price History'!X71)),'Price History'!X71=0),"",'Price History'!X72/'Price History'!X71-1),"")</f>
        <v/>
      </c>
      <c r="AR71" s="142">
        <f>IFERROR(IF(OR(NOT(ISNUMBER('Price History'!Y72)),NOT(ISNUMBER('Price History'!Y71)),'Price History'!Y71=0),"",'Price History'!Y72/'Price History'!Y71-1),"")</f>
        <v>-1.591406405410789E-2</v>
      </c>
      <c r="AS71" s="142">
        <f>IFERROR(IF(OR(NOT(ISNUMBER('Price History'!Z72)),NOT(ISNUMBER('Price History'!Z71)),'Price History'!Z71=0),"",'Price History'!Z72/'Price History'!Z71-1),"")</f>
        <v>-1.5247478301666506E-3</v>
      </c>
      <c r="AT71" s="142">
        <f>IFERROR(IF(OR(NOT(ISNUMBER('Price History'!AA72)),NOT(ISNUMBER('Price History'!AA71)),'Price History'!AA71=0),"",'Price History'!AA72/'Price History'!AA71-1),"")</f>
        <v>-4.9256611054363852E-2</v>
      </c>
    </row>
    <row r="72" spans="1:46" ht="15" customHeight="1" x14ac:dyDescent="0.35">
      <c r="A72" s="140">
        <f>IF('Price History'!A73="","",'Price History'!A73)</f>
        <v>45674</v>
      </c>
      <c r="B72" s="141">
        <f>IFERROR(IF(OR(NOT(ISNUMBER('Price History'!B73)),NOT(ISNUMBER('Price History'!B72)),'Price History'!B72=0),"",'Price History'!B73/'Price History'!B72-1),"")</f>
        <v>5.9297398502167864E-2</v>
      </c>
      <c r="C72" s="141">
        <f>IFERROR(IF(OR(NOT(ISNUMBER('Price History'!C73)),NOT(ISNUMBER('Price History'!C72)),'Price History'!C72=0),"",'Price History'!C73/'Price History'!C72-1),"")</f>
        <v>4.9064194507608905E-2</v>
      </c>
      <c r="D72" s="141">
        <f>IFERROR(IF(OR(NOT(ISNUMBER('Price History'!D73)),NOT(ISNUMBER('Price History'!D72)),'Price History'!D72=0),"",'Price History'!D73/'Price History'!D72-1),"")</f>
        <v>2.343106572228626E-2</v>
      </c>
      <c r="E72" s="141">
        <f>IFERROR(IF(OR(NOT(ISNUMBER('Price History'!E73)),NOT(ISNUMBER('Price History'!E72)),'Price History'!E72=0),"",'Price History'!E73/'Price History'!E72-1),"")</f>
        <v>5.853084856160673E-2</v>
      </c>
      <c r="F72" s="141">
        <f>IFERROR(IF(OR(NOT(ISNUMBER('Price History'!F73)),NOT(ISNUMBER('Price History'!F72)),'Price History'!F72=0),"",'Price History'!F73/'Price History'!F72-1),"")</f>
        <v>2.3391812865497075E-2</v>
      </c>
      <c r="G72" s="141">
        <f>IFERROR(IF(OR(NOT(ISNUMBER('Price History'!G73)),NOT(ISNUMBER('Price History'!G72)),'Price History'!G72=0),"",'Price History'!G73/'Price History'!G72-1),"")</f>
        <v>0.10892116182572598</v>
      </c>
      <c r="H72" s="141">
        <f>IFERROR(IF(OR(NOT(ISNUMBER('Price History'!H73)),NOT(ISNUMBER('Price History'!H72)),'Price History'!H72=0),"",'Price History'!H73/'Price History'!H72-1),"")</f>
        <v>6.4470493128536921E-2</v>
      </c>
      <c r="I72" s="141">
        <f>IFERROR(IF(OR(NOT(ISNUMBER('Price History'!I73)),NOT(ISNUMBER('Price History'!I72)),'Price History'!I72=0),"",'Price History'!I73/'Price History'!I72-1),"")</f>
        <v>1.3204485098849084E-2</v>
      </c>
      <c r="J72" s="141">
        <f>IFERROR(IF(OR(NOT(ISNUMBER('Price History'!J73)),NOT(ISNUMBER('Price History'!J72)),'Price History'!J72=0),"",'Price History'!J73/'Price History'!J72-1),"")</f>
        <v>5.6783302639656252E-2</v>
      </c>
      <c r="K72" s="141">
        <f>IFERROR(IF(OR(NOT(ISNUMBER('Price History'!K73)),NOT(ISNUMBER('Price History'!K72)),'Price History'!K72=0),"",'Price History'!K73/'Price History'!K72-1),"")</f>
        <v>6.7053226286053924E-2</v>
      </c>
      <c r="L72" s="141">
        <f>IFERROR(IF(OR(NOT(ISNUMBER('Price History'!L73)),NOT(ISNUMBER('Price History'!L72)),'Price History'!L72=0),"",'Price History'!L73/'Price History'!L72-1),"")</f>
        <v>1.4999999999999902E-2</v>
      </c>
      <c r="M72" s="141">
        <f>IFERROR(IF(OR(NOT(ISNUMBER('Price History'!M73)),NOT(ISNUMBER('Price History'!M72)),'Price History'!M72=0),"",'Price History'!M73/'Price History'!M72-1),"")</f>
        <v>5.3862894450489751E-2</v>
      </c>
      <c r="N72" s="141">
        <f>IFERROR(IF(OR(NOT(ISNUMBER('Price History'!N73)),NOT(ISNUMBER('Price History'!N72)),'Price History'!N72=0),"",'Price History'!N73/'Price History'!N72-1),"")</f>
        <v>3.0374059966793654E-2</v>
      </c>
      <c r="O72" s="141">
        <f>IFERROR(IF(OR(NOT(ISNUMBER('Price History'!O73)),NOT(ISNUMBER('Price History'!O72)),'Price History'!O72=0),"",'Price History'!O73/'Price History'!O72-1),"")</f>
        <v>4.889949040442354E-2</v>
      </c>
      <c r="P72" s="141">
        <f>IFERROR(IF(OR(NOT(ISNUMBER('Price History'!P73)),NOT(ISNUMBER('Price History'!P72)),'Price History'!P72=0),"",'Price History'!P73/'Price History'!P72-1),"")</f>
        <v>4.8363095238095344E-2</v>
      </c>
      <c r="Q72" s="141">
        <f>IFERROR(IF(OR(NOT(ISNUMBER('Price History'!Q73)),NOT(ISNUMBER('Price History'!Q72)),'Price History'!Q72=0),"",'Price History'!Q73/'Price History'!Q72-1),"")</f>
        <v>1.7221584385763489E-2</v>
      </c>
      <c r="R72" s="141">
        <f>IFERROR(IF(OR(NOT(ISNUMBER('Price History'!R73)),NOT(ISNUMBER('Price History'!R72)),'Price History'!R72=0),"",'Price History'!R73/'Price History'!R72-1),"")</f>
        <v>2.3134002618943716E-2</v>
      </c>
      <c r="S72" s="141">
        <f>IFERROR(IF(OR(NOT(ISNUMBER('Price History'!S73)),NOT(ISNUMBER('Price History'!S72)),'Price History'!S72=0),"",'Price History'!S73/'Price History'!S72-1),"")</f>
        <v>3.2145130490133678E-2</v>
      </c>
      <c r="T72" s="141">
        <f>IFERROR(IF(OR(NOT(ISNUMBER('Price History'!T73)),NOT(ISNUMBER('Price History'!T72)),'Price History'!T72=0),"",'Price History'!T73/'Price History'!T72-1),"")</f>
        <v>3.8621509209744609E-2</v>
      </c>
      <c r="U72" s="141">
        <f>IFERROR(IF(OR(NOT(ISNUMBER('Price History'!U73)),NOT(ISNUMBER('Price History'!U72)),'Price History'!U72=0),"",'Price History'!U73/'Price History'!U72-1),"")</f>
        <v>3.6263303113913903E-2</v>
      </c>
      <c r="V72" s="142">
        <f>IFERROR(IF(OR(NOT(ISNUMBER('Price History'!V73)),NOT(ISNUMBER('Price History'!V72)),'Price History'!V72=0),"",'Price History'!V73/'Price History'!V72-1),"")</f>
        <v>3.8686948505202157E-2</v>
      </c>
      <c r="W72" s="143">
        <f>IFERROR('Price History'!B3+(INDEX('Price History'!B:B,MATCH(9.99E+307,'Returns (Calc)'!$A:$A)+1)-'Price History'!B3)*(ROW()-3)/(MATCH(9.99E+307,'Returns (Calc)'!$A:$A)-3),"")</f>
        <v>401.72037974683542</v>
      </c>
      <c r="X72" s="143">
        <f>IFERROR('Price History'!C3+(INDEX('Price History'!C:C,MATCH(9.99E+307,'Returns (Calc)'!$A:$A)+1)-'Price History'!C3)*(ROW()-3)/(MATCH(9.99E+307,'Returns (Calc)'!$A:$A)-3),"")</f>
        <v>116.56436708860758</v>
      </c>
      <c r="Y72" s="143">
        <f>IFERROR('Price History'!D3+(INDEX('Price History'!D:D,MATCH(9.99E+307,'Returns (Calc)'!$A:$A)+1)-'Price History'!D3)*(ROW()-3)/(MATCH(9.99E+307,'Returns (Calc)'!$A:$A)-3),"")</f>
        <v>1143.3118987341772</v>
      </c>
      <c r="Z72" s="143">
        <f>IFERROR('Price History'!E3+(INDEX('Price History'!E:E,MATCH(9.99E+307,'Returns (Calc)'!$A:$A)+1)-'Price History'!E3)*(ROW()-3)/(MATCH(9.99E+307,'Returns (Calc)'!$A:$A)-3),"")</f>
        <v>201.28265822784812</v>
      </c>
      <c r="AA72" s="143">
        <f>IFERROR('Price History'!F3+(INDEX('Price History'!F:F,MATCH(9.99E+307,'Returns (Calc)'!$A:$A)+1)-'Price History'!F3)*(ROW()-3)/(MATCH(9.99E+307,'Returns (Calc)'!$A:$A)-3),"")</f>
        <v>141.22658227848103</v>
      </c>
      <c r="AB72" s="143">
        <f>IFERROR('Price History'!G3+(INDEX('Price History'!G:G,MATCH(9.99E+307,'Returns (Calc)'!$A:$A)+1)-'Price History'!G3)*(ROW()-3)/(MATCH(9.99E+307,'Returns (Calc)'!$A:$A)-3),"")</f>
        <v>115.3326582278481</v>
      </c>
      <c r="AC72" s="143">
        <f>IFERROR('Price History'!H3+(INDEX('Price History'!H:H,MATCH(9.99E+307,'Returns (Calc)'!$A:$A)+1)-'Price History'!H3)*(ROW()-3)/(MATCH(9.99E+307,'Returns (Calc)'!$A:$A)-3),"")</f>
        <v>508.34303797468363</v>
      </c>
      <c r="AD72" s="143">
        <f>IFERROR('Price History'!I3+(INDEX('Price History'!I:I,MATCH(9.99E+307,'Returns (Calc)'!$A:$A)+1)-'Price History'!I3)*(ROW()-3)/(MATCH(9.99E+307,'Returns (Calc)'!$A:$A)-3),"")</f>
        <v>126.8232911392405</v>
      </c>
      <c r="AE72" s="143">
        <f>IFERROR('Price History'!J3+(INDEX('Price History'!J:J,MATCH(9.99E+307,'Returns (Calc)'!$A:$A)+1)-'Price History'!J3)*(ROW()-3)/(MATCH(9.99E+307,'Returns (Calc)'!$A:$A)-3),"")</f>
        <v>119.29462025316455</v>
      </c>
      <c r="AF72" s="143">
        <f>IFERROR('Price History'!K3+(INDEX('Price History'!K:K,MATCH(9.99E+307,'Returns (Calc)'!$A:$A)+1)-'Price History'!K3)*(ROW()-3)/(MATCH(9.99E+307,'Returns (Calc)'!$A:$A)-3),"")</f>
        <v>91.064050632911389</v>
      </c>
      <c r="AG72" s="143">
        <f>IFERROR('Price History'!L3+(INDEX('Price History'!L:L,MATCH(9.99E+307,'Returns (Calc)'!$A:$A)+1)-'Price History'!L3)*(ROW()-3)/(MATCH(9.99E+307,'Returns (Calc)'!$A:$A)-3),"")</f>
        <v>254.76943037974684</v>
      </c>
      <c r="AH72" s="143">
        <f>IFERROR('Price History'!M3+(INDEX('Price History'!M:M,MATCH(9.99E+307,'Returns (Calc)'!$A:$A)+1)-'Price History'!M3)*(ROW()-3)/(MATCH(9.99E+307,'Returns (Calc)'!$A:$A)-3),"")</f>
        <v>131.54556962025316</v>
      </c>
      <c r="AI72" s="143">
        <f>IFERROR('Price History'!N3+(INDEX('Price History'!N:N,MATCH(9.99E+307,'Returns (Calc)'!$A:$A)+1)-'Price History'!N3)*(ROW()-3)/(MATCH(9.99E+307,'Returns (Calc)'!$A:$A)-3),"")</f>
        <v>416.9523417721519</v>
      </c>
      <c r="AJ72" s="143">
        <f>IFERROR('Price History'!O3+(INDEX('Price History'!O:O,MATCH(9.99E+307,'Returns (Calc)'!$A:$A)+1)-'Price History'!O3)*(ROW()-3)/(MATCH(9.99E+307,'Returns (Calc)'!$A:$A)-3),"")</f>
        <v>94.839620253164554</v>
      </c>
      <c r="AK72" s="143">
        <f>IFERROR('Price History'!Q3+(INDEX('Price History'!Q:Q,MATCH(9.99E+307,'Returns (Calc)'!$A:$A)+1)-'Price History'!Q3)*(ROW()-3)/(MATCH(9.99E+307,'Returns (Calc)'!$A:$A)-3),"")</f>
        <v>30.316329113924052</v>
      </c>
      <c r="AL72" s="143">
        <f>IFERROR('Price History'!R3+(INDEX('Price History'!R:R,MATCH(9.99E+307,'Returns (Calc)'!$A:$A)+1)-'Price History'!R3)*(ROW()-3)/(MATCH(9.99E+307,'Returns (Calc)'!$A:$A)-3),"")</f>
        <v>46.078987341772148</v>
      </c>
      <c r="AM72" s="143">
        <f>IFERROR('Price History'!S3+(INDEX('Price History'!S:S,MATCH(9.99E+307,'Returns (Calc)'!$A:$A)+1)-'Price History'!S3)*(ROW()-3)/(MATCH(9.99E+307,'Returns (Calc)'!$A:$A)-3),"")</f>
        <v>99.379367088607594</v>
      </c>
      <c r="AN72" s="143">
        <f>IFERROR('Price History'!T3+(INDEX('Price History'!T:T,MATCH(9.99E+307,'Returns (Calc)'!$A:$A)+1)-'Price History'!T3)*(ROW()-3)/(MATCH(9.99E+307,'Returns (Calc)'!$A:$A)-3),"")</f>
        <v>36.847721518987342</v>
      </c>
      <c r="AO72" s="144">
        <f>IFERROR('Price History'!V3+(INDEX('Price History'!V:V,MATCH(9.99E+307,'Returns (Calc)'!$A:$A)+1)-'Price History'!V3)*(ROW()-3)/(MATCH(9.99E+307,'Returns (Calc)'!$A:$A)-3),"")</f>
        <v>290.23170886075951</v>
      </c>
      <c r="AP72" s="142">
        <f>IFERROR(IF(OR(NOT(ISNUMBER('Price History'!W73)),NOT(ISNUMBER('Price History'!W72)),'Price History'!W72=0),"",'Price History'!W73/'Price History'!W72-1),"")</f>
        <v>4.4219940377608458E-2</v>
      </c>
      <c r="AQ72" s="142" t="str">
        <f>IFERROR(IF(OR(NOT(ISNUMBER('Price History'!X73)),NOT(ISNUMBER('Price History'!X72)),'Price History'!X72=0),"",'Price History'!X73/'Price History'!X72-1),"")</f>
        <v/>
      </c>
      <c r="AR72" s="142">
        <f>IFERROR(IF(OR(NOT(ISNUMBER('Price History'!Y73)),NOT(ISNUMBER('Price History'!Y72)),'Price History'!Y72=0),"",'Price History'!Y73/'Price History'!Y72-1),"")</f>
        <v>2.5267839094400557E-2</v>
      </c>
      <c r="AS72" s="142">
        <f>IFERROR(IF(OR(NOT(ISNUMBER('Price History'!Z73)),NOT(ISNUMBER('Price History'!Z72)),'Price History'!Z72=0),"",'Price History'!Z73/'Price History'!Z72-1),"")</f>
        <v>6.4959473746035501E-2</v>
      </c>
      <c r="AT72" s="142">
        <f>IFERROR(IF(OR(NOT(ISNUMBER('Price History'!AA73)),NOT(ISNUMBER('Price History'!AA72)),'Price History'!AA72=0),"",'Price History'!AA73/'Price History'!AA72-1),"")</f>
        <v>2.4352393458278776E-2</v>
      </c>
    </row>
    <row r="73" spans="1:46" ht="15" customHeight="1" x14ac:dyDescent="0.35">
      <c r="A73" s="140">
        <f>IF('Price History'!A74="","",'Price History'!A74)</f>
        <v>45681</v>
      </c>
      <c r="B73" s="141">
        <f>IFERROR(IF(OR(NOT(ISNUMBER('Price History'!B74)),NOT(ISNUMBER('Price History'!B73)),'Price History'!B73=0),"",'Price History'!B74/'Price History'!B73-1),"")</f>
        <v>1.2535175236633389E-2</v>
      </c>
      <c r="C73" s="141">
        <f>IFERROR(IF(OR(NOT(ISNUMBER('Price History'!C74)),NOT(ISNUMBER('Price History'!C73)),'Price History'!C73=0),"",'Price History'!C74/'Price History'!C73-1),"")</f>
        <v>7.6865360566902741E-2</v>
      </c>
      <c r="D73" s="141">
        <f>IFERROR(IF(OR(NOT(ISNUMBER('Price History'!D74)),NOT(ISNUMBER('Price History'!D73)),'Price History'!D73=0),"",'Price History'!D74/'Price History'!D73-1),"")</f>
        <v>-3.1840555801445847E-2</v>
      </c>
      <c r="E73" s="141">
        <f>IFERROR(IF(OR(NOT(ISNUMBER('Price History'!E74)),NOT(ISNUMBER('Price History'!E73)),'Price History'!E73=0),"",'Price History'!E74/'Price History'!E73-1),"")</f>
        <v>3.0595675583283466E-2</v>
      </c>
      <c r="F73" s="141">
        <f>IFERROR(IF(OR(NOT(ISNUMBER('Price History'!F74)),NOT(ISNUMBER('Price History'!F73)),'Price History'!F73=0),"",'Price History'!F74/'Price History'!F73-1),"")</f>
        <v>5.0196078431372637E-2</v>
      </c>
      <c r="G73" s="141">
        <f>IFERROR(IF(OR(NOT(ISNUMBER('Price History'!G74)),NOT(ISNUMBER('Price History'!G73)),'Price History'!G73=0),"",'Price History'!G74/'Price History'!G73-1),"")</f>
        <v>-1.0156354403314194E-2</v>
      </c>
      <c r="H73" s="141">
        <f>IFERROR(IF(OR(NOT(ISNUMBER('Price History'!H74)),NOT(ISNUMBER('Price History'!H73)),'Price History'!H73=0),"",'Price History'!H74/'Price History'!H73-1),"")</f>
        <v>-2.4207328650085458E-2</v>
      </c>
      <c r="I73" s="141">
        <f>IFERROR(IF(OR(NOT(ISNUMBER('Price History'!I74)),NOT(ISNUMBER('Price History'!I73)),'Price History'!I73=0),"",'Price History'!I74/'Price History'!I73-1),"")</f>
        <v>3.567528212595561E-2</v>
      </c>
      <c r="J73" s="141">
        <f>IFERROR(IF(OR(NOT(ISNUMBER('Price History'!J74)),NOT(ISNUMBER('Price History'!J73)),'Price History'!J73=0),"",'Price History'!J74/'Price History'!J73-1),"")</f>
        <v>8.6358795623971307E-2</v>
      </c>
      <c r="K73" s="141">
        <f>IFERROR(IF(OR(NOT(ISNUMBER('Price History'!K74)),NOT(ISNUMBER('Price History'!K73)),'Price History'!K73=0),"",'Price History'!K74/'Price History'!K73-1),"")</f>
        <v>0.10045980214574346</v>
      </c>
      <c r="L73" s="141">
        <f>IFERROR(IF(OR(NOT(ISNUMBER('Price History'!L74)),NOT(ISNUMBER('Price History'!L73)),'Price History'!L73=0),"",'Price History'!L74/'Price History'!L73-1),"")</f>
        <v>4.9067903023278348E-2</v>
      </c>
      <c r="M73" s="141">
        <f>IFERROR(IF(OR(NOT(ISNUMBER('Price History'!M74)),NOT(ISNUMBER('Price History'!M73)),'Price History'!M73=0),"",'Price History'!M74/'Price History'!M73-1),"")</f>
        <v>7.6849325171472804E-2</v>
      </c>
      <c r="N73" s="141">
        <f>IFERROR(IF(OR(NOT(ISNUMBER('Price History'!N74)),NOT(ISNUMBER('Price History'!N73)),'Price History'!N73=0),"",'Price History'!N74/'Price History'!N73-1),"")</f>
        <v>4.1753554502369727E-2</v>
      </c>
      <c r="O73" s="141">
        <f>IFERROR(IF(OR(NOT(ISNUMBER('Price History'!O74)),NOT(ISNUMBER('Price History'!O73)),'Price History'!O73=0),"",'Price History'!O74/'Price History'!O73-1),"")</f>
        <v>5.0651230101304012E-3</v>
      </c>
      <c r="P73" s="141">
        <f>IFERROR(IF(OR(NOT(ISNUMBER('Price History'!P74)),NOT(ISNUMBER('Price History'!P73)),'Price History'!P73=0),"",'Price History'!P74/'Price History'!P73-1),"")</f>
        <v>2.2080277580631691E-3</v>
      </c>
      <c r="Q73" s="141">
        <f>IFERROR(IF(OR(NOT(ISNUMBER('Price History'!Q74)),NOT(ISNUMBER('Price History'!Q73)),'Price History'!Q73=0),"",'Price History'!Q74/'Price History'!Q73-1),"")</f>
        <v>1.0319251854240541E-2</v>
      </c>
      <c r="R73" s="141">
        <f>IFERROR(IF(OR(NOT(ISNUMBER('Price History'!R74)),NOT(ISNUMBER('Price History'!R73)),'Price History'!R73=0),"",'Price History'!R74/'Price History'!R73-1),"")</f>
        <v>1.3865187713310467E-2</v>
      </c>
      <c r="S73" s="141">
        <f>IFERROR(IF(OR(NOT(ISNUMBER('Price History'!S74)),NOT(ISNUMBER('Price History'!S73)),'Price History'!S73=0),"",'Price History'!S74/'Price History'!S73-1),"")</f>
        <v>2.7135368485969869E-2</v>
      </c>
      <c r="T73" s="141">
        <f>IFERROR(IF(OR(NOT(ISNUMBER('Price History'!T74)),NOT(ISNUMBER('Price History'!T73)),'Price History'!T73=0),"",'Price History'!T74/'Price History'!T73-1),"")</f>
        <v>2.5743707093819346E-3</v>
      </c>
      <c r="U73" s="141">
        <f>IFERROR(IF(OR(NOT(ISNUMBER('Price History'!U74)),NOT(ISNUMBER('Price History'!U73)),'Price History'!U73=0),"",'Price History'!U74/'Price History'!U73-1),"")</f>
        <v>2.6626093571699982E-3</v>
      </c>
      <c r="V73" s="142">
        <f>IFERROR(IF(OR(NOT(ISNUMBER('Price History'!V74)),NOT(ISNUMBER('Price History'!V73)),'Price History'!V73=0),"",'Price History'!V74/'Price History'!V73-1),"")</f>
        <v>3.3093479570165174E-2</v>
      </c>
      <c r="W73" s="143">
        <f>IFERROR('Price History'!B3+(INDEX('Price History'!B:B,MATCH(9.99E+307,'Returns (Calc)'!$A:$A)+1)-'Price History'!B3)*(ROW()-3)/(MATCH(9.99E+307,'Returns (Calc)'!$A:$A)-3),"")</f>
        <v>399.87734177215191</v>
      </c>
      <c r="X73" s="143">
        <f>IFERROR('Price History'!C3+(INDEX('Price History'!C:C,MATCH(9.99E+307,'Returns (Calc)'!$A:$A)+1)-'Price History'!C3)*(ROW()-3)/(MATCH(9.99E+307,'Returns (Calc)'!$A:$A)-3),"")</f>
        <v>117.58443037974683</v>
      </c>
      <c r="Y73" s="143">
        <f>IFERROR('Price History'!D3+(INDEX('Price History'!D:D,MATCH(9.99E+307,'Returns (Calc)'!$A:$A)+1)-'Price History'!D3)*(ROW()-3)/(MATCH(9.99E+307,'Returns (Calc)'!$A:$A)-3),"")</f>
        <v>1151.4467088607594</v>
      </c>
      <c r="Z73" s="143">
        <f>IFERROR('Price History'!E3+(INDEX('Price History'!E:E,MATCH(9.99E+307,'Returns (Calc)'!$A:$A)+1)-'Price History'!E3)*(ROW()-3)/(MATCH(9.99E+307,'Returns (Calc)'!$A:$A)-3),"")</f>
        <v>203.0113924050633</v>
      </c>
      <c r="AA73" s="143">
        <f>IFERROR('Price History'!F3+(INDEX('Price History'!F:F,MATCH(9.99E+307,'Returns (Calc)'!$A:$A)+1)-'Price History'!F3)*(ROW()-3)/(MATCH(9.99E+307,'Returns (Calc)'!$A:$A)-3),"")</f>
        <v>142.67392405063293</v>
      </c>
      <c r="AB73" s="143">
        <f>IFERROR('Price History'!G3+(INDEX('Price History'!G:G,MATCH(9.99E+307,'Returns (Calc)'!$A:$A)+1)-'Price History'!G3)*(ROW()-3)/(MATCH(9.99E+307,'Returns (Calc)'!$A:$A)-3),"")</f>
        <v>116.3613924050633</v>
      </c>
      <c r="AC73" s="143">
        <f>IFERROR('Price History'!H3+(INDEX('Price History'!H:H,MATCH(9.99E+307,'Returns (Calc)'!$A:$A)+1)-'Price History'!H3)*(ROW()-3)/(MATCH(9.99E+307,'Returns (Calc)'!$A:$A)-3),"")</f>
        <v>514.70873417721521</v>
      </c>
      <c r="AD73" s="143">
        <f>IFERROR('Price History'!I3+(INDEX('Price History'!I:I,MATCH(9.99E+307,'Returns (Calc)'!$A:$A)+1)-'Price History'!I3)*(ROW()-3)/(MATCH(9.99E+307,'Returns (Calc)'!$A:$A)-3),"")</f>
        <v>128.02696202531644</v>
      </c>
      <c r="AE73" s="143">
        <f>IFERROR('Price History'!J3+(INDEX('Price History'!J:J,MATCH(9.99E+307,'Returns (Calc)'!$A:$A)+1)-'Price History'!J3)*(ROW()-3)/(MATCH(9.99E+307,'Returns (Calc)'!$A:$A)-3),"")</f>
        <v>119.40265822784811</v>
      </c>
      <c r="AF73" s="143">
        <f>IFERROR('Price History'!K3+(INDEX('Price History'!K:K,MATCH(9.99E+307,'Returns (Calc)'!$A:$A)+1)-'Price History'!K3)*(ROW()-3)/(MATCH(9.99E+307,'Returns (Calc)'!$A:$A)-3),"")</f>
        <v>92.161645569620248</v>
      </c>
      <c r="AG73" s="143">
        <f>IFERROR('Price History'!L3+(INDEX('Price History'!L:L,MATCH(9.99E+307,'Returns (Calc)'!$A:$A)+1)-'Price History'!L3)*(ROW()-3)/(MATCH(9.99E+307,'Returns (Calc)'!$A:$A)-3),"")</f>
        <v>257.21898734177216</v>
      </c>
      <c r="AH73" s="143">
        <f>IFERROR('Price History'!M3+(INDEX('Price History'!M:M,MATCH(9.99E+307,'Returns (Calc)'!$A:$A)+1)-'Price History'!M3)*(ROW()-3)/(MATCH(9.99E+307,'Returns (Calc)'!$A:$A)-3),"")</f>
        <v>132.90101265822784</v>
      </c>
      <c r="AI73" s="143">
        <f>IFERROR('Price History'!N3+(INDEX('Price History'!N:N,MATCH(9.99E+307,'Returns (Calc)'!$A:$A)+1)-'Price History'!N3)*(ROW()-3)/(MATCH(9.99E+307,'Returns (Calc)'!$A:$A)-3),"")</f>
        <v>417.93860759493668</v>
      </c>
      <c r="AJ73" s="143">
        <f>IFERROR('Price History'!O3+(INDEX('Price History'!O:O,MATCH(9.99E+307,'Returns (Calc)'!$A:$A)+1)-'Price History'!O3)*(ROW()-3)/(MATCH(9.99E+307,'Returns (Calc)'!$A:$A)-3),"")</f>
        <v>95.122658227848106</v>
      </c>
      <c r="AK73" s="143">
        <f>IFERROR('Price History'!Q3+(INDEX('Price History'!Q:Q,MATCH(9.99E+307,'Returns (Calc)'!$A:$A)+1)-'Price History'!Q3)*(ROW()-3)/(MATCH(9.99E+307,'Returns (Calc)'!$A:$A)-3),"")</f>
        <v>30.755696202531649</v>
      </c>
      <c r="AL73" s="143">
        <f>IFERROR('Price History'!R3+(INDEX('Price History'!R:R,MATCH(9.99E+307,'Returns (Calc)'!$A:$A)+1)-'Price History'!R3)*(ROW()-3)/(MATCH(9.99E+307,'Returns (Calc)'!$A:$A)-3),"")</f>
        <v>46.247088607594932</v>
      </c>
      <c r="AM73" s="143">
        <f>IFERROR('Price History'!S3+(INDEX('Price History'!S:S,MATCH(9.99E+307,'Returns (Calc)'!$A:$A)+1)-'Price History'!S3)*(ROW()-3)/(MATCH(9.99E+307,'Returns (Calc)'!$A:$A)-3),"")</f>
        <v>99.98443037974684</v>
      </c>
      <c r="AN73" s="143">
        <f>IFERROR('Price History'!T3+(INDEX('Price History'!T:T,MATCH(9.99E+307,'Returns (Calc)'!$A:$A)+1)-'Price History'!T3)*(ROW()-3)/(MATCH(9.99E+307,'Returns (Calc)'!$A:$A)-3),"")</f>
        <v>37.015949367088609</v>
      </c>
      <c r="AO73" s="144">
        <f>IFERROR('Price History'!V3+(INDEX('Price History'!V:V,MATCH(9.99E+307,'Returns (Calc)'!$A:$A)+1)-'Price History'!V3)*(ROW()-3)/(MATCH(9.99E+307,'Returns (Calc)'!$A:$A)-3),"")</f>
        <v>291.02303797468358</v>
      </c>
      <c r="AP73" s="142">
        <f>IFERROR(IF(OR(NOT(ISNUMBER('Price History'!W74)),NOT(ISNUMBER('Price History'!W73)),'Price History'!W73=0),"",'Price History'!W74/'Price History'!W73-1),"")</f>
        <v>1.0388580491673238E-2</v>
      </c>
      <c r="AQ73" s="142" t="str">
        <f>IFERROR(IF(OR(NOT(ISNUMBER('Price History'!X74)),NOT(ISNUMBER('Price History'!X73)),'Price History'!X73=0),"",'Price History'!X74/'Price History'!X73-1),"")</f>
        <v/>
      </c>
      <c r="AR73" s="142">
        <f>IFERROR(IF(OR(NOT(ISNUMBER('Price History'!Y74)),NOT(ISNUMBER('Price History'!Y73)),'Price History'!Y73=0),"",'Price History'!Y74/'Price History'!Y73-1),"")</f>
        <v>1.0252365930599527E-2</v>
      </c>
      <c r="AS73" s="142">
        <f>IFERROR(IF(OR(NOT(ISNUMBER('Price History'!Z74)),NOT(ISNUMBER('Price History'!Z73)),'Price History'!Z73=0),"",'Price History'!Z74/'Price History'!Z73-1),"")</f>
        <v>7.6053386278402968E-2</v>
      </c>
      <c r="AT73" s="142">
        <f>IFERROR(IF(OR(NOT(ISNUMBER('Price History'!AA74)),NOT(ISNUMBER('Price History'!AA73)),'Price History'!AA73=0),"",'Price History'!AA74/'Price History'!AA73-1),"")</f>
        <v>0.13926115837315001</v>
      </c>
    </row>
    <row r="74" spans="1:46" ht="15" customHeight="1" x14ac:dyDescent="0.35">
      <c r="A74" s="140">
        <f>IF('Price History'!A75="","",'Price History'!A75)</f>
        <v>45688</v>
      </c>
      <c r="B74" s="141">
        <f>IFERROR(IF(OR(NOT(ISNUMBER('Price History'!B75)),NOT(ISNUMBER('Price History'!B74)),'Price History'!B74=0),"",'Price History'!B75/'Price History'!B74-1),"")</f>
        <v>4.7544673618447053E-3</v>
      </c>
      <c r="C74" s="141">
        <f>IFERROR(IF(OR(NOT(ISNUMBER('Price History'!C75)),NOT(ISNUMBER('Price History'!C74)),'Price History'!C74=0),"",'Price History'!C75/'Price History'!C74-1),"")</f>
        <v>-0.10791979561817744</v>
      </c>
      <c r="D74" s="141">
        <f>IFERROR(IF(OR(NOT(ISNUMBER('Price History'!D75)),NOT(ISNUMBER('Price History'!D74)),'Price History'!D74=0),"",'Price History'!D75/'Price History'!D74-1),"")</f>
        <v>9.6418923599084216E-3</v>
      </c>
      <c r="E74" s="141">
        <f>IFERROR(IF(OR(NOT(ISNUMBER('Price History'!E75)),NOT(ISNUMBER('Price History'!E74)),'Price History'!E74=0),"",'Price History'!E75/'Price History'!E74-1),"")</f>
        <v>-9.5737623351853429E-2</v>
      </c>
      <c r="F74" s="141">
        <f>IFERROR(IF(OR(NOT(ISNUMBER('Price History'!F75)),NOT(ISNUMBER('Price History'!F74)),'Price History'!F74=0),"",'Price History'!F75/'Price History'!F74-1),"")</f>
        <v>6.1773178278032637E-2</v>
      </c>
      <c r="G74" s="141">
        <f>IFERROR(IF(OR(NOT(ISNUMBER('Price History'!G75)),NOT(ISNUMBER('Price History'!G74)),'Price History'!G74=0),"",'Price History'!G75/'Price History'!G74-1),"")</f>
        <v>-1.5390846496557087E-2</v>
      </c>
      <c r="H74" s="141">
        <f>IFERROR(IF(OR(NOT(ISNUMBER('Price History'!H75)),NOT(ISNUMBER('Price History'!H74)),'Price History'!H74=0),"",'Price History'!H75/'Price History'!H74-1),"")</f>
        <v>-0.11577001653857388</v>
      </c>
      <c r="I74" s="141">
        <f>IFERROR(IF(OR(NOT(ISNUMBER('Price History'!I75)),NOT(ISNUMBER('Price History'!I74)),'Price History'!I74=0),"",'Price History'!I75/'Price History'!I74-1),"")</f>
        <v>-0.15810193321616872</v>
      </c>
      <c r="J74" s="141">
        <f>IFERROR(IF(OR(NOT(ISNUMBER('Price History'!J75)),NOT(ISNUMBER('Price History'!J74)),'Price History'!J74=0),"",'Price History'!J75/'Price History'!J74-1),"")</f>
        <v>2.6735585063721867E-3</v>
      </c>
      <c r="K74" s="141">
        <f>IFERROR(IF(OR(NOT(ISNUMBER('Price History'!K75)),NOT(ISNUMBER('Price History'!K74)),'Price History'!K74=0),"",'Price History'!K75/'Price History'!K74-1),"")</f>
        <v>4.4441630792605658E-2</v>
      </c>
      <c r="L74" s="141">
        <f>IFERROR(IF(OR(NOT(ISNUMBER('Price History'!L75)),NOT(ISNUMBER('Price History'!L74)),'Price History'!L74=0),"",'Price History'!L75/'Price History'!L74-1),"")</f>
        <v>-5.6578583924132175E-2</v>
      </c>
      <c r="M74" s="141">
        <f>IFERROR(IF(OR(NOT(ISNUMBER('Price History'!M75)),NOT(ISNUMBER('Price History'!M74)),'Price History'!M74=0),"",'Price History'!M75/'Price History'!M74-1),"")</f>
        <v>-0.20026025614683929</v>
      </c>
      <c r="N74" s="141">
        <f>IFERROR(IF(OR(NOT(ISNUMBER('Price History'!N75)),NOT(ISNUMBER('Price History'!N74)),'Price History'!N74=0),"",'Price History'!N75/'Price History'!N74-1),"")</f>
        <v>5.0179700650561765E-2</v>
      </c>
      <c r="O74" s="141">
        <f>IFERROR(IF(OR(NOT(ISNUMBER('Price History'!O75)),NOT(ISNUMBER('Price History'!O74)),'Price History'!O74=0),"",'Price History'!O75/'Price History'!O74-1),"")</f>
        <v>-1.5118790496760237E-2</v>
      </c>
      <c r="P74" s="141">
        <f>IFERROR(IF(OR(NOT(ISNUMBER('Price History'!P75)),NOT(ISNUMBER('Price History'!P74)),'Price History'!P74=0),"",'Price History'!P75/'Price History'!P74-1),"")</f>
        <v>-2.5965850971751969E-3</v>
      </c>
      <c r="Q74" s="141">
        <f>IFERROR(IF(OR(NOT(ISNUMBER('Price History'!Q75)),NOT(ISNUMBER('Price History'!Q74)),'Price History'!Q74=0),"",'Price History'!Q75/'Price History'!Q74-1),"")</f>
        <v>-8.6179380785189608E-3</v>
      </c>
      <c r="R74" s="141">
        <f>IFERROR(IF(OR(NOT(ISNUMBER('Price History'!R75)),NOT(ISNUMBER('Price History'!R74)),'Price History'!R74=0),"",'Price History'!R75/'Price History'!R74-1),"")</f>
        <v>-1.0309278350515538E-2</v>
      </c>
      <c r="S74" s="141">
        <f>IFERROR(IF(OR(NOT(ISNUMBER('Price History'!S75)),NOT(ISNUMBER('Price History'!S74)),'Price History'!S74=0),"",'Price History'!S75/'Price History'!S74-1),"")</f>
        <v>-1.2708896227359268E-2</v>
      </c>
      <c r="T74" s="141">
        <f>IFERROR(IF(OR(NOT(ISNUMBER('Price History'!T75)),NOT(ISNUMBER('Price History'!T74)),'Price History'!T74=0),"",'Price History'!T75/'Price History'!T74-1),"")</f>
        <v>-1.0271041369472211E-2</v>
      </c>
      <c r="U74" s="141">
        <f>IFERROR(IF(OR(NOT(ISNUMBER('Price History'!U75)),NOT(ISNUMBER('Price History'!U74)),'Price History'!U74=0),"",'Price History'!U75/'Price History'!U74-1),"")</f>
        <v>-8.3459787556904308E-3</v>
      </c>
      <c r="V74" s="142">
        <f>IFERROR(IF(OR(NOT(ISNUMBER('Price History'!V75)),NOT(ISNUMBER('Price History'!V74)),'Price History'!V74=0),"",'Price History'!V75/'Price History'!V74-1),"")</f>
        <v>3.5132398514927443E-2</v>
      </c>
      <c r="W74" s="143">
        <f>IFERROR('Price History'!B3+(INDEX('Price History'!B:B,MATCH(9.99E+307,'Returns (Calc)'!$A:$A)+1)-'Price History'!B3)*(ROW()-3)/(MATCH(9.99E+307,'Returns (Calc)'!$A:$A)-3),"")</f>
        <v>398.03430379746834</v>
      </c>
      <c r="X74" s="143">
        <f>IFERROR('Price History'!C3+(INDEX('Price History'!C:C,MATCH(9.99E+307,'Returns (Calc)'!$A:$A)+1)-'Price History'!C3)*(ROW()-3)/(MATCH(9.99E+307,'Returns (Calc)'!$A:$A)-3),"")</f>
        <v>118.60449367088609</v>
      </c>
      <c r="Y74" s="143">
        <f>IFERROR('Price History'!D3+(INDEX('Price History'!D:D,MATCH(9.99E+307,'Returns (Calc)'!$A:$A)+1)-'Price History'!D3)*(ROW()-3)/(MATCH(9.99E+307,'Returns (Calc)'!$A:$A)-3),"")</f>
        <v>1159.581518987342</v>
      </c>
      <c r="Z74" s="143">
        <f>IFERROR('Price History'!E3+(INDEX('Price History'!E:E,MATCH(9.99E+307,'Returns (Calc)'!$A:$A)+1)-'Price History'!E3)*(ROW()-3)/(MATCH(9.99E+307,'Returns (Calc)'!$A:$A)-3),"")</f>
        <v>204.74012658227849</v>
      </c>
      <c r="AA74" s="143">
        <f>IFERROR('Price History'!F3+(INDEX('Price History'!F:F,MATCH(9.99E+307,'Returns (Calc)'!$A:$A)+1)-'Price History'!F3)*(ROW()-3)/(MATCH(9.99E+307,'Returns (Calc)'!$A:$A)-3),"")</f>
        <v>144.12126582278481</v>
      </c>
      <c r="AB74" s="143">
        <f>IFERROR('Price History'!G3+(INDEX('Price History'!G:G,MATCH(9.99E+307,'Returns (Calc)'!$A:$A)+1)-'Price History'!G3)*(ROW()-3)/(MATCH(9.99E+307,'Returns (Calc)'!$A:$A)-3),"")</f>
        <v>117.39012658227847</v>
      </c>
      <c r="AC74" s="143">
        <f>IFERROR('Price History'!H3+(INDEX('Price History'!H:H,MATCH(9.99E+307,'Returns (Calc)'!$A:$A)+1)-'Price History'!H3)*(ROW()-3)/(MATCH(9.99E+307,'Returns (Calc)'!$A:$A)-3),"")</f>
        <v>521.0744303797469</v>
      </c>
      <c r="AD74" s="143">
        <f>IFERROR('Price History'!I3+(INDEX('Price History'!I:I,MATCH(9.99E+307,'Returns (Calc)'!$A:$A)+1)-'Price History'!I3)*(ROW()-3)/(MATCH(9.99E+307,'Returns (Calc)'!$A:$A)-3),"")</f>
        <v>129.23063291139241</v>
      </c>
      <c r="AE74" s="143">
        <f>IFERROR('Price History'!J3+(INDEX('Price History'!J:J,MATCH(9.99E+307,'Returns (Calc)'!$A:$A)+1)-'Price History'!J3)*(ROW()-3)/(MATCH(9.99E+307,'Returns (Calc)'!$A:$A)-3),"")</f>
        <v>119.51069620253165</v>
      </c>
      <c r="AF74" s="143">
        <f>IFERROR('Price History'!K3+(INDEX('Price History'!K:K,MATCH(9.99E+307,'Returns (Calc)'!$A:$A)+1)-'Price History'!K3)*(ROW()-3)/(MATCH(9.99E+307,'Returns (Calc)'!$A:$A)-3),"")</f>
        <v>93.259240506329107</v>
      </c>
      <c r="AG74" s="143">
        <f>IFERROR('Price History'!L3+(INDEX('Price History'!L:L,MATCH(9.99E+307,'Returns (Calc)'!$A:$A)+1)-'Price History'!L3)*(ROW()-3)/(MATCH(9.99E+307,'Returns (Calc)'!$A:$A)-3),"")</f>
        <v>259.66854430379749</v>
      </c>
      <c r="AH74" s="143">
        <f>IFERROR('Price History'!M3+(INDEX('Price History'!M:M,MATCH(9.99E+307,'Returns (Calc)'!$A:$A)+1)-'Price History'!M3)*(ROW()-3)/(MATCH(9.99E+307,'Returns (Calc)'!$A:$A)-3),"")</f>
        <v>134.25645569620255</v>
      </c>
      <c r="AI74" s="143">
        <f>IFERROR('Price History'!N3+(INDEX('Price History'!N:N,MATCH(9.99E+307,'Returns (Calc)'!$A:$A)+1)-'Price History'!N3)*(ROW()-3)/(MATCH(9.99E+307,'Returns (Calc)'!$A:$A)-3),"")</f>
        <v>418.92487341772153</v>
      </c>
      <c r="AJ74" s="143">
        <f>IFERROR('Price History'!O3+(INDEX('Price History'!O:O,MATCH(9.99E+307,'Returns (Calc)'!$A:$A)+1)-'Price History'!O3)*(ROW()-3)/(MATCH(9.99E+307,'Returns (Calc)'!$A:$A)-3),"")</f>
        <v>95.405696202531644</v>
      </c>
      <c r="AK74" s="143">
        <f>IFERROR('Price History'!Q3+(INDEX('Price History'!Q:Q,MATCH(9.99E+307,'Returns (Calc)'!$A:$A)+1)-'Price History'!Q3)*(ROW()-3)/(MATCH(9.99E+307,'Returns (Calc)'!$A:$A)-3),"")</f>
        <v>31.195063291139238</v>
      </c>
      <c r="AL74" s="143">
        <f>IFERROR('Price History'!R3+(INDEX('Price History'!R:R,MATCH(9.99E+307,'Returns (Calc)'!$A:$A)+1)-'Price History'!R3)*(ROW()-3)/(MATCH(9.99E+307,'Returns (Calc)'!$A:$A)-3),"")</f>
        <v>46.415189873417717</v>
      </c>
      <c r="AM74" s="143">
        <f>IFERROR('Price History'!S3+(INDEX('Price History'!S:S,MATCH(9.99E+307,'Returns (Calc)'!$A:$A)+1)-'Price History'!S3)*(ROW()-3)/(MATCH(9.99E+307,'Returns (Calc)'!$A:$A)-3),"")</f>
        <v>100.58949367088607</v>
      </c>
      <c r="AN74" s="143">
        <f>IFERROR('Price History'!T3+(INDEX('Price History'!T:T,MATCH(9.99E+307,'Returns (Calc)'!$A:$A)+1)-'Price History'!T3)*(ROW()-3)/(MATCH(9.99E+307,'Returns (Calc)'!$A:$A)-3),"")</f>
        <v>37.184177215189877</v>
      </c>
      <c r="AO74" s="144">
        <f>IFERROR('Price History'!V3+(INDEX('Price History'!V:V,MATCH(9.99E+307,'Returns (Calc)'!$A:$A)+1)-'Price History'!V3)*(ROW()-3)/(MATCH(9.99E+307,'Returns (Calc)'!$A:$A)-3),"")</f>
        <v>291.81436708860758</v>
      </c>
      <c r="AP74" s="142">
        <f>IFERROR(IF(OR(NOT(ISNUMBER('Price History'!W75)),NOT(ISNUMBER('Price History'!W74)),'Price History'!W74=0),"",'Price History'!W75/'Price History'!W74-1),"")</f>
        <v>-5.2586139235538676E-3</v>
      </c>
      <c r="AQ74" s="142" t="str">
        <f>IFERROR(IF(OR(NOT(ISNUMBER('Price History'!X75)),NOT(ISNUMBER('Price History'!X74)),'Price History'!X74=0),"",'Price History'!X75/'Price History'!X74-1),"")</f>
        <v/>
      </c>
      <c r="AR74" s="142">
        <f>IFERROR(IF(OR(NOT(ISNUMBER('Price History'!Y75)),NOT(ISNUMBER('Price History'!Y74)),'Price History'!Y74=0),"",'Price History'!Y75/'Price History'!Y74-1),"")</f>
        <v>-2.1467603434816018E-3</v>
      </c>
      <c r="AS74" s="142">
        <f>IFERROR(IF(OR(NOT(ISNUMBER('Price History'!Z75)),NOT(ISNUMBER('Price History'!Z74)),'Price History'!Z74=0),"",'Price History'!Z75/'Price History'!Z74-1),"")</f>
        <v>3.4647122136230779E-2</v>
      </c>
      <c r="AT74" s="142">
        <f>IFERROR(IF(OR(NOT(ISNUMBER('Price History'!AA75)),NOT(ISNUMBER('Price History'!AA74)),'Price History'!AA74=0),"",'Price History'!AA75/'Price History'!AA74-1),"")</f>
        <v>-8.1833060556457671E-4</v>
      </c>
    </row>
    <row r="75" spans="1:46" ht="15" customHeight="1" x14ac:dyDescent="0.35">
      <c r="A75" s="140">
        <f>IF('Price History'!A76="","",'Price History'!A76)</f>
        <v>45695</v>
      </c>
      <c r="B75" s="141">
        <f>IFERROR(IF(OR(NOT(ISNUMBER('Price History'!B76)),NOT(ISNUMBER('Price History'!B75)),'Price History'!B75=0),"",'Price History'!B76/'Price History'!B75-1),"")</f>
        <v>-1.0012572865470304E-2</v>
      </c>
      <c r="C75" s="141">
        <f>IFERROR(IF(OR(NOT(ISNUMBER('Price History'!C76)),NOT(ISNUMBER('Price History'!C75)),'Price History'!C75=0),"",'Price History'!C76/'Price History'!C75-1),"")</f>
        <v>2.8117677688102027E-2</v>
      </c>
      <c r="D75" s="141">
        <f>IFERROR(IF(OR(NOT(ISNUMBER('Price History'!D76)),NOT(ISNUMBER('Price History'!D75)),'Price History'!D75=0),"",'Price History'!D76/'Price History'!D75-1),"")</f>
        <v>-1.5696820844938952E-2</v>
      </c>
      <c r="E75" s="141">
        <f>IFERROR(IF(OR(NOT(ISNUMBER('Price History'!E76)),NOT(ISNUMBER('Price History'!E75)),'Price History'!E75=0),"",'Price History'!E76/'Price History'!E75-1),"")</f>
        <v>1.6231830895501842E-2</v>
      </c>
      <c r="F75" s="141">
        <f>IFERROR(IF(OR(NOT(ISNUMBER('Price History'!F76)),NOT(ISNUMBER('Price History'!F75)),'Price History'!F75=0),"",'Price History'!F76/'Price History'!F75-1),"")</f>
        <v>5.9083601286173737E-2</v>
      </c>
      <c r="G75" s="141">
        <f>IFERROR(IF(OR(NOT(ISNUMBER('Price History'!G76)),NOT(ISNUMBER('Price History'!G75)),'Price History'!G75=0),"",'Price History'!G76/'Price History'!G75-1),"")</f>
        <v>1.2751953928424431E-2</v>
      </c>
      <c r="H75" s="141">
        <f>IFERROR(IF(OR(NOT(ISNUMBER('Price History'!H76)),NOT(ISNUMBER('Price History'!H75)),'Price History'!H75=0),"",'Price History'!H76/'Price History'!H75-1),"")</f>
        <v>1.1662449114314022E-2</v>
      </c>
      <c r="I75" s="141">
        <f>IFERROR(IF(OR(NOT(ISNUMBER('Price History'!I76)),NOT(ISNUMBER('Price History'!I75)),'Price History'!I75=0),"",'Price History'!I76/'Price History'!I75-1),"")</f>
        <v>8.1329325317301304E-2</v>
      </c>
      <c r="J75" s="141">
        <f>IFERROR(IF(OR(NOT(ISNUMBER('Price History'!J76)),NOT(ISNUMBER('Price History'!J75)),'Price History'!J75=0),"",'Price History'!J76/'Price History'!J75-1),"")</f>
        <v>-1.5909696915829774E-2</v>
      </c>
      <c r="K75" s="141">
        <f>IFERROR(IF(OR(NOT(ISNUMBER('Price History'!K76)),NOT(ISNUMBER('Price History'!K75)),'Price History'!K75=0),"",'Price History'!K76/'Price History'!K75-1),"")</f>
        <v>0.34379924839374465</v>
      </c>
      <c r="L75" s="141">
        <f>IFERROR(IF(OR(NOT(ISNUMBER('Price History'!L76)),NOT(ISNUMBER('Price History'!L75)),'Price History'!L75=0),"",'Price History'!L76/'Price History'!L75-1),"")</f>
        <v>-1.532230517737776E-2</v>
      </c>
      <c r="M75" s="141">
        <f>IFERROR(IF(OR(NOT(ISNUMBER('Price History'!M76)),NOT(ISNUMBER('Price History'!M75)),'Price History'!M75=0),"",'Price History'!M76/'Price History'!M75-1),"")</f>
        <v>3.7252719020296476E-2</v>
      </c>
      <c r="N75" s="141">
        <f>IFERROR(IF(OR(NOT(ISNUMBER('Price History'!N76)),NOT(ISNUMBER('Price History'!N75)),'Price History'!N75=0),"",'Price History'!N76/'Price History'!N75-1),"")</f>
        <v>1.6548258534049509E-2</v>
      </c>
      <c r="O75" s="141">
        <f>IFERROR(IF(OR(NOT(ISNUMBER('Price History'!O76)),NOT(ISNUMBER('Price History'!O75)),'Price History'!O75=0),"",'Price History'!O76/'Price History'!O75-1),"")</f>
        <v>-1.1591478696741819E-2</v>
      </c>
      <c r="P75" s="141">
        <f>IFERROR(IF(OR(NOT(ISNUMBER('Price History'!P76)),NOT(ISNUMBER('Price History'!P75)),'Price History'!P75=0),"",'Price History'!P76/'Price History'!P75-1),"")</f>
        <v>-4.8122436099715671E-3</v>
      </c>
      <c r="Q75" s="141">
        <f>IFERROR(IF(OR(NOT(ISNUMBER('Price History'!Q76)),NOT(ISNUMBER('Price History'!Q75)),'Price History'!Q75=0),"",'Price History'!Q76/'Price History'!Q75-1),"")</f>
        <v>-6.4391500321958617E-4</v>
      </c>
      <c r="R75" s="141">
        <f>IFERROR(IF(OR(NOT(ISNUMBER('Price History'!R76)),NOT(ISNUMBER('Price History'!R75)),'Price History'!R75=0),"",'Price History'!R76/'Price History'!R75-1),"")</f>
        <v>2.5510204081631294E-3</v>
      </c>
      <c r="S75" s="141">
        <f>IFERROR(IF(OR(NOT(ISNUMBER('Price History'!S76)),NOT(ISNUMBER('Price History'!S75)),'Price History'!S75=0),"",'Price History'!S76/'Price History'!S75-1),"")</f>
        <v>1.9866207176160611E-2</v>
      </c>
      <c r="T75" s="141">
        <f>IFERROR(IF(OR(NOT(ISNUMBER('Price History'!T76)),NOT(ISNUMBER('Price History'!T75)),'Price History'!T75=0),"",'Price History'!T76/'Price History'!T75-1),"")</f>
        <v>-7.4949553185355011E-3</v>
      </c>
      <c r="U75" s="141">
        <f>IFERROR(IF(OR(NOT(ISNUMBER('Price History'!U76)),NOT(ISNUMBER('Price History'!U75)),'Price History'!U75=0),"",'Price History'!U76/'Price History'!U75-1),"")</f>
        <v>-9.9464422341239977E-3</v>
      </c>
      <c r="V75" s="142">
        <f>IFERROR(IF(OR(NOT(ISNUMBER('Price History'!V76)),NOT(ISNUMBER('Price History'!V75)),'Price History'!V75=0),"",'Price History'!V76/'Price History'!V75-1),"")</f>
        <v>1.820014228124256E-2</v>
      </c>
      <c r="W75" s="143">
        <f>IFERROR('Price History'!B3+(INDEX('Price History'!B:B,MATCH(9.99E+307,'Returns (Calc)'!$A:$A)+1)-'Price History'!B3)*(ROW()-3)/(MATCH(9.99E+307,'Returns (Calc)'!$A:$A)-3),"")</f>
        <v>396.19126582278477</v>
      </c>
      <c r="X75" s="143">
        <f>IFERROR('Price History'!C3+(INDEX('Price History'!C:C,MATCH(9.99E+307,'Returns (Calc)'!$A:$A)+1)-'Price History'!C3)*(ROW()-3)/(MATCH(9.99E+307,'Returns (Calc)'!$A:$A)-3),"")</f>
        <v>119.62455696202531</v>
      </c>
      <c r="Y75" s="143">
        <f>IFERROR('Price History'!D3+(INDEX('Price History'!D:D,MATCH(9.99E+307,'Returns (Calc)'!$A:$A)+1)-'Price History'!D3)*(ROW()-3)/(MATCH(9.99E+307,'Returns (Calc)'!$A:$A)-3),"")</f>
        <v>1167.7163291139241</v>
      </c>
      <c r="Z75" s="143">
        <f>IFERROR('Price History'!E3+(INDEX('Price History'!E:E,MATCH(9.99E+307,'Returns (Calc)'!$A:$A)+1)-'Price History'!E3)*(ROW()-3)/(MATCH(9.99E+307,'Returns (Calc)'!$A:$A)-3),"")</f>
        <v>206.46886075949368</v>
      </c>
      <c r="AA75" s="143">
        <f>IFERROR('Price History'!F3+(INDEX('Price History'!F:F,MATCH(9.99E+307,'Returns (Calc)'!$A:$A)+1)-'Price History'!F3)*(ROW()-3)/(MATCH(9.99E+307,'Returns (Calc)'!$A:$A)-3),"")</f>
        <v>145.56860759493671</v>
      </c>
      <c r="AB75" s="143">
        <f>IFERROR('Price History'!G3+(INDEX('Price History'!G:G,MATCH(9.99E+307,'Returns (Calc)'!$A:$A)+1)-'Price History'!G3)*(ROW()-3)/(MATCH(9.99E+307,'Returns (Calc)'!$A:$A)-3),"")</f>
        <v>118.41886075949367</v>
      </c>
      <c r="AC75" s="143">
        <f>IFERROR('Price History'!H3+(INDEX('Price History'!H:H,MATCH(9.99E+307,'Returns (Calc)'!$A:$A)+1)-'Price History'!H3)*(ROW()-3)/(MATCH(9.99E+307,'Returns (Calc)'!$A:$A)-3),"")</f>
        <v>527.44012658227848</v>
      </c>
      <c r="AD75" s="143">
        <f>IFERROR('Price History'!I3+(INDEX('Price History'!I:I,MATCH(9.99E+307,'Returns (Calc)'!$A:$A)+1)-'Price History'!I3)*(ROW()-3)/(MATCH(9.99E+307,'Returns (Calc)'!$A:$A)-3),"")</f>
        <v>130.43430379746835</v>
      </c>
      <c r="AE75" s="143">
        <f>IFERROR('Price History'!J3+(INDEX('Price History'!J:J,MATCH(9.99E+307,'Returns (Calc)'!$A:$A)+1)-'Price History'!J3)*(ROW()-3)/(MATCH(9.99E+307,'Returns (Calc)'!$A:$A)-3),"")</f>
        <v>119.61873417721519</v>
      </c>
      <c r="AF75" s="143">
        <f>IFERROR('Price History'!K3+(INDEX('Price History'!K:K,MATCH(9.99E+307,'Returns (Calc)'!$A:$A)+1)-'Price History'!K3)*(ROW()-3)/(MATCH(9.99E+307,'Returns (Calc)'!$A:$A)-3),"")</f>
        <v>94.356835443037966</v>
      </c>
      <c r="AG75" s="143">
        <f>IFERROR('Price History'!L3+(INDEX('Price History'!L:L,MATCH(9.99E+307,'Returns (Calc)'!$A:$A)+1)-'Price History'!L3)*(ROW()-3)/(MATCH(9.99E+307,'Returns (Calc)'!$A:$A)-3),"")</f>
        <v>262.11810126582276</v>
      </c>
      <c r="AH75" s="143">
        <f>IFERROR('Price History'!M3+(INDEX('Price History'!M:M,MATCH(9.99E+307,'Returns (Calc)'!$A:$A)+1)-'Price History'!M3)*(ROW()-3)/(MATCH(9.99E+307,'Returns (Calc)'!$A:$A)-3),"")</f>
        <v>135.61189873417723</v>
      </c>
      <c r="AI75" s="143">
        <f>IFERROR('Price History'!N3+(INDEX('Price History'!N:N,MATCH(9.99E+307,'Returns (Calc)'!$A:$A)+1)-'Price History'!N3)*(ROW()-3)/(MATCH(9.99E+307,'Returns (Calc)'!$A:$A)-3),"")</f>
        <v>419.91113924050632</v>
      </c>
      <c r="AJ75" s="143">
        <f>IFERROR('Price History'!O3+(INDEX('Price History'!O:O,MATCH(9.99E+307,'Returns (Calc)'!$A:$A)+1)-'Price History'!O3)*(ROW()-3)/(MATCH(9.99E+307,'Returns (Calc)'!$A:$A)-3),"")</f>
        <v>95.688734177215196</v>
      </c>
      <c r="AK75" s="143">
        <f>IFERROR('Price History'!Q3+(INDEX('Price History'!Q:Q,MATCH(9.99E+307,'Returns (Calc)'!$A:$A)+1)-'Price History'!Q3)*(ROW()-3)/(MATCH(9.99E+307,'Returns (Calc)'!$A:$A)-3),"")</f>
        <v>31.634430379746835</v>
      </c>
      <c r="AL75" s="143">
        <f>IFERROR('Price History'!R3+(INDEX('Price History'!R:R,MATCH(9.99E+307,'Returns (Calc)'!$A:$A)+1)-'Price History'!R3)*(ROW()-3)/(MATCH(9.99E+307,'Returns (Calc)'!$A:$A)-3),"")</f>
        <v>46.583291139240501</v>
      </c>
      <c r="AM75" s="143">
        <f>IFERROR('Price History'!S3+(INDEX('Price History'!S:S,MATCH(9.99E+307,'Returns (Calc)'!$A:$A)+1)-'Price History'!S3)*(ROW()-3)/(MATCH(9.99E+307,'Returns (Calc)'!$A:$A)-3),"")</f>
        <v>101.19455696202532</v>
      </c>
      <c r="AN75" s="143">
        <f>IFERROR('Price History'!T3+(INDEX('Price History'!T:T,MATCH(9.99E+307,'Returns (Calc)'!$A:$A)+1)-'Price History'!T3)*(ROW()-3)/(MATCH(9.99E+307,'Returns (Calc)'!$A:$A)-3),"")</f>
        <v>37.352405063291137</v>
      </c>
      <c r="AO75" s="144">
        <f>IFERROR('Price History'!V3+(INDEX('Price History'!V:V,MATCH(9.99E+307,'Returns (Calc)'!$A:$A)+1)-'Price History'!V3)*(ROW()-3)/(MATCH(9.99E+307,'Returns (Calc)'!$A:$A)-3),"")</f>
        <v>292.60569620253165</v>
      </c>
      <c r="AP75" s="142">
        <f>IFERROR(IF(OR(NOT(ISNUMBER('Price History'!W76)),NOT(ISNUMBER('Price History'!W75)),'Price History'!W75=0),"",'Price History'!W76/'Price History'!W75-1),"")</f>
        <v>-3.1560675398445426E-4</v>
      </c>
      <c r="AQ75" s="142" t="str">
        <f>IFERROR(IF(OR(NOT(ISNUMBER('Price History'!X76)),NOT(ISNUMBER('Price History'!X75)),'Price History'!X75=0),"",'Price History'!X76/'Price History'!X75-1),"")</f>
        <v/>
      </c>
      <c r="AR75" s="142">
        <f>IFERROR(IF(OR(NOT(ISNUMBER('Price History'!Y76)),NOT(ISNUMBER('Price History'!Y75)),'Price History'!Y75=0),"",'Price History'!Y76/'Price History'!Y75-1),"")</f>
        <v>2.3469587326421237E-3</v>
      </c>
      <c r="AS75" s="142">
        <f>IFERROR(IF(OR(NOT(ISNUMBER('Price History'!Z76)),NOT(ISNUMBER('Price History'!Z75)),'Price History'!Z75=0),"",'Price History'!Z76/'Price History'!Z75-1),"")</f>
        <v>8.4212612077079196E-3</v>
      </c>
      <c r="AT75" s="142">
        <f>IFERROR(IF(OR(NOT(ISNUMBER('Price History'!AA76)),NOT(ISNUMBER('Price History'!AA75)),'Price History'!AA75=0),"",'Price History'!AA76/'Price History'!AA75-1),"")</f>
        <v>3.798116298116283E-2</v>
      </c>
    </row>
    <row r="76" spans="1:46" ht="15" customHeight="1" x14ac:dyDescent="0.35">
      <c r="A76" s="140">
        <f>IF('Price History'!A77="","",'Price History'!A77)</f>
        <v>45702</v>
      </c>
      <c r="B76" s="141">
        <f>IFERROR(IF(OR(NOT(ISNUMBER('Price History'!B77)),NOT(ISNUMBER('Price History'!B76)),'Price History'!B76=0),"",'Price History'!B77/'Price History'!B76-1),"")</f>
        <v>6.2553397834068436E-2</v>
      </c>
      <c r="C76" s="141">
        <f>IFERROR(IF(OR(NOT(ISNUMBER('Price History'!C77)),NOT(ISNUMBER('Price History'!C76)),'Price History'!C76=0),"",'Price History'!C77/'Price History'!C76-1),"")</f>
        <v>-9.7915083987507368E-2</v>
      </c>
      <c r="D76" s="141">
        <f>IFERROR(IF(OR(NOT(ISNUMBER('Price History'!D77)),NOT(ISNUMBER('Price History'!D76)),'Price History'!D76=0),"",'Price History'!D77/'Price History'!D76-1),"")</f>
        <v>3.4947098428983692E-2</v>
      </c>
      <c r="E76" s="141">
        <f>IFERROR(IF(OR(NOT(ISNUMBER('Price History'!E77)),NOT(ISNUMBER('Price History'!E76)),'Price History'!E76=0),"",'Price History'!E77/'Price History'!E76-1),"")</f>
        <v>3.6366917836033075E-2</v>
      </c>
      <c r="F76" s="141">
        <f>IFERROR(IF(OR(NOT(ISNUMBER('Price History'!F77)),NOT(ISNUMBER('Price History'!F76)),'Price History'!F76=0),"",'Price History'!F77/'Price History'!F76-1),"")</f>
        <v>7.1442125237191734E-2</v>
      </c>
      <c r="G76" s="141">
        <f>IFERROR(IF(OR(NOT(ISNUMBER('Price History'!G77)),NOT(ISNUMBER('Price History'!G76)),'Price History'!G76=0),"",'Price History'!G77/'Price History'!G76-1),"")</f>
        <v>4.0617384240455578E-3</v>
      </c>
      <c r="H76" s="141">
        <f>IFERROR(IF(OR(NOT(ISNUMBER('Price History'!H77)),NOT(ISNUMBER('Price History'!H76)),'Price History'!H76=0),"",'Price History'!H77/'Price History'!H76-1),"")</f>
        <v>7.8194671016857065E-2</v>
      </c>
      <c r="I76" s="141">
        <f>IFERROR(IF(OR(NOT(ISNUMBER('Price History'!I77)),NOT(ISNUMBER('Price History'!I76)),'Price History'!I76=0),"",'Price History'!I77/'Price History'!I76-1),"")</f>
        <v>6.9420849420849473E-2</v>
      </c>
      <c r="J76" s="141">
        <f>IFERROR(IF(OR(NOT(ISNUMBER('Price History'!J77)),NOT(ISNUMBER('Price History'!J76)),'Price History'!J76=0),"",'Price History'!J77/'Price History'!J76-1),"")</f>
        <v>2.980491329479773E-2</v>
      </c>
      <c r="K76" s="141">
        <f>IFERROR(IF(OR(NOT(ISNUMBER('Price History'!K77)),NOT(ISNUMBER('Price History'!K76)),'Price History'!K76=0),"",'Price History'!K77/'Price History'!K76-1),"")</f>
        <v>7.4966170500676554E-2</v>
      </c>
      <c r="L76" s="141">
        <f>IFERROR(IF(OR(NOT(ISNUMBER('Price History'!L77)),NOT(ISNUMBER('Price History'!L76)),'Price History'!L76=0),"",'Price History'!L77/'Price History'!L76-1),"")</f>
        <v>-1.0753753902571939E-2</v>
      </c>
      <c r="M76" s="141">
        <f>IFERROR(IF(OR(NOT(ISNUMBER('Price History'!M77)),NOT(ISNUMBER('Price History'!M76)),'Price History'!M76=0),"",'Price History'!M77/'Price History'!M76-1),"")</f>
        <v>-0.10980845442536336</v>
      </c>
      <c r="N76" s="141">
        <f>IFERROR(IF(OR(NOT(ISNUMBER('Price History'!N77)),NOT(ISNUMBER('Price History'!N76)),'Price History'!N76=0),"",'Price History'!N77/'Price History'!N76-1),"")</f>
        <v>-2.1989261058552811E-2</v>
      </c>
      <c r="O76" s="141">
        <f>IFERROR(IF(OR(NOT(ISNUMBER('Price History'!O77)),NOT(ISNUMBER('Price History'!O76)),'Price History'!O76=0),"",'Price History'!O77/'Price History'!O76-1),"")</f>
        <v>3.0639197041730792E-3</v>
      </c>
      <c r="P76" s="141">
        <f>IFERROR(IF(OR(NOT(ISNUMBER('Price History'!P77)),NOT(ISNUMBER('Price History'!P76)),'Price History'!P76=0),"",'Price History'!P77/'Price History'!P76-1),"")</f>
        <v>1.1969877130400208E-2</v>
      </c>
      <c r="Q76" s="141">
        <f>IFERROR(IF(OR(NOT(ISNUMBER('Price History'!Q77)),NOT(ISNUMBER('Price History'!Q76)),'Price History'!Q76=0),"",'Price History'!Q77/'Price History'!Q76-1),"")</f>
        <v>1.0470360824742286E-2</v>
      </c>
      <c r="R76" s="141">
        <f>IFERROR(IF(OR(NOT(ISNUMBER('Price History'!R77)),NOT(ISNUMBER('Price History'!R76)),'Price History'!R76=0),"",'Price History'!R77/'Price History'!R76-1),"")</f>
        <v>1.929601357082289E-2</v>
      </c>
      <c r="S76" s="141">
        <f>IFERROR(IF(OR(NOT(ISNUMBER('Price History'!S77)),NOT(ISNUMBER('Price History'!S76)),'Price History'!S76=0),"",'Price History'!S77/'Price History'!S76-1),"")</f>
        <v>1.0137149672033274E-2</v>
      </c>
      <c r="T76" s="141">
        <f>IFERROR(IF(OR(NOT(ISNUMBER('Price History'!T77)),NOT(ISNUMBER('Price History'!T76)),'Price History'!T76=0),"",'Price History'!T77/'Price History'!T76-1),"")</f>
        <v>1.1617775196050006E-2</v>
      </c>
      <c r="U76" s="141">
        <f>IFERROR(IF(OR(NOT(ISNUMBER('Price History'!U77)),NOT(ISNUMBER('Price History'!U76)),'Price History'!U76=0),"",'Price History'!U77/'Price History'!U76-1),"")</f>
        <v>8.5007727975270342E-3</v>
      </c>
      <c r="V76" s="142">
        <f>IFERROR(IF(OR(NOT(ISNUMBER('Price History'!V77)),NOT(ISNUMBER('Price History'!V76)),'Price History'!V76=0),"",'Price History'!V77/'Price History'!V76-1),"")</f>
        <v>1.8369723435225582E-2</v>
      </c>
      <c r="W76" s="143">
        <f>IFERROR('Price History'!B3+(INDEX('Price History'!B:B,MATCH(9.99E+307,'Returns (Calc)'!$A:$A)+1)-'Price History'!B3)*(ROW()-3)/(MATCH(9.99E+307,'Returns (Calc)'!$A:$A)-3),"")</f>
        <v>394.34822784810126</v>
      </c>
      <c r="X76" s="143">
        <f>IFERROR('Price History'!C3+(INDEX('Price History'!C:C,MATCH(9.99E+307,'Returns (Calc)'!$A:$A)+1)-'Price History'!C3)*(ROW()-3)/(MATCH(9.99E+307,'Returns (Calc)'!$A:$A)-3),"")</f>
        <v>120.64462025316456</v>
      </c>
      <c r="Y76" s="143">
        <f>IFERROR('Price History'!D3+(INDEX('Price History'!D:D,MATCH(9.99E+307,'Returns (Calc)'!$A:$A)+1)-'Price History'!D3)*(ROW()-3)/(MATCH(9.99E+307,'Returns (Calc)'!$A:$A)-3),"")</f>
        <v>1175.8511392405062</v>
      </c>
      <c r="Z76" s="143">
        <f>IFERROR('Price History'!E3+(INDEX('Price History'!E:E,MATCH(9.99E+307,'Returns (Calc)'!$A:$A)+1)-'Price History'!E3)*(ROW()-3)/(MATCH(9.99E+307,'Returns (Calc)'!$A:$A)-3),"")</f>
        <v>208.19759493670884</v>
      </c>
      <c r="AA76" s="143">
        <f>IFERROR('Price History'!F3+(INDEX('Price History'!F:F,MATCH(9.99E+307,'Returns (Calc)'!$A:$A)+1)-'Price History'!F3)*(ROW()-3)/(MATCH(9.99E+307,'Returns (Calc)'!$A:$A)-3),"")</f>
        <v>147.01594936708861</v>
      </c>
      <c r="AB76" s="143">
        <f>IFERROR('Price History'!G3+(INDEX('Price History'!G:G,MATCH(9.99E+307,'Returns (Calc)'!$A:$A)+1)-'Price History'!G3)*(ROW()-3)/(MATCH(9.99E+307,'Returns (Calc)'!$A:$A)-3),"")</f>
        <v>119.44759493670887</v>
      </c>
      <c r="AC76" s="143">
        <f>IFERROR('Price History'!H3+(INDEX('Price History'!H:H,MATCH(9.99E+307,'Returns (Calc)'!$A:$A)+1)-'Price History'!H3)*(ROW()-3)/(MATCH(9.99E+307,'Returns (Calc)'!$A:$A)-3),"")</f>
        <v>533.80582278481018</v>
      </c>
      <c r="AD76" s="143">
        <f>IFERROR('Price History'!I3+(INDEX('Price History'!I:I,MATCH(9.99E+307,'Returns (Calc)'!$A:$A)+1)-'Price History'!I3)*(ROW()-3)/(MATCH(9.99E+307,'Returns (Calc)'!$A:$A)-3),"")</f>
        <v>131.63797468354429</v>
      </c>
      <c r="AE76" s="143">
        <f>IFERROR('Price History'!J3+(INDEX('Price History'!J:J,MATCH(9.99E+307,'Returns (Calc)'!$A:$A)+1)-'Price History'!J3)*(ROW()-3)/(MATCH(9.99E+307,'Returns (Calc)'!$A:$A)-3),"")</f>
        <v>119.72677215189873</v>
      </c>
      <c r="AF76" s="143">
        <f>IFERROR('Price History'!K3+(INDEX('Price History'!K:K,MATCH(9.99E+307,'Returns (Calc)'!$A:$A)+1)-'Price History'!K3)*(ROW()-3)/(MATCH(9.99E+307,'Returns (Calc)'!$A:$A)-3),"")</f>
        <v>95.454430379746839</v>
      </c>
      <c r="AG76" s="143">
        <f>IFERROR('Price History'!L3+(INDEX('Price History'!L:L,MATCH(9.99E+307,'Returns (Calc)'!$A:$A)+1)-'Price History'!L3)*(ROW()-3)/(MATCH(9.99E+307,'Returns (Calc)'!$A:$A)-3),"")</f>
        <v>264.56765822784809</v>
      </c>
      <c r="AH76" s="143">
        <f>IFERROR('Price History'!M3+(INDEX('Price History'!M:M,MATCH(9.99E+307,'Returns (Calc)'!$A:$A)+1)-'Price History'!M3)*(ROW()-3)/(MATCH(9.99E+307,'Returns (Calc)'!$A:$A)-3),"")</f>
        <v>136.96734177215191</v>
      </c>
      <c r="AI76" s="143">
        <f>IFERROR('Price History'!N3+(INDEX('Price History'!N:N,MATCH(9.99E+307,'Returns (Calc)'!$A:$A)+1)-'Price History'!N3)*(ROW()-3)/(MATCH(9.99E+307,'Returns (Calc)'!$A:$A)-3),"")</f>
        <v>420.89740506329116</v>
      </c>
      <c r="AJ76" s="143">
        <f>IFERROR('Price History'!O3+(INDEX('Price History'!O:O,MATCH(9.99E+307,'Returns (Calc)'!$A:$A)+1)-'Price History'!O3)*(ROW()-3)/(MATCH(9.99E+307,'Returns (Calc)'!$A:$A)-3),"")</f>
        <v>95.971772151898733</v>
      </c>
      <c r="AK76" s="143">
        <f>IFERROR('Price History'!Q3+(INDEX('Price History'!Q:Q,MATCH(9.99E+307,'Returns (Calc)'!$A:$A)+1)-'Price History'!Q3)*(ROW()-3)/(MATCH(9.99E+307,'Returns (Calc)'!$A:$A)-3),"")</f>
        <v>32.073797468354428</v>
      </c>
      <c r="AL76" s="143">
        <f>IFERROR('Price History'!R3+(INDEX('Price History'!R:R,MATCH(9.99E+307,'Returns (Calc)'!$A:$A)+1)-'Price History'!R3)*(ROW()-3)/(MATCH(9.99E+307,'Returns (Calc)'!$A:$A)-3),"")</f>
        <v>46.751392405063285</v>
      </c>
      <c r="AM76" s="143">
        <f>IFERROR('Price History'!S3+(INDEX('Price History'!S:S,MATCH(9.99E+307,'Returns (Calc)'!$A:$A)+1)-'Price History'!S3)*(ROW()-3)/(MATCH(9.99E+307,'Returns (Calc)'!$A:$A)-3),"")</f>
        <v>101.79962025316456</v>
      </c>
      <c r="AN76" s="143">
        <f>IFERROR('Price History'!T3+(INDEX('Price History'!T:T,MATCH(9.99E+307,'Returns (Calc)'!$A:$A)+1)-'Price History'!T3)*(ROW()-3)/(MATCH(9.99E+307,'Returns (Calc)'!$A:$A)-3),"")</f>
        <v>37.520632911392404</v>
      </c>
      <c r="AO76" s="144">
        <f>IFERROR('Price History'!V3+(INDEX('Price History'!V:V,MATCH(9.99E+307,'Returns (Calc)'!$A:$A)+1)-'Price History'!V3)*(ROW()-3)/(MATCH(9.99E+307,'Returns (Calc)'!$A:$A)-3),"")</f>
        <v>293.39702531645571</v>
      </c>
      <c r="AP76" s="142">
        <f>IFERROR(IF(OR(NOT(ISNUMBER('Price History'!W77)),NOT(ISNUMBER('Price History'!W76)),'Price History'!W76=0),"",'Price History'!W77/'Price History'!W76-1),"")</f>
        <v>1.0970797158642576E-2</v>
      </c>
      <c r="AQ76" s="142" t="str">
        <f>IFERROR(IF(OR(NOT(ISNUMBER('Price History'!X77)),NOT(ISNUMBER('Price History'!X76)),'Price History'!X76=0),"",'Price History'!X77/'Price History'!X76-1),"")</f>
        <v/>
      </c>
      <c r="AR76" s="142">
        <f>IFERROR(IF(OR(NOT(ISNUMBER('Price History'!Y77)),NOT(ISNUMBER('Price History'!Y76)),'Price History'!Y76=0),"",'Price History'!Y77/'Price History'!Y76-1),"")</f>
        <v>6.6341463414634205E-3</v>
      </c>
      <c r="AS76" s="142">
        <f>IFERROR(IF(OR(NOT(ISNUMBER('Price History'!Z77)),NOT(ISNUMBER('Price History'!Z76)),'Price History'!Z76=0),"",'Price History'!Z77/'Price History'!Z76-1),"")</f>
        <v>1.4540452915459134E-2</v>
      </c>
      <c r="AT76" s="142">
        <f>IFERROR(IF(OR(NOT(ISNUMBER('Price History'!AA77)),NOT(ISNUMBER('Price History'!AA76)),'Price History'!AA76=0),"",'Price History'!AA77/'Price History'!AA76-1),"")</f>
        <v>4.4087188085609963E-2</v>
      </c>
    </row>
    <row r="77" spans="1:46" ht="15" customHeight="1" x14ac:dyDescent="0.35">
      <c r="A77" s="140">
        <f>IF('Price History'!A78="","",'Price History'!A78)</f>
        <v>45709</v>
      </c>
      <c r="B77" s="141">
        <f>IFERROR(IF(OR(NOT(ISNUMBER('Price History'!B78)),NOT(ISNUMBER('Price History'!B77)),'Price History'!B77=0),"",'Price History'!B78/'Price History'!B77-1),"")</f>
        <v>-3.4422809457580028E-2</v>
      </c>
      <c r="C77" s="141">
        <f>IFERROR(IF(OR(NOT(ISNUMBER('Price History'!C78)),NOT(ISNUMBER('Price History'!C77)),'Price History'!C77=0),"",'Price History'!C78/'Price History'!C77-1),"")</f>
        <v>-8.0190886123327476E-2</v>
      </c>
      <c r="D77" s="141">
        <f>IFERROR(IF(OR(NOT(ISNUMBER('Price History'!D78)),NOT(ISNUMBER('Price History'!D77)),'Price History'!D77=0),"",'Price History'!D78/'Price History'!D77-1),"")</f>
        <v>-1.9072248262485991E-2</v>
      </c>
      <c r="E77" s="141">
        <f>IFERROR(IF(OR(NOT(ISNUMBER('Price History'!E78)),NOT(ISNUMBER('Price History'!E77)),'Price History'!E77=0),"",'Price History'!E78/'Price History'!E77-1),"")</f>
        <v>-6.1735382472027589E-2</v>
      </c>
      <c r="F77" s="141">
        <f>IFERROR(IF(OR(NOT(ISNUMBER('Price History'!F78)),NOT(ISNUMBER('Price History'!F77)),'Price History'!F77=0),"",'Price History'!F78/'Price History'!F77-1),"")</f>
        <v>-9.9707783582750453E-2</v>
      </c>
      <c r="G77" s="141">
        <f>IFERROR(IF(OR(NOT(ISNUMBER('Price History'!G78)),NOT(ISNUMBER('Price History'!G77)),'Price History'!G77=0),"",'Price History'!G78/'Price History'!G77-1),"")</f>
        <v>4.7195253505933898E-3</v>
      </c>
      <c r="H77" s="141">
        <f>IFERROR(IF(OR(NOT(ISNUMBER('Price History'!H78)),NOT(ISNUMBER('Price History'!H77)),'Price History'!H77=0),"",'Price History'!H78/'Price History'!H77-1),"")</f>
        <v>-6.8589872907001137E-3</v>
      </c>
      <c r="I77" s="141">
        <f>IFERROR(IF(OR(NOT(ISNUMBER('Price History'!I78)),NOT(ISNUMBER('Price History'!I77)),'Price History'!I77=0),"",'Price History'!I78/'Price History'!I77-1),"")</f>
        <v>-3.184345440103975E-2</v>
      </c>
      <c r="J77" s="141">
        <f>IFERROR(IF(OR(NOT(ISNUMBER('Price History'!J78)),NOT(ISNUMBER('Price History'!J77)),'Price History'!J77=0),"",'Price History'!J78/'Price History'!J77-1),"")</f>
        <v>1.0524469391335334E-3</v>
      </c>
      <c r="K77" s="141">
        <f>IFERROR(IF(OR(NOT(ISNUMBER('Price History'!K78)),NOT(ISNUMBER('Price History'!K77)),'Price History'!K77=0),"",'Price History'!K78/'Price History'!K77-1),"")</f>
        <v>-0.14946290701577714</v>
      </c>
      <c r="L77" s="141">
        <f>IFERROR(IF(OR(NOT(ISNUMBER('Price History'!L78)),NOT(ISNUMBER('Price History'!L77)),'Price History'!L77=0),"",'Price History'!L78/'Price History'!L77-1),"")</f>
        <v>-2.7752730187355912E-2</v>
      </c>
      <c r="M77" s="141">
        <f>IFERROR(IF(OR(NOT(ISNUMBER('Price History'!M78)),NOT(ISNUMBER('Price History'!M77)),'Price History'!M77=0),"",'Price History'!M78/'Price History'!M77-1),"")</f>
        <v>-0.11157484696716735</v>
      </c>
      <c r="N77" s="141">
        <f>IFERROR(IF(OR(NOT(ISNUMBER('Price History'!N78)),NOT(ISNUMBER('Price History'!N77)),'Price History'!N77=0),"",'Price History'!N78/'Price History'!N77-1),"")</f>
        <v>5.4989106753812633E-2</v>
      </c>
      <c r="O77" s="141">
        <f>IFERROR(IF(OR(NOT(ISNUMBER('Price History'!O78)),NOT(ISNUMBER('Price History'!O77)),'Price History'!O77=0),"",'Price History'!O78/'Price History'!O77-1),"")</f>
        <v>-3.6549399620813161E-2</v>
      </c>
      <c r="P77" s="141">
        <f>IFERROR(IF(OR(NOT(ISNUMBER('Price History'!P78)),NOT(ISNUMBER('Price History'!P77)),'Price History'!P77=0),"",'Price History'!P78/'Price History'!P77-1),"")</f>
        <v>7.2849757167476881E-3</v>
      </c>
      <c r="Q77" s="141">
        <f>IFERROR(IF(OR(NOT(ISNUMBER('Price History'!Q78)),NOT(ISNUMBER('Price History'!Q77)),'Price History'!Q77=0),"",'Price History'!Q78/'Price History'!Q77-1),"")</f>
        <v>-8.9271480950102733E-3</v>
      </c>
      <c r="R77" s="141">
        <f>IFERROR(IF(OR(NOT(ISNUMBER('Price History'!R78)),NOT(ISNUMBER('Price History'!R77)),'Price History'!R77=0),"",'Price History'!R78/'Price History'!R77-1),"")</f>
        <v>-1.2065737466195103E-2</v>
      </c>
      <c r="S77" s="141">
        <f>IFERROR(IF(OR(NOT(ISNUMBER('Price History'!S78)),NOT(ISNUMBER('Price History'!S77)),'Price History'!S77=0),"",'Price History'!S78/'Price History'!S77-1),"")</f>
        <v>-3.0598189689098776E-2</v>
      </c>
      <c r="T77" s="141">
        <f>IFERROR(IF(OR(NOT(ISNUMBER('Price History'!T78)),NOT(ISNUMBER('Price History'!T77)),'Price History'!T77=0),"",'Price History'!T78/'Price History'!T77-1),"")</f>
        <v>-3.445305770887086E-3</v>
      </c>
      <c r="U77" s="141">
        <f>IFERROR(IF(OR(NOT(ISNUMBER('Price History'!U78)),NOT(ISNUMBER('Price History'!U77)),'Price History'!U77=0),"",'Price History'!U78/'Price History'!U77-1),"")</f>
        <v>1.4942528735632177E-2</v>
      </c>
      <c r="V77" s="142">
        <f>IFERROR(IF(OR(NOT(ISNUMBER('Price History'!V78)),NOT(ISNUMBER('Price History'!V77)),'Price History'!V77=0),"",'Price History'!V78/'Price History'!V77-1),"")</f>
        <v>-1.4922386438352309E-2</v>
      </c>
      <c r="W77" s="143">
        <f>IFERROR('Price History'!B3+(INDEX('Price History'!B:B,MATCH(9.99E+307,'Returns (Calc)'!$A:$A)+1)-'Price History'!B3)*(ROW()-3)/(MATCH(9.99E+307,'Returns (Calc)'!$A:$A)-3),"")</f>
        <v>392.50518987341775</v>
      </c>
      <c r="X77" s="143">
        <f>IFERROR('Price History'!C3+(INDEX('Price History'!C:C,MATCH(9.99E+307,'Returns (Calc)'!$A:$A)+1)-'Price History'!C3)*(ROW()-3)/(MATCH(9.99E+307,'Returns (Calc)'!$A:$A)-3),"")</f>
        <v>121.66468354430378</v>
      </c>
      <c r="Y77" s="143">
        <f>IFERROR('Price History'!D3+(INDEX('Price History'!D:D,MATCH(9.99E+307,'Returns (Calc)'!$A:$A)+1)-'Price History'!D3)*(ROW()-3)/(MATCH(9.99E+307,'Returns (Calc)'!$A:$A)-3),"")</f>
        <v>1183.9859493670886</v>
      </c>
      <c r="Z77" s="143">
        <f>IFERROR('Price History'!E3+(INDEX('Price History'!E:E,MATCH(9.99E+307,'Returns (Calc)'!$A:$A)+1)-'Price History'!E3)*(ROW()-3)/(MATCH(9.99E+307,'Returns (Calc)'!$A:$A)-3),"")</f>
        <v>209.92632911392406</v>
      </c>
      <c r="AA77" s="143">
        <f>IFERROR('Price History'!F3+(INDEX('Price History'!F:F,MATCH(9.99E+307,'Returns (Calc)'!$A:$A)+1)-'Price History'!F3)*(ROW()-3)/(MATCH(9.99E+307,'Returns (Calc)'!$A:$A)-3),"")</f>
        <v>148.46329113924051</v>
      </c>
      <c r="AB77" s="143">
        <f>IFERROR('Price History'!G3+(INDEX('Price History'!G:G,MATCH(9.99E+307,'Returns (Calc)'!$A:$A)+1)-'Price History'!G3)*(ROW()-3)/(MATCH(9.99E+307,'Returns (Calc)'!$A:$A)-3),"")</f>
        <v>120.47632911392404</v>
      </c>
      <c r="AC77" s="143">
        <f>IFERROR('Price History'!H3+(INDEX('Price History'!H:H,MATCH(9.99E+307,'Returns (Calc)'!$A:$A)+1)-'Price History'!H3)*(ROW()-3)/(MATCH(9.99E+307,'Returns (Calc)'!$A:$A)-3),"")</f>
        <v>540.17151898734176</v>
      </c>
      <c r="AD77" s="143">
        <f>IFERROR('Price History'!I3+(INDEX('Price History'!I:I,MATCH(9.99E+307,'Returns (Calc)'!$A:$A)+1)-'Price History'!I3)*(ROW()-3)/(MATCH(9.99E+307,'Returns (Calc)'!$A:$A)-3),"")</f>
        <v>132.84164556962025</v>
      </c>
      <c r="AE77" s="143">
        <f>IFERROR('Price History'!J3+(INDEX('Price History'!J:J,MATCH(9.99E+307,'Returns (Calc)'!$A:$A)+1)-'Price History'!J3)*(ROW()-3)/(MATCH(9.99E+307,'Returns (Calc)'!$A:$A)-3),"")</f>
        <v>119.83481012658228</v>
      </c>
      <c r="AF77" s="143">
        <f>IFERROR('Price History'!K3+(INDEX('Price History'!K:K,MATCH(9.99E+307,'Returns (Calc)'!$A:$A)+1)-'Price History'!K3)*(ROW()-3)/(MATCH(9.99E+307,'Returns (Calc)'!$A:$A)-3),"")</f>
        <v>96.552025316455698</v>
      </c>
      <c r="AG77" s="143">
        <f>IFERROR('Price History'!L3+(INDEX('Price History'!L:L,MATCH(9.99E+307,'Returns (Calc)'!$A:$A)+1)-'Price History'!L3)*(ROW()-3)/(MATCH(9.99E+307,'Returns (Calc)'!$A:$A)-3),"")</f>
        <v>267.01721518987341</v>
      </c>
      <c r="AH77" s="143">
        <f>IFERROR('Price History'!M3+(INDEX('Price History'!M:M,MATCH(9.99E+307,'Returns (Calc)'!$A:$A)+1)-'Price History'!M3)*(ROW()-3)/(MATCH(9.99E+307,'Returns (Calc)'!$A:$A)-3),"")</f>
        <v>138.32278481012659</v>
      </c>
      <c r="AI77" s="143">
        <f>IFERROR('Price History'!N3+(INDEX('Price History'!N:N,MATCH(9.99E+307,'Returns (Calc)'!$A:$A)+1)-'Price History'!N3)*(ROW()-3)/(MATCH(9.99E+307,'Returns (Calc)'!$A:$A)-3),"")</f>
        <v>421.88367088607595</v>
      </c>
      <c r="AJ77" s="143">
        <f>IFERROR('Price History'!O3+(INDEX('Price History'!O:O,MATCH(9.99E+307,'Returns (Calc)'!$A:$A)+1)-'Price History'!O3)*(ROW()-3)/(MATCH(9.99E+307,'Returns (Calc)'!$A:$A)-3),"")</f>
        <v>96.254810126582271</v>
      </c>
      <c r="AK77" s="143">
        <f>IFERROR('Price History'!Q3+(INDEX('Price History'!Q:Q,MATCH(9.99E+307,'Returns (Calc)'!$A:$A)+1)-'Price History'!Q3)*(ROW()-3)/(MATCH(9.99E+307,'Returns (Calc)'!$A:$A)-3),"")</f>
        <v>32.513164556962025</v>
      </c>
      <c r="AL77" s="143">
        <f>IFERROR('Price History'!R3+(INDEX('Price History'!R:R,MATCH(9.99E+307,'Returns (Calc)'!$A:$A)+1)-'Price History'!R3)*(ROW()-3)/(MATCH(9.99E+307,'Returns (Calc)'!$A:$A)-3),"")</f>
        <v>46.919493670886069</v>
      </c>
      <c r="AM77" s="143">
        <f>IFERROR('Price History'!S3+(INDEX('Price History'!S:S,MATCH(9.99E+307,'Returns (Calc)'!$A:$A)+1)-'Price History'!S3)*(ROW()-3)/(MATCH(9.99E+307,'Returns (Calc)'!$A:$A)-3),"")</f>
        <v>102.40468354430379</v>
      </c>
      <c r="AN77" s="143">
        <f>IFERROR('Price History'!T3+(INDEX('Price History'!T:T,MATCH(9.99E+307,'Returns (Calc)'!$A:$A)+1)-'Price History'!T3)*(ROW()-3)/(MATCH(9.99E+307,'Returns (Calc)'!$A:$A)-3),"")</f>
        <v>37.688860759493672</v>
      </c>
      <c r="AO77" s="144">
        <f>IFERROR('Price History'!V3+(INDEX('Price History'!V:V,MATCH(9.99E+307,'Returns (Calc)'!$A:$A)+1)-'Price History'!V3)*(ROW()-3)/(MATCH(9.99E+307,'Returns (Calc)'!$A:$A)-3),"")</f>
        <v>294.18835443037977</v>
      </c>
      <c r="AP77" s="142">
        <f>IFERROR(IF(OR(NOT(ISNUMBER('Price History'!W78)),NOT(ISNUMBER('Price History'!W77)),'Price History'!W77=0),"",'Price History'!W78/'Price History'!W77-1),"")</f>
        <v>-3.3570145991100864E-3</v>
      </c>
      <c r="AQ77" s="142" t="str">
        <f>IFERROR(IF(OR(NOT(ISNUMBER('Price History'!X78)),NOT(ISNUMBER('Price History'!X77)),'Price History'!X77=0),"",'Price History'!X78/'Price History'!X77-1),"")</f>
        <v/>
      </c>
      <c r="AR77" s="142">
        <f>IFERROR(IF(OR(NOT(ISNUMBER('Price History'!Y78)),NOT(ISNUMBER('Price History'!Y77)),'Price History'!Y77=0),"",'Price History'!Y78/'Price History'!Y77-1),"")</f>
        <v>-7.7534405892631941E-4</v>
      </c>
      <c r="AS77" s="142">
        <f>IFERROR(IF(OR(NOT(ISNUMBER('Price History'!Z78)),NOT(ISNUMBER('Price History'!Z77)),'Price History'!Z77=0),"",'Price History'!Z78/'Price History'!Z77-1),"")</f>
        <v>-4.0526799980632355E-2</v>
      </c>
      <c r="AT77" s="142">
        <f>IFERROR(IF(OR(NOT(ISNUMBER('Price History'!AA78)),NOT(ISNUMBER('Price History'!AA77)),'Price History'!AA77=0),"",'Price History'!AA78/'Price History'!AA77-1),"")</f>
        <v>-5.2333270357075468E-2</v>
      </c>
    </row>
    <row r="78" spans="1:46" ht="15" customHeight="1" x14ac:dyDescent="0.35">
      <c r="A78" s="140">
        <f>IF('Price History'!A79="","",'Price History'!A79)</f>
        <v>45716</v>
      </c>
      <c r="B78" s="141">
        <f>IFERROR(IF(OR(NOT(ISNUMBER('Price History'!B79)),NOT(ISNUMBER('Price History'!B78)),'Price History'!B78=0),"",'Price History'!B79/'Price History'!B78-1),"")</f>
        <v>-1.2963629816348576E-2</v>
      </c>
      <c r="C78" s="141">
        <f>IFERROR(IF(OR(NOT(ISNUMBER('Price History'!C79)),NOT(ISNUMBER('Price History'!C78)),'Price History'!C78=0),"",'Price History'!C79/'Price History'!C78-1),"")</f>
        <v>-5.3407934893184184E-2</v>
      </c>
      <c r="D78" s="141">
        <f>IFERROR(IF(OR(NOT(ISNUMBER('Price History'!D79)),NOT(ISNUMBER('Price History'!D78)),'Price History'!D78=0),"",'Price History'!D79/'Price History'!D78-1),"")</f>
        <v>-3.8158400615147969E-2</v>
      </c>
      <c r="E78" s="141">
        <f>IFERROR(IF(OR(NOT(ISNUMBER('Price History'!E79)),NOT(ISNUMBER('Price History'!E78)),'Price History'!E78=0),"",'Price History'!E79/'Price History'!E78-1),"")</f>
        <v>-8.7930954480070489E-2</v>
      </c>
      <c r="F78" s="141">
        <f>IFERROR(IF(OR(NOT(ISNUMBER('Price History'!F79)),NOT(ISNUMBER('Price History'!F78)),'Price History'!F78=0),"",'Price History'!F79/'Price History'!F78-1),"")</f>
        <v>-4.1801908134159516E-2</v>
      </c>
      <c r="G78" s="141">
        <f>IFERROR(IF(OR(NOT(ISNUMBER('Price History'!G79)),NOT(ISNUMBER('Price History'!G78)),'Price History'!G78=0),"",'Price History'!G79/'Price History'!G78-1),"")</f>
        <v>-5.8113004965776427E-2</v>
      </c>
      <c r="H78" s="141">
        <f>IFERROR(IF(OR(NOT(ISNUMBER('Price History'!H79)),NOT(ISNUMBER('Price History'!H78)),'Price History'!H78=0),"",'Price History'!H79/'Price History'!H78-1),"")</f>
        <v>-5.271176112126752E-2</v>
      </c>
      <c r="I78" s="141">
        <f>IFERROR(IF(OR(NOT(ISNUMBER('Price History'!I79)),NOT(ISNUMBER('Price History'!I78)),'Price History'!I78=0),"",'Price History'!I79/'Price History'!I78-1),"")</f>
        <v>-7.0778639618138461E-2</v>
      </c>
      <c r="J78" s="141">
        <f>IFERROR(IF(OR(NOT(ISNUMBER('Price History'!J79)),NOT(ISNUMBER('Price History'!J78)),'Price History'!J78=0),"",'Price History'!J79/'Price History'!J78-1),"")</f>
        <v>2.4356053968810354E-2</v>
      </c>
      <c r="K78" s="141">
        <f>IFERROR(IF(OR(NOT(ISNUMBER('Price History'!K79)),NOT(ISNUMBER('Price History'!K78)),'Price History'!K78=0),"",'Price History'!K79/'Price History'!K78-1),"")</f>
        <v>-0.16211149481993092</v>
      </c>
      <c r="L78" s="141">
        <f>IFERROR(IF(OR(NOT(ISNUMBER('Price History'!L79)),NOT(ISNUMBER('Price History'!L78)),'Price History'!L78=0),"",'Price History'!L79/'Price History'!L78-1),"")</f>
        <v>-8.9344600164880439E-2</v>
      </c>
      <c r="M78" s="141">
        <f>IFERROR(IF(OR(NOT(ISNUMBER('Price History'!M79)),NOT(ISNUMBER('Price History'!M78)),'Price History'!M78=0),"",'Price History'!M79/'Price History'!M78-1),"")</f>
        <v>-8.5603925253158186E-3</v>
      </c>
      <c r="N78" s="141">
        <f>IFERROR(IF(OR(NOT(ISNUMBER('Price History'!N79)),NOT(ISNUMBER('Price History'!N78)),'Price History'!N78=0),"",'Price History'!N79/'Price History'!N78-1),"")</f>
        <v>-9.1896580208160605E-3</v>
      </c>
      <c r="O78" s="141">
        <f>IFERROR(IF(OR(NOT(ISNUMBER('Price History'!O79)),NOT(ISNUMBER('Price History'!O78)),'Price History'!O78=0),"",'Price History'!O79/'Price History'!O78-1),"")</f>
        <v>-1.1260522575707865E-2</v>
      </c>
      <c r="P78" s="141">
        <f>IFERROR(IF(OR(NOT(ISNUMBER('Price History'!P79)),NOT(ISNUMBER('Price History'!P78)),'Price History'!P78=0),"",'Price History'!P79/'Price History'!P78-1),"")</f>
        <v>1.0265183917878451E-2</v>
      </c>
      <c r="Q78" s="141">
        <f>IFERROR(IF(OR(NOT(ISNUMBER('Price History'!Q79)),NOT(ISNUMBER('Price History'!Q78)),'Price History'!Q78=0),"",'Price History'!Q79/'Price History'!Q78-1),"")</f>
        <v>-6.4339713688273958E-3</v>
      </c>
      <c r="R78" s="141">
        <f>IFERROR(IF(OR(NOT(ISNUMBER('Price History'!R79)),NOT(ISNUMBER('Price History'!R78)),'Price History'!R78=0),"",'Price History'!R79/'Price History'!R78-1),"")</f>
        <v>-2.7584754685196944E-2</v>
      </c>
      <c r="S78" s="141">
        <f>IFERROR(IF(OR(NOT(ISNUMBER('Price History'!S79)),NOT(ISNUMBER('Price History'!S78)),'Price History'!S78=0),"",'Price History'!S79/'Price History'!S78-1),"")</f>
        <v>-1.1164112453060371E-3</v>
      </c>
      <c r="T78" s="141">
        <f>IFERROR(IF(OR(NOT(ISNUMBER('Price History'!T79)),NOT(ISNUMBER('Price History'!T78)),'Price History'!T78=0),"",'Price History'!T79/'Price History'!T78-1),"")</f>
        <v>-4.6096225871508079E-3</v>
      </c>
      <c r="U78" s="141">
        <f>IFERROR(IF(OR(NOT(ISNUMBER('Price History'!U79)),NOT(ISNUMBER('Price History'!U78)),'Price History'!U78=0),"",'Price History'!U79/'Price History'!U78-1),"")</f>
        <v>1.1702529256323313E-2</v>
      </c>
      <c r="V78" s="142">
        <f>IFERROR(IF(OR(NOT(ISNUMBER('Price History'!V79)),NOT(ISNUMBER('Price History'!V78)),'Price History'!V78=0),"",'Price History'!V79/'Price History'!V78-1),"")</f>
        <v>4.0657012681737825E-2</v>
      </c>
      <c r="W78" s="143">
        <f>IFERROR('Price History'!B3+(INDEX('Price History'!B:B,MATCH(9.99E+307,'Returns (Calc)'!$A:$A)+1)-'Price History'!B3)*(ROW()-3)/(MATCH(9.99E+307,'Returns (Calc)'!$A:$A)-3),"")</f>
        <v>390.66215189873412</v>
      </c>
      <c r="X78" s="143">
        <f>IFERROR('Price History'!C3+(INDEX('Price History'!C:C,MATCH(9.99E+307,'Returns (Calc)'!$A:$A)+1)-'Price History'!C3)*(ROW()-3)/(MATCH(9.99E+307,'Returns (Calc)'!$A:$A)-3),"")</f>
        <v>122.68474683544304</v>
      </c>
      <c r="Y78" s="143">
        <f>IFERROR('Price History'!D3+(INDEX('Price History'!D:D,MATCH(9.99E+307,'Returns (Calc)'!$A:$A)+1)-'Price History'!D3)*(ROW()-3)/(MATCH(9.99E+307,'Returns (Calc)'!$A:$A)-3),"")</f>
        <v>1192.1207594936709</v>
      </c>
      <c r="Z78" s="143">
        <f>IFERROR('Price History'!E3+(INDEX('Price History'!E:E,MATCH(9.99E+307,'Returns (Calc)'!$A:$A)+1)-'Price History'!E3)*(ROW()-3)/(MATCH(9.99E+307,'Returns (Calc)'!$A:$A)-3),"")</f>
        <v>211.65506329113924</v>
      </c>
      <c r="AA78" s="143">
        <f>IFERROR('Price History'!F3+(INDEX('Price History'!F:F,MATCH(9.99E+307,'Returns (Calc)'!$A:$A)+1)-'Price History'!F3)*(ROW()-3)/(MATCH(9.99E+307,'Returns (Calc)'!$A:$A)-3),"")</f>
        <v>149.91063291139238</v>
      </c>
      <c r="AB78" s="143">
        <f>IFERROR('Price History'!G3+(INDEX('Price History'!G:G,MATCH(9.99E+307,'Returns (Calc)'!$A:$A)+1)-'Price History'!G3)*(ROW()-3)/(MATCH(9.99E+307,'Returns (Calc)'!$A:$A)-3),"")</f>
        <v>121.50506329113924</v>
      </c>
      <c r="AC78" s="143">
        <f>IFERROR('Price History'!H3+(INDEX('Price History'!H:H,MATCH(9.99E+307,'Returns (Calc)'!$A:$A)+1)-'Price History'!H3)*(ROW()-3)/(MATCH(9.99E+307,'Returns (Calc)'!$A:$A)-3),"")</f>
        <v>546.53721518987345</v>
      </c>
      <c r="AD78" s="143">
        <f>IFERROR('Price History'!I3+(INDEX('Price History'!I:I,MATCH(9.99E+307,'Returns (Calc)'!$A:$A)+1)-'Price History'!I3)*(ROW()-3)/(MATCH(9.99E+307,'Returns (Calc)'!$A:$A)-3),"")</f>
        <v>134.0453164556962</v>
      </c>
      <c r="AE78" s="143">
        <f>IFERROR('Price History'!J3+(INDEX('Price History'!J:J,MATCH(9.99E+307,'Returns (Calc)'!$A:$A)+1)-'Price History'!J3)*(ROW()-3)/(MATCH(9.99E+307,'Returns (Calc)'!$A:$A)-3),"")</f>
        <v>119.94284810126582</v>
      </c>
      <c r="AF78" s="143">
        <f>IFERROR('Price History'!K3+(INDEX('Price History'!K:K,MATCH(9.99E+307,'Returns (Calc)'!$A:$A)+1)-'Price History'!K3)*(ROW()-3)/(MATCH(9.99E+307,'Returns (Calc)'!$A:$A)-3),"")</f>
        <v>97.649620253164542</v>
      </c>
      <c r="AG78" s="143">
        <f>IFERROR('Price History'!L3+(INDEX('Price History'!L:L,MATCH(9.99E+307,'Returns (Calc)'!$A:$A)+1)-'Price History'!L3)*(ROW()-3)/(MATCH(9.99E+307,'Returns (Calc)'!$A:$A)-3),"")</f>
        <v>269.46677215189868</v>
      </c>
      <c r="AH78" s="143">
        <f>IFERROR('Price History'!M3+(INDEX('Price History'!M:M,MATCH(9.99E+307,'Returns (Calc)'!$A:$A)+1)-'Price History'!M3)*(ROW()-3)/(MATCH(9.99E+307,'Returns (Calc)'!$A:$A)-3),"")</f>
        <v>139.67822784810127</v>
      </c>
      <c r="AI78" s="143">
        <f>IFERROR('Price History'!N3+(INDEX('Price History'!N:N,MATCH(9.99E+307,'Returns (Calc)'!$A:$A)+1)-'Price History'!N3)*(ROW()-3)/(MATCH(9.99E+307,'Returns (Calc)'!$A:$A)-3),"")</f>
        <v>422.86993670886079</v>
      </c>
      <c r="AJ78" s="143">
        <f>IFERROR('Price History'!O3+(INDEX('Price History'!O:O,MATCH(9.99E+307,'Returns (Calc)'!$A:$A)+1)-'Price History'!O3)*(ROW()-3)/(MATCH(9.99E+307,'Returns (Calc)'!$A:$A)-3),"")</f>
        <v>96.537848101265823</v>
      </c>
      <c r="AK78" s="143">
        <f>IFERROR('Price History'!Q3+(INDEX('Price History'!Q:Q,MATCH(9.99E+307,'Returns (Calc)'!$A:$A)+1)-'Price History'!Q3)*(ROW()-3)/(MATCH(9.99E+307,'Returns (Calc)'!$A:$A)-3),"")</f>
        <v>32.952531645569621</v>
      </c>
      <c r="AL78" s="143">
        <f>IFERROR('Price History'!R3+(INDEX('Price History'!R:R,MATCH(9.99E+307,'Returns (Calc)'!$A:$A)+1)-'Price History'!R3)*(ROW()-3)/(MATCH(9.99E+307,'Returns (Calc)'!$A:$A)-3),"")</f>
        <v>47.087594936708861</v>
      </c>
      <c r="AM78" s="143">
        <f>IFERROR('Price History'!S3+(INDEX('Price History'!S:S,MATCH(9.99E+307,'Returns (Calc)'!$A:$A)+1)-'Price History'!S3)*(ROW()-3)/(MATCH(9.99E+307,'Returns (Calc)'!$A:$A)-3),"")</f>
        <v>103.00974683544304</v>
      </c>
      <c r="AN78" s="143">
        <f>IFERROR('Price History'!T3+(INDEX('Price History'!T:T,MATCH(9.99E+307,'Returns (Calc)'!$A:$A)+1)-'Price History'!T3)*(ROW()-3)/(MATCH(9.99E+307,'Returns (Calc)'!$A:$A)-3),"")</f>
        <v>37.857088607594939</v>
      </c>
      <c r="AO78" s="144">
        <f>IFERROR('Price History'!V3+(INDEX('Price History'!V:V,MATCH(9.99E+307,'Returns (Calc)'!$A:$A)+1)-'Price History'!V3)*(ROW()-3)/(MATCH(9.99E+307,'Returns (Calc)'!$A:$A)-3),"")</f>
        <v>294.97968354430378</v>
      </c>
      <c r="AP78" s="142">
        <f>IFERROR(IF(OR(NOT(ISNUMBER('Price History'!W79)),NOT(ISNUMBER('Price History'!W78)),'Price History'!W78=0),"",'Price History'!W79/'Price History'!W78-1),"")</f>
        <v>5.483315055616611E-3</v>
      </c>
      <c r="AQ78" s="142" t="str">
        <f>IFERROR(IF(OR(NOT(ISNUMBER('Price History'!X79)),NOT(ISNUMBER('Price History'!X78)),'Price History'!X78=0),"",'Price History'!X79/'Price History'!X78-1),"")</f>
        <v/>
      </c>
      <c r="AR78" s="142">
        <f>IFERROR(IF(OR(NOT(ISNUMBER('Price History'!Y79)),NOT(ISNUMBER('Price History'!Y78)),'Price History'!Y78=0),"",'Price History'!Y79/'Price History'!Y78-1),"")</f>
        <v>4.6556741028127568E-3</v>
      </c>
      <c r="AS78" s="142">
        <f>IFERROR(IF(OR(NOT(ISNUMBER('Price History'!Z79)),NOT(ISNUMBER('Price History'!Z78)),'Price History'!Z78=0),"",'Price History'!Z79/'Price History'!Z78-1),"")</f>
        <v>3.5779168348809121E-2</v>
      </c>
      <c r="AT78" s="142">
        <f>IFERROR(IF(OR(NOT(ISNUMBER('Price History'!AA79)),NOT(ISNUMBER('Price History'!AA78)),'Price History'!AA78=0),"",'Price History'!AA79/'Price History'!AA78-1),"")</f>
        <v>-2.2527910685805286E-2</v>
      </c>
    </row>
    <row r="79" spans="1:46" ht="15" customHeight="1" x14ac:dyDescent="0.35">
      <c r="A79" s="140">
        <f>IF('Price History'!A80="","",'Price History'!A80)</f>
        <v>45723</v>
      </c>
      <c r="B79" s="141">
        <f>IFERROR(IF(OR(NOT(ISNUMBER('Price History'!B80)),NOT(ISNUMBER('Price History'!B79)),'Price History'!B79=0),"",'Price History'!B80/'Price History'!B79-1),"")</f>
        <v>2.4717256475738747E-2</v>
      </c>
      <c r="C79" s="141">
        <f>IFERROR(IF(OR(NOT(ISNUMBER('Price History'!C80)),NOT(ISNUMBER('Price History'!C79)),'Price History'!C79=0),"",'Price History'!C80/'Price History'!C79-1),"")</f>
        <v>-0.10413756045137024</v>
      </c>
      <c r="D79" s="141">
        <f>IFERROR(IF(OR(NOT(ISNUMBER('Price History'!D80)),NOT(ISNUMBER('Price History'!D79)),'Price History'!D79=0),"",'Price History'!D80/'Price History'!D79-1),"")</f>
        <v>3.2634298847949328E-2</v>
      </c>
      <c r="E79" s="141">
        <f>IFERROR(IF(OR(NOT(ISNUMBER('Price History'!E80)),NOT(ISNUMBER('Price History'!E79)),'Price History'!E79=0),"",'Price History'!E80/'Price History'!E79-1),"")</f>
        <v>-2.238502238502238E-2</v>
      </c>
      <c r="F79" s="141">
        <f>IFERROR(IF(OR(NOT(ISNUMBER('Price History'!F80)),NOT(ISNUMBER('Price History'!F79)),'Price History'!F79=0),"",'Price History'!F80/'Price History'!F79-1),"")</f>
        <v>-0.14411825087251084</v>
      </c>
      <c r="G79" s="141">
        <f>IFERROR(IF(OR(NOT(ISNUMBER('Price History'!G80)),NOT(ISNUMBER('Price History'!G79)),'Price History'!G79=0),"",'Price History'!G80/'Price History'!G79-1),"")</f>
        <v>3.4197777144484576E-3</v>
      </c>
      <c r="H79" s="141">
        <f>IFERROR(IF(OR(NOT(ISNUMBER('Price History'!H80)),NOT(ISNUMBER('Price History'!H79)),'Price History'!H79=0),"",'Price History'!H80/'Price History'!H79-1),"")</f>
        <v>-7.1834459097245285E-3</v>
      </c>
      <c r="I79" s="141">
        <f>IFERROR(IF(OR(NOT(ISNUMBER('Price History'!I80)),NOT(ISNUMBER('Price History'!I79)),'Price History'!I79=0),"",'Price History'!I80/'Price History'!I79-1),"")</f>
        <v>-9.7840918211734462E-2</v>
      </c>
      <c r="J79" s="141">
        <f>IFERROR(IF(OR(NOT(ISNUMBER('Price History'!J80)),NOT(ISNUMBER('Price History'!J79)),'Price History'!J79=0),"",'Price History'!J80/'Price History'!J79-1),"")</f>
        <v>-3.2329798152582967E-2</v>
      </c>
      <c r="K79" s="141">
        <f>IFERROR(IF(OR(NOT(ISNUMBER('Price History'!K80)),NOT(ISNUMBER('Price History'!K79)),'Price History'!K79=0),"",'Price History'!K80/'Price History'!K79-1),"")</f>
        <v>-1.1775788977863577E-4</v>
      </c>
      <c r="L79" s="141">
        <f>IFERROR(IF(OR(NOT(ISNUMBER('Price History'!L80)),NOT(ISNUMBER('Price History'!L79)),'Price History'!L79=0),"",'Price History'!L80/'Price History'!L79-1),"")</f>
        <v>-1.9010976575761118E-2</v>
      </c>
      <c r="M79" s="141">
        <f>IFERROR(IF(OR(NOT(ISNUMBER('Price History'!M80)),NOT(ISNUMBER('Price History'!M79)),'Price History'!M79=0),"",'Price History'!M80/'Price History'!M79-1),"")</f>
        <v>-0.10645466989575658</v>
      </c>
      <c r="N79" s="141">
        <f>IFERROR(IF(OR(NOT(ISNUMBER('Price History'!N80)),NOT(ISNUMBER('Price History'!N79)),'Price History'!N79=0),"",'Price History'!N80/'Price History'!N79-1),"")</f>
        <v>1.7716084120135811E-2</v>
      </c>
      <c r="O79" s="141">
        <f>IFERROR(IF(OR(NOT(ISNUMBER('Price History'!O80)),NOT(ISNUMBER('Price History'!O79)),'Price History'!O79=0),"",'Price History'!O80/'Price History'!O79-1),"")</f>
        <v>-4.4891640866873139E-2</v>
      </c>
      <c r="P79" s="141">
        <f>IFERROR(IF(OR(NOT(ISNUMBER('Price History'!P80)),NOT(ISNUMBER('Price History'!P79)),'Price History'!P79=0),"",'Price History'!P80/'Price History'!P79-1),"")</f>
        <v>-2.7480563467015551E-2</v>
      </c>
      <c r="Q79" s="141">
        <f>IFERROR(IF(OR(NOT(ISNUMBER('Price History'!Q80)),NOT(ISNUMBER('Price History'!Q79)),'Price History'!Q79=0),"",'Price History'!Q80/'Price History'!Q79-1),"")</f>
        <v>-1.748421563865965E-2</v>
      </c>
      <c r="R79" s="141">
        <f>IFERROR(IF(OR(NOT(ISNUMBER('Price History'!R80)),NOT(ISNUMBER('Price History'!R79)),'Price History'!R79=0),"",'Price History'!R80/'Price History'!R79-1),"")</f>
        <v>-3.1398873971416275E-2</v>
      </c>
      <c r="S79" s="141">
        <f>IFERROR(IF(OR(NOT(ISNUMBER('Price History'!S80)),NOT(ISNUMBER('Price History'!S79)),'Price History'!S79=0),"",'Price History'!S80/'Price History'!S79-1),"")</f>
        <v>-5.2631578947368474E-2</v>
      </c>
      <c r="T79" s="141">
        <f>IFERROR(IF(OR(NOT(ISNUMBER('Price History'!T80)),NOT(ISNUMBER('Price History'!T79)),'Price History'!T79=0),"",'Price History'!T80/'Price History'!T79-1),"")</f>
        <v>-1.4471780028943559E-2</v>
      </c>
      <c r="U79" s="141">
        <f>IFERROR(IF(OR(NOT(ISNUMBER('Price History'!U80)),NOT(ISNUMBER('Price History'!U79)),'Price History'!U79=0),"",'Price History'!U80/'Price History'!U79-1),"")</f>
        <v>-2.6119402985074203E-3</v>
      </c>
      <c r="V79" s="142">
        <f>IFERROR(IF(OR(NOT(ISNUMBER('Price History'!V80)),NOT(ISNUMBER('Price History'!V79)),'Price History'!V79=0),"",'Price History'!V80/'Price History'!V79-1),"")</f>
        <v>-4.7936419408811992E-2</v>
      </c>
      <c r="W79" s="143">
        <f>IFERROR('Price History'!B3+(INDEX('Price History'!B:B,MATCH(9.99E+307,'Returns (Calc)'!$A:$A)+1)-'Price History'!B3)*(ROW()-3)/(MATCH(9.99E+307,'Returns (Calc)'!$A:$A)-3),"")</f>
        <v>388.81911392405061</v>
      </c>
      <c r="X79" s="143">
        <f>IFERROR('Price History'!C3+(INDEX('Price History'!C:C,MATCH(9.99E+307,'Returns (Calc)'!$A:$A)+1)-'Price History'!C3)*(ROW()-3)/(MATCH(9.99E+307,'Returns (Calc)'!$A:$A)-3),"")</f>
        <v>123.70481012658226</v>
      </c>
      <c r="Y79" s="143">
        <f>IFERROR('Price History'!D3+(INDEX('Price History'!D:D,MATCH(9.99E+307,'Returns (Calc)'!$A:$A)+1)-'Price History'!D3)*(ROW()-3)/(MATCH(9.99E+307,'Returns (Calc)'!$A:$A)-3),"")</f>
        <v>1200.255569620253</v>
      </c>
      <c r="Z79" s="143">
        <f>IFERROR('Price History'!E3+(INDEX('Price History'!E:E,MATCH(9.99E+307,'Returns (Calc)'!$A:$A)+1)-'Price History'!E3)*(ROW()-3)/(MATCH(9.99E+307,'Returns (Calc)'!$A:$A)-3),"")</f>
        <v>213.38379746835443</v>
      </c>
      <c r="AA79" s="143">
        <f>IFERROR('Price History'!F3+(INDEX('Price History'!F:F,MATCH(9.99E+307,'Returns (Calc)'!$A:$A)+1)-'Price History'!F3)*(ROW()-3)/(MATCH(9.99E+307,'Returns (Calc)'!$A:$A)-3),"")</f>
        <v>151.35797468354428</v>
      </c>
      <c r="AB79" s="143">
        <f>IFERROR('Price History'!G3+(INDEX('Price History'!G:G,MATCH(9.99E+307,'Returns (Calc)'!$A:$A)+1)-'Price History'!G3)*(ROW()-3)/(MATCH(9.99E+307,'Returns (Calc)'!$A:$A)-3),"")</f>
        <v>122.53379746835444</v>
      </c>
      <c r="AC79" s="143">
        <f>IFERROR('Price History'!H3+(INDEX('Price History'!H:H,MATCH(9.99E+307,'Returns (Calc)'!$A:$A)+1)-'Price History'!H3)*(ROW()-3)/(MATCH(9.99E+307,'Returns (Calc)'!$A:$A)-3),"")</f>
        <v>552.90291139240514</v>
      </c>
      <c r="AD79" s="143">
        <f>IFERROR('Price History'!I3+(INDEX('Price History'!I:I,MATCH(9.99E+307,'Returns (Calc)'!$A:$A)+1)-'Price History'!I3)*(ROW()-3)/(MATCH(9.99E+307,'Returns (Calc)'!$A:$A)-3),"")</f>
        <v>135.24898734177214</v>
      </c>
      <c r="AE79" s="143">
        <f>IFERROR('Price History'!J3+(INDEX('Price History'!J:J,MATCH(9.99E+307,'Returns (Calc)'!$A:$A)+1)-'Price History'!J3)*(ROW()-3)/(MATCH(9.99E+307,'Returns (Calc)'!$A:$A)-3),"")</f>
        <v>120.05088607594936</v>
      </c>
      <c r="AF79" s="143">
        <f>IFERROR('Price History'!K3+(INDEX('Price History'!K:K,MATCH(9.99E+307,'Returns (Calc)'!$A:$A)+1)-'Price History'!K3)*(ROW()-3)/(MATCH(9.99E+307,'Returns (Calc)'!$A:$A)-3),"")</f>
        <v>98.747215189873401</v>
      </c>
      <c r="AG79" s="143">
        <f>IFERROR('Price History'!L3+(INDEX('Price History'!L:L,MATCH(9.99E+307,'Returns (Calc)'!$A:$A)+1)-'Price History'!L3)*(ROW()-3)/(MATCH(9.99E+307,'Returns (Calc)'!$A:$A)-3),"")</f>
        <v>271.91632911392401</v>
      </c>
      <c r="AH79" s="143">
        <f>IFERROR('Price History'!M3+(INDEX('Price History'!M:M,MATCH(9.99E+307,'Returns (Calc)'!$A:$A)+1)-'Price History'!M3)*(ROW()-3)/(MATCH(9.99E+307,'Returns (Calc)'!$A:$A)-3),"")</f>
        <v>141.03367088607595</v>
      </c>
      <c r="AI79" s="143">
        <f>IFERROR('Price History'!N3+(INDEX('Price History'!N:N,MATCH(9.99E+307,'Returns (Calc)'!$A:$A)+1)-'Price History'!N3)*(ROW()-3)/(MATCH(9.99E+307,'Returns (Calc)'!$A:$A)-3),"")</f>
        <v>423.85620253164558</v>
      </c>
      <c r="AJ79" s="143">
        <f>IFERROR('Price History'!O3+(INDEX('Price History'!O:O,MATCH(9.99E+307,'Returns (Calc)'!$A:$A)+1)-'Price History'!O3)*(ROW()-3)/(MATCH(9.99E+307,'Returns (Calc)'!$A:$A)-3),"")</f>
        <v>96.820886075949375</v>
      </c>
      <c r="AK79" s="143">
        <f>IFERROR('Price History'!Q3+(INDEX('Price History'!Q:Q,MATCH(9.99E+307,'Returns (Calc)'!$A:$A)+1)-'Price History'!Q3)*(ROW()-3)/(MATCH(9.99E+307,'Returns (Calc)'!$A:$A)-3),"")</f>
        <v>33.391898734177218</v>
      </c>
      <c r="AL79" s="143">
        <f>IFERROR('Price History'!R3+(INDEX('Price History'!R:R,MATCH(9.99E+307,'Returns (Calc)'!$A:$A)+1)-'Price History'!R3)*(ROW()-3)/(MATCH(9.99E+307,'Returns (Calc)'!$A:$A)-3),"")</f>
        <v>47.255696202531645</v>
      </c>
      <c r="AM79" s="143">
        <f>IFERROR('Price History'!S3+(INDEX('Price History'!S:S,MATCH(9.99E+307,'Returns (Calc)'!$A:$A)+1)-'Price History'!S3)*(ROW()-3)/(MATCH(9.99E+307,'Returns (Calc)'!$A:$A)-3),"")</f>
        <v>103.61481012658228</v>
      </c>
      <c r="AN79" s="143">
        <f>IFERROR('Price History'!T3+(INDEX('Price History'!T:T,MATCH(9.99E+307,'Returns (Calc)'!$A:$A)+1)-'Price History'!T3)*(ROW()-3)/(MATCH(9.99E+307,'Returns (Calc)'!$A:$A)-3),"")</f>
        <v>38.025316455696199</v>
      </c>
      <c r="AO79" s="144">
        <f>IFERROR('Price History'!V3+(INDEX('Price History'!V:V,MATCH(9.99E+307,'Returns (Calc)'!$A:$A)+1)-'Price History'!V3)*(ROW()-3)/(MATCH(9.99E+307,'Returns (Calc)'!$A:$A)-3),"")</f>
        <v>295.77101265822785</v>
      </c>
      <c r="AP79" s="142">
        <f>IFERROR(IF(OR(NOT(ISNUMBER('Price History'!W80)),NOT(ISNUMBER('Price History'!W79)),'Price History'!W79=0),"",'Price History'!W80/'Price History'!W79-1),"")</f>
        <v>-2.103459021502041E-2</v>
      </c>
      <c r="AQ79" s="142" t="str">
        <f>IFERROR(IF(OR(NOT(ISNUMBER('Price History'!X80)),NOT(ISNUMBER('Price History'!X79)),'Price History'!X79=0),"",'Price History'!X80/'Price History'!X79-1),"")</f>
        <v/>
      </c>
      <c r="AR79" s="142">
        <f>IFERROR(IF(OR(NOT(ISNUMBER('Price History'!Y80)),NOT(ISNUMBER('Price History'!Y79)),'Price History'!Y79=0),"",'Price History'!Y80/'Price History'!Y79-1),"")</f>
        <v>-1.4867735083992972E-2</v>
      </c>
      <c r="AS79" s="142">
        <f>IFERROR(IF(OR(NOT(ISNUMBER('Price History'!Z80)),NOT(ISNUMBER('Price History'!Z79)),'Price History'!Z79=0),"",'Price History'!Z80/'Price History'!Z79-1),"")</f>
        <v>-6.3434835566382519E-2</v>
      </c>
      <c r="AT79" s="142">
        <f>IFERROR(IF(OR(NOT(ISNUMBER('Price History'!AA80)),NOT(ISNUMBER('Price History'!AA79)),'Price History'!AA79=0),"",'Price History'!AA80/'Price History'!AA79-1),"")</f>
        <v>-9.1270650622068183E-2</v>
      </c>
    </row>
    <row r="80" spans="1:46" ht="15" customHeight="1" x14ac:dyDescent="0.35">
      <c r="A80" s="140">
        <f>IF('Price History'!A81="","",'Price History'!A81)</f>
        <v>45730</v>
      </c>
      <c r="B80" s="141">
        <f>IFERROR(IF(OR(NOT(ISNUMBER('Price History'!B81)),NOT(ISNUMBER('Price History'!B80)),'Price History'!B80=0),"",'Price History'!B81/'Price History'!B80-1),"")</f>
        <v>-0.12162883845126826</v>
      </c>
      <c r="C80" s="141">
        <f>IFERROR(IF(OR(NOT(ISNUMBER('Price History'!C81)),NOT(ISNUMBER('Price History'!C80)),'Price History'!C80=0),"",'Price History'!C81/'Price History'!C80-1),"")</f>
        <v>1.7994241842611558E-3</v>
      </c>
      <c r="D80" s="141">
        <f>IFERROR(IF(OR(NOT(ISNUMBER('Price History'!D81)),NOT(ISNUMBER('Price History'!D80)),'Price History'!D80=0),"",'Price History'!D81/'Price History'!D80-1),"")</f>
        <v>-2.4884219257620743E-2</v>
      </c>
      <c r="E80" s="141">
        <f>IFERROR(IF(OR(NOT(ISNUMBER('Price History'!E81)),NOT(ISNUMBER('Price History'!E80)),'Price History'!E80=0),"",'Price History'!E81/'Price History'!E80-1),"")</f>
        <v>2.9662781015820094E-3</v>
      </c>
      <c r="F80" s="141">
        <f>IFERROR(IF(OR(NOT(ISNUMBER('Price History'!F81)),NOT(ISNUMBER('Price History'!F80)),'Price History'!F80=0),"",'Price History'!F81/'Price History'!F80-1),"")</f>
        <v>6.0566082993523729E-2</v>
      </c>
      <c r="G80" s="141">
        <f>IFERROR(IF(OR(NOT(ISNUMBER('Price History'!G81)),NOT(ISNUMBER('Price History'!G80)),'Price History'!G80=0),"",'Price History'!G81/'Price History'!G80-1),"")</f>
        <v>2.414086907128743E-3</v>
      </c>
      <c r="H80" s="141">
        <f>IFERROR(IF(OR(NOT(ISNUMBER('Price History'!H81)),NOT(ISNUMBER('Price History'!H80)),'Price History'!H80=0),"",'Price History'!H81/'Price History'!H80-1),"")</f>
        <v>8.4233261339093035E-2</v>
      </c>
      <c r="I80" s="141">
        <f>IFERROR(IF(OR(NOT(ISNUMBER('Price History'!I81)),NOT(ISNUMBER('Price History'!I80)),'Price History'!I80=0),"",'Price History'!I81/'Price History'!I80-1),"")</f>
        <v>7.9715302491103035E-2</v>
      </c>
      <c r="J80" s="141">
        <f>IFERROR(IF(OR(NOT(ISNUMBER('Price History'!J81)),NOT(ISNUMBER('Price History'!J80)),'Price History'!J80=0),"",'Price History'!J81/'Price History'!J80-1),"")</f>
        <v>-6.6908255258971261E-2</v>
      </c>
      <c r="K80" s="141">
        <f>IFERROR(IF(OR(NOT(ISNUMBER('Price History'!K81)),NOT(ISNUMBER('Price History'!K80)),'Price History'!K80=0),"",'Price History'!K81/'Price History'!K80-1),"")</f>
        <v>1.5663643858202736E-2</v>
      </c>
      <c r="L80" s="141">
        <f>IFERROR(IF(OR(NOT(ISNUMBER('Price History'!L81)),NOT(ISNUMBER('Price History'!L80)),'Price History'!L80=0),"",'Price History'!L81/'Price History'!L80-1),"")</f>
        <v>-1.6956973122620789E-2</v>
      </c>
      <c r="M80" s="141">
        <f>IFERROR(IF(OR(NOT(ISNUMBER('Price History'!M81)),NOT(ISNUMBER('Price History'!M80)),'Price History'!M80=0),"",'Price History'!M81/'Price History'!M80-1),"")</f>
        <v>2.839971718123957E-2</v>
      </c>
      <c r="N80" s="141">
        <f>IFERROR(IF(OR(NOT(ISNUMBER('Price History'!N81)),NOT(ISNUMBER('Price History'!N80)),'Price History'!N80=0),"",'Price History'!N81/'Price History'!N80-1),"")</f>
        <v>3.3750435192201333E-2</v>
      </c>
      <c r="O80" s="141">
        <f>IFERROR(IF(OR(NOT(ISNUMBER('Price History'!O81)),NOT(ISNUMBER('Price History'!O80)),'Price History'!O80=0),"",'Price History'!O81/'Price History'!O80-1),"")</f>
        <v>-1.8754341282704257E-2</v>
      </c>
      <c r="P80" s="141">
        <f>IFERROR(IF(OR(NOT(ISNUMBER('Price History'!P81)),NOT(ISNUMBER('Price History'!P80)),'Price History'!P80=0),"",'Price History'!P81/'Price History'!P80-1),"")</f>
        <v>-8.390058572107062E-3</v>
      </c>
      <c r="Q80" s="141">
        <f>IFERROR(IF(OR(NOT(ISNUMBER('Price History'!Q81)),NOT(ISNUMBER('Price History'!Q80)),'Price History'!Q80=0),"",'Price History'!Q81/'Price History'!Q80-1),"")</f>
        <v>-1.4170374031965749E-2</v>
      </c>
      <c r="R80" s="141">
        <f>IFERROR(IF(OR(NOT(ISNUMBER('Price History'!R81)),NOT(ISNUMBER('Price History'!R80)),'Price History'!R80=0),"",'Price History'!R81/'Price History'!R80-1),"")</f>
        <v>-2.123854236530287E-2</v>
      </c>
      <c r="S80" s="141">
        <f>IFERROR(IF(OR(NOT(ISNUMBER('Price History'!S81)),NOT(ISNUMBER('Price History'!S80)),'Price History'!S80=0),"",'Price History'!S81/'Price History'!S80-1),"")</f>
        <v>-7.1857571857572022E-3</v>
      </c>
      <c r="T80" s="141">
        <f>IFERROR(IF(OR(NOT(ISNUMBER('Price History'!T81)),NOT(ISNUMBER('Price History'!T80)),'Price History'!T80=0),"",'Price History'!T81/'Price History'!T80-1),"")</f>
        <v>-1.8795888399412597E-2</v>
      </c>
      <c r="U80" s="141">
        <f>IFERROR(IF(OR(NOT(ISNUMBER('Price History'!U81)),NOT(ISNUMBER('Price History'!U80)),'Price History'!U80=0),"",'Price History'!U81/'Price History'!U80-1),"")</f>
        <v>-2.8806584362139898E-2</v>
      </c>
      <c r="V80" s="142">
        <f>IFERROR(IF(OR(NOT(ISNUMBER('Price History'!V81)),NOT(ISNUMBER('Price History'!V80)),'Price History'!V80=0),"",'Price History'!V81/'Price History'!V80-1),"")</f>
        <v>-3.916112591898302E-2</v>
      </c>
      <c r="W80" s="143">
        <f>IFERROR('Price History'!B3+(INDEX('Price History'!B:B,MATCH(9.99E+307,'Returns (Calc)'!$A:$A)+1)-'Price History'!B3)*(ROW()-3)/(MATCH(9.99E+307,'Returns (Calc)'!$A:$A)-3),"")</f>
        <v>386.9760759493671</v>
      </c>
      <c r="X80" s="143">
        <f>IFERROR('Price History'!C3+(INDEX('Price History'!C:C,MATCH(9.99E+307,'Returns (Calc)'!$A:$A)+1)-'Price History'!C3)*(ROW()-3)/(MATCH(9.99E+307,'Returns (Calc)'!$A:$A)-3),"")</f>
        <v>124.72487341772151</v>
      </c>
      <c r="Y80" s="143">
        <f>IFERROR('Price History'!D3+(INDEX('Price History'!D:D,MATCH(9.99E+307,'Returns (Calc)'!$A:$A)+1)-'Price History'!D3)*(ROW()-3)/(MATCH(9.99E+307,'Returns (Calc)'!$A:$A)-3),"")</f>
        <v>1208.3903797468354</v>
      </c>
      <c r="Z80" s="143">
        <f>IFERROR('Price History'!E3+(INDEX('Price History'!E:E,MATCH(9.99E+307,'Returns (Calc)'!$A:$A)+1)-'Price History'!E3)*(ROW()-3)/(MATCH(9.99E+307,'Returns (Calc)'!$A:$A)-3),"")</f>
        <v>215.11253164556962</v>
      </c>
      <c r="AA80" s="143">
        <f>IFERROR('Price History'!F3+(INDEX('Price History'!F:F,MATCH(9.99E+307,'Returns (Calc)'!$A:$A)+1)-'Price History'!F3)*(ROW()-3)/(MATCH(9.99E+307,'Returns (Calc)'!$A:$A)-3),"")</f>
        <v>152.80531645569619</v>
      </c>
      <c r="AB80" s="143">
        <f>IFERROR('Price History'!G3+(INDEX('Price History'!G:G,MATCH(9.99E+307,'Returns (Calc)'!$A:$A)+1)-'Price History'!G3)*(ROW()-3)/(MATCH(9.99E+307,'Returns (Calc)'!$A:$A)-3),"")</f>
        <v>123.56253164556963</v>
      </c>
      <c r="AC80" s="143">
        <f>IFERROR('Price History'!H3+(INDEX('Price History'!H:H,MATCH(9.99E+307,'Returns (Calc)'!$A:$A)+1)-'Price History'!H3)*(ROW()-3)/(MATCH(9.99E+307,'Returns (Calc)'!$A:$A)-3),"")</f>
        <v>559.26860759493673</v>
      </c>
      <c r="AD80" s="143">
        <f>IFERROR('Price History'!I3+(INDEX('Price History'!I:I,MATCH(9.99E+307,'Returns (Calc)'!$A:$A)+1)-'Price History'!I3)*(ROW()-3)/(MATCH(9.99E+307,'Returns (Calc)'!$A:$A)-3),"")</f>
        <v>136.4526582278481</v>
      </c>
      <c r="AE80" s="143">
        <f>IFERROR('Price History'!J3+(INDEX('Price History'!J:J,MATCH(9.99E+307,'Returns (Calc)'!$A:$A)+1)-'Price History'!J3)*(ROW()-3)/(MATCH(9.99E+307,'Returns (Calc)'!$A:$A)-3),"")</f>
        <v>120.15892405063292</v>
      </c>
      <c r="AF80" s="143">
        <f>IFERROR('Price History'!K3+(INDEX('Price History'!K:K,MATCH(9.99E+307,'Returns (Calc)'!$A:$A)+1)-'Price History'!K3)*(ROW()-3)/(MATCH(9.99E+307,'Returns (Calc)'!$A:$A)-3),"")</f>
        <v>99.84481012658226</v>
      </c>
      <c r="AG80" s="143">
        <f>IFERROR('Price History'!L3+(INDEX('Price History'!L:L,MATCH(9.99E+307,'Returns (Calc)'!$A:$A)+1)-'Price History'!L3)*(ROW()-3)/(MATCH(9.99E+307,'Returns (Calc)'!$A:$A)-3),"")</f>
        <v>274.36588607594933</v>
      </c>
      <c r="AH80" s="143">
        <f>IFERROR('Price History'!M3+(INDEX('Price History'!M:M,MATCH(9.99E+307,'Returns (Calc)'!$A:$A)+1)-'Price History'!M3)*(ROW()-3)/(MATCH(9.99E+307,'Returns (Calc)'!$A:$A)-3),"")</f>
        <v>142.38911392405063</v>
      </c>
      <c r="AI80" s="143">
        <f>IFERROR('Price History'!N3+(INDEX('Price History'!N:N,MATCH(9.99E+307,'Returns (Calc)'!$A:$A)+1)-'Price History'!N3)*(ROW()-3)/(MATCH(9.99E+307,'Returns (Calc)'!$A:$A)-3),"")</f>
        <v>424.84246835443037</v>
      </c>
      <c r="AJ80" s="143">
        <f>IFERROR('Price History'!O3+(INDEX('Price History'!O:O,MATCH(9.99E+307,'Returns (Calc)'!$A:$A)+1)-'Price History'!O3)*(ROW()-3)/(MATCH(9.99E+307,'Returns (Calc)'!$A:$A)-3),"")</f>
        <v>97.103924050632912</v>
      </c>
      <c r="AK80" s="143">
        <f>IFERROR('Price History'!Q3+(INDEX('Price History'!Q:Q,MATCH(9.99E+307,'Returns (Calc)'!$A:$A)+1)-'Price History'!Q3)*(ROW()-3)/(MATCH(9.99E+307,'Returns (Calc)'!$A:$A)-3),"")</f>
        <v>33.831265822784808</v>
      </c>
      <c r="AL80" s="143">
        <f>IFERROR('Price History'!R3+(INDEX('Price History'!R:R,MATCH(9.99E+307,'Returns (Calc)'!$A:$A)+1)-'Price History'!R3)*(ROW()-3)/(MATCH(9.99E+307,'Returns (Calc)'!$A:$A)-3),"")</f>
        <v>47.423797468354429</v>
      </c>
      <c r="AM80" s="143">
        <f>IFERROR('Price History'!S3+(INDEX('Price History'!S:S,MATCH(9.99E+307,'Returns (Calc)'!$A:$A)+1)-'Price History'!S3)*(ROW()-3)/(MATCH(9.99E+307,'Returns (Calc)'!$A:$A)-3),"")</f>
        <v>104.21987341772152</v>
      </c>
      <c r="AN80" s="143">
        <f>IFERROR('Price History'!T3+(INDEX('Price History'!T:T,MATCH(9.99E+307,'Returns (Calc)'!$A:$A)+1)-'Price History'!T3)*(ROW()-3)/(MATCH(9.99E+307,'Returns (Calc)'!$A:$A)-3),"")</f>
        <v>38.193544303797466</v>
      </c>
      <c r="AO80" s="144">
        <f>IFERROR('Price History'!V3+(INDEX('Price History'!V:V,MATCH(9.99E+307,'Returns (Calc)'!$A:$A)+1)-'Price History'!V3)*(ROW()-3)/(MATCH(9.99E+307,'Returns (Calc)'!$A:$A)-3),"")</f>
        <v>296.56234177215191</v>
      </c>
      <c r="AP80" s="142">
        <f>IFERROR(IF(OR(NOT(ISNUMBER('Price History'!W81)),NOT(ISNUMBER('Price History'!W80)),'Price History'!W80=0),"",'Price History'!W81/'Price History'!W80-1),"")</f>
        <v>-2.2441508833359824E-2</v>
      </c>
      <c r="AQ80" s="142" t="str">
        <f>IFERROR(IF(OR(NOT(ISNUMBER('Price History'!X81)),NOT(ISNUMBER('Price History'!X80)),'Price History'!X80=0),"",'Price History'!X81/'Price History'!X80-1),"")</f>
        <v/>
      </c>
      <c r="AR80" s="142">
        <f>IFERROR(IF(OR(NOT(ISNUMBER('Price History'!Y81)),NOT(ISNUMBER('Price History'!Y80)),'Price History'!Y80=0),"",'Price History'!Y81/'Price History'!Y80-1),"")</f>
        <v>-2.1364170913367397E-2</v>
      </c>
      <c r="AS80" s="142">
        <f>IFERROR(IF(OR(NOT(ISNUMBER('Price History'!Z81)),NOT(ISNUMBER('Price History'!Z80)),'Price History'!Z80=0),"",'Price History'!Z81/'Price History'!Z80-1),"")</f>
        <v>1.8727565936638602E-2</v>
      </c>
      <c r="AT80" s="142">
        <f>IFERROR(IF(OR(NOT(ISNUMBER('Price History'!AA81)),NOT(ISNUMBER('Price History'!AA80)),'Price History'!AA80=0),"",'Price History'!AA81/'Price History'!AA80-1),"")</f>
        <v>3.0187408820558925E-2</v>
      </c>
    </row>
    <row r="81" spans="1:46" ht="15" customHeight="1" x14ac:dyDescent="0.35">
      <c r="A81" s="140">
        <f>IF('Price History'!A82="","",'Price History'!A82)</f>
        <v>45737</v>
      </c>
      <c r="B81" s="141">
        <f>IFERROR(IF(OR(NOT(ISNUMBER('Price History'!B82)),NOT(ISNUMBER('Price History'!B81)),'Price History'!B81=0),"",'Price History'!B82/'Price History'!B81-1),"")</f>
        <v>-1.8949181739879473E-2</v>
      </c>
      <c r="C81" s="141">
        <f>IFERROR(IF(OR(NOT(ISNUMBER('Price History'!C82)),NOT(ISNUMBER('Price History'!C81)),'Price History'!C81=0),"",'Price History'!C82/'Price History'!C81-1),"")</f>
        <v>-4.5503532511077527E-3</v>
      </c>
      <c r="D81" s="141">
        <f>IFERROR(IF(OR(NOT(ISNUMBER('Price History'!D82)),NOT(ISNUMBER('Price History'!D81)),'Price History'!D81=0),"",'Price History'!D82/'Price History'!D81-1),"")</f>
        <v>3.1048415680157149E-3</v>
      </c>
      <c r="E81" s="141">
        <f>IFERROR(IF(OR(NOT(ISNUMBER('Price History'!E82)),NOT(ISNUMBER('Price History'!E81)),'Price History'!E81=0),"",'Price History'!E82/'Price History'!E81-1),"")</f>
        <v>-1.6914854978467231E-2</v>
      </c>
      <c r="F81" s="141">
        <f>IFERROR(IF(OR(NOT(ISNUMBER('Price History'!F82)),NOT(ISNUMBER('Price History'!F81)),'Price History'!F81=0),"",'Price History'!F82/'Price History'!F81-1),"")</f>
        <v>2.4086848354630819E-2</v>
      </c>
      <c r="G81" s="141">
        <f>IFERROR(IF(OR(NOT(ISNUMBER('Price History'!G82)),NOT(ISNUMBER('Price History'!G81)),'Price History'!G81=0),"",'Price History'!G82/'Price History'!G81-1),"")</f>
        <v>-9.0664400056665873E-3</v>
      </c>
      <c r="H81" s="141">
        <f>IFERROR(IF(OR(NOT(ISNUMBER('Price History'!H82)),NOT(ISNUMBER('Price History'!H81)),'Price History'!H81=0),"",'Price History'!H82/'Price History'!H81-1),"")</f>
        <v>-6.015936254980081E-2</v>
      </c>
      <c r="I81" s="141">
        <f>IFERROR(IF(OR(NOT(ISNUMBER('Price History'!I82)),NOT(ISNUMBER('Price History'!I81)),'Price History'!I81=0),"",'Price History'!I82/'Price History'!I81-1),"")</f>
        <v>-3.2630191166776457E-2</v>
      </c>
      <c r="J81" s="141">
        <f>IFERROR(IF(OR(NOT(ISNUMBER('Price History'!J82)),NOT(ISNUMBER('Price History'!J81)),'Price History'!J81=0),"",'Price History'!J82/'Price History'!J81-1),"")</f>
        <v>-2.2354835654068372E-2</v>
      </c>
      <c r="K81" s="141">
        <f>IFERROR(IF(OR(NOT(ISNUMBER('Price History'!K82)),NOT(ISNUMBER('Price History'!K81)),'Price History'!K81=0),"",'Price History'!K82/'Price History'!K81-1),"")</f>
        <v>5.4730983302411884E-2</v>
      </c>
      <c r="L81" s="141">
        <f>IFERROR(IF(OR(NOT(ISNUMBER('Price History'!L82)),NOT(ISNUMBER('Price History'!L81)),'Price History'!L81=0),"",'Price History'!L82/'Price History'!L81-1),"")</f>
        <v>1.9068293827740002E-2</v>
      </c>
      <c r="M81" s="141">
        <f>IFERROR(IF(OR(NOT(ISNUMBER('Price History'!M82)),NOT(ISNUMBER('Price History'!M81)),'Price History'!M81=0),"",'Price History'!M82/'Price History'!M81-1),"")</f>
        <v>1.3865016615102643E-2</v>
      </c>
      <c r="N81" s="141">
        <f>IFERROR(IF(OR(NOT(ISNUMBER('Price History'!N82)),NOT(ISNUMBER('Price History'!N81)),'Price History'!N81=0),"",'Price History'!N82/'Price History'!N81-1),"")</f>
        <v>-3.1103274758801369E-3</v>
      </c>
      <c r="O81" s="141">
        <f>IFERROR(IF(OR(NOT(ISNUMBER('Price History'!O82)),NOT(ISNUMBER('Price History'!O81)),'Price History'!O81=0),"",'Price History'!O82/'Price History'!O81-1),"")</f>
        <v>9.6743747050493933E-3</v>
      </c>
      <c r="P81" s="141">
        <f>IFERROR(IF(OR(NOT(ISNUMBER('Price History'!P82)),NOT(ISNUMBER('Price History'!P81)),'Price History'!P81=0),"",'Price History'!P82/'Price History'!P81-1),"")</f>
        <v>4.7892720306512704E-3</v>
      </c>
      <c r="Q81" s="141">
        <f>IFERROR(IF(OR(NOT(ISNUMBER('Price History'!Q82)),NOT(ISNUMBER('Price History'!Q81)),'Price History'!Q81=0),"",'Price History'!Q82/'Price History'!Q81-1),"")</f>
        <v>-2.0056827678421874E-3</v>
      </c>
      <c r="R81" s="141">
        <f>IFERROR(IF(OR(NOT(ISNUMBER('Price History'!R82)),NOT(ISNUMBER('Price History'!R81)),'Price History'!R81=0),"",'Price History'!R82/'Price History'!R81-1),"")</f>
        <v>3.6546368204659618E-3</v>
      </c>
      <c r="S81" s="141">
        <f>IFERROR(IF(OR(NOT(ISNUMBER('Price History'!S82)),NOT(ISNUMBER('Price History'!S81)),'Price History'!S81=0),"",'Price History'!S82/'Price History'!S81-1),"")</f>
        <v>3.7809225451010953E-3</v>
      </c>
      <c r="T81" s="141">
        <f>IFERROR(IF(OR(NOT(ISNUMBER('Price History'!T82)),NOT(ISNUMBER('Price History'!T81)),'Price History'!T81=0),"",'Price History'!T82/'Price History'!T81-1),"")</f>
        <v>1.7060760251421669E-2</v>
      </c>
      <c r="U81" s="141">
        <f>IFERROR(IF(OR(NOT(ISNUMBER('Price History'!U82)),NOT(ISNUMBER('Price History'!U81)),'Price History'!U81=0),"",'Price History'!U82/'Price History'!U81-1),"")</f>
        <v>4.237288135593209E-3</v>
      </c>
      <c r="V81" s="142">
        <f>IFERROR(IF(OR(NOT(ISNUMBER('Price History'!V82)),NOT(ISNUMBER('Price History'!V81)),'Price History'!V81=0),"",'Price History'!V82/'Price History'!V81-1),"")</f>
        <v>1.1644921351054771E-2</v>
      </c>
      <c r="W81" s="143">
        <f>IFERROR('Price History'!B3+(INDEX('Price History'!B:B,MATCH(9.99E+307,'Returns (Calc)'!$A:$A)+1)-'Price History'!B3)*(ROW()-3)/(MATCH(9.99E+307,'Returns (Calc)'!$A:$A)-3),"")</f>
        <v>385.13303797468353</v>
      </c>
      <c r="X81" s="143">
        <f>IFERROR('Price History'!C3+(INDEX('Price History'!C:C,MATCH(9.99E+307,'Returns (Calc)'!$A:$A)+1)-'Price History'!C3)*(ROW()-3)/(MATCH(9.99E+307,'Returns (Calc)'!$A:$A)-3),"")</f>
        <v>125.74493670886076</v>
      </c>
      <c r="Y81" s="143">
        <f>IFERROR('Price History'!D3+(INDEX('Price History'!D:D,MATCH(9.99E+307,'Returns (Calc)'!$A:$A)+1)-'Price History'!D3)*(ROW()-3)/(MATCH(9.99E+307,'Returns (Calc)'!$A:$A)-3),"")</f>
        <v>1216.5251898734177</v>
      </c>
      <c r="Z81" s="143">
        <f>IFERROR('Price History'!E3+(INDEX('Price History'!E:E,MATCH(9.99E+307,'Returns (Calc)'!$A:$A)+1)-'Price History'!E3)*(ROW()-3)/(MATCH(9.99E+307,'Returns (Calc)'!$A:$A)-3),"")</f>
        <v>216.84126582278481</v>
      </c>
      <c r="AA81" s="143">
        <f>IFERROR('Price History'!F3+(INDEX('Price History'!F:F,MATCH(9.99E+307,'Returns (Calc)'!$A:$A)+1)-'Price History'!F3)*(ROW()-3)/(MATCH(9.99E+307,'Returns (Calc)'!$A:$A)-3),"")</f>
        <v>154.25265822784809</v>
      </c>
      <c r="AB81" s="143">
        <f>IFERROR('Price History'!G3+(INDEX('Price History'!G:G,MATCH(9.99E+307,'Returns (Calc)'!$A:$A)+1)-'Price History'!G3)*(ROW()-3)/(MATCH(9.99E+307,'Returns (Calc)'!$A:$A)-3),"")</f>
        <v>124.59126582278481</v>
      </c>
      <c r="AC81" s="143">
        <f>IFERROR('Price History'!H3+(INDEX('Price History'!H:H,MATCH(9.99E+307,'Returns (Calc)'!$A:$A)+1)-'Price History'!H3)*(ROW()-3)/(MATCH(9.99E+307,'Returns (Calc)'!$A:$A)-3),"")</f>
        <v>565.63430379746842</v>
      </c>
      <c r="AD81" s="143">
        <f>IFERROR('Price History'!I3+(INDEX('Price History'!I:I,MATCH(9.99E+307,'Returns (Calc)'!$A:$A)+1)-'Price History'!I3)*(ROW()-3)/(MATCH(9.99E+307,'Returns (Calc)'!$A:$A)-3),"")</f>
        <v>137.65632911392404</v>
      </c>
      <c r="AE81" s="143">
        <f>IFERROR('Price History'!J3+(INDEX('Price History'!J:J,MATCH(9.99E+307,'Returns (Calc)'!$A:$A)+1)-'Price History'!J3)*(ROW()-3)/(MATCH(9.99E+307,'Returns (Calc)'!$A:$A)-3),"")</f>
        <v>120.26696202531646</v>
      </c>
      <c r="AF81" s="143">
        <f>IFERROR('Price History'!K3+(INDEX('Price History'!K:K,MATCH(9.99E+307,'Returns (Calc)'!$A:$A)+1)-'Price History'!K3)*(ROW()-3)/(MATCH(9.99E+307,'Returns (Calc)'!$A:$A)-3),"")</f>
        <v>100.94240506329113</v>
      </c>
      <c r="AG81" s="143">
        <f>IFERROR('Price History'!L3+(INDEX('Price History'!L:L,MATCH(9.99E+307,'Returns (Calc)'!$A:$A)+1)-'Price History'!L3)*(ROW()-3)/(MATCH(9.99E+307,'Returns (Calc)'!$A:$A)-3),"")</f>
        <v>276.81544303797466</v>
      </c>
      <c r="AH81" s="143">
        <f>IFERROR('Price History'!M3+(INDEX('Price History'!M:M,MATCH(9.99E+307,'Returns (Calc)'!$A:$A)+1)-'Price History'!M3)*(ROW()-3)/(MATCH(9.99E+307,'Returns (Calc)'!$A:$A)-3),"")</f>
        <v>143.74455696202531</v>
      </c>
      <c r="AI81" s="143">
        <f>IFERROR('Price History'!N3+(INDEX('Price History'!N:N,MATCH(9.99E+307,'Returns (Calc)'!$A:$A)+1)-'Price History'!N3)*(ROW()-3)/(MATCH(9.99E+307,'Returns (Calc)'!$A:$A)-3),"")</f>
        <v>425.82873417721521</v>
      </c>
      <c r="AJ81" s="143">
        <f>IFERROR('Price History'!O3+(INDEX('Price History'!O:O,MATCH(9.99E+307,'Returns (Calc)'!$A:$A)+1)-'Price History'!O3)*(ROW()-3)/(MATCH(9.99E+307,'Returns (Calc)'!$A:$A)-3),"")</f>
        <v>97.38696202531645</v>
      </c>
      <c r="AK81" s="143">
        <f>IFERROR('Price History'!Q3+(INDEX('Price History'!Q:Q,MATCH(9.99E+307,'Returns (Calc)'!$A:$A)+1)-'Price History'!Q3)*(ROW()-3)/(MATCH(9.99E+307,'Returns (Calc)'!$A:$A)-3),"")</f>
        <v>34.270632911392404</v>
      </c>
      <c r="AL81" s="143">
        <f>IFERROR('Price History'!R3+(INDEX('Price History'!R:R,MATCH(9.99E+307,'Returns (Calc)'!$A:$A)+1)-'Price History'!R3)*(ROW()-3)/(MATCH(9.99E+307,'Returns (Calc)'!$A:$A)-3),"")</f>
        <v>47.591898734177214</v>
      </c>
      <c r="AM81" s="143">
        <f>IFERROR('Price History'!S3+(INDEX('Price History'!S:S,MATCH(9.99E+307,'Returns (Calc)'!$A:$A)+1)-'Price History'!S3)*(ROW()-3)/(MATCH(9.99E+307,'Returns (Calc)'!$A:$A)-3),"")</f>
        <v>104.82493670886075</v>
      </c>
      <c r="AN81" s="143">
        <f>IFERROR('Price History'!T3+(INDEX('Price History'!T:T,MATCH(9.99E+307,'Returns (Calc)'!$A:$A)+1)-'Price History'!T3)*(ROW()-3)/(MATCH(9.99E+307,'Returns (Calc)'!$A:$A)-3),"")</f>
        <v>38.361772151898734</v>
      </c>
      <c r="AO81" s="144">
        <f>IFERROR('Price History'!V3+(INDEX('Price History'!V:V,MATCH(9.99E+307,'Returns (Calc)'!$A:$A)+1)-'Price History'!V3)*(ROW()-3)/(MATCH(9.99E+307,'Returns (Calc)'!$A:$A)-3),"")</f>
        <v>297.35367088607597</v>
      </c>
      <c r="AP81" s="142">
        <f>IFERROR(IF(OR(NOT(ISNUMBER('Price History'!W82)),NOT(ISNUMBER('Price History'!W81)),'Price History'!W81=0),"",'Price History'!W82/'Price History'!W81-1),"")</f>
        <v>7.4894171279713539E-3</v>
      </c>
      <c r="AQ81" s="142" t="str">
        <f>IFERROR(IF(OR(NOT(ISNUMBER('Price History'!X82)),NOT(ISNUMBER('Price History'!X81)),'Price History'!X81=0),"",'Price History'!X82/'Price History'!X81-1),"")</f>
        <v/>
      </c>
      <c r="AR81" s="142">
        <f>IFERROR(IF(OR(NOT(ISNUMBER('Price History'!Y82)),NOT(ISNUMBER('Price History'!Y81)),'Price History'!Y81=0),"",'Price History'!Y82/'Price History'!Y81-1),"")</f>
        <v>2.8039254956939708E-3</v>
      </c>
      <c r="AS81" s="142">
        <f>IFERROR(IF(OR(NOT(ISNUMBER('Price History'!Z82)),NOT(ISNUMBER('Price History'!Z81)),'Price History'!Z81=0),"",'Price History'!Z82/'Price History'!Z81-1),"")</f>
        <v>3.5592095184598938E-2</v>
      </c>
      <c r="AT81" s="142">
        <f>IFERROR(IF(OR(NOT(ISNUMBER('Price History'!AA82)),NOT(ISNUMBER('Price History'!AA81)),'Price History'!AA81=0),"",'Price History'!AA82/'Price History'!AA81-1),"")</f>
        <v>4.6078431372549078E-2</v>
      </c>
    </row>
    <row r="82" spans="1:46" ht="15" customHeight="1" x14ac:dyDescent="0.35">
      <c r="A82" s="140">
        <f>IF('Price History'!A83="","",'Price History'!A83)</f>
        <v>45744</v>
      </c>
      <c r="B82" s="141">
        <f>IFERROR(IF(OR(NOT(ISNUMBER('Price History'!B83)),NOT(ISNUMBER('Price History'!B82)),'Price History'!B82=0),"",'Price History'!B83/'Price History'!B82-1),"")</f>
        <v>-4.0024789547075112E-3</v>
      </c>
      <c r="C82" s="141">
        <f>IFERROR(IF(OR(NOT(ISNUMBER('Price History'!C83)),NOT(ISNUMBER('Price History'!C82)),'Price History'!C82=0),"",'Price History'!C83/'Price History'!C82-1),"")</f>
        <v>-6.2432334897149055E-2</v>
      </c>
      <c r="D82" s="141">
        <f>IFERROR(IF(OR(NOT(ISNUMBER('Price History'!D83)),NOT(ISNUMBER('Price History'!D82)),'Price History'!D82=0),"",'Price History'!D83/'Price History'!D82-1),"")</f>
        <v>-5.8130989060689142E-2</v>
      </c>
      <c r="E82" s="141">
        <f>IFERROR(IF(OR(NOT(ISNUMBER('Price History'!E83)),NOT(ISNUMBER('Price History'!E82)),'Price History'!E82=0),"",'Price History'!E83/'Price History'!E82-1),"")</f>
        <v>-0.1175911753839658</v>
      </c>
      <c r="F82" s="141">
        <f>IFERROR(IF(OR(NOT(ISNUMBER('Price History'!F83)),NOT(ISNUMBER('Price History'!F82)),'Price History'!F82=0),"",'Price History'!F83/'Price History'!F82-1),"")</f>
        <v>-1.4134275618374548E-2</v>
      </c>
      <c r="G82" s="141">
        <f>IFERROR(IF(OR(NOT(ISNUMBER('Price History'!G83)),NOT(ISNUMBER('Price History'!G82)),'Price History'!G82=0),"",'Price History'!G83/'Price History'!G82-1),"")</f>
        <v>-4.6604717655468253E-2</v>
      </c>
      <c r="H82" s="141">
        <f>IFERROR(IF(OR(NOT(ISNUMBER('Price History'!H83)),NOT(ISNUMBER('Price History'!H82)),'Price History'!H82=0),"",'Price History'!H83/'Price History'!H82-1),"")</f>
        <v>-6.6341670199236979E-2</v>
      </c>
      <c r="I82" s="141">
        <f>IFERROR(IF(OR(NOT(ISNUMBER('Price History'!I83)),NOT(ISNUMBER('Price History'!I82)),'Price History'!I82=0),"",'Price History'!I83/'Price History'!I82-1),"")</f>
        <v>-6.8228279386712165E-2</v>
      </c>
      <c r="J82" s="141">
        <f>IFERROR(IF(OR(NOT(ISNUMBER('Price History'!J83)),NOT(ISNUMBER('Price History'!J82)),'Price History'!J82=0),"",'Price History'!J83/'Price History'!J82-1),"")</f>
        <v>1.8699738397442101E-2</v>
      </c>
      <c r="K82" s="141">
        <f>IFERROR(IF(OR(NOT(ISNUMBER('Price History'!K83)),NOT(ISNUMBER('Price History'!K82)),'Price History'!K82=0),"",'Price History'!K83/'Price History'!K82-1),"")</f>
        <v>-5.6178540017590151E-2</v>
      </c>
      <c r="L82" s="141">
        <f>IFERROR(IF(OR(NOT(ISNUMBER('Price History'!L83)),NOT(ISNUMBER('Price History'!L82)),'Price History'!L82=0),"",'Price History'!L83/'Price History'!L82-1),"")</f>
        <v>-6.4943289769128887E-2</v>
      </c>
      <c r="M82" s="141">
        <f>IFERROR(IF(OR(NOT(ISNUMBER('Price History'!M83)),NOT(ISNUMBER('Price History'!M82)),'Price History'!M82=0),"",'Price History'!M83/'Price History'!M82-1),"")</f>
        <v>-0.16229656419529837</v>
      </c>
      <c r="N82" s="141">
        <f>IFERROR(IF(OR(NOT(ISNUMBER('Price History'!N83)),NOT(ISNUMBER('Price History'!N82)),'Price History'!N82=0),"",'Price History'!N83/'Price History'!N82-1),"")</f>
        <v>-2.0886327503974567E-2</v>
      </c>
      <c r="O82" s="141">
        <f>IFERROR(IF(OR(NOT(ISNUMBER('Price History'!O83)),NOT(ISNUMBER('Price History'!O82)),'Price History'!O82=0),"",'Price History'!O83/'Price History'!O82-1),"")</f>
        <v>-4.6739892498246505E-3</v>
      </c>
      <c r="P82" s="141">
        <f>IFERROR(IF(OR(NOT(ISNUMBER('Price History'!P83)),NOT(ISNUMBER('Price History'!P82)),'Price History'!P82=0),"",'Price History'!P83/'Price History'!P82-1),"")</f>
        <v>-2.3832221163011535E-4</v>
      </c>
      <c r="Q82" s="141">
        <f>IFERROR(IF(OR(NOT(ISNUMBER('Price History'!Q83)),NOT(ISNUMBER('Price History'!Q82)),'Price History'!Q82=0),"",'Price History'!Q83/'Price History'!Q82-1),"")</f>
        <v>-1.1555853290906026E-2</v>
      </c>
      <c r="R82" s="141">
        <f>IFERROR(IF(OR(NOT(ISNUMBER('Price History'!R83)),NOT(ISNUMBER('Price History'!R82)),'Price History'!R82=0),"",'Price History'!R83/'Price History'!R82-1),"")</f>
        <v>-1.8889394629039602E-2</v>
      </c>
      <c r="S82" s="141">
        <f>IFERROR(IF(OR(NOT(ISNUMBER('Price History'!S83)),NOT(ISNUMBER('Price History'!S82)),'Price History'!S82=0),"",'Price History'!S83/'Price History'!S82-1),"")</f>
        <v>-1.9694360740421857E-2</v>
      </c>
      <c r="T82" s="141">
        <f>IFERROR(IF(OR(NOT(ISNUMBER('Price History'!T83)),NOT(ISNUMBER('Price History'!T82)),'Price History'!T82=0),"",'Price History'!T83/'Price History'!T82-1),"")</f>
        <v>-1.6480282519128808E-2</v>
      </c>
      <c r="U82" s="141">
        <f>IFERROR(IF(OR(NOT(ISNUMBER('Price History'!U83)),NOT(ISNUMBER('Price History'!U82)),'Price History'!U82=0),"",'Price History'!U83/'Price History'!U82-1),"")</f>
        <v>2.6850786344456701E-3</v>
      </c>
      <c r="V82" s="142">
        <f>IFERROR(IF(OR(NOT(ISNUMBER('Price History'!V83)),NOT(ISNUMBER('Price History'!V82)),'Price History'!V82=0),"",'Price History'!V83/'Price History'!V82-1),"")</f>
        <v>2.1424697161453565E-2</v>
      </c>
      <c r="W82" s="143">
        <f>IFERROR('Price History'!B3+(INDEX('Price History'!B:B,MATCH(9.99E+307,'Returns (Calc)'!$A:$A)+1)-'Price History'!B3)*(ROW()-3)/(MATCH(9.99E+307,'Returns (Calc)'!$A:$A)-3),"")</f>
        <v>383.28999999999996</v>
      </c>
      <c r="X82" s="143">
        <f>IFERROR('Price History'!C3+(INDEX('Price History'!C:C,MATCH(9.99E+307,'Returns (Calc)'!$A:$A)+1)-'Price History'!C3)*(ROW()-3)/(MATCH(9.99E+307,'Returns (Calc)'!$A:$A)-3),"")</f>
        <v>126.76499999999999</v>
      </c>
      <c r="Y82" s="143">
        <f>IFERROR('Price History'!D3+(INDEX('Price History'!D:D,MATCH(9.99E+307,'Returns (Calc)'!$A:$A)+1)-'Price History'!D3)*(ROW()-3)/(MATCH(9.99E+307,'Returns (Calc)'!$A:$A)-3),"")</f>
        <v>1224.6599999999999</v>
      </c>
      <c r="Z82" s="143">
        <f>IFERROR('Price History'!E3+(INDEX('Price History'!E:E,MATCH(9.99E+307,'Returns (Calc)'!$A:$A)+1)-'Price History'!E3)*(ROW()-3)/(MATCH(9.99E+307,'Returns (Calc)'!$A:$A)-3),"")</f>
        <v>218.57</v>
      </c>
      <c r="AA82" s="143">
        <f>IFERROR('Price History'!F3+(INDEX('Price History'!F:F,MATCH(9.99E+307,'Returns (Calc)'!$A:$A)+1)-'Price History'!F3)*(ROW()-3)/(MATCH(9.99E+307,'Returns (Calc)'!$A:$A)-3),"")</f>
        <v>155.69999999999999</v>
      </c>
      <c r="AB82" s="143">
        <f>IFERROR('Price History'!G3+(INDEX('Price History'!G:G,MATCH(9.99E+307,'Returns (Calc)'!$A:$A)+1)-'Price History'!G3)*(ROW()-3)/(MATCH(9.99E+307,'Returns (Calc)'!$A:$A)-3),"")</f>
        <v>125.62</v>
      </c>
      <c r="AC82" s="143">
        <f>IFERROR('Price History'!H3+(INDEX('Price History'!H:H,MATCH(9.99E+307,'Returns (Calc)'!$A:$A)+1)-'Price History'!H3)*(ROW()-3)/(MATCH(9.99E+307,'Returns (Calc)'!$A:$A)-3),"")</f>
        <v>572</v>
      </c>
      <c r="AD82" s="143">
        <f>IFERROR('Price History'!I3+(INDEX('Price History'!I:I,MATCH(9.99E+307,'Returns (Calc)'!$A:$A)+1)-'Price History'!I3)*(ROW()-3)/(MATCH(9.99E+307,'Returns (Calc)'!$A:$A)-3),"")</f>
        <v>138.85999999999999</v>
      </c>
      <c r="AE82" s="143">
        <f>IFERROR('Price History'!J3+(INDEX('Price History'!J:J,MATCH(9.99E+307,'Returns (Calc)'!$A:$A)+1)-'Price History'!J3)*(ROW()-3)/(MATCH(9.99E+307,'Returns (Calc)'!$A:$A)-3),"")</f>
        <v>120.375</v>
      </c>
      <c r="AF82" s="143">
        <f>IFERROR('Price History'!K3+(INDEX('Price History'!K:K,MATCH(9.99E+307,'Returns (Calc)'!$A:$A)+1)-'Price History'!K3)*(ROW()-3)/(MATCH(9.99E+307,'Returns (Calc)'!$A:$A)-3),"")</f>
        <v>102.03999999999999</v>
      </c>
      <c r="AG82" s="143">
        <f>IFERROR('Price History'!L3+(INDEX('Price History'!L:L,MATCH(9.99E+307,'Returns (Calc)'!$A:$A)+1)-'Price History'!L3)*(ROW()-3)/(MATCH(9.99E+307,'Returns (Calc)'!$A:$A)-3),"")</f>
        <v>279.26499999999999</v>
      </c>
      <c r="AH82" s="143">
        <f>IFERROR('Price History'!M3+(INDEX('Price History'!M:M,MATCH(9.99E+307,'Returns (Calc)'!$A:$A)+1)-'Price History'!M3)*(ROW()-3)/(MATCH(9.99E+307,'Returns (Calc)'!$A:$A)-3),"")</f>
        <v>145.1</v>
      </c>
      <c r="AI82" s="143">
        <f>IFERROR('Price History'!N3+(INDEX('Price History'!N:N,MATCH(9.99E+307,'Returns (Calc)'!$A:$A)+1)-'Price History'!N3)*(ROW()-3)/(MATCH(9.99E+307,'Returns (Calc)'!$A:$A)-3),"")</f>
        <v>426.815</v>
      </c>
      <c r="AJ82" s="143">
        <f>IFERROR('Price History'!O3+(INDEX('Price History'!O:O,MATCH(9.99E+307,'Returns (Calc)'!$A:$A)+1)-'Price History'!O3)*(ROW()-3)/(MATCH(9.99E+307,'Returns (Calc)'!$A:$A)-3),"")</f>
        <v>97.67</v>
      </c>
      <c r="AK82" s="143">
        <f>IFERROR('Price History'!Q3+(INDEX('Price History'!Q:Q,MATCH(9.99E+307,'Returns (Calc)'!$A:$A)+1)-'Price History'!Q3)*(ROW()-3)/(MATCH(9.99E+307,'Returns (Calc)'!$A:$A)-3),"")</f>
        <v>34.71</v>
      </c>
      <c r="AL82" s="143">
        <f>IFERROR('Price History'!R3+(INDEX('Price History'!R:R,MATCH(9.99E+307,'Returns (Calc)'!$A:$A)+1)-'Price History'!R3)*(ROW()-3)/(MATCH(9.99E+307,'Returns (Calc)'!$A:$A)-3),"")</f>
        <v>47.76</v>
      </c>
      <c r="AM82" s="143">
        <f>IFERROR('Price History'!S3+(INDEX('Price History'!S:S,MATCH(9.99E+307,'Returns (Calc)'!$A:$A)+1)-'Price History'!S3)*(ROW()-3)/(MATCH(9.99E+307,'Returns (Calc)'!$A:$A)-3),"")</f>
        <v>105.43</v>
      </c>
      <c r="AN82" s="143">
        <f>IFERROR('Price History'!T3+(INDEX('Price History'!T:T,MATCH(9.99E+307,'Returns (Calc)'!$A:$A)+1)-'Price History'!T3)*(ROW()-3)/(MATCH(9.99E+307,'Returns (Calc)'!$A:$A)-3),"")</f>
        <v>38.53</v>
      </c>
      <c r="AO82" s="144">
        <f>IFERROR('Price History'!V3+(INDEX('Price History'!V:V,MATCH(9.99E+307,'Returns (Calc)'!$A:$A)+1)-'Price History'!V3)*(ROW()-3)/(MATCH(9.99E+307,'Returns (Calc)'!$A:$A)-3),"")</f>
        <v>298.14499999999998</v>
      </c>
      <c r="AP82" s="142">
        <f>IFERROR(IF(OR(NOT(ISNUMBER('Price History'!W83)),NOT(ISNUMBER('Price History'!W82)),'Price History'!W82=0),"",'Price History'!W83/'Price History'!W82-1),"")</f>
        <v>-6.6257272139625956E-3</v>
      </c>
      <c r="AQ82" s="142" t="str">
        <f>IFERROR(IF(OR(NOT(ISNUMBER('Price History'!X83)),NOT(ISNUMBER('Price History'!X82)),'Price History'!X82=0),"",'Price History'!X83/'Price History'!X82-1),"")</f>
        <v/>
      </c>
      <c r="AR82" s="142">
        <f>IFERROR(IF(OR(NOT(ISNUMBER('Price History'!Y83)),NOT(ISNUMBER('Price History'!Y82)),'Price History'!Y82=0),"",'Price History'!Y83/'Price History'!Y82-1),"")</f>
        <v>-7.5893748751748591E-3</v>
      </c>
      <c r="AS82" s="142">
        <f>IFERROR(IF(OR(NOT(ISNUMBER('Price History'!Z83)),NOT(ISNUMBER('Price History'!Z82)),'Price History'!Z82=0),"",'Price History'!Z83/'Price History'!Z82-1),"")</f>
        <v>-2.0808678500986222E-2</v>
      </c>
      <c r="AT82" s="142">
        <f>IFERROR(IF(OR(NOT(ISNUMBER('Price History'!AA83)),NOT(ISNUMBER('Price History'!AA82)),'Price History'!AA82=0),"",'Price History'!AA83/'Price History'!AA82-1),"")</f>
        <v>-2.7491408934707917E-2</v>
      </c>
    </row>
    <row r="83" spans="1:46" ht="15" customHeight="1" x14ac:dyDescent="0.35">
      <c r="A83" s="140">
        <f>IF('Price History'!A84="","",'Price History'!A84)</f>
        <v>45751</v>
      </c>
      <c r="B83" s="141">
        <f>IFERROR(IF(OR(NOT(ISNUMBER('Price History'!B84)),NOT(ISNUMBER('Price History'!B83)),'Price History'!B83=0),"",'Price History'!B84/'Price History'!B83-1),"")</f>
        <v>-9.4993648077571158E-2</v>
      </c>
      <c r="C83" s="141">
        <f>IFERROR(IF(OR(NOT(ISNUMBER('Price History'!C84)),NOT(ISNUMBER('Price History'!C83)),'Price History'!C83=0),"",'Price History'!C84/'Price History'!C83-1),"")</f>
        <v>-0.17410828842699499</v>
      </c>
      <c r="D83" s="141">
        <f>IFERROR(IF(OR(NOT(ISNUMBER('Price History'!D84)),NOT(ISNUMBER('Price History'!D83)),'Price History'!D83=0),"",'Price History'!D84/'Price History'!D83-1),"")</f>
        <v>-0.10233940066925762</v>
      </c>
      <c r="E83" s="141">
        <f>IFERROR(IF(OR(NOT(ISNUMBER('Price History'!E84)),NOT(ISNUMBER('Price History'!E83)),'Price History'!E83=0),"",'Price History'!E84/'Price History'!E83-1),"")</f>
        <v>-0.13499611220766783</v>
      </c>
      <c r="F83" s="141">
        <f>IFERROR(IF(OR(NOT(ISNUMBER('Price History'!F84)),NOT(ISNUMBER('Price History'!F83)),'Price History'!F83=0),"",'Price History'!F84/'Price History'!F83-1),"")</f>
        <v>-9.9350358422939156E-2</v>
      </c>
      <c r="G83" s="141">
        <f>IFERROR(IF(OR(NOT(ISNUMBER('Price History'!G84)),NOT(ISNUMBER('Price History'!G83)),'Price History'!G83=0),"",'Price History'!G84/'Price History'!G83-1),"")</f>
        <v>-0.14409956515219668</v>
      </c>
      <c r="H83" s="141">
        <f>IFERROR(IF(OR(NOT(ISNUMBER('Price History'!H84)),NOT(ISNUMBER('Price History'!H83)),'Price History'!H83=0),"",'Price History'!H84/'Price History'!H83-1),"")</f>
        <v>-0.26719636776390454</v>
      </c>
      <c r="I83" s="141">
        <f>IFERROR(IF(OR(NOT(ISNUMBER('Price History'!I84)),NOT(ISNUMBER('Price History'!I83)),'Price History'!I83=0),"",'Price History'!I84/'Price History'!I83-1),"")</f>
        <v>-0.14004936465856122</v>
      </c>
      <c r="J83" s="141">
        <f>IFERROR(IF(OR(NOT(ISNUMBER('Price History'!J84)),NOT(ISNUMBER('Price History'!J83)),'Price History'!J83=0),"",'Price History'!J84/'Price History'!J83-1),"")</f>
        <v>-0.11061441887007795</v>
      </c>
      <c r="K83" s="141">
        <f>IFERROR(IF(OR(NOT(ISNUMBER('Price History'!K84)),NOT(ISNUMBER('Price History'!K83)),'Price History'!K83=0),"",'Price History'!K84/'Price History'!K83-1),"")</f>
        <v>-0.13791496796738489</v>
      </c>
      <c r="L83" s="141">
        <f>IFERROR(IF(OR(NOT(ISNUMBER('Price History'!L84)),NOT(ISNUMBER('Price History'!L83)),'Price History'!L83=0),"",'Price History'!L84/'Price History'!L83-1),"")</f>
        <v>-0.11163105720091127</v>
      </c>
      <c r="M83" s="141">
        <f>IFERROR(IF(OR(NOT(ISNUMBER('Price History'!M84)),NOT(ISNUMBER('Price History'!M83)),'Price History'!M83=0),"",'Price History'!M84/'Price History'!M83-1),"")</f>
        <v>-0.19981111710739341</v>
      </c>
      <c r="N83" s="141">
        <f>IFERROR(IF(OR(NOT(ISNUMBER('Price History'!N84)),NOT(ISNUMBER('Price History'!N83)),'Price History'!N83=0),"",'Price History'!N84/'Price History'!N83-1),"")</f>
        <v>-3.6676206133674283E-2</v>
      </c>
      <c r="O83" s="141">
        <f>IFERROR(IF(OR(NOT(ISNUMBER('Price History'!O84)),NOT(ISNUMBER('Price History'!O83)),'Price History'!O83=0),"",'Price History'!O84/'Price History'!O83-1),"")</f>
        <v>-0.10471941770368631</v>
      </c>
      <c r="P83" s="141">
        <f>IFERROR(IF(OR(NOT(ISNUMBER('Price History'!P84)),NOT(ISNUMBER('Price History'!P83)),'Price History'!P83=0),"",'Price History'!P84/'Price History'!P83-1),"")</f>
        <v>-8.0333730631704459E-2</v>
      </c>
      <c r="Q83" s="141">
        <f>IFERROR(IF(OR(NOT(ISNUMBER('Price History'!Q84)),NOT(ISNUMBER('Price History'!Q83)),'Price History'!Q83=0),"",'Price History'!Q84/'Price History'!Q83-1),"")</f>
        <v>-3.8800406641816387E-2</v>
      </c>
      <c r="R83" s="141">
        <f>IFERROR(IF(OR(NOT(ISNUMBER('Price History'!R84)),NOT(ISNUMBER('Price History'!R83)),'Price History'!R83=0),"",'Price History'!R84/'Price History'!R83-1),"")</f>
        <v>-9.0930178612850909E-2</v>
      </c>
      <c r="S83" s="141">
        <f>IFERROR(IF(OR(NOT(ISNUMBER('Price History'!S84)),NOT(ISNUMBER('Price History'!S83)),'Price History'!S83=0),"",'Price History'!S84/'Price History'!S83-1),"")</f>
        <v>-0.10703699637720931</v>
      </c>
      <c r="T83" s="141">
        <f>IFERROR(IF(OR(NOT(ISNUMBER('Price History'!T84)),NOT(ISNUMBER('Price History'!T83)),'Price History'!T83=0),"",'Price History'!T84/'Price History'!T83-1),"")</f>
        <v>-9.245960502693007E-2</v>
      </c>
      <c r="U83" s="141">
        <f>IFERROR(IF(OR(NOT(ISNUMBER('Price History'!U84)),NOT(ISNUMBER('Price History'!U83)),'Price History'!U83=0),"",'Price History'!U84/'Price History'!U83-1),"")</f>
        <v>-8.339709257842387E-2</v>
      </c>
      <c r="V83" s="142">
        <f>IFERROR(IF(OR(NOT(ISNUMBER('Price History'!V84)),NOT(ISNUMBER('Price History'!V83)),'Price History'!V83=0),"",'Price History'!V84/'Price History'!V83-1),"")</f>
        <v>-8.6674336961973131E-2</v>
      </c>
      <c r="W83" s="143">
        <f>IFERROR('Price History'!B3+(INDEX('Price History'!B:B,MATCH(9.99E+307,'Returns (Calc)'!$A:$A)+1)-'Price History'!B3)*(ROW()-3)/(MATCH(9.99E+307,'Returns (Calc)'!$A:$A)-3),"")</f>
        <v>381.44696202531645</v>
      </c>
      <c r="X83" s="143">
        <f>IFERROR('Price History'!C3+(INDEX('Price History'!C:C,MATCH(9.99E+307,'Returns (Calc)'!$A:$A)+1)-'Price History'!C3)*(ROW()-3)/(MATCH(9.99E+307,'Returns (Calc)'!$A:$A)-3),"")</f>
        <v>127.78506329113924</v>
      </c>
      <c r="Y83" s="143">
        <f>IFERROR('Price History'!D3+(INDEX('Price History'!D:D,MATCH(9.99E+307,'Returns (Calc)'!$A:$A)+1)-'Price History'!D3)*(ROW()-3)/(MATCH(9.99E+307,'Returns (Calc)'!$A:$A)-3),"")</f>
        <v>1232.7948101265824</v>
      </c>
      <c r="Z83" s="143">
        <f>IFERROR('Price History'!E3+(INDEX('Price History'!E:E,MATCH(9.99E+307,'Returns (Calc)'!$A:$A)+1)-'Price History'!E3)*(ROW()-3)/(MATCH(9.99E+307,'Returns (Calc)'!$A:$A)-3),"")</f>
        <v>220.29873417721518</v>
      </c>
      <c r="AA83" s="143">
        <f>IFERROR('Price History'!F3+(INDEX('Price History'!F:F,MATCH(9.99E+307,'Returns (Calc)'!$A:$A)+1)-'Price History'!F3)*(ROW()-3)/(MATCH(9.99E+307,'Returns (Calc)'!$A:$A)-3),"")</f>
        <v>157.14734177215189</v>
      </c>
      <c r="AB83" s="143">
        <f>IFERROR('Price History'!G3+(INDEX('Price History'!G:G,MATCH(9.99E+307,'Returns (Calc)'!$A:$A)+1)-'Price History'!G3)*(ROW()-3)/(MATCH(9.99E+307,'Returns (Calc)'!$A:$A)-3),"")</f>
        <v>126.64873417721518</v>
      </c>
      <c r="AC83" s="143">
        <f>IFERROR('Price History'!H3+(INDEX('Price History'!H:H,MATCH(9.99E+307,'Returns (Calc)'!$A:$A)+1)-'Price History'!H3)*(ROW()-3)/(MATCH(9.99E+307,'Returns (Calc)'!$A:$A)-3),"")</f>
        <v>578.36569620253169</v>
      </c>
      <c r="AD83" s="143">
        <f>IFERROR('Price History'!I3+(INDEX('Price History'!I:I,MATCH(9.99E+307,'Returns (Calc)'!$A:$A)+1)-'Price History'!I3)*(ROW()-3)/(MATCH(9.99E+307,'Returns (Calc)'!$A:$A)-3),"")</f>
        <v>140.06367088607593</v>
      </c>
      <c r="AE83" s="143">
        <f>IFERROR('Price History'!J3+(INDEX('Price History'!J:J,MATCH(9.99E+307,'Returns (Calc)'!$A:$A)+1)-'Price History'!J3)*(ROW()-3)/(MATCH(9.99E+307,'Returns (Calc)'!$A:$A)-3),"")</f>
        <v>120.48303797468354</v>
      </c>
      <c r="AF83" s="143">
        <f>IFERROR('Price History'!K3+(INDEX('Price History'!K:K,MATCH(9.99E+307,'Returns (Calc)'!$A:$A)+1)-'Price History'!K3)*(ROW()-3)/(MATCH(9.99E+307,'Returns (Calc)'!$A:$A)-3),"")</f>
        <v>103.13759493670885</v>
      </c>
      <c r="AG83" s="143">
        <f>IFERROR('Price History'!L3+(INDEX('Price History'!L:L,MATCH(9.99E+307,'Returns (Calc)'!$A:$A)+1)-'Price History'!L3)*(ROW()-3)/(MATCH(9.99E+307,'Returns (Calc)'!$A:$A)-3),"")</f>
        <v>281.71455696202531</v>
      </c>
      <c r="AH83" s="143">
        <f>IFERROR('Price History'!M3+(INDEX('Price History'!M:M,MATCH(9.99E+307,'Returns (Calc)'!$A:$A)+1)-'Price History'!M3)*(ROW()-3)/(MATCH(9.99E+307,'Returns (Calc)'!$A:$A)-3),"")</f>
        <v>146.45544303797467</v>
      </c>
      <c r="AI83" s="143">
        <f>IFERROR('Price History'!N3+(INDEX('Price History'!N:N,MATCH(9.99E+307,'Returns (Calc)'!$A:$A)+1)-'Price History'!N3)*(ROW()-3)/(MATCH(9.99E+307,'Returns (Calc)'!$A:$A)-3),"")</f>
        <v>427.80126582278479</v>
      </c>
      <c r="AJ83" s="143">
        <f>IFERROR('Price History'!O3+(INDEX('Price History'!O:O,MATCH(9.99E+307,'Returns (Calc)'!$A:$A)+1)-'Price History'!O3)*(ROW()-3)/(MATCH(9.99E+307,'Returns (Calc)'!$A:$A)-3),"")</f>
        <v>97.953037974683554</v>
      </c>
      <c r="AK83" s="143">
        <f>IFERROR('Price History'!Q3+(INDEX('Price History'!Q:Q,MATCH(9.99E+307,'Returns (Calc)'!$A:$A)+1)-'Price History'!Q3)*(ROW()-3)/(MATCH(9.99E+307,'Returns (Calc)'!$A:$A)-3),"")</f>
        <v>35.149367088607598</v>
      </c>
      <c r="AL83" s="143">
        <f>IFERROR('Price History'!R3+(INDEX('Price History'!R:R,MATCH(9.99E+307,'Returns (Calc)'!$A:$A)+1)-'Price History'!R3)*(ROW()-3)/(MATCH(9.99E+307,'Returns (Calc)'!$A:$A)-3),"")</f>
        <v>47.928101265822782</v>
      </c>
      <c r="AM83" s="143">
        <f>IFERROR('Price History'!S3+(INDEX('Price History'!S:S,MATCH(9.99E+307,'Returns (Calc)'!$A:$A)+1)-'Price History'!S3)*(ROW()-3)/(MATCH(9.99E+307,'Returns (Calc)'!$A:$A)-3),"")</f>
        <v>106.03506329113924</v>
      </c>
      <c r="AN83" s="143">
        <f>IFERROR('Price History'!T3+(INDEX('Price History'!T:T,MATCH(9.99E+307,'Returns (Calc)'!$A:$A)+1)-'Price History'!T3)*(ROW()-3)/(MATCH(9.99E+307,'Returns (Calc)'!$A:$A)-3),"")</f>
        <v>38.698227848101268</v>
      </c>
      <c r="AO83" s="144">
        <f>IFERROR('Price History'!V3+(INDEX('Price History'!V:V,MATCH(9.99E+307,'Returns (Calc)'!$A:$A)+1)-'Price History'!V3)*(ROW()-3)/(MATCH(9.99E+307,'Returns (Calc)'!$A:$A)-3),"")</f>
        <v>298.93632911392405</v>
      </c>
      <c r="AP83" s="142">
        <f>IFERROR(IF(OR(NOT(ISNUMBER('Price History'!W84)),NOT(ISNUMBER('Price History'!W83)),'Price History'!W83=0),"",'Price History'!W84/'Price History'!W83-1),"")</f>
        <v>-8.247925817471935E-2</v>
      </c>
      <c r="AQ83" s="142" t="str">
        <f>IFERROR(IF(OR(NOT(ISNUMBER('Price History'!X84)),NOT(ISNUMBER('Price History'!X83)),'Price History'!X83=0),"",'Price History'!X84/'Price History'!X83-1),"")</f>
        <v/>
      </c>
      <c r="AR83" s="142">
        <f>IFERROR(IF(OR(NOT(ISNUMBER('Price History'!Y84)),NOT(ISNUMBER('Price History'!Y83)),'Price History'!Y83=0),"",'Price History'!Y84/'Price History'!Y83-1),"")</f>
        <v>-7.3455423626484162E-2</v>
      </c>
      <c r="AS83" s="142">
        <f>IFERROR(IF(OR(NOT(ISNUMBER('Price History'!Z84)),NOT(ISNUMBER('Price History'!Z83)),'Price History'!Z83=0),"",'Price History'!Z84/'Price History'!Z83-1),"")</f>
        <v>-0.16542451404975334</v>
      </c>
      <c r="AT83" s="142">
        <f>IFERROR(IF(OR(NOT(ISNUMBER('Price History'!AA84)),NOT(ISNUMBER('Price History'!AA83)),'Price History'!AA83=0),"",'Price History'!AA84/'Price History'!AA83-1),"")</f>
        <v>-8.3520719563122348E-2</v>
      </c>
    </row>
    <row r="84" spans="1:46" ht="15" customHeight="1" x14ac:dyDescent="0.35">
      <c r="A84" s="140">
        <f>IF('Price History'!A85="","",'Price History'!A85)</f>
        <v>45758</v>
      </c>
      <c r="B84" s="141">
        <f>IFERROR(IF(OR(NOT(ISNUMBER('Price History'!B85)),NOT(ISNUMBER('Price History'!B84)),'Price History'!B84=0),"",'Price History'!B85/'Price History'!B84-1),"")</f>
        <v>9.7401667287364546E-3</v>
      </c>
      <c r="C84" s="141">
        <f>IFERROR(IF(OR(NOT(ISNUMBER('Price History'!C85)),NOT(ISNUMBER('Price History'!C84)),'Price History'!C84=0),"",'Price History'!C85/'Price History'!C84-1),"")</f>
        <v>0.12894205375174761</v>
      </c>
      <c r="D84" s="141">
        <f>IFERROR(IF(OR(NOT(ISNUMBER('Price History'!D85)),NOT(ISNUMBER('Price History'!D84)),'Price History'!D84=0),"",'Price History'!D85/'Price History'!D84-1),"")</f>
        <v>0.10447836044198522</v>
      </c>
      <c r="E84" s="141">
        <f>IFERROR(IF(OR(NOT(ISNUMBER('Price History'!E85)),NOT(ISNUMBER('Price History'!E84)),'Price History'!E84=0),"",'Price History'!E85/'Price History'!E84-1),"")</f>
        <v>0.24367307426358731</v>
      </c>
      <c r="F84" s="141">
        <f>IFERROR(IF(OR(NOT(ISNUMBER('Price History'!F85)),NOT(ISNUMBER('Price History'!F84)),'Price History'!F84=0),"",'Price History'!F85/'Price History'!F84-1),"")</f>
        <v>0.17485387389628149</v>
      </c>
      <c r="G84" s="141">
        <f>IFERROR(IF(OR(NOT(ISNUMBER('Price History'!G85)),NOT(ISNUMBER('Price History'!G84)),'Price History'!G84=0),"",'Price History'!G85/'Price History'!G84-1),"")</f>
        <v>0.16257883672039242</v>
      </c>
      <c r="H84" s="141">
        <f>IFERROR(IF(OR(NOT(ISNUMBER('Price History'!H85)),NOT(ISNUMBER('Price History'!H84)),'Price History'!H84=0),"",'Price History'!H85/'Price History'!H84-1),"")</f>
        <v>7.4504337050805391E-2</v>
      </c>
      <c r="I84" s="141">
        <f>IFERROR(IF(OR(NOT(ISNUMBER('Price History'!I85)),NOT(ISNUMBER('Price History'!I84)),'Price History'!I84=0),"",'Price History'!I85/'Price History'!I84-1),"")</f>
        <v>0.17625172743701523</v>
      </c>
      <c r="J84" s="141">
        <f>IFERROR(IF(OR(NOT(ISNUMBER('Price History'!J85)),NOT(ISNUMBER('Price History'!J84)),'Price History'!J84=0),"",'Price History'!J85/'Price History'!J84-1),"")</f>
        <v>-2.0425622928029186E-2</v>
      </c>
      <c r="K84" s="141">
        <f>IFERROR(IF(OR(NOT(ISNUMBER('Price History'!K85)),NOT(ISNUMBER('Price History'!K84)),'Price History'!K84=0),"",'Price History'!K85/'Price History'!K84-1),"")</f>
        <v>0.19645993784623683</v>
      </c>
      <c r="L84" s="141">
        <f>IFERROR(IF(OR(NOT(ISNUMBER('Price History'!L85)),NOT(ISNUMBER('Price History'!L84)),'Price History'!L84=0),"",'Price History'!L85/'Price History'!L84-1),"")</f>
        <v>7.0002772387025125E-2</v>
      </c>
      <c r="M84" s="141">
        <f>IFERROR(IF(OR(NOT(ISNUMBER('Price History'!M85)),NOT(ISNUMBER('Price History'!M84)),'Price History'!M84=0),"",'Price History'!M85/'Price History'!M84-1),"")</f>
        <v>0.1716405327937951</v>
      </c>
      <c r="N84" s="141">
        <f>IFERROR(IF(OR(NOT(ISNUMBER('Price History'!N85)),NOT(ISNUMBER('Price History'!N84)),'Price History'!N84=0),"",'Price History'!N85/'Price History'!N84-1),"")</f>
        <v>2.022670768193513E-2</v>
      </c>
      <c r="O84" s="141">
        <f>IFERROR(IF(OR(NOT(ISNUMBER('Price History'!O85)),NOT(ISNUMBER('Price History'!O84)),'Price History'!O84=0),"",'Price History'!O85/'Price History'!O84-1),"")</f>
        <v>1.2588512981903888E-2</v>
      </c>
      <c r="P84" s="141">
        <f>IFERROR(IF(OR(NOT(ISNUMBER('Price History'!P85)),NOT(ISNUMBER('Price History'!P84)),'Price History'!P84=0),"",'Price History'!P85/'Price History'!P84-1),"")</f>
        <v>1.6070502851218249E-2</v>
      </c>
      <c r="Q84" s="141">
        <f>IFERROR(IF(OR(NOT(ISNUMBER('Price History'!Q85)),NOT(ISNUMBER('Price History'!Q84)),'Price History'!Q84=0),"",'Price History'!Q85/'Price History'!Q84-1),"")</f>
        <v>1.8861272695223086E-2</v>
      </c>
      <c r="R84" s="141">
        <f>IFERROR(IF(OR(NOT(ISNUMBER('Price History'!R85)),NOT(ISNUMBER('Price History'!R84)),'Price History'!R84=0),"",'Price History'!R85/'Price History'!R84-1),"")</f>
        <v>6.3026282214850626E-2</v>
      </c>
      <c r="S84" s="141">
        <f>IFERROR(IF(OR(NOT(ISNUMBER('Price History'!S85)),NOT(ISNUMBER('Price History'!S84)),'Price History'!S84=0),"",'Price History'!S85/'Price History'!S84-1),"")</f>
        <v>9.1099090238504932E-2</v>
      </c>
      <c r="T84" s="141">
        <f>IFERROR(IF(OR(NOT(ISNUMBER('Price History'!T85)),NOT(ISNUMBER('Price History'!T84)),'Price History'!T84=0),"",'Price History'!T85/'Price History'!T84-1),"")</f>
        <v>2.1101219914276381E-2</v>
      </c>
      <c r="U84" s="141">
        <f>IFERROR(IF(OR(NOT(ISNUMBER('Price History'!U85)),NOT(ISNUMBER('Price History'!U84)),'Price History'!U84=0),"",'Price History'!U85/'Price History'!U84-1),"")</f>
        <v>8.3472454090149917E-4</v>
      </c>
      <c r="V84" s="142">
        <f>IFERROR(IF(OR(NOT(ISNUMBER('Price History'!V85)),NOT(ISNUMBER('Price History'!V84)),'Price History'!V84=0),"",'Price History'!V85/'Price History'!V84-1),"")</f>
        <v>6.4730772957782845E-2</v>
      </c>
      <c r="W84" s="143">
        <f>IFERROR('Price History'!B3+(INDEX('Price History'!B:B,MATCH(9.99E+307,'Returns (Calc)'!$A:$A)+1)-'Price History'!B3)*(ROW()-3)/(MATCH(9.99E+307,'Returns (Calc)'!$A:$A)-3),"")</f>
        <v>379.60392405063288</v>
      </c>
      <c r="X84" s="143">
        <f>IFERROR('Price History'!C3+(INDEX('Price History'!C:C,MATCH(9.99E+307,'Returns (Calc)'!$A:$A)+1)-'Price History'!C3)*(ROW()-3)/(MATCH(9.99E+307,'Returns (Calc)'!$A:$A)-3),"")</f>
        <v>128.80512658227846</v>
      </c>
      <c r="Y84" s="143">
        <f>IFERROR('Price History'!D3+(INDEX('Price History'!D:D,MATCH(9.99E+307,'Returns (Calc)'!$A:$A)+1)-'Price History'!D3)*(ROW()-3)/(MATCH(9.99E+307,'Returns (Calc)'!$A:$A)-3),"")</f>
        <v>1240.9296202531646</v>
      </c>
      <c r="Z84" s="143">
        <f>IFERROR('Price History'!E3+(INDEX('Price History'!E:E,MATCH(9.99E+307,'Returns (Calc)'!$A:$A)+1)-'Price History'!E3)*(ROW()-3)/(MATCH(9.99E+307,'Returns (Calc)'!$A:$A)-3),"")</f>
        <v>222.02746835443037</v>
      </c>
      <c r="AA84" s="143">
        <f>IFERROR('Price History'!F3+(INDEX('Price History'!F:F,MATCH(9.99E+307,'Returns (Calc)'!$A:$A)+1)-'Price History'!F3)*(ROW()-3)/(MATCH(9.99E+307,'Returns (Calc)'!$A:$A)-3),"")</f>
        <v>158.59468354430379</v>
      </c>
      <c r="AB84" s="143">
        <f>IFERROR('Price History'!G3+(INDEX('Price History'!G:G,MATCH(9.99E+307,'Returns (Calc)'!$A:$A)+1)-'Price History'!G3)*(ROW()-3)/(MATCH(9.99E+307,'Returns (Calc)'!$A:$A)-3),"")</f>
        <v>127.67746835443037</v>
      </c>
      <c r="AC84" s="143">
        <f>IFERROR('Price History'!H3+(INDEX('Price History'!H:H,MATCH(9.99E+307,'Returns (Calc)'!$A:$A)+1)-'Price History'!H3)*(ROW()-3)/(MATCH(9.99E+307,'Returns (Calc)'!$A:$A)-3),"")</f>
        <v>584.73139240506339</v>
      </c>
      <c r="AD84" s="143">
        <f>IFERROR('Price History'!I3+(INDEX('Price History'!I:I,MATCH(9.99E+307,'Returns (Calc)'!$A:$A)+1)-'Price History'!I3)*(ROW()-3)/(MATCH(9.99E+307,'Returns (Calc)'!$A:$A)-3),"")</f>
        <v>141.26734177215189</v>
      </c>
      <c r="AE84" s="143">
        <f>IFERROR('Price History'!J3+(INDEX('Price History'!J:J,MATCH(9.99E+307,'Returns (Calc)'!$A:$A)+1)-'Price History'!J3)*(ROW()-3)/(MATCH(9.99E+307,'Returns (Calc)'!$A:$A)-3),"")</f>
        <v>120.59107594936708</v>
      </c>
      <c r="AF84" s="143">
        <f>IFERROR('Price History'!K3+(INDEX('Price History'!K:K,MATCH(9.99E+307,'Returns (Calc)'!$A:$A)+1)-'Price History'!K3)*(ROW()-3)/(MATCH(9.99E+307,'Returns (Calc)'!$A:$A)-3),"")</f>
        <v>104.23518987341771</v>
      </c>
      <c r="AG84" s="143">
        <f>IFERROR('Price History'!L3+(INDEX('Price History'!L:L,MATCH(9.99E+307,'Returns (Calc)'!$A:$A)+1)-'Price History'!L3)*(ROW()-3)/(MATCH(9.99E+307,'Returns (Calc)'!$A:$A)-3),"")</f>
        <v>284.16411392405064</v>
      </c>
      <c r="AH84" s="143">
        <f>IFERROR('Price History'!M3+(INDEX('Price History'!M:M,MATCH(9.99E+307,'Returns (Calc)'!$A:$A)+1)-'Price History'!M3)*(ROW()-3)/(MATCH(9.99E+307,'Returns (Calc)'!$A:$A)-3),"")</f>
        <v>147.81088607594936</v>
      </c>
      <c r="AI84" s="143">
        <f>IFERROR('Price History'!N3+(INDEX('Price History'!N:N,MATCH(9.99E+307,'Returns (Calc)'!$A:$A)+1)-'Price History'!N3)*(ROW()-3)/(MATCH(9.99E+307,'Returns (Calc)'!$A:$A)-3),"")</f>
        <v>428.78753164556963</v>
      </c>
      <c r="AJ84" s="143">
        <f>IFERROR('Price History'!O3+(INDEX('Price History'!O:O,MATCH(9.99E+307,'Returns (Calc)'!$A:$A)+1)-'Price History'!O3)*(ROW()-3)/(MATCH(9.99E+307,'Returns (Calc)'!$A:$A)-3),"")</f>
        <v>98.236075949367091</v>
      </c>
      <c r="AK84" s="143">
        <f>IFERROR('Price History'!Q3+(INDEX('Price History'!Q:Q,MATCH(9.99E+307,'Returns (Calc)'!$A:$A)+1)-'Price History'!Q3)*(ROW()-3)/(MATCH(9.99E+307,'Returns (Calc)'!$A:$A)-3),"")</f>
        <v>35.588734177215194</v>
      </c>
      <c r="AL84" s="143">
        <f>IFERROR('Price History'!R3+(INDEX('Price History'!R:R,MATCH(9.99E+307,'Returns (Calc)'!$A:$A)+1)-'Price History'!R3)*(ROW()-3)/(MATCH(9.99E+307,'Returns (Calc)'!$A:$A)-3),"")</f>
        <v>48.096202531645567</v>
      </c>
      <c r="AM84" s="143">
        <f>IFERROR('Price History'!S3+(INDEX('Price History'!S:S,MATCH(9.99E+307,'Returns (Calc)'!$A:$A)+1)-'Price History'!S3)*(ROW()-3)/(MATCH(9.99E+307,'Returns (Calc)'!$A:$A)-3),"")</f>
        <v>106.64012658227848</v>
      </c>
      <c r="AN84" s="143">
        <f>IFERROR('Price History'!T3+(INDEX('Price History'!T:T,MATCH(9.99E+307,'Returns (Calc)'!$A:$A)+1)-'Price History'!T3)*(ROW()-3)/(MATCH(9.99E+307,'Returns (Calc)'!$A:$A)-3),"")</f>
        <v>38.866455696202529</v>
      </c>
      <c r="AO84" s="144">
        <f>IFERROR('Price History'!V3+(INDEX('Price History'!V:V,MATCH(9.99E+307,'Returns (Calc)'!$A:$A)+1)-'Price History'!V3)*(ROW()-3)/(MATCH(9.99E+307,'Returns (Calc)'!$A:$A)-3),"")</f>
        <v>299.72765822784811</v>
      </c>
      <c r="AP84" s="142">
        <f>IFERROR(IF(OR(NOT(ISNUMBER('Price History'!W85)),NOT(ISNUMBER('Price History'!W84)),'Price History'!W84=0),"",'Price History'!W85/'Price History'!W84-1),"")</f>
        <v>3.4131205673759046E-2</v>
      </c>
      <c r="AQ84" s="142" t="str">
        <f>IFERROR(IF(OR(NOT(ISNUMBER('Price History'!X85)),NOT(ISNUMBER('Price History'!X84)),'Price History'!X84=0),"",'Price History'!X85/'Price History'!X84-1),"")</f>
        <v/>
      </c>
      <c r="AR84" s="142">
        <f>IFERROR(IF(OR(NOT(ISNUMBER('Price History'!Y85)),NOT(ISNUMBER('Price History'!Y84)),'Price History'!Y84=0),"",'Price History'!Y85/'Price History'!Y84-1),"")</f>
        <v>3.5186794092093798E-2</v>
      </c>
      <c r="AS84" s="142">
        <f>IFERROR(IF(OR(NOT(ISNUMBER('Price History'!Z85)),NOT(ISNUMBER('Price History'!Z84)),'Price History'!Z84=0),"",'Price History'!Z85/'Price History'!Z84-1),"")</f>
        <v>8.9060520123091846E-2</v>
      </c>
      <c r="AT84" s="142">
        <f>IFERROR(IF(OR(NOT(ISNUMBER('Price History'!AA85)),NOT(ISNUMBER('Price History'!AA84)),'Price History'!AA84=0),"",'Price History'!AA85/'Price History'!AA84-1),"")</f>
        <v>7.2905713284262097E-2</v>
      </c>
    </row>
    <row r="85" spans="1:46" ht="15" customHeight="1" x14ac:dyDescent="0.35">
      <c r="A85" s="140">
        <f>IF('Price History'!A86="","",'Price History'!A86)</f>
        <v>45765</v>
      </c>
      <c r="B85" s="141">
        <f>IFERROR(IF(OR(NOT(ISNUMBER('Price History'!B86)),NOT(ISNUMBER('Price History'!B85)),'Price History'!B85=0),"",'Price History'!B86/'Price History'!B85-1),"")</f>
        <v>-1.0412233665276549E-2</v>
      </c>
      <c r="C85" s="141">
        <f>IFERROR(IF(OR(NOT(ISNUMBER('Price History'!C86)),NOT(ISNUMBER('Price History'!C85)),'Price History'!C85=0),"",'Price History'!C86/'Price History'!C85-1),"")</f>
        <v>-2.0228429888537236E-2</v>
      </c>
      <c r="D85" s="141">
        <f>IFERROR(IF(OR(NOT(ISNUMBER('Price History'!D86)),NOT(ISNUMBER('Price History'!D85)),'Price History'!D85=0),"",'Price History'!D86/'Price History'!D85-1),"")</f>
        <v>-4.2847845499538462E-2</v>
      </c>
      <c r="E85" s="141">
        <f>IFERROR(IF(OR(NOT(ISNUMBER('Price History'!E86)),NOT(ISNUMBER('Price History'!E85)),'Price History'!E85=0),"",'Price History'!E86/'Price History'!E85-1),"")</f>
        <v>-6.0157900589347335E-2</v>
      </c>
      <c r="F85" s="141">
        <f>IFERROR(IF(OR(NOT(ISNUMBER('Price History'!F86)),NOT(ISNUMBER('Price History'!F85)),'Price History'!F85=0),"",'Price History'!F86/'Price History'!F85-1),"")</f>
        <v>-6.033661479834751E-3</v>
      </c>
      <c r="G85" s="141">
        <f>IFERROR(IF(OR(NOT(ISNUMBER('Price History'!G86)),NOT(ISNUMBER('Price History'!G85)),'Price History'!G85=0),"",'Price History'!G86/'Price History'!G85-1),"")</f>
        <v>-5.3496081977094545E-2</v>
      </c>
      <c r="H85" s="141">
        <f>IFERROR(IF(OR(NOT(ISNUMBER('Price History'!H86)),NOT(ISNUMBER('Price History'!H85)),'Price History'!H85=0),"",'Price History'!H86/'Price History'!H85-1),"")</f>
        <v>-1.0667435490846366E-2</v>
      </c>
      <c r="I85" s="141">
        <f>IFERROR(IF(OR(NOT(ISNUMBER('Price History'!I86)),NOT(ISNUMBER('Price History'!I85)),'Price History'!I85=0),"",'Price History'!I86/'Price History'!I85-1),"")</f>
        <v>-8.513330320831447E-2</v>
      </c>
      <c r="J85" s="141">
        <f>IFERROR(IF(OR(NOT(ISNUMBER('Price History'!J86)),NOT(ISNUMBER('Price History'!J85)),'Price History'!J85=0),"",'Price History'!J86/'Price History'!J85-1),"")</f>
        <v>6.1026200873362413E-2</v>
      </c>
      <c r="K85" s="141">
        <f>IFERROR(IF(OR(NOT(ISNUMBER('Price History'!K86)),NOT(ISNUMBER('Price History'!K85)),'Price History'!K85=0),"",'Price History'!K86/'Price History'!K85-1),"")</f>
        <v>5.9062676453980778E-2</v>
      </c>
      <c r="L85" s="141">
        <f>IFERROR(IF(OR(NOT(ISNUMBER('Price History'!L86)),NOT(ISNUMBER('Price History'!L85)),'Price History'!L85=0),"",'Price History'!L86/'Price History'!L85-1),"")</f>
        <v>-3.4006995724834788E-2</v>
      </c>
      <c r="M85" s="141">
        <f>IFERROR(IF(OR(NOT(ISNUMBER('Price History'!M86)),NOT(ISNUMBER('Price History'!M85)),'Price History'!M85=0),"",'Price History'!M86/'Price History'!M85-1),"")</f>
        <v>5.180601525399342E-2</v>
      </c>
      <c r="N85" s="141">
        <f>IFERROR(IF(OR(NOT(ISNUMBER('Price History'!N86)),NOT(ISNUMBER('Price History'!N85)),'Price History'!N85=0),"",'Price History'!N86/'Price History'!N85-1),"")</f>
        <v>1.0078063690058148E-2</v>
      </c>
      <c r="O85" s="141">
        <f>IFERROR(IF(OR(NOT(ISNUMBER('Price History'!O86)),NOT(ISNUMBER('Price History'!O85)),'Price History'!O85=0),"",'Price History'!O86/'Price History'!O85-1),"")</f>
        <v>1.8648018648018683E-2</v>
      </c>
      <c r="P85" s="141">
        <f>IFERROR(IF(OR(NOT(ISNUMBER('Price History'!P86)),NOT(ISNUMBER('Price History'!P85)),'Price History'!P85=0),"",'Price History'!P86/'Price History'!P85-1),"")</f>
        <v>1.4710884353741571E-2</v>
      </c>
      <c r="Q85" s="141">
        <f>IFERROR(IF(OR(NOT(ISNUMBER('Price History'!Q86)),NOT(ISNUMBER('Price History'!Q85)),'Price History'!Q85=0),"",'Price History'!Q86/'Price History'!Q85-1),"")</f>
        <v>-6.0553633217992342E-3</v>
      </c>
      <c r="R85" s="141">
        <f>IFERROR(IF(OR(NOT(ISNUMBER('Price History'!R86)),NOT(ISNUMBER('Price History'!R85)),'Price History'!R85=0),"",'Price History'!R86/'Price History'!R85-1),"")</f>
        <v>-1.6082573211713691E-2</v>
      </c>
      <c r="S85" s="141">
        <f>IFERROR(IF(OR(NOT(ISNUMBER('Price History'!S86)),NOT(ISNUMBER('Price History'!S85)),'Price History'!S85=0),"",'Price History'!S86/'Price History'!S85-1),"")</f>
        <v>-1.7352112676056408E-2</v>
      </c>
      <c r="T85" s="141">
        <f>IFERROR(IF(OR(NOT(ISNUMBER('Price History'!T86)),NOT(ISNUMBER('Price History'!T85)),'Price History'!T85=0),"",'Price History'!T86/'Price History'!T85-1),"")</f>
        <v>6.780755569906427E-3</v>
      </c>
      <c r="U85" s="141">
        <f>IFERROR(IF(OR(NOT(ISNUMBER('Price History'!U86)),NOT(ISNUMBER('Price History'!U85)),'Price History'!U85=0),"",'Price History'!U86/'Price History'!U85-1),"")</f>
        <v>4.5871559633028358E-3</v>
      </c>
      <c r="V85" s="142">
        <f>IFERROR(IF(OR(NOT(ISNUMBER('Price History'!V86)),NOT(ISNUMBER('Price History'!V85)),'Price History'!V85=0),"",'Price History'!V86/'Price History'!V85-1),"")</f>
        <v>-1.1376391711919398E-2</v>
      </c>
      <c r="W85" s="143">
        <f>IFERROR('Price History'!B3+(INDEX('Price History'!B:B,MATCH(9.99E+307,'Returns (Calc)'!$A:$A)+1)-'Price History'!B3)*(ROW()-3)/(MATCH(9.99E+307,'Returns (Calc)'!$A:$A)-3),"")</f>
        <v>377.76088607594937</v>
      </c>
      <c r="X85" s="143">
        <f>IFERROR('Price History'!C3+(INDEX('Price History'!C:C,MATCH(9.99E+307,'Returns (Calc)'!$A:$A)+1)-'Price History'!C3)*(ROW()-3)/(MATCH(9.99E+307,'Returns (Calc)'!$A:$A)-3),"")</f>
        <v>129.82518987341771</v>
      </c>
      <c r="Y85" s="143">
        <f>IFERROR('Price History'!D3+(INDEX('Price History'!D:D,MATCH(9.99E+307,'Returns (Calc)'!$A:$A)+1)-'Price History'!D3)*(ROW()-3)/(MATCH(9.99E+307,'Returns (Calc)'!$A:$A)-3),"")</f>
        <v>1249.0644303797467</v>
      </c>
      <c r="Z85" s="143">
        <f>IFERROR('Price History'!E3+(INDEX('Price History'!E:E,MATCH(9.99E+307,'Returns (Calc)'!$A:$A)+1)-'Price History'!E3)*(ROW()-3)/(MATCH(9.99E+307,'Returns (Calc)'!$A:$A)-3),"")</f>
        <v>223.75620253164556</v>
      </c>
      <c r="AA85" s="143">
        <f>IFERROR('Price History'!F3+(INDEX('Price History'!F:F,MATCH(9.99E+307,'Returns (Calc)'!$A:$A)+1)-'Price History'!F3)*(ROW()-3)/(MATCH(9.99E+307,'Returns (Calc)'!$A:$A)-3),"")</f>
        <v>160.04202531645569</v>
      </c>
      <c r="AB85" s="143">
        <f>IFERROR('Price History'!G3+(INDEX('Price History'!G:G,MATCH(9.99E+307,'Returns (Calc)'!$A:$A)+1)-'Price History'!G3)*(ROW()-3)/(MATCH(9.99E+307,'Returns (Calc)'!$A:$A)-3),"")</f>
        <v>128.70620253164557</v>
      </c>
      <c r="AC85" s="143">
        <f>IFERROR('Price History'!H3+(INDEX('Price History'!H:H,MATCH(9.99E+307,'Returns (Calc)'!$A:$A)+1)-'Price History'!H3)*(ROW()-3)/(MATCH(9.99E+307,'Returns (Calc)'!$A:$A)-3),"")</f>
        <v>591.09708860759497</v>
      </c>
      <c r="AD85" s="143">
        <f>IFERROR('Price History'!I3+(INDEX('Price History'!I:I,MATCH(9.99E+307,'Returns (Calc)'!$A:$A)+1)-'Price History'!I3)*(ROW()-3)/(MATCH(9.99E+307,'Returns (Calc)'!$A:$A)-3),"")</f>
        <v>142.47101265822783</v>
      </c>
      <c r="AE85" s="143">
        <f>IFERROR('Price History'!J3+(INDEX('Price History'!J:J,MATCH(9.99E+307,'Returns (Calc)'!$A:$A)+1)-'Price History'!J3)*(ROW()-3)/(MATCH(9.99E+307,'Returns (Calc)'!$A:$A)-3),"")</f>
        <v>120.69911392405064</v>
      </c>
      <c r="AF85" s="143">
        <f>IFERROR('Price History'!K3+(INDEX('Price History'!K:K,MATCH(9.99E+307,'Returns (Calc)'!$A:$A)+1)-'Price History'!K3)*(ROW()-3)/(MATCH(9.99E+307,'Returns (Calc)'!$A:$A)-3),"")</f>
        <v>105.33278481012657</v>
      </c>
      <c r="AG85" s="143">
        <f>IFERROR('Price History'!L3+(INDEX('Price History'!L:L,MATCH(9.99E+307,'Returns (Calc)'!$A:$A)+1)-'Price History'!L3)*(ROW()-3)/(MATCH(9.99E+307,'Returns (Calc)'!$A:$A)-3),"")</f>
        <v>286.61367088607597</v>
      </c>
      <c r="AH85" s="143">
        <f>IFERROR('Price History'!M3+(INDEX('Price History'!M:M,MATCH(9.99E+307,'Returns (Calc)'!$A:$A)+1)-'Price History'!M3)*(ROW()-3)/(MATCH(9.99E+307,'Returns (Calc)'!$A:$A)-3),"")</f>
        <v>149.16632911392404</v>
      </c>
      <c r="AI85" s="143">
        <f>IFERROR('Price History'!N3+(INDEX('Price History'!N:N,MATCH(9.99E+307,'Returns (Calc)'!$A:$A)+1)-'Price History'!N3)*(ROW()-3)/(MATCH(9.99E+307,'Returns (Calc)'!$A:$A)-3),"")</f>
        <v>429.77379746835442</v>
      </c>
      <c r="AJ85" s="143">
        <f>IFERROR('Price History'!O3+(INDEX('Price History'!O:O,MATCH(9.99E+307,'Returns (Calc)'!$A:$A)+1)-'Price History'!O3)*(ROW()-3)/(MATCH(9.99E+307,'Returns (Calc)'!$A:$A)-3),"")</f>
        <v>98.519113924050629</v>
      </c>
      <c r="AK85" s="143">
        <f>IFERROR('Price History'!Q3+(INDEX('Price History'!Q:Q,MATCH(9.99E+307,'Returns (Calc)'!$A:$A)+1)-'Price History'!Q3)*(ROW()-3)/(MATCH(9.99E+307,'Returns (Calc)'!$A:$A)-3),"")</f>
        <v>36.028101265822791</v>
      </c>
      <c r="AL85" s="143">
        <f>IFERROR('Price History'!R3+(INDEX('Price History'!R:R,MATCH(9.99E+307,'Returns (Calc)'!$A:$A)+1)-'Price History'!R3)*(ROW()-3)/(MATCH(9.99E+307,'Returns (Calc)'!$A:$A)-3),"")</f>
        <v>48.264303797468351</v>
      </c>
      <c r="AM85" s="143">
        <f>IFERROR('Price History'!S3+(INDEX('Price History'!S:S,MATCH(9.99E+307,'Returns (Calc)'!$A:$A)+1)-'Price History'!S3)*(ROW()-3)/(MATCH(9.99E+307,'Returns (Calc)'!$A:$A)-3),"")</f>
        <v>107.24518987341773</v>
      </c>
      <c r="AN85" s="143">
        <f>IFERROR('Price History'!T3+(INDEX('Price History'!T:T,MATCH(9.99E+307,'Returns (Calc)'!$A:$A)+1)-'Price History'!T3)*(ROW()-3)/(MATCH(9.99E+307,'Returns (Calc)'!$A:$A)-3),"")</f>
        <v>39.034683544303796</v>
      </c>
      <c r="AO85" s="144">
        <f>IFERROR('Price History'!V3+(INDEX('Price History'!V:V,MATCH(9.99E+307,'Returns (Calc)'!$A:$A)+1)-'Price History'!V3)*(ROW()-3)/(MATCH(9.99E+307,'Returns (Calc)'!$A:$A)-3),"")</f>
        <v>300.51898734177217</v>
      </c>
      <c r="AP85" s="142">
        <f>IFERROR(IF(OR(NOT(ISNUMBER('Price History'!W86)),NOT(ISNUMBER('Price History'!W85)),'Price History'!W85=0),"",'Price History'!W86/'Price History'!W85-1),"")</f>
        <v>-1.5430775825118204E-3</v>
      </c>
      <c r="AQ85" s="142" t="str">
        <f>IFERROR(IF(OR(NOT(ISNUMBER('Price History'!X86)),NOT(ISNUMBER('Price History'!X85)),'Price History'!X85=0),"",'Price History'!X86/'Price History'!X85-1),"")</f>
        <v/>
      </c>
      <c r="AR85" s="142">
        <f>IFERROR(IF(OR(NOT(ISNUMBER('Price History'!Y86)),NOT(ISNUMBER('Price History'!Y85)),'Price History'!Y85=0),"",'Price History'!Y86/'Price History'!Y85-1),"")</f>
        <v>-3.9865715484682651E-3</v>
      </c>
      <c r="AS85" s="142">
        <f>IFERROR(IF(OR(NOT(ISNUMBER('Price History'!Z86)),NOT(ISNUMBER('Price History'!Z85)),'Price History'!Z85=0),"",'Price History'!Z86/'Price History'!Z85-1),"")</f>
        <v>6.648567787690407E-4</v>
      </c>
      <c r="AT85" s="142">
        <f>IFERROR(IF(OR(NOT(ISNUMBER('Price History'!AA86)),NOT(ISNUMBER('Price History'!AA85)),'Price History'!AA85=0),"",'Price History'!AA86/'Price History'!AA85-1),"")</f>
        <v>5.9566590438854483E-2</v>
      </c>
    </row>
    <row r="86" spans="1:46" ht="15" customHeight="1" x14ac:dyDescent="0.35">
      <c r="A86" s="140">
        <f>IF('Price History'!A87="","",'Price History'!A87)</f>
        <v>45772</v>
      </c>
      <c r="B86" s="141">
        <f>IFERROR(IF(OR(NOT(ISNUMBER('Price History'!B87)),NOT(ISNUMBER('Price History'!B86)),'Price History'!B86=0),"",'Price History'!B87/'Price History'!B86-1),"")</f>
        <v>5.4243119266055073E-2</v>
      </c>
      <c r="C86" s="141">
        <f>IFERROR(IF(OR(NOT(ISNUMBER('Price History'!C87)),NOT(ISNUMBER('Price History'!C86)),'Price History'!C86=0),"",'Price History'!C87/'Price History'!C86-1),"")</f>
        <v>9.4241573033707837E-2</v>
      </c>
      <c r="D86" s="141">
        <f>IFERROR(IF(OR(NOT(ISNUMBER('Price History'!D87)),NOT(ISNUMBER('Price History'!D86)),'Price History'!D86=0),"",'Price History'!D87/'Price History'!D86-1),"")</f>
        <v>5.7969639468690604E-2</v>
      </c>
      <c r="E86" s="141">
        <f>IFERROR(IF(OR(NOT(ISNUMBER('Price History'!E87)),NOT(ISNUMBER('Price History'!E86)),'Price History'!E86=0),"",'Price History'!E87/'Price History'!E86-1),"")</f>
        <v>0.12470421202082349</v>
      </c>
      <c r="F86" s="141">
        <f>IFERROR(IF(OR(NOT(ISNUMBER('Price History'!F87)),NOT(ISNUMBER('Price History'!F86)),'Price History'!F86=0),"",'Price History'!F87/'Price History'!F86-1),"")</f>
        <v>0.13120340788072404</v>
      </c>
      <c r="G86" s="141">
        <f>IFERROR(IF(OR(NOT(ISNUMBER('Price History'!G87)),NOT(ISNUMBER('Price History'!G86)),'Price History'!G86=0),"",'Price History'!G87/'Price History'!G86-1),"")</f>
        <v>9.4889348829804154E-2</v>
      </c>
      <c r="H86" s="141">
        <f>IFERROR(IF(OR(NOT(ISNUMBER('Price History'!H87)),NOT(ISNUMBER('Price History'!H86)),'Price History'!H86=0),"",'Price History'!H87/'Price History'!H86-1),"")</f>
        <v>0.15955121666909511</v>
      </c>
      <c r="I86" s="141">
        <f>IFERROR(IF(OR(NOT(ISNUMBER('Price History'!I87)),NOT(ISNUMBER('Price History'!I86)),'Price History'!I86=0),"",'Price History'!I87/'Price History'!I86-1),"")</f>
        <v>9.3845697915637682E-2</v>
      </c>
      <c r="J86" s="141">
        <f>IFERROR(IF(OR(NOT(ISNUMBER('Price History'!J87)),NOT(ISNUMBER('Price History'!J86)),'Price History'!J86=0),"",'Price History'!J87/'Price History'!J86-1),"")</f>
        <v>1.3375861714166604E-3</v>
      </c>
      <c r="K86" s="141">
        <f>IFERROR(IF(OR(NOT(ISNUMBER('Price History'!K87)),NOT(ISNUMBER('Price History'!K86)),'Price History'!K86=0),"",'Price History'!K87/'Price History'!K86-1),"")</f>
        <v>0.20260183407976107</v>
      </c>
      <c r="L86" s="141">
        <f>IFERROR(IF(OR(NOT(ISNUMBER('Price History'!L87)),NOT(ISNUMBER('Price History'!L86)),'Price History'!L86=0),"",'Price History'!L87/'Price History'!L86-1),"")</f>
        <v>8.8043988466438572E-2</v>
      </c>
      <c r="M86" s="141">
        <f>IFERROR(IF(OR(NOT(ISNUMBER('Price History'!M87)),NOT(ISNUMBER('Price History'!M86)),'Price History'!M86=0),"",'Price History'!M87/'Price History'!M86-1),"")</f>
        <v>0.18757695991243661</v>
      </c>
      <c r="N86" s="141">
        <f>IFERROR(IF(OR(NOT(ISNUMBER('Price History'!N87)),NOT(ISNUMBER('Price History'!N86)),'Price History'!N86=0),"",'Price History'!N87/'Price History'!N86-1),"")</f>
        <v>9.6912696790021347E-3</v>
      </c>
      <c r="O86" s="141">
        <f>IFERROR(IF(OR(NOT(ISNUMBER('Price History'!O87)),NOT(ISNUMBER('Price History'!O86)),'Price History'!O86=0),"",'Price History'!O87/'Price History'!O86-1),"")</f>
        <v>2.8095601322146058E-2</v>
      </c>
      <c r="P86" s="141">
        <f>IFERROR(IF(OR(NOT(ISNUMBER('Price History'!P87)),NOT(ISNUMBER('Price History'!P86)),'Price History'!P86=0),"",'Price History'!P87/'Price History'!P86-1),"")</f>
        <v>1.4330009218134654E-2</v>
      </c>
      <c r="Q86" s="141">
        <f>IFERROR(IF(OR(NOT(ISNUMBER('Price History'!Q87)),NOT(ISNUMBER('Price History'!Q86)),'Price History'!Q86=0),"",'Price History'!Q87/'Price History'!Q86-1),"")</f>
        <v>1.7754569190600478E-2</v>
      </c>
      <c r="R86" s="141">
        <f>IFERROR(IF(OR(NOT(ISNUMBER('Price History'!R87)),NOT(ISNUMBER('Price History'!R86)),'Price History'!R86=0),"",'Price History'!R87/'Price History'!R86-1),"")</f>
        <v>4.8060502561600327E-2</v>
      </c>
      <c r="S86" s="141">
        <f>IFERROR(IF(OR(NOT(ISNUMBER('Price History'!S87)),NOT(ISNUMBER('Price History'!S86)),'Price History'!S86=0),"",'Price History'!S87/'Price History'!S86-1),"")</f>
        <v>6.5244811374842504E-2</v>
      </c>
      <c r="T86" s="141">
        <f>IFERROR(IF(OR(NOT(ISNUMBER('Price History'!T87)),NOT(ISNUMBER('Price History'!T86)),'Price History'!T86=0),"",'Price History'!T87/'Price History'!T86-1),"")</f>
        <v>3.303399615137903E-2</v>
      </c>
      <c r="U86" s="141">
        <f>IFERROR(IF(OR(NOT(ISNUMBER('Price History'!U87)),NOT(ISNUMBER('Price History'!U86)),'Price History'!U86=0),"",'Price History'!U87/'Price History'!U86-1),"")</f>
        <v>9.9626400996264408E-3</v>
      </c>
      <c r="V86" s="142">
        <f>IFERROR(IF(OR(NOT(ISNUMBER('Price History'!V87)),NOT(ISNUMBER('Price History'!V86)),'Price History'!V86=0),"",'Price History'!V87/'Price History'!V86-1),"")</f>
        <v>1.6877378176015645E-2</v>
      </c>
      <c r="W86" s="143">
        <f>IFERROR('Price History'!B3+(INDEX('Price History'!B:B,MATCH(9.99E+307,'Returns (Calc)'!$A:$A)+1)-'Price History'!B3)*(ROW()-3)/(MATCH(9.99E+307,'Returns (Calc)'!$A:$A)-3),"")</f>
        <v>375.9178481012658</v>
      </c>
      <c r="X86" s="143">
        <f>IFERROR('Price History'!C3+(INDEX('Price History'!C:C,MATCH(9.99E+307,'Returns (Calc)'!$A:$A)+1)-'Price History'!C3)*(ROW()-3)/(MATCH(9.99E+307,'Returns (Calc)'!$A:$A)-3),"")</f>
        <v>130.84525316455696</v>
      </c>
      <c r="Y86" s="143">
        <f>IFERROR('Price History'!D3+(INDEX('Price History'!D:D,MATCH(9.99E+307,'Returns (Calc)'!$A:$A)+1)-'Price History'!D3)*(ROW()-3)/(MATCH(9.99E+307,'Returns (Calc)'!$A:$A)-3),"")</f>
        <v>1257.199240506329</v>
      </c>
      <c r="Z86" s="143">
        <f>IFERROR('Price History'!E3+(INDEX('Price History'!E:E,MATCH(9.99E+307,'Returns (Calc)'!$A:$A)+1)-'Price History'!E3)*(ROW()-3)/(MATCH(9.99E+307,'Returns (Calc)'!$A:$A)-3),"")</f>
        <v>225.48493670886074</v>
      </c>
      <c r="AA86" s="143">
        <f>IFERROR('Price History'!F3+(INDEX('Price History'!F:F,MATCH(9.99E+307,'Returns (Calc)'!$A:$A)+1)-'Price History'!F3)*(ROW()-3)/(MATCH(9.99E+307,'Returns (Calc)'!$A:$A)-3),"")</f>
        <v>161.48936708860759</v>
      </c>
      <c r="AB86" s="143">
        <f>IFERROR('Price History'!G3+(INDEX('Price History'!G:G,MATCH(9.99E+307,'Returns (Calc)'!$A:$A)+1)-'Price History'!G3)*(ROW()-3)/(MATCH(9.99E+307,'Returns (Calc)'!$A:$A)-3),"")</f>
        <v>129.73493670886077</v>
      </c>
      <c r="AC86" s="143">
        <f>IFERROR('Price History'!H3+(INDEX('Price History'!H:H,MATCH(9.99E+307,'Returns (Calc)'!$A:$A)+1)-'Price History'!H3)*(ROW()-3)/(MATCH(9.99E+307,'Returns (Calc)'!$A:$A)-3),"")</f>
        <v>597.46278481012666</v>
      </c>
      <c r="AD86" s="143">
        <f>IFERROR('Price History'!I3+(INDEX('Price History'!I:I,MATCH(9.99E+307,'Returns (Calc)'!$A:$A)+1)-'Price History'!I3)*(ROW()-3)/(MATCH(9.99E+307,'Returns (Calc)'!$A:$A)-3),"")</f>
        <v>143.6746835443038</v>
      </c>
      <c r="AE86" s="143">
        <f>IFERROR('Price History'!J3+(INDEX('Price History'!J:J,MATCH(9.99E+307,'Returns (Calc)'!$A:$A)+1)-'Price History'!J3)*(ROW()-3)/(MATCH(9.99E+307,'Returns (Calc)'!$A:$A)-3),"")</f>
        <v>120.80715189873418</v>
      </c>
      <c r="AF86" s="143">
        <f>IFERROR('Price History'!K3+(INDEX('Price History'!K:K,MATCH(9.99E+307,'Returns (Calc)'!$A:$A)+1)-'Price History'!K3)*(ROW()-3)/(MATCH(9.99E+307,'Returns (Calc)'!$A:$A)-3),"")</f>
        <v>106.43037974683543</v>
      </c>
      <c r="AG86" s="143">
        <f>IFERROR('Price History'!L3+(INDEX('Price History'!L:L,MATCH(9.99E+307,'Returns (Calc)'!$A:$A)+1)-'Price History'!L3)*(ROW()-3)/(MATCH(9.99E+307,'Returns (Calc)'!$A:$A)-3),"")</f>
        <v>289.06322784810129</v>
      </c>
      <c r="AH86" s="143">
        <f>IFERROR('Price History'!M3+(INDEX('Price History'!M:M,MATCH(9.99E+307,'Returns (Calc)'!$A:$A)+1)-'Price History'!M3)*(ROW()-3)/(MATCH(9.99E+307,'Returns (Calc)'!$A:$A)-3),"")</f>
        <v>150.52177215189872</v>
      </c>
      <c r="AI86" s="143">
        <f>IFERROR('Price History'!N3+(INDEX('Price History'!N:N,MATCH(9.99E+307,'Returns (Calc)'!$A:$A)+1)-'Price History'!N3)*(ROW()-3)/(MATCH(9.99E+307,'Returns (Calc)'!$A:$A)-3),"")</f>
        <v>430.7600632911392</v>
      </c>
      <c r="AJ86" s="143">
        <f>IFERROR('Price History'!O3+(INDEX('Price History'!O:O,MATCH(9.99E+307,'Returns (Calc)'!$A:$A)+1)-'Price History'!O3)*(ROW()-3)/(MATCH(9.99E+307,'Returns (Calc)'!$A:$A)-3),"")</f>
        <v>98.802151898734181</v>
      </c>
      <c r="AK86" s="143">
        <f>IFERROR('Price History'!Q3+(INDEX('Price History'!Q:Q,MATCH(9.99E+307,'Returns (Calc)'!$A:$A)+1)-'Price History'!Q3)*(ROW()-3)/(MATCH(9.99E+307,'Returns (Calc)'!$A:$A)-3),"")</f>
        <v>36.46746835443038</v>
      </c>
      <c r="AL86" s="143">
        <f>IFERROR('Price History'!R3+(INDEX('Price History'!R:R,MATCH(9.99E+307,'Returns (Calc)'!$A:$A)+1)-'Price History'!R3)*(ROW()-3)/(MATCH(9.99E+307,'Returns (Calc)'!$A:$A)-3),"")</f>
        <v>48.432405063291135</v>
      </c>
      <c r="AM86" s="143">
        <f>IFERROR('Price History'!S3+(INDEX('Price History'!S:S,MATCH(9.99E+307,'Returns (Calc)'!$A:$A)+1)-'Price History'!S3)*(ROW()-3)/(MATCH(9.99E+307,'Returns (Calc)'!$A:$A)-3),"")</f>
        <v>107.85025316455696</v>
      </c>
      <c r="AN86" s="143">
        <f>IFERROR('Price History'!T3+(INDEX('Price History'!T:T,MATCH(9.99E+307,'Returns (Calc)'!$A:$A)+1)-'Price History'!T3)*(ROW()-3)/(MATCH(9.99E+307,'Returns (Calc)'!$A:$A)-3),"")</f>
        <v>39.202911392405063</v>
      </c>
      <c r="AO86" s="144">
        <f>IFERROR('Price History'!V3+(INDEX('Price History'!V:V,MATCH(9.99E+307,'Returns (Calc)'!$A:$A)+1)-'Price History'!V3)*(ROW()-3)/(MATCH(9.99E+307,'Returns (Calc)'!$A:$A)-3),"")</f>
        <v>301.31031645569624</v>
      </c>
      <c r="AP86" s="142">
        <f>IFERROR(IF(OR(NOT(ISNUMBER('Price History'!W87)),NOT(ISNUMBER('Price History'!W86)),'Price History'!W86=0),"",'Price History'!W87/'Price History'!W86-1),"")</f>
        <v>2.0434446638619264E-2</v>
      </c>
      <c r="AQ86" s="142" t="str">
        <f>IFERROR(IF(OR(NOT(ISNUMBER('Price History'!X87)),NOT(ISNUMBER('Price History'!X86)),'Price History'!X86=0),"",'Price History'!X87/'Price History'!X86-1),"")</f>
        <v/>
      </c>
      <c r="AR86" s="142">
        <f>IFERROR(IF(OR(NOT(ISNUMBER('Price History'!Y87)),NOT(ISNUMBER('Price History'!Y86)),'Price History'!Y86=0),"",'Price History'!Y87/'Price History'!Y86-1),"")</f>
        <v>2.2540551927533237E-2</v>
      </c>
      <c r="AS86" s="142">
        <f>IFERROR(IF(OR(NOT(ISNUMBER('Price History'!Z87)),NOT(ISNUMBER('Price History'!Z86)),'Price History'!Z86=0),"",'Price History'!Z87/'Price History'!Z86-1),"")</f>
        <v>9.1523171474447551E-2</v>
      </c>
      <c r="AT86" s="142">
        <f>IFERROR(IF(OR(NOT(ISNUMBER('Price History'!AA87)),NOT(ISNUMBER('Price History'!AA86)),'Price History'!AA86=0),"",'Price History'!AA87/'Price History'!AA86-1),"")</f>
        <v>0.13206577595066804</v>
      </c>
    </row>
    <row r="87" spans="1:46" ht="15" customHeight="1" x14ac:dyDescent="0.35">
      <c r="A87" s="140">
        <f>IF('Price History'!A88="","",'Price History'!A88)</f>
        <v>45779</v>
      </c>
      <c r="B87" s="141">
        <f>IFERROR(IF(OR(NOT(ISNUMBER('Price History'!B88)),NOT(ISNUMBER('Price History'!B87)),'Price History'!B87=0),"",'Price History'!B88/'Price History'!B87-1),"")</f>
        <v>3.5760905036440693E-2</v>
      </c>
      <c r="C87" s="141">
        <f>IFERROR(IF(OR(NOT(ISNUMBER('Price History'!C88)),NOT(ISNUMBER('Price History'!C87)),'Price History'!C87=0),"",'Price History'!C88/'Price History'!C87-1),"")</f>
        <v>0.16827108201771268</v>
      </c>
      <c r="D87" s="141">
        <f>IFERROR(IF(OR(NOT(ISNUMBER('Price History'!D88)),NOT(ISNUMBER('Price History'!D87)),'Price History'!D87=0),"",'Price History'!D88/'Price History'!D87-1),"")</f>
        <v>2.2449406630197677E-2</v>
      </c>
      <c r="E87" s="141">
        <f>IFERROR(IF(OR(NOT(ISNUMBER('Price History'!E88)),NOT(ISNUMBER('Price History'!E87)),'Price History'!E87=0),"",'Price History'!E88/'Price History'!E87-1),"")</f>
        <v>5.8910162002945521E-2</v>
      </c>
      <c r="F87" s="141">
        <f>IFERROR(IF(OR(NOT(ISNUMBER('Price History'!F88)),NOT(ISNUMBER('Price History'!F87)),'Price History'!F87=0),"",'Price History'!F88/'Price History'!F87-1),"")</f>
        <v>3.6904537751835775E-2</v>
      </c>
      <c r="G87" s="141">
        <f>IFERROR(IF(OR(NOT(ISNUMBER('Price History'!G88)),NOT(ISNUMBER('Price History'!G87)),'Price History'!G87=0),"",'Price History'!G88/'Price History'!G87-1),"")</f>
        <v>5.0894285298823672E-3</v>
      </c>
      <c r="H87" s="141">
        <f>IFERROR(IF(OR(NOT(ISNUMBER('Price History'!H88)),NOT(ISNUMBER('Price History'!H87)),'Price History'!H87=0),"",'Price History'!H88/'Price History'!H87-1),"")</f>
        <v>1.1686353355114365E-2</v>
      </c>
      <c r="I87" s="141">
        <f>IFERROR(IF(OR(NOT(ISNUMBER('Price History'!I88)),NOT(ISNUMBER('Price History'!I87)),'Price History'!I87=0),"",'Price History'!I88/'Price History'!I87-1),"")</f>
        <v>3.1427797344892872E-2</v>
      </c>
      <c r="J87" s="141">
        <f>IFERROR(IF(OR(NOT(ISNUMBER('Price History'!J88)),NOT(ISNUMBER('Price History'!J87)),'Price History'!J87=0),"",'Price History'!J88/'Price History'!J87-1),"")</f>
        <v>3.1031648170982473E-2</v>
      </c>
      <c r="K87" s="141">
        <f>IFERROR(IF(OR(NOT(ISNUMBER('Price History'!K88)),NOT(ISNUMBER('Price History'!K87)),'Price History'!K87=0),"",'Price History'!K88/'Price History'!K87-1),"")</f>
        <v>0.10196843411952483</v>
      </c>
      <c r="L87" s="141">
        <f>IFERROR(IF(OR(NOT(ISNUMBER('Price History'!L88)),NOT(ISNUMBER('Price History'!L87)),'Price History'!L87=0),"",'Price History'!L88/'Price History'!L87-1),"")</f>
        <v>8.5911500061629509E-2</v>
      </c>
      <c r="M87" s="141">
        <f>IFERROR(IF(OR(NOT(ISNUMBER('Price History'!M88)),NOT(ISNUMBER('Price History'!M87)),'Price History'!M87=0),"",'Price History'!M88/'Price History'!M87-1),"")</f>
        <v>9.2626728110599243E-2</v>
      </c>
      <c r="N87" s="141">
        <f>IFERROR(IF(OR(NOT(ISNUMBER('Price History'!N88)),NOT(ISNUMBER('Price History'!N87)),'Price History'!N87=0),"",'Price History'!N88/'Price History'!N87-1),"")</f>
        <v>1.4802365138506302E-2</v>
      </c>
      <c r="O87" s="141">
        <f>IFERROR(IF(OR(NOT(ISNUMBER('Price History'!O88)),NOT(ISNUMBER('Price History'!O87)),'Price History'!O87=0),"",'Price History'!O88/'Price History'!O87-1),"")</f>
        <v>3.3881538271299583E-2</v>
      </c>
      <c r="P87" s="141">
        <f>IFERROR(IF(OR(NOT(ISNUMBER('Price History'!P88)),NOT(ISNUMBER('Price History'!P87)),'Price History'!P87=0),"",'Price History'!P88/'Price History'!P87-1),"")</f>
        <v>1.6606080634500975E-2</v>
      </c>
      <c r="Q87" s="141">
        <f>IFERROR(IF(OR(NOT(ISNUMBER('Price History'!Q88)),NOT(ISNUMBER('Price History'!Q87)),'Price History'!Q87=0),"",'Price History'!Q88/'Price History'!Q87-1),"")</f>
        <v>1.641867624422777E-2</v>
      </c>
      <c r="R87" s="141">
        <f>IFERROR(IF(OR(NOT(ISNUMBER('Price History'!R88)),NOT(ISNUMBER('Price History'!R87)),'Price History'!R87=0),"",'Price History'!R88/'Price History'!R87-1),"")</f>
        <v>1.9785847299813808E-2</v>
      </c>
      <c r="S87" s="141">
        <f>IFERROR(IF(OR(NOT(ISNUMBER('Price History'!S88)),NOT(ISNUMBER('Price History'!S87)),'Price History'!S87=0),"",'Price History'!S88/'Price History'!S87-1),"")</f>
        <v>4.0258342303552075E-2</v>
      </c>
      <c r="T87" s="141">
        <f>IFERROR(IF(OR(NOT(ISNUMBER('Price History'!T88)),NOT(ISNUMBER('Price History'!T87)),'Price History'!T87=0),"",'Price History'!T88/'Price History'!T87-1),"")</f>
        <v>1.9248680533995532E-2</v>
      </c>
      <c r="U87" s="141">
        <f>IFERROR(IF(OR(NOT(ISNUMBER('Price History'!U88)),NOT(ISNUMBER('Price History'!U87)),'Price History'!U87=0),"",'Price History'!U88/'Price History'!U87-1),"")</f>
        <v>1.5207562679819153E-2</v>
      </c>
      <c r="V87" s="142">
        <f>IFERROR(IF(OR(NOT(ISNUMBER('Price History'!V88)),NOT(ISNUMBER('Price History'!V87)),'Price History'!V87=0),"",'Price History'!V88/'Price History'!V87-1),"")</f>
        <v>3.708733176413781E-2</v>
      </c>
      <c r="W87" s="143">
        <f>IFERROR('Price History'!B3+(INDEX('Price History'!B:B,MATCH(9.99E+307,'Returns (Calc)'!$A:$A)+1)-'Price History'!B3)*(ROW()-3)/(MATCH(9.99E+307,'Returns (Calc)'!$A:$A)-3),"")</f>
        <v>374.07481012658229</v>
      </c>
      <c r="X87" s="143">
        <f>IFERROR('Price History'!C3+(INDEX('Price History'!C:C,MATCH(9.99E+307,'Returns (Calc)'!$A:$A)+1)-'Price History'!C3)*(ROW()-3)/(MATCH(9.99E+307,'Returns (Calc)'!$A:$A)-3),"")</f>
        <v>131.86531645569619</v>
      </c>
      <c r="Y87" s="143">
        <f>IFERROR('Price History'!D3+(INDEX('Price History'!D:D,MATCH(9.99E+307,'Returns (Calc)'!$A:$A)+1)-'Price History'!D3)*(ROW()-3)/(MATCH(9.99E+307,'Returns (Calc)'!$A:$A)-3),"")</f>
        <v>1265.3340506329114</v>
      </c>
      <c r="Z87" s="143">
        <f>IFERROR('Price History'!E3+(INDEX('Price History'!E:E,MATCH(9.99E+307,'Returns (Calc)'!$A:$A)+1)-'Price History'!E3)*(ROW()-3)/(MATCH(9.99E+307,'Returns (Calc)'!$A:$A)-3),"")</f>
        <v>227.21367088607593</v>
      </c>
      <c r="AA87" s="143">
        <f>IFERROR('Price History'!F3+(INDEX('Price History'!F:F,MATCH(9.99E+307,'Returns (Calc)'!$A:$A)+1)-'Price History'!F3)*(ROW()-3)/(MATCH(9.99E+307,'Returns (Calc)'!$A:$A)-3),"")</f>
        <v>162.9367088607595</v>
      </c>
      <c r="AB87" s="143">
        <f>IFERROR('Price History'!G3+(INDEX('Price History'!G:G,MATCH(9.99E+307,'Returns (Calc)'!$A:$A)+1)-'Price History'!G3)*(ROW()-3)/(MATCH(9.99E+307,'Returns (Calc)'!$A:$A)-3),"")</f>
        <v>130.76367088607594</v>
      </c>
      <c r="AC87" s="143">
        <f>IFERROR('Price History'!H3+(INDEX('Price History'!H:H,MATCH(9.99E+307,'Returns (Calc)'!$A:$A)+1)-'Price History'!H3)*(ROW()-3)/(MATCH(9.99E+307,'Returns (Calc)'!$A:$A)-3),"")</f>
        <v>603.82848101265824</v>
      </c>
      <c r="AD87" s="143">
        <f>IFERROR('Price History'!I3+(INDEX('Price History'!I:I,MATCH(9.99E+307,'Returns (Calc)'!$A:$A)+1)-'Price History'!I3)*(ROW()-3)/(MATCH(9.99E+307,'Returns (Calc)'!$A:$A)-3),"")</f>
        <v>144.87835443037974</v>
      </c>
      <c r="AE87" s="143">
        <f>IFERROR('Price History'!J3+(INDEX('Price History'!J:J,MATCH(9.99E+307,'Returns (Calc)'!$A:$A)+1)-'Price History'!J3)*(ROW()-3)/(MATCH(9.99E+307,'Returns (Calc)'!$A:$A)-3),"")</f>
        <v>120.91518987341772</v>
      </c>
      <c r="AF87" s="143">
        <f>IFERROR('Price History'!K3+(INDEX('Price History'!K:K,MATCH(9.99E+307,'Returns (Calc)'!$A:$A)+1)-'Price History'!K3)*(ROW()-3)/(MATCH(9.99E+307,'Returns (Calc)'!$A:$A)-3),"")</f>
        <v>107.5279746835443</v>
      </c>
      <c r="AG87" s="143">
        <f>IFERROR('Price History'!L3+(INDEX('Price History'!L:L,MATCH(9.99E+307,'Returns (Calc)'!$A:$A)+1)-'Price History'!L3)*(ROW()-3)/(MATCH(9.99E+307,'Returns (Calc)'!$A:$A)-3),"")</f>
        <v>291.51278481012656</v>
      </c>
      <c r="AH87" s="143">
        <f>IFERROR('Price History'!M3+(INDEX('Price History'!M:M,MATCH(9.99E+307,'Returns (Calc)'!$A:$A)+1)-'Price History'!M3)*(ROW()-3)/(MATCH(9.99E+307,'Returns (Calc)'!$A:$A)-3),"")</f>
        <v>151.87721518987343</v>
      </c>
      <c r="AI87" s="143">
        <f>IFERROR('Price History'!N3+(INDEX('Price History'!N:N,MATCH(9.99E+307,'Returns (Calc)'!$A:$A)+1)-'Price History'!N3)*(ROW()-3)/(MATCH(9.99E+307,'Returns (Calc)'!$A:$A)-3),"")</f>
        <v>431.74632911392405</v>
      </c>
      <c r="AJ87" s="143">
        <f>IFERROR('Price History'!O3+(INDEX('Price History'!O:O,MATCH(9.99E+307,'Returns (Calc)'!$A:$A)+1)-'Price History'!O3)*(ROW()-3)/(MATCH(9.99E+307,'Returns (Calc)'!$A:$A)-3),"")</f>
        <v>99.085189873417733</v>
      </c>
      <c r="AK87" s="143">
        <f>IFERROR('Price History'!Q3+(INDEX('Price History'!Q:Q,MATCH(9.99E+307,'Returns (Calc)'!$A:$A)+1)-'Price History'!Q3)*(ROW()-3)/(MATCH(9.99E+307,'Returns (Calc)'!$A:$A)-3),"")</f>
        <v>36.90683544303797</v>
      </c>
      <c r="AL87" s="143">
        <f>IFERROR('Price History'!R3+(INDEX('Price History'!R:R,MATCH(9.99E+307,'Returns (Calc)'!$A:$A)+1)-'Price History'!R3)*(ROW()-3)/(MATCH(9.99E+307,'Returns (Calc)'!$A:$A)-3),"")</f>
        <v>48.600506329113919</v>
      </c>
      <c r="AM87" s="143">
        <f>IFERROR('Price History'!S3+(INDEX('Price History'!S:S,MATCH(9.99E+307,'Returns (Calc)'!$A:$A)+1)-'Price History'!S3)*(ROW()-3)/(MATCH(9.99E+307,'Returns (Calc)'!$A:$A)-3),"")</f>
        <v>108.45531645569621</v>
      </c>
      <c r="AN87" s="143">
        <f>IFERROR('Price History'!T3+(INDEX('Price History'!T:T,MATCH(9.99E+307,'Returns (Calc)'!$A:$A)+1)-'Price History'!T3)*(ROW()-3)/(MATCH(9.99E+307,'Returns (Calc)'!$A:$A)-3),"")</f>
        <v>39.371139240506331</v>
      </c>
      <c r="AO87" s="144">
        <f>IFERROR('Price History'!V3+(INDEX('Price History'!V:V,MATCH(9.99E+307,'Returns (Calc)'!$A:$A)+1)-'Price History'!V3)*(ROW()-3)/(MATCH(9.99E+307,'Returns (Calc)'!$A:$A)-3),"")</f>
        <v>302.10164556962025</v>
      </c>
      <c r="AP87" s="142">
        <f>IFERROR(IF(OR(NOT(ISNUMBER('Price History'!W88)),NOT(ISNUMBER('Price History'!W87)),'Price History'!W87=0),"",'Price History'!W88/'Price History'!W87-1),"")</f>
        <v>2.1034917963819844E-2</v>
      </c>
      <c r="AQ87" s="142" t="str">
        <f>IFERROR(IF(OR(NOT(ISNUMBER('Price History'!X88)),NOT(ISNUMBER('Price History'!X87)),'Price History'!X87=0),"",'Price History'!X88/'Price History'!X87-1),"")</f>
        <v/>
      </c>
      <c r="AR87" s="142">
        <f>IFERROR(IF(OR(NOT(ISNUMBER('Price History'!Y88)),NOT(ISNUMBER('Price History'!Y87)),'Price History'!Y87=0),"",'Price History'!Y88/'Price History'!Y87-1),"")</f>
        <v>2.1425628347754522E-2</v>
      </c>
      <c r="AS87" s="142">
        <f>IFERROR(IF(OR(NOT(ISNUMBER('Price History'!Z88)),NOT(ISNUMBER('Price History'!Z87)),'Price History'!Z87=0),"",'Price History'!Z88/'Price History'!Z87-1),"")</f>
        <v>4.6718068377802568E-2</v>
      </c>
      <c r="AT87" s="142">
        <f>IFERROR(IF(OR(NOT(ISNUMBER('Price History'!AA88)),NOT(ISNUMBER('Price History'!AA87)),'Price History'!AA87=0),"",'Price History'!AA88/'Price History'!AA87-1),"")</f>
        <v>4.9931911030413056E-2</v>
      </c>
    </row>
    <row r="88" spans="1:46" ht="15" customHeight="1" x14ac:dyDescent="0.35">
      <c r="A88" s="140">
        <f>IF('Price History'!A89="","",'Price History'!A89)</f>
        <v>45786</v>
      </c>
      <c r="B88" s="141">
        <f>IFERROR(IF(OR(NOT(ISNUMBER('Price History'!B89)),NOT(ISNUMBER('Price History'!B88)),'Price History'!B88=0),"",'Price History'!B89/'Price History'!B88-1),"")</f>
        <v>6.3276183474676451E-3</v>
      </c>
      <c r="C88" s="141">
        <f>IFERROR(IF(OR(NOT(ISNUMBER('Price History'!C89)),NOT(ISNUMBER('Price History'!C88)),'Price History'!C88=0),"",'Price History'!C89/'Price History'!C88-1),"")</f>
        <v>-4.9439683586025018E-2</v>
      </c>
      <c r="D88" s="141">
        <f>IFERROR(IF(OR(NOT(ISNUMBER('Price History'!D89)),NOT(ISNUMBER('Price History'!D88)),'Price History'!D88=0),"",'Price History'!D89/'Price History'!D88-1),"")</f>
        <v>2.2994386621447704E-2</v>
      </c>
      <c r="E88" s="141">
        <f>IFERROR(IF(OR(NOT(ISNUMBER('Price History'!E89)),NOT(ISNUMBER('Price History'!E88)),'Price History'!E88=0),"",'Price History'!E89/'Price History'!E88-1),"")</f>
        <v>2.2402145837472798E-2</v>
      </c>
      <c r="F88" s="141">
        <f>IFERROR(IF(OR(NOT(ISNUMBER('Price History'!F89)),NOT(ISNUMBER('Price History'!F88)),'Price History'!F88=0),"",'Price History'!F89/'Price History'!F88-1),"")</f>
        <v>-6.8095151625204298E-2</v>
      </c>
      <c r="G88" s="141">
        <f>IFERROR(IF(OR(NOT(ISNUMBER('Price History'!G89)),NOT(ISNUMBER('Price History'!G88)),'Price History'!G88=0),"",'Price History'!G89/'Price History'!G88-1),"")</f>
        <v>4.4849537037037202E-3</v>
      </c>
      <c r="H88" s="141">
        <f>IFERROR(IF(OR(NOT(ISNUMBER('Price History'!H89)),NOT(ISNUMBER('Price History'!H88)),'Price History'!H88=0),"",'Price History'!H89/'Price History'!H88-1),"")</f>
        <v>6.3718792696559445E-2</v>
      </c>
      <c r="I88" s="141">
        <f>IFERROR(IF(OR(NOT(ISNUMBER('Price History'!I89)),NOT(ISNUMBER('Price History'!I88)),'Price History'!I88=0),"",'Price History'!I89/'Price History'!I88-1),"")</f>
        <v>1.8824971543647706E-2</v>
      </c>
      <c r="J88" s="141">
        <f>IFERROR(IF(OR(NOT(ISNUMBER('Price History'!J89)),NOT(ISNUMBER('Price History'!J88)),'Price History'!J88=0),"",'Price History'!J89/'Price History'!J88-1),"")</f>
        <v>1.4251544747857281E-2</v>
      </c>
      <c r="K88" s="141">
        <f>IFERROR(IF(OR(NOT(ISNUMBER('Price History'!K89)),NOT(ISNUMBER('Price History'!K88)),'Price History'!K88=0),"",'Price History'!K89/'Price History'!K88-1),"")</f>
        <v>-5.6163501770196356E-2</v>
      </c>
      <c r="L88" s="141">
        <f>IFERROR(IF(OR(NOT(ISNUMBER('Price History'!L89)),NOT(ISNUMBER('Price History'!L88)),'Price History'!L88=0),"",'Price History'!L89/'Price History'!L88-1),"")</f>
        <v>-1.538024971623142E-2</v>
      </c>
      <c r="M88" s="141">
        <f>IFERROR(IF(OR(NOT(ISNUMBER('Price History'!M89)),NOT(ISNUMBER('Price History'!M88)),'Price History'!M88=0),"",'Price History'!M89/'Price History'!M88-1),"")</f>
        <v>-9.9114297764656412E-3</v>
      </c>
      <c r="N88" s="141">
        <f>IFERROR(IF(OR(NOT(ISNUMBER('Price History'!N89)),NOT(ISNUMBER('Price History'!N88)),'Price History'!N88=0),"",'Price History'!N89/'Price History'!N88-1),"")</f>
        <v>-0.15197046792377522</v>
      </c>
      <c r="O88" s="141">
        <f>IFERROR(IF(OR(NOT(ISNUMBER('Price History'!O89)),NOT(ISNUMBER('Price History'!O88)),'Price History'!O88=0),"",'Price History'!O89/'Price History'!O88-1),"")</f>
        <v>1.1601483076187025E-2</v>
      </c>
      <c r="P88" s="141">
        <f>IFERROR(IF(OR(NOT(ISNUMBER('Price History'!P89)),NOT(ISNUMBER('Price History'!P88)),'Price History'!P88=0),"",'Price History'!P89/'Price History'!P88-1),"")</f>
        <v>-1.2190166598943231E-3</v>
      </c>
      <c r="Q88" s="141">
        <f>IFERROR(IF(OR(NOT(ISNUMBER('Price History'!Q89)),NOT(ISNUMBER('Price History'!Q88)),'Price History'!Q88=0),"",'Price History'!Q89/'Price History'!Q88-1),"")</f>
        <v>-2.5239777889953796E-3</v>
      </c>
      <c r="R88" s="141">
        <f>IFERROR(IF(OR(NOT(ISNUMBER('Price History'!R89)),NOT(ISNUMBER('Price History'!R88)),'Price History'!R88=0),"",'Price History'!R89/'Price History'!R88-1),"")</f>
        <v>2.7391006619492675E-3</v>
      </c>
      <c r="S88" s="141">
        <f>IFERROR(IF(OR(NOT(ISNUMBER('Price History'!S89)),NOT(ISNUMBER('Price History'!S88)),'Price History'!S88=0),"",'Price History'!S89/'Price History'!S88-1),"")</f>
        <v>6.9329470198675747E-3</v>
      </c>
      <c r="T88" s="141">
        <f>IFERROR(IF(OR(NOT(ISNUMBER('Price History'!T89)),NOT(ISNUMBER('Price History'!T88)),'Price History'!T88=0),"",'Price History'!T89/'Price History'!T88-1),"")</f>
        <v>-1.5229972586048302E-3</v>
      </c>
      <c r="U88" s="141">
        <f>IFERROR(IF(OR(NOT(ISNUMBER('Price History'!U89)),NOT(ISNUMBER('Price History'!U88)),'Price History'!U88=0),"",'Price History'!U89/'Price History'!U88-1),"")</f>
        <v>-1.2955465587044523E-2</v>
      </c>
      <c r="V88" s="142">
        <f>IFERROR(IF(OR(NOT(ISNUMBER('Price History'!V89)),NOT(ISNUMBER('Price History'!V88)),'Price History'!V88=0),"",'Price History'!V89/'Price History'!V88-1),"")</f>
        <v>1.4199668286437594E-2</v>
      </c>
      <c r="W88" s="143">
        <f>IFERROR('Price History'!B3+(INDEX('Price History'!B:B,MATCH(9.99E+307,'Returns (Calc)'!$A:$A)+1)-'Price History'!B3)*(ROW()-3)/(MATCH(9.99E+307,'Returns (Calc)'!$A:$A)-3),"")</f>
        <v>372.23177215189872</v>
      </c>
      <c r="X88" s="143">
        <f>IFERROR('Price History'!C3+(INDEX('Price History'!C:C,MATCH(9.99E+307,'Returns (Calc)'!$A:$A)+1)-'Price History'!C3)*(ROW()-3)/(MATCH(9.99E+307,'Returns (Calc)'!$A:$A)-3),"")</f>
        <v>132.88537974683544</v>
      </c>
      <c r="Y88" s="143">
        <f>IFERROR('Price History'!D3+(INDEX('Price History'!D:D,MATCH(9.99E+307,'Returns (Calc)'!$A:$A)+1)-'Price History'!D3)*(ROW()-3)/(MATCH(9.99E+307,'Returns (Calc)'!$A:$A)-3),"")</f>
        <v>1273.4688607594935</v>
      </c>
      <c r="Z88" s="143">
        <f>IFERROR('Price History'!E3+(INDEX('Price History'!E:E,MATCH(9.99E+307,'Returns (Calc)'!$A:$A)+1)-'Price History'!E3)*(ROW()-3)/(MATCH(9.99E+307,'Returns (Calc)'!$A:$A)-3),"")</f>
        <v>228.94240506329112</v>
      </c>
      <c r="AA88" s="143">
        <f>IFERROR('Price History'!F3+(INDEX('Price History'!F:F,MATCH(9.99E+307,'Returns (Calc)'!$A:$A)+1)-'Price History'!F3)*(ROW()-3)/(MATCH(9.99E+307,'Returns (Calc)'!$A:$A)-3),"")</f>
        <v>164.3840506329114</v>
      </c>
      <c r="AB88" s="143">
        <f>IFERROR('Price History'!G3+(INDEX('Price History'!G:G,MATCH(9.99E+307,'Returns (Calc)'!$A:$A)+1)-'Price History'!G3)*(ROW()-3)/(MATCH(9.99E+307,'Returns (Calc)'!$A:$A)-3),"")</f>
        <v>131.79240506329114</v>
      </c>
      <c r="AC88" s="143">
        <f>IFERROR('Price History'!H3+(INDEX('Price History'!H:H,MATCH(9.99E+307,'Returns (Calc)'!$A:$A)+1)-'Price History'!H3)*(ROW()-3)/(MATCH(9.99E+307,'Returns (Calc)'!$A:$A)-3),"")</f>
        <v>610.19417721518994</v>
      </c>
      <c r="AD88" s="143">
        <f>IFERROR('Price History'!I3+(INDEX('Price History'!I:I,MATCH(9.99E+307,'Returns (Calc)'!$A:$A)+1)-'Price History'!I3)*(ROW()-3)/(MATCH(9.99E+307,'Returns (Calc)'!$A:$A)-3),"")</f>
        <v>146.08202531645568</v>
      </c>
      <c r="AE88" s="143">
        <f>IFERROR('Price History'!J3+(INDEX('Price History'!J:J,MATCH(9.99E+307,'Returns (Calc)'!$A:$A)+1)-'Price History'!J3)*(ROW()-3)/(MATCH(9.99E+307,'Returns (Calc)'!$A:$A)-3),"")</f>
        <v>121.02322784810127</v>
      </c>
      <c r="AF88" s="143">
        <f>IFERROR('Price History'!K3+(INDEX('Price History'!K:K,MATCH(9.99E+307,'Returns (Calc)'!$A:$A)+1)-'Price History'!K3)*(ROW()-3)/(MATCH(9.99E+307,'Returns (Calc)'!$A:$A)-3),"")</f>
        <v>108.62556962025316</v>
      </c>
      <c r="AG88" s="143">
        <f>IFERROR('Price History'!L3+(INDEX('Price History'!L:L,MATCH(9.99E+307,'Returns (Calc)'!$A:$A)+1)-'Price History'!L3)*(ROW()-3)/(MATCH(9.99E+307,'Returns (Calc)'!$A:$A)-3),"")</f>
        <v>293.96234177215183</v>
      </c>
      <c r="AH88" s="143">
        <f>IFERROR('Price History'!M3+(INDEX('Price History'!M:M,MATCH(9.99E+307,'Returns (Calc)'!$A:$A)+1)-'Price History'!M3)*(ROW()-3)/(MATCH(9.99E+307,'Returns (Calc)'!$A:$A)-3),"")</f>
        <v>153.23265822784811</v>
      </c>
      <c r="AI88" s="143">
        <f>IFERROR('Price History'!N3+(INDEX('Price History'!N:N,MATCH(9.99E+307,'Returns (Calc)'!$A:$A)+1)-'Price History'!N3)*(ROW()-3)/(MATCH(9.99E+307,'Returns (Calc)'!$A:$A)-3),"")</f>
        <v>432.73259493670884</v>
      </c>
      <c r="AJ88" s="143">
        <f>IFERROR('Price History'!O3+(INDEX('Price History'!O:O,MATCH(9.99E+307,'Returns (Calc)'!$A:$A)+1)-'Price History'!O3)*(ROW()-3)/(MATCH(9.99E+307,'Returns (Calc)'!$A:$A)-3),"")</f>
        <v>99.36822784810127</v>
      </c>
      <c r="AK88" s="143">
        <f>IFERROR('Price History'!Q3+(INDEX('Price History'!Q:Q,MATCH(9.99E+307,'Returns (Calc)'!$A:$A)+1)-'Price History'!Q3)*(ROW()-3)/(MATCH(9.99E+307,'Returns (Calc)'!$A:$A)-3),"")</f>
        <v>37.346202531645567</v>
      </c>
      <c r="AL88" s="143">
        <f>IFERROR('Price History'!R3+(INDEX('Price History'!R:R,MATCH(9.99E+307,'Returns (Calc)'!$A:$A)+1)-'Price History'!R3)*(ROW()-3)/(MATCH(9.99E+307,'Returns (Calc)'!$A:$A)-3),"")</f>
        <v>48.768607594936711</v>
      </c>
      <c r="AM88" s="143">
        <f>IFERROR('Price History'!S3+(INDEX('Price History'!S:S,MATCH(9.99E+307,'Returns (Calc)'!$A:$A)+1)-'Price History'!S3)*(ROW()-3)/(MATCH(9.99E+307,'Returns (Calc)'!$A:$A)-3),"")</f>
        <v>109.06037974683544</v>
      </c>
      <c r="AN88" s="143">
        <f>IFERROR('Price History'!T3+(INDEX('Price History'!T:T,MATCH(9.99E+307,'Returns (Calc)'!$A:$A)+1)-'Price History'!T3)*(ROW()-3)/(MATCH(9.99E+307,'Returns (Calc)'!$A:$A)-3),"")</f>
        <v>39.539367088607591</v>
      </c>
      <c r="AO88" s="144">
        <f>IFERROR('Price History'!V3+(INDEX('Price History'!V:V,MATCH(9.99E+307,'Returns (Calc)'!$A:$A)+1)-'Price History'!V3)*(ROW()-3)/(MATCH(9.99E+307,'Returns (Calc)'!$A:$A)-3),"")</f>
        <v>302.89297468354431</v>
      </c>
      <c r="AP88" s="142">
        <f>IFERROR(IF(OR(NOT(ISNUMBER('Price History'!W89)),NOT(ISNUMBER('Price History'!W88)),'Price History'!W88=0),"",'Price History'!W89/'Price History'!W88-1),"")</f>
        <v>-1.2360939431396156E-3</v>
      </c>
      <c r="AQ88" s="142" t="str">
        <f>IFERROR(IF(OR(NOT(ISNUMBER('Price History'!X89)),NOT(ISNUMBER('Price History'!X88)),'Price History'!X88=0),"",'Price History'!X89/'Price History'!X88-1),"")</f>
        <v/>
      </c>
      <c r="AR88" s="142">
        <f>IFERROR(IF(OR(NOT(ISNUMBER('Price History'!Y89)),NOT(ISNUMBER('Price History'!Y88)),'Price History'!Y88=0),"",'Price History'!Y89/'Price History'!Y88-1),"")</f>
        <v>-2.0169423154492438E-4</v>
      </c>
      <c r="AS88" s="142">
        <f>IFERROR(IF(OR(NOT(ISNUMBER('Price History'!Z89)),NOT(ISNUMBER('Price History'!Z88)),'Price History'!Z88=0),"",'Price History'!Z89/'Price History'!Z88-1),"")</f>
        <v>3.4940634843712237E-2</v>
      </c>
      <c r="AT88" s="142">
        <f>IFERROR(IF(OR(NOT(ISNUMBER('Price History'!AA89)),NOT(ISNUMBER('Price History'!AA88)),'Price History'!AA88=0),"",'Price History'!AA89/'Price History'!AA88-1),"")</f>
        <v>-1.4094249891915323E-2</v>
      </c>
    </row>
    <row r="89" spans="1:46" ht="15" customHeight="1" x14ac:dyDescent="0.35">
      <c r="A89" s="140">
        <f>IF('Price History'!A90="","",'Price History'!A90)</f>
        <v>45793</v>
      </c>
      <c r="B89" s="141">
        <f>IFERROR(IF(OR(NOT(ISNUMBER('Price History'!B90)),NOT(ISNUMBER('Price History'!B89)),'Price History'!B89=0),"",'Price History'!B90/'Price History'!B89-1),"")</f>
        <v>8.8316635357962969E-2</v>
      </c>
      <c r="C89" s="141">
        <f>IFERROR(IF(OR(NOT(ISNUMBER('Price History'!C90)),NOT(ISNUMBER('Price History'!C89)),'Price History'!C89=0),"",'Price History'!C90/'Price History'!C89-1),"")</f>
        <v>0.11442441054091557</v>
      </c>
      <c r="D89" s="141">
        <f>IFERROR(IF(OR(NOT(ISNUMBER('Price History'!D90)),NOT(ISNUMBER('Price History'!D89)),'Price History'!D89=0),"",'Price History'!D90/'Price History'!D89-1),"")</f>
        <v>5.9316100084308765E-2</v>
      </c>
      <c r="E89" s="141">
        <f>IFERROR(IF(OR(NOT(ISNUMBER('Price History'!E90)),NOT(ISNUMBER('Price History'!E89)),'Price History'!E89=0),"",'Price History'!E90/'Price History'!E89-1),"")</f>
        <v>9.7993489773113618E-2</v>
      </c>
      <c r="F89" s="141">
        <f>IFERROR(IF(OR(NOT(ISNUMBER('Price History'!F90)),NOT(ISNUMBER('Price History'!F89)),'Price History'!F89=0),"",'Price History'!F90/'Price History'!F89-1),"")</f>
        <v>6.9953234606391135E-2</v>
      </c>
      <c r="G89" s="141">
        <f>IFERROR(IF(OR(NOT(ISNUMBER('Price History'!G90)),NOT(ISNUMBER('Price History'!G89)),'Price History'!G89=0),"",'Price History'!G90/'Price History'!G89-1),"")</f>
        <v>0.12818666282586766</v>
      </c>
      <c r="H89" s="141">
        <f>IFERROR(IF(OR(NOT(ISNUMBER('Price History'!H90)),NOT(ISNUMBER('Price History'!H89)),'Price History'!H89=0),"",'Price History'!H90/'Price History'!H89-1),"")</f>
        <v>0.14140588510042029</v>
      </c>
      <c r="I89" s="141">
        <f>IFERROR(IF(OR(NOT(ISNUMBER('Price History'!I90)),NOT(ISNUMBER('Price History'!I89)),'Price History'!I89=0),"",'Price History'!I90/'Price History'!I89-1),"")</f>
        <v>0.16070814712959791</v>
      </c>
      <c r="J89" s="141">
        <f>IFERROR(IF(OR(NOT(ISNUMBER('Price History'!J90)),NOT(ISNUMBER('Price History'!J89)),'Price History'!J89=0),"",'Price History'!J90/'Price History'!J89-1),"")</f>
        <v>3.3998231305885973E-2</v>
      </c>
      <c r="K89" s="141">
        <f>IFERROR(IF(OR(NOT(ISNUMBER('Price History'!K90)),NOT(ISNUMBER('Price History'!K89)),'Price History'!K89=0),"",'Price History'!K90/'Price History'!K89-1),"")</f>
        <v>0.10417732310315442</v>
      </c>
      <c r="L89" s="141">
        <f>IFERROR(IF(OR(NOT(ISNUMBER('Price History'!L90)),NOT(ISNUMBER('Price History'!L89)),'Price History'!L89=0),"",'Price History'!L90/'Price History'!L89-1),"")</f>
        <v>0.10023632486022249</v>
      </c>
      <c r="M89" s="141">
        <f>IFERROR(IF(OR(NOT(ISNUMBER('Price History'!M90)),NOT(ISNUMBER('Price History'!M89)),'Price History'!M89=0),"",'Price History'!M90/'Price History'!M89-1),"")</f>
        <v>0.12736954206602769</v>
      </c>
      <c r="N89" s="141">
        <f>IFERROR(IF(OR(NOT(ISNUMBER('Price History'!N90)),NOT(ISNUMBER('Price History'!N89)),'Price History'!N89=0),"",'Price History'!N90/'Price History'!N89-1),"")</f>
        <v>3.2141932751358793E-2</v>
      </c>
      <c r="O89" s="141">
        <f>IFERROR(IF(OR(NOT(ISNUMBER('Price History'!O90)),NOT(ISNUMBER('Price History'!O89)),'Price History'!O89=0),"",'Price History'!O90/'Price History'!O89-1),"")</f>
        <v>4.8947741782927379E-2</v>
      </c>
      <c r="P89" s="141">
        <f>IFERROR(IF(OR(NOT(ISNUMBER('Price History'!P90)),NOT(ISNUMBER('Price History'!P89)),'Price History'!P89=0),"",'Price History'!P90/'Price History'!P89-1),"")</f>
        <v>3.2058584214808672E-2</v>
      </c>
      <c r="Q89" s="141">
        <f>IFERROR(IF(OR(NOT(ISNUMBER('Price History'!Q90)),NOT(ISNUMBER('Price History'!Q89)),'Price History'!Q89=0),"",'Price History'!Q90/'Price History'!Q89-1),"")</f>
        <v>2.9352226720647856E-2</v>
      </c>
      <c r="R89" s="141">
        <f>IFERROR(IF(OR(NOT(ISNUMBER('Price History'!R90)),NOT(ISNUMBER('Price History'!R89)),'Price History'!R89=0),"",'Price History'!R90/'Price History'!R89-1),"")</f>
        <v>1.7300250398361028E-2</v>
      </c>
      <c r="S89" s="141">
        <f>IFERROR(IF(OR(NOT(ISNUMBER('Price History'!S90)),NOT(ISNUMBER('Price History'!S89)),'Price History'!S89=0),"",'Price History'!S90/'Price History'!S89-1),"")</f>
        <v>6.8235535916144396E-2</v>
      </c>
      <c r="T89" s="141">
        <f>IFERROR(IF(OR(NOT(ISNUMBER('Price History'!T90)),NOT(ISNUMBER('Price History'!T89)),'Price History'!T89=0),"",'Price History'!T90/'Price History'!T89-1),"")</f>
        <v>4.3014032946918856E-2</v>
      </c>
      <c r="U89" s="141">
        <f>IFERROR(IF(OR(NOT(ISNUMBER('Price History'!U90)),NOT(ISNUMBER('Price History'!U89)),'Price History'!U89=0),"",'Price History'!U90/'Price History'!U89-1),"")</f>
        <v>3.4044298605414358E-2</v>
      </c>
      <c r="V89" s="142">
        <f>IFERROR(IF(OR(NOT(ISNUMBER('Price History'!V90)),NOT(ISNUMBER('Price History'!V89)),'Price History'!V89=0),"",'Price History'!V90/'Price History'!V89-1),"")</f>
        <v>3.7412135991966577E-2</v>
      </c>
      <c r="W89" s="143">
        <f>IFERROR('Price History'!B3+(INDEX('Price History'!B:B,MATCH(9.99E+307,'Returns (Calc)'!$A:$A)+1)-'Price History'!B3)*(ROW()-3)/(MATCH(9.99E+307,'Returns (Calc)'!$A:$A)-3),"")</f>
        <v>370.38873417721516</v>
      </c>
      <c r="X89" s="143">
        <f>IFERROR('Price History'!C3+(INDEX('Price History'!C:C,MATCH(9.99E+307,'Returns (Calc)'!$A:$A)+1)-'Price History'!C3)*(ROW()-3)/(MATCH(9.99E+307,'Returns (Calc)'!$A:$A)-3),"")</f>
        <v>133.90544303797466</v>
      </c>
      <c r="Y89" s="143">
        <f>IFERROR('Price History'!D3+(INDEX('Price History'!D:D,MATCH(9.99E+307,'Returns (Calc)'!$A:$A)+1)-'Price History'!D3)*(ROW()-3)/(MATCH(9.99E+307,'Returns (Calc)'!$A:$A)-3),"")</f>
        <v>1281.6036708860761</v>
      </c>
      <c r="Z89" s="143">
        <f>IFERROR('Price History'!E3+(INDEX('Price History'!E:E,MATCH(9.99E+307,'Returns (Calc)'!$A:$A)+1)-'Price History'!E3)*(ROW()-3)/(MATCH(9.99E+307,'Returns (Calc)'!$A:$A)-3),"")</f>
        <v>230.67113924050631</v>
      </c>
      <c r="AA89" s="143">
        <f>IFERROR('Price History'!F3+(INDEX('Price History'!F:F,MATCH(9.99E+307,'Returns (Calc)'!$A:$A)+1)-'Price History'!F3)*(ROW()-3)/(MATCH(9.99E+307,'Returns (Calc)'!$A:$A)-3),"")</f>
        <v>165.8313924050633</v>
      </c>
      <c r="AB89" s="143">
        <f>IFERROR('Price History'!G3+(INDEX('Price History'!G:G,MATCH(9.99E+307,'Returns (Calc)'!$A:$A)+1)-'Price History'!G3)*(ROW()-3)/(MATCH(9.99E+307,'Returns (Calc)'!$A:$A)-3),"")</f>
        <v>132.82113924050631</v>
      </c>
      <c r="AC89" s="143">
        <f>IFERROR('Price History'!H3+(INDEX('Price History'!H:H,MATCH(9.99E+307,'Returns (Calc)'!$A:$A)+1)-'Price History'!H3)*(ROW()-3)/(MATCH(9.99E+307,'Returns (Calc)'!$A:$A)-3),"")</f>
        <v>616.55987341772152</v>
      </c>
      <c r="AD89" s="143">
        <f>IFERROR('Price History'!I3+(INDEX('Price History'!I:I,MATCH(9.99E+307,'Returns (Calc)'!$A:$A)+1)-'Price History'!I3)*(ROW()-3)/(MATCH(9.99E+307,'Returns (Calc)'!$A:$A)-3),"")</f>
        <v>147.28569620253162</v>
      </c>
      <c r="AE89" s="143">
        <f>IFERROR('Price History'!J3+(INDEX('Price History'!J:J,MATCH(9.99E+307,'Returns (Calc)'!$A:$A)+1)-'Price History'!J3)*(ROW()-3)/(MATCH(9.99E+307,'Returns (Calc)'!$A:$A)-3),"")</f>
        <v>121.13126582278481</v>
      </c>
      <c r="AF89" s="143">
        <f>IFERROR('Price History'!K3+(INDEX('Price History'!K:K,MATCH(9.99E+307,'Returns (Calc)'!$A:$A)+1)-'Price History'!K3)*(ROW()-3)/(MATCH(9.99E+307,'Returns (Calc)'!$A:$A)-3),"")</f>
        <v>109.72316455696202</v>
      </c>
      <c r="AG89" s="143">
        <f>IFERROR('Price History'!L3+(INDEX('Price History'!L:L,MATCH(9.99E+307,'Returns (Calc)'!$A:$A)+1)-'Price History'!L3)*(ROW()-3)/(MATCH(9.99E+307,'Returns (Calc)'!$A:$A)-3),"")</f>
        <v>296.41189873417716</v>
      </c>
      <c r="AH89" s="143">
        <f>IFERROR('Price History'!M3+(INDEX('Price History'!M:M,MATCH(9.99E+307,'Returns (Calc)'!$A:$A)+1)-'Price History'!M3)*(ROW()-3)/(MATCH(9.99E+307,'Returns (Calc)'!$A:$A)-3),"")</f>
        <v>154.58810126582279</v>
      </c>
      <c r="AI89" s="143">
        <f>IFERROR('Price History'!N3+(INDEX('Price History'!N:N,MATCH(9.99E+307,'Returns (Calc)'!$A:$A)+1)-'Price History'!N3)*(ROW()-3)/(MATCH(9.99E+307,'Returns (Calc)'!$A:$A)-3),"")</f>
        <v>433.71886075949368</v>
      </c>
      <c r="AJ89" s="143">
        <f>IFERROR('Price History'!O3+(INDEX('Price History'!O:O,MATCH(9.99E+307,'Returns (Calc)'!$A:$A)+1)-'Price History'!O3)*(ROW()-3)/(MATCH(9.99E+307,'Returns (Calc)'!$A:$A)-3),"")</f>
        <v>99.651265822784808</v>
      </c>
      <c r="AK89" s="143">
        <f>IFERROR('Price History'!Q3+(INDEX('Price History'!Q:Q,MATCH(9.99E+307,'Returns (Calc)'!$A:$A)+1)-'Price History'!Q3)*(ROW()-3)/(MATCH(9.99E+307,'Returns (Calc)'!$A:$A)-3),"")</f>
        <v>37.785569620253163</v>
      </c>
      <c r="AL89" s="143">
        <f>IFERROR('Price History'!R3+(INDEX('Price History'!R:R,MATCH(9.99E+307,'Returns (Calc)'!$A:$A)+1)-'Price History'!R3)*(ROW()-3)/(MATCH(9.99E+307,'Returns (Calc)'!$A:$A)-3),"")</f>
        <v>48.936708860759495</v>
      </c>
      <c r="AM89" s="143">
        <f>IFERROR('Price History'!S3+(INDEX('Price History'!S:S,MATCH(9.99E+307,'Returns (Calc)'!$A:$A)+1)-'Price History'!S3)*(ROW()-3)/(MATCH(9.99E+307,'Returns (Calc)'!$A:$A)-3),"")</f>
        <v>109.66544303797468</v>
      </c>
      <c r="AN89" s="143">
        <f>IFERROR('Price History'!T3+(INDEX('Price History'!T:T,MATCH(9.99E+307,'Returns (Calc)'!$A:$A)+1)-'Price History'!T3)*(ROW()-3)/(MATCH(9.99E+307,'Returns (Calc)'!$A:$A)-3),"")</f>
        <v>39.707594936708858</v>
      </c>
      <c r="AO89" s="144">
        <f>IFERROR('Price History'!V3+(INDEX('Price History'!V:V,MATCH(9.99E+307,'Returns (Calc)'!$A:$A)+1)-'Price History'!V3)*(ROW()-3)/(MATCH(9.99E+307,'Returns (Calc)'!$A:$A)-3),"")</f>
        <v>303.68430379746837</v>
      </c>
      <c r="AP89" s="142">
        <f>IFERROR(IF(OR(NOT(ISNUMBER('Price History'!W90)),NOT(ISNUMBER('Price History'!W89)),'Price History'!W89=0),"",'Price History'!W90/'Price History'!W89-1),"")</f>
        <v>3.3498349834983454E-2</v>
      </c>
      <c r="AQ89" s="142" t="str">
        <f>IFERROR(IF(OR(NOT(ISNUMBER('Price History'!X90)),NOT(ISNUMBER('Price History'!X89)),'Price History'!X89=0),"",'Price History'!X90/'Price History'!X89-1),"")</f>
        <v/>
      </c>
      <c r="AR89" s="142">
        <f>IFERROR(IF(OR(NOT(ISNUMBER('Price History'!Y90)),NOT(ISNUMBER('Price History'!Y89)),'Price History'!Y89=0),"",'Price History'!Y90/'Price History'!Y89-1),"")</f>
        <v>1.0691950776679393E-2</v>
      </c>
      <c r="AS89" s="142">
        <f>IFERROR(IF(OR(NOT(ISNUMBER('Price History'!Z90)),NOT(ISNUMBER('Price History'!Z89)),'Price History'!Z89=0),"",'Price History'!Z90/'Price History'!Z89-1),"")</f>
        <v>7.82449896984454E-2</v>
      </c>
      <c r="AT89" s="142">
        <f>IFERROR(IF(OR(NOT(ISNUMBER('Price History'!AA90)),NOT(ISNUMBER('Price History'!AA89)),'Price History'!AA89=0),"",'Price History'!AA90/'Price History'!AA89-1),"")</f>
        <v>4.4992106647956609E-2</v>
      </c>
    </row>
    <row r="90" spans="1:46" ht="15" customHeight="1" x14ac:dyDescent="0.35">
      <c r="A90" s="140">
        <f>IF('Price History'!A91="","",'Price History'!A91)</f>
        <v>45800</v>
      </c>
      <c r="B90" s="141">
        <f>IFERROR(IF(OR(NOT(ISNUMBER('Price History'!B91)),NOT(ISNUMBER('Price History'!B90)),'Price History'!B90=0),"",'Price History'!B91/'Price History'!B90-1),"")</f>
        <v>-2.2630834512022635E-2</v>
      </c>
      <c r="C90" s="141">
        <f>IFERROR(IF(OR(NOT(ISNUMBER('Price History'!C91)),NOT(ISNUMBER('Price History'!C90)),'Price History'!C90=0),"",'Price History'!C91/'Price History'!C90-1),"")</f>
        <v>-5.4138145612943389E-2</v>
      </c>
      <c r="D90" s="141">
        <f>IFERROR(IF(OR(NOT(ISNUMBER('Price History'!D91)),NOT(ISNUMBER('Price History'!D90)),'Price History'!D90=0),"",'Price History'!D91/'Price History'!D90-1),"")</f>
        <v>-2.0854691631144506E-2</v>
      </c>
      <c r="E90" s="141">
        <f>IFERROR(IF(OR(NOT(ISNUMBER('Price History'!E91)),NOT(ISNUMBER('Price History'!E90)),'Price History'!E90=0),"",'Price History'!E91/'Price History'!E90-1),"")</f>
        <v>4.8672566371688042E-4</v>
      </c>
      <c r="F90" s="141">
        <f>IFERROR(IF(OR(NOT(ISNUMBER('Price History'!F91)),NOT(ISNUMBER('Price History'!F90)),'Price History'!F90=0),"",'Price History'!F91/'Price History'!F90-1),"")</f>
        <v>3.7151702786377916E-2</v>
      </c>
      <c r="G90" s="141">
        <f>IFERROR(IF(OR(NOT(ISNUMBER('Price History'!G91)),NOT(ISNUMBER('Price History'!G90)),'Price History'!G90=0),"",'Price History'!G91/'Price History'!G90-1),"")</f>
        <v>-4.0597472232860921E-2</v>
      </c>
      <c r="H90" s="141">
        <f>IFERROR(IF(OR(NOT(ISNUMBER('Price History'!H91)),NOT(ISNUMBER('Price History'!H90)),'Price History'!H90=0),"",'Price History'!H91/'Price History'!H90-1),"")</f>
        <v>-4.7263427109974443E-2</v>
      </c>
      <c r="I90" s="141">
        <f>IFERROR(IF(OR(NOT(ISNUMBER('Price History'!I91)),NOT(ISNUMBER('Price History'!I90)),'Price History'!I90=0),"",'Price History'!I91/'Price History'!I90-1),"")</f>
        <v>-3.0356878424403932E-2</v>
      </c>
      <c r="J90" s="141">
        <f>IFERROR(IF(OR(NOT(ISNUMBER('Price History'!J91)),NOT(ISNUMBER('Price History'!J90)),'Price History'!J90=0),"",'Price History'!J91/'Price History'!J90-1),"")</f>
        <v>-5.8823529411764719E-2</v>
      </c>
      <c r="K90" s="141">
        <f>IFERROR(IF(OR(NOT(ISNUMBER('Price History'!K91)),NOT(ISNUMBER('Price History'!K90)),'Price History'!K90=0),"",'Price History'!K91/'Price History'!K90-1),"")</f>
        <v>-4.7946263125386079E-2</v>
      </c>
      <c r="L90" s="141">
        <f>IFERROR(IF(OR(NOT(ISNUMBER('Price History'!L91)),NOT(ISNUMBER('Price History'!L90)),'Price History'!L90=0),"",'Price History'!L91/'Price History'!L90-1),"")</f>
        <v>-1.1525565800502902E-2</v>
      </c>
      <c r="M90" s="141">
        <f>IFERROR(IF(OR(NOT(ISNUMBER('Price History'!M91)),NOT(ISNUMBER('Price History'!M90)),'Price History'!M90=0),"",'Price History'!M91/'Price History'!M90-1),"")</f>
        <v>-1.7948233515964529E-2</v>
      </c>
      <c r="N90" s="141">
        <f>IFERROR(IF(OR(NOT(ISNUMBER('Price History'!N91)),NOT(ISNUMBER('Price History'!N90)),'Price History'!N90=0),"",'Price History'!N91/'Price History'!N90-1),"")</f>
        <v>-6.041262965918115E-3</v>
      </c>
      <c r="O90" s="141">
        <f>IFERROR(IF(OR(NOT(ISNUMBER('Price History'!O91)),NOT(ISNUMBER('Price History'!O90)),'Price History'!O90=0),"",'Price History'!O91/'Price History'!O90-1),"")</f>
        <v>-4.0013525698827768E-2</v>
      </c>
      <c r="P90" s="141">
        <f>IFERROR(IF(OR(NOT(ISNUMBER('Price History'!P91)),NOT(ISNUMBER('Price History'!P90)),'Price History'!P90=0),"",'Price History'!P91/'Price History'!P90-1),"")</f>
        <v>-2.5859350362661626E-2</v>
      </c>
      <c r="Q90" s="141">
        <f>IFERROR(IF(OR(NOT(ISNUMBER('Price History'!Q91)),NOT(ISNUMBER('Price History'!Q90)),'Price History'!Q90=0),"",'Price History'!Q91/'Price History'!Q90-1),"")</f>
        <v>-1.6551950180268893E-2</v>
      </c>
      <c r="R90" s="141">
        <f>IFERROR(IF(OR(NOT(ISNUMBER('Price History'!R91)),NOT(ISNUMBER('Price History'!R90)),'Price History'!R90=0),"",'Price History'!R91/'Price History'!R90-1),"")</f>
        <v>-9.1743119266054496E-3</v>
      </c>
      <c r="S90" s="141">
        <f>IFERROR(IF(OR(NOT(ISNUMBER('Price History'!S91)),NOT(ISNUMBER('Price History'!S90)),'Price History'!S90=0),"",'Price History'!S91/'Price History'!S90-1),"")</f>
        <v>-2.2318422318422404E-2</v>
      </c>
      <c r="T90" s="141">
        <f>IFERROR(IF(OR(NOT(ISNUMBER('Price History'!T91)),NOT(ISNUMBER('Price History'!T90)),'Price History'!T90=0),"",'Price History'!T91/'Price History'!T90-1),"")</f>
        <v>-3.4805498683825653E-2</v>
      </c>
      <c r="U90" s="141">
        <f>IFERROR(IF(OR(NOT(ISNUMBER('Price History'!U91)),NOT(ISNUMBER('Price History'!U90)),'Price History'!U90=0),"",'Price History'!U91/'Price History'!U90-1),"")</f>
        <v>-2.6973423244744166E-2</v>
      </c>
      <c r="V90" s="142">
        <f>IFERROR(IF(OR(NOT(ISNUMBER('Price History'!V91)),NOT(ISNUMBER('Price History'!V90)),'Price History'!V90=0),"",'Price History'!V91/'Price History'!V90-1),"")</f>
        <v>-3.1721009983683102E-2</v>
      </c>
      <c r="W90" s="143">
        <f>IFERROR('Price History'!B3+(INDEX('Price History'!B:B,MATCH(9.99E+307,'Returns (Calc)'!$A:$A)+1)-'Price History'!B3)*(ROW()-3)/(MATCH(9.99E+307,'Returns (Calc)'!$A:$A)-3),"")</f>
        <v>368.54569620253164</v>
      </c>
      <c r="X90" s="143">
        <f>IFERROR('Price History'!C3+(INDEX('Price History'!C:C,MATCH(9.99E+307,'Returns (Calc)'!$A:$A)+1)-'Price History'!C3)*(ROW()-3)/(MATCH(9.99E+307,'Returns (Calc)'!$A:$A)-3),"")</f>
        <v>134.92550632911392</v>
      </c>
      <c r="Y90" s="143">
        <f>IFERROR('Price History'!D3+(INDEX('Price History'!D:D,MATCH(9.99E+307,'Returns (Calc)'!$A:$A)+1)-'Price History'!D3)*(ROW()-3)/(MATCH(9.99E+307,'Returns (Calc)'!$A:$A)-3),"")</f>
        <v>1289.7384810126582</v>
      </c>
      <c r="Z90" s="143">
        <f>IFERROR('Price History'!E3+(INDEX('Price History'!E:E,MATCH(9.99E+307,'Returns (Calc)'!$A:$A)+1)-'Price History'!E3)*(ROW()-3)/(MATCH(9.99E+307,'Returns (Calc)'!$A:$A)-3),"")</f>
        <v>232.39987341772152</v>
      </c>
      <c r="AA90" s="143">
        <f>IFERROR('Price History'!F3+(INDEX('Price History'!F:F,MATCH(9.99E+307,'Returns (Calc)'!$A:$A)+1)-'Price History'!F3)*(ROW()-3)/(MATCH(9.99E+307,'Returns (Calc)'!$A:$A)-3),"")</f>
        <v>167.2787341772152</v>
      </c>
      <c r="AB90" s="143">
        <f>IFERROR('Price History'!G3+(INDEX('Price History'!G:G,MATCH(9.99E+307,'Returns (Calc)'!$A:$A)+1)-'Price History'!G3)*(ROW()-3)/(MATCH(9.99E+307,'Returns (Calc)'!$A:$A)-3),"")</f>
        <v>133.84987341772151</v>
      </c>
      <c r="AC90" s="143">
        <f>IFERROR('Price History'!H3+(INDEX('Price History'!H:H,MATCH(9.99E+307,'Returns (Calc)'!$A:$A)+1)-'Price History'!H3)*(ROW()-3)/(MATCH(9.99E+307,'Returns (Calc)'!$A:$A)-3),"")</f>
        <v>622.92556962025321</v>
      </c>
      <c r="AD90" s="143">
        <f>IFERROR('Price History'!I3+(INDEX('Price History'!I:I,MATCH(9.99E+307,'Returns (Calc)'!$A:$A)+1)-'Price History'!I3)*(ROW()-3)/(MATCH(9.99E+307,'Returns (Calc)'!$A:$A)-3),"")</f>
        <v>148.48936708860759</v>
      </c>
      <c r="AE90" s="143">
        <f>IFERROR('Price History'!J3+(INDEX('Price History'!J:J,MATCH(9.99E+307,'Returns (Calc)'!$A:$A)+1)-'Price History'!J3)*(ROW()-3)/(MATCH(9.99E+307,'Returns (Calc)'!$A:$A)-3),"")</f>
        <v>121.23930379746835</v>
      </c>
      <c r="AF90" s="143">
        <f>IFERROR('Price History'!K3+(INDEX('Price History'!K:K,MATCH(9.99E+307,'Returns (Calc)'!$A:$A)+1)-'Price History'!K3)*(ROW()-3)/(MATCH(9.99E+307,'Returns (Calc)'!$A:$A)-3),"")</f>
        <v>110.82075949367088</v>
      </c>
      <c r="AG90" s="143">
        <f>IFERROR('Price History'!L3+(INDEX('Price History'!L:L,MATCH(9.99E+307,'Returns (Calc)'!$A:$A)+1)-'Price History'!L3)*(ROW()-3)/(MATCH(9.99E+307,'Returns (Calc)'!$A:$A)-3),"")</f>
        <v>298.86145569620254</v>
      </c>
      <c r="AH90" s="143">
        <f>IFERROR('Price History'!M3+(INDEX('Price History'!M:M,MATCH(9.99E+307,'Returns (Calc)'!$A:$A)+1)-'Price History'!M3)*(ROW()-3)/(MATCH(9.99E+307,'Returns (Calc)'!$A:$A)-3),"")</f>
        <v>155.94354430379747</v>
      </c>
      <c r="AI90" s="143">
        <f>IFERROR('Price History'!N3+(INDEX('Price History'!N:N,MATCH(9.99E+307,'Returns (Calc)'!$A:$A)+1)-'Price History'!N3)*(ROW()-3)/(MATCH(9.99E+307,'Returns (Calc)'!$A:$A)-3),"")</f>
        <v>434.70512658227847</v>
      </c>
      <c r="AJ90" s="143">
        <f>IFERROR('Price History'!O3+(INDEX('Price History'!O:O,MATCH(9.99E+307,'Returns (Calc)'!$A:$A)+1)-'Price History'!O3)*(ROW()-3)/(MATCH(9.99E+307,'Returns (Calc)'!$A:$A)-3),"")</f>
        <v>99.93430379746836</v>
      </c>
      <c r="AK90" s="143">
        <f>IFERROR('Price History'!Q3+(INDEX('Price History'!Q:Q,MATCH(9.99E+307,'Returns (Calc)'!$A:$A)+1)-'Price History'!Q3)*(ROW()-3)/(MATCH(9.99E+307,'Returns (Calc)'!$A:$A)-3),"")</f>
        <v>38.22493670886076</v>
      </c>
      <c r="AL90" s="143">
        <f>IFERROR('Price History'!R3+(INDEX('Price History'!R:R,MATCH(9.99E+307,'Returns (Calc)'!$A:$A)+1)-'Price History'!R3)*(ROW()-3)/(MATCH(9.99E+307,'Returns (Calc)'!$A:$A)-3),"")</f>
        <v>49.104810126582279</v>
      </c>
      <c r="AM90" s="143">
        <f>IFERROR('Price History'!S3+(INDEX('Price History'!S:S,MATCH(9.99E+307,'Returns (Calc)'!$A:$A)+1)-'Price History'!S3)*(ROW()-3)/(MATCH(9.99E+307,'Returns (Calc)'!$A:$A)-3),"")</f>
        <v>110.27050632911391</v>
      </c>
      <c r="AN90" s="143">
        <f>IFERROR('Price History'!T3+(INDEX('Price History'!T:T,MATCH(9.99E+307,'Returns (Calc)'!$A:$A)+1)-'Price History'!T3)*(ROW()-3)/(MATCH(9.99E+307,'Returns (Calc)'!$A:$A)-3),"")</f>
        <v>39.875822784810126</v>
      </c>
      <c r="AO90" s="144">
        <f>IFERROR('Price History'!V3+(INDEX('Price History'!V:V,MATCH(9.99E+307,'Returns (Calc)'!$A:$A)+1)-'Price History'!V3)*(ROW()-3)/(MATCH(9.99E+307,'Returns (Calc)'!$A:$A)-3),"")</f>
        <v>304.47563291139238</v>
      </c>
      <c r="AP90" s="142">
        <f>IFERROR(IF(OR(NOT(ISNUMBER('Price History'!W91)),NOT(ISNUMBER('Price History'!W90)),'Price History'!W90=0),"",'Price History'!W91/'Price History'!W90-1),"")</f>
        <v>-2.2034168928628528E-2</v>
      </c>
      <c r="AQ90" s="142" t="str">
        <f>IFERROR(IF(OR(NOT(ISNUMBER('Price History'!X91)),NOT(ISNUMBER('Price History'!X90)),'Price History'!X90=0),"",'Price History'!X91/'Price History'!X90-1),"")</f>
        <v/>
      </c>
      <c r="AR90" s="142">
        <f>IFERROR(IF(OR(NOT(ISNUMBER('Price History'!Y91)),NOT(ISNUMBER('Price History'!Y90)),'Price History'!Y90=0),"",'Price History'!Y91/'Price History'!Y90-1),"")</f>
        <v>-1.2774451097804396E-2</v>
      </c>
      <c r="AS90" s="142">
        <f>IFERROR(IF(OR(NOT(ISNUMBER('Price History'!Z91)),NOT(ISNUMBER('Price History'!Z90)),'Price History'!Z90=0),"",'Price History'!Z91/'Price History'!Z90-1),"")</f>
        <v>4.3861553828115074E-3</v>
      </c>
      <c r="AT90" s="142">
        <f>IFERROR(IF(OR(NOT(ISNUMBER('Price History'!AA91)),NOT(ISNUMBER('Price History'!AA90)),'Price History'!AA90=0),"",'Price History'!AA91/'Price History'!AA90-1),"")</f>
        <v>-5.1195971464540468E-3</v>
      </c>
    </row>
    <row r="91" spans="1:46" ht="15" customHeight="1" x14ac:dyDescent="0.35">
      <c r="A91" s="140">
        <f>IF('Price History'!A92="","",'Price History'!A92)</f>
        <v>45807</v>
      </c>
      <c r="B91" s="141">
        <f>IFERROR(IF(OR(NOT(ISNUMBER('Price History'!B92)),NOT(ISNUMBER('Price History'!B91)),'Price History'!B91=0),"",'Price History'!B92/'Price History'!B91-1),"")</f>
        <v>1.8151046137997007E-2</v>
      </c>
      <c r="C91" s="141">
        <f>IFERROR(IF(OR(NOT(ISNUMBER('Price History'!C92)),NOT(ISNUMBER('Price History'!C91)),'Price History'!C91=0),"",'Price History'!C92/'Price History'!C91-1),"")</f>
        <v>-5.0000000000000044E-2</v>
      </c>
      <c r="D91" s="141">
        <f>IFERROR(IF(OR(NOT(ISNUMBER('Price History'!D92)),NOT(ISNUMBER('Price History'!D91)),'Price History'!D91=0),"",'Price History'!D92/'Price History'!D91-1),"")</f>
        <v>5.8413468161904181E-3</v>
      </c>
      <c r="E91" s="141">
        <f>IFERROR(IF(OR(NOT(ISNUMBER('Price History'!E92)),NOT(ISNUMBER('Price History'!E91)),'Price History'!E91=0),"",'Price History'!E92/'Price History'!E91-1),"")</f>
        <v>5.8378665251426209E-2</v>
      </c>
      <c r="F91" s="141">
        <f>IFERROR(IF(OR(NOT(ISNUMBER('Price History'!F92)),NOT(ISNUMBER('Price History'!F91)),'Price History'!F91=0),"",'Price History'!F92/'Price History'!F91-1),"")</f>
        <v>3.4591747146619722E-2</v>
      </c>
      <c r="G91" s="141">
        <f>IFERROR(IF(OR(NOT(ISNUMBER('Price History'!G92)),NOT(ISNUMBER('Price History'!G91)),'Price History'!G91=0),"",'Price History'!G92/'Price History'!G91-1),"")</f>
        <v>-3.9920159680639777E-4</v>
      </c>
      <c r="H91" s="141">
        <f>IFERROR(IF(OR(NOT(ISNUMBER('Price History'!H92)),NOT(ISNUMBER('Price History'!H91)),'Price History'!H91=0),"",'Price History'!H92/'Price History'!H91-1),"")</f>
        <v>1.1704069580156906E-2</v>
      </c>
      <c r="I91" s="141">
        <f>IFERROR(IF(OR(NOT(ISNUMBER('Price History'!I92)),NOT(ISNUMBER('Price History'!I91)),'Price History'!I91=0),"",'Price History'!I92/'Price History'!I91-1),"")</f>
        <v>2.9245571166768292E-2</v>
      </c>
      <c r="J91" s="141">
        <f>IFERROR(IF(OR(NOT(ISNUMBER('Price History'!J92)),NOT(ISNUMBER('Price History'!J91)),'Price History'!J91=0),"",'Price History'!J92/'Price History'!J91-1),"")</f>
        <v>4.3820678513731615E-2</v>
      </c>
      <c r="K91" s="141">
        <f>IFERROR(IF(OR(NOT(ISNUMBER('Price History'!K92)),NOT(ISNUMBER('Price History'!K91)),'Price History'!K91=0),"",'Price History'!K92/'Price History'!K91-1),"")</f>
        <v>6.8688670829616383E-2</v>
      </c>
      <c r="L91" s="141">
        <f>IFERROR(IF(OR(NOT(ISNUMBER('Price History'!L92)),NOT(ISNUMBER('Price History'!L91)),'Price History'!L91=0),"",'Price History'!L92/'Price History'!L91-1),"")</f>
        <v>6.9959720161119066E-3</v>
      </c>
      <c r="M91" s="141">
        <f>IFERROR(IF(OR(NOT(ISNUMBER('Price History'!M92)),NOT(ISNUMBER('Price History'!M91)),'Price History'!M91=0),"",'Price History'!M92/'Price History'!M91-1),"")</f>
        <v>3.6456329357445139E-2</v>
      </c>
      <c r="N91" s="141">
        <f>IFERROR(IF(OR(NOT(ISNUMBER('Price History'!N92)),NOT(ISNUMBER('Price History'!N91)),'Price History'!N91=0),"",'Price History'!N92/'Price History'!N91-1),"")</f>
        <v>1.3876146788990962E-2</v>
      </c>
      <c r="O91" s="141">
        <f>IFERROR(IF(OR(NOT(ISNUMBER('Price History'!O92)),NOT(ISNUMBER('Price History'!O91)),'Price History'!O91=0),"",'Price History'!O92/'Price History'!O91-1),"")</f>
        <v>1.1741223435481896E-2</v>
      </c>
      <c r="P91" s="141">
        <f>IFERROR(IF(OR(NOT(ISNUMBER('Price History'!P92)),NOT(ISNUMBER('Price History'!P91)),'Price History'!P91=0),"",'Price History'!P92/'Price History'!P91-1),"")</f>
        <v>6.4745872450631126E-3</v>
      </c>
      <c r="Q91" s="141">
        <f>IFERROR(IF(OR(NOT(ISNUMBER('Price History'!Q92)),NOT(ISNUMBER('Price History'!Q91)),'Price History'!Q91=0),"",'Price History'!Q92/'Price History'!Q91-1),"")</f>
        <v>1.0831528078653507E-2</v>
      </c>
      <c r="R91" s="141">
        <f>IFERROR(IF(OR(NOT(ISNUMBER('Price History'!R92)),NOT(ISNUMBER('Price History'!R91)),'Price History'!R91=0),"",'Price History'!R92/'Price History'!R91-1),"")</f>
        <v>1.129177958446248E-2</v>
      </c>
      <c r="S91" s="141">
        <f>IFERROR(IF(OR(NOT(ISNUMBER('Price History'!S92)),NOT(ISNUMBER('Price History'!S91)),'Price History'!S91=0),"",'Price History'!S92/'Price History'!S91-1),"")</f>
        <v>2.4303847289186331E-2</v>
      </c>
      <c r="T91" s="141">
        <f>IFERROR(IF(OR(NOT(ISNUMBER('Price History'!T92)),NOT(ISNUMBER('Price History'!T91)),'Price History'!T91=0),"",'Price History'!T92/'Price History'!T91-1),"")</f>
        <v>7.8787878787878185E-3</v>
      </c>
      <c r="U91" s="141">
        <f>IFERROR(IF(OR(NOT(ISNUMBER('Price History'!U92)),NOT(ISNUMBER('Price History'!U91)),'Price History'!U91=0),"",'Price History'!U92/'Price History'!U91-1),"")</f>
        <v>1.1006930289441552E-2</v>
      </c>
      <c r="V91" s="142">
        <f>IFERROR(IF(OR(NOT(ISNUMBER('Price History'!V92)),NOT(ISNUMBER('Price History'!V91)),'Price History'!V91=0),"",'Price History'!V92/'Price History'!V91-1),"")</f>
        <v>3.2960127956129348E-2</v>
      </c>
      <c r="W91" s="143">
        <f>IFERROR('Price History'!B3+(INDEX('Price History'!B:B,MATCH(9.99E+307,'Returns (Calc)'!$A:$A)+1)-'Price History'!B3)*(ROW()-3)/(MATCH(9.99E+307,'Returns (Calc)'!$A:$A)-3),"")</f>
        <v>366.70265822784813</v>
      </c>
      <c r="X91" s="143">
        <f>IFERROR('Price History'!C3+(INDEX('Price History'!C:C,MATCH(9.99E+307,'Returns (Calc)'!$A:$A)+1)-'Price History'!C3)*(ROW()-3)/(MATCH(9.99E+307,'Returns (Calc)'!$A:$A)-3),"")</f>
        <v>135.94556962025317</v>
      </c>
      <c r="Y91" s="143">
        <f>IFERROR('Price History'!D3+(INDEX('Price History'!D:D,MATCH(9.99E+307,'Returns (Calc)'!$A:$A)+1)-'Price History'!D3)*(ROW()-3)/(MATCH(9.99E+307,'Returns (Calc)'!$A:$A)-3),"")</f>
        <v>1297.8732911392403</v>
      </c>
      <c r="Z91" s="143">
        <f>IFERROR('Price History'!E3+(INDEX('Price History'!E:E,MATCH(9.99E+307,'Returns (Calc)'!$A:$A)+1)-'Price History'!E3)*(ROW()-3)/(MATCH(9.99E+307,'Returns (Calc)'!$A:$A)-3),"")</f>
        <v>234.12860759493671</v>
      </c>
      <c r="AA91" s="143">
        <f>IFERROR('Price History'!F3+(INDEX('Price History'!F:F,MATCH(9.99E+307,'Returns (Calc)'!$A:$A)+1)-'Price History'!F3)*(ROW()-3)/(MATCH(9.99E+307,'Returns (Calc)'!$A:$A)-3),"")</f>
        <v>168.7260759493671</v>
      </c>
      <c r="AB91" s="143">
        <f>IFERROR('Price History'!G3+(INDEX('Price History'!G:G,MATCH(9.99E+307,'Returns (Calc)'!$A:$A)+1)-'Price History'!G3)*(ROW()-3)/(MATCH(9.99E+307,'Returns (Calc)'!$A:$A)-3),"")</f>
        <v>134.87860759493671</v>
      </c>
      <c r="AC91" s="143">
        <f>IFERROR('Price History'!H3+(INDEX('Price History'!H:H,MATCH(9.99E+307,'Returns (Calc)'!$A:$A)+1)-'Price History'!H3)*(ROW()-3)/(MATCH(9.99E+307,'Returns (Calc)'!$A:$A)-3),"")</f>
        <v>629.29126582278491</v>
      </c>
      <c r="AD91" s="143">
        <f>IFERROR('Price History'!I3+(INDEX('Price History'!I:I,MATCH(9.99E+307,'Returns (Calc)'!$A:$A)+1)-'Price History'!I3)*(ROW()-3)/(MATCH(9.99E+307,'Returns (Calc)'!$A:$A)-3),"")</f>
        <v>149.69303797468353</v>
      </c>
      <c r="AE91" s="143">
        <f>IFERROR('Price History'!J3+(INDEX('Price History'!J:J,MATCH(9.99E+307,'Returns (Calc)'!$A:$A)+1)-'Price History'!J3)*(ROW()-3)/(MATCH(9.99E+307,'Returns (Calc)'!$A:$A)-3),"")</f>
        <v>121.34734177215189</v>
      </c>
      <c r="AF91" s="143">
        <f>IFERROR('Price History'!K3+(INDEX('Price History'!K:K,MATCH(9.99E+307,'Returns (Calc)'!$A:$A)+1)-'Price History'!K3)*(ROW()-3)/(MATCH(9.99E+307,'Returns (Calc)'!$A:$A)-3),"")</f>
        <v>111.91835443037974</v>
      </c>
      <c r="AG91" s="143">
        <f>IFERROR('Price History'!L3+(INDEX('Price History'!L:L,MATCH(9.99E+307,'Returns (Calc)'!$A:$A)+1)-'Price History'!L3)*(ROW()-3)/(MATCH(9.99E+307,'Returns (Calc)'!$A:$A)-3),"")</f>
        <v>301.31101265822781</v>
      </c>
      <c r="AH91" s="143">
        <f>IFERROR('Price History'!M3+(INDEX('Price History'!M:M,MATCH(9.99E+307,'Returns (Calc)'!$A:$A)+1)-'Price History'!M3)*(ROW()-3)/(MATCH(9.99E+307,'Returns (Calc)'!$A:$A)-3),"")</f>
        <v>157.29898734177215</v>
      </c>
      <c r="AI91" s="143">
        <f>IFERROR('Price History'!N3+(INDEX('Price History'!N:N,MATCH(9.99E+307,'Returns (Calc)'!$A:$A)+1)-'Price History'!N3)*(ROW()-3)/(MATCH(9.99E+307,'Returns (Calc)'!$A:$A)-3),"")</f>
        <v>435.69139240506331</v>
      </c>
      <c r="AJ91" s="143">
        <f>IFERROR('Price History'!O3+(INDEX('Price History'!O:O,MATCH(9.99E+307,'Returns (Calc)'!$A:$A)+1)-'Price History'!O3)*(ROW()-3)/(MATCH(9.99E+307,'Returns (Calc)'!$A:$A)-3),"")</f>
        <v>100.2173417721519</v>
      </c>
      <c r="AK91" s="143">
        <f>IFERROR('Price History'!Q3+(INDEX('Price History'!Q:Q,MATCH(9.99E+307,'Returns (Calc)'!$A:$A)+1)-'Price History'!Q3)*(ROW()-3)/(MATCH(9.99E+307,'Returns (Calc)'!$A:$A)-3),"")</f>
        <v>38.664303797468357</v>
      </c>
      <c r="AL91" s="143">
        <f>IFERROR('Price History'!R3+(INDEX('Price History'!R:R,MATCH(9.99E+307,'Returns (Calc)'!$A:$A)+1)-'Price History'!R3)*(ROW()-3)/(MATCH(9.99E+307,'Returns (Calc)'!$A:$A)-3),"")</f>
        <v>49.272911392405064</v>
      </c>
      <c r="AM91" s="143">
        <f>IFERROR('Price History'!S3+(INDEX('Price History'!S:S,MATCH(9.99E+307,'Returns (Calc)'!$A:$A)+1)-'Price History'!S3)*(ROW()-3)/(MATCH(9.99E+307,'Returns (Calc)'!$A:$A)-3),"")</f>
        <v>110.87556962025316</v>
      </c>
      <c r="AN91" s="143">
        <f>IFERROR('Price History'!T3+(INDEX('Price History'!T:T,MATCH(9.99E+307,'Returns (Calc)'!$A:$A)+1)-'Price History'!T3)*(ROW()-3)/(MATCH(9.99E+307,'Returns (Calc)'!$A:$A)-3),"")</f>
        <v>40.044050632911393</v>
      </c>
      <c r="AO91" s="144">
        <f>IFERROR('Price History'!V3+(INDEX('Price History'!V:V,MATCH(9.99E+307,'Returns (Calc)'!$A:$A)+1)-'Price History'!V3)*(ROW()-3)/(MATCH(9.99E+307,'Returns (Calc)'!$A:$A)-3),"")</f>
        <v>305.2669620253165</v>
      </c>
      <c r="AP91" s="142">
        <f>IFERROR(IF(OR(NOT(ISNUMBER('Price History'!W92)),NOT(ISNUMBER('Price History'!W91)),'Price History'!W91=0),"",'Price History'!W92/'Price History'!W91-1),"")</f>
        <v>1.518367346938776E-2</v>
      </c>
      <c r="AQ91" s="142" t="str">
        <f>IFERROR(IF(OR(NOT(ISNUMBER('Price History'!X92)),NOT(ISNUMBER('Price History'!X91)),'Price History'!X91=0),"",'Price History'!X92/'Price History'!X91-1),"")</f>
        <v/>
      </c>
      <c r="AR91" s="142">
        <f>IFERROR(IF(OR(NOT(ISNUMBER('Price History'!Y92)),NOT(ISNUMBER('Price History'!Y91)),'Price History'!Y91=0),"",'Price History'!Y92/'Price History'!Y91-1),"")</f>
        <v>1.0109179134654367E-2</v>
      </c>
      <c r="AS91" s="142">
        <f>IFERROR(IF(OR(NOT(ISNUMBER('Price History'!Z92)),NOT(ISNUMBER('Price History'!Z91)),'Price History'!Z91=0),"",'Price History'!Z92/'Price History'!Z91-1),"")</f>
        <v>5.6338637149775161E-2</v>
      </c>
      <c r="AT91" s="142">
        <f>IFERROR(IF(OR(NOT(ISNUMBER('Price History'!AA92)),NOT(ISNUMBER('Price History'!AA91)),'Price History'!AA91=0),"",'Price History'!AA92/'Price History'!AA91-1),"")</f>
        <v>1.8390416736966397E-2</v>
      </c>
    </row>
    <row r="92" spans="1:46" ht="15" customHeight="1" x14ac:dyDescent="0.35">
      <c r="A92" s="140">
        <f>IF('Price History'!A93="","",'Price History'!A93)</f>
        <v>45814</v>
      </c>
      <c r="B92" s="141">
        <f>IFERROR(IF(OR(NOT(ISNUMBER('Price History'!B93)),NOT(ISNUMBER('Price History'!B92)),'Price History'!B92=0),"",'Price History'!B93/'Price History'!B92-1),"")</f>
        <v>4.4086824544076197E-3</v>
      </c>
      <c r="C92" s="141">
        <f>IFERROR(IF(OR(NOT(ISNUMBER('Price History'!C93)),NOT(ISNUMBER('Price History'!C92)),'Price History'!C92=0),"",'Price History'!C93/'Price History'!C92-1),"")</f>
        <v>0.12246075715604809</v>
      </c>
      <c r="D92" s="141">
        <f>IFERROR(IF(OR(NOT(ISNUMBER('Price History'!D93)),NOT(ISNUMBER('Price History'!D92)),'Price History'!D92=0),"",'Price History'!D93/'Price History'!D92-1),"")</f>
        <v>2.205177372962619E-2</v>
      </c>
      <c r="E92" s="141">
        <f>IFERROR(IF(OR(NOT(ISNUMBER('Price History'!E93)),NOT(ISNUMBER('Price History'!E92)),'Price History'!E92=0),"",'Price History'!E93/'Price History'!E92-1),"")</f>
        <v>2.0057665789143808E-2</v>
      </c>
      <c r="F92" s="141">
        <f>IFERROR(IF(OR(NOT(ISNUMBER('Price History'!F93)),NOT(ISNUMBER('Price History'!F92)),'Price History'!F92=0),"",'Price History'!F93/'Price History'!F92-1),"")</f>
        <v>-6.2797012898846427E-3</v>
      </c>
      <c r="G92" s="141">
        <f>IFERROR(IF(OR(NOT(ISNUMBER('Price History'!G93)),NOT(ISNUMBER('Price History'!G92)),'Price History'!G92=0),"",'Price History'!G93/'Price History'!G92-1),"")</f>
        <v>6.7492012779552635E-2</v>
      </c>
      <c r="H92" s="141">
        <f>IFERROR(IF(OR(NOT(ISNUMBER('Price History'!H93)),NOT(ISNUMBER('Price History'!H92)),'Price History'!H92=0),"",'Price History'!H93/'Price History'!H92-1),"")</f>
        <v>0.14922521757588636</v>
      </c>
      <c r="I92" s="141">
        <f>IFERROR(IF(OR(NOT(ISNUMBER('Price History'!I93)),NOT(ISNUMBER('Price History'!I92)),'Price History'!I92=0),"",'Price History'!I93/'Price History'!I92-1),"")</f>
        <v>4.874248831515704E-2</v>
      </c>
      <c r="J92" s="141">
        <f>IFERROR(IF(OR(NOT(ISNUMBER('Price History'!J93)),NOT(ISNUMBER('Price History'!J92)),'Price History'!J92=0),"",'Price History'!J93/'Price History'!J92-1),"")</f>
        <v>1.7411491584446992E-3</v>
      </c>
      <c r="K92" s="141">
        <f>IFERROR(IF(OR(NOT(ISNUMBER('Price History'!K93)),NOT(ISNUMBER('Price History'!K92)),'Price History'!K92=0),"",'Price History'!K93/'Price History'!K92-1),"")</f>
        <v>-3.0808923964182777E-2</v>
      </c>
      <c r="L92" s="141">
        <f>IFERROR(IF(OR(NOT(ISNUMBER('Price History'!L93)),NOT(ISNUMBER('Price History'!L92)),'Price History'!L92=0),"",'Price History'!L93/'Price History'!L92-1),"")</f>
        <v>6.1368421052631517E-2</v>
      </c>
      <c r="M92" s="141">
        <f>IFERROR(IF(OR(NOT(ISNUMBER('Price History'!M93)),NOT(ISNUMBER('Price History'!M92)),'Price History'!M92=0),"",'Price History'!M93/'Price History'!M92-1),"")</f>
        <v>6.8863109048723947E-2</v>
      </c>
      <c r="N92" s="141">
        <f>IFERROR(IF(OR(NOT(ISNUMBER('Price History'!N93)),NOT(ISNUMBER('Price History'!N92)),'Price History'!N92=0),"",'Price History'!N93/'Price History'!N92-1),"")</f>
        <v>1.9115484673679406E-2</v>
      </c>
      <c r="O92" s="141">
        <f>IFERROR(IF(OR(NOT(ISNUMBER('Price History'!O93)),NOT(ISNUMBER('Price History'!O92)),'Price History'!O92=0),"",'Price History'!O93/'Price History'!O92-1),"")</f>
        <v>1.8451897412092411E-2</v>
      </c>
      <c r="P92" s="141">
        <f>IFERROR(IF(OR(NOT(ISNUMBER('Price History'!P93)),NOT(ISNUMBER('Price History'!P92)),'Price History'!P92=0),"",'Price History'!P93/'Price History'!P92-1),"")</f>
        <v>3.6989385654551121E-3</v>
      </c>
      <c r="Q92" s="141">
        <f>IFERROR(IF(OR(NOT(ISNUMBER('Price History'!Q93)),NOT(ISNUMBER('Price History'!Q92)),'Price History'!Q92=0),"",'Price History'!Q93/'Price History'!Q92-1),"")</f>
        <v>9.7263435542367382E-3</v>
      </c>
      <c r="R92" s="141">
        <f>IFERROR(IF(OR(NOT(ISNUMBER('Price History'!R93)),NOT(ISNUMBER('Price History'!R92)),'Price History'!R92=0),"",'Price History'!R93/'Price History'!R92-1),"")</f>
        <v>1.3175524787851556E-2</v>
      </c>
      <c r="S92" s="141">
        <f>IFERROR(IF(OR(NOT(ISNUMBER('Price History'!S93)),NOT(ISNUMBER('Price History'!S92)),'Price History'!S92=0),"",'Price History'!S93/'Price History'!S92-1),"")</f>
        <v>1.4889529298751203E-2</v>
      </c>
      <c r="T92" s="141">
        <f>IFERROR(IF(OR(NOT(ISNUMBER('Price History'!T93)),NOT(ISNUMBER('Price History'!T92)),'Price History'!T92=0),"",'Price History'!T93/'Price History'!T92-1),"")</f>
        <v>2.3451593505712687E-2</v>
      </c>
      <c r="U92" s="141">
        <f>IFERROR(IF(OR(NOT(ISNUMBER('Price History'!U93)),NOT(ISNUMBER('Price History'!U92)),'Price History'!U92=0),"",'Price History'!U93/'Price History'!U92-1),"")</f>
        <v>1.4112903225806273E-2</v>
      </c>
      <c r="V92" s="142">
        <f>IFERROR(IF(OR(NOT(ISNUMBER('Price History'!V93)),NOT(ISNUMBER('Price History'!V92)),'Price History'!V92=0),"",'Price History'!V93/'Price History'!V92-1),"")</f>
        <v>1.3769839075374657E-2</v>
      </c>
      <c r="W92" s="143">
        <f>IFERROR('Price History'!B3+(INDEX('Price History'!B:B,MATCH(9.99E+307,'Returns (Calc)'!$A:$A)+1)-'Price History'!B3)*(ROW()-3)/(MATCH(9.99E+307,'Returns (Calc)'!$A:$A)-3),"")</f>
        <v>364.85962025316451</v>
      </c>
      <c r="X92" s="143">
        <f>IFERROR('Price History'!C3+(INDEX('Price History'!C:C,MATCH(9.99E+307,'Returns (Calc)'!$A:$A)+1)-'Price History'!C3)*(ROW()-3)/(MATCH(9.99E+307,'Returns (Calc)'!$A:$A)-3),"")</f>
        <v>136.96563291139239</v>
      </c>
      <c r="Y92" s="143">
        <f>IFERROR('Price History'!D3+(INDEX('Price History'!D:D,MATCH(9.99E+307,'Returns (Calc)'!$A:$A)+1)-'Price History'!D3)*(ROW()-3)/(MATCH(9.99E+307,'Returns (Calc)'!$A:$A)-3),"")</f>
        <v>1306.0081012658229</v>
      </c>
      <c r="Z92" s="143">
        <f>IFERROR('Price History'!E3+(INDEX('Price History'!E:E,MATCH(9.99E+307,'Returns (Calc)'!$A:$A)+1)-'Price History'!E3)*(ROW()-3)/(MATCH(9.99E+307,'Returns (Calc)'!$A:$A)-3),"")</f>
        <v>235.8573417721519</v>
      </c>
      <c r="AA92" s="143">
        <f>IFERROR('Price History'!F3+(INDEX('Price History'!F:F,MATCH(9.99E+307,'Returns (Calc)'!$A:$A)+1)-'Price History'!F3)*(ROW()-3)/(MATCH(9.99E+307,'Returns (Calc)'!$A:$A)-3),"")</f>
        <v>170.173417721519</v>
      </c>
      <c r="AB92" s="143">
        <f>IFERROR('Price History'!G3+(INDEX('Price History'!G:G,MATCH(9.99E+307,'Returns (Calc)'!$A:$A)+1)-'Price History'!G3)*(ROW()-3)/(MATCH(9.99E+307,'Returns (Calc)'!$A:$A)-3),"")</f>
        <v>135.90734177215191</v>
      </c>
      <c r="AC92" s="143">
        <f>IFERROR('Price History'!H3+(INDEX('Price History'!H:H,MATCH(9.99E+307,'Returns (Calc)'!$A:$A)+1)-'Price History'!H3)*(ROW()-3)/(MATCH(9.99E+307,'Returns (Calc)'!$A:$A)-3),"")</f>
        <v>635.6569620253166</v>
      </c>
      <c r="AD92" s="143">
        <f>IFERROR('Price History'!I3+(INDEX('Price History'!I:I,MATCH(9.99E+307,'Returns (Calc)'!$A:$A)+1)-'Price History'!I3)*(ROW()-3)/(MATCH(9.99E+307,'Returns (Calc)'!$A:$A)-3),"")</f>
        <v>150.89670886075947</v>
      </c>
      <c r="AE92" s="143">
        <f>IFERROR('Price History'!J3+(INDEX('Price History'!J:J,MATCH(9.99E+307,'Returns (Calc)'!$A:$A)+1)-'Price History'!J3)*(ROW()-3)/(MATCH(9.99E+307,'Returns (Calc)'!$A:$A)-3),"")</f>
        <v>121.45537974683545</v>
      </c>
      <c r="AF92" s="143">
        <f>IFERROR('Price History'!K3+(INDEX('Price History'!K:K,MATCH(9.99E+307,'Returns (Calc)'!$A:$A)+1)-'Price History'!K3)*(ROW()-3)/(MATCH(9.99E+307,'Returns (Calc)'!$A:$A)-3),"")</f>
        <v>113.0159493670886</v>
      </c>
      <c r="AG92" s="143">
        <f>IFERROR('Price History'!L3+(INDEX('Price History'!L:L,MATCH(9.99E+307,'Returns (Calc)'!$A:$A)+1)-'Price History'!L3)*(ROW()-3)/(MATCH(9.99E+307,'Returns (Calc)'!$A:$A)-3),"")</f>
        <v>303.76056962025314</v>
      </c>
      <c r="AH92" s="143">
        <f>IFERROR('Price History'!M3+(INDEX('Price History'!M:M,MATCH(9.99E+307,'Returns (Calc)'!$A:$A)+1)-'Price History'!M3)*(ROW()-3)/(MATCH(9.99E+307,'Returns (Calc)'!$A:$A)-3),"")</f>
        <v>158.65443037974683</v>
      </c>
      <c r="AI92" s="143">
        <f>IFERROR('Price History'!N3+(INDEX('Price History'!N:N,MATCH(9.99E+307,'Returns (Calc)'!$A:$A)+1)-'Price History'!N3)*(ROW()-3)/(MATCH(9.99E+307,'Returns (Calc)'!$A:$A)-3),"")</f>
        <v>436.6776582278481</v>
      </c>
      <c r="AJ92" s="143">
        <f>IFERROR('Price History'!O3+(INDEX('Price History'!O:O,MATCH(9.99E+307,'Returns (Calc)'!$A:$A)+1)-'Price History'!O3)*(ROW()-3)/(MATCH(9.99E+307,'Returns (Calc)'!$A:$A)-3),"")</f>
        <v>100.50037974683545</v>
      </c>
      <c r="AK92" s="143">
        <f>IFERROR('Price History'!Q3+(INDEX('Price History'!Q:Q,MATCH(9.99E+307,'Returns (Calc)'!$A:$A)+1)-'Price History'!Q3)*(ROW()-3)/(MATCH(9.99E+307,'Returns (Calc)'!$A:$A)-3),"")</f>
        <v>39.103670886075953</v>
      </c>
      <c r="AL92" s="143">
        <f>IFERROR('Price History'!R3+(INDEX('Price History'!R:R,MATCH(9.99E+307,'Returns (Calc)'!$A:$A)+1)-'Price History'!R3)*(ROW()-3)/(MATCH(9.99E+307,'Returns (Calc)'!$A:$A)-3),"")</f>
        <v>49.441012658227848</v>
      </c>
      <c r="AM92" s="143">
        <f>IFERROR('Price History'!S3+(INDEX('Price History'!S:S,MATCH(9.99E+307,'Returns (Calc)'!$A:$A)+1)-'Price History'!S3)*(ROW()-3)/(MATCH(9.99E+307,'Returns (Calc)'!$A:$A)-3),"")</f>
        <v>111.48063291139241</v>
      </c>
      <c r="AN92" s="143">
        <f>IFERROR('Price History'!T3+(INDEX('Price History'!T:T,MATCH(9.99E+307,'Returns (Calc)'!$A:$A)+1)-'Price History'!T3)*(ROW()-3)/(MATCH(9.99E+307,'Returns (Calc)'!$A:$A)-3),"")</f>
        <v>40.21227848101266</v>
      </c>
      <c r="AO92" s="144">
        <f>IFERROR('Price History'!V3+(INDEX('Price History'!V:V,MATCH(9.99E+307,'Returns (Calc)'!$A:$A)+1)-'Price History'!V3)*(ROW()-3)/(MATCH(9.99E+307,'Returns (Calc)'!$A:$A)-3),"")</f>
        <v>306.05829113924051</v>
      </c>
      <c r="AP92" s="142">
        <f>IFERROR(IF(OR(NOT(ISNUMBER('Price History'!W93)),NOT(ISNUMBER('Price History'!W92)),'Price History'!W92=0),"",'Price History'!W93/'Price History'!W92-1),"")</f>
        <v>1.1016403988420853E-2</v>
      </c>
      <c r="AQ92" s="142" t="str">
        <f>IFERROR(IF(OR(NOT(ISNUMBER('Price History'!X93)),NOT(ISNUMBER('Price History'!X92)),'Price History'!X92=0),"",'Price History'!X93/'Price History'!X92-1),"")</f>
        <v/>
      </c>
      <c r="AR92" s="142">
        <f>IFERROR(IF(OR(NOT(ISNUMBER('Price History'!Y93)),NOT(ISNUMBER('Price History'!Y92)),'Price History'!Y92=0),"",'Price History'!Y93/'Price History'!Y92-1),"")</f>
        <v>8.8070456365092475E-3</v>
      </c>
      <c r="AS92" s="142">
        <f>IFERROR(IF(OR(NOT(ISNUMBER('Price History'!Z93)),NOT(ISNUMBER('Price History'!Z92)),'Price History'!Z92=0),"",'Price History'!Z93/'Price History'!Z92-1),"")</f>
        <v>3.9539928779010358E-2</v>
      </c>
      <c r="AT92" s="142">
        <f>IFERROR(IF(OR(NOT(ISNUMBER('Price History'!AA93)),NOT(ISNUMBER('Price History'!AA92)),'Price History'!AA92=0),"",'Price History'!AA93/'Price History'!AA92-1),"")</f>
        <v>2.8412856196156522E-2</v>
      </c>
    </row>
    <row r="93" spans="1:46" ht="15" customHeight="1" x14ac:dyDescent="0.35">
      <c r="A93" s="140">
        <f>IF('Price History'!A94="","",'Price History'!A94)</f>
        <v>45821</v>
      </c>
      <c r="B93" s="141">
        <f>IFERROR(IF(OR(NOT(ISNUMBER('Price History'!B94)),NOT(ISNUMBER('Price History'!B93)),'Price History'!B93=0),"",'Price History'!B94/'Price History'!B93-1),"")</f>
        <v>-6.0539192171159995E-2</v>
      </c>
      <c r="C93" s="141">
        <f>IFERROR(IF(OR(NOT(ISNUMBER('Price History'!C94)),NOT(ISNUMBER('Price History'!C93)),'Price History'!C93=0),"",'Price History'!C94/'Price History'!C93-1),"")</f>
        <v>-5.0385604113110549E-2</v>
      </c>
      <c r="D93" s="141">
        <f>IFERROR(IF(OR(NOT(ISNUMBER('Price History'!D94)),NOT(ISNUMBER('Price History'!D93)),'Price History'!D93=0),"",'Price History'!D94/'Price History'!D93-1),"")</f>
        <v>1.060037523452162E-2</v>
      </c>
      <c r="E93" s="141">
        <f>IFERROR(IF(OR(NOT(ISNUMBER('Price History'!E94)),NOT(ISNUMBER('Price History'!E93)),'Price History'!E93=0),"",'Price History'!E94/'Price History'!E93-1),"")</f>
        <v>7.1688992667240381E-3</v>
      </c>
      <c r="F93" s="141">
        <f>IFERROR(IF(OR(NOT(ISNUMBER('Price History'!F94)),NOT(ISNUMBER('Price History'!F93)),'Price History'!F93=0),"",'Price History'!F94/'Price History'!F93-1),"")</f>
        <v>2.6046114432109357E-2</v>
      </c>
      <c r="G93" s="141">
        <f>IFERROR(IF(OR(NOT(ISNUMBER('Price History'!G94)),NOT(ISNUMBER('Price History'!G93)),'Price History'!G93=0),"",'Price History'!G94/'Price History'!G93-1),"")</f>
        <v>7.3824666417259044E-2</v>
      </c>
      <c r="H93" s="141">
        <f>IFERROR(IF(OR(NOT(ISNUMBER('Price History'!H94)),NOT(ISNUMBER('Price History'!H93)),'Price History'!H93=0),"",'Price History'!H94/'Price History'!H93-1),"")</f>
        <v>6.4924270410048113E-2</v>
      </c>
      <c r="I93" s="141">
        <f>IFERROR(IF(OR(NOT(ISNUMBER('Price History'!I94)),NOT(ISNUMBER('Price History'!I93)),'Price History'!I93=0),"",'Price History'!I94/'Price History'!I93-1),"")</f>
        <v>1.8392756083758233E-3</v>
      </c>
      <c r="J93" s="141">
        <f>IFERROR(IF(OR(NOT(ISNUMBER('Price History'!J94)),NOT(ISNUMBER('Price History'!J93)),'Price History'!J93=0),"",'Price History'!J94/'Price History'!J93-1),"")</f>
        <v>-1.3904982618771711E-2</v>
      </c>
      <c r="K93" s="141">
        <f>IFERROR(IF(OR(NOT(ISNUMBER('Price History'!K94)),NOT(ISNUMBER('Price History'!K93)),'Price History'!K93=0),"",'Price History'!K94/'Price History'!K93-1),"")</f>
        <v>7.5790792358283898E-2</v>
      </c>
      <c r="L93" s="141">
        <f>IFERROR(IF(OR(NOT(ISNUMBER('Price History'!L94)),NOT(ISNUMBER('Price History'!L93)),'Price History'!L93=0),"",'Price History'!L94/'Price History'!L93-1),"")</f>
        <v>3.2579589407914389E-2</v>
      </c>
      <c r="M93" s="141">
        <f>IFERROR(IF(OR(NOT(ISNUMBER('Price History'!M94)),NOT(ISNUMBER('Price History'!M93)),'Price History'!M93=0),"",'Price History'!M94/'Price History'!M93-1),"")</f>
        <v>-3.8117565338195769E-2</v>
      </c>
      <c r="N93" s="141">
        <f>IFERROR(IF(OR(NOT(ISNUMBER('Price History'!N94)),NOT(ISNUMBER('Price History'!N93)),'Price History'!N93=0),"",'Price History'!N94/'Price History'!N93-1),"")</f>
        <v>1.0987791342952358E-2</v>
      </c>
      <c r="O93" s="141">
        <f>IFERROR(IF(OR(NOT(ISNUMBER('Price History'!O94)),NOT(ISNUMBER('Price History'!O93)),'Price History'!O93=0),"",'Price History'!O94/'Price History'!O93-1),"")</f>
        <v>-6.0391978122151802E-3</v>
      </c>
      <c r="P93" s="141">
        <f>IFERROR(IF(OR(NOT(ISNUMBER('Price History'!P94)),NOT(ISNUMBER('Price History'!P93)),'Price History'!P93=0),"",'Price History'!P94/'Price History'!P93-1),"")</f>
        <v>-3.5250761095978467E-3</v>
      </c>
      <c r="Q93" s="141">
        <f>IFERROR(IF(OR(NOT(ISNUMBER('Price History'!Q94)),NOT(ISNUMBER('Price History'!Q93)),'Price History'!Q93=0),"",'Price History'!Q94/'Price History'!Q93-1),"")</f>
        <v>-1.6326530612242873E-4</v>
      </c>
      <c r="R93" s="141">
        <f>IFERROR(IF(OR(NOT(ISNUMBER('Price History'!R94)),NOT(ISNUMBER('Price History'!R93)),'Price History'!R93=0),"",'Price History'!R94/'Price History'!R93-1),"")</f>
        <v>-1.9836896627726253E-3</v>
      </c>
      <c r="S93" s="141">
        <f>IFERROR(IF(OR(NOT(ISNUMBER('Price History'!S94)),NOT(ISNUMBER('Price History'!S93)),'Price History'!S93=0),"",'Price History'!S94/'Price History'!S93-1),"")</f>
        <v>-7.0989115002366709E-3</v>
      </c>
      <c r="T93" s="141">
        <f>IFERROR(IF(OR(NOT(ISNUMBER('Price History'!T94)),NOT(ISNUMBER('Price History'!T93)),'Price History'!T93=0),"",'Price History'!T94/'Price History'!T93-1),"")</f>
        <v>1.3219741480611225E-2</v>
      </c>
      <c r="U93" s="141">
        <f>IFERROR(IF(OR(NOT(ISNUMBER('Price History'!U94)),NOT(ISNUMBER('Price History'!U93)),'Price History'!U93=0),"",'Price History'!U94/'Price History'!U93-1),"")</f>
        <v>1.3518886679920517E-2</v>
      </c>
      <c r="V93" s="142">
        <f>IFERROR(IF(OR(NOT(ISNUMBER('Price History'!V94)),NOT(ISNUMBER('Price History'!V93)),'Price History'!V93=0),"",'Price History'!V94/'Price History'!V93-1),"")</f>
        <v>-4.691250272747105E-2</v>
      </c>
      <c r="W93" s="143">
        <f>IFERROR('Price History'!B3+(INDEX('Price History'!B:B,MATCH(9.99E+307,'Returns (Calc)'!$A:$A)+1)-'Price History'!B3)*(ROW()-3)/(MATCH(9.99E+307,'Returns (Calc)'!$A:$A)-3),"")</f>
        <v>363.016582278481</v>
      </c>
      <c r="X93" s="143">
        <f>IFERROR('Price History'!C3+(INDEX('Price History'!C:C,MATCH(9.99E+307,'Returns (Calc)'!$A:$A)+1)-'Price History'!C3)*(ROW()-3)/(MATCH(9.99E+307,'Returns (Calc)'!$A:$A)-3),"")</f>
        <v>137.98569620253164</v>
      </c>
      <c r="Y93" s="143">
        <f>IFERROR('Price History'!D3+(INDEX('Price History'!D:D,MATCH(9.99E+307,'Returns (Calc)'!$A:$A)+1)-'Price History'!D3)*(ROW()-3)/(MATCH(9.99E+307,'Returns (Calc)'!$A:$A)-3),"")</f>
        <v>1314.142911392405</v>
      </c>
      <c r="Z93" s="143">
        <f>IFERROR('Price History'!E3+(INDEX('Price History'!E:E,MATCH(9.99E+307,'Returns (Calc)'!$A:$A)+1)-'Price History'!E3)*(ROW()-3)/(MATCH(9.99E+307,'Returns (Calc)'!$A:$A)-3),"")</f>
        <v>237.58607594936709</v>
      </c>
      <c r="AA93" s="143">
        <f>IFERROR('Price History'!F3+(INDEX('Price History'!F:F,MATCH(9.99E+307,'Returns (Calc)'!$A:$A)+1)-'Price History'!F3)*(ROW()-3)/(MATCH(9.99E+307,'Returns (Calc)'!$A:$A)-3),"")</f>
        <v>171.6207594936709</v>
      </c>
      <c r="AB93" s="143">
        <f>IFERROR('Price History'!G3+(INDEX('Price History'!G:G,MATCH(9.99E+307,'Returns (Calc)'!$A:$A)+1)-'Price History'!G3)*(ROW()-3)/(MATCH(9.99E+307,'Returns (Calc)'!$A:$A)-3),"")</f>
        <v>136.93607594936708</v>
      </c>
      <c r="AC93" s="143">
        <f>IFERROR('Price History'!H3+(INDEX('Price History'!H:H,MATCH(9.99E+307,'Returns (Calc)'!$A:$A)+1)-'Price History'!H3)*(ROW()-3)/(MATCH(9.99E+307,'Returns (Calc)'!$A:$A)-3),"")</f>
        <v>642.02265822784818</v>
      </c>
      <c r="AD93" s="143">
        <f>IFERROR('Price History'!I3+(INDEX('Price History'!I:I,MATCH(9.99E+307,'Returns (Calc)'!$A:$A)+1)-'Price History'!I3)*(ROW()-3)/(MATCH(9.99E+307,'Returns (Calc)'!$A:$A)-3),"")</f>
        <v>152.10037974683542</v>
      </c>
      <c r="AE93" s="143">
        <f>IFERROR('Price History'!J3+(INDEX('Price History'!J:J,MATCH(9.99E+307,'Returns (Calc)'!$A:$A)+1)-'Price History'!J3)*(ROW()-3)/(MATCH(9.99E+307,'Returns (Calc)'!$A:$A)-3),"")</f>
        <v>121.56341772151899</v>
      </c>
      <c r="AF93" s="143">
        <f>IFERROR('Price History'!K3+(INDEX('Price History'!K:K,MATCH(9.99E+307,'Returns (Calc)'!$A:$A)+1)-'Price History'!K3)*(ROW()-3)/(MATCH(9.99E+307,'Returns (Calc)'!$A:$A)-3),"")</f>
        <v>114.11354430379747</v>
      </c>
      <c r="AG93" s="143">
        <f>IFERROR('Price History'!L3+(INDEX('Price History'!L:L,MATCH(9.99E+307,'Returns (Calc)'!$A:$A)+1)-'Price History'!L3)*(ROW()-3)/(MATCH(9.99E+307,'Returns (Calc)'!$A:$A)-3),"")</f>
        <v>306.21012658227846</v>
      </c>
      <c r="AH93" s="143">
        <f>IFERROR('Price History'!M3+(INDEX('Price History'!M:M,MATCH(9.99E+307,'Returns (Calc)'!$A:$A)+1)-'Price History'!M3)*(ROW()-3)/(MATCH(9.99E+307,'Returns (Calc)'!$A:$A)-3),"")</f>
        <v>160.00987341772154</v>
      </c>
      <c r="AI93" s="143">
        <f>IFERROR('Price History'!N3+(INDEX('Price History'!N:N,MATCH(9.99E+307,'Returns (Calc)'!$A:$A)+1)-'Price History'!N3)*(ROW()-3)/(MATCH(9.99E+307,'Returns (Calc)'!$A:$A)-3),"")</f>
        <v>437.66392405063289</v>
      </c>
      <c r="AJ93" s="143">
        <f>IFERROR('Price History'!O3+(INDEX('Price History'!O:O,MATCH(9.99E+307,'Returns (Calc)'!$A:$A)+1)-'Price History'!O3)*(ROW()-3)/(MATCH(9.99E+307,'Returns (Calc)'!$A:$A)-3),"")</f>
        <v>100.78341772151899</v>
      </c>
      <c r="AK93" s="143">
        <f>IFERROR('Price History'!Q3+(INDEX('Price History'!Q:Q,MATCH(9.99E+307,'Returns (Calc)'!$A:$A)+1)-'Price History'!Q3)*(ROW()-3)/(MATCH(9.99E+307,'Returns (Calc)'!$A:$A)-3),"")</f>
        <v>39.543037974683543</v>
      </c>
      <c r="AL93" s="143">
        <f>IFERROR('Price History'!R3+(INDEX('Price History'!R:R,MATCH(9.99E+307,'Returns (Calc)'!$A:$A)+1)-'Price History'!R3)*(ROW()-3)/(MATCH(9.99E+307,'Returns (Calc)'!$A:$A)-3),"")</f>
        <v>49.609113924050632</v>
      </c>
      <c r="AM93" s="143">
        <f>IFERROR('Price History'!S3+(INDEX('Price History'!S:S,MATCH(9.99E+307,'Returns (Calc)'!$A:$A)+1)-'Price History'!S3)*(ROW()-3)/(MATCH(9.99E+307,'Returns (Calc)'!$A:$A)-3),"")</f>
        <v>112.08569620253165</v>
      </c>
      <c r="AN93" s="143">
        <f>IFERROR('Price History'!T3+(INDEX('Price History'!T:T,MATCH(9.99E+307,'Returns (Calc)'!$A:$A)+1)-'Price History'!T3)*(ROW()-3)/(MATCH(9.99E+307,'Returns (Calc)'!$A:$A)-3),"")</f>
        <v>40.380506329113928</v>
      </c>
      <c r="AO93" s="144">
        <f>IFERROR('Price History'!V3+(INDEX('Price History'!V:V,MATCH(9.99E+307,'Returns (Calc)'!$A:$A)+1)-'Price History'!V3)*(ROW()-3)/(MATCH(9.99E+307,'Returns (Calc)'!$A:$A)-3),"")</f>
        <v>306.84962025316457</v>
      </c>
      <c r="AP93" s="142">
        <f>IFERROR(IF(OR(NOT(ISNUMBER('Price History'!W94)),NOT(ISNUMBER('Price History'!W93)),'Price History'!W93=0),"",'Price History'!W94/'Price History'!W93-1),"")</f>
        <v>7.158196134573469E-4</v>
      </c>
      <c r="AQ93" s="142" t="str">
        <f>IFERROR(IF(OR(NOT(ISNUMBER('Price History'!X94)),NOT(ISNUMBER('Price History'!X93)),'Price History'!X93=0),"",'Price History'!X94/'Price History'!X93-1),"")</f>
        <v/>
      </c>
      <c r="AR93" s="142">
        <f>IFERROR(IF(OR(NOT(ISNUMBER('Price History'!Y94)),NOT(ISNUMBER('Price History'!Y93)),'Price History'!Y93=0),"",'Price History'!Y94/'Price History'!Y93-1),"")</f>
        <v>0</v>
      </c>
      <c r="AS93" s="142">
        <f>IFERROR(IF(OR(NOT(ISNUMBER('Price History'!Z94)),NOT(ISNUMBER('Price History'!Z93)),'Price History'!Z93=0),"",'Price History'!Z94/'Price History'!Z93-1),"")</f>
        <v>-7.4457613103909859E-2</v>
      </c>
      <c r="AT93" s="142">
        <f>IFERROR(IF(OR(NOT(ISNUMBER('Price History'!AA94)),NOT(ISNUMBER('Price History'!AA93)),'Price History'!AA93=0),"",'Price History'!AA94/'Price History'!AA93-1),"")</f>
        <v>-2.3681031010874043E-2</v>
      </c>
    </row>
    <row r="94" spans="1:46" ht="15" customHeight="1" x14ac:dyDescent="0.35">
      <c r="A94" s="140">
        <f>IF('Price History'!A95="","",'Price History'!A95)</f>
        <v>45828</v>
      </c>
      <c r="B94" s="141">
        <f>IFERROR(IF(OR(NOT(ISNUMBER('Price History'!B95)),NOT(ISNUMBER('Price History'!B94)),'Price History'!B94=0),"",'Price History'!B95/'Price History'!B94-1),"")</f>
        <v>-3.7683823529411686E-2</v>
      </c>
      <c r="C94" s="141">
        <f>IFERROR(IF(OR(NOT(ISNUMBER('Price History'!C95)),NOT(ISNUMBER('Price History'!C94)),'Price History'!C94=0),"",'Price History'!C95/'Price History'!C94-1),"")</f>
        <v>-6.6053059014618221E-2</v>
      </c>
      <c r="D94" s="141">
        <f>IFERROR(IF(OR(NOT(ISNUMBER('Price History'!D95)),NOT(ISNUMBER('Price History'!D94)),'Price History'!D94=0),"",'Price History'!D95/'Price History'!D94-1),"")</f>
        <v>-5.8744745461538628E-3</v>
      </c>
      <c r="E94" s="141">
        <f>IFERROR(IF(OR(NOT(ISNUMBER('Price History'!E95)),NOT(ISNUMBER('Price History'!E94)),'Price History'!E94=0),"",'Price History'!E95/'Price History'!E94-1),"")</f>
        <v>7.5652810542583548E-3</v>
      </c>
      <c r="F94" s="141">
        <f>IFERROR(IF(OR(NOT(ISNUMBER('Price History'!F95)),NOT(ISNUMBER('Price History'!F94)),'Price History'!F94=0),"",'Price History'!F95/'Price History'!F94-1),"")</f>
        <v>-8.9887640449439754E-3</v>
      </c>
      <c r="G94" s="141">
        <f>IFERROR(IF(OR(NOT(ISNUMBER('Price History'!G95)),NOT(ISNUMBER('Price History'!G94)),'Price History'!G94=0),"",'Price History'!G95/'Price History'!G94-1),"")</f>
        <v>-2.0322842875391989E-2</v>
      </c>
      <c r="H94" s="141">
        <f>IFERROR(IF(OR(NOT(ISNUMBER('Price History'!H95)),NOT(ISNUMBER('Price History'!H94)),'Price History'!H94=0),"",'Price History'!H95/'Price History'!H94-1),"")</f>
        <v>6.9204752406556214E-2</v>
      </c>
      <c r="I94" s="141">
        <f>IFERROR(IF(OR(NOT(ISNUMBER('Price History'!I95)),NOT(ISNUMBER('Price History'!I94)),'Price History'!I94=0),"",'Price History'!I95/'Price History'!I94-1),"")</f>
        <v>1.3274961163677323E-2</v>
      </c>
      <c r="J94" s="141">
        <f>IFERROR(IF(OR(NOT(ISNUMBER('Price History'!J95)),NOT(ISNUMBER('Price History'!J94)),'Price History'!J94=0),"",'Price History'!J95/'Price History'!J94-1),"")</f>
        <v>-5.3858206032120215E-3</v>
      </c>
      <c r="K94" s="141">
        <f>IFERROR(IF(OR(NOT(ISNUMBER('Price History'!K95)),NOT(ISNUMBER('Price History'!K94)),'Price History'!K94=0),"",'Price History'!K95/'Price History'!K94-1),"")</f>
        <v>-7.2780203784561515E-4</v>
      </c>
      <c r="L94" s="141">
        <f>IFERROR(IF(OR(NOT(ISNUMBER('Price History'!L95)),NOT(ISNUMBER('Price History'!L94)),'Price History'!L94=0),"",'Price History'!L95/'Price History'!L94-1),"")</f>
        <v>-7.5397397108966091E-3</v>
      </c>
      <c r="M94" s="141">
        <f>IFERROR(IF(OR(NOT(ISNUMBER('Price History'!M95)),NOT(ISNUMBER('Price History'!M94)),'Price History'!M94=0),"",'Price History'!M95/'Price History'!M94-1),"")</f>
        <v>6.8604441234879854E-2</v>
      </c>
      <c r="N94" s="141">
        <f>IFERROR(IF(OR(NOT(ISNUMBER('Price History'!N95)),NOT(ISNUMBER('Price History'!N94)),'Price History'!N94=0),"",'Price History'!N95/'Price History'!N94-1),"")</f>
        <v>-3.2012295531891555E-2</v>
      </c>
      <c r="O94" s="141">
        <f>IFERROR(IF(OR(NOT(ISNUMBER('Price History'!O95)),NOT(ISNUMBER('Price History'!O94)),'Price History'!O94=0),"",'Price History'!O95/'Price History'!O94-1),"")</f>
        <v>1.7195918835262169E-3</v>
      </c>
      <c r="P94" s="141">
        <f>IFERROR(IF(OR(NOT(ISNUMBER('Price History'!P95)),NOT(ISNUMBER('Price History'!P94)),'Price History'!P94=0),"",'Price History'!P95/'Price History'!P94-1),"")</f>
        <v>2.9747547837273292E-3</v>
      </c>
      <c r="Q94" s="141">
        <f>IFERROR(IF(OR(NOT(ISNUMBER('Price History'!Q95)),NOT(ISNUMBER('Price History'!Q94)),'Price History'!Q94=0),"",'Price History'!Q95/'Price History'!Q94-1),"")</f>
        <v>8.1645983017630819E-4</v>
      </c>
      <c r="R94" s="141">
        <f>IFERROR(IF(OR(NOT(ISNUMBER('Price History'!R95)),NOT(ISNUMBER('Price History'!R94)),'Price History'!R94=0),"",'Price History'!R95/'Price History'!R94-1),"")</f>
        <v>3.0918727915194566E-3</v>
      </c>
      <c r="S94" s="141">
        <f>IFERROR(IF(OR(NOT(ISNUMBER('Price History'!S95)),NOT(ISNUMBER('Price History'!S94)),'Price History'!S94=0),"",'Price History'!S95/'Price History'!S94-1),"")</f>
        <v>7.0543374642515477E-3</v>
      </c>
      <c r="T94" s="141">
        <f>IFERROR(IF(OR(NOT(ISNUMBER('Price History'!T95)),NOT(ISNUMBER('Price History'!T94)),'Price History'!T94=0),"",'Price History'!T95/'Price History'!T94-1),"")</f>
        <v>-1.1597564511451885E-3</v>
      </c>
      <c r="U94" s="141">
        <f>IFERROR(IF(OR(NOT(ISNUMBER('Price History'!U95)),NOT(ISNUMBER('Price History'!U94)),'Price History'!U94=0),"",'Price History'!U95/'Price History'!U94-1),"")</f>
        <v>-7.4539034915652724E-3</v>
      </c>
      <c r="V94" s="142">
        <f>IFERROR(IF(OR(NOT(ISNUMBER('Price History'!V95)),NOT(ISNUMBER('Price History'!V94)),'Price History'!V94=0),"",'Price History'!V95/'Price History'!V94-1),"")</f>
        <v>-4.0493360805860745E-2</v>
      </c>
      <c r="W94" s="143">
        <f>IFERROR('Price History'!B3+(INDEX('Price History'!B:B,MATCH(9.99E+307,'Returns (Calc)'!$A:$A)+1)-'Price History'!B3)*(ROW()-3)/(MATCH(9.99E+307,'Returns (Calc)'!$A:$A)-3),"")</f>
        <v>361.17354430379748</v>
      </c>
      <c r="X94" s="143">
        <f>IFERROR('Price History'!C3+(INDEX('Price History'!C:C,MATCH(9.99E+307,'Returns (Calc)'!$A:$A)+1)-'Price History'!C3)*(ROW()-3)/(MATCH(9.99E+307,'Returns (Calc)'!$A:$A)-3),"")</f>
        <v>139.00575949367089</v>
      </c>
      <c r="Y94" s="143">
        <f>IFERROR('Price History'!D3+(INDEX('Price History'!D:D,MATCH(9.99E+307,'Returns (Calc)'!$A:$A)+1)-'Price History'!D3)*(ROW()-3)/(MATCH(9.99E+307,'Returns (Calc)'!$A:$A)-3),"")</f>
        <v>1322.2777215189874</v>
      </c>
      <c r="Z94" s="143">
        <f>IFERROR('Price History'!E3+(INDEX('Price History'!E:E,MATCH(9.99E+307,'Returns (Calc)'!$A:$A)+1)-'Price History'!E3)*(ROW()-3)/(MATCH(9.99E+307,'Returns (Calc)'!$A:$A)-3),"")</f>
        <v>239.31481012658227</v>
      </c>
      <c r="AA94" s="143">
        <f>IFERROR('Price History'!F3+(INDEX('Price History'!F:F,MATCH(9.99E+307,'Returns (Calc)'!$A:$A)+1)-'Price History'!F3)*(ROW()-3)/(MATCH(9.99E+307,'Returns (Calc)'!$A:$A)-3),"")</f>
        <v>173.0681012658228</v>
      </c>
      <c r="AB94" s="143">
        <f>IFERROR('Price History'!G3+(INDEX('Price History'!G:G,MATCH(9.99E+307,'Returns (Calc)'!$A:$A)+1)-'Price History'!G3)*(ROW()-3)/(MATCH(9.99E+307,'Returns (Calc)'!$A:$A)-3),"")</f>
        <v>137.96481012658228</v>
      </c>
      <c r="AC94" s="143">
        <f>IFERROR('Price History'!H3+(INDEX('Price History'!H:H,MATCH(9.99E+307,'Returns (Calc)'!$A:$A)+1)-'Price History'!H3)*(ROW()-3)/(MATCH(9.99E+307,'Returns (Calc)'!$A:$A)-3),"")</f>
        <v>648.38835443037988</v>
      </c>
      <c r="AD94" s="143">
        <f>IFERROR('Price History'!I3+(INDEX('Price History'!I:I,MATCH(9.99E+307,'Returns (Calc)'!$A:$A)+1)-'Price History'!I3)*(ROW()-3)/(MATCH(9.99E+307,'Returns (Calc)'!$A:$A)-3),"")</f>
        <v>153.30405063291138</v>
      </c>
      <c r="AE94" s="143">
        <f>IFERROR('Price History'!J3+(INDEX('Price History'!J:J,MATCH(9.99E+307,'Returns (Calc)'!$A:$A)+1)-'Price History'!J3)*(ROW()-3)/(MATCH(9.99E+307,'Returns (Calc)'!$A:$A)-3),"")</f>
        <v>121.67145569620253</v>
      </c>
      <c r="AF94" s="143">
        <f>IFERROR('Price History'!K3+(INDEX('Price History'!K:K,MATCH(9.99E+307,'Returns (Calc)'!$A:$A)+1)-'Price History'!K3)*(ROW()-3)/(MATCH(9.99E+307,'Returns (Calc)'!$A:$A)-3),"")</f>
        <v>115.21113924050633</v>
      </c>
      <c r="AG94" s="143">
        <f>IFERROR('Price History'!L3+(INDEX('Price History'!L:L,MATCH(9.99E+307,'Returns (Calc)'!$A:$A)+1)-'Price History'!L3)*(ROW()-3)/(MATCH(9.99E+307,'Returns (Calc)'!$A:$A)-3),"")</f>
        <v>308.65968354430379</v>
      </c>
      <c r="AH94" s="143">
        <f>IFERROR('Price History'!M3+(INDEX('Price History'!M:M,MATCH(9.99E+307,'Returns (Calc)'!$A:$A)+1)-'Price History'!M3)*(ROW()-3)/(MATCH(9.99E+307,'Returns (Calc)'!$A:$A)-3),"")</f>
        <v>161.36531645569622</v>
      </c>
      <c r="AI94" s="143">
        <f>IFERROR('Price History'!N3+(INDEX('Price History'!N:N,MATCH(9.99E+307,'Returns (Calc)'!$A:$A)+1)-'Price History'!N3)*(ROW()-3)/(MATCH(9.99E+307,'Returns (Calc)'!$A:$A)-3),"")</f>
        <v>438.65018987341773</v>
      </c>
      <c r="AJ94" s="143">
        <f>IFERROR('Price History'!O3+(INDEX('Price History'!O:O,MATCH(9.99E+307,'Returns (Calc)'!$A:$A)+1)-'Price History'!O3)*(ROW()-3)/(MATCH(9.99E+307,'Returns (Calc)'!$A:$A)-3),"")</f>
        <v>101.06645569620254</v>
      </c>
      <c r="AK94" s="143">
        <f>IFERROR('Price History'!Q3+(INDEX('Price History'!Q:Q,MATCH(9.99E+307,'Returns (Calc)'!$A:$A)+1)-'Price History'!Q3)*(ROW()-3)/(MATCH(9.99E+307,'Returns (Calc)'!$A:$A)-3),"")</f>
        <v>39.982405063291139</v>
      </c>
      <c r="AL94" s="143">
        <f>IFERROR('Price History'!R3+(INDEX('Price History'!R:R,MATCH(9.99E+307,'Returns (Calc)'!$A:$A)+1)-'Price History'!R3)*(ROW()-3)/(MATCH(9.99E+307,'Returns (Calc)'!$A:$A)-3),"")</f>
        <v>49.777215189873417</v>
      </c>
      <c r="AM94" s="143">
        <f>IFERROR('Price History'!S3+(INDEX('Price History'!S:S,MATCH(9.99E+307,'Returns (Calc)'!$A:$A)+1)-'Price History'!S3)*(ROW()-3)/(MATCH(9.99E+307,'Returns (Calc)'!$A:$A)-3),"")</f>
        <v>112.6907594936709</v>
      </c>
      <c r="AN94" s="143">
        <f>IFERROR('Price History'!T3+(INDEX('Price History'!T:T,MATCH(9.99E+307,'Returns (Calc)'!$A:$A)+1)-'Price History'!T3)*(ROW()-3)/(MATCH(9.99E+307,'Returns (Calc)'!$A:$A)-3),"")</f>
        <v>40.548734177215188</v>
      </c>
      <c r="AO94" s="144">
        <f>IFERROR('Price History'!V3+(INDEX('Price History'!V:V,MATCH(9.99E+307,'Returns (Calc)'!$A:$A)+1)-'Price History'!V3)*(ROW()-3)/(MATCH(9.99E+307,'Returns (Calc)'!$A:$A)-3),"")</f>
        <v>307.64094936708864</v>
      </c>
      <c r="AP94" s="142">
        <f>IFERROR(IF(OR(NOT(ISNUMBER('Price History'!W95)),NOT(ISNUMBER('Price History'!W94)),'Price History'!W94=0),"",'Price History'!W95/'Price History'!W94-1),"")</f>
        <v>-3.9739310125574967E-4</v>
      </c>
      <c r="AQ94" s="142" t="str">
        <f>IFERROR(IF(OR(NOT(ISNUMBER('Price History'!X95)),NOT(ISNUMBER('Price History'!X94)),'Price History'!X94=0),"",'Price History'!X95/'Price History'!X94-1),"")</f>
        <v/>
      </c>
      <c r="AR94" s="142">
        <f>IFERROR(IF(OR(NOT(ISNUMBER('Price History'!Y95)),NOT(ISNUMBER('Price History'!Y94)),'Price History'!Y94=0),"",'Price History'!Y95/'Price History'!Y94-1),"")</f>
        <v>-5.1587301587301404E-3</v>
      </c>
      <c r="AS94" s="142">
        <f>IFERROR(IF(OR(NOT(ISNUMBER('Price History'!Z95)),NOT(ISNUMBER('Price History'!Z94)),'Price History'!Z94=0),"",'Price History'!Z95/'Price History'!Z94-1),"")</f>
        <v>1.1699140644941819E-2</v>
      </c>
      <c r="AT94" s="142">
        <f>IFERROR(IF(OR(NOT(ISNUMBER('Price History'!AA95)),NOT(ISNUMBER('Price History'!AA94)),'Price History'!AA94=0),"",'Price History'!AA95/'Price History'!AA94-1),"")</f>
        <v>1.5922778648626457E-2</v>
      </c>
    </row>
    <row r="95" spans="1:46" ht="15" customHeight="1" x14ac:dyDescent="0.35">
      <c r="A95" s="140">
        <f>IF('Price History'!A96="","",'Price History'!A96)</f>
        <v>45835</v>
      </c>
      <c r="B95" s="141">
        <f>IFERROR(IF(OR(NOT(ISNUMBER('Price History'!B96)),NOT(ISNUMBER('Price History'!B95)),'Price History'!B95=0),"",'Price History'!B96/'Price History'!B95-1),"")</f>
        <v>2.3638968481375366E-2</v>
      </c>
      <c r="C95" s="141">
        <f>IFERROR(IF(OR(NOT(ISNUMBER('Price History'!C96)),NOT(ISNUMBER('Price History'!C95)),'Price History'!C95=0),"",'Price History'!C96/'Price History'!C95-1),"")</f>
        <v>0.15234782608695663</v>
      </c>
      <c r="D95" s="141">
        <f>IFERROR(IF(OR(NOT(ISNUMBER('Price History'!D96)),NOT(ISNUMBER('Price History'!D95)),'Price History'!D95=0),"",'Price History'!D96/'Price History'!D95-1),"")</f>
        <v>5.2102230284921669E-2</v>
      </c>
      <c r="E95" s="141">
        <f>IFERROR(IF(OR(NOT(ISNUMBER('Price History'!E96)),NOT(ISNUMBER('Price History'!E95)),'Price History'!E95=0),"",'Price History'!E96/'Price History'!E95-1),"")</f>
        <v>7.7426126271596951E-2</v>
      </c>
      <c r="F95" s="141">
        <f>IFERROR(IF(OR(NOT(ISNUMBER('Price History'!F96)),NOT(ISNUMBER('Price History'!F95)),'Price History'!F95=0),"",'Price History'!F96/'Price History'!F95-1),"")</f>
        <v>4.837490551776269E-2</v>
      </c>
      <c r="G95" s="141">
        <f>IFERROR(IF(OR(NOT(ISNUMBER('Price History'!G96)),NOT(ISNUMBER('Price History'!G95)),'Price History'!G95=0),"",'Price History'!G96/'Price History'!G95-1),"")</f>
        <v>4.6941678520625807E-2</v>
      </c>
      <c r="H95" s="141">
        <f>IFERROR(IF(OR(NOT(ISNUMBER('Price History'!H96)),NOT(ISNUMBER('Price History'!H95)),'Price History'!H95=0),"",'Price History'!H96/'Price History'!H95-1),"")</f>
        <v>9.3276015897476583E-3</v>
      </c>
      <c r="I95" s="141">
        <f>IFERROR(IF(OR(NOT(ISNUMBER('Price History'!I96)),NOT(ISNUMBER('Price History'!I95)),'Price History'!I95=0),"",'Price History'!I96/'Price History'!I95-1),"")</f>
        <v>9.6585365853658622E-2</v>
      </c>
      <c r="J95" s="141">
        <f>IFERROR(IF(OR(NOT(ISNUMBER('Price History'!J96)),NOT(ISNUMBER('Price History'!J95)),'Price History'!J95=0),"",'Price History'!J96/'Price History'!J95-1),"")</f>
        <v>-6.8917987594752095E-4</v>
      </c>
      <c r="K95" s="141">
        <f>IFERROR(IF(OR(NOT(ISNUMBER('Price History'!K96)),NOT(ISNUMBER('Price History'!K95)),'Price History'!K95=0),"",'Price History'!K96/'Price History'!K95-1),"")</f>
        <v>-4.7778587035688269E-2</v>
      </c>
      <c r="L95" s="141">
        <f>IFERROR(IF(OR(NOT(ISNUMBER('Price History'!L96)),NOT(ISNUMBER('Price History'!L95)),'Price History'!L95=0),"",'Price History'!L96/'Price History'!L95-1),"")</f>
        <v>9.0970676473434597E-2</v>
      </c>
      <c r="M95" s="141">
        <f>IFERROR(IF(OR(NOT(ISNUMBER('Price History'!M96)),NOT(ISNUMBER('Price History'!M95)),'Price History'!M95=0),"",'Price History'!M96/'Price History'!M95-1),"")</f>
        <v>7.2731880385200176E-2</v>
      </c>
      <c r="N95" s="141">
        <f>IFERROR(IF(OR(NOT(ISNUMBER('Price History'!N96)),NOT(ISNUMBER('Price History'!N95)),'Price History'!N95=0),"",'Price History'!N96/'Price History'!N95-1),"")</f>
        <v>9.7534420577494174E-4</v>
      </c>
      <c r="O95" s="141">
        <f>IFERROR(IF(OR(NOT(ISNUMBER('Price History'!O96)),NOT(ISNUMBER('Price History'!O95)),'Price History'!O95=0),"",'Price History'!O96/'Price History'!O95-1),"")</f>
        <v>2.5520714122224897E-2</v>
      </c>
      <c r="P95" s="141">
        <f>IFERROR(IF(OR(NOT(ISNUMBER('Price History'!P96)),NOT(ISNUMBER('Price History'!P95)),'Price History'!P95=0),"",'Price History'!P96/'Price History'!P95-1),"")</f>
        <v>1.3787575150300491E-2</v>
      </c>
      <c r="Q95" s="141">
        <f>IFERROR(IF(OR(NOT(ISNUMBER('Price History'!Q96)),NOT(ISNUMBER('Price History'!Q95)),'Price History'!Q95=0),"",'Price History'!Q96/'Price History'!Q95-1),"")</f>
        <v>1.2400065263501459E-2</v>
      </c>
      <c r="R95" s="141">
        <f>IFERROR(IF(OR(NOT(ISNUMBER('Price History'!R96)),NOT(ISNUMBER('Price History'!R95)),'Price History'!R95=0),"",'Price History'!R96/'Price History'!R95-1),"")</f>
        <v>2.8841919859092791E-2</v>
      </c>
      <c r="S95" s="141">
        <f>IFERROR(IF(OR(NOT(ISNUMBER('Price History'!S96)),NOT(ISNUMBER('Price History'!S95)),'Price History'!S95=0),"",'Price History'!S96/'Price History'!S95-1),"")</f>
        <v>4.8182506626277988E-2</v>
      </c>
      <c r="T95" s="141">
        <f>IFERROR(IF(OR(NOT(ISNUMBER('Price History'!T96)),NOT(ISNUMBER('Price History'!T95)),'Price History'!T95=0),"",'Price History'!T96/'Price History'!T95-1),"")</f>
        <v>8.7082728592162706E-3</v>
      </c>
      <c r="U95" s="141">
        <f>IFERROR(IF(OR(NOT(ISNUMBER('Price History'!U96)),NOT(ISNUMBER('Price History'!U95)),'Price History'!U95=0),"",'Price History'!U96/'Price History'!U95-1),"")</f>
        <v>-1.9762845849802257E-3</v>
      </c>
      <c r="V95" s="142">
        <f>IFERROR(IF(OR(NOT(ISNUMBER('Price History'!V96)),NOT(ISNUMBER('Price History'!V95)),'Price History'!V95=0),"",'Price History'!V96/'Price History'!V95-1),"")</f>
        <v>2.9675803036177673E-2</v>
      </c>
      <c r="W95" s="143">
        <f>IFERROR('Price History'!B3+(INDEX('Price History'!B:B,MATCH(9.99E+307,'Returns (Calc)'!$A:$A)+1)-'Price History'!B3)*(ROW()-3)/(MATCH(9.99E+307,'Returns (Calc)'!$A:$A)-3),"")</f>
        <v>359.33050632911392</v>
      </c>
      <c r="X95" s="143">
        <f>IFERROR('Price History'!C3+(INDEX('Price History'!C:C,MATCH(9.99E+307,'Returns (Calc)'!$A:$A)+1)-'Price History'!C3)*(ROW()-3)/(MATCH(9.99E+307,'Returns (Calc)'!$A:$A)-3),"")</f>
        <v>140.02582278481012</v>
      </c>
      <c r="Y95" s="143">
        <f>IFERROR('Price History'!D3+(INDEX('Price History'!D:D,MATCH(9.99E+307,'Returns (Calc)'!$A:$A)+1)-'Price History'!D3)*(ROW()-3)/(MATCH(9.99E+307,'Returns (Calc)'!$A:$A)-3),"")</f>
        <v>1330.4125316455695</v>
      </c>
      <c r="Z95" s="143">
        <f>IFERROR('Price History'!E3+(INDEX('Price History'!E:E,MATCH(9.99E+307,'Returns (Calc)'!$A:$A)+1)-'Price History'!E3)*(ROW()-3)/(MATCH(9.99E+307,'Returns (Calc)'!$A:$A)-3),"")</f>
        <v>241.04354430379746</v>
      </c>
      <c r="AA95" s="143">
        <f>IFERROR('Price History'!F3+(INDEX('Price History'!F:F,MATCH(9.99E+307,'Returns (Calc)'!$A:$A)+1)-'Price History'!F3)*(ROW()-3)/(MATCH(9.99E+307,'Returns (Calc)'!$A:$A)-3),"")</f>
        <v>174.51544303797471</v>
      </c>
      <c r="AB95" s="143">
        <f>IFERROR('Price History'!G3+(INDEX('Price History'!G:G,MATCH(9.99E+307,'Returns (Calc)'!$A:$A)+1)-'Price History'!G3)*(ROW()-3)/(MATCH(9.99E+307,'Returns (Calc)'!$A:$A)-3),"")</f>
        <v>138.99354430379745</v>
      </c>
      <c r="AC95" s="143">
        <f>IFERROR('Price History'!H3+(INDEX('Price History'!H:H,MATCH(9.99E+307,'Returns (Calc)'!$A:$A)+1)-'Price History'!H3)*(ROW()-3)/(MATCH(9.99E+307,'Returns (Calc)'!$A:$A)-3),"")</f>
        <v>654.75405063291146</v>
      </c>
      <c r="AD95" s="143">
        <f>IFERROR('Price History'!I3+(INDEX('Price History'!I:I,MATCH(9.99E+307,'Returns (Calc)'!$A:$A)+1)-'Price History'!I3)*(ROW()-3)/(MATCH(9.99E+307,'Returns (Calc)'!$A:$A)-3),"")</f>
        <v>154.50772151898732</v>
      </c>
      <c r="AE95" s="143">
        <f>IFERROR('Price History'!J3+(INDEX('Price History'!J:J,MATCH(9.99E+307,'Returns (Calc)'!$A:$A)+1)-'Price History'!J3)*(ROW()-3)/(MATCH(9.99E+307,'Returns (Calc)'!$A:$A)-3),"")</f>
        <v>121.77949367088607</v>
      </c>
      <c r="AF95" s="143">
        <f>IFERROR('Price History'!K3+(INDEX('Price History'!K:K,MATCH(9.99E+307,'Returns (Calc)'!$A:$A)+1)-'Price History'!K3)*(ROW()-3)/(MATCH(9.99E+307,'Returns (Calc)'!$A:$A)-3),"")</f>
        <v>116.30873417721519</v>
      </c>
      <c r="AG95" s="143">
        <f>IFERROR('Price History'!L3+(INDEX('Price History'!L:L,MATCH(9.99E+307,'Returns (Calc)'!$A:$A)+1)-'Price History'!L3)*(ROW()-3)/(MATCH(9.99E+307,'Returns (Calc)'!$A:$A)-3),"")</f>
        <v>311.10924050632912</v>
      </c>
      <c r="AH95" s="143">
        <f>IFERROR('Price History'!M3+(INDEX('Price History'!M:M,MATCH(9.99E+307,'Returns (Calc)'!$A:$A)+1)-'Price History'!M3)*(ROW()-3)/(MATCH(9.99E+307,'Returns (Calc)'!$A:$A)-3),"")</f>
        <v>162.7207594936709</v>
      </c>
      <c r="AI95" s="143">
        <f>IFERROR('Price History'!N3+(INDEX('Price History'!N:N,MATCH(9.99E+307,'Returns (Calc)'!$A:$A)+1)-'Price History'!N3)*(ROW()-3)/(MATCH(9.99E+307,'Returns (Calc)'!$A:$A)-3),"")</f>
        <v>439.63645569620252</v>
      </c>
      <c r="AJ95" s="143">
        <f>IFERROR('Price History'!O3+(INDEX('Price History'!O:O,MATCH(9.99E+307,'Returns (Calc)'!$A:$A)+1)-'Price History'!O3)*(ROW()-3)/(MATCH(9.99E+307,'Returns (Calc)'!$A:$A)-3),"")</f>
        <v>101.34949367088608</v>
      </c>
      <c r="AK95" s="143">
        <f>IFERROR('Price History'!Q3+(INDEX('Price History'!Q:Q,MATCH(9.99E+307,'Returns (Calc)'!$A:$A)+1)-'Price History'!Q3)*(ROW()-3)/(MATCH(9.99E+307,'Returns (Calc)'!$A:$A)-3),"")</f>
        <v>40.421772151898736</v>
      </c>
      <c r="AL95" s="143">
        <f>IFERROR('Price History'!R3+(INDEX('Price History'!R:R,MATCH(9.99E+307,'Returns (Calc)'!$A:$A)+1)-'Price History'!R3)*(ROW()-3)/(MATCH(9.99E+307,'Returns (Calc)'!$A:$A)-3),"")</f>
        <v>49.945316455696201</v>
      </c>
      <c r="AM95" s="143">
        <f>IFERROR('Price History'!S3+(INDEX('Price History'!S:S,MATCH(9.99E+307,'Returns (Calc)'!$A:$A)+1)-'Price History'!S3)*(ROW()-3)/(MATCH(9.99E+307,'Returns (Calc)'!$A:$A)-3),"")</f>
        <v>113.29582278481013</v>
      </c>
      <c r="AN95" s="143">
        <f>IFERROR('Price History'!T3+(INDEX('Price History'!T:T,MATCH(9.99E+307,'Returns (Calc)'!$A:$A)+1)-'Price History'!T3)*(ROW()-3)/(MATCH(9.99E+307,'Returns (Calc)'!$A:$A)-3),"")</f>
        <v>40.716962025316455</v>
      </c>
      <c r="AO95" s="144">
        <f>IFERROR('Price History'!V3+(INDEX('Price History'!V:V,MATCH(9.99E+307,'Returns (Calc)'!$A:$A)+1)-'Price History'!V3)*(ROW()-3)/(MATCH(9.99E+307,'Returns (Calc)'!$A:$A)-3),"")</f>
        <v>308.43227848101264</v>
      </c>
      <c r="AP95" s="142">
        <f>IFERROR(IF(OR(NOT(ISNUMBER('Price History'!W96)),NOT(ISNUMBER('Price History'!W95)),'Price History'!W95=0),"",'Price History'!W96/'Price History'!W95-1),"")</f>
        <v>2.2342370994672844E-2</v>
      </c>
      <c r="AQ95" s="142" t="str">
        <f>IFERROR(IF(OR(NOT(ISNUMBER('Price History'!X96)),NOT(ISNUMBER('Price History'!X95)),'Price History'!X95=0),"",'Price History'!X96/'Price History'!X95-1),"")</f>
        <v/>
      </c>
      <c r="AR95" s="142">
        <f>IFERROR(IF(OR(NOT(ISNUMBER('Price History'!Y96)),NOT(ISNUMBER('Price History'!Y95)),'Price History'!Y95=0),"",'Price History'!Y96/'Price History'!Y95-1),"")</f>
        <v>1.6354208216992516E-2</v>
      </c>
      <c r="AS95" s="142">
        <f>IFERROR(IF(OR(NOT(ISNUMBER('Price History'!Z96)),NOT(ISNUMBER('Price History'!Z95)),'Price History'!Z95=0),"",'Price History'!Z96/'Price History'!Z95-1),"")</f>
        <v>6.3243766031706006E-2</v>
      </c>
      <c r="AT95" s="142">
        <f>IFERROR(IF(OR(NOT(ISNUMBER('Price History'!AA96)),NOT(ISNUMBER('Price History'!AA95)),'Price History'!AA95=0),"",'Price History'!AA96/'Price History'!AA95-1),"")</f>
        <v>7.4468085106383031E-2</v>
      </c>
    </row>
    <row r="96" spans="1:46" ht="15" customHeight="1" x14ac:dyDescent="0.35">
      <c r="A96" s="140">
        <f>IF('Price History'!A97="","",'Price History'!A97)</f>
        <v>45842</v>
      </c>
      <c r="B96" s="141">
        <f>IFERROR(IF(OR(NOT(ISNUMBER('Price History'!B97)),NOT(ISNUMBER('Price History'!B96)),'Price History'!B96=0),"",'Price History'!B97/'Price History'!B96-1),"")</f>
        <v>-1.6898634113469591E-2</v>
      </c>
      <c r="C96" s="141">
        <f>IFERROR(IF(OR(NOT(ISNUMBER('Price History'!C97)),NOT(ISNUMBER('Price History'!C96)),'Price History'!C96=0),"",'Price History'!C97/'Price History'!C96-1),"")</f>
        <v>3.1492101821108731E-2</v>
      </c>
      <c r="D96" s="141">
        <f>IFERROR(IF(OR(NOT(ISNUMBER('Price History'!D97)),NOT(ISNUMBER('Price History'!D96)),'Price History'!D96=0),"",'Price History'!D97/'Price History'!D96-1),"")</f>
        <v>-1.8256966807820296E-3</v>
      </c>
      <c r="E96" s="141">
        <f>IFERROR(IF(OR(NOT(ISNUMBER('Price History'!E97)),NOT(ISNUMBER('Price History'!E96)),'Price History'!E96=0),"",'Price History'!E97/'Price History'!E96-1),"")</f>
        <v>2.165605095541423E-2</v>
      </c>
      <c r="F96" s="141">
        <f>IFERROR(IF(OR(NOT(ISNUMBER('Price History'!F97)),NOT(ISNUMBER('Price History'!F96)),'Price History'!F96=0),"",'Price History'!F97/'Price History'!F96-1),"")</f>
        <v>2.9560201874549552E-2</v>
      </c>
      <c r="G96" s="141">
        <f>IFERROR(IF(OR(NOT(ISNUMBER('Price History'!G97)),NOT(ISNUMBER('Price History'!G96)),'Price History'!G96=0),"",'Price History'!G97/'Price History'!G96-1),"")</f>
        <v>3.8949275362319069E-2</v>
      </c>
      <c r="H96" s="141">
        <f>IFERROR(IF(OR(NOT(ISNUMBER('Price History'!H97)),NOT(ISNUMBER('Price History'!H96)),'Price History'!H96=0),"",'Price History'!H97/'Price History'!H96-1),"")</f>
        <v>-1.9768563162970043E-2</v>
      </c>
      <c r="I96" s="141">
        <f>IFERROR(IF(OR(NOT(ISNUMBER('Price History'!I97)),NOT(ISNUMBER('Price History'!I96)),'Price History'!I96=0),"",'Price History'!I97/'Price History'!I96-1),"")</f>
        <v>1.0104219623792376E-2</v>
      </c>
      <c r="J96" s="141">
        <f>IFERROR(IF(OR(NOT(ISNUMBER('Price History'!J97)),NOT(ISNUMBER('Price History'!J96)),'Price History'!J96=0),"",'Price History'!J97/'Price History'!J96-1),"")</f>
        <v>2.2758620689655285E-2</v>
      </c>
      <c r="K96" s="141">
        <f>IFERROR(IF(OR(NOT(ISNUMBER('Price History'!K97)),NOT(ISNUMBER('Price History'!K96)),'Price History'!K96=0),"",'Price History'!K97/'Price History'!K96-1),"")</f>
        <v>2.7688542144714834E-2</v>
      </c>
      <c r="L96" s="141">
        <f>IFERROR(IF(OR(NOT(ISNUMBER('Price History'!L97)),NOT(ISNUMBER('Price History'!L96)),'Price History'!L96=0),"",'Price History'!L97/'Price History'!L96-1),"")</f>
        <v>2.7277565865341913E-2</v>
      </c>
      <c r="M96" s="141">
        <f>IFERROR(IF(OR(NOT(ISNUMBER('Price History'!M97)),NOT(ISNUMBER('Price History'!M96)),'Price History'!M96=0),"",'Price History'!M97/'Price History'!M96-1),"")</f>
        <v>5.3547523427042165E-3</v>
      </c>
      <c r="N96" s="141">
        <f>IFERROR(IF(OR(NOT(ISNUMBER('Price History'!N97)),NOT(ISNUMBER('Price History'!N96)),'Price History'!N96=0),"",'Price History'!N97/'Price History'!N96-1),"")</f>
        <v>4.15137094946747E-2</v>
      </c>
      <c r="O96" s="141">
        <f>IFERROR(IF(OR(NOT(ISNUMBER('Price History'!O97)),NOT(ISNUMBER('Price History'!O96)),'Price History'!O96=0),"",'Price History'!O97/'Price History'!O96-1),"")</f>
        <v>4.1624818658631879E-2</v>
      </c>
      <c r="P96" s="141">
        <f>IFERROR(IF(OR(NOT(ISNUMBER('Price History'!P97)),NOT(ISNUMBER('Price History'!P96)),'Price History'!P96=0),"",'Price History'!P97/'Price History'!P96-1),"")</f>
        <v>3.4158298410690291E-2</v>
      </c>
      <c r="Q96" s="141">
        <f>IFERROR(IF(OR(NOT(ISNUMBER('Price History'!Q97)),NOT(ISNUMBER('Price History'!Q96)),'Price History'!Q96=0),"",'Price History'!Q97/'Price History'!Q96-1),"")</f>
        <v>6.6075745366640515E-3</v>
      </c>
      <c r="R96" s="141">
        <f>IFERROR(IF(OR(NOT(ISNUMBER('Price History'!R97)),NOT(ISNUMBER('Price History'!R96)),'Price History'!R96=0),"",'Price History'!R97/'Price History'!R96-1),"")</f>
        <v>7.0618446394179468E-3</v>
      </c>
      <c r="S96" s="141">
        <f>IFERROR(IF(OR(NOT(ISNUMBER('Price History'!S97)),NOT(ISNUMBER('Price History'!S96)),'Price History'!S96=0),"",'Price History'!S97/'Price History'!S96-1),"")</f>
        <v>5.960444324031311E-3</v>
      </c>
      <c r="T96" s="141">
        <f>IFERROR(IF(OR(NOT(ISNUMBER('Price History'!T97)),NOT(ISNUMBER('Price History'!T96)),'Price History'!T96=0),"",'Price History'!T97/'Price History'!T96-1),"")</f>
        <v>1.2374100719424463E-2</v>
      </c>
      <c r="U96" s="141">
        <f>IFERROR(IF(OR(NOT(ISNUMBER('Price History'!U97)),NOT(ISNUMBER('Price History'!U96)),'Price History'!U96=0),"",'Price History'!U97/'Price History'!U96-1),"")</f>
        <v>3.6435643564356468E-2</v>
      </c>
      <c r="V96" s="142">
        <f>IFERROR(IF(OR(NOT(ISNUMBER('Price History'!V97)),NOT(ISNUMBER('Price History'!V96)),'Price History'!V96=0),"",'Price History'!V97/'Price History'!V96-1),"")</f>
        <v>2.9399837793998351E-2</v>
      </c>
      <c r="W96" s="143">
        <f>IFERROR('Price History'!B3+(INDEX('Price History'!B:B,MATCH(9.99E+307,'Returns (Calc)'!$A:$A)+1)-'Price History'!B3)*(ROW()-3)/(MATCH(9.99E+307,'Returns (Calc)'!$A:$A)-3),"")</f>
        <v>357.48746835443035</v>
      </c>
      <c r="X96" s="143">
        <f>IFERROR('Price History'!C3+(INDEX('Price History'!C:C,MATCH(9.99E+307,'Returns (Calc)'!$A:$A)+1)-'Price History'!C3)*(ROW()-3)/(MATCH(9.99E+307,'Returns (Calc)'!$A:$A)-3),"")</f>
        <v>141.04588607594937</v>
      </c>
      <c r="Y96" s="143">
        <f>IFERROR('Price History'!D3+(INDEX('Price History'!D:D,MATCH(9.99E+307,'Returns (Calc)'!$A:$A)+1)-'Price History'!D3)*(ROW()-3)/(MATCH(9.99E+307,'Returns (Calc)'!$A:$A)-3),"")</f>
        <v>1338.5473417721519</v>
      </c>
      <c r="Z96" s="143">
        <f>IFERROR('Price History'!E3+(INDEX('Price History'!E:E,MATCH(9.99E+307,'Returns (Calc)'!$A:$A)+1)-'Price History'!E3)*(ROW()-3)/(MATCH(9.99E+307,'Returns (Calc)'!$A:$A)-3),"")</f>
        <v>242.77227848101265</v>
      </c>
      <c r="AA96" s="143">
        <f>IFERROR('Price History'!F3+(INDEX('Price History'!F:F,MATCH(9.99E+307,'Returns (Calc)'!$A:$A)+1)-'Price History'!F3)*(ROW()-3)/(MATCH(9.99E+307,'Returns (Calc)'!$A:$A)-3),"")</f>
        <v>175.96278481012661</v>
      </c>
      <c r="AB96" s="143">
        <f>IFERROR('Price History'!G3+(INDEX('Price History'!G:G,MATCH(9.99E+307,'Returns (Calc)'!$A:$A)+1)-'Price History'!G3)*(ROW()-3)/(MATCH(9.99E+307,'Returns (Calc)'!$A:$A)-3),"")</f>
        <v>140.02227848101265</v>
      </c>
      <c r="AC96" s="143">
        <f>IFERROR('Price History'!H3+(INDEX('Price History'!H:H,MATCH(9.99E+307,'Returns (Calc)'!$A:$A)+1)-'Price History'!H3)*(ROW()-3)/(MATCH(9.99E+307,'Returns (Calc)'!$A:$A)-3),"")</f>
        <v>661.11974683544315</v>
      </c>
      <c r="AD96" s="143">
        <f>IFERROR('Price History'!I3+(INDEX('Price History'!I:I,MATCH(9.99E+307,'Returns (Calc)'!$A:$A)+1)-'Price History'!I3)*(ROW()-3)/(MATCH(9.99E+307,'Returns (Calc)'!$A:$A)-3),"")</f>
        <v>155.71139240506329</v>
      </c>
      <c r="AE96" s="143">
        <f>IFERROR('Price History'!J3+(INDEX('Price History'!J:J,MATCH(9.99E+307,'Returns (Calc)'!$A:$A)+1)-'Price History'!J3)*(ROW()-3)/(MATCH(9.99E+307,'Returns (Calc)'!$A:$A)-3),"")</f>
        <v>121.88753164556962</v>
      </c>
      <c r="AF96" s="143">
        <f>IFERROR('Price History'!K3+(INDEX('Price History'!K:K,MATCH(9.99E+307,'Returns (Calc)'!$A:$A)+1)-'Price History'!K3)*(ROW()-3)/(MATCH(9.99E+307,'Returns (Calc)'!$A:$A)-3),"")</f>
        <v>117.40632911392404</v>
      </c>
      <c r="AG96" s="143">
        <f>IFERROR('Price History'!L3+(INDEX('Price History'!L:L,MATCH(9.99E+307,'Returns (Calc)'!$A:$A)+1)-'Price History'!L3)*(ROW()-3)/(MATCH(9.99E+307,'Returns (Calc)'!$A:$A)-3),"")</f>
        <v>313.55879746835444</v>
      </c>
      <c r="AH96" s="143">
        <f>IFERROR('Price History'!M3+(INDEX('Price History'!M:M,MATCH(9.99E+307,'Returns (Calc)'!$A:$A)+1)-'Price History'!M3)*(ROW()-3)/(MATCH(9.99E+307,'Returns (Calc)'!$A:$A)-3),"")</f>
        <v>164.07620253164558</v>
      </c>
      <c r="AI96" s="143">
        <f>IFERROR('Price History'!N3+(INDEX('Price History'!N:N,MATCH(9.99E+307,'Returns (Calc)'!$A:$A)+1)-'Price History'!N3)*(ROW()-3)/(MATCH(9.99E+307,'Returns (Calc)'!$A:$A)-3),"")</f>
        <v>440.62272151898736</v>
      </c>
      <c r="AJ96" s="143">
        <f>IFERROR('Price History'!O3+(INDEX('Price History'!O:O,MATCH(9.99E+307,'Returns (Calc)'!$A:$A)+1)-'Price History'!O3)*(ROW()-3)/(MATCH(9.99E+307,'Returns (Calc)'!$A:$A)-3),"")</f>
        <v>101.63253164556963</v>
      </c>
      <c r="AK96" s="143">
        <f>IFERROR('Price History'!Q3+(INDEX('Price History'!Q:Q,MATCH(9.99E+307,'Returns (Calc)'!$A:$A)+1)-'Price History'!Q3)*(ROW()-3)/(MATCH(9.99E+307,'Returns (Calc)'!$A:$A)-3),"")</f>
        <v>40.861139240506333</v>
      </c>
      <c r="AL96" s="143">
        <f>IFERROR('Price History'!R3+(INDEX('Price History'!R:R,MATCH(9.99E+307,'Returns (Calc)'!$A:$A)+1)-'Price History'!R3)*(ROW()-3)/(MATCH(9.99E+307,'Returns (Calc)'!$A:$A)-3),"")</f>
        <v>50.113417721518985</v>
      </c>
      <c r="AM96" s="143">
        <f>IFERROR('Price History'!S3+(INDEX('Price History'!S:S,MATCH(9.99E+307,'Returns (Calc)'!$A:$A)+1)-'Price History'!S3)*(ROW()-3)/(MATCH(9.99E+307,'Returns (Calc)'!$A:$A)-3),"")</f>
        <v>113.90088607594936</v>
      </c>
      <c r="AN96" s="143">
        <f>IFERROR('Price History'!T3+(INDEX('Price History'!T:T,MATCH(9.99E+307,'Returns (Calc)'!$A:$A)+1)-'Price History'!T3)*(ROW()-3)/(MATCH(9.99E+307,'Returns (Calc)'!$A:$A)-3),"")</f>
        <v>40.885189873417723</v>
      </c>
      <c r="AO96" s="144">
        <f>IFERROR('Price History'!V3+(INDEX('Price History'!V:V,MATCH(9.99E+307,'Returns (Calc)'!$A:$A)+1)-'Price History'!V3)*(ROW()-3)/(MATCH(9.99E+307,'Returns (Calc)'!$A:$A)-3),"")</f>
        <v>309.22360759493671</v>
      </c>
      <c r="AP96" s="142">
        <f>IFERROR(IF(OR(NOT(ISNUMBER('Price History'!W97)),NOT(ISNUMBER('Price History'!W96)),'Price History'!W96=0),"",'Price History'!W97/'Price History'!W96-1),"")</f>
        <v>2.4887229740239381E-2</v>
      </c>
      <c r="AQ96" s="142" t="str">
        <f>IFERROR(IF(OR(NOT(ISNUMBER('Price History'!X97)),NOT(ISNUMBER('Price History'!X96)),'Price History'!X96=0),"",'Price History'!X97/'Price History'!X96-1),"")</f>
        <v/>
      </c>
      <c r="AR96" s="142">
        <f>IFERROR(IF(OR(NOT(ISNUMBER('Price History'!Y97)),NOT(ISNUMBER('Price History'!Y96)),'Price History'!Y96=0),"",'Price History'!Y97/'Price History'!Y96-1),"")</f>
        <v>1.2362637362637319E-2</v>
      </c>
      <c r="AS96" s="142">
        <f>IFERROR(IF(OR(NOT(ISNUMBER('Price History'!Z97)),NOT(ISNUMBER('Price History'!Z96)),'Price History'!Z96=0),"",'Price History'!Z97/'Price History'!Z96-1),"")</f>
        <v>-2.9978247973106553E-2</v>
      </c>
      <c r="AT96" s="142">
        <f>IFERROR(IF(OR(NOT(ISNUMBER('Price History'!AA97)),NOT(ISNUMBER('Price History'!AA96)),'Price History'!AA96=0),"",'Price History'!AA97/'Price History'!AA96-1),"")</f>
        <v>-1.9575239966744817E-2</v>
      </c>
    </row>
    <row r="97" spans="1:46" ht="15" customHeight="1" x14ac:dyDescent="0.35">
      <c r="A97" s="140">
        <f>IF('Price History'!A98="","",'Price History'!A98)</f>
        <v>45849</v>
      </c>
      <c r="B97" s="141">
        <f>IFERROR(IF(OR(NOT(ISNUMBER('Price History'!B98)),NOT(ISNUMBER('Price History'!B97)),'Price History'!B97=0),"",'Price History'!B98/'Price History'!B97-1),"")</f>
        <v>-4.207640188763806E-2</v>
      </c>
      <c r="C97" s="141">
        <f>IFERROR(IF(OR(NOT(ISNUMBER('Price History'!C98)),NOT(ISNUMBER('Price History'!C97)),'Price History'!C97=0),"",'Price History'!C98/'Price History'!C97-1),"")</f>
        <v>5.9012875536480713E-2</v>
      </c>
      <c r="D97" s="141">
        <f>IFERROR(IF(OR(NOT(ISNUMBER('Price History'!D98)),NOT(ISNUMBER('Price History'!D97)),'Price History'!D97=0),"",'Price History'!D98/'Price History'!D97-1),"")</f>
        <v>9.3611075828781143E-3</v>
      </c>
      <c r="E97" s="141">
        <f>IFERROR(IF(OR(NOT(ISNUMBER('Price History'!E98)),NOT(ISNUMBER('Price History'!E97)),'Price History'!E97=0),"",'Price History'!E98/'Price History'!E97-1),"")</f>
        <v>-2.8971688425994957E-3</v>
      </c>
      <c r="F97" s="141">
        <f>IFERROR(IF(OR(NOT(ISNUMBER('Price History'!F98)),NOT(ISNUMBER('Price History'!F97)),'Price History'!F97=0),"",'Price History'!F98/'Price History'!F97-1),"")</f>
        <v>-6.9327731092437062E-2</v>
      </c>
      <c r="G97" s="141">
        <f>IFERROR(IF(OR(NOT(ISNUMBER('Price History'!G98)),NOT(ISNUMBER('Price History'!G97)),'Price History'!G97=0),"",'Price History'!G98/'Price History'!G97-1),"")</f>
        <v>0</v>
      </c>
      <c r="H97" s="141">
        <f>IFERROR(IF(OR(NOT(ISNUMBER('Price History'!H98)),NOT(ISNUMBER('Price History'!H97)),'Price History'!H97=0),"",'Price History'!H98/'Price History'!H97-1),"")</f>
        <v>1.9265453353008555E-2</v>
      </c>
      <c r="I97" s="141">
        <f>IFERROR(IF(OR(NOT(ISNUMBER('Price History'!I98)),NOT(ISNUMBER('Price History'!I97)),'Price History'!I97=0),"",'Price History'!I98/'Price History'!I97-1),"")</f>
        <v>3.5042466184334931E-2</v>
      </c>
      <c r="J97" s="141">
        <f>IFERROR(IF(OR(NOT(ISNUMBER('Price History'!J98)),NOT(ISNUMBER('Price History'!J97)),'Price History'!J97=0),"",'Price History'!J98/'Price History'!J97-1),"")</f>
        <v>1.0596281668432628E-2</v>
      </c>
      <c r="K97" s="141">
        <f>IFERROR(IF(OR(NOT(ISNUMBER('Price History'!K98)),NOT(ISNUMBER('Price History'!K97)),'Price History'!K97=0),"",'Price History'!K98/'Price History'!K97-1),"")</f>
        <v>5.760643048526326E-2</v>
      </c>
      <c r="L97" s="141">
        <f>IFERROR(IF(OR(NOT(ISNUMBER('Price History'!L98)),NOT(ISNUMBER('Price History'!L97)),'Price History'!L97=0),"",'Price History'!L98/'Price History'!L97-1),"")</f>
        <v>-1.8738396442295246E-2</v>
      </c>
      <c r="M97" s="141">
        <f>IFERROR(IF(OR(NOT(ISNUMBER('Price History'!M98)),NOT(ISNUMBER('Price History'!M97)),'Price History'!M97=0),"",'Price History'!M98/'Price History'!M97-1),"")</f>
        <v>-3.5560429231612845E-2</v>
      </c>
      <c r="N97" s="141">
        <f>IFERROR(IF(OR(NOT(ISNUMBER('Price History'!N98)),NOT(ISNUMBER('Price History'!N97)),'Price History'!N97=0),"",'Price History'!N98/'Price History'!N97-1),"")</f>
        <v>2.0081806709890904E-2</v>
      </c>
      <c r="O97" s="141">
        <f>IFERROR(IF(OR(NOT(ISNUMBER('Price History'!O98)),NOT(ISNUMBER('Price History'!O97)),'Price History'!O97=0),"",'Price History'!O98/'Price History'!O97-1),"")</f>
        <v>-1.2856224555389817E-3</v>
      </c>
      <c r="P97" s="141">
        <f>IFERROR(IF(OR(NOT(ISNUMBER('Price History'!P98)),NOT(ISNUMBER('Price History'!P97)),'Price History'!P97=0),"",'Price History'!P98/'Price History'!P97-1),"")</f>
        <v>-3.364171572750152E-3</v>
      </c>
      <c r="Q97" s="141">
        <f>IFERROR(IF(OR(NOT(ISNUMBER('Price History'!Q98)),NOT(ISNUMBER('Price History'!Q97)),'Price History'!Q97=0),"",'Price History'!Q98/'Price History'!Q97-1),"")</f>
        <v>1.6010246557798258E-3</v>
      </c>
      <c r="R97" s="141">
        <f>IFERROR(IF(OR(NOT(ISNUMBER('Price History'!R98)),NOT(ISNUMBER('Price History'!R97)),'Price History'!R97=0),"",'Price History'!R98/'Price History'!R97-1),"")</f>
        <v>3.612409689757623E-3</v>
      </c>
      <c r="S97" s="141">
        <f>IFERROR(IF(OR(NOT(ISNUMBER('Price History'!S98)),NOT(ISNUMBER('Price History'!S97)),'Price History'!S97=0),"",'Price History'!S98/'Price History'!S97-1),"")</f>
        <v>-3.0523386300386202E-3</v>
      </c>
      <c r="T97" s="141">
        <f>IFERROR(IF(OR(NOT(ISNUMBER('Price History'!T98)),NOT(ISNUMBER('Price History'!T97)),'Price History'!T97=0),"",'Price History'!T98/'Price History'!T97-1),"")</f>
        <v>2.5582717453098702E-3</v>
      </c>
      <c r="U97" s="141">
        <f>IFERROR(IF(OR(NOT(ISNUMBER('Price History'!U98)),NOT(ISNUMBER('Price History'!U97)),'Price History'!U97=0),"",'Price History'!U98/'Price History'!U97-1),"")</f>
        <v>-7.6423385555990375E-4</v>
      </c>
      <c r="V97" s="142">
        <f>IFERROR(IF(OR(NOT(ISNUMBER('Price History'!V98)),NOT(ISNUMBER('Price History'!V97)),'Price History'!V97=0),"",'Price History'!V98/'Price History'!V97-1),"")</f>
        <v>-3.0473564253355456E-2</v>
      </c>
      <c r="W97" s="143">
        <f>IFERROR('Price History'!B3+(INDEX('Price History'!B:B,MATCH(9.99E+307,'Returns (Calc)'!$A:$A)+1)-'Price History'!B3)*(ROW()-3)/(MATCH(9.99E+307,'Returns (Calc)'!$A:$A)-3),"")</f>
        <v>355.64443037974684</v>
      </c>
      <c r="X97" s="143">
        <f>IFERROR('Price History'!C3+(INDEX('Price History'!C:C,MATCH(9.99E+307,'Returns (Calc)'!$A:$A)+1)-'Price History'!C3)*(ROW()-3)/(MATCH(9.99E+307,'Returns (Calc)'!$A:$A)-3),"")</f>
        <v>142.06594936708859</v>
      </c>
      <c r="Y97" s="143">
        <f>IFERROR('Price History'!D3+(INDEX('Price History'!D:D,MATCH(9.99E+307,'Returns (Calc)'!$A:$A)+1)-'Price History'!D3)*(ROW()-3)/(MATCH(9.99E+307,'Returns (Calc)'!$A:$A)-3),"")</f>
        <v>1346.682151898734</v>
      </c>
      <c r="Z97" s="143">
        <f>IFERROR('Price History'!E3+(INDEX('Price History'!E:E,MATCH(9.99E+307,'Returns (Calc)'!$A:$A)+1)-'Price History'!E3)*(ROW()-3)/(MATCH(9.99E+307,'Returns (Calc)'!$A:$A)-3),"")</f>
        <v>244.50101265822784</v>
      </c>
      <c r="AA97" s="143">
        <f>IFERROR('Price History'!F3+(INDEX('Price History'!F:F,MATCH(9.99E+307,'Returns (Calc)'!$A:$A)+1)-'Price History'!F3)*(ROW()-3)/(MATCH(9.99E+307,'Returns (Calc)'!$A:$A)-3),"")</f>
        <v>177.41012658227851</v>
      </c>
      <c r="AB97" s="143">
        <f>IFERROR('Price History'!G3+(INDEX('Price History'!G:G,MATCH(9.99E+307,'Returns (Calc)'!$A:$A)+1)-'Price History'!G3)*(ROW()-3)/(MATCH(9.99E+307,'Returns (Calc)'!$A:$A)-3),"")</f>
        <v>141.05101265822785</v>
      </c>
      <c r="AC97" s="143">
        <f>IFERROR('Price History'!H3+(INDEX('Price History'!H:H,MATCH(9.99E+307,'Returns (Calc)'!$A:$A)+1)-'Price History'!H3)*(ROW()-3)/(MATCH(9.99E+307,'Returns (Calc)'!$A:$A)-3),"")</f>
        <v>667.48544303797473</v>
      </c>
      <c r="AD97" s="143">
        <f>IFERROR('Price History'!I3+(INDEX('Price History'!I:I,MATCH(9.99E+307,'Returns (Calc)'!$A:$A)+1)-'Price History'!I3)*(ROW()-3)/(MATCH(9.99E+307,'Returns (Calc)'!$A:$A)-3),"")</f>
        <v>156.91506329113923</v>
      </c>
      <c r="AE97" s="143">
        <f>IFERROR('Price History'!J3+(INDEX('Price History'!J:J,MATCH(9.99E+307,'Returns (Calc)'!$A:$A)+1)-'Price History'!J3)*(ROW()-3)/(MATCH(9.99E+307,'Returns (Calc)'!$A:$A)-3),"")</f>
        <v>121.99556962025316</v>
      </c>
      <c r="AF97" s="143">
        <f>IFERROR('Price History'!K3+(INDEX('Price History'!K:K,MATCH(9.99E+307,'Returns (Calc)'!$A:$A)+1)-'Price History'!K3)*(ROW()-3)/(MATCH(9.99E+307,'Returns (Calc)'!$A:$A)-3),"")</f>
        <v>118.5039240506329</v>
      </c>
      <c r="AG97" s="143">
        <f>IFERROR('Price History'!L3+(INDEX('Price History'!L:L,MATCH(9.99E+307,'Returns (Calc)'!$A:$A)+1)-'Price History'!L3)*(ROW()-3)/(MATCH(9.99E+307,'Returns (Calc)'!$A:$A)-3),"")</f>
        <v>316.00835443037977</v>
      </c>
      <c r="AH97" s="143">
        <f>IFERROR('Price History'!M3+(INDEX('Price History'!M:M,MATCH(9.99E+307,'Returns (Calc)'!$A:$A)+1)-'Price History'!M3)*(ROW()-3)/(MATCH(9.99E+307,'Returns (Calc)'!$A:$A)-3),"")</f>
        <v>165.43164556962026</v>
      </c>
      <c r="AI97" s="143">
        <f>IFERROR('Price History'!N3+(INDEX('Price History'!N:N,MATCH(9.99E+307,'Returns (Calc)'!$A:$A)+1)-'Price History'!N3)*(ROW()-3)/(MATCH(9.99E+307,'Returns (Calc)'!$A:$A)-3),"")</f>
        <v>441.60898734177215</v>
      </c>
      <c r="AJ97" s="143">
        <f>IFERROR('Price History'!O3+(INDEX('Price History'!O:O,MATCH(9.99E+307,'Returns (Calc)'!$A:$A)+1)-'Price History'!O3)*(ROW()-3)/(MATCH(9.99E+307,'Returns (Calc)'!$A:$A)-3),"")</f>
        <v>101.91556962025317</v>
      </c>
      <c r="AK97" s="143">
        <f>IFERROR('Price History'!Q3+(INDEX('Price History'!Q:Q,MATCH(9.99E+307,'Returns (Calc)'!$A:$A)+1)-'Price History'!Q3)*(ROW()-3)/(MATCH(9.99E+307,'Returns (Calc)'!$A:$A)-3),"")</f>
        <v>41.300506329113929</v>
      </c>
      <c r="AL97" s="143">
        <f>IFERROR('Price History'!R3+(INDEX('Price History'!R:R,MATCH(9.99E+307,'Returns (Calc)'!$A:$A)+1)-'Price History'!R3)*(ROW()-3)/(MATCH(9.99E+307,'Returns (Calc)'!$A:$A)-3),"")</f>
        <v>50.281518987341769</v>
      </c>
      <c r="AM97" s="143">
        <f>IFERROR('Price History'!S3+(INDEX('Price History'!S:S,MATCH(9.99E+307,'Returns (Calc)'!$A:$A)+1)-'Price History'!S3)*(ROW()-3)/(MATCH(9.99E+307,'Returns (Calc)'!$A:$A)-3),"")</f>
        <v>114.50594936708862</v>
      </c>
      <c r="AN97" s="143">
        <f>IFERROR('Price History'!T3+(INDEX('Price History'!T:T,MATCH(9.99E+307,'Returns (Calc)'!$A:$A)+1)-'Price History'!T3)*(ROW()-3)/(MATCH(9.99E+307,'Returns (Calc)'!$A:$A)-3),"")</f>
        <v>41.053417721518983</v>
      </c>
      <c r="AO97" s="144">
        <f>IFERROR('Price History'!V3+(INDEX('Price History'!V:V,MATCH(9.99E+307,'Returns (Calc)'!$A:$A)+1)-'Price History'!V3)*(ROW()-3)/(MATCH(9.99E+307,'Returns (Calc)'!$A:$A)-3),"")</f>
        <v>310.01493670886077</v>
      </c>
      <c r="AP97" s="142">
        <f>IFERROR(IF(OR(NOT(ISNUMBER('Price History'!W98)),NOT(ISNUMBER('Price History'!W97)),'Price History'!W97=0),"",'Price History'!W98/'Price History'!W97-1),"")</f>
        <v>-6.7536803763850184E-3</v>
      </c>
      <c r="AQ97" s="142" t="str">
        <f>IFERROR(IF(OR(NOT(ISNUMBER('Price History'!X98)),NOT(ISNUMBER('Price History'!X97)),'Price History'!X97=0),"",'Price History'!X98/'Price History'!X97-1),"")</f>
        <v/>
      </c>
      <c r="AR97" s="142">
        <f>IFERROR(IF(OR(NOT(ISNUMBER('Price History'!Y98)),NOT(ISNUMBER('Price History'!Y97)),'Price History'!Y97=0),"",'Price History'!Y98/'Price History'!Y97-1),"")</f>
        <v>-3.4890482651678267E-3</v>
      </c>
      <c r="AS97" s="142">
        <f>IFERROR(IF(OR(NOT(ISNUMBER('Price History'!Z98)),NOT(ISNUMBER('Price History'!Z97)),'Price History'!Z97=0),"",'Price History'!Z98/'Price History'!Z97-1),"")</f>
        <v>3.6123455783422243E-2</v>
      </c>
      <c r="AT97" s="142">
        <f>IFERROR(IF(OR(NOT(ISNUMBER('Price History'!AA98)),NOT(ISNUMBER('Price History'!AA97)),'Price History'!AA97=0),"",'Price History'!AA98/'Price History'!AA97-1),"")</f>
        <v>-4.0163428923835953E-2</v>
      </c>
    </row>
    <row r="98" spans="1:46" ht="15" customHeight="1" x14ac:dyDescent="0.35">
      <c r="A98" s="140">
        <f>IF('Price History'!A99="","",'Price History'!A99)</f>
        <v>45856</v>
      </c>
      <c r="B98" s="141">
        <f>IFERROR(IF(OR(NOT(ISNUMBER('Price History'!B99)),NOT(ISNUMBER('Price History'!B98)),'Price History'!B98=0),"",'Price History'!B99/'Price History'!B98-1),"")</f>
        <v>6.7152882895280541E-3</v>
      </c>
      <c r="C98" s="141">
        <f>IFERROR(IF(OR(NOT(ISNUMBER('Price History'!C99)),NOT(ISNUMBER('Price History'!C98)),'Price History'!C98=0),"",'Price History'!C99/'Price History'!C98-1),"")</f>
        <v>2.9566178502348883E-2</v>
      </c>
      <c r="D98" s="141">
        <f>IFERROR(IF(OR(NOT(ISNUMBER('Price History'!D99)),NOT(ISNUMBER('Price History'!D98)),'Price History'!D98=0),"",'Price History'!D99/'Price History'!D98-1),"")</f>
        <v>-8.3984547044685276E-2</v>
      </c>
      <c r="E98" s="141">
        <f>IFERROR(IF(OR(NOT(ISNUMBER('Price History'!E99)),NOT(ISNUMBER('Price History'!E98)),'Price History'!E98=0),"",'Price History'!E99/'Price History'!E98-1),"")</f>
        <v>3.2660267019750666E-2</v>
      </c>
      <c r="F98" s="141">
        <f>IFERROR(IF(OR(NOT(ISNUMBER('Price History'!F99)),NOT(ISNUMBER('Price History'!F98)),'Price History'!F98=0),"",'Price History'!F99/'Price History'!F98-1),"")</f>
        <v>-5.1835130841902943E-3</v>
      </c>
      <c r="G98" s="141">
        <f>IFERROR(IF(OR(NOT(ISNUMBER('Price History'!G99)),NOT(ISNUMBER('Price History'!G98)),'Price History'!G98=0),"",'Price History'!G99/'Price History'!G98-1),"")</f>
        <v>7.0836965998255508E-3</v>
      </c>
      <c r="H98" s="141">
        <f>IFERROR(IF(OR(NOT(ISNUMBER('Price History'!H99)),NOT(ISNUMBER('Price History'!H98)),'Price History'!H98=0),"",'Price History'!H99/'Price History'!H98-1),"")</f>
        <v>-8.1396284082683179E-2</v>
      </c>
      <c r="I98" s="141">
        <f>IFERROR(IF(OR(NOT(ISNUMBER('Price History'!I99)),NOT(ISNUMBER('Price History'!I98)),'Price History'!I98=0),"",'Price History'!I99/'Price History'!I98-1),"")</f>
        <v>4.5404814004376348E-2</v>
      </c>
      <c r="J98" s="141">
        <f>IFERROR(IF(OR(NOT(ISNUMBER('Price History'!J99)),NOT(ISNUMBER('Price History'!J98)),'Price History'!J98=0),"",'Price History'!J99/'Price History'!J98-1),"")</f>
        <v>-2.1923553522066541E-2</v>
      </c>
      <c r="K98" s="141">
        <f>IFERROR(IF(OR(NOT(ISNUMBER('Price History'!K99)),NOT(ISNUMBER('Price History'!K98)),'Price History'!K98=0),"",'Price History'!K99/'Price History'!K98-1),"")</f>
        <v>8.0365939479239978E-2</v>
      </c>
      <c r="L98" s="141">
        <f>IFERROR(IF(OR(NOT(ISNUMBER('Price History'!L99)),NOT(ISNUMBER('Price History'!L98)),'Price History'!L98=0),"",'Price History'!L99/'Price History'!L98-1),"")</f>
        <v>4.3384520614247357E-2</v>
      </c>
      <c r="M98" s="141">
        <f>IFERROR(IF(OR(NOT(ISNUMBER('Price History'!M99)),NOT(ISNUMBER('Price History'!M98)),'Price History'!M98=0),"",'Price History'!M99/'Price History'!M98-1),"")</f>
        <v>4.6779826199951247E-2</v>
      </c>
      <c r="N98" s="141">
        <f>IFERROR(IF(OR(NOT(ISNUMBER('Price History'!N99)),NOT(ISNUMBER('Price History'!N98)),'Price History'!N98=0),"",'Price History'!N99/'Price History'!N98-1),"")</f>
        <v>-1.9281220006398647E-2</v>
      </c>
      <c r="O98" s="141">
        <f>IFERROR(IF(OR(NOT(ISNUMBER('Price History'!O99)),NOT(ISNUMBER('Price History'!O98)),'Price History'!O98=0),"",'Price History'!O99/'Price History'!O98-1),"")</f>
        <v>-1.1800042909246855E-2</v>
      </c>
      <c r="P98" s="141">
        <f>IFERROR(IF(OR(NOT(ISNUMBER('Price History'!P99)),NOT(ISNUMBER('Price History'!P98)),'Price History'!P98=0),"",'Price History'!P99/'Price History'!P98-1),"")</f>
        <v>-4.2194092827002594E-3</v>
      </c>
      <c r="Q98" s="141">
        <f>IFERROR(IF(OR(NOT(ISNUMBER('Price History'!Q99)),NOT(ISNUMBER('Price History'!Q98)),'Price History'!Q98=0),"",'Price History'!Q99/'Price History'!Q98-1),"")</f>
        <v>3.5166240409207905E-3</v>
      </c>
      <c r="R98" s="141">
        <f>IFERROR(IF(OR(NOT(ISNUMBER('Price History'!R99)),NOT(ISNUMBER('Price History'!R98)),'Price History'!R98=0),"",'Price History'!R99/'Price History'!R98-1),"")</f>
        <v>6.1401651492696274E-3</v>
      </c>
      <c r="S98" s="141">
        <f>IFERROR(IF(OR(NOT(ISNUMBER('Price History'!S99)),NOT(ISNUMBER('Price History'!S98)),'Price History'!S98=0),"",'Price History'!S99/'Price History'!S98-1),"")</f>
        <v>1.4858171994597047E-2</v>
      </c>
      <c r="T98" s="141">
        <f>IFERROR(IF(OR(NOT(ISNUMBER('Price History'!T99)),NOT(ISNUMBER('Price History'!T98)),'Price History'!T98=0),"",'Price History'!T99/'Price History'!T98-1),"")</f>
        <v>-2.1264530762687861E-2</v>
      </c>
      <c r="U98" s="141">
        <f>IFERROR(IF(OR(NOT(ISNUMBER('Price History'!U99)),NOT(ISNUMBER('Price History'!U98)),'Price History'!U98=0),"",'Price History'!U99/'Price History'!U98-1),"")</f>
        <v>-1.1089866156787753E-2</v>
      </c>
      <c r="V98" s="142">
        <f>IFERROR(IF(OR(NOT(ISNUMBER('Price History'!V99)),NOT(ISNUMBER('Price History'!V98)),'Price History'!V98=0),"",'Price History'!V99/'Price History'!V98-1),"")</f>
        <v>3.2214998839099618E-3</v>
      </c>
      <c r="W98" s="143">
        <f>IFERROR('Price History'!B3+(INDEX('Price History'!B:B,MATCH(9.99E+307,'Returns (Calc)'!$A:$A)+1)-'Price History'!B3)*(ROW()-3)/(MATCH(9.99E+307,'Returns (Calc)'!$A:$A)-3),"")</f>
        <v>353.80139240506327</v>
      </c>
      <c r="X98" s="143">
        <f>IFERROR('Price History'!C3+(INDEX('Price History'!C:C,MATCH(9.99E+307,'Returns (Calc)'!$A:$A)+1)-'Price History'!C3)*(ROW()-3)/(MATCH(9.99E+307,'Returns (Calc)'!$A:$A)-3),"")</f>
        <v>143.08601265822784</v>
      </c>
      <c r="Y98" s="143">
        <f>IFERROR('Price History'!D3+(INDEX('Price History'!D:D,MATCH(9.99E+307,'Returns (Calc)'!$A:$A)+1)-'Price History'!D3)*(ROW()-3)/(MATCH(9.99E+307,'Returns (Calc)'!$A:$A)-3),"")</f>
        <v>1354.8169620253166</v>
      </c>
      <c r="Z98" s="143">
        <f>IFERROR('Price History'!E3+(INDEX('Price History'!E:E,MATCH(9.99E+307,'Returns (Calc)'!$A:$A)+1)-'Price History'!E3)*(ROW()-3)/(MATCH(9.99E+307,'Returns (Calc)'!$A:$A)-3),"")</f>
        <v>246.22974683544302</v>
      </c>
      <c r="AA98" s="143">
        <f>IFERROR('Price History'!F3+(INDEX('Price History'!F:F,MATCH(9.99E+307,'Returns (Calc)'!$A:$A)+1)-'Price History'!F3)*(ROW()-3)/(MATCH(9.99E+307,'Returns (Calc)'!$A:$A)-3),"")</f>
        <v>178.85746835443041</v>
      </c>
      <c r="AB98" s="143">
        <f>IFERROR('Price History'!G3+(INDEX('Price History'!G:G,MATCH(9.99E+307,'Returns (Calc)'!$A:$A)+1)-'Price History'!G3)*(ROW()-3)/(MATCH(9.99E+307,'Returns (Calc)'!$A:$A)-3),"")</f>
        <v>142.07974683544305</v>
      </c>
      <c r="AC98" s="143">
        <f>IFERROR('Price History'!H3+(INDEX('Price History'!H:H,MATCH(9.99E+307,'Returns (Calc)'!$A:$A)+1)-'Price History'!H3)*(ROW()-3)/(MATCH(9.99E+307,'Returns (Calc)'!$A:$A)-3),"")</f>
        <v>673.85113924050643</v>
      </c>
      <c r="AD98" s="143">
        <f>IFERROR('Price History'!I3+(INDEX('Price History'!I:I,MATCH(9.99E+307,'Returns (Calc)'!$A:$A)+1)-'Price History'!I3)*(ROW()-3)/(MATCH(9.99E+307,'Returns (Calc)'!$A:$A)-3),"")</f>
        <v>158.11873417721517</v>
      </c>
      <c r="AE98" s="143">
        <f>IFERROR('Price History'!J3+(INDEX('Price History'!J:J,MATCH(9.99E+307,'Returns (Calc)'!$A:$A)+1)-'Price History'!J3)*(ROW()-3)/(MATCH(9.99E+307,'Returns (Calc)'!$A:$A)-3),"")</f>
        <v>122.1036075949367</v>
      </c>
      <c r="AF98" s="143">
        <f>IFERROR('Price History'!K3+(INDEX('Price History'!K:K,MATCH(9.99E+307,'Returns (Calc)'!$A:$A)+1)-'Price History'!K3)*(ROW()-3)/(MATCH(9.99E+307,'Returns (Calc)'!$A:$A)-3),"")</f>
        <v>119.60151898734176</v>
      </c>
      <c r="AG98" s="143">
        <f>IFERROR('Price History'!L3+(INDEX('Price History'!L:L,MATCH(9.99E+307,'Returns (Calc)'!$A:$A)+1)-'Price History'!L3)*(ROW()-3)/(MATCH(9.99E+307,'Returns (Calc)'!$A:$A)-3),"")</f>
        <v>318.45791139240509</v>
      </c>
      <c r="AH98" s="143">
        <f>IFERROR('Price History'!M3+(INDEX('Price History'!M:M,MATCH(9.99E+307,'Returns (Calc)'!$A:$A)+1)-'Price History'!M3)*(ROW()-3)/(MATCH(9.99E+307,'Returns (Calc)'!$A:$A)-3),"")</f>
        <v>166.78708860759494</v>
      </c>
      <c r="AI98" s="143">
        <f>IFERROR('Price History'!N3+(INDEX('Price History'!N:N,MATCH(9.99E+307,'Returns (Calc)'!$A:$A)+1)-'Price History'!N3)*(ROW()-3)/(MATCH(9.99E+307,'Returns (Calc)'!$A:$A)-3),"")</f>
        <v>442.59525316455699</v>
      </c>
      <c r="AJ98" s="143">
        <f>IFERROR('Price History'!O3+(INDEX('Price History'!O:O,MATCH(9.99E+307,'Returns (Calc)'!$A:$A)+1)-'Price History'!O3)*(ROW()-3)/(MATCH(9.99E+307,'Returns (Calc)'!$A:$A)-3),"")</f>
        <v>102.1986075949367</v>
      </c>
      <c r="AK98" s="143">
        <f>IFERROR('Price History'!Q3+(INDEX('Price History'!Q:Q,MATCH(9.99E+307,'Returns (Calc)'!$A:$A)+1)-'Price History'!Q3)*(ROW()-3)/(MATCH(9.99E+307,'Returns (Calc)'!$A:$A)-3),"")</f>
        <v>41.739873417721519</v>
      </c>
      <c r="AL98" s="143">
        <f>IFERROR('Price History'!R3+(INDEX('Price History'!R:R,MATCH(9.99E+307,'Returns (Calc)'!$A:$A)+1)-'Price History'!R3)*(ROW()-3)/(MATCH(9.99E+307,'Returns (Calc)'!$A:$A)-3),"")</f>
        <v>50.449620253164554</v>
      </c>
      <c r="AM98" s="143">
        <f>IFERROR('Price History'!S3+(INDEX('Price History'!S:S,MATCH(9.99E+307,'Returns (Calc)'!$A:$A)+1)-'Price History'!S3)*(ROW()-3)/(MATCH(9.99E+307,'Returns (Calc)'!$A:$A)-3),"")</f>
        <v>115.11101265822785</v>
      </c>
      <c r="AN98" s="143">
        <f>IFERROR('Price History'!T3+(INDEX('Price History'!T:T,MATCH(9.99E+307,'Returns (Calc)'!$A:$A)+1)-'Price History'!T3)*(ROW()-3)/(MATCH(9.99E+307,'Returns (Calc)'!$A:$A)-3),"")</f>
        <v>41.22164556962025</v>
      </c>
      <c r="AO98" s="144">
        <f>IFERROR('Price History'!V3+(INDEX('Price History'!V:V,MATCH(9.99E+307,'Returns (Calc)'!$A:$A)+1)-'Price History'!V3)*(ROW()-3)/(MATCH(9.99E+307,'Returns (Calc)'!$A:$A)-3),"")</f>
        <v>310.80626582278484</v>
      </c>
      <c r="AP98" s="142">
        <f>IFERROR(IF(OR(NOT(ISNUMBER('Price History'!W99)),NOT(ISNUMBER('Price History'!W98)),'Price History'!W98=0),"",'Price History'!W99/'Price History'!W98-1),"")</f>
        <v>-1.5280006112001754E-3</v>
      </c>
      <c r="AQ98" s="142" t="str">
        <f>IFERROR(IF(OR(NOT(ISNUMBER('Price History'!X99)),NOT(ISNUMBER('Price History'!X98)),'Price History'!X98=0),"",'Price History'!X99/'Price History'!X98-1),"")</f>
        <v/>
      </c>
      <c r="AR98" s="142">
        <f>IFERROR(IF(OR(NOT(ISNUMBER('Price History'!Y99)),NOT(ISNUMBER('Price History'!Y98)),'Price History'!Y98=0),"",'Price History'!Y99/'Price History'!Y98-1),"")</f>
        <v>3.6957790313170147E-3</v>
      </c>
      <c r="AS98" s="142">
        <f>IFERROR(IF(OR(NOT(ISNUMBER('Price History'!Z99)),NOT(ISNUMBER('Price History'!Z98)),'Price History'!Z98=0),"",'Price History'!Z99/'Price History'!Z98-1),"")</f>
        <v>3.0732302364931297E-2</v>
      </c>
      <c r="AT98" s="142">
        <f>IFERROR(IF(OR(NOT(ISNUMBER('Price History'!AA99)),NOT(ISNUMBER('Price History'!AA98)),'Price History'!AA98=0),"",'Price History'!AA99/'Price History'!AA98-1),"")</f>
        <v>-2.8833025459802486E-2</v>
      </c>
    </row>
    <row r="99" spans="1:46" ht="15" customHeight="1" x14ac:dyDescent="0.35">
      <c r="A99" s="140">
        <f>IF('Price History'!A100="","",'Price History'!A100)</f>
        <v>45863</v>
      </c>
      <c r="B99" s="141">
        <f>IFERROR(IF(OR(NOT(ISNUMBER('Price History'!B100)),NOT(ISNUMBER('Price History'!B99)),'Price History'!B99=0),"",'Price History'!B100/'Price History'!B99-1),"")</f>
        <v>1.3532354629705479E-2</v>
      </c>
      <c r="C99" s="141">
        <f>IFERROR(IF(OR(NOT(ISNUMBER('Price History'!C100)),NOT(ISNUMBER('Price History'!C99)),'Price History'!C99=0),"",'Price History'!C100/'Price History'!C99-1),"")</f>
        <v>2.2365360529611689E-2</v>
      </c>
      <c r="D99" s="141">
        <f>IFERROR(IF(OR(NOT(ISNUMBER('Price History'!D100)),NOT(ISNUMBER('Price History'!D99)),'Price History'!D99=0),"",'Price History'!D100/'Price History'!D99-1),"")</f>
        <v>-3.1761295728984895E-2</v>
      </c>
      <c r="E99" s="141">
        <f>IFERROR(IF(OR(NOT(ISNUMBER('Price History'!E100)),NOT(ISNUMBER('Price History'!E99)),'Price History'!E99=0),"",'Price History'!E100/'Price History'!E99-1),"")</f>
        <v>2.4147879046906739E-2</v>
      </c>
      <c r="F99" s="141">
        <f>IFERROR(IF(OR(NOT(ISNUMBER('Price History'!F100)),NOT(ISNUMBER('Price History'!F99)),'Price History'!F99=0),"",'Price History'!F100/'Price History'!F99-1),"")</f>
        <v>-1.6892175813093435E-2</v>
      </c>
      <c r="G99" s="141">
        <f>IFERROR(IF(OR(NOT(ISNUMBER('Price History'!G100)),NOT(ISNUMBER('Price History'!G99)),'Price History'!G99=0),"",'Price History'!G100/'Price History'!G99-1),"")</f>
        <v>-3.1165458283735514E-2</v>
      </c>
      <c r="H99" s="141">
        <f>IFERROR(IF(OR(NOT(ISNUMBER('Price History'!H100)),NOT(ISNUMBER('Price History'!H99)),'Price History'!H99=0),"",'Price History'!H100/'Price History'!H99-1),"")</f>
        <v>-2.7405656247263765E-2</v>
      </c>
      <c r="I99" s="141">
        <f>IFERROR(IF(OR(NOT(ISNUMBER('Price History'!I100)),NOT(ISNUMBER('Price History'!I99)),'Price History'!I99=0),"",'Price History'!I100/'Price History'!I99-1),"")</f>
        <v>6.3375777661491828E-3</v>
      </c>
      <c r="J99" s="141">
        <f>IFERROR(IF(OR(NOT(ISNUMBER('Price History'!J100)),NOT(ISNUMBER('Price History'!J99)),'Price History'!J99=0),"",'Price History'!J100/'Price History'!J99-1),"")</f>
        <v>3.2940259233992686E-2</v>
      </c>
      <c r="K99" s="141">
        <f>IFERROR(IF(OR(NOT(ISNUMBER('Price History'!K100)),NOT(ISNUMBER('Price History'!K99)),'Price History'!K99=0),"",'Price History'!K100/'Price History'!K99-1),"")</f>
        <v>3.4392912975508061E-2</v>
      </c>
      <c r="L99" s="141">
        <f>IFERROR(IF(OR(NOT(ISNUMBER('Price History'!L100)),NOT(ISNUMBER('Price History'!L99)),'Price History'!L99=0),"",'Price History'!L100/'Price History'!L99-1),"")</f>
        <v>2.1633703032092111E-2</v>
      </c>
      <c r="M99" s="141">
        <f>IFERROR(IF(OR(NOT(ISNUMBER('Price History'!M100)),NOT(ISNUMBER('Price History'!M99)),'Price History'!M99=0),"",'Price History'!M100/'Price History'!M99-1),"")</f>
        <v>6.5171851966793426E-2</v>
      </c>
      <c r="N99" s="141">
        <f>IFERROR(IF(OR(NOT(ISNUMBER('Price History'!N100)),NOT(ISNUMBER('Price History'!N99)),'Price History'!N99=0),"",'Price History'!N100/'Price History'!N99-1),"")</f>
        <v>2.1400143537548155E-2</v>
      </c>
      <c r="O99" s="141">
        <f>IFERROR(IF(OR(NOT(ISNUMBER('Price History'!O100)),NOT(ISNUMBER('Price History'!O99)),'Price History'!O99=0),"",'Price History'!O100/'Price History'!O99-1),"")</f>
        <v>1.4763352149370412E-2</v>
      </c>
      <c r="P99" s="141">
        <f>IFERROR(IF(OR(NOT(ISNUMBER('Price History'!P100)),NOT(ISNUMBER('Price History'!P99)),'Price History'!P99=0),"",'Price History'!P100/'Price History'!P99-1),"")</f>
        <v>1.8181818181818077E-2</v>
      </c>
      <c r="Q99" s="141">
        <f>IFERROR(IF(OR(NOT(ISNUMBER('Price History'!Q100)),NOT(ISNUMBER('Price History'!Q99)),'Price History'!Q99=0),"",'Price History'!Q100/'Price History'!Q99-1),"")</f>
        <v>2.2300095571838874E-3</v>
      </c>
      <c r="R99" s="141">
        <f>IFERROR(IF(OR(NOT(ISNUMBER('Price History'!R100)),NOT(ISNUMBER('Price History'!R99)),'Price History'!R99=0),"",'Price History'!R100/'Price History'!R99-1),"")</f>
        <v>7.1548821548821362E-3</v>
      </c>
      <c r="S99" s="141">
        <f>IFERROR(IF(OR(NOT(ISNUMBER('Price History'!S100)),NOT(ISNUMBER('Price History'!S99)),'Price History'!S99=0),"",'Price History'!S100/'Price History'!S99-1),"")</f>
        <v>1.055900621118E-2</v>
      </c>
      <c r="T99" s="141">
        <f>IFERROR(IF(OR(NOT(ISNUMBER('Price History'!T100)),NOT(ISNUMBER('Price History'!T99)),'Price History'!T99=0),"",'Price History'!T100/'Price History'!T99-1),"")</f>
        <v>2.2016222479721792E-2</v>
      </c>
      <c r="U99" s="141">
        <f>IFERROR(IF(OR(NOT(ISNUMBER('Price History'!U100)),NOT(ISNUMBER('Price History'!U99)),'Price History'!U99=0),"",'Price History'!U100/'Price History'!U99-1),"")</f>
        <v>1.0827532869296164E-2</v>
      </c>
      <c r="V99" s="142">
        <f>IFERROR(IF(OR(NOT(ISNUMBER('Price History'!V100)),NOT(ISNUMBER('Price History'!V99)),'Price History'!V99=0),"",'Price History'!V100/'Price History'!V99-1),"")</f>
        <v>2.2912025920675649E-2</v>
      </c>
      <c r="W99" s="143">
        <f>IFERROR('Price History'!B3+(INDEX('Price History'!B:B,MATCH(9.99E+307,'Returns (Calc)'!$A:$A)+1)-'Price History'!B3)*(ROW()-3)/(MATCH(9.99E+307,'Returns (Calc)'!$A:$A)-3),"")</f>
        <v>351.95835443037976</v>
      </c>
      <c r="X99" s="143">
        <f>IFERROR('Price History'!C3+(INDEX('Price History'!C:C,MATCH(9.99E+307,'Returns (Calc)'!$A:$A)+1)-'Price History'!C3)*(ROW()-3)/(MATCH(9.99E+307,'Returns (Calc)'!$A:$A)-3),"")</f>
        <v>144.1060759493671</v>
      </c>
      <c r="Y99" s="143">
        <f>IFERROR('Price History'!D3+(INDEX('Price History'!D:D,MATCH(9.99E+307,'Returns (Calc)'!$A:$A)+1)-'Price History'!D3)*(ROW()-3)/(MATCH(9.99E+307,'Returns (Calc)'!$A:$A)-3),"")</f>
        <v>1362.9517721518987</v>
      </c>
      <c r="Z99" s="143">
        <f>IFERROR('Price History'!E3+(INDEX('Price History'!E:E,MATCH(9.99E+307,'Returns (Calc)'!$A:$A)+1)-'Price History'!E3)*(ROW()-3)/(MATCH(9.99E+307,'Returns (Calc)'!$A:$A)-3),"")</f>
        <v>247.95848101265821</v>
      </c>
      <c r="AA99" s="143">
        <f>IFERROR('Price History'!F3+(INDEX('Price History'!F:F,MATCH(9.99E+307,'Returns (Calc)'!$A:$A)+1)-'Price History'!F3)*(ROW()-3)/(MATCH(9.99E+307,'Returns (Calc)'!$A:$A)-3),"")</f>
        <v>180.30481012658225</v>
      </c>
      <c r="AB99" s="143">
        <f>IFERROR('Price History'!G3+(INDEX('Price History'!G:G,MATCH(9.99E+307,'Returns (Calc)'!$A:$A)+1)-'Price History'!G3)*(ROW()-3)/(MATCH(9.99E+307,'Returns (Calc)'!$A:$A)-3),"")</f>
        <v>143.10848101265822</v>
      </c>
      <c r="AC99" s="143">
        <f>IFERROR('Price History'!H3+(INDEX('Price History'!H:H,MATCH(9.99E+307,'Returns (Calc)'!$A:$A)+1)-'Price History'!H3)*(ROW()-3)/(MATCH(9.99E+307,'Returns (Calc)'!$A:$A)-3),"")</f>
        <v>680.21683544303801</v>
      </c>
      <c r="AD99" s="143">
        <f>IFERROR('Price History'!I3+(INDEX('Price History'!I:I,MATCH(9.99E+307,'Returns (Calc)'!$A:$A)+1)-'Price History'!I3)*(ROW()-3)/(MATCH(9.99E+307,'Returns (Calc)'!$A:$A)-3),"")</f>
        <v>159.32240506329114</v>
      </c>
      <c r="AE99" s="143">
        <f>IFERROR('Price History'!J3+(INDEX('Price History'!J:J,MATCH(9.99E+307,'Returns (Calc)'!$A:$A)+1)-'Price History'!J3)*(ROW()-3)/(MATCH(9.99E+307,'Returns (Calc)'!$A:$A)-3),"")</f>
        <v>122.21164556962026</v>
      </c>
      <c r="AF99" s="143">
        <f>IFERROR('Price History'!K3+(INDEX('Price History'!K:K,MATCH(9.99E+307,'Returns (Calc)'!$A:$A)+1)-'Price History'!K3)*(ROW()-3)/(MATCH(9.99E+307,'Returns (Calc)'!$A:$A)-3),"")</f>
        <v>120.69911392405064</v>
      </c>
      <c r="AG99" s="143">
        <f>IFERROR('Price History'!L3+(INDEX('Price History'!L:L,MATCH(9.99E+307,'Returns (Calc)'!$A:$A)+1)-'Price History'!L3)*(ROW()-3)/(MATCH(9.99E+307,'Returns (Calc)'!$A:$A)-3),"")</f>
        <v>320.90746835443036</v>
      </c>
      <c r="AH99" s="143">
        <f>IFERROR('Price History'!M3+(INDEX('Price History'!M:M,MATCH(9.99E+307,'Returns (Calc)'!$A:$A)+1)-'Price History'!M3)*(ROW()-3)/(MATCH(9.99E+307,'Returns (Calc)'!$A:$A)-3),"")</f>
        <v>168.14253164556965</v>
      </c>
      <c r="AI99" s="143">
        <f>IFERROR('Price History'!N3+(INDEX('Price History'!N:N,MATCH(9.99E+307,'Returns (Calc)'!$A:$A)+1)-'Price History'!N3)*(ROW()-3)/(MATCH(9.99E+307,'Returns (Calc)'!$A:$A)-3),"")</f>
        <v>443.58151898734178</v>
      </c>
      <c r="AJ99" s="143">
        <f>IFERROR('Price History'!O3+(INDEX('Price History'!O:O,MATCH(9.99E+307,'Returns (Calc)'!$A:$A)+1)-'Price History'!O3)*(ROW()-3)/(MATCH(9.99E+307,'Returns (Calc)'!$A:$A)-3),"")</f>
        <v>102.48164556962026</v>
      </c>
      <c r="AK99" s="143">
        <f>IFERROR('Price History'!Q3+(INDEX('Price History'!Q:Q,MATCH(9.99E+307,'Returns (Calc)'!$A:$A)+1)-'Price History'!Q3)*(ROW()-3)/(MATCH(9.99E+307,'Returns (Calc)'!$A:$A)-3),"")</f>
        <v>42.179240506329116</v>
      </c>
      <c r="AL99" s="143">
        <f>IFERROR('Price History'!R3+(INDEX('Price History'!R:R,MATCH(9.99E+307,'Returns (Calc)'!$A:$A)+1)-'Price History'!R3)*(ROW()-3)/(MATCH(9.99E+307,'Returns (Calc)'!$A:$A)-3),"")</f>
        <v>50.617721518987338</v>
      </c>
      <c r="AM99" s="143">
        <f>IFERROR('Price History'!S3+(INDEX('Price History'!S:S,MATCH(9.99E+307,'Returns (Calc)'!$A:$A)+1)-'Price History'!S3)*(ROW()-3)/(MATCH(9.99E+307,'Returns (Calc)'!$A:$A)-3),"")</f>
        <v>115.71607594936708</v>
      </c>
      <c r="AN99" s="143">
        <f>IFERROR('Price History'!T3+(INDEX('Price History'!T:T,MATCH(9.99E+307,'Returns (Calc)'!$A:$A)+1)-'Price History'!T3)*(ROW()-3)/(MATCH(9.99E+307,'Returns (Calc)'!$A:$A)-3),"")</f>
        <v>41.389873417721518</v>
      </c>
      <c r="AO99" s="144">
        <f>IFERROR('Price History'!V3+(INDEX('Price History'!V:V,MATCH(9.99E+307,'Returns (Calc)'!$A:$A)+1)-'Price History'!V3)*(ROW()-3)/(MATCH(9.99E+307,'Returns (Calc)'!$A:$A)-3),"")</f>
        <v>311.5975949367089</v>
      </c>
      <c r="AP99" s="142">
        <f>IFERROR(IF(OR(NOT(ISNUMBER('Price History'!W100)),NOT(ISNUMBER('Price History'!W99)),'Price History'!W99=0),"",'Price History'!W100/'Price History'!W99-1),"")</f>
        <v>1.4155635473257266E-2</v>
      </c>
      <c r="AQ99" s="142" t="str">
        <f>IFERROR(IF(OR(NOT(ISNUMBER('Price History'!X100)),NOT(ISNUMBER('Price History'!X99)),'Price History'!X99=0),"",'Price History'!X100/'Price History'!X99-1),"")</f>
        <v/>
      </c>
      <c r="AR99" s="142">
        <f>IFERROR(IF(OR(NOT(ISNUMBER('Price History'!Y100)),NOT(ISNUMBER('Price History'!Y99)),'Price History'!Y99=0),"",'Price History'!Y100/'Price History'!Y99-1),"")</f>
        <v>6.2015503875969546E-3</v>
      </c>
      <c r="AS99" s="142">
        <f>IFERROR(IF(OR(NOT(ISNUMBER('Price History'!Z100)),NOT(ISNUMBER('Price History'!Z99)),'Price History'!Z99=0),"",'Price History'!Z100/'Price History'!Z99-1),"")</f>
        <v>3.161029243338187E-2</v>
      </c>
      <c r="AT99" s="142">
        <f>IFERROR(IF(OR(NOT(ISNUMBER('Price History'!AA100)),NOT(ISNUMBER('Price History'!AA99)),'Price History'!AA99=0),"",'Price History'!AA100/'Price History'!AA99-1),"")</f>
        <v>-2.3734700628514793E-2</v>
      </c>
    </row>
    <row r="100" spans="1:46" ht="15" customHeight="1" x14ac:dyDescent="0.35">
      <c r="A100" s="140">
        <f>IF('Price History'!A101="","",'Price History'!A101)</f>
        <v>45870</v>
      </c>
      <c r="B100" s="141">
        <f>IFERROR(IF(OR(NOT(ISNUMBER('Price History'!B101)),NOT(ISNUMBER('Price History'!B100)),'Price History'!B100=0),"",'Price History'!B101/'Price History'!B100-1),"")</f>
        <v>-6.187624750498999E-2</v>
      </c>
      <c r="C100" s="141">
        <f>IFERROR(IF(OR(NOT(ISNUMBER('Price History'!C101)),NOT(ISNUMBER('Price History'!C100)),'Price History'!C100=0),"",'Price History'!C101/'Price History'!C100-1),"")</f>
        <v>2.878893944697225E-2</v>
      </c>
      <c r="D100" s="141">
        <f>IFERROR(IF(OR(NOT(ISNUMBER('Price History'!D101)),NOT(ISNUMBER('Price History'!D100)),'Price History'!D100=0),"",'Price History'!D101/'Price History'!D100-1),"")</f>
        <v>-2.766703083100408E-2</v>
      </c>
      <c r="E100" s="141">
        <f>IFERROR(IF(OR(NOT(ISNUMBER('Price History'!E101)),NOT(ISNUMBER('Price History'!E100)),'Price History'!E100=0),"",'Price History'!E101/'Price History'!E100-1),"")</f>
        <v>-5.3208137715180515E-3</v>
      </c>
      <c r="F100" s="141">
        <f>IFERROR(IF(OR(NOT(ISNUMBER('Price History'!F101)),NOT(ISNUMBER('Price History'!F100)),'Price History'!F100=0),"",'Price History'!F101/'Price History'!F100-1),"")</f>
        <v>-4.5392374764917087E-2</v>
      </c>
      <c r="G100" s="141">
        <f>IFERROR(IF(OR(NOT(ISNUMBER('Price History'!G101)),NOT(ISNUMBER('Price History'!G100)),'Price History'!G100=0),"",'Price History'!G101/'Price History'!G100-1),"")</f>
        <v>-1.7089243828884215E-2</v>
      </c>
      <c r="H100" s="141">
        <f>IFERROR(IF(OR(NOT(ISNUMBER('Price History'!H101)),NOT(ISNUMBER('Price History'!H100)),'Price History'!H100=0),"",'Price History'!H101/'Price History'!H100-1),"")</f>
        <v>-5.7346056895930864E-2</v>
      </c>
      <c r="I100" s="141">
        <f>IFERROR(IF(OR(NOT(ISNUMBER('Price History'!I101)),NOT(ISNUMBER('Price History'!I100)),'Price History'!I100=0),"",'Price History'!I101/'Price History'!I100-1),"")</f>
        <v>1.2710885139819439E-3</v>
      </c>
      <c r="J100" s="141">
        <f>IFERROR(IF(OR(NOT(ISNUMBER('Price History'!J101)),NOT(ISNUMBER('Price History'!J100)),'Price History'!J100=0),"",'Price History'!J101/'Price History'!J100-1),"")</f>
        <v>-4.8778186621379449E-2</v>
      </c>
      <c r="K100" s="141">
        <f>IFERROR(IF(OR(NOT(ISNUMBER('Price History'!K101)),NOT(ISNUMBER('Price History'!K100)),'Price History'!K100=0),"",'Price History'!K101/'Price History'!K100-1),"")</f>
        <v>-2.8526448362720447E-2</v>
      </c>
      <c r="L100" s="141">
        <f>IFERROR(IF(OR(NOT(ISNUMBER('Price History'!L101)),NOT(ISNUMBER('Price History'!L100)),'Price History'!L100=0),"",'Price History'!L101/'Price History'!L100-1),"")</f>
        <v>-4.230991496739045E-2</v>
      </c>
      <c r="M100" s="141">
        <f>IFERROR(IF(OR(NOT(ISNUMBER('Price History'!M101)),NOT(ISNUMBER('Price History'!M100)),'Price History'!M100=0),"",'Price History'!M101/'Price History'!M100-1),"")</f>
        <v>2.9936630490203342E-2</v>
      </c>
      <c r="N100" s="141">
        <f>IFERROR(IF(OR(NOT(ISNUMBER('Price History'!N101)),NOT(ISNUMBER('Price History'!N100)),'Price History'!N100=0),"",'Price History'!N101/'Price History'!N100-1),"")</f>
        <v>-1.6011923773022407E-2</v>
      </c>
      <c r="O100" s="141">
        <f>IFERROR(IF(OR(NOT(ISNUMBER('Price History'!O101)),NOT(ISNUMBER('Price History'!O100)),'Price History'!O100=0),"",'Price History'!O101/'Price History'!O100-1),"")</f>
        <v>-5.0278134360291049E-2</v>
      </c>
      <c r="P100" s="141">
        <f>IFERROR(IF(OR(NOT(ISNUMBER('Price History'!P101)),NOT(ISNUMBER('Price History'!P100)),'Price History'!P100=0),"",'Price History'!P101/'Price History'!P100-1),"")</f>
        <v>-3.0039346246973353E-2</v>
      </c>
      <c r="Q100" s="141">
        <f>IFERROR(IF(OR(NOT(ISNUMBER('Price History'!Q101)),NOT(ISNUMBER('Price History'!Q100)),'Price History'!Q100=0),"",'Price History'!Q101/'Price History'!Q100-1),"")</f>
        <v>-1.0489510489510523E-2</v>
      </c>
      <c r="R100" s="141">
        <f>IFERROR(IF(OR(NOT(ISNUMBER('Price History'!R101)),NOT(ISNUMBER('Price History'!R100)),'Price History'!R100=0),"",'Price History'!R101/'Price History'!R100-1),"")</f>
        <v>-1.5252820727120753E-2</v>
      </c>
      <c r="S100" s="141">
        <f>IFERROR(IF(OR(NOT(ISNUMBER('Price History'!S101)),NOT(ISNUMBER('Price History'!S100)),'Price History'!S100=0),"",'Price History'!S101/'Price History'!S100-1),"")</f>
        <v>-1.5716919834928511E-2</v>
      </c>
      <c r="T100" s="141">
        <f>IFERROR(IF(OR(NOT(ISNUMBER('Price History'!T101)),NOT(ISNUMBER('Price History'!T100)),'Price History'!T100=0),"",'Price History'!T101/'Price History'!T100-1),"")</f>
        <v>-4.1950113378684928E-2</v>
      </c>
      <c r="U100" s="141">
        <f>IFERROR(IF(OR(NOT(ISNUMBER('Price History'!U101)),NOT(ISNUMBER('Price History'!U100)),'Price History'!U100=0),"",'Price History'!U101/'Price History'!U100-1),"")</f>
        <v>-3.4429992348890659E-2</v>
      </c>
      <c r="V100" s="142">
        <f>IFERROR(IF(OR(NOT(ISNUMBER('Price History'!V101)),NOT(ISNUMBER('Price History'!V100)),'Price History'!V100=0),"",'Price History'!V101/'Price History'!V100-1),"")</f>
        <v>-4.9548912582369375E-2</v>
      </c>
      <c r="W100" s="143">
        <f>IFERROR('Price History'!B3+(INDEX('Price History'!B:B,MATCH(9.99E+307,'Returns (Calc)'!$A:$A)+1)-'Price History'!B3)*(ROW()-3)/(MATCH(9.99E+307,'Returns (Calc)'!$A:$A)-3),"")</f>
        <v>350.11531645569619</v>
      </c>
      <c r="X100" s="143">
        <f>IFERROR('Price History'!C3+(INDEX('Price History'!C:C,MATCH(9.99E+307,'Returns (Calc)'!$A:$A)+1)-'Price History'!C3)*(ROW()-3)/(MATCH(9.99E+307,'Returns (Calc)'!$A:$A)-3),"")</f>
        <v>145.12613924050632</v>
      </c>
      <c r="Y100" s="143">
        <f>IFERROR('Price History'!D3+(INDEX('Price History'!D:D,MATCH(9.99E+307,'Returns (Calc)'!$A:$A)+1)-'Price History'!D3)*(ROW()-3)/(MATCH(9.99E+307,'Returns (Calc)'!$A:$A)-3),"")</f>
        <v>1371.0865822784808</v>
      </c>
      <c r="Z100" s="143">
        <f>IFERROR('Price History'!E3+(INDEX('Price History'!E:E,MATCH(9.99E+307,'Returns (Calc)'!$A:$A)+1)-'Price History'!E3)*(ROW()-3)/(MATCH(9.99E+307,'Returns (Calc)'!$A:$A)-3),"")</f>
        <v>249.6872151898734</v>
      </c>
      <c r="AA100" s="143">
        <f>IFERROR('Price History'!F3+(INDEX('Price History'!F:F,MATCH(9.99E+307,'Returns (Calc)'!$A:$A)+1)-'Price History'!F3)*(ROW()-3)/(MATCH(9.99E+307,'Returns (Calc)'!$A:$A)-3),"")</f>
        <v>181.75215189873416</v>
      </c>
      <c r="AB100" s="143">
        <f>IFERROR('Price History'!G3+(INDEX('Price History'!G:G,MATCH(9.99E+307,'Returns (Calc)'!$A:$A)+1)-'Price History'!G3)*(ROW()-3)/(MATCH(9.99E+307,'Returns (Calc)'!$A:$A)-3),"")</f>
        <v>144.13721518987342</v>
      </c>
      <c r="AC100" s="143">
        <f>IFERROR('Price History'!H3+(INDEX('Price History'!H:H,MATCH(9.99E+307,'Returns (Calc)'!$A:$A)+1)-'Price History'!H3)*(ROW()-3)/(MATCH(9.99E+307,'Returns (Calc)'!$A:$A)-3),"")</f>
        <v>686.5825316455697</v>
      </c>
      <c r="AD100" s="143">
        <f>IFERROR('Price History'!I3+(INDEX('Price History'!I:I,MATCH(9.99E+307,'Returns (Calc)'!$A:$A)+1)-'Price History'!I3)*(ROW()-3)/(MATCH(9.99E+307,'Returns (Calc)'!$A:$A)-3),"")</f>
        <v>160.52607594936708</v>
      </c>
      <c r="AE100" s="143">
        <f>IFERROR('Price History'!J3+(INDEX('Price History'!J:J,MATCH(9.99E+307,'Returns (Calc)'!$A:$A)+1)-'Price History'!J3)*(ROW()-3)/(MATCH(9.99E+307,'Returns (Calc)'!$A:$A)-3),"")</f>
        <v>122.3196835443038</v>
      </c>
      <c r="AF100" s="143">
        <f>IFERROR('Price History'!K3+(INDEX('Price History'!K:K,MATCH(9.99E+307,'Returns (Calc)'!$A:$A)+1)-'Price History'!K3)*(ROW()-3)/(MATCH(9.99E+307,'Returns (Calc)'!$A:$A)-3),"")</f>
        <v>121.79670886075948</v>
      </c>
      <c r="AG100" s="143">
        <f>IFERROR('Price History'!L3+(INDEX('Price History'!L:L,MATCH(9.99E+307,'Returns (Calc)'!$A:$A)+1)-'Price History'!L3)*(ROW()-3)/(MATCH(9.99E+307,'Returns (Calc)'!$A:$A)-3),"")</f>
        <v>323.35702531645563</v>
      </c>
      <c r="AH100" s="143">
        <f>IFERROR('Price History'!M3+(INDEX('Price History'!M:M,MATCH(9.99E+307,'Returns (Calc)'!$A:$A)+1)-'Price History'!M3)*(ROW()-3)/(MATCH(9.99E+307,'Returns (Calc)'!$A:$A)-3),"")</f>
        <v>169.49797468354433</v>
      </c>
      <c r="AI100" s="143">
        <f>IFERROR('Price History'!N3+(INDEX('Price History'!N:N,MATCH(9.99E+307,'Returns (Calc)'!$A:$A)+1)-'Price History'!N3)*(ROW()-3)/(MATCH(9.99E+307,'Returns (Calc)'!$A:$A)-3),"")</f>
        <v>444.56778481012657</v>
      </c>
      <c r="AJ100" s="143">
        <f>IFERROR('Price History'!O3+(INDEX('Price History'!O:O,MATCH(9.99E+307,'Returns (Calc)'!$A:$A)+1)-'Price History'!O3)*(ROW()-3)/(MATCH(9.99E+307,'Returns (Calc)'!$A:$A)-3),"")</f>
        <v>102.76468354430381</v>
      </c>
      <c r="AK100" s="143">
        <f>IFERROR('Price History'!Q3+(INDEX('Price History'!Q:Q,MATCH(9.99E+307,'Returns (Calc)'!$A:$A)+1)-'Price History'!Q3)*(ROW()-3)/(MATCH(9.99E+307,'Returns (Calc)'!$A:$A)-3),"")</f>
        <v>42.618607594936705</v>
      </c>
      <c r="AL100" s="143">
        <f>IFERROR('Price History'!R3+(INDEX('Price History'!R:R,MATCH(9.99E+307,'Returns (Calc)'!$A:$A)+1)-'Price History'!R3)*(ROW()-3)/(MATCH(9.99E+307,'Returns (Calc)'!$A:$A)-3),"")</f>
        <v>50.785822784810122</v>
      </c>
      <c r="AM100" s="143">
        <f>IFERROR('Price History'!S3+(INDEX('Price History'!S:S,MATCH(9.99E+307,'Returns (Calc)'!$A:$A)+1)-'Price History'!S3)*(ROW()-3)/(MATCH(9.99E+307,'Returns (Calc)'!$A:$A)-3),"")</f>
        <v>116.32113924050633</v>
      </c>
      <c r="AN100" s="143">
        <f>IFERROR('Price History'!T3+(INDEX('Price History'!T:T,MATCH(9.99E+307,'Returns (Calc)'!$A:$A)+1)-'Price History'!T3)*(ROW()-3)/(MATCH(9.99E+307,'Returns (Calc)'!$A:$A)-3),"")</f>
        <v>41.558101265822785</v>
      </c>
      <c r="AO100" s="144">
        <f>IFERROR('Price History'!V3+(INDEX('Price History'!V:V,MATCH(9.99E+307,'Returns (Calc)'!$A:$A)+1)-'Price History'!V3)*(ROW()-3)/(MATCH(9.99E+307,'Returns (Calc)'!$A:$A)-3),"")</f>
        <v>312.38892405063291</v>
      </c>
      <c r="AP100" s="142">
        <f>IFERROR(IF(OR(NOT(ISNUMBER('Price History'!W101)),NOT(ISNUMBER('Price History'!W100)),'Price History'!W100=0),"",'Price History'!W101/'Price History'!W100-1),"")</f>
        <v>-2.7086162667873892E-2</v>
      </c>
      <c r="AQ100" s="142" t="str">
        <f>IFERROR(IF(OR(NOT(ISNUMBER('Price History'!X101)),NOT(ISNUMBER('Price History'!X100)),'Price History'!X100=0),"",'Price History'!X101/'Price History'!X100-1),"")</f>
        <v/>
      </c>
      <c r="AR100" s="142">
        <f>IFERROR(IF(OR(NOT(ISNUMBER('Price History'!Y101)),NOT(ISNUMBER('Price History'!Y100)),'Price History'!Y100=0),"",'Price History'!Y101/'Price History'!Y100-1),"")</f>
        <v>-2.3690292758089426E-2</v>
      </c>
      <c r="AS100" s="142">
        <f>IFERROR(IF(OR(NOT(ISNUMBER('Price History'!Z101)),NOT(ISNUMBER('Price History'!Z100)),'Price History'!Z100=0),"",'Price History'!Z101/'Price History'!Z100-1),"")</f>
        <v>-8.1415143216639896E-3</v>
      </c>
      <c r="AT100" s="142">
        <f>IFERROR(IF(OR(NOT(ISNUMBER('Price History'!AA101)),NOT(ISNUMBER('Price History'!AA100)),'Price History'!AA100=0),"",'Price History'!AA101/'Price History'!AA100-1),"")</f>
        <v>-1.8551461245235101E-2</v>
      </c>
    </row>
    <row r="101" spans="1:46" ht="15" customHeight="1" x14ac:dyDescent="0.35">
      <c r="A101" s="140">
        <f>IF('Price History'!A102="","",'Price History'!A102)</f>
        <v>45877</v>
      </c>
      <c r="B101" s="141">
        <f>IFERROR(IF(OR(NOT(ISNUMBER('Price History'!B102)),NOT(ISNUMBER('Price History'!B101)),'Price History'!B101=0),"",'Price History'!B102/'Price History'!B101-1),"")</f>
        <v>-1.9407705577918377E-2</v>
      </c>
      <c r="C101" s="141">
        <f>IFERROR(IF(OR(NOT(ISNUMBER('Price History'!C102)),NOT(ISNUMBER('Price History'!C101)),'Price History'!C101=0),"",'Price History'!C102/'Price History'!C101-1),"")</f>
        <v>0.18380539253210859</v>
      </c>
      <c r="D101" s="141">
        <f>IFERROR(IF(OR(NOT(ISNUMBER('Price History'!D102)),NOT(ISNUMBER('Price History'!D101)),'Price History'!D101=0),"",'Price History'!D102/'Price History'!D101-1),"")</f>
        <v>4.7102771008740607E-2</v>
      </c>
      <c r="E101" s="141">
        <f>IFERROR(IF(OR(NOT(ISNUMBER('Price History'!E102)),NOT(ISNUMBER('Price History'!E101)),'Price History'!E101=0),"",'Price History'!E102/'Price History'!E101-1),"")</f>
        <v>5.6569470666387067E-2</v>
      </c>
      <c r="F101" s="141">
        <f>IFERROR(IF(OR(NOT(ISNUMBER('Price History'!F102)),NOT(ISNUMBER('Price History'!F101)),'Price History'!F101=0),"",'Price History'!F102/'Price History'!F101-1),"")</f>
        <v>-4.970000895495652E-2</v>
      </c>
      <c r="G101" s="141">
        <f>IFERROR(IF(OR(NOT(ISNUMBER('Price History'!G102)),NOT(ISNUMBER('Price History'!G101)),'Price History'!G101=0),"",'Price History'!G102/'Price History'!G101-1),"")</f>
        <v>3.1704545454545485E-2</v>
      </c>
      <c r="H101" s="141">
        <f>IFERROR(IF(OR(NOT(ISNUMBER('Price History'!H102)),NOT(ISNUMBER('Price History'!H101)),'Price History'!H101=0),"",'Price History'!H102/'Price History'!H101-1),"")</f>
        <v>0.13360710533855413</v>
      </c>
      <c r="I101" s="141">
        <f>IFERROR(IF(OR(NOT(ISNUMBER('Price History'!I102)),NOT(ISNUMBER('Price History'!I101)),'Price History'!I101=0),"",'Price History'!I102/'Price History'!I101-1),"")</f>
        <v>5.1644547028274701E-2</v>
      </c>
      <c r="J101" s="141">
        <f>IFERROR(IF(OR(NOT(ISNUMBER('Price History'!J102)),NOT(ISNUMBER('Price History'!J101)),'Price History'!J101=0),"",'Price History'!J102/'Price History'!J101-1),"")</f>
        <v>7.3398135290618782E-3</v>
      </c>
      <c r="K101" s="141">
        <f>IFERROR(IF(OR(NOT(ISNUMBER('Price History'!K102)),NOT(ISNUMBER('Price History'!K101)),'Price History'!K101=0),"",'Price History'!K102/'Price History'!K101-1),"")</f>
        <v>0.21190121216049773</v>
      </c>
      <c r="L101" s="141">
        <f>IFERROR(IF(OR(NOT(ISNUMBER('Price History'!L102)),NOT(ISNUMBER('Price History'!L101)),'Price History'!L101=0),"",'Price History'!L102/'Price History'!L101-1),"")</f>
        <v>2.8145338562993061E-2</v>
      </c>
      <c r="M101" s="141">
        <f>IFERROR(IF(OR(NOT(ISNUMBER('Price History'!M102)),NOT(ISNUMBER('Price History'!M101)),'Price History'!M101=0),"",'Price History'!M102/'Price History'!M101-1),"")</f>
        <v>-1.1739745403111734E-2</v>
      </c>
      <c r="N101" s="141">
        <f>IFERROR(IF(OR(NOT(ISNUMBER('Price History'!N102)),NOT(ISNUMBER('Price History'!N101)),'Price History'!N101=0),"",'Price History'!N102/'Price History'!N101-1),"")</f>
        <v>-0.20684655832774324</v>
      </c>
      <c r="O101" s="141">
        <f>IFERROR(IF(OR(NOT(ISNUMBER('Price History'!O102)),NOT(ISNUMBER('Price History'!O101)),'Price History'!O101=0),"",'Price History'!O102/'Price History'!O101-1),"")</f>
        <v>2.3316062176165664E-2</v>
      </c>
      <c r="P101" s="141">
        <f>IFERROR(IF(OR(NOT(ISNUMBER('Price History'!P102)),NOT(ISNUMBER('Price History'!P101)),'Price History'!P101=0),"",'Price History'!P102/'Price History'!P101-1),"")</f>
        <v>1.6147905452843281E-2</v>
      </c>
      <c r="Q101" s="141">
        <f>IFERROR(IF(OR(NOT(ISNUMBER('Price History'!Q102)),NOT(ISNUMBER('Price History'!Q101)),'Price History'!Q101=0),"",'Price History'!Q102/'Price History'!Q101-1),"")</f>
        <v>1.1564407324124559E-2</v>
      </c>
      <c r="R101" s="141">
        <f>IFERROR(IF(OR(NOT(ISNUMBER('Price History'!R102)),NOT(ISNUMBER('Price History'!R101)),'Price History'!R101=0),"",'Price History'!R102/'Price History'!R101-1),"")</f>
        <v>2.8219817525992008E-2</v>
      </c>
      <c r="S101" s="141">
        <f>IFERROR(IF(OR(NOT(ISNUMBER('Price History'!S102)),NOT(ISNUMBER('Price History'!S101)),'Price History'!S101=0),"",'Price History'!S102/'Price History'!S101-1),"")</f>
        <v>3.4968777876895674E-2</v>
      </c>
      <c r="T101" s="141">
        <f>IFERROR(IF(OR(NOT(ISNUMBER('Price History'!T102)),NOT(ISNUMBER('Price History'!T101)),'Price History'!T101=0),"",'Price History'!T102/'Price History'!T101-1),"")</f>
        <v>1.0059171597633254E-2</v>
      </c>
      <c r="U101" s="141">
        <f>IFERROR(IF(OR(NOT(ISNUMBER('Price History'!U102)),NOT(ISNUMBER('Price History'!U101)),'Price History'!U101=0),"",'Price History'!U102/'Price History'!U101-1),"")</f>
        <v>1.9017432646592836E-2</v>
      </c>
      <c r="V101" s="142">
        <f>IFERROR(IF(OR(NOT(ISNUMBER('Price History'!V102)),NOT(ISNUMBER('Price History'!V101)),'Price History'!V101=0),"",'Price History'!V102/'Price History'!V101-1),"")</f>
        <v>-7.5877049424227794E-3</v>
      </c>
      <c r="W101" s="143">
        <f>IFERROR('Price History'!B3+(INDEX('Price History'!B:B,MATCH(9.99E+307,'Returns (Calc)'!$A:$A)+1)-'Price History'!B3)*(ROW()-3)/(MATCH(9.99E+307,'Returns (Calc)'!$A:$A)-3),"")</f>
        <v>348.27227848101268</v>
      </c>
      <c r="X101" s="143">
        <f>IFERROR('Price History'!C3+(INDEX('Price History'!C:C,MATCH(9.99E+307,'Returns (Calc)'!$A:$A)+1)-'Price History'!C3)*(ROW()-3)/(MATCH(9.99E+307,'Returns (Calc)'!$A:$A)-3),"")</f>
        <v>146.14620253164557</v>
      </c>
      <c r="Y101" s="143">
        <f>IFERROR('Price History'!D3+(INDEX('Price History'!D:D,MATCH(9.99E+307,'Returns (Calc)'!$A:$A)+1)-'Price History'!D3)*(ROW()-3)/(MATCH(9.99E+307,'Returns (Calc)'!$A:$A)-3),"")</f>
        <v>1379.2213924050634</v>
      </c>
      <c r="Z101" s="143">
        <f>IFERROR('Price History'!E3+(INDEX('Price History'!E:E,MATCH(9.99E+307,'Returns (Calc)'!$A:$A)+1)-'Price History'!E3)*(ROW()-3)/(MATCH(9.99E+307,'Returns (Calc)'!$A:$A)-3),"")</f>
        <v>251.41594936708859</v>
      </c>
      <c r="AA101" s="143">
        <f>IFERROR('Price History'!F3+(INDEX('Price History'!F:F,MATCH(9.99E+307,'Returns (Calc)'!$A:$A)+1)-'Price History'!F3)*(ROW()-3)/(MATCH(9.99E+307,'Returns (Calc)'!$A:$A)-3),"")</f>
        <v>183.19949367088606</v>
      </c>
      <c r="AB101" s="143">
        <f>IFERROR('Price History'!G3+(INDEX('Price History'!G:G,MATCH(9.99E+307,'Returns (Calc)'!$A:$A)+1)-'Price History'!G3)*(ROW()-3)/(MATCH(9.99E+307,'Returns (Calc)'!$A:$A)-3),"")</f>
        <v>145.16594936708861</v>
      </c>
      <c r="AC101" s="143">
        <f>IFERROR('Price History'!H3+(INDEX('Price History'!H:H,MATCH(9.99E+307,'Returns (Calc)'!$A:$A)+1)-'Price History'!H3)*(ROW()-3)/(MATCH(9.99E+307,'Returns (Calc)'!$A:$A)-3),"")</f>
        <v>692.94822784810128</v>
      </c>
      <c r="AD101" s="143">
        <f>IFERROR('Price History'!I3+(INDEX('Price History'!I:I,MATCH(9.99E+307,'Returns (Calc)'!$A:$A)+1)-'Price History'!I3)*(ROW()-3)/(MATCH(9.99E+307,'Returns (Calc)'!$A:$A)-3),"")</f>
        <v>161.72974683544302</v>
      </c>
      <c r="AE101" s="143">
        <f>IFERROR('Price History'!J3+(INDEX('Price History'!J:J,MATCH(9.99E+307,'Returns (Calc)'!$A:$A)+1)-'Price History'!J3)*(ROW()-3)/(MATCH(9.99E+307,'Returns (Calc)'!$A:$A)-3),"")</f>
        <v>122.42772151898734</v>
      </c>
      <c r="AF101" s="143">
        <f>IFERROR('Price History'!K3+(INDEX('Price History'!K:K,MATCH(9.99E+307,'Returns (Calc)'!$A:$A)+1)-'Price History'!K3)*(ROW()-3)/(MATCH(9.99E+307,'Returns (Calc)'!$A:$A)-3),"")</f>
        <v>122.89430379746835</v>
      </c>
      <c r="AG101" s="143">
        <f>IFERROR('Price History'!L3+(INDEX('Price History'!L:L,MATCH(9.99E+307,'Returns (Calc)'!$A:$A)+1)-'Price History'!L3)*(ROW()-3)/(MATCH(9.99E+307,'Returns (Calc)'!$A:$A)-3),"")</f>
        <v>325.80658227848096</v>
      </c>
      <c r="AH101" s="143">
        <f>IFERROR('Price History'!M3+(INDEX('Price History'!M:M,MATCH(9.99E+307,'Returns (Calc)'!$A:$A)+1)-'Price History'!M3)*(ROW()-3)/(MATCH(9.99E+307,'Returns (Calc)'!$A:$A)-3),"")</f>
        <v>170.85341772151901</v>
      </c>
      <c r="AI101" s="143">
        <f>IFERROR('Price History'!N3+(INDEX('Price History'!N:N,MATCH(9.99E+307,'Returns (Calc)'!$A:$A)+1)-'Price History'!N3)*(ROW()-3)/(MATCH(9.99E+307,'Returns (Calc)'!$A:$A)-3),"")</f>
        <v>445.55405063291141</v>
      </c>
      <c r="AJ101" s="143">
        <f>IFERROR('Price History'!O3+(INDEX('Price History'!O:O,MATCH(9.99E+307,'Returns (Calc)'!$A:$A)+1)-'Price History'!O3)*(ROW()-3)/(MATCH(9.99E+307,'Returns (Calc)'!$A:$A)-3),"")</f>
        <v>103.04772151898734</v>
      </c>
      <c r="AK101" s="143">
        <f>IFERROR('Price History'!Q3+(INDEX('Price History'!Q:Q,MATCH(9.99E+307,'Returns (Calc)'!$A:$A)+1)-'Price History'!Q3)*(ROW()-3)/(MATCH(9.99E+307,'Returns (Calc)'!$A:$A)-3),"")</f>
        <v>43.057974683544302</v>
      </c>
      <c r="AL101" s="143">
        <f>IFERROR('Price History'!R3+(INDEX('Price History'!R:R,MATCH(9.99E+307,'Returns (Calc)'!$A:$A)+1)-'Price History'!R3)*(ROW()-3)/(MATCH(9.99E+307,'Returns (Calc)'!$A:$A)-3),"")</f>
        <v>50.953924050632907</v>
      </c>
      <c r="AM101" s="143">
        <f>IFERROR('Price History'!S3+(INDEX('Price History'!S:S,MATCH(9.99E+307,'Returns (Calc)'!$A:$A)+1)-'Price History'!S3)*(ROW()-3)/(MATCH(9.99E+307,'Returns (Calc)'!$A:$A)-3),"")</f>
        <v>116.92620253164557</v>
      </c>
      <c r="AN101" s="143">
        <f>IFERROR('Price History'!T3+(INDEX('Price History'!T:T,MATCH(9.99E+307,'Returns (Calc)'!$A:$A)+1)-'Price History'!T3)*(ROW()-3)/(MATCH(9.99E+307,'Returns (Calc)'!$A:$A)-3),"")</f>
        <v>41.726329113924052</v>
      </c>
      <c r="AO101" s="144">
        <f>IFERROR('Price History'!V3+(INDEX('Price History'!V:V,MATCH(9.99E+307,'Returns (Calc)'!$A:$A)+1)-'Price History'!V3)*(ROW()-3)/(MATCH(9.99E+307,'Returns (Calc)'!$A:$A)-3),"")</f>
        <v>313.18025316455697</v>
      </c>
      <c r="AP101" s="142">
        <f>IFERROR(IF(OR(NOT(ISNUMBER('Price History'!W102)),NOT(ISNUMBER('Price History'!W101)),'Price History'!W101=0),"",'Price History'!W102/'Price History'!W101-1),"")</f>
        <v>1.8379216750678662E-2</v>
      </c>
      <c r="AQ101" s="142" t="str">
        <f>IFERROR(IF(OR(NOT(ISNUMBER('Price History'!X102)),NOT(ISNUMBER('Price History'!X101)),'Price History'!X101=0),"",'Price History'!X102/'Price History'!X101-1),"")</f>
        <v/>
      </c>
      <c r="AR101" s="142">
        <f>IFERROR(IF(OR(NOT(ISNUMBER('Price History'!Y102)),NOT(ISNUMBER('Price History'!Y101)),'Price History'!Y101=0),"",'Price History'!Y102/'Price History'!Y101-1),"")</f>
        <v>8.0883803511542229E-3</v>
      </c>
      <c r="AS101" s="142">
        <f>IFERROR(IF(OR(NOT(ISNUMBER('Price History'!Z102)),NOT(ISNUMBER('Price History'!Z101)),'Price History'!Z101=0),"",'Price History'!Z102/'Price History'!Z101-1),"")</f>
        <v>2.0893963137079474E-2</v>
      </c>
      <c r="AT101" s="142">
        <f>IFERROR(IF(OR(NOT(ISNUMBER('Price History'!AA102)),NOT(ISNUMBER('Price History'!AA101)),'Price History'!AA101=0),"",'Price History'!AA102/'Price History'!AA101-1),"")</f>
        <v>4.5744864491627846E-2</v>
      </c>
    </row>
    <row r="102" spans="1:46" ht="15" customHeight="1" x14ac:dyDescent="0.35">
      <c r="A102" s="140">
        <f>IF('Price History'!A103="","",'Price History'!A103)</f>
        <v>45884</v>
      </c>
      <c r="B102" s="141">
        <f>IFERROR(IF(OR(NOT(ISNUMBER('Price History'!B103)),NOT(ISNUMBER('Price History'!B102)),'Price History'!B102=0),"",'Price History'!B103/'Price History'!B102-1),"")</f>
        <v>4.0463275179592362E-2</v>
      </c>
      <c r="C102" s="141">
        <f>IFERROR(IF(OR(NOT(ISNUMBER('Price History'!C103)),NOT(ISNUMBER('Price History'!C102)),'Price History'!C102=0),"",'Price History'!C103/'Price History'!C102-1),"")</f>
        <v>-1.35076878861905E-2</v>
      </c>
      <c r="D102" s="141">
        <f>IFERROR(IF(OR(NOT(ISNUMBER('Price History'!D103)),NOT(ISNUMBER('Price History'!D102)),'Price History'!D102=0),"",'Price History'!D103/'Price History'!D102-1),"")</f>
        <v>2.746693794506605E-2</v>
      </c>
      <c r="E102" s="141">
        <f>IFERROR(IF(OR(NOT(ISNUMBER('Price History'!E103)),NOT(ISNUMBER('Price History'!E102)),'Price History'!E102=0),"",'Price History'!E103/'Price History'!E102-1),"")</f>
        <v>4.5003309066844466E-3</v>
      </c>
      <c r="F102" s="141">
        <f>IFERROR(IF(OR(NOT(ISNUMBER('Price History'!F103)),NOT(ISNUMBER('Price History'!F102)),'Price History'!F102=0),"",'Price History'!F103/'Price History'!F102-1),"")</f>
        <v>8.0098002261590473E-3</v>
      </c>
      <c r="G102" s="141">
        <f>IFERROR(IF(OR(NOT(ISNUMBER('Price History'!G103)),NOT(ISNUMBER('Price History'!G102)),'Price History'!G102=0),"",'Price History'!G103/'Price History'!G102-1),"")</f>
        <v>-4.3506994162352708E-2</v>
      </c>
      <c r="H102" s="141">
        <f>IFERROR(IF(OR(NOT(ISNUMBER('Price History'!H103)),NOT(ISNUMBER('Price History'!H102)),'Price History'!H102=0),"",'Price History'!H103/'Price History'!H102-1),"")</f>
        <v>1.6680707666385963E-2</v>
      </c>
      <c r="I102" s="141">
        <f>IFERROR(IF(OR(NOT(ISNUMBER('Price History'!I103)),NOT(ISNUMBER('Price History'!I102)),'Price History'!I102=0),"",'Price History'!I103/'Price History'!I102-1),"")</f>
        <v>-1.229080932784643E-2</v>
      </c>
      <c r="J102" s="141">
        <f>IFERROR(IF(OR(NOT(ISNUMBER('Price History'!J103)),NOT(ISNUMBER('Price History'!J102)),'Price History'!J102=0),"",'Price History'!J103/'Price History'!J102-1),"")</f>
        <v>8.5663647105160834E-3</v>
      </c>
      <c r="K102" s="141">
        <f>IFERROR(IF(OR(NOT(ISNUMBER('Price History'!K103)),NOT(ISNUMBER('Price History'!K102)),'Price History'!K102=0),"",'Price History'!K103/'Price History'!K102-1),"")</f>
        <v>-5.2364142062473418E-2</v>
      </c>
      <c r="L102" s="141">
        <f>IFERROR(IF(OR(NOT(ISNUMBER('Price History'!L103)),NOT(ISNUMBER('Price History'!L102)),'Price History'!L102=0),"",'Price History'!L103/'Price History'!L102-1),"")</f>
        <v>-1.2199211872222726E-2</v>
      </c>
      <c r="M102" s="141">
        <f>IFERROR(IF(OR(NOT(ISNUMBER('Price History'!M103)),NOT(ISNUMBER('Price History'!M102)),'Price History'!M102=0),"",'Price History'!M103/'Price History'!M102-1),"")</f>
        <v>-4.9019607843137414E-2</v>
      </c>
      <c r="N102" s="141">
        <f>IFERROR(IF(OR(NOT(ISNUMBER('Price History'!N103)),NOT(ISNUMBER('Price History'!N102)),'Price History'!N102=0),"",'Price History'!N103/'Price History'!N102-1),"")</f>
        <v>7.1615649042396479E-2</v>
      </c>
      <c r="O102" s="141">
        <f>IFERROR(IF(OR(NOT(ISNUMBER('Price History'!O103)),NOT(ISNUMBER('Price History'!O102)),'Price History'!O102=0),"",'Price History'!O103/'Price History'!O102-1),"")</f>
        <v>2.9829389102916881E-2</v>
      </c>
      <c r="P102" s="141">
        <f>IFERROR(IF(OR(NOT(ISNUMBER('Price History'!P103)),NOT(ISNUMBER('Price History'!P102)),'Price History'!P102=0),"",'Price History'!P103/'Price History'!P102-1),"")</f>
        <v>1.535390756947641E-2</v>
      </c>
      <c r="Q102" s="141">
        <f>IFERROR(IF(OR(NOT(ISNUMBER('Price History'!Q103)),NOT(ISNUMBER('Price History'!Q102)),'Price History'!Q102=0),"",'Price History'!Q103/'Price History'!Q102-1),"")</f>
        <v>7.3039060019053359E-3</v>
      </c>
      <c r="R102" s="141">
        <f>IFERROR(IF(OR(NOT(ISNUMBER('Price History'!R103)),NOT(ISNUMBER('Price History'!R102)),'Price History'!R102=0),"",'Price History'!R103/'Price History'!R102-1),"")</f>
        <v>8.6669418076765758E-3</v>
      </c>
      <c r="S102" s="141">
        <f>IFERROR(IF(OR(NOT(ISNUMBER('Price History'!S103)),NOT(ISNUMBER('Price History'!S102)),'Price History'!S102=0),"",'Price History'!S103/'Price History'!S102-1),"")</f>
        <v>1.0343044302707494E-3</v>
      </c>
      <c r="T102" s="141">
        <f>IFERROR(IF(OR(NOT(ISNUMBER('Price History'!T103)),NOT(ISNUMBER('Price History'!T102)),'Price History'!T102=0),"",'Price History'!T103/'Price History'!T102-1),"")</f>
        <v>3.9543057996485054E-2</v>
      </c>
      <c r="U102" s="141">
        <f>IFERROR(IF(OR(NOT(ISNUMBER('Price History'!U103)),NOT(ISNUMBER('Price History'!U102)),'Price History'!U102=0),"",'Price History'!U103/'Price History'!U102-1),"")</f>
        <v>1.6718506998444793E-2</v>
      </c>
      <c r="V102" s="142">
        <f>IFERROR(IF(OR(NOT(ISNUMBER('Price History'!V103)),NOT(ISNUMBER('Price History'!V102)),'Price History'!V102=0),"",'Price History'!V103/'Price History'!V102-1),"")</f>
        <v>2.4646198129047781E-2</v>
      </c>
      <c r="W102" s="143">
        <f>IFERROR('Price History'!B3+(INDEX('Price History'!B:B,MATCH(9.99E+307,'Returns (Calc)'!$A:$A)+1)-'Price History'!B3)*(ROW()-3)/(MATCH(9.99E+307,'Returns (Calc)'!$A:$A)-3),"")</f>
        <v>346.42924050632911</v>
      </c>
      <c r="X102" s="143">
        <f>IFERROR('Price History'!C3+(INDEX('Price History'!C:C,MATCH(9.99E+307,'Returns (Calc)'!$A:$A)+1)-'Price History'!C3)*(ROW()-3)/(MATCH(9.99E+307,'Returns (Calc)'!$A:$A)-3),"")</f>
        <v>147.16626582278479</v>
      </c>
      <c r="Y102" s="143">
        <f>IFERROR('Price History'!D3+(INDEX('Price History'!D:D,MATCH(9.99E+307,'Returns (Calc)'!$A:$A)+1)-'Price History'!D3)*(ROW()-3)/(MATCH(9.99E+307,'Returns (Calc)'!$A:$A)-3),"")</f>
        <v>1387.3562025316455</v>
      </c>
      <c r="Z102" s="143">
        <f>IFERROR('Price History'!E3+(INDEX('Price History'!E:E,MATCH(9.99E+307,'Returns (Calc)'!$A:$A)+1)-'Price History'!E3)*(ROW()-3)/(MATCH(9.99E+307,'Returns (Calc)'!$A:$A)-3),"")</f>
        <v>253.14468354430377</v>
      </c>
      <c r="AA102" s="143">
        <f>IFERROR('Price History'!F3+(INDEX('Price History'!F:F,MATCH(9.99E+307,'Returns (Calc)'!$A:$A)+1)-'Price History'!F3)*(ROW()-3)/(MATCH(9.99E+307,'Returns (Calc)'!$A:$A)-3),"")</f>
        <v>184.64683544303796</v>
      </c>
      <c r="AB102" s="143">
        <f>IFERROR('Price History'!G3+(INDEX('Price History'!G:G,MATCH(9.99E+307,'Returns (Calc)'!$A:$A)+1)-'Price History'!G3)*(ROW()-3)/(MATCH(9.99E+307,'Returns (Calc)'!$A:$A)-3),"")</f>
        <v>146.19468354430379</v>
      </c>
      <c r="AC102" s="143">
        <f>IFERROR('Price History'!H3+(INDEX('Price History'!H:H,MATCH(9.99E+307,'Returns (Calc)'!$A:$A)+1)-'Price History'!H3)*(ROW()-3)/(MATCH(9.99E+307,'Returns (Calc)'!$A:$A)-3),"")</f>
        <v>699.31392405063298</v>
      </c>
      <c r="AD102" s="143">
        <f>IFERROR('Price History'!I3+(INDEX('Price History'!I:I,MATCH(9.99E+307,'Returns (Calc)'!$A:$A)+1)-'Price History'!I3)*(ROW()-3)/(MATCH(9.99E+307,'Returns (Calc)'!$A:$A)-3),"")</f>
        <v>162.93341772151896</v>
      </c>
      <c r="AE102" s="143">
        <f>IFERROR('Price History'!J3+(INDEX('Price History'!J:J,MATCH(9.99E+307,'Returns (Calc)'!$A:$A)+1)-'Price History'!J3)*(ROW()-3)/(MATCH(9.99E+307,'Returns (Calc)'!$A:$A)-3),"")</f>
        <v>122.53575949367088</v>
      </c>
      <c r="AF102" s="143">
        <f>IFERROR('Price History'!K3+(INDEX('Price History'!K:K,MATCH(9.99E+307,'Returns (Calc)'!$A:$A)+1)-'Price History'!K3)*(ROW()-3)/(MATCH(9.99E+307,'Returns (Calc)'!$A:$A)-3),"")</f>
        <v>123.9918987341772</v>
      </c>
      <c r="AG102" s="143">
        <f>IFERROR('Price History'!L3+(INDEX('Price History'!L:L,MATCH(9.99E+307,'Returns (Calc)'!$A:$A)+1)-'Price History'!L3)*(ROW()-3)/(MATCH(9.99E+307,'Returns (Calc)'!$A:$A)-3),"")</f>
        <v>328.25613924050629</v>
      </c>
      <c r="AH102" s="143">
        <f>IFERROR('Price History'!M3+(INDEX('Price History'!M:M,MATCH(9.99E+307,'Returns (Calc)'!$A:$A)+1)-'Price History'!M3)*(ROW()-3)/(MATCH(9.99E+307,'Returns (Calc)'!$A:$A)-3),"")</f>
        <v>172.20886075949369</v>
      </c>
      <c r="AI102" s="143">
        <f>IFERROR('Price History'!N3+(INDEX('Price History'!N:N,MATCH(9.99E+307,'Returns (Calc)'!$A:$A)+1)-'Price History'!N3)*(ROW()-3)/(MATCH(9.99E+307,'Returns (Calc)'!$A:$A)-3),"")</f>
        <v>446.5403164556962</v>
      </c>
      <c r="AJ102" s="143">
        <f>IFERROR('Price History'!O3+(INDEX('Price History'!O:O,MATCH(9.99E+307,'Returns (Calc)'!$A:$A)+1)-'Price History'!O3)*(ROW()-3)/(MATCH(9.99E+307,'Returns (Calc)'!$A:$A)-3),"")</f>
        <v>103.33075949367088</v>
      </c>
      <c r="AK102" s="143">
        <f>IFERROR('Price History'!Q3+(INDEX('Price History'!Q:Q,MATCH(9.99E+307,'Returns (Calc)'!$A:$A)+1)-'Price History'!Q3)*(ROW()-3)/(MATCH(9.99E+307,'Returns (Calc)'!$A:$A)-3),"")</f>
        <v>43.497341772151898</v>
      </c>
      <c r="AL102" s="143">
        <f>IFERROR('Price History'!R3+(INDEX('Price History'!R:R,MATCH(9.99E+307,'Returns (Calc)'!$A:$A)+1)-'Price History'!R3)*(ROW()-3)/(MATCH(9.99E+307,'Returns (Calc)'!$A:$A)-3),"")</f>
        <v>51.122025316455691</v>
      </c>
      <c r="AM102" s="143">
        <f>IFERROR('Price History'!S3+(INDEX('Price History'!S:S,MATCH(9.99E+307,'Returns (Calc)'!$A:$A)+1)-'Price History'!S3)*(ROW()-3)/(MATCH(9.99E+307,'Returns (Calc)'!$A:$A)-3),"")</f>
        <v>117.5312658227848</v>
      </c>
      <c r="AN102" s="143">
        <f>IFERROR('Price History'!T3+(INDEX('Price History'!T:T,MATCH(9.99E+307,'Returns (Calc)'!$A:$A)+1)-'Price History'!T3)*(ROW()-3)/(MATCH(9.99E+307,'Returns (Calc)'!$A:$A)-3),"")</f>
        <v>41.89455696202532</v>
      </c>
      <c r="AO102" s="144">
        <f>IFERROR('Price History'!V3+(INDEX('Price History'!V:V,MATCH(9.99E+307,'Returns (Calc)'!$A:$A)+1)-'Price History'!V3)*(ROW()-3)/(MATCH(9.99E+307,'Returns (Calc)'!$A:$A)-3),"")</f>
        <v>313.97158227848104</v>
      </c>
      <c r="AP102" s="142">
        <f>IFERROR(IF(OR(NOT(ISNUMBER('Price History'!W103)),NOT(ISNUMBER('Price History'!W102)),'Price History'!W102=0),"",'Price History'!W103/'Price History'!W102-1),"")</f>
        <v>1.2183978068839529E-2</v>
      </c>
      <c r="AQ102" s="142" t="str">
        <f>IFERROR(IF(OR(NOT(ISNUMBER('Price History'!X103)),NOT(ISNUMBER('Price History'!X102)),'Price History'!X102=0),"",'Price History'!X103/'Price History'!X102-1),"")</f>
        <v/>
      </c>
      <c r="AR102" s="142">
        <f>IFERROR(IF(OR(NOT(ISNUMBER('Price History'!Y103)),NOT(ISNUMBER('Price History'!Y102)),'Price History'!Y102=0),"",'Price History'!Y103/'Price History'!Y102-1),"")</f>
        <v>1.1350293542074397E-2</v>
      </c>
      <c r="AS102" s="142">
        <f>IFERROR(IF(OR(NOT(ISNUMBER('Price History'!Z103)),NOT(ISNUMBER('Price History'!Z102)),'Price History'!Z102=0),"",'Price History'!Z103/'Price History'!Z102-1),"")</f>
        <v>-2.6021489657188868E-2</v>
      </c>
      <c r="AT102" s="142">
        <f>IFERROR(IF(OR(NOT(ISNUMBER('Price History'!AA103)),NOT(ISNUMBER('Price History'!AA102)),'Price History'!AA102=0),"",'Price History'!AA103/'Price History'!AA102-1),"")</f>
        <v>2.2532188841201783E-2</v>
      </c>
    </row>
    <row r="103" spans="1:46" ht="15" customHeight="1" x14ac:dyDescent="0.35">
      <c r="A103" s="140">
        <f>IF('Price History'!A104="","",'Price History'!A104)</f>
        <v>45891</v>
      </c>
      <c r="B103" s="141">
        <f>IFERROR(IF(OR(NOT(ISNUMBER('Price History'!B104)),NOT(ISNUMBER('Price History'!B103)),'Price History'!B103=0),"",'Price History'!B104/'Price History'!B103-1),"")</f>
        <v>2.0402987177680521E-2</v>
      </c>
      <c r="C103" s="141">
        <f>IFERROR(IF(OR(NOT(ISNUMBER('Price History'!C104)),NOT(ISNUMBER('Price History'!C103)),'Price History'!C103=0),"",'Price History'!C104/'Price History'!C103-1),"")</f>
        <v>-2.949745083758204E-2</v>
      </c>
      <c r="D103" s="141">
        <f>IFERROR(IF(OR(NOT(ISNUMBER('Price History'!D104)),NOT(ISNUMBER('Price History'!D103)),'Price History'!D103=0),"",'Price History'!D104/'Price History'!D103-1),"")</f>
        <v>1.7157195171572104E-2</v>
      </c>
      <c r="E103" s="141">
        <f>IFERROR(IF(OR(NOT(ISNUMBER('Price History'!E104)),NOT(ISNUMBER('Price History'!E103)),'Price History'!E103=0),"",'Price History'!E104/'Price History'!E103-1),"")</f>
        <v>-4.0288575569903839E-2</v>
      </c>
      <c r="F103" s="141">
        <f>IFERROR(IF(OR(NOT(ISNUMBER('Price History'!F104)),NOT(ISNUMBER('Price History'!F103)),'Price History'!F103=0),"",'Price History'!F104/'Price History'!F103-1),"")</f>
        <v>-1.7107600261755618E-2</v>
      </c>
      <c r="G103" s="141">
        <f>IFERROR(IF(OR(NOT(ISNUMBER('Price History'!G104)),NOT(ISNUMBER('Price History'!G103)),'Price History'!G103=0),"",'Price History'!G104/'Price History'!G103-1),"")</f>
        <v>-3.2243205895901017E-3</v>
      </c>
      <c r="H103" s="141">
        <f>IFERROR(IF(OR(NOT(ISNUMBER('Price History'!H104)),NOT(ISNUMBER('Price History'!H103)),'Price History'!H103=0),"",'Price History'!H104/'Price History'!H103-1),"")</f>
        <v>-2.6433543254889114E-2</v>
      </c>
      <c r="I103" s="141">
        <f>IFERROR(IF(OR(NOT(ISNUMBER('Price History'!I104)),NOT(ISNUMBER('Price History'!I103)),'Price History'!I103=0),"",'Price History'!I104/'Price History'!I103-1),"")</f>
        <v>-1.3665907449586068E-2</v>
      </c>
      <c r="J103" s="141">
        <f>IFERROR(IF(OR(NOT(ISNUMBER('Price History'!J104)),NOT(ISNUMBER('Price History'!J103)),'Price History'!J103=0),"",'Price History'!J104/'Price History'!J103-1),"")</f>
        <v>5.3402323538025875E-2</v>
      </c>
      <c r="K103" s="141">
        <f>IFERROR(IF(OR(NOT(ISNUMBER('Price History'!K104)),NOT(ISNUMBER('Price History'!K103)),'Price History'!K103=0),"",'Price History'!K104/'Price History'!K103-1),"")</f>
        <v>-0.10402438336061404</v>
      </c>
      <c r="L103" s="141">
        <f>IFERROR(IF(OR(NOT(ISNUMBER('Price History'!L104)),NOT(ISNUMBER('Price History'!L103)),'Price History'!L103=0),"",'Price History'!L104/'Price History'!L103-1),"")</f>
        <v>-2.4657301701820677E-2</v>
      </c>
      <c r="M103" s="141">
        <f>IFERROR(IF(OR(NOT(ISNUMBER('Price History'!M104)),NOT(ISNUMBER('Price History'!M103)),'Price History'!M103=0),"",'Price History'!M104/'Price History'!M103-1),"")</f>
        <v>-5.3352396719090867E-2</v>
      </c>
      <c r="N103" s="141">
        <f>IFERROR(IF(OR(NOT(ISNUMBER('Price History'!N104)),NOT(ISNUMBER('Price History'!N103)),'Price History'!N103=0),"",'Price History'!N104/'Price History'!N103-1),"")</f>
        <v>5.9319229104610738E-3</v>
      </c>
      <c r="O103" s="141">
        <f>IFERROR(IF(OR(NOT(ISNUMBER('Price History'!O104)),NOT(ISNUMBER('Price History'!O103)),'Price History'!O103=0),"",'Price History'!O104/'Price History'!O103-1),"")</f>
        <v>3.9760581445061893E-2</v>
      </c>
      <c r="P103" s="141">
        <f>IFERROR(IF(OR(NOT(ISNUMBER('Price History'!P104)),NOT(ISNUMBER('Price History'!P103)),'Price History'!P103=0),"",'Price History'!P104/'Price History'!P103-1),"")</f>
        <v>2.888250415847593E-2</v>
      </c>
      <c r="Q103" s="141">
        <f>IFERROR(IF(OR(NOT(ISNUMBER('Price History'!Q104)),NOT(ISNUMBER('Price History'!Q103)),'Price History'!Q103=0),"",'Price History'!Q104/'Price History'!Q103-1),"")</f>
        <v>3.6254728877680442E-3</v>
      </c>
      <c r="R103" s="141">
        <f>IFERROR(IF(OR(NOT(ISNUMBER('Price History'!R104)),NOT(ISNUMBER('Price History'!R103)),'Price History'!R103=0),"",'Price History'!R104/'Price History'!R103-1),"")</f>
        <v>-2.4549918166940632E-3</v>
      </c>
      <c r="S103" s="141">
        <f>IFERROR(IF(OR(NOT(ISNUMBER('Price History'!S104)),NOT(ISNUMBER('Price History'!S103)),'Price History'!S103=0),"",'Price History'!S104/'Price History'!S103-1),"")</f>
        <v>-6.8021353538832985E-3</v>
      </c>
      <c r="T103" s="141">
        <f>IFERROR(IF(OR(NOT(ISNUMBER('Price History'!T104)),NOT(ISNUMBER('Price History'!T103)),'Price History'!T103=0),"",'Price History'!T104/'Price History'!T103-1),"")</f>
        <v>2.5922795153564326E-2</v>
      </c>
      <c r="U103" s="141">
        <f>IFERROR(IF(OR(NOT(ISNUMBER('Price History'!U104)),NOT(ISNUMBER('Price History'!U103)),'Price History'!U103=0),"",'Price History'!U104/'Price History'!U103-1),"")</f>
        <v>2.2944550669216079E-2</v>
      </c>
      <c r="V103" s="142">
        <f>IFERROR(IF(OR(NOT(ISNUMBER('Price History'!V104)),NOT(ISNUMBER('Price History'!V103)),'Price History'!V103=0),"",'Price History'!V104/'Price History'!V103-1),"")</f>
        <v>1.6152630654883815E-2</v>
      </c>
      <c r="W103" s="143">
        <f>IFERROR('Price History'!B3+(INDEX('Price History'!B:B,MATCH(9.99E+307,'Returns (Calc)'!$A:$A)+1)-'Price History'!B3)*(ROW()-3)/(MATCH(9.99E+307,'Returns (Calc)'!$A:$A)-3),"")</f>
        <v>344.58620253164554</v>
      </c>
      <c r="X103" s="143">
        <f>IFERROR('Price History'!C3+(INDEX('Price History'!C:C,MATCH(9.99E+307,'Returns (Calc)'!$A:$A)+1)-'Price History'!C3)*(ROW()-3)/(MATCH(9.99E+307,'Returns (Calc)'!$A:$A)-3),"")</f>
        <v>148.18632911392405</v>
      </c>
      <c r="Y103" s="143">
        <f>IFERROR('Price History'!D3+(INDEX('Price History'!D:D,MATCH(9.99E+307,'Returns (Calc)'!$A:$A)+1)-'Price History'!D3)*(ROW()-3)/(MATCH(9.99E+307,'Returns (Calc)'!$A:$A)-3),"")</f>
        <v>1395.4910126582279</v>
      </c>
      <c r="Z103" s="143">
        <f>IFERROR('Price History'!E3+(INDEX('Price History'!E:E,MATCH(9.99E+307,'Returns (Calc)'!$A:$A)+1)-'Price History'!E3)*(ROW()-3)/(MATCH(9.99E+307,'Returns (Calc)'!$A:$A)-3),"")</f>
        <v>254.87341772151899</v>
      </c>
      <c r="AA103" s="143">
        <f>IFERROR('Price History'!F3+(INDEX('Price History'!F:F,MATCH(9.99E+307,'Returns (Calc)'!$A:$A)+1)-'Price History'!F3)*(ROW()-3)/(MATCH(9.99E+307,'Returns (Calc)'!$A:$A)-3),"")</f>
        <v>186.09417721518986</v>
      </c>
      <c r="AB103" s="143">
        <f>IFERROR('Price History'!G3+(INDEX('Price History'!G:G,MATCH(9.99E+307,'Returns (Calc)'!$A:$A)+1)-'Price History'!G3)*(ROW()-3)/(MATCH(9.99E+307,'Returns (Calc)'!$A:$A)-3),"")</f>
        <v>147.22341772151898</v>
      </c>
      <c r="AC103" s="143">
        <f>IFERROR('Price History'!H3+(INDEX('Price History'!H:H,MATCH(9.99E+307,'Returns (Calc)'!$A:$A)+1)-'Price History'!H3)*(ROW()-3)/(MATCH(9.99E+307,'Returns (Calc)'!$A:$A)-3),"")</f>
        <v>705.67962025316467</v>
      </c>
      <c r="AD103" s="143">
        <f>IFERROR('Price History'!I3+(INDEX('Price History'!I:I,MATCH(9.99E+307,'Returns (Calc)'!$A:$A)+1)-'Price History'!I3)*(ROW()-3)/(MATCH(9.99E+307,'Returns (Calc)'!$A:$A)-3),"")</f>
        <v>164.1370886075949</v>
      </c>
      <c r="AE103" s="143">
        <f>IFERROR('Price History'!J3+(INDEX('Price History'!J:J,MATCH(9.99E+307,'Returns (Calc)'!$A:$A)+1)-'Price History'!J3)*(ROW()-3)/(MATCH(9.99E+307,'Returns (Calc)'!$A:$A)-3),"")</f>
        <v>122.64379746835444</v>
      </c>
      <c r="AF103" s="143">
        <f>IFERROR('Price History'!K3+(INDEX('Price History'!K:K,MATCH(9.99E+307,'Returns (Calc)'!$A:$A)+1)-'Price History'!K3)*(ROW()-3)/(MATCH(9.99E+307,'Returns (Calc)'!$A:$A)-3),"")</f>
        <v>125.08949367088607</v>
      </c>
      <c r="AG103" s="143">
        <f>IFERROR('Price History'!L3+(INDEX('Price History'!L:L,MATCH(9.99E+307,'Returns (Calc)'!$A:$A)+1)-'Price History'!L3)*(ROW()-3)/(MATCH(9.99E+307,'Returns (Calc)'!$A:$A)-3),"")</f>
        <v>330.70569620253161</v>
      </c>
      <c r="AH103" s="143">
        <f>IFERROR('Price History'!M3+(INDEX('Price History'!M:M,MATCH(9.99E+307,'Returns (Calc)'!$A:$A)+1)-'Price History'!M3)*(ROW()-3)/(MATCH(9.99E+307,'Returns (Calc)'!$A:$A)-3),"")</f>
        <v>173.56430379746837</v>
      </c>
      <c r="AI103" s="143">
        <f>IFERROR('Price History'!N3+(INDEX('Price History'!N:N,MATCH(9.99E+307,'Returns (Calc)'!$A:$A)+1)-'Price History'!N3)*(ROW()-3)/(MATCH(9.99E+307,'Returns (Calc)'!$A:$A)-3),"")</f>
        <v>447.52658227848099</v>
      </c>
      <c r="AJ103" s="143">
        <f>IFERROR('Price History'!O3+(INDEX('Price History'!O:O,MATCH(9.99E+307,'Returns (Calc)'!$A:$A)+1)-'Price History'!O3)*(ROW()-3)/(MATCH(9.99E+307,'Returns (Calc)'!$A:$A)-3),"")</f>
        <v>103.61379746835443</v>
      </c>
      <c r="AK103" s="143">
        <f>IFERROR('Price History'!Q3+(INDEX('Price History'!Q:Q,MATCH(9.99E+307,'Returns (Calc)'!$A:$A)+1)-'Price History'!Q3)*(ROW()-3)/(MATCH(9.99E+307,'Returns (Calc)'!$A:$A)-3),"")</f>
        <v>43.936708860759495</v>
      </c>
      <c r="AL103" s="143">
        <f>IFERROR('Price History'!R3+(INDEX('Price History'!R:R,MATCH(9.99E+307,'Returns (Calc)'!$A:$A)+1)-'Price History'!R3)*(ROW()-3)/(MATCH(9.99E+307,'Returns (Calc)'!$A:$A)-3),"")</f>
        <v>51.290126582278475</v>
      </c>
      <c r="AM103" s="143">
        <f>IFERROR('Price History'!S3+(INDEX('Price History'!S:S,MATCH(9.99E+307,'Returns (Calc)'!$A:$A)+1)-'Price History'!S3)*(ROW()-3)/(MATCH(9.99E+307,'Returns (Calc)'!$A:$A)-3),"")</f>
        <v>118.13632911392406</v>
      </c>
      <c r="AN103" s="143">
        <f>IFERROR('Price History'!T3+(INDEX('Price History'!T:T,MATCH(9.99E+307,'Returns (Calc)'!$A:$A)+1)-'Price History'!T3)*(ROW()-3)/(MATCH(9.99E+307,'Returns (Calc)'!$A:$A)-3),"")</f>
        <v>42.06278481012658</v>
      </c>
      <c r="AO103" s="144">
        <f>IFERROR('Price History'!V3+(INDEX('Price History'!V:V,MATCH(9.99E+307,'Returns (Calc)'!$A:$A)+1)-'Price History'!V3)*(ROW()-3)/(MATCH(9.99E+307,'Returns (Calc)'!$A:$A)-3),"")</f>
        <v>314.7629113924051</v>
      </c>
      <c r="AP103" s="142">
        <f>IFERROR(IF(OR(NOT(ISNUMBER('Price History'!W104)),NOT(ISNUMBER('Price History'!W103)),'Price History'!W103=0),"",'Price History'!W104/'Price History'!W103-1),"")</f>
        <v>1.5874210051158633E-2</v>
      </c>
      <c r="AQ103" s="142" t="str">
        <f>IFERROR(IF(OR(NOT(ISNUMBER('Price History'!X104)),NOT(ISNUMBER('Price History'!X103)),'Price History'!X103=0),"",'Price History'!X104/'Price History'!X103-1),"")</f>
        <v/>
      </c>
      <c r="AR103" s="142">
        <f>IFERROR(IF(OR(NOT(ISNUMBER('Price History'!Y104)),NOT(ISNUMBER('Price History'!Y103)),'Price History'!Y103=0),"",'Price History'!Y104/'Price History'!Y103-1),"")</f>
        <v>1.1996904024767829E-2</v>
      </c>
      <c r="AS103" s="142">
        <f>IFERROR(IF(OR(NOT(ISNUMBER('Price History'!Z104)),NOT(ISNUMBER('Price History'!Z103)),'Price History'!Z103=0),"",'Price History'!Z104/'Price History'!Z103-1),"")</f>
        <v>-4.953095684802955E-3</v>
      </c>
      <c r="AT103" s="142">
        <f>IFERROR(IF(OR(NOT(ISNUMBER('Price History'!AA104)),NOT(ISNUMBER('Price History'!AA103)),'Price History'!AA103=0),"",'Price History'!AA104/'Price History'!AA103-1),"")</f>
        <v>-2.7685850351118035E-2</v>
      </c>
    </row>
    <row r="104" spans="1:46" ht="15" customHeight="1" x14ac:dyDescent="0.35">
      <c r="A104" s="140">
        <f>IF('Price History'!A105="","",'Price History'!A105)</f>
        <v>45898</v>
      </c>
      <c r="B104" s="141">
        <f>IFERROR(IF(OR(NOT(ISNUMBER('Price History'!B105)),NOT(ISNUMBER('Price History'!B104)),'Price History'!B104=0),"",'Price History'!B105/'Price History'!B104-1),"")</f>
        <v>-1.4885801872462578E-2</v>
      </c>
      <c r="C104" s="141">
        <f>IFERROR(IF(OR(NOT(ISNUMBER('Price History'!C105)),NOT(ISNUMBER('Price History'!C104)),'Price History'!C104=0),"",'Price History'!C105/'Price History'!C104-1),"")</f>
        <v>2.4765478424014997E-2</v>
      </c>
      <c r="D104" s="141">
        <f>IFERROR(IF(OR(NOT(ISNUMBER('Price History'!D105)),NOT(ISNUMBER('Price History'!D104)),'Price History'!D104=0),"",'Price History'!D105/'Price History'!D104-1),"")</f>
        <v>-1.6254416961130835E-2</v>
      </c>
      <c r="E104" s="141">
        <f>IFERROR(IF(OR(NOT(ISNUMBER('Price History'!E105)),NOT(ISNUMBER('Price History'!E104)),'Price History'!E104=0),"",'Price History'!E105/'Price History'!E104-1),"")</f>
        <v>1.1533312738132073E-2</v>
      </c>
      <c r="F104" s="141">
        <f>IFERROR(IF(OR(NOT(ISNUMBER('Price History'!F105)),NOT(ISNUMBER('Price History'!F104)),'Price History'!F104=0),"",'Price History'!F105/'Price History'!F104-1),"")</f>
        <v>7.5137911356286669E-3</v>
      </c>
      <c r="G104" s="141">
        <f>IFERROR(IF(OR(NOT(ISNUMBER('Price History'!G105)),NOT(ISNUMBER('Price History'!G104)),'Price History'!G104=0),"",'Price History'!G105/'Price History'!G104-1),"")</f>
        <v>1.9639556377080147E-3</v>
      </c>
      <c r="H104" s="141">
        <f>IFERROR(IF(OR(NOT(ISNUMBER('Price History'!H105)),NOT(ISNUMBER('Price History'!H104)),'Price History'!H104=0),"",'Price History'!H105/'Price History'!H104-1),"")</f>
        <v>1.132011234998731E-2</v>
      </c>
      <c r="I104" s="141">
        <f>IFERROR(IF(OR(NOT(ISNUMBER('Price History'!I105)),NOT(ISNUMBER('Price History'!I104)),'Price History'!I104=0),"",'Price History'!I105/'Price History'!I104-1),"")</f>
        <v>-2.1402421852999232E-2</v>
      </c>
      <c r="J104" s="141">
        <f>IFERROR(IF(OR(NOT(ISNUMBER('Price History'!J105)),NOT(ISNUMBER('Price History'!J104)),'Price History'!J104=0),"",'Price History'!J105/'Price History'!J104-1),"")</f>
        <v>1.3345690454124259E-2</v>
      </c>
      <c r="K104" s="141">
        <f>IFERROR(IF(OR(NOT(ISNUMBER('Price History'!K105)),NOT(ISNUMBER('Price History'!K104)),'Price History'!K104=0),"",'Price History'!K105/'Price History'!K104-1),"")</f>
        <v>-1.2788207131157914E-2</v>
      </c>
      <c r="L104" s="141">
        <f>IFERROR(IF(OR(NOT(ISNUMBER('Price History'!L105)),NOT(ISNUMBER('Price History'!L104)),'Price History'!L104=0),"",'Price History'!L105/'Price History'!L104-1),"")</f>
        <v>-9.0940736228353192E-3</v>
      </c>
      <c r="M104" s="141">
        <f>IFERROR(IF(OR(NOT(ISNUMBER('Price History'!M105)),NOT(ISNUMBER('Price History'!M104)),'Price History'!M104=0),"",'Price History'!M105/'Price History'!M104-1),"")</f>
        <v>1.2559618441971399E-2</v>
      </c>
      <c r="N104" s="141">
        <f>IFERROR(IF(OR(NOT(ISNUMBER('Price History'!N105)),NOT(ISNUMBER('Price History'!N104)),'Price History'!N104=0),"",'Price History'!N105/'Price History'!N104-1),"")</f>
        <v>-1.0376594452318311E-2</v>
      </c>
      <c r="O104" s="141">
        <f>IFERROR(IF(OR(NOT(ISNUMBER('Price History'!O105)),NOT(ISNUMBER('Price History'!O104)),'Price History'!O104=0),"",'Price History'!O105/'Price History'!O104-1),"")</f>
        <v>8.4292763157893802E-3</v>
      </c>
      <c r="P104" s="141">
        <f>IFERROR(IF(OR(NOT(ISNUMBER('Price History'!P105)),NOT(ISNUMBER('Price History'!P104)),'Price History'!P104=0),"",'Price History'!P105/'Price History'!P104-1),"")</f>
        <v>-2.2045855379189128E-3</v>
      </c>
      <c r="Q104" s="141">
        <f>IFERROR(IF(OR(NOT(ISNUMBER('Price History'!Q105)),NOT(ISNUMBER('Price History'!Q104)),'Price History'!Q104=0),"",'Price History'!Q105/'Price History'!Q104-1),"")</f>
        <v>1.5705983979885652E-4</v>
      </c>
      <c r="R104" s="141">
        <f>IFERROR(IF(OR(NOT(ISNUMBER('Price History'!R105)),NOT(ISNUMBER('Price History'!R104)),'Price History'!R104=0),"",'Price History'!R105/'Price History'!R104-1),"")</f>
        <v>2.0508613617731264E-4</v>
      </c>
      <c r="S104" s="141">
        <f>IFERROR(IF(OR(NOT(ISNUMBER('Price History'!S105)),NOT(ISNUMBER('Price History'!S104)),'Price History'!S104=0),"",'Price History'!S105/'Price History'!S104-1),"")</f>
        <v>-2.6007802340699548E-4</v>
      </c>
      <c r="T104" s="141">
        <f>IFERROR(IF(OR(NOT(ISNUMBER('Price History'!T105)),NOT(ISNUMBER('Price History'!T104)),'Price History'!T104=0),"",'Price History'!T105/'Price History'!T104-1),"")</f>
        <v>9.0634441087615869E-3</v>
      </c>
      <c r="U104" s="141">
        <f>IFERROR(IF(OR(NOT(ISNUMBER('Price History'!U105)),NOT(ISNUMBER('Price History'!U104)),'Price History'!U104=0),"",'Price History'!U105/'Price History'!U104-1),"")</f>
        <v>-1.1214953271028172E-3</v>
      </c>
      <c r="V104" s="142">
        <f>IFERROR(IF(OR(NOT(ISNUMBER('Price History'!V105)),NOT(ISNUMBER('Price History'!V104)),'Price History'!V104=0),"",'Price History'!V105/'Price History'!V104-1),"")</f>
        <v>4.9818579738525326E-3</v>
      </c>
      <c r="W104" s="143">
        <f>IFERROR('Price History'!B3+(INDEX('Price History'!B:B,MATCH(9.99E+307,'Returns (Calc)'!$A:$A)+1)-'Price History'!B3)*(ROW()-3)/(MATCH(9.99E+307,'Returns (Calc)'!$A:$A)-3),"")</f>
        <v>342.74316455696203</v>
      </c>
      <c r="X104" s="143">
        <f>IFERROR('Price History'!C3+(INDEX('Price History'!C:C,MATCH(9.99E+307,'Returns (Calc)'!$A:$A)+1)-'Price History'!C3)*(ROW()-3)/(MATCH(9.99E+307,'Returns (Calc)'!$A:$A)-3),"")</f>
        <v>149.20639240506327</v>
      </c>
      <c r="Y104" s="143">
        <f>IFERROR('Price History'!D3+(INDEX('Price History'!D:D,MATCH(9.99E+307,'Returns (Calc)'!$A:$A)+1)-'Price History'!D3)*(ROW()-3)/(MATCH(9.99E+307,'Returns (Calc)'!$A:$A)-3),"")</f>
        <v>1403.62582278481</v>
      </c>
      <c r="Z104" s="143">
        <f>IFERROR('Price History'!E3+(INDEX('Price History'!E:E,MATCH(9.99E+307,'Returns (Calc)'!$A:$A)+1)-'Price History'!E3)*(ROW()-3)/(MATCH(9.99E+307,'Returns (Calc)'!$A:$A)-3),"")</f>
        <v>256.60215189873418</v>
      </c>
      <c r="AA104" s="143">
        <f>IFERROR('Price History'!F3+(INDEX('Price History'!F:F,MATCH(9.99E+307,'Returns (Calc)'!$A:$A)+1)-'Price History'!F3)*(ROW()-3)/(MATCH(9.99E+307,'Returns (Calc)'!$A:$A)-3),"")</f>
        <v>187.54151898734176</v>
      </c>
      <c r="AB104" s="143">
        <f>IFERROR('Price History'!G3+(INDEX('Price History'!G:G,MATCH(9.99E+307,'Returns (Calc)'!$A:$A)+1)-'Price History'!G3)*(ROW()-3)/(MATCH(9.99E+307,'Returns (Calc)'!$A:$A)-3),"")</f>
        <v>148.25215189873418</v>
      </c>
      <c r="AC104" s="143">
        <f>IFERROR('Price History'!H3+(INDEX('Price History'!H:H,MATCH(9.99E+307,'Returns (Calc)'!$A:$A)+1)-'Price History'!H3)*(ROW()-3)/(MATCH(9.99E+307,'Returns (Calc)'!$A:$A)-3),"")</f>
        <v>712.04531645569625</v>
      </c>
      <c r="AD104" s="143">
        <f>IFERROR('Price History'!I3+(INDEX('Price History'!I:I,MATCH(9.99E+307,'Returns (Calc)'!$A:$A)+1)-'Price History'!I3)*(ROW()-3)/(MATCH(9.99E+307,'Returns (Calc)'!$A:$A)-3),"")</f>
        <v>165.34075949367087</v>
      </c>
      <c r="AE104" s="143">
        <f>IFERROR('Price History'!J3+(INDEX('Price History'!J:J,MATCH(9.99E+307,'Returns (Calc)'!$A:$A)+1)-'Price History'!J3)*(ROW()-3)/(MATCH(9.99E+307,'Returns (Calc)'!$A:$A)-3),"")</f>
        <v>122.75183544303798</v>
      </c>
      <c r="AF104" s="143">
        <f>IFERROR('Price History'!K3+(INDEX('Price History'!K:K,MATCH(9.99E+307,'Returns (Calc)'!$A:$A)+1)-'Price History'!K3)*(ROW()-3)/(MATCH(9.99E+307,'Returns (Calc)'!$A:$A)-3),"")</f>
        <v>126.18708860759493</v>
      </c>
      <c r="AG104" s="143">
        <f>IFERROR('Price History'!L3+(INDEX('Price History'!L:L,MATCH(9.99E+307,'Returns (Calc)'!$A:$A)+1)-'Price History'!L3)*(ROW()-3)/(MATCH(9.99E+307,'Returns (Calc)'!$A:$A)-3),"")</f>
        <v>333.15525316455694</v>
      </c>
      <c r="AH104" s="143">
        <f>IFERROR('Price History'!M3+(INDEX('Price History'!M:M,MATCH(9.99E+307,'Returns (Calc)'!$A:$A)+1)-'Price History'!M3)*(ROW()-3)/(MATCH(9.99E+307,'Returns (Calc)'!$A:$A)-3),"")</f>
        <v>174.91974683544305</v>
      </c>
      <c r="AI104" s="143">
        <f>IFERROR('Price History'!N3+(INDEX('Price History'!N:N,MATCH(9.99E+307,'Returns (Calc)'!$A:$A)+1)-'Price History'!N3)*(ROW()-3)/(MATCH(9.99E+307,'Returns (Calc)'!$A:$A)-3),"")</f>
        <v>448.51284810126583</v>
      </c>
      <c r="AJ104" s="143">
        <f>IFERROR('Price History'!O3+(INDEX('Price History'!O:O,MATCH(9.99E+307,'Returns (Calc)'!$A:$A)+1)-'Price History'!O3)*(ROW()-3)/(MATCH(9.99E+307,'Returns (Calc)'!$A:$A)-3),"")</f>
        <v>103.89683544303799</v>
      </c>
      <c r="AK104" s="143">
        <f>IFERROR('Price History'!Q3+(INDEX('Price History'!Q:Q,MATCH(9.99E+307,'Returns (Calc)'!$A:$A)+1)-'Price History'!Q3)*(ROW()-3)/(MATCH(9.99E+307,'Returns (Calc)'!$A:$A)-3),"")</f>
        <v>44.376075949367092</v>
      </c>
      <c r="AL104" s="143">
        <f>IFERROR('Price History'!R3+(INDEX('Price History'!R:R,MATCH(9.99E+307,'Returns (Calc)'!$A:$A)+1)-'Price History'!R3)*(ROW()-3)/(MATCH(9.99E+307,'Returns (Calc)'!$A:$A)-3),"")</f>
        <v>51.458227848101266</v>
      </c>
      <c r="AM104" s="143">
        <f>IFERROR('Price History'!S3+(INDEX('Price History'!S:S,MATCH(9.99E+307,'Returns (Calc)'!$A:$A)+1)-'Price History'!S3)*(ROW()-3)/(MATCH(9.99E+307,'Returns (Calc)'!$A:$A)-3),"")</f>
        <v>118.74139240506329</v>
      </c>
      <c r="AN104" s="143">
        <f>IFERROR('Price History'!T3+(INDEX('Price History'!T:T,MATCH(9.99E+307,'Returns (Calc)'!$A:$A)+1)-'Price History'!T3)*(ROW()-3)/(MATCH(9.99E+307,'Returns (Calc)'!$A:$A)-3),"")</f>
        <v>42.231012658227854</v>
      </c>
      <c r="AO104" s="144">
        <f>IFERROR('Price History'!V3+(INDEX('Price History'!V:V,MATCH(9.99E+307,'Returns (Calc)'!$A:$A)+1)-'Price History'!V3)*(ROW()-3)/(MATCH(9.99E+307,'Returns (Calc)'!$A:$A)-3),"")</f>
        <v>315.55424050632911</v>
      </c>
      <c r="AP104" s="142">
        <f>IFERROR(IF(OR(NOT(ISNUMBER('Price History'!W105)),NOT(ISNUMBER('Price History'!W104)),'Price History'!W104=0),"",'Price History'!W105/'Price History'!W104-1),"")</f>
        <v>1.4811523365176882E-4</v>
      </c>
      <c r="AQ104" s="142" t="str">
        <f>IFERROR(IF(OR(NOT(ISNUMBER('Price History'!X105)),NOT(ISNUMBER('Price History'!X104)),'Price History'!X104=0),"",'Price History'!X105/'Price History'!X104-1),"")</f>
        <v/>
      </c>
      <c r="AR104" s="142">
        <f>IFERROR(IF(OR(NOT(ISNUMBER('Price History'!Y105)),NOT(ISNUMBER('Price History'!Y104)),'Price History'!Y104=0),"",'Price History'!Y105/'Price History'!Y104-1),"")</f>
        <v>-3.8240917782026429E-3</v>
      </c>
      <c r="AS104" s="142">
        <f>IFERROR(IF(OR(NOT(ISNUMBER('Price History'!Z105)),NOT(ISNUMBER('Price History'!Z104)),'Price History'!Z104=0),"",'Price History'!Z105/'Price History'!Z104-1),"")</f>
        <v>3.2543932423259703E-2</v>
      </c>
      <c r="AT104" s="142">
        <f>IFERROR(IF(OR(NOT(ISNUMBER('Price History'!AA105)),NOT(ISNUMBER('Price History'!AA104)),'Price History'!AA104=0),"",'Price History'!AA105/'Price History'!AA104-1),"")</f>
        <v>2.9885439149925919E-3</v>
      </c>
    </row>
    <row r="105" spans="1:46" ht="15" customHeight="1" x14ac:dyDescent="0.35">
      <c r="A105" s="140">
        <f>IF('Price History'!A106="","",'Price History'!A106)</f>
        <v>45905</v>
      </c>
      <c r="B105" s="141">
        <f>IFERROR(IF(OR(NOT(ISNUMBER('Price History'!B106)),NOT(ISNUMBER('Price History'!B105)),'Price History'!B105=0),"",'Price History'!B106/'Price History'!B105-1),"")</f>
        <v>-2.1670871881132481E-2</v>
      </c>
      <c r="C105" s="141">
        <f>IFERROR(IF(OR(NOT(ISNUMBER('Price History'!C106)),NOT(ISNUMBER('Price History'!C105)),'Price History'!C105=0),"",'Price History'!C106/'Price History'!C105-1),"")</f>
        <v>4.6136946173562565E-2</v>
      </c>
      <c r="D105" s="141">
        <f>IFERROR(IF(OR(NOT(ISNUMBER('Price History'!D106)),NOT(ISNUMBER('Price History'!D105)),'Price History'!D105=0),"",'Price History'!D106/'Price History'!D105-1),"")</f>
        <v>5.2618737800910864E-2</v>
      </c>
      <c r="E105" s="141">
        <f>IFERROR(IF(OR(NOT(ISNUMBER('Price History'!E106)),NOT(ISNUMBER('Price History'!E105)),'Price History'!E105=0),"",'Price History'!E106/'Price History'!E105-1),"")</f>
        <v>0.12609861210085183</v>
      </c>
      <c r="F105" s="141">
        <f>IFERROR(IF(OR(NOT(ISNUMBER('Price History'!F106)),NOT(ISNUMBER('Price History'!F105)),'Price History'!F105=0),"",'Price History'!F106/'Price History'!F105-1),"")</f>
        <v>-1.43490984612481E-2</v>
      </c>
      <c r="G105" s="141">
        <f>IFERROR(IF(OR(NOT(ISNUMBER('Price History'!G106)),NOT(ISNUMBER('Price History'!G105)),'Price History'!G105=0),"",'Price History'!G106/'Price History'!G105-1),"")</f>
        <v>3.7933817594834496E-2</v>
      </c>
      <c r="H105" s="141">
        <f>IFERROR(IF(OR(NOT(ISNUMBER('Price History'!H106)),NOT(ISNUMBER('Price History'!H105)),'Price History'!H105=0),"",'Price History'!H106/'Price History'!H105-1),"")</f>
        <v>0.10385456993772091</v>
      </c>
      <c r="I105" s="141">
        <f>IFERROR(IF(OR(NOT(ISNUMBER('Price History'!I106)),NOT(ISNUMBER('Price History'!I105)),'Price History'!I105=0),"",'Price History'!I106/'Price History'!I105-1),"")</f>
        <v>-4.1093525179855983E-2</v>
      </c>
      <c r="J105" s="141">
        <f>IFERROR(IF(OR(NOT(ISNUMBER('Price History'!J106)),NOT(ISNUMBER('Price History'!J105)),'Price History'!J105=0),"",'Price History'!J106/'Price History'!J105-1),"")</f>
        <v>-1.097494055240622E-3</v>
      </c>
      <c r="K105" s="141">
        <f>IFERROR(IF(OR(NOT(ISNUMBER('Price History'!K106)),NOT(ISNUMBER('Price History'!K105)),'Price History'!K105=0),"",'Price History'!K106/'Price History'!K105-1),"")</f>
        <v>-2.2972369344649302E-2</v>
      </c>
      <c r="L105" s="141">
        <f>IFERROR(IF(OR(NOT(ISNUMBER('Price History'!L106)),NOT(ISNUMBER('Price History'!L105)),'Price History'!L105=0),"",'Price History'!L106/'Price History'!L105-1),"")</f>
        <v>5.4318710753963106E-2</v>
      </c>
      <c r="M105" s="141">
        <f>IFERROR(IF(OR(NOT(ISNUMBER('Price History'!M106)),NOT(ISNUMBER('Price History'!M105)),'Price History'!M105=0),"",'Price History'!M106/'Price History'!M105-1),"")</f>
        <v>-2.7869367247605581E-2</v>
      </c>
      <c r="N105" s="141">
        <f>IFERROR(IF(OR(NOT(ISNUMBER('Price History'!N106)),NOT(ISNUMBER('Price History'!N105)),'Price History'!N105=0),"",'Price History'!N106/'Price History'!N105-1),"")</f>
        <v>1.3042811109406305E-2</v>
      </c>
      <c r="O105" s="141">
        <f>IFERROR(IF(OR(NOT(ISNUMBER('Price History'!O106)),NOT(ISNUMBER('Price History'!O105)),'Price History'!O105=0),"",'Price History'!O106/'Price History'!O105-1),"")</f>
        <v>1.0907237512742141E-2</v>
      </c>
      <c r="P105" s="141">
        <f>IFERROR(IF(OR(NOT(ISNUMBER('Price History'!P106)),NOT(ISNUMBER('Price History'!P105)),'Price History'!P105=0),"",'Price History'!P106/'Price History'!P105-1),"")</f>
        <v>-8.8378258948307309E-4</v>
      </c>
      <c r="Q105" s="141">
        <f>IFERROR(IF(OR(NOT(ISNUMBER('Price History'!Q106)),NOT(ISNUMBER('Price History'!Q105)),'Price History'!Q105=0),"",'Price History'!Q106/'Price History'!Q105-1),"")</f>
        <v>2.1984924623115187E-3</v>
      </c>
      <c r="R105" s="141">
        <f>IFERROR(IF(OR(NOT(ISNUMBER('Price History'!R106)),NOT(ISNUMBER('Price History'!R105)),'Price History'!R105=0),"",'Price History'!R106/'Price History'!R105-1),"")</f>
        <v>9.8421160549517772E-3</v>
      </c>
      <c r="S105" s="141">
        <f>IFERROR(IF(OR(NOT(ISNUMBER('Price History'!S106)),NOT(ISNUMBER('Price History'!S105)),'Price History'!S105=0),"",'Price History'!S106/'Price History'!S105-1),"")</f>
        <v>4.9427679500519961E-3</v>
      </c>
      <c r="T105" s="141">
        <f>IFERROR(IF(OR(NOT(ISNUMBER('Price History'!T106)),NOT(ISNUMBER('Price History'!T105)),'Price History'!T105=0),"",'Price History'!T106/'Price History'!T105-1),"")</f>
        <v>7.6211213935766242E-3</v>
      </c>
      <c r="U105" s="141">
        <f>IFERROR(IF(OR(NOT(ISNUMBER('Price History'!U106)),NOT(ISNUMBER('Price History'!U105)),'Price History'!U105=0),"",'Price History'!U106/'Price History'!U105-1),"")</f>
        <v>-1.010479041916168E-2</v>
      </c>
      <c r="V105" s="142">
        <f>IFERROR(IF(OR(NOT(ISNUMBER('Price History'!V106)),NOT(ISNUMBER('Price History'!V105)),'Price History'!V105=0),"",'Price History'!V106/'Price History'!V105-1),"")</f>
        <v>-2.432734462305508E-2</v>
      </c>
      <c r="W105" s="143">
        <f>IFERROR('Price History'!B3+(INDEX('Price History'!B:B,MATCH(9.99E+307,'Returns (Calc)'!$A:$A)+1)-'Price History'!B3)*(ROW()-3)/(MATCH(9.99E+307,'Returns (Calc)'!$A:$A)-3),"")</f>
        <v>340.90012658227852</v>
      </c>
      <c r="X105" s="143">
        <f>IFERROR('Price History'!C3+(INDEX('Price History'!C:C,MATCH(9.99E+307,'Returns (Calc)'!$A:$A)+1)-'Price History'!C3)*(ROW()-3)/(MATCH(9.99E+307,'Returns (Calc)'!$A:$A)-3),"")</f>
        <v>150.22645569620252</v>
      </c>
      <c r="Y105" s="143">
        <f>IFERROR('Price History'!D3+(INDEX('Price History'!D:D,MATCH(9.99E+307,'Returns (Calc)'!$A:$A)+1)-'Price History'!D3)*(ROW()-3)/(MATCH(9.99E+307,'Returns (Calc)'!$A:$A)-3),"")</f>
        <v>1411.7606329113923</v>
      </c>
      <c r="Z105" s="143">
        <f>IFERROR('Price History'!E3+(INDEX('Price History'!E:E,MATCH(9.99E+307,'Returns (Calc)'!$A:$A)+1)-'Price History'!E3)*(ROW()-3)/(MATCH(9.99E+307,'Returns (Calc)'!$A:$A)-3),"")</f>
        <v>258.33088607594937</v>
      </c>
      <c r="AA105" s="143">
        <f>IFERROR('Price History'!F3+(INDEX('Price History'!F:F,MATCH(9.99E+307,'Returns (Calc)'!$A:$A)+1)-'Price History'!F3)*(ROW()-3)/(MATCH(9.99E+307,'Returns (Calc)'!$A:$A)-3),"")</f>
        <v>188.98886075949366</v>
      </c>
      <c r="AB105" s="143">
        <f>IFERROR('Price History'!G3+(INDEX('Price History'!G:G,MATCH(9.99E+307,'Returns (Calc)'!$A:$A)+1)-'Price History'!G3)*(ROW()-3)/(MATCH(9.99E+307,'Returns (Calc)'!$A:$A)-3),"")</f>
        <v>149.28088607594935</v>
      </c>
      <c r="AC105" s="143">
        <f>IFERROR('Price History'!H3+(INDEX('Price History'!H:H,MATCH(9.99E+307,'Returns (Calc)'!$A:$A)+1)-'Price History'!H3)*(ROW()-3)/(MATCH(9.99E+307,'Returns (Calc)'!$A:$A)-3),"")</f>
        <v>718.41101265822795</v>
      </c>
      <c r="AD105" s="143">
        <f>IFERROR('Price History'!I3+(INDEX('Price History'!I:I,MATCH(9.99E+307,'Returns (Calc)'!$A:$A)+1)-'Price History'!I3)*(ROW()-3)/(MATCH(9.99E+307,'Returns (Calc)'!$A:$A)-3),"")</f>
        <v>166.54443037974681</v>
      </c>
      <c r="AE105" s="143">
        <f>IFERROR('Price History'!J3+(INDEX('Price History'!J:J,MATCH(9.99E+307,'Returns (Calc)'!$A:$A)+1)-'Price History'!J3)*(ROW()-3)/(MATCH(9.99E+307,'Returns (Calc)'!$A:$A)-3),"")</f>
        <v>122.85987341772152</v>
      </c>
      <c r="AF105" s="143">
        <f>IFERROR('Price History'!K3+(INDEX('Price History'!K:K,MATCH(9.99E+307,'Returns (Calc)'!$A:$A)+1)-'Price History'!K3)*(ROW()-3)/(MATCH(9.99E+307,'Returns (Calc)'!$A:$A)-3),"")</f>
        <v>127.2846835443038</v>
      </c>
      <c r="AG105" s="143">
        <f>IFERROR('Price History'!L3+(INDEX('Price History'!L:L,MATCH(9.99E+307,'Returns (Calc)'!$A:$A)+1)-'Price History'!L3)*(ROW()-3)/(MATCH(9.99E+307,'Returns (Calc)'!$A:$A)-3),"")</f>
        <v>335.60481012658227</v>
      </c>
      <c r="AH105" s="143">
        <f>IFERROR('Price History'!M3+(INDEX('Price History'!M:M,MATCH(9.99E+307,'Returns (Calc)'!$A:$A)+1)-'Price History'!M3)*(ROW()-3)/(MATCH(9.99E+307,'Returns (Calc)'!$A:$A)-3),"")</f>
        <v>176.27518987341773</v>
      </c>
      <c r="AI105" s="143">
        <f>IFERROR('Price History'!N3+(INDEX('Price History'!N:N,MATCH(9.99E+307,'Returns (Calc)'!$A:$A)+1)-'Price History'!N3)*(ROW()-3)/(MATCH(9.99E+307,'Returns (Calc)'!$A:$A)-3),"")</f>
        <v>449.49911392405062</v>
      </c>
      <c r="AJ105" s="143">
        <f>IFERROR('Price History'!O3+(INDEX('Price History'!O:O,MATCH(9.99E+307,'Returns (Calc)'!$A:$A)+1)-'Price History'!O3)*(ROW()-3)/(MATCH(9.99E+307,'Returns (Calc)'!$A:$A)-3),"")</f>
        <v>104.17987341772152</v>
      </c>
      <c r="AK105" s="143">
        <f>IFERROR('Price History'!Q3+(INDEX('Price History'!Q:Q,MATCH(9.99E+307,'Returns (Calc)'!$A:$A)+1)-'Price History'!Q3)*(ROW()-3)/(MATCH(9.99E+307,'Returns (Calc)'!$A:$A)-3),"")</f>
        <v>44.815443037974681</v>
      </c>
      <c r="AL105" s="143">
        <f>IFERROR('Price History'!R3+(INDEX('Price History'!R:R,MATCH(9.99E+307,'Returns (Calc)'!$A:$A)+1)-'Price History'!R3)*(ROW()-3)/(MATCH(9.99E+307,'Returns (Calc)'!$A:$A)-3),"")</f>
        <v>51.626329113924051</v>
      </c>
      <c r="AM105" s="143">
        <f>IFERROR('Price History'!S3+(INDEX('Price History'!S:S,MATCH(9.99E+307,'Returns (Calc)'!$A:$A)+1)-'Price History'!S3)*(ROW()-3)/(MATCH(9.99E+307,'Returns (Calc)'!$A:$A)-3),"")</f>
        <v>119.34645569620253</v>
      </c>
      <c r="AN105" s="143">
        <f>IFERROR('Price History'!T3+(INDEX('Price History'!T:T,MATCH(9.99E+307,'Returns (Calc)'!$A:$A)+1)-'Price History'!T3)*(ROW()-3)/(MATCH(9.99E+307,'Returns (Calc)'!$A:$A)-3),"")</f>
        <v>42.399240506329114</v>
      </c>
      <c r="AO105" s="144">
        <f>IFERROR('Price History'!V3+(INDEX('Price History'!V:V,MATCH(9.99E+307,'Returns (Calc)'!$A:$A)+1)-'Price History'!V3)*(ROW()-3)/(MATCH(9.99E+307,'Returns (Calc)'!$A:$A)-3),"")</f>
        <v>316.34556962025317</v>
      </c>
      <c r="AP105" s="142">
        <f>IFERROR(IF(OR(NOT(ISNUMBER('Price History'!W106)),NOT(ISNUMBER('Price History'!W105)),'Price History'!W105=0),"",'Price History'!W106/'Price History'!W105-1),"")</f>
        <v>2.5916327286190644E-3</v>
      </c>
      <c r="AQ105" s="142" t="str">
        <f>IFERROR(IF(OR(NOT(ISNUMBER('Price History'!X106)),NOT(ISNUMBER('Price History'!X105)),'Price History'!X105=0),"",'Price History'!X106/'Price History'!X105-1),"")</f>
        <v/>
      </c>
      <c r="AR105" s="142">
        <f>IFERROR(IF(OR(NOT(ISNUMBER('Price History'!Y106)),NOT(ISNUMBER('Price History'!Y105)),'Price History'!Y105=0),"",'Price History'!Y106/'Price History'!Y105-1),"")</f>
        <v>0</v>
      </c>
      <c r="AS105" s="142">
        <f>IFERROR(IF(OR(NOT(ISNUMBER('Price History'!Z106)),NOT(ISNUMBER('Price History'!Z105)),'Price History'!Z105=0),"",'Price History'!Z106/'Price History'!Z105-1),"")</f>
        <v>1.4645191921405232E-2</v>
      </c>
      <c r="AT105" s="142">
        <f>IFERROR(IF(OR(NOT(ISNUMBER('Price History'!AA106)),NOT(ISNUMBER('Price History'!AA105)),'Price History'!AA105=0),"",'Price History'!AA106/'Price History'!AA105-1),"")</f>
        <v>2.9465320311206744E-2</v>
      </c>
    </row>
    <row r="106" spans="1:46" ht="15" customHeight="1" x14ac:dyDescent="0.35">
      <c r="A106" s="140">
        <f>IF('Price History'!A107="","",'Price History'!A107)</f>
        <v>45912</v>
      </c>
      <c r="B106" s="141">
        <f>IFERROR(IF(OR(NOT(ISNUMBER('Price History'!B107)),NOT(ISNUMBER('Price History'!B106)),'Price History'!B106=0),"",'Price History'!B107/'Price History'!B106-1),"")</f>
        <v>1.1175745766112133E-3</v>
      </c>
      <c r="C106" s="141">
        <f>IFERROR(IF(OR(NOT(ISNUMBER('Price History'!C107)),NOT(ISNUMBER('Price History'!C106)),'Price History'!C106=0),"",'Price History'!C107/'Price History'!C106-1),"")</f>
        <v>-2.4221211060553083E-2</v>
      </c>
      <c r="D106" s="141">
        <f>IFERROR(IF(OR(NOT(ISNUMBER('Price History'!D107)),NOT(ISNUMBER('Price History'!D106)),'Price History'!D106=0),"",'Price History'!D107/'Price History'!D106-1),"")</f>
        <v>4.1154806974168734E-2</v>
      </c>
      <c r="E106" s="141">
        <f>IFERROR(IF(OR(NOT(ISNUMBER('Price History'!E107)),NOT(ISNUMBER('Price History'!E106)),'Price History'!E106=0),"",'Price History'!E107/'Price History'!E106-1),"")</f>
        <v>7.4581889407864921E-2</v>
      </c>
      <c r="F106" s="141">
        <f>IFERROR(IF(OR(NOT(ISNUMBER('Price History'!F107)),NOT(ISNUMBER('Price History'!F106)),'Price History'!F106=0),"",'Price History'!F107/'Price History'!F106-1),"")</f>
        <v>4.4248635188200325E-2</v>
      </c>
      <c r="G106" s="141">
        <f>IFERROR(IF(OR(NOT(ISNUMBER('Price History'!G107)),NOT(ISNUMBER('Price History'!G106)),'Price History'!G106=0),"",'Price History'!G107/'Price History'!G106-1),"")</f>
        <v>6.5096645189957725E-2</v>
      </c>
      <c r="H106" s="141">
        <f>IFERROR(IF(OR(NOT(ISNUMBER('Price History'!H107)),NOT(ISNUMBER('Price History'!H106)),'Price History'!H106=0),"",'Price History'!H107/'Price History'!H106-1),"")</f>
        <v>0.19685879841415055</v>
      </c>
      <c r="I106" s="141">
        <f>IFERROR(IF(OR(NOT(ISNUMBER('Price History'!I107)),NOT(ISNUMBER('Price History'!I106)),'Price History'!I106=0),"",'Price History'!I107/'Price History'!I106-1),"")</f>
        <v>6.4762019086489264E-2</v>
      </c>
      <c r="J106" s="141">
        <f>IFERROR(IF(OR(NOT(ISNUMBER('Price History'!J107)),NOT(ISNUMBER('Price History'!J106)),'Price History'!J106=0),"",'Price History'!J107/'Price History'!J106-1),"")</f>
        <v>1.4924006592199168E-2</v>
      </c>
      <c r="K106" s="141">
        <f>IFERROR(IF(OR(NOT(ISNUMBER('Price History'!K107)),NOT(ISNUMBER('Price History'!K106)),'Price History'!K106=0),"",'Price History'!K107/'Price History'!K106-1),"")</f>
        <v>0.1196525373914179</v>
      </c>
      <c r="L106" s="141">
        <f>IFERROR(IF(OR(NOT(ISNUMBER('Price History'!L107)),NOT(ISNUMBER('Price History'!L106)),'Price History'!L106=0),"",'Price History'!L107/'Price History'!L106-1),"")</f>
        <v>6.5431070387338641E-2</v>
      </c>
      <c r="M106" s="141">
        <f>IFERROR(IF(OR(NOT(ISNUMBER('Price History'!M107)),NOT(ISNUMBER('Price History'!M106)),'Price History'!M106=0),"",'Price History'!M107/'Price History'!M106-1),"")</f>
        <v>8.7458612614067732E-2</v>
      </c>
      <c r="N106" s="141">
        <f>IFERROR(IF(OR(NOT(ISNUMBER('Price History'!N107)),NOT(ISNUMBER('Price History'!N106)),'Price History'!N106=0),"",'Price History'!N107/'Price History'!N106-1),"")</f>
        <v>-4.0139351711603322E-3</v>
      </c>
      <c r="O106" s="141">
        <f>IFERROR(IF(OR(NOT(ISNUMBER('Price History'!O107)),NOT(ISNUMBER('Price History'!O106)),'Price History'!O106=0),"",'Price History'!O107/'Price History'!O106-1),"")</f>
        <v>-7.9661187859232374E-3</v>
      </c>
      <c r="P106" s="141">
        <f>IFERROR(IF(OR(NOT(ISNUMBER('Price History'!P107)),NOT(ISNUMBER('Price History'!P106)),'Price History'!P106=0),"",'Price History'!P107/'Price History'!P106-1),"")</f>
        <v>1.3268465280849018E-3</v>
      </c>
      <c r="Q106" s="141">
        <f>IFERROR(IF(OR(NOT(ISNUMBER('Price History'!Q107)),NOT(ISNUMBER('Price History'!Q106)),'Price History'!Q106=0),"",'Price History'!Q107/'Price History'!Q106-1),"")</f>
        <v>8.4612973989344198E-3</v>
      </c>
      <c r="R106" s="141">
        <f>IFERROR(IF(OR(NOT(ISNUMBER('Price History'!R107)),NOT(ISNUMBER('Price History'!R106)),'Price History'!R106=0),"",'Price History'!R107/'Price History'!R106-1),"")</f>
        <v>1.3604060913705585E-2</v>
      </c>
      <c r="S106" s="141">
        <f>IFERROR(IF(OR(NOT(ISNUMBER('Price History'!S107)),NOT(ISNUMBER('Price History'!S106)),'Price History'!S106=0),"",'Price History'!S107/'Price History'!S106-1),"")</f>
        <v>2.9251876779704977E-2</v>
      </c>
      <c r="T106" s="141">
        <f>IFERROR(IF(OR(NOT(ISNUMBER('Price History'!T107)),NOT(ISNUMBER('Price History'!T106)),'Price History'!T106=0),"",'Price History'!T107/'Price History'!T106-1),"")</f>
        <v>8.103727714747766E-4</v>
      </c>
      <c r="U106" s="141">
        <f>IFERROR(IF(OR(NOT(ISNUMBER('Price History'!U107)),NOT(ISNUMBER('Price History'!U106)),'Price History'!U106=0),"",'Price History'!U107/'Price History'!U106-1),"")</f>
        <v>-5.671077504725841E-3</v>
      </c>
      <c r="V106" s="142">
        <f>IFERROR(IF(OR(NOT(ISNUMBER('Price History'!V107)),NOT(ISNUMBER('Price History'!V106)),'Price History'!V106=0),"",'Price History'!V107/'Price History'!V106-1),"")</f>
        <v>-1.104258443465489E-2</v>
      </c>
      <c r="W106" s="143">
        <f>IFERROR('Price History'!B3+(INDEX('Price History'!B:B,MATCH(9.99E+307,'Returns (Calc)'!$A:$A)+1)-'Price History'!B3)*(ROW()-3)/(MATCH(9.99E+307,'Returns (Calc)'!$A:$A)-3),"")</f>
        <v>339.05708860759489</v>
      </c>
      <c r="X106" s="143">
        <f>IFERROR('Price History'!C3+(INDEX('Price History'!C:C,MATCH(9.99E+307,'Returns (Calc)'!$A:$A)+1)-'Price History'!C3)*(ROW()-3)/(MATCH(9.99E+307,'Returns (Calc)'!$A:$A)-3),"")</f>
        <v>151.24651898734177</v>
      </c>
      <c r="Y106" s="143">
        <f>IFERROR('Price History'!D3+(INDEX('Price History'!D:D,MATCH(9.99E+307,'Returns (Calc)'!$A:$A)+1)-'Price History'!D3)*(ROW()-3)/(MATCH(9.99E+307,'Returns (Calc)'!$A:$A)-3),"")</f>
        <v>1419.8954430379745</v>
      </c>
      <c r="Z106" s="143">
        <f>IFERROR('Price History'!E3+(INDEX('Price History'!E:E,MATCH(9.99E+307,'Returns (Calc)'!$A:$A)+1)-'Price History'!E3)*(ROW()-3)/(MATCH(9.99E+307,'Returns (Calc)'!$A:$A)-3),"")</f>
        <v>260.05962025316455</v>
      </c>
      <c r="AA106" s="143">
        <f>IFERROR('Price History'!F3+(INDEX('Price History'!F:F,MATCH(9.99E+307,'Returns (Calc)'!$A:$A)+1)-'Price History'!F3)*(ROW()-3)/(MATCH(9.99E+307,'Returns (Calc)'!$A:$A)-3),"")</f>
        <v>190.43620253164556</v>
      </c>
      <c r="AB106" s="143">
        <f>IFERROR('Price History'!G3+(INDEX('Price History'!G:G,MATCH(9.99E+307,'Returns (Calc)'!$A:$A)+1)-'Price History'!G3)*(ROW()-3)/(MATCH(9.99E+307,'Returns (Calc)'!$A:$A)-3),"")</f>
        <v>150.30962025316455</v>
      </c>
      <c r="AC106" s="143">
        <f>IFERROR('Price History'!H3+(INDEX('Price History'!H:H,MATCH(9.99E+307,'Returns (Calc)'!$A:$A)+1)-'Price History'!H3)*(ROW()-3)/(MATCH(9.99E+307,'Returns (Calc)'!$A:$A)-3),"")</f>
        <v>724.77670886075953</v>
      </c>
      <c r="AD106" s="143">
        <f>IFERROR('Price History'!I3+(INDEX('Price History'!I:I,MATCH(9.99E+307,'Returns (Calc)'!$A:$A)+1)-'Price History'!I3)*(ROW()-3)/(MATCH(9.99E+307,'Returns (Calc)'!$A:$A)-3),"")</f>
        <v>167.74810126582278</v>
      </c>
      <c r="AE106" s="143">
        <f>IFERROR('Price History'!J3+(INDEX('Price History'!J:J,MATCH(9.99E+307,'Returns (Calc)'!$A:$A)+1)-'Price History'!J3)*(ROW()-3)/(MATCH(9.99E+307,'Returns (Calc)'!$A:$A)-3),"")</f>
        <v>122.96791139240506</v>
      </c>
      <c r="AF106" s="143">
        <f>IFERROR('Price History'!K3+(INDEX('Price History'!K:K,MATCH(9.99E+307,'Returns (Calc)'!$A:$A)+1)-'Price History'!K3)*(ROW()-3)/(MATCH(9.99E+307,'Returns (Calc)'!$A:$A)-3),"")</f>
        <v>128.38227848101266</v>
      </c>
      <c r="AG106" s="143">
        <f>IFERROR('Price History'!L3+(INDEX('Price History'!L:L,MATCH(9.99E+307,'Returns (Calc)'!$A:$A)+1)-'Price History'!L3)*(ROW()-3)/(MATCH(9.99E+307,'Returns (Calc)'!$A:$A)-3),"")</f>
        <v>338.05436708860759</v>
      </c>
      <c r="AH106" s="143">
        <f>IFERROR('Price History'!M3+(INDEX('Price History'!M:M,MATCH(9.99E+307,'Returns (Calc)'!$A:$A)+1)-'Price History'!M3)*(ROW()-3)/(MATCH(9.99E+307,'Returns (Calc)'!$A:$A)-3),"")</f>
        <v>177.63063291139241</v>
      </c>
      <c r="AI106" s="143">
        <f>IFERROR('Price History'!N3+(INDEX('Price History'!N:N,MATCH(9.99E+307,'Returns (Calc)'!$A:$A)+1)-'Price History'!N3)*(ROW()-3)/(MATCH(9.99E+307,'Returns (Calc)'!$A:$A)-3),"")</f>
        <v>450.48537974683546</v>
      </c>
      <c r="AJ106" s="143">
        <f>IFERROR('Price History'!O3+(INDEX('Price History'!O:O,MATCH(9.99E+307,'Returns (Calc)'!$A:$A)+1)-'Price History'!O3)*(ROW()-3)/(MATCH(9.99E+307,'Returns (Calc)'!$A:$A)-3),"")</f>
        <v>104.46291139240506</v>
      </c>
      <c r="AK106" s="143">
        <f>IFERROR('Price History'!Q3+(INDEX('Price History'!Q:Q,MATCH(9.99E+307,'Returns (Calc)'!$A:$A)+1)-'Price History'!Q3)*(ROW()-3)/(MATCH(9.99E+307,'Returns (Calc)'!$A:$A)-3),"")</f>
        <v>45.254810126582278</v>
      </c>
      <c r="AL106" s="143">
        <f>IFERROR('Price History'!R3+(INDEX('Price History'!R:R,MATCH(9.99E+307,'Returns (Calc)'!$A:$A)+1)-'Price History'!R3)*(ROW()-3)/(MATCH(9.99E+307,'Returns (Calc)'!$A:$A)-3),"")</f>
        <v>51.794430379746835</v>
      </c>
      <c r="AM106" s="143">
        <f>IFERROR('Price History'!S3+(INDEX('Price History'!S:S,MATCH(9.99E+307,'Returns (Calc)'!$A:$A)+1)-'Price History'!S3)*(ROW()-3)/(MATCH(9.99E+307,'Returns (Calc)'!$A:$A)-3),"")</f>
        <v>119.95151898734177</v>
      </c>
      <c r="AN106" s="143">
        <f>IFERROR('Price History'!T3+(INDEX('Price History'!T:T,MATCH(9.99E+307,'Returns (Calc)'!$A:$A)+1)-'Price History'!T3)*(ROW()-3)/(MATCH(9.99E+307,'Returns (Calc)'!$A:$A)-3),"")</f>
        <v>42.567468354430375</v>
      </c>
      <c r="AO106" s="144">
        <f>IFERROR('Price History'!V3+(INDEX('Price History'!V:V,MATCH(9.99E+307,'Returns (Calc)'!$A:$A)+1)-'Price History'!V3)*(ROW()-3)/(MATCH(9.99E+307,'Returns (Calc)'!$A:$A)-3),"")</f>
        <v>317.13689873417724</v>
      </c>
      <c r="AP106" s="142">
        <f>IFERROR(IF(OR(NOT(ISNUMBER('Price History'!W107)),NOT(ISNUMBER('Price History'!W106)),'Price History'!W106=0),"",'Price History'!W107/'Price History'!W106-1),"")</f>
        <v>1.314623338257026E-2</v>
      </c>
      <c r="AQ106" s="142" t="str">
        <f>IFERROR(IF(OR(NOT(ISNUMBER('Price History'!X107)),NOT(ISNUMBER('Price History'!X106)),'Price History'!X106=0),"",'Price History'!X107/'Price History'!X106-1),"")</f>
        <v/>
      </c>
      <c r="AR106" s="142">
        <f>IFERROR(IF(OR(NOT(ISNUMBER('Price History'!Y107)),NOT(ISNUMBER('Price History'!Y106)),'Price History'!Y106=0),"",'Price History'!Y107/'Price History'!Y106-1),"")</f>
        <v>2.1113243761996525E-3</v>
      </c>
      <c r="AS106" s="142">
        <f>IFERROR(IF(OR(NOT(ISNUMBER('Price History'!Z107)),NOT(ISNUMBER('Price History'!Z106)),'Price History'!Z106=0),"",'Price History'!Z107/'Price History'!Z106-1),"")</f>
        <v>8.8186595637462784E-3</v>
      </c>
      <c r="AT106" s="142">
        <f>IFERROR(IF(OR(NOT(ISNUMBER('Price History'!AA107)),NOT(ISNUMBER('Price History'!AA106)),'Price History'!AA106=0),"",'Price History'!AA107/'Price History'!AA106-1),"")</f>
        <v>-4.4540922977970632E-2</v>
      </c>
    </row>
    <row r="107" spans="1:46" ht="15" customHeight="1" x14ac:dyDescent="0.35">
      <c r="A107" s="140">
        <f>IF('Price History'!A108="","",'Price History'!A108)</f>
        <v>45919</v>
      </c>
      <c r="B107" s="141">
        <f>IFERROR(IF(OR(NOT(ISNUMBER('Price History'!B108)),NOT(ISNUMBER('Price History'!B107)),'Price History'!B107=0),"",'Price History'!B108/'Price History'!B107-1),"")</f>
        <v>4.734371422028838E-2</v>
      </c>
      <c r="C107" s="141">
        <f>IFERROR(IF(OR(NOT(ISNUMBER('Price History'!C108)),NOT(ISNUMBER('Price History'!C107)),'Price History'!C107=0),"",'Price History'!C108/'Price History'!C107-1),"")</f>
        <v>7.3319463376139149E-2</v>
      </c>
      <c r="D107" s="141">
        <f>IFERROR(IF(OR(NOT(ISNUMBER('Price History'!D108)),NOT(ISNUMBER('Price History'!D107)),'Price History'!D107=0),"",'Price History'!D108/'Price History'!D107-1),"")</f>
        <v>0.14533603779652204</v>
      </c>
      <c r="E107" s="141">
        <f>IFERROR(IF(OR(NOT(ISNUMBER('Price History'!E108)),NOT(ISNUMBER('Price History'!E107)),'Price History'!E107=0),"",'Price History'!E108/'Price History'!E107-1),"")</f>
        <v>-4.1475042063937262E-2</v>
      </c>
      <c r="F107" s="141">
        <f>IFERROR(IF(OR(NOT(ISNUMBER('Price History'!F108)),NOT(ISNUMBER('Price History'!F107)),'Price History'!F107=0),"",'Price History'!F108/'Price History'!F107-1),"")</f>
        <v>0.15234339172704758</v>
      </c>
      <c r="G107" s="141">
        <f>IFERROR(IF(OR(NOT(ISNUMBER('Price History'!G108)),NOT(ISNUMBER('Price History'!G107)),'Price History'!G107=0),"",'Price History'!G108/'Price History'!G107-1),"")</f>
        <v>8.3854818523154018E-2</v>
      </c>
      <c r="H107" s="141">
        <f>IFERROR(IF(OR(NOT(ISNUMBER('Price History'!H108)),NOT(ISNUMBER('Price History'!H107)),'Price History'!H107=0),"",'Price History'!H108/'Price History'!H107-1),"")</f>
        <v>3.4972607975538361E-2</v>
      </c>
      <c r="I107" s="141">
        <f>IFERROR(IF(OR(NOT(ISNUMBER('Price History'!I108)),NOT(ISNUMBER('Price History'!I107)),'Price History'!I107=0),"",'Price History'!I108/'Price History'!I107-1),"")</f>
        <v>-6.4825253664035909E-3</v>
      </c>
      <c r="J107" s="141">
        <f>IFERROR(IF(OR(NOT(ISNUMBER('Price History'!J108)),NOT(ISNUMBER('Price History'!J107)),'Price History'!J107=0),"",'Price History'!J108/'Price History'!J107-1),"")</f>
        <v>-7.2169598556607317E-3</v>
      </c>
      <c r="K107" s="141">
        <f>IFERROR(IF(OR(NOT(ISNUMBER('Price History'!K108)),NOT(ISNUMBER('Price History'!K107)),'Price History'!K107=0),"",'Price History'!K108/'Price History'!K107-1),"")</f>
        <v>6.3932800559995284E-2</v>
      </c>
      <c r="L107" s="141">
        <f>IFERROR(IF(OR(NOT(ISNUMBER('Price History'!L108)),NOT(ISNUMBER('Price History'!L107)),'Price History'!L107=0),"",'Price History'!L108/'Price History'!L107-1),"")</f>
        <v>2.4588561823228217E-2</v>
      </c>
      <c r="M107" s="141">
        <f>IFERROR(IF(OR(NOT(ISNUMBER('Price History'!M108)),NOT(ISNUMBER('Price History'!M107)),'Price History'!M107=0),"",'Price History'!M108/'Price History'!M107-1),"")</f>
        <v>6.5275508688548811E-2</v>
      </c>
      <c r="N107" s="141">
        <f>IFERROR(IF(OR(NOT(ISNUMBER('Price History'!N108)),NOT(ISNUMBER('Price History'!N107)),'Price History'!N107=0),"",'Price History'!N108/'Price History'!N107-1),"")</f>
        <v>-2.8920487668871786E-2</v>
      </c>
      <c r="O107" s="141">
        <f>IFERROR(IF(OR(NOT(ISNUMBER('Price History'!O108)),NOT(ISNUMBER('Price History'!O107)),'Price History'!O107=0),"",'Price History'!O108/'Price History'!O107-1),"")</f>
        <v>5.6922138646067211E-3</v>
      </c>
      <c r="P107" s="141">
        <f>IFERROR(IF(OR(NOT(ISNUMBER('Price History'!P108)),NOT(ISNUMBER('Price History'!P107)),'Price History'!P107=0),"",'Price History'!P108/'Price History'!P107-1),"")</f>
        <v>-2.7974087161366512E-3</v>
      </c>
      <c r="Q107" s="141">
        <f>IFERROR(IF(OR(NOT(ISNUMBER('Price History'!Q108)),NOT(ISNUMBER('Price History'!Q107)),'Price History'!Q107=0),"",'Price History'!Q108/'Price History'!Q107-1),"")</f>
        <v>2.0198881292727844E-3</v>
      </c>
      <c r="R107" s="141">
        <f>IFERROR(IF(OR(NOT(ISNUMBER('Price History'!R108)),NOT(ISNUMBER('Price History'!R107)),'Price History'!R107=0),"",'Price History'!R108/'Price History'!R107-1),"")</f>
        <v>1.1017628205128194E-2</v>
      </c>
      <c r="S107" s="141">
        <f>IFERROR(IF(OR(NOT(ISNUMBER('Price History'!S108)),NOT(ISNUMBER('Price History'!S107)),'Price History'!S107=0),"",'Price History'!S108/'Price History'!S107-1),"")</f>
        <v>1.2072434607645954E-2</v>
      </c>
      <c r="T107" s="141">
        <f>IFERROR(IF(OR(NOT(ISNUMBER('Price History'!T108)),NOT(ISNUMBER('Price History'!T107)),'Price History'!T107=0),"",'Price History'!T108/'Price History'!T107-1),"")</f>
        <v>-1.3495276653170407E-3</v>
      </c>
      <c r="U107" s="141">
        <f>IFERROR(IF(OR(NOT(ISNUMBER('Price History'!U108)),NOT(ISNUMBER('Price History'!U107)),'Price History'!U107=0),"",'Price History'!U108/'Price History'!U107-1),"")</f>
        <v>-5.7034220532320434E-3</v>
      </c>
      <c r="V107" s="142">
        <f>IFERROR(IF(OR(NOT(ISNUMBER('Price History'!V108)),NOT(ISNUMBER('Price History'!V107)),'Price History'!V107=0),"",'Price History'!V108/'Price History'!V107-1),"")</f>
        <v>6.4144443784521776E-3</v>
      </c>
      <c r="W107" s="143">
        <f>IFERROR('Price History'!B3+(INDEX('Price History'!B:B,MATCH(9.99E+307,'Returns (Calc)'!$A:$A)+1)-'Price History'!B3)*(ROW()-3)/(MATCH(9.99E+307,'Returns (Calc)'!$A:$A)-3),"")</f>
        <v>337.21405063291138</v>
      </c>
      <c r="X107" s="143">
        <f>IFERROR('Price History'!C3+(INDEX('Price History'!C:C,MATCH(9.99E+307,'Returns (Calc)'!$A:$A)+1)-'Price History'!C3)*(ROW()-3)/(MATCH(9.99E+307,'Returns (Calc)'!$A:$A)-3),"")</f>
        <v>152.26658227848102</v>
      </c>
      <c r="Y107" s="143">
        <f>IFERROR('Price History'!D3+(INDEX('Price History'!D:D,MATCH(9.99E+307,'Returns (Calc)'!$A:$A)+1)-'Price History'!D3)*(ROW()-3)/(MATCH(9.99E+307,'Returns (Calc)'!$A:$A)-3),"")</f>
        <v>1428.0302531645568</v>
      </c>
      <c r="Z107" s="143">
        <f>IFERROR('Price History'!E3+(INDEX('Price History'!E:E,MATCH(9.99E+307,'Returns (Calc)'!$A:$A)+1)-'Price History'!E3)*(ROW()-3)/(MATCH(9.99E+307,'Returns (Calc)'!$A:$A)-3),"")</f>
        <v>261.78835443037974</v>
      </c>
      <c r="AA107" s="143">
        <f>IFERROR('Price History'!F3+(INDEX('Price History'!F:F,MATCH(9.99E+307,'Returns (Calc)'!$A:$A)+1)-'Price History'!F3)*(ROW()-3)/(MATCH(9.99E+307,'Returns (Calc)'!$A:$A)-3),"")</f>
        <v>191.88354430379746</v>
      </c>
      <c r="AB107" s="143">
        <f>IFERROR('Price History'!G3+(INDEX('Price History'!G:G,MATCH(9.99E+307,'Returns (Calc)'!$A:$A)+1)-'Price History'!G3)*(ROW()-3)/(MATCH(9.99E+307,'Returns (Calc)'!$A:$A)-3),"")</f>
        <v>151.33835443037975</v>
      </c>
      <c r="AC107" s="143">
        <f>IFERROR('Price History'!H3+(INDEX('Price History'!H:H,MATCH(9.99E+307,'Returns (Calc)'!$A:$A)+1)-'Price History'!H3)*(ROW()-3)/(MATCH(9.99E+307,'Returns (Calc)'!$A:$A)-3),"")</f>
        <v>731.14240506329122</v>
      </c>
      <c r="AD107" s="143">
        <f>IFERROR('Price History'!I3+(INDEX('Price History'!I:I,MATCH(9.99E+307,'Returns (Calc)'!$A:$A)+1)-'Price History'!I3)*(ROW()-3)/(MATCH(9.99E+307,'Returns (Calc)'!$A:$A)-3),"")</f>
        <v>168.95177215189872</v>
      </c>
      <c r="AE107" s="143">
        <f>IFERROR('Price History'!J3+(INDEX('Price History'!J:J,MATCH(9.99E+307,'Returns (Calc)'!$A:$A)+1)-'Price History'!J3)*(ROW()-3)/(MATCH(9.99E+307,'Returns (Calc)'!$A:$A)-3),"")</f>
        <v>123.07594936708861</v>
      </c>
      <c r="AF107" s="143">
        <f>IFERROR('Price History'!K3+(INDEX('Price History'!K:K,MATCH(9.99E+307,'Returns (Calc)'!$A:$A)+1)-'Price History'!K3)*(ROW()-3)/(MATCH(9.99E+307,'Returns (Calc)'!$A:$A)-3),"")</f>
        <v>129.47987341772154</v>
      </c>
      <c r="AG107" s="143">
        <f>IFERROR('Price History'!L3+(INDEX('Price History'!L:L,MATCH(9.99E+307,'Returns (Calc)'!$A:$A)+1)-'Price History'!L3)*(ROW()-3)/(MATCH(9.99E+307,'Returns (Calc)'!$A:$A)-3),"")</f>
        <v>340.50392405063292</v>
      </c>
      <c r="AH107" s="143">
        <f>IFERROR('Price History'!M3+(INDEX('Price History'!M:M,MATCH(9.99E+307,'Returns (Calc)'!$A:$A)+1)-'Price History'!M3)*(ROW()-3)/(MATCH(9.99E+307,'Returns (Calc)'!$A:$A)-3),"")</f>
        <v>178.98607594936709</v>
      </c>
      <c r="AI107" s="143">
        <f>IFERROR('Price History'!N3+(INDEX('Price History'!N:N,MATCH(9.99E+307,'Returns (Calc)'!$A:$A)+1)-'Price History'!N3)*(ROW()-3)/(MATCH(9.99E+307,'Returns (Calc)'!$A:$A)-3),"")</f>
        <v>451.47164556962025</v>
      </c>
      <c r="AJ107" s="143">
        <f>IFERROR('Price History'!O3+(INDEX('Price History'!O:O,MATCH(9.99E+307,'Returns (Calc)'!$A:$A)+1)-'Price History'!O3)*(ROW()-3)/(MATCH(9.99E+307,'Returns (Calc)'!$A:$A)-3),"")</f>
        <v>104.74594936708861</v>
      </c>
      <c r="AK107" s="143">
        <f>IFERROR('Price History'!Q3+(INDEX('Price History'!Q:Q,MATCH(9.99E+307,'Returns (Calc)'!$A:$A)+1)-'Price History'!Q3)*(ROW()-3)/(MATCH(9.99E+307,'Returns (Calc)'!$A:$A)-3),"")</f>
        <v>45.694177215189875</v>
      </c>
      <c r="AL107" s="143">
        <f>IFERROR('Price History'!R3+(INDEX('Price History'!R:R,MATCH(9.99E+307,'Returns (Calc)'!$A:$A)+1)-'Price History'!R3)*(ROW()-3)/(MATCH(9.99E+307,'Returns (Calc)'!$A:$A)-3),"")</f>
        <v>51.962531645569619</v>
      </c>
      <c r="AM107" s="143">
        <f>IFERROR('Price History'!S3+(INDEX('Price History'!S:S,MATCH(9.99E+307,'Returns (Calc)'!$A:$A)+1)-'Price History'!S3)*(ROW()-3)/(MATCH(9.99E+307,'Returns (Calc)'!$A:$A)-3),"")</f>
        <v>120.55658227848102</v>
      </c>
      <c r="AN107" s="143">
        <f>IFERROR('Price History'!T3+(INDEX('Price History'!T:T,MATCH(9.99E+307,'Returns (Calc)'!$A:$A)+1)-'Price History'!T3)*(ROW()-3)/(MATCH(9.99E+307,'Returns (Calc)'!$A:$A)-3),"")</f>
        <v>42.735696202531642</v>
      </c>
      <c r="AO107" s="144">
        <f>IFERROR('Price History'!V3+(INDEX('Price History'!V:V,MATCH(9.99E+307,'Returns (Calc)'!$A:$A)+1)-'Price History'!V3)*(ROW()-3)/(MATCH(9.99E+307,'Returns (Calc)'!$A:$A)-3),"")</f>
        <v>317.9282278481013</v>
      </c>
      <c r="AP107" s="142">
        <f>IFERROR(IF(OR(NOT(ISNUMBER('Price History'!W108)),NOT(ISNUMBER('Price History'!W107)),'Price History'!W107=0),"",'Price History'!W108/'Price History'!W107-1),"")</f>
        <v>-5.8317538999863583E-4</v>
      </c>
      <c r="AQ107" s="142" t="str">
        <f>IFERROR(IF(OR(NOT(ISNUMBER('Price History'!X108)),NOT(ISNUMBER('Price History'!X107)),'Price History'!X107=0),"",'Price History'!X108/'Price History'!X107-1),"")</f>
        <v/>
      </c>
      <c r="AR107" s="142">
        <f>IFERROR(IF(OR(NOT(ISNUMBER('Price History'!Y108)),NOT(ISNUMBER('Price History'!Y107)),'Price History'!Y107=0),"",'Price History'!Y108/'Price History'!Y107-1),"")</f>
        <v>-7.6613675541081783E-4</v>
      </c>
      <c r="AS107" s="142">
        <f>IFERROR(IF(OR(NOT(ISNUMBER('Price History'!Z108)),NOT(ISNUMBER('Price History'!Z107)),'Price History'!Z107=0),"",'Price History'!Z108/'Price History'!Z107-1),"")</f>
        <v>6.9040568023691629E-2</v>
      </c>
      <c r="AT107" s="142">
        <f>IFERROR(IF(OR(NOT(ISNUMBER('Price History'!AA108)),NOT(ISNUMBER('Price History'!AA107)),'Price History'!AA107=0),"",'Price History'!AA108/'Price History'!AA107-1),"")</f>
        <v>3.2480646247054823E-2</v>
      </c>
    </row>
    <row r="108" spans="1:46" ht="15" customHeight="1" x14ac:dyDescent="0.35">
      <c r="A108" s="140">
        <f>IF('Price History'!A109="","",'Price History'!A109)</f>
        <v>45926</v>
      </c>
      <c r="B108" s="141">
        <f>IFERROR(IF(OR(NOT(ISNUMBER('Price History'!B109)),NOT(ISNUMBER('Price History'!B108)),'Price History'!B108=0),"",'Price History'!B109/'Price History'!B108-1),"")</f>
        <v>-1.5113418966930747E-2</v>
      </c>
      <c r="C108" s="141">
        <f>IFERROR(IF(OR(NOT(ISNUMBER('Price History'!C109)),NOT(ISNUMBER('Price History'!C108)),'Price History'!C108=0),"",'Price History'!C109/'Price History'!C108-1),"")</f>
        <v>-4.752356125927415E-2</v>
      </c>
      <c r="D108" s="141">
        <f>IFERROR(IF(OR(NOT(ISNUMBER('Price History'!D109)),NOT(ISNUMBER('Price History'!D108)),'Price History'!D108=0),"",'Price History'!D109/'Price History'!D108-1),"")</f>
        <v>2.0776415960261252E-2</v>
      </c>
      <c r="E108" s="141">
        <f>IFERROR(IF(OR(NOT(ISNUMBER('Price History'!E109)),NOT(ISNUMBER('Price History'!E108)),'Price History'!E108=0),"",'Price History'!E109/'Price History'!E108-1),"")</f>
        <v>-2.8524618940346969E-2</v>
      </c>
      <c r="F108" s="141">
        <f>IFERROR(IF(OR(NOT(ISNUMBER('Price History'!F109)),NOT(ISNUMBER('Price History'!F108)),'Price History'!F108=0),"",'Price History'!F109/'Price History'!F108-1),"")</f>
        <v>-4.2024832855778405E-2</v>
      </c>
      <c r="G108" s="141">
        <f>IFERROR(IF(OR(NOT(ISNUMBER('Price History'!G109)),NOT(ISNUMBER('Price History'!G108)),'Price History'!G108=0),"",'Price History'!G109/'Price History'!G108-1),"")</f>
        <v>1.8668206312548064E-2</v>
      </c>
      <c r="H108" s="141">
        <f>IFERROR(IF(OR(NOT(ISNUMBER('Price History'!H109)),NOT(ISNUMBER('Price History'!H108)),'Price History'!H108=0),"",'Price History'!H109/'Price History'!H108-1),"")</f>
        <v>-3.3544654397734908E-2</v>
      </c>
      <c r="I108" s="141">
        <f>IFERROR(IF(OR(NOT(ISNUMBER('Price History'!I109)),NOT(ISNUMBER('Price History'!I108)),'Price History'!I108=0),"",'Price History'!I109/'Price History'!I108-1),"")</f>
        <v>8.5673758865247862E-3</v>
      </c>
      <c r="J108" s="141">
        <f>IFERROR(IF(OR(NOT(ISNUMBER('Price History'!J109)),NOT(ISNUMBER('Price History'!J108)),'Price History'!J108=0),"",'Price History'!J109/'Price History'!J108-1),"")</f>
        <v>5.9972739663789465E-3</v>
      </c>
      <c r="K108" s="141">
        <f>IFERROR(IF(OR(NOT(ISNUMBER('Price History'!K109)),NOT(ISNUMBER('Price History'!K108)),'Price History'!K108=0),"",'Price History'!K109/'Price History'!K108-1),"")</f>
        <v>-2.6426887439004343E-2</v>
      </c>
      <c r="L108" s="141">
        <f>IFERROR(IF(OR(NOT(ISNUMBER('Price History'!L109)),NOT(ISNUMBER('Price History'!L108)),'Price History'!L108=0),"",'Price History'!L109/'Price History'!L108-1),"")</f>
        <v>3.2048836322014385E-2</v>
      </c>
      <c r="M108" s="141">
        <f>IFERROR(IF(OR(NOT(ISNUMBER('Price History'!M109)),NOT(ISNUMBER('Price History'!M108)),'Price History'!M108=0),"",'Price History'!M109/'Price History'!M108-1),"")</f>
        <v>-3.4715928895085346E-2</v>
      </c>
      <c r="N108" s="141">
        <f>IFERROR(IF(OR(NOT(ISNUMBER('Price History'!N109)),NOT(ISNUMBER('Price History'!N108)),'Price History'!N108=0),"",'Price History'!N109/'Price History'!N108-1),"")</f>
        <v>6.8385884318229451E-3</v>
      </c>
      <c r="O108" s="141">
        <f>IFERROR(IF(OR(NOT(ISNUMBER('Price History'!O109)),NOT(ISNUMBER('Price History'!O108)),'Price History'!O108=0),"",'Price History'!O109/'Price History'!O108-1),"")</f>
        <v>3.0321406913280669E-3</v>
      </c>
      <c r="P108" s="141">
        <f>IFERROR(IF(OR(NOT(ISNUMBER('Price History'!P109)),NOT(ISNUMBER('Price History'!P108)),'Price History'!P108=0),"",'Price History'!P109/'Price History'!P108-1),"")</f>
        <v>7.6775431861804133E-3</v>
      </c>
      <c r="Q108" s="141">
        <f>IFERROR(IF(OR(NOT(ISNUMBER('Price History'!Q109)),NOT(ISNUMBER('Price History'!Q108)),'Price History'!Q108=0),"",'Price History'!Q109/'Price History'!Q108-1),"")</f>
        <v>3.1012560086840502E-4</v>
      </c>
      <c r="R108" s="141">
        <f>IFERROR(IF(OR(NOT(ISNUMBER('Price History'!R109)),NOT(ISNUMBER('Price History'!R108)),'Price History'!R108=0),"",'Price History'!R109/'Price History'!R108-1),"")</f>
        <v>1.5851000594411246E-3</v>
      </c>
      <c r="S108" s="141">
        <f>IFERROR(IF(OR(NOT(ISNUMBER('Price History'!S109)),NOT(ISNUMBER('Price History'!S108)),'Price History'!S108=0),"",'Price History'!S109/'Price History'!S108-1),"")</f>
        <v>-9.52617627567931E-3</v>
      </c>
      <c r="T108" s="141">
        <f>IFERROR(IF(OR(NOT(ISNUMBER('Price History'!T109)),NOT(ISNUMBER('Price History'!T108)),'Price History'!T108=0),"",'Price History'!T109/'Price History'!T108-1),"")</f>
        <v>7.8378378378378688E-3</v>
      </c>
      <c r="U108" s="141">
        <f>IFERROR(IF(OR(NOT(ISNUMBER('Price History'!U109)),NOT(ISNUMBER('Price History'!U108)),'Price History'!U108=0),"",'Price History'!U109/'Price History'!U108-1),"")</f>
        <v>5.3537284894837889E-3</v>
      </c>
      <c r="V108" s="142">
        <f>IFERROR(IF(OR(NOT(ISNUMBER('Price History'!V109)),NOT(ISNUMBER('Price History'!V108)),'Price History'!V108=0),"",'Price History'!V109/'Price History'!V108-1),"")</f>
        <v>-1.2422543523163077E-2</v>
      </c>
      <c r="W108" s="143">
        <f>IFERROR('Price History'!B3+(INDEX('Price History'!B:B,MATCH(9.99E+307,'Returns (Calc)'!$A:$A)+1)-'Price History'!B3)*(ROW()-3)/(MATCH(9.99E+307,'Returns (Calc)'!$A:$A)-3),"")</f>
        <v>335.37101265822787</v>
      </c>
      <c r="X108" s="143">
        <f>IFERROR('Price History'!C3+(INDEX('Price History'!C:C,MATCH(9.99E+307,'Returns (Calc)'!$A:$A)+1)-'Price History'!C3)*(ROW()-3)/(MATCH(9.99E+307,'Returns (Calc)'!$A:$A)-3),"")</f>
        <v>153.28664556962025</v>
      </c>
      <c r="Y108" s="143">
        <f>IFERROR('Price History'!D3+(INDEX('Price History'!D:D,MATCH(9.99E+307,'Returns (Calc)'!$A:$A)+1)-'Price History'!D3)*(ROW()-3)/(MATCH(9.99E+307,'Returns (Calc)'!$A:$A)-3),"")</f>
        <v>1436.1650632911392</v>
      </c>
      <c r="Z108" s="143">
        <f>IFERROR('Price History'!E3+(INDEX('Price History'!E:E,MATCH(9.99E+307,'Returns (Calc)'!$A:$A)+1)-'Price History'!E3)*(ROW()-3)/(MATCH(9.99E+307,'Returns (Calc)'!$A:$A)-3),"")</f>
        <v>263.51708860759493</v>
      </c>
      <c r="AA108" s="143">
        <f>IFERROR('Price History'!F3+(INDEX('Price History'!F:F,MATCH(9.99E+307,'Returns (Calc)'!$A:$A)+1)-'Price History'!F3)*(ROW()-3)/(MATCH(9.99E+307,'Returns (Calc)'!$A:$A)-3),"")</f>
        <v>193.33088607594937</v>
      </c>
      <c r="AB108" s="143">
        <f>IFERROR('Price History'!G3+(INDEX('Price History'!G:G,MATCH(9.99E+307,'Returns (Calc)'!$A:$A)+1)-'Price History'!G3)*(ROW()-3)/(MATCH(9.99E+307,'Returns (Calc)'!$A:$A)-3),"")</f>
        <v>152.36708860759495</v>
      </c>
      <c r="AC108" s="143">
        <f>IFERROR('Price History'!H3+(INDEX('Price History'!H:H,MATCH(9.99E+307,'Returns (Calc)'!$A:$A)+1)-'Price History'!H3)*(ROW()-3)/(MATCH(9.99E+307,'Returns (Calc)'!$A:$A)-3),"")</f>
        <v>737.5081012658228</v>
      </c>
      <c r="AD108" s="143">
        <f>IFERROR('Price History'!I3+(INDEX('Price History'!I:I,MATCH(9.99E+307,'Returns (Calc)'!$A:$A)+1)-'Price History'!I3)*(ROW()-3)/(MATCH(9.99E+307,'Returns (Calc)'!$A:$A)-3),"")</f>
        <v>170.15544303797466</v>
      </c>
      <c r="AE108" s="143">
        <f>IFERROR('Price History'!J3+(INDEX('Price History'!J:J,MATCH(9.99E+307,'Returns (Calc)'!$A:$A)+1)-'Price History'!J3)*(ROW()-3)/(MATCH(9.99E+307,'Returns (Calc)'!$A:$A)-3),"")</f>
        <v>123.18398734177215</v>
      </c>
      <c r="AF108" s="143">
        <f>IFERROR('Price History'!K3+(INDEX('Price History'!K:K,MATCH(9.99E+307,'Returns (Calc)'!$A:$A)+1)-'Price History'!K3)*(ROW()-3)/(MATCH(9.99E+307,'Returns (Calc)'!$A:$A)-3),"")</f>
        <v>130.57746835443038</v>
      </c>
      <c r="AG108" s="143">
        <f>IFERROR('Price History'!L3+(INDEX('Price History'!L:L,MATCH(9.99E+307,'Returns (Calc)'!$A:$A)+1)-'Price History'!L3)*(ROW()-3)/(MATCH(9.99E+307,'Returns (Calc)'!$A:$A)-3),"")</f>
        <v>342.95348101265819</v>
      </c>
      <c r="AH108" s="143">
        <f>IFERROR('Price History'!M3+(INDEX('Price History'!M:M,MATCH(9.99E+307,'Returns (Calc)'!$A:$A)+1)-'Price History'!M3)*(ROW()-3)/(MATCH(9.99E+307,'Returns (Calc)'!$A:$A)-3),"")</f>
        <v>180.34151898734177</v>
      </c>
      <c r="AI108" s="143">
        <f>IFERROR('Price History'!N3+(INDEX('Price History'!N:N,MATCH(9.99E+307,'Returns (Calc)'!$A:$A)+1)-'Price History'!N3)*(ROW()-3)/(MATCH(9.99E+307,'Returns (Calc)'!$A:$A)-3),"")</f>
        <v>452.45791139240509</v>
      </c>
      <c r="AJ108" s="143">
        <f>IFERROR('Price History'!O3+(INDEX('Price History'!O:O,MATCH(9.99E+307,'Returns (Calc)'!$A:$A)+1)-'Price History'!O3)*(ROW()-3)/(MATCH(9.99E+307,'Returns (Calc)'!$A:$A)-3),"")</f>
        <v>105.02898734177215</v>
      </c>
      <c r="AK108" s="143">
        <f>IFERROR('Price History'!Q3+(INDEX('Price History'!Q:Q,MATCH(9.99E+307,'Returns (Calc)'!$A:$A)+1)-'Price History'!Q3)*(ROW()-3)/(MATCH(9.99E+307,'Returns (Calc)'!$A:$A)-3),"")</f>
        <v>46.133544303797471</v>
      </c>
      <c r="AL108" s="143">
        <f>IFERROR('Price History'!R3+(INDEX('Price History'!R:R,MATCH(9.99E+307,'Returns (Calc)'!$A:$A)+1)-'Price History'!R3)*(ROW()-3)/(MATCH(9.99E+307,'Returns (Calc)'!$A:$A)-3),"")</f>
        <v>52.130632911392404</v>
      </c>
      <c r="AM108" s="143">
        <f>IFERROR('Price History'!S3+(INDEX('Price History'!S:S,MATCH(9.99E+307,'Returns (Calc)'!$A:$A)+1)-'Price History'!S3)*(ROW()-3)/(MATCH(9.99E+307,'Returns (Calc)'!$A:$A)-3),"")</f>
        <v>121.16164556962025</v>
      </c>
      <c r="AN108" s="143">
        <f>IFERROR('Price History'!T3+(INDEX('Price History'!T:T,MATCH(9.99E+307,'Returns (Calc)'!$A:$A)+1)-'Price History'!T3)*(ROW()-3)/(MATCH(9.99E+307,'Returns (Calc)'!$A:$A)-3),"")</f>
        <v>42.903924050632909</v>
      </c>
      <c r="AO108" s="144">
        <f>IFERROR('Price History'!V3+(INDEX('Price History'!V:V,MATCH(9.99E+307,'Returns (Calc)'!$A:$A)+1)-'Price History'!V3)*(ROW()-3)/(MATCH(9.99E+307,'Returns (Calc)'!$A:$A)-3),"")</f>
        <v>318.71955696202531</v>
      </c>
      <c r="AP108" s="142">
        <f>IFERROR(IF(OR(NOT(ISNUMBER('Price History'!W109)),NOT(ISNUMBER('Price History'!W108)),'Price History'!W108=0),"",'Price History'!W109/'Price History'!W108-1),"")</f>
        <v>2.3340627279357928E-3</v>
      </c>
      <c r="AQ108" s="142" t="str">
        <f>IFERROR(IF(OR(NOT(ISNUMBER('Price History'!X109)),NOT(ISNUMBER('Price History'!X108)),'Price History'!X108=0),"",'Price History'!X109/'Price History'!X108-1),"")</f>
        <v/>
      </c>
      <c r="AR108" s="142">
        <f>IFERROR(IF(OR(NOT(ISNUMBER('Price History'!Y109)),NOT(ISNUMBER('Price History'!Y108)),'Price History'!Y108=0),"",'Price History'!Y109/'Price History'!Y108-1),"")</f>
        <v>1.3417672992142027E-3</v>
      </c>
      <c r="AS108" s="142">
        <f>IFERROR(IF(OR(NOT(ISNUMBER('Price History'!Z109)),NOT(ISNUMBER('Price History'!Z108)),'Price History'!Z108=0),"",'Price History'!Z109/'Price History'!Z108-1),"")</f>
        <v>-2.0459248381282991E-2</v>
      </c>
      <c r="AT108" s="142">
        <f>IFERROR(IF(OR(NOT(ISNUMBER('Price History'!AA109)),NOT(ISNUMBER('Price History'!AA108)),'Price History'!AA108=0),"",'Price History'!AA109/'Price History'!AA108-1),"")</f>
        <v>-1.3365933170334188E-2</v>
      </c>
    </row>
    <row r="109" spans="1:46" ht="15" customHeight="1" x14ac:dyDescent="0.35">
      <c r="A109" s="140">
        <f>IF('Price History'!A110="","",'Price History'!A110)</f>
        <v>45933</v>
      </c>
      <c r="B109" s="141">
        <f>IFERROR(IF(OR(NOT(ISNUMBER('Price History'!B110)),NOT(ISNUMBER('Price History'!B109)),'Price History'!B109=0),"",'Price History'!B110/'Price History'!B109-1),"")</f>
        <v>-3.782223825512665E-2</v>
      </c>
      <c r="C109" s="141">
        <f>IFERROR(IF(OR(NOT(ISNUMBER('Price History'!C110)),NOT(ISNUMBER('Price History'!C109)),'Price History'!C109=0),"",'Price History'!C110/'Price History'!C109-1),"")</f>
        <v>2.1052631578947434E-2</v>
      </c>
      <c r="D109" s="141">
        <f>IFERROR(IF(OR(NOT(ISNUMBER('Price History'!D110)),NOT(ISNUMBER('Price History'!D109)),'Price History'!D109=0),"",'Price History'!D110/'Price History'!D109-1),"")</f>
        <v>8.482053126553768E-2</v>
      </c>
      <c r="E109" s="141">
        <f>IFERROR(IF(OR(NOT(ISNUMBER('Price History'!E110)),NOT(ISNUMBER('Price History'!E109)),'Price History'!E109=0),"",'Price History'!E110/'Price History'!E109-1),"")</f>
        <v>1.1473830030717336E-2</v>
      </c>
      <c r="F109" s="141">
        <f>IFERROR(IF(OR(NOT(ISNUMBER('Price History'!F110)),NOT(ISNUMBER('Price History'!F109)),'Price History'!F109=0),"",'Price History'!F110/'Price History'!F109-1),"")</f>
        <v>1.7530741110003412E-2</v>
      </c>
      <c r="G109" s="141">
        <f>IFERROR(IF(OR(NOT(ISNUMBER('Price History'!G110)),NOT(ISNUMBER('Price History'!G109)),'Price History'!G109=0),"",'Price History'!G110/'Price History'!G109-1),"")</f>
        <v>3.4951823162667761E-2</v>
      </c>
      <c r="H109" s="141">
        <f>IFERROR(IF(OR(NOT(ISNUMBER('Price History'!H110)),NOT(ISNUMBER('Price History'!H109)),'Price History'!H109=0),"",'Price History'!H110/'Price History'!H109-1),"")</f>
        <v>0.19507069163163915</v>
      </c>
      <c r="I109" s="141">
        <f>IFERROR(IF(OR(NOT(ISNUMBER('Price History'!I110)),NOT(ISNUMBER('Price History'!I109)),'Price History'!I109=0),"",'Price History'!I110/'Price History'!I109-1),"")</f>
        <v>5.2936543654365398E-2</v>
      </c>
      <c r="J109" s="141">
        <f>IFERROR(IF(OR(NOT(ISNUMBER('Price History'!J110)),NOT(ISNUMBER('Price History'!J109)),'Price History'!J109=0),"",'Price History'!J110/'Price History'!J109-1),"")</f>
        <v>2.520097552163314E-2</v>
      </c>
      <c r="K109" s="141">
        <f>IFERROR(IF(OR(NOT(ISNUMBER('Price History'!K110)),NOT(ISNUMBER('Price History'!K109)),'Price History'!K109=0),"",'Price History'!K110/'Price History'!K109-1),"")</f>
        <v>-2.5342118601115016E-2</v>
      </c>
      <c r="L109" s="141">
        <f>IFERROR(IF(OR(NOT(ISNUMBER('Price History'!L110)),NOT(ISNUMBER('Price History'!L109)),'Price History'!L109=0),"",'Price History'!L110/'Price History'!L109-1),"")</f>
        <v>6.8872458410351278E-2</v>
      </c>
      <c r="M109" s="141">
        <f>IFERROR(IF(OR(NOT(ISNUMBER('Price History'!M110)),NOT(ISNUMBER('Price History'!M109)),'Price History'!M109=0),"",'Price History'!M110/'Price History'!M109-1),"")</f>
        <v>0.15570159601357703</v>
      </c>
      <c r="N109" s="141">
        <f>IFERROR(IF(OR(NOT(ISNUMBER('Price History'!N110)),NOT(ISNUMBER('Price History'!N109)),'Price History'!N109=0),"",'Price History'!N110/'Price History'!N109-1),"")</f>
        <v>4.552289106652152E-2</v>
      </c>
      <c r="O109" s="141">
        <f>IFERROR(IF(OR(NOT(ISNUMBER('Price History'!O110)),NOT(ISNUMBER('Price History'!O109)),'Price History'!O109=0),"",'Price History'!O110/'Price History'!O109-1),"")</f>
        <v>1.108424022571608E-3</v>
      </c>
      <c r="P109" s="141">
        <f>IFERROR(IF(OR(NOT(ISNUMBER('Price History'!P110)),NOT(ISNUMBER('Price History'!P109)),'Price History'!P109=0),"",'Price History'!P110/'Price History'!P109-1),"")</f>
        <v>1.2380952380952381E-2</v>
      </c>
      <c r="Q109" s="141">
        <f>IFERROR(IF(OR(NOT(ISNUMBER('Price History'!Q110)),NOT(ISNUMBER('Price History'!Q109)),'Price History'!Q109=0),"",'Price History'!Q110/'Price History'!Q109-1),"")</f>
        <v>3.2553092543790019E-3</v>
      </c>
      <c r="R109" s="141">
        <f>IFERROR(IF(OR(NOT(ISNUMBER('Price History'!R110)),NOT(ISNUMBER('Price History'!R109)),'Price History'!R109=0),"",'Price History'!R110/'Price History'!R109-1),"")</f>
        <v>8.3086053412462224E-3</v>
      </c>
      <c r="S109" s="141">
        <f>IFERROR(IF(OR(NOT(ISNUMBER('Price History'!S110)),NOT(ISNUMBER('Price History'!S109)),'Price History'!S109=0),"",'Price History'!S110/'Price History'!S109-1),"")</f>
        <v>-4.0980178974658887E-3</v>
      </c>
      <c r="T109" s="141">
        <f>IFERROR(IF(OR(NOT(ISNUMBER('Price History'!T110)),NOT(ISNUMBER('Price History'!T109)),'Price History'!T109=0),"",'Price History'!T110/'Price History'!T109-1),"")</f>
        <v>3.4861893268973709E-3</v>
      </c>
      <c r="U109" s="141">
        <f>IFERROR(IF(OR(NOT(ISNUMBER('Price History'!U110)),NOT(ISNUMBER('Price History'!U109)),'Price History'!U109=0),"",'Price History'!U110/'Price History'!U109-1),"")</f>
        <v>7.2270825408902173E-3</v>
      </c>
      <c r="V109" s="142">
        <f>IFERROR(IF(OR(NOT(ISNUMBER('Price History'!V110)),NOT(ISNUMBER('Price History'!V109)),'Price History'!V109=0),"",'Price History'!V110/'Price History'!V109-1),"")</f>
        <v>3.6959574531656214E-2</v>
      </c>
      <c r="W109" s="143">
        <f>IFERROR('Price History'!B3+(INDEX('Price History'!B:B,MATCH(9.99E+307,'Returns (Calc)'!$A:$A)+1)-'Price History'!B3)*(ROW()-3)/(MATCH(9.99E+307,'Returns (Calc)'!$A:$A)-3),"")</f>
        <v>333.5279746835443</v>
      </c>
      <c r="X109" s="143">
        <f>IFERROR('Price History'!C3+(INDEX('Price History'!C:C,MATCH(9.99E+307,'Returns (Calc)'!$A:$A)+1)-'Price History'!C3)*(ROW()-3)/(MATCH(9.99E+307,'Returns (Calc)'!$A:$A)-3),"")</f>
        <v>154.3067088607595</v>
      </c>
      <c r="Y109" s="143">
        <f>IFERROR('Price History'!D3+(INDEX('Price History'!D:D,MATCH(9.99E+307,'Returns (Calc)'!$A:$A)+1)-'Price History'!D3)*(ROW()-3)/(MATCH(9.99E+307,'Returns (Calc)'!$A:$A)-3),"")</f>
        <v>1444.2998734177213</v>
      </c>
      <c r="Z109" s="143">
        <f>IFERROR('Price History'!E3+(INDEX('Price History'!E:E,MATCH(9.99E+307,'Returns (Calc)'!$A:$A)+1)-'Price History'!E3)*(ROW()-3)/(MATCH(9.99E+307,'Returns (Calc)'!$A:$A)-3),"")</f>
        <v>265.24582278481012</v>
      </c>
      <c r="AA109" s="143">
        <f>IFERROR('Price History'!F3+(INDEX('Price History'!F:F,MATCH(9.99E+307,'Returns (Calc)'!$A:$A)+1)-'Price History'!F3)*(ROW()-3)/(MATCH(9.99E+307,'Returns (Calc)'!$A:$A)-3),"")</f>
        <v>194.77822784810127</v>
      </c>
      <c r="AB109" s="143">
        <f>IFERROR('Price History'!G3+(INDEX('Price History'!G:G,MATCH(9.99E+307,'Returns (Calc)'!$A:$A)+1)-'Price History'!G3)*(ROW()-3)/(MATCH(9.99E+307,'Returns (Calc)'!$A:$A)-3),"")</f>
        <v>153.39582278481012</v>
      </c>
      <c r="AC109" s="143">
        <f>IFERROR('Price History'!H3+(INDEX('Price History'!H:H,MATCH(9.99E+307,'Returns (Calc)'!$A:$A)+1)-'Price History'!H3)*(ROW()-3)/(MATCH(9.99E+307,'Returns (Calc)'!$A:$A)-3),"")</f>
        <v>743.8737974683545</v>
      </c>
      <c r="AD109" s="143">
        <f>IFERROR('Price History'!I3+(INDEX('Price History'!I:I,MATCH(9.99E+307,'Returns (Calc)'!$A:$A)+1)-'Price History'!I3)*(ROW()-3)/(MATCH(9.99E+307,'Returns (Calc)'!$A:$A)-3),"")</f>
        <v>171.35911392405063</v>
      </c>
      <c r="AE109" s="143">
        <f>IFERROR('Price History'!J3+(INDEX('Price History'!J:J,MATCH(9.99E+307,'Returns (Calc)'!$A:$A)+1)-'Price History'!J3)*(ROW()-3)/(MATCH(9.99E+307,'Returns (Calc)'!$A:$A)-3),"")</f>
        <v>123.29202531645569</v>
      </c>
      <c r="AF109" s="143">
        <f>IFERROR('Price History'!K3+(INDEX('Price History'!K:K,MATCH(9.99E+307,'Returns (Calc)'!$A:$A)+1)-'Price History'!K3)*(ROW()-3)/(MATCH(9.99E+307,'Returns (Calc)'!$A:$A)-3),"")</f>
        <v>131.67506329113925</v>
      </c>
      <c r="AG109" s="143">
        <f>IFERROR('Price History'!L3+(INDEX('Price History'!L:L,MATCH(9.99E+307,'Returns (Calc)'!$A:$A)+1)-'Price History'!L3)*(ROW()-3)/(MATCH(9.99E+307,'Returns (Calc)'!$A:$A)-3),"")</f>
        <v>345.40303797468357</v>
      </c>
      <c r="AH109" s="143">
        <f>IFERROR('Price History'!M3+(INDEX('Price History'!M:M,MATCH(9.99E+307,'Returns (Calc)'!$A:$A)+1)-'Price History'!M3)*(ROW()-3)/(MATCH(9.99E+307,'Returns (Calc)'!$A:$A)-3),"")</f>
        <v>181.69696202531645</v>
      </c>
      <c r="AI109" s="143">
        <f>IFERROR('Price History'!N3+(INDEX('Price History'!N:N,MATCH(9.99E+307,'Returns (Calc)'!$A:$A)+1)-'Price History'!N3)*(ROW()-3)/(MATCH(9.99E+307,'Returns (Calc)'!$A:$A)-3),"")</f>
        <v>453.44417721518988</v>
      </c>
      <c r="AJ109" s="143">
        <f>IFERROR('Price History'!O3+(INDEX('Price History'!O:O,MATCH(9.99E+307,'Returns (Calc)'!$A:$A)+1)-'Price History'!O3)*(ROW()-3)/(MATCH(9.99E+307,'Returns (Calc)'!$A:$A)-3),"")</f>
        <v>105.3120253164557</v>
      </c>
      <c r="AK109" s="143">
        <f>IFERROR('Price History'!Q3+(INDEX('Price History'!Q:Q,MATCH(9.99E+307,'Returns (Calc)'!$A:$A)+1)-'Price History'!Q3)*(ROW()-3)/(MATCH(9.99E+307,'Returns (Calc)'!$A:$A)-3),"")</f>
        <v>46.572911392405068</v>
      </c>
      <c r="AL109" s="143">
        <f>IFERROR('Price History'!R3+(INDEX('Price History'!R:R,MATCH(9.99E+307,'Returns (Calc)'!$A:$A)+1)-'Price History'!R3)*(ROW()-3)/(MATCH(9.99E+307,'Returns (Calc)'!$A:$A)-3),"")</f>
        <v>52.298734177215188</v>
      </c>
      <c r="AM109" s="143">
        <f>IFERROR('Price History'!S3+(INDEX('Price History'!S:S,MATCH(9.99E+307,'Returns (Calc)'!$A:$A)+1)-'Price History'!S3)*(ROW()-3)/(MATCH(9.99E+307,'Returns (Calc)'!$A:$A)-3),"")</f>
        <v>121.76670886075948</v>
      </c>
      <c r="AN109" s="143">
        <f>IFERROR('Price History'!T3+(INDEX('Price History'!T:T,MATCH(9.99E+307,'Returns (Calc)'!$A:$A)+1)-'Price History'!T3)*(ROW()-3)/(MATCH(9.99E+307,'Returns (Calc)'!$A:$A)-3),"")</f>
        <v>43.072151898734177</v>
      </c>
      <c r="AO109" s="144">
        <f>IFERROR('Price History'!V3+(INDEX('Price History'!V:V,MATCH(9.99E+307,'Returns (Calc)'!$A:$A)+1)-'Price History'!V3)*(ROW()-3)/(MATCH(9.99E+307,'Returns (Calc)'!$A:$A)-3),"")</f>
        <v>319.51088607594937</v>
      </c>
      <c r="AP109" s="142">
        <f>IFERROR(IF(OR(NOT(ISNUMBER('Price History'!W110)),NOT(ISNUMBER('Price History'!W109)),'Price History'!W109=0),"",'Price History'!W110/'Price History'!W109-1),"")</f>
        <v>5.4577208557706758E-3</v>
      </c>
      <c r="AQ109" s="142" t="str">
        <f>IFERROR(IF(OR(NOT(ISNUMBER('Price History'!X110)),NOT(ISNUMBER('Price History'!X109)),'Price History'!X109=0),"",'Price History'!X110/'Price History'!X109-1),"")</f>
        <v/>
      </c>
      <c r="AR109" s="142">
        <f>IFERROR(IF(OR(NOT(ISNUMBER('Price History'!Y110)),NOT(ISNUMBER('Price History'!Y109)),'Price History'!Y109=0),"",'Price History'!Y110/'Price History'!Y109-1),"")</f>
        <v>8.0398162327717237E-3</v>
      </c>
      <c r="AS109" s="142">
        <f>IFERROR(IF(OR(NOT(ISNUMBER('Price History'!Z110)),NOT(ISNUMBER('Price History'!Z109)),'Price History'!Z109=0),"",'Price History'!Z110/'Price History'!Z109-1),"")</f>
        <v>8.0752325462536412E-3</v>
      </c>
      <c r="AT109" s="142">
        <f>IFERROR(IF(OR(NOT(ISNUMBER('Price History'!AA110)),NOT(ISNUMBER('Price History'!AA109)),'Price History'!AA109=0),"",'Price History'!AA110/'Price History'!AA109-1),"")</f>
        <v>-4.73319015364283E-2</v>
      </c>
    </row>
    <row r="110" spans="1:46" ht="15" customHeight="1" x14ac:dyDescent="0.35">
      <c r="A110" s="140">
        <f>IF('Price History'!A111="","",'Price History'!A111)</f>
        <v>45940</v>
      </c>
      <c r="B110" s="141">
        <f>IFERROR(IF(OR(NOT(ISNUMBER('Price History'!B111)),NOT(ISNUMBER('Price History'!B110)),'Price History'!B110=0),"",'Price History'!B111/'Price History'!B110-1),"")</f>
        <v>-2.6619368979639013E-2</v>
      </c>
      <c r="C110" s="141">
        <f>IFERROR(IF(OR(NOT(ISNUMBER('Price History'!C111)),NOT(ISNUMBER('Price History'!C110)),'Price History'!C110=0),"",'Price History'!C111/'Price History'!C110-1),"")</f>
        <v>5.9106529209622005E-2</v>
      </c>
      <c r="D110" s="141">
        <f>IFERROR(IF(OR(NOT(ISNUMBER('Price History'!D111)),NOT(ISNUMBER('Price History'!D110)),'Price History'!D110=0),"",'Price History'!D111/'Price History'!D110-1),"")</f>
        <v>-9.304026446409952E-2</v>
      </c>
      <c r="E110" s="141">
        <f>IFERROR(IF(OR(NOT(ISNUMBER('Price History'!E111)),NOT(ISNUMBER('Price History'!E110)),'Price History'!E110=0),"",'Price History'!E111/'Price History'!E110-1),"")</f>
        <v>-4.0610950665435963E-2</v>
      </c>
      <c r="F110" s="141">
        <f>IFERROR(IF(OR(NOT(ISNUMBER('Price History'!F111)),NOT(ISNUMBER('Price History'!F110)),'Price History'!F110=0),"",'Price History'!F111/'Price History'!F110-1),"")</f>
        <v>7.7570017147057246E-3</v>
      </c>
      <c r="G110" s="141">
        <f>IFERROR(IF(OR(NOT(ISNUMBER('Price History'!G111)),NOT(ISNUMBER('Price History'!G110)),'Price History'!G110=0),"",'Price History'!G111/'Price History'!G110-1),"")</f>
        <v>-0.10779481562614091</v>
      </c>
      <c r="H110" s="141">
        <f>IFERROR(IF(OR(NOT(ISNUMBER('Price History'!H111)),NOT(ISNUMBER('Price History'!H110)),'Price History'!H110=0),"",'Price History'!H111/'Price History'!H110-1),"")</f>
        <v>-3.3200106581401601E-2</v>
      </c>
      <c r="I110" s="141">
        <f>IFERROR(IF(OR(NOT(ISNUMBER('Price History'!I111)),NOT(ISNUMBER('Price History'!I110)),'Price History'!I110=0),"",'Price History'!I111/'Price History'!I110-1),"")</f>
        <v>-2.3775177645990242E-2</v>
      </c>
      <c r="J110" s="141">
        <f>IFERROR(IF(OR(NOT(ISNUMBER('Price History'!J111)),NOT(ISNUMBER('Price History'!J110)),'Price History'!J110=0),"",'Price History'!J111/'Price History'!J110-1),"")</f>
        <v>-4.9867841409691582E-2</v>
      </c>
      <c r="K110" s="141">
        <f>IFERROR(IF(OR(NOT(ISNUMBER('Price History'!K111)),NOT(ISNUMBER('Price History'!K110)),'Price History'!K110=0),"",'Price History'!K111/'Price History'!K110-1),"")</f>
        <v>1.3693881088576942E-2</v>
      </c>
      <c r="L110" s="141">
        <f>IFERROR(IF(OR(NOT(ISNUMBER('Price History'!L111)),NOT(ISNUMBER('Price History'!L110)),'Price History'!L110=0),"",'Price History'!L111/'Price History'!L110-1),"")</f>
        <v>-3.9463217237920567E-2</v>
      </c>
      <c r="M110" s="141">
        <f>IFERROR(IF(OR(NOT(ISNUMBER('Price History'!M111)),NOT(ISNUMBER('Price History'!M110)),'Price History'!M110=0),"",'Price History'!M111/'Price History'!M110-1),"")</f>
        <v>5.4989689433231348E-2</v>
      </c>
      <c r="N110" s="141">
        <f>IFERROR(IF(OR(NOT(ISNUMBER('Price History'!N111)),NOT(ISNUMBER('Price History'!N110)),'Price History'!N110=0),"",'Price History'!N111/'Price History'!N110-1),"")</f>
        <v>1.1133151500124061E-2</v>
      </c>
      <c r="O110" s="141">
        <f>IFERROR(IF(OR(NOT(ISNUMBER('Price History'!O111)),NOT(ISNUMBER('Price History'!O110)),'Price History'!O110=0),"",'Price History'!O111/'Price History'!O110-1),"")</f>
        <v>-5.4353296426774E-2</v>
      </c>
      <c r="P110" s="141">
        <f>IFERROR(IF(OR(NOT(ISNUMBER('Price History'!P111)),NOT(ISNUMBER('Price History'!P110)),'Price History'!P110=0),"",'Price History'!P111/'Price History'!P110-1),"")</f>
        <v>-3.459005716766772E-2</v>
      </c>
      <c r="Q110" s="141">
        <f>IFERROR(IF(OR(NOT(ISNUMBER('Price History'!Q111)),NOT(ISNUMBER('Price History'!Q110)),'Price History'!Q110=0),"",'Price History'!Q111/'Price History'!Q110-1),"")</f>
        <v>-1.2669962917181699E-2</v>
      </c>
      <c r="R110" s="141">
        <f>IFERROR(IF(OR(NOT(ISNUMBER('Price History'!R111)),NOT(ISNUMBER('Price History'!R110)),'Price History'!R110=0),"",'Price History'!R111/'Price History'!R110-1),"")</f>
        <v>-1.6676476358642334E-2</v>
      </c>
      <c r="S110" s="141">
        <f>IFERROR(IF(OR(NOT(ISNUMBER('Price History'!S111)),NOT(ISNUMBER('Price History'!S110)),'Price History'!S110=0),"",'Price History'!S111/'Price History'!S110-1),"")</f>
        <v>-1.3184413839435583E-2</v>
      </c>
      <c r="T110" s="141">
        <f>IFERROR(IF(OR(NOT(ISNUMBER('Price History'!T111)),NOT(ISNUMBER('Price History'!T110)),'Price History'!T110=0),"",'Price History'!T111/'Price History'!T110-1),"")</f>
        <v>-3.3137359700694868E-2</v>
      </c>
      <c r="U110" s="141">
        <f>IFERROR(IF(OR(NOT(ISNUMBER('Price History'!U111)),NOT(ISNUMBER('Price History'!U110)),'Price History'!U110=0),"",'Price History'!U111/'Price History'!U110-1),"")</f>
        <v>-3.1722054380664666E-2</v>
      </c>
      <c r="V110" s="142">
        <f>IFERROR(IF(OR(NOT(ISNUMBER('Price History'!V111)),NOT(ISNUMBER('Price History'!V110)),'Price History'!V110=0),"",'Price History'!V111/'Price History'!V110-1),"")</f>
        <v>-1.7691465452659427E-2</v>
      </c>
      <c r="W110" s="143">
        <f>IFERROR('Price History'!B3+(INDEX('Price History'!B:B,MATCH(9.99E+307,'Returns (Calc)'!$A:$A)+1)-'Price History'!B3)*(ROW()-3)/(MATCH(9.99E+307,'Returns (Calc)'!$A:$A)-3),"")</f>
        <v>331.68493670886073</v>
      </c>
      <c r="X110" s="143">
        <f>IFERROR('Price History'!C3+(INDEX('Price History'!C:C,MATCH(9.99E+307,'Returns (Calc)'!$A:$A)+1)-'Price History'!C3)*(ROW()-3)/(MATCH(9.99E+307,'Returns (Calc)'!$A:$A)-3),"")</f>
        <v>155.32677215189872</v>
      </c>
      <c r="Y110" s="143">
        <f>IFERROR('Price History'!D3+(INDEX('Price History'!D:D,MATCH(9.99E+307,'Returns (Calc)'!$A:$A)+1)-'Price History'!D3)*(ROW()-3)/(MATCH(9.99E+307,'Returns (Calc)'!$A:$A)-3),"")</f>
        <v>1452.4346835443039</v>
      </c>
      <c r="Z110" s="143">
        <f>IFERROR('Price History'!E3+(INDEX('Price History'!E:E,MATCH(9.99E+307,'Returns (Calc)'!$A:$A)+1)-'Price History'!E3)*(ROW()-3)/(MATCH(9.99E+307,'Returns (Calc)'!$A:$A)-3),"")</f>
        <v>266.9745569620253</v>
      </c>
      <c r="AA110" s="143">
        <f>IFERROR('Price History'!F3+(INDEX('Price History'!F:F,MATCH(9.99E+307,'Returns (Calc)'!$A:$A)+1)-'Price History'!F3)*(ROW()-3)/(MATCH(9.99E+307,'Returns (Calc)'!$A:$A)-3),"")</f>
        <v>196.22556962025317</v>
      </c>
      <c r="AB110" s="143">
        <f>IFERROR('Price History'!G3+(INDEX('Price History'!G:G,MATCH(9.99E+307,'Returns (Calc)'!$A:$A)+1)-'Price History'!G3)*(ROW()-3)/(MATCH(9.99E+307,'Returns (Calc)'!$A:$A)-3),"")</f>
        <v>154.42455696202532</v>
      </c>
      <c r="AC110" s="143">
        <f>IFERROR('Price History'!H3+(INDEX('Price History'!H:H,MATCH(9.99E+307,'Returns (Calc)'!$A:$A)+1)-'Price History'!H3)*(ROW()-3)/(MATCH(9.99E+307,'Returns (Calc)'!$A:$A)-3),"")</f>
        <v>750.23949367088608</v>
      </c>
      <c r="AD110" s="143">
        <f>IFERROR('Price History'!I3+(INDEX('Price History'!I:I,MATCH(9.99E+307,'Returns (Calc)'!$A:$A)+1)-'Price History'!I3)*(ROW()-3)/(MATCH(9.99E+307,'Returns (Calc)'!$A:$A)-3),"")</f>
        <v>172.56278481012657</v>
      </c>
      <c r="AE110" s="143">
        <f>IFERROR('Price History'!J3+(INDEX('Price History'!J:J,MATCH(9.99E+307,'Returns (Calc)'!$A:$A)+1)-'Price History'!J3)*(ROW()-3)/(MATCH(9.99E+307,'Returns (Calc)'!$A:$A)-3),"")</f>
        <v>123.40006329113925</v>
      </c>
      <c r="AF110" s="143">
        <f>IFERROR('Price History'!K3+(INDEX('Price History'!K:K,MATCH(9.99E+307,'Returns (Calc)'!$A:$A)+1)-'Price History'!K3)*(ROW()-3)/(MATCH(9.99E+307,'Returns (Calc)'!$A:$A)-3),"")</f>
        <v>132.7726582278481</v>
      </c>
      <c r="AG110" s="143">
        <f>IFERROR('Price History'!L3+(INDEX('Price History'!L:L,MATCH(9.99E+307,'Returns (Calc)'!$A:$A)+1)-'Price History'!L3)*(ROW()-3)/(MATCH(9.99E+307,'Returns (Calc)'!$A:$A)-3),"")</f>
        <v>347.85259493670884</v>
      </c>
      <c r="AH110" s="143">
        <f>IFERROR('Price History'!M3+(INDEX('Price History'!M:M,MATCH(9.99E+307,'Returns (Calc)'!$A:$A)+1)-'Price History'!M3)*(ROW()-3)/(MATCH(9.99E+307,'Returns (Calc)'!$A:$A)-3),"")</f>
        <v>183.05240506329113</v>
      </c>
      <c r="AI110" s="143">
        <f>IFERROR('Price History'!N3+(INDEX('Price History'!N:N,MATCH(9.99E+307,'Returns (Calc)'!$A:$A)+1)-'Price History'!N3)*(ROW()-3)/(MATCH(9.99E+307,'Returns (Calc)'!$A:$A)-3),"")</f>
        <v>454.43044303797467</v>
      </c>
      <c r="AJ110" s="143">
        <f>IFERROR('Price History'!O3+(INDEX('Price History'!O:O,MATCH(9.99E+307,'Returns (Calc)'!$A:$A)+1)-'Price History'!O3)*(ROW()-3)/(MATCH(9.99E+307,'Returns (Calc)'!$A:$A)-3),"")</f>
        <v>105.59506329113924</v>
      </c>
      <c r="AK110" s="143">
        <f>IFERROR('Price History'!Q3+(INDEX('Price History'!Q:Q,MATCH(9.99E+307,'Returns (Calc)'!$A:$A)+1)-'Price History'!Q3)*(ROW()-3)/(MATCH(9.99E+307,'Returns (Calc)'!$A:$A)-3),"")</f>
        <v>47.012278481012665</v>
      </c>
      <c r="AL110" s="143">
        <f>IFERROR('Price History'!R3+(INDEX('Price History'!R:R,MATCH(9.99E+307,'Returns (Calc)'!$A:$A)+1)-'Price History'!R3)*(ROW()-3)/(MATCH(9.99E+307,'Returns (Calc)'!$A:$A)-3),"")</f>
        <v>52.466835443037972</v>
      </c>
      <c r="AM110" s="143">
        <f>IFERROR('Price History'!S3+(INDEX('Price History'!S:S,MATCH(9.99E+307,'Returns (Calc)'!$A:$A)+1)-'Price History'!S3)*(ROW()-3)/(MATCH(9.99E+307,'Returns (Calc)'!$A:$A)-3),"")</f>
        <v>122.37177215189874</v>
      </c>
      <c r="AN110" s="143">
        <f>IFERROR('Price History'!T3+(INDEX('Price History'!T:T,MATCH(9.99E+307,'Returns (Calc)'!$A:$A)+1)-'Price History'!T3)*(ROW()-3)/(MATCH(9.99E+307,'Returns (Calc)'!$A:$A)-3),"")</f>
        <v>43.240379746835444</v>
      </c>
      <c r="AO110" s="144">
        <f>IFERROR('Price History'!V3+(INDEX('Price History'!V:V,MATCH(9.99E+307,'Returns (Calc)'!$A:$A)+1)-'Price History'!V3)*(ROW()-3)/(MATCH(9.99E+307,'Returns (Calc)'!$A:$A)-3),"")</f>
        <v>320.30221518987344</v>
      </c>
      <c r="AP110" s="142">
        <f>IFERROR(IF(OR(NOT(ISNUMBER('Price History'!W111)),NOT(ISNUMBER('Price History'!W110)),'Price History'!W110=0),"",'Price History'!W111/'Price History'!W110-1),"")</f>
        <v>-2.8805095172613426E-2</v>
      </c>
      <c r="AQ110" s="142" t="str">
        <f>IFERROR(IF(OR(NOT(ISNUMBER('Price History'!X111)),NOT(ISNUMBER('Price History'!X110)),'Price History'!X110=0),"",'Price History'!X111/'Price History'!X110-1),"")</f>
        <v/>
      </c>
      <c r="AR110" s="142">
        <f>IFERROR(IF(OR(NOT(ISNUMBER('Price History'!Y111)),NOT(ISNUMBER('Price History'!Y110)),'Price History'!Y110=0),"",'Price History'!Y111/'Price History'!Y110-1),"")</f>
        <v>-1.8040258260539233E-2</v>
      </c>
      <c r="AS110" s="142">
        <f>IFERROR(IF(OR(NOT(ISNUMBER('Price History'!Z111)),NOT(ISNUMBER('Price History'!Z110)),'Price History'!Z110=0),"",'Price History'!Z111/'Price History'!Z110-1),"")</f>
        <v>-1.855607381869806E-2</v>
      </c>
      <c r="AT110" s="142">
        <f>IFERROR(IF(OR(NOT(ISNUMBER('Price History'!AA111)),NOT(ISNUMBER('Price History'!AA110)),'Price History'!AA110=0),"",'Price History'!AA111/'Price History'!AA110-1),"")</f>
        <v>5.7920749154599882E-2</v>
      </c>
    </row>
    <row r="111" spans="1:46" ht="15" customHeight="1" x14ac:dyDescent="0.35">
      <c r="A111" s="140">
        <f>IF('Price History'!A112="","",'Price History'!A112)</f>
        <v>45947</v>
      </c>
      <c r="B111" s="141">
        <f>IFERROR(IF(OR(NOT(ISNUMBER('Price History'!B112)),NOT(ISNUMBER('Price History'!B111)),'Price History'!B111=0),"",'Price History'!B112/'Price History'!B111-1),"")</f>
        <v>-1.2592219489792944E-2</v>
      </c>
      <c r="C111" s="141">
        <f>IFERROR(IF(OR(NOT(ISNUMBER('Price History'!C112)),NOT(ISNUMBER('Price History'!C111)),'Price History'!C111=0),"",'Price History'!C112/'Price History'!C111-1),"")</f>
        <v>-7.138221933809219E-2</v>
      </c>
      <c r="D111" s="141">
        <f>IFERROR(IF(OR(NOT(ISNUMBER('Price History'!D112)),NOT(ISNUMBER('Price History'!D111)),'Price History'!D111=0),"",'Price History'!D112/'Price History'!D111-1),"")</f>
        <v>9.9423693095069154E-2</v>
      </c>
      <c r="E111" s="141">
        <f>IFERROR(IF(OR(NOT(ISNUMBER('Price History'!E112)),NOT(ISNUMBER('Price History'!E111)),'Price History'!E111=0),"",'Price History'!E112/'Price History'!E111-1),"")</f>
        <v>7.6094714955156295E-2</v>
      </c>
      <c r="F111" s="141">
        <f>IFERROR(IF(OR(NOT(ISNUMBER('Price History'!F112)),NOT(ISNUMBER('Price History'!F111)),'Price History'!F111=0),"",'Price History'!F112/'Price History'!F111-1),"")</f>
        <v>-1.83114568141306E-2</v>
      </c>
      <c r="G111" s="141">
        <f>IFERROR(IF(OR(NOT(ISNUMBER('Price History'!G112)),NOT(ISNUMBER('Price History'!G111)),'Price History'!G111=0),"",'Price History'!G112/'Price History'!G111-1),"")</f>
        <v>0.12603580562659844</v>
      </c>
      <c r="H111" s="141">
        <f>IFERROR(IF(OR(NOT(ISNUMBER('Price History'!H112)),NOT(ISNUMBER('Price History'!H111)),'Price History'!H111=0),"",'Price History'!H112/'Price History'!H111-1),"")</f>
        <v>0.11443060302061525</v>
      </c>
      <c r="I111" s="141">
        <f>IFERROR(IF(OR(NOT(ISNUMBER('Price History'!I112)),NOT(ISNUMBER('Price History'!I111)),'Price History'!I111=0),"",'Price History'!I112/'Price History'!I111-1),"")</f>
        <v>3.2837127845875003E-4</v>
      </c>
      <c r="J111" s="141">
        <f>IFERROR(IF(OR(NOT(ISNUMBER('Price History'!J112)),NOT(ISNUMBER('Price History'!J111)),'Price History'!J111=0),"",'Price History'!J112/'Price History'!J111-1),"")</f>
        <v>0.11554154302670616</v>
      </c>
      <c r="K111" s="141">
        <f>IFERROR(IF(OR(NOT(ISNUMBER('Price History'!K112)),NOT(ISNUMBER('Price History'!K111)),'Price History'!K111=0),"",'Price History'!K112/'Price History'!K111-1),"")</f>
        <v>1.5446876424988654E-2</v>
      </c>
      <c r="L111" s="141">
        <f>IFERROR(IF(OR(NOT(ISNUMBER('Price History'!L112)),NOT(ISNUMBER('Price History'!L111)),'Price History'!L111=0),"",'Price History'!L112/'Price History'!L111-1),"")</f>
        <v>5.1382687599020427E-2</v>
      </c>
      <c r="M111" s="141">
        <f>IFERROR(IF(OR(NOT(ISNUMBER('Price History'!M112)),NOT(ISNUMBER('Price History'!M111)),'Price History'!M111=0),"",'Price History'!M112/'Price History'!M111-1),"")</f>
        <v>2.9497127287804181E-2</v>
      </c>
      <c r="N111" s="141">
        <f>IFERROR(IF(OR(NOT(ISNUMBER('Price History'!N112)),NOT(ISNUMBER('Price History'!N111)),'Price History'!N111=0),"",'Price History'!N112/'Price History'!N111-1),"")</f>
        <v>2.2119228034036986E-2</v>
      </c>
      <c r="O111" s="141">
        <f>IFERROR(IF(OR(NOT(ISNUMBER('Price History'!O112)),NOT(ISNUMBER('Price History'!O111)),'Price History'!O111=0),"",'Price History'!O112/'Price History'!O111-1),"")</f>
        <v>1.9584885577434763E-2</v>
      </c>
      <c r="P111" s="141">
        <f>IFERROR(IF(OR(NOT(ISNUMBER('Price History'!P112)),NOT(ISNUMBER('Price History'!P111)),'Price History'!P111=0),"",'Price History'!P112/'Price History'!P111-1),"")</f>
        <v>1.4691552357394499E-2</v>
      </c>
      <c r="Q111" s="141">
        <f>IFERROR(IF(OR(NOT(ISNUMBER('Price History'!Q112)),NOT(ISNUMBER('Price History'!Q111)),'Price History'!Q111=0),"",'Price History'!Q112/'Price History'!Q111-1),"")</f>
        <v>9.8591549295774517E-3</v>
      </c>
      <c r="R111" s="141">
        <f>IFERROR(IF(OR(NOT(ISNUMBER('Price History'!R112)),NOT(ISNUMBER('Price History'!R111)),'Price History'!R111=0),"",'Price History'!R112/'Price History'!R111-1),"")</f>
        <v>2.0550678371907383E-2</v>
      </c>
      <c r="S111" s="141">
        <f>IFERROR(IF(OR(NOT(ISNUMBER('Price History'!S112)),NOT(ISNUMBER('Price History'!S111)),'Price History'!S111=0),"",'Price History'!S112/'Price History'!S111-1),"")</f>
        <v>1.6168836694749222E-2</v>
      </c>
      <c r="T111" s="141">
        <f>IFERROR(IF(OR(NOT(ISNUMBER('Price History'!T112)),NOT(ISNUMBER('Price History'!T111)),'Price History'!T111=0),"",'Price History'!T112/'Price History'!T111-1),"")</f>
        <v>1.4096185737976663E-2</v>
      </c>
      <c r="U111" s="141">
        <f>IFERROR(IF(OR(NOT(ISNUMBER('Price History'!U112)),NOT(ISNUMBER('Price History'!U111)),'Price History'!U111=0),"",'Price History'!U112/'Price History'!U111-1),"")</f>
        <v>9.3603744149766133E-3</v>
      </c>
      <c r="V111" s="142">
        <f>IFERROR(IF(OR(NOT(ISNUMBER('Price History'!V112)),NOT(ISNUMBER('Price History'!V111)),'Price History'!V111=0),"",'Price History'!V112/'Price History'!V111-1),"")</f>
        <v>-5.1038366772263588E-3</v>
      </c>
      <c r="W111" s="143">
        <f>IFERROR('Price History'!B3+(INDEX('Price History'!B:B,MATCH(9.99E+307,'Returns (Calc)'!$A:$A)+1)-'Price History'!B3)*(ROW()-3)/(MATCH(9.99E+307,'Returns (Calc)'!$A:$A)-3),"")</f>
        <v>329.84189873417722</v>
      </c>
      <c r="X111" s="143">
        <f>IFERROR('Price History'!C3+(INDEX('Price History'!C:C,MATCH(9.99E+307,'Returns (Calc)'!$A:$A)+1)-'Price History'!C3)*(ROW()-3)/(MATCH(9.99E+307,'Returns (Calc)'!$A:$A)-3),"")</f>
        <v>156.34683544303795</v>
      </c>
      <c r="Y111" s="143">
        <f>IFERROR('Price History'!D3+(INDEX('Price History'!D:D,MATCH(9.99E+307,'Returns (Calc)'!$A:$A)+1)-'Price History'!D3)*(ROW()-3)/(MATCH(9.99E+307,'Returns (Calc)'!$A:$A)-3),"")</f>
        <v>1460.569493670886</v>
      </c>
      <c r="Z111" s="143">
        <f>IFERROR('Price History'!E3+(INDEX('Price History'!E:E,MATCH(9.99E+307,'Returns (Calc)'!$A:$A)+1)-'Price History'!E3)*(ROW()-3)/(MATCH(9.99E+307,'Returns (Calc)'!$A:$A)-3),"")</f>
        <v>268.70329113924049</v>
      </c>
      <c r="AA111" s="143">
        <f>IFERROR('Price History'!F3+(INDEX('Price History'!F:F,MATCH(9.99E+307,'Returns (Calc)'!$A:$A)+1)-'Price History'!F3)*(ROW()-3)/(MATCH(9.99E+307,'Returns (Calc)'!$A:$A)-3),"")</f>
        <v>197.67291139240507</v>
      </c>
      <c r="AB111" s="143">
        <f>IFERROR('Price History'!G3+(INDEX('Price History'!G:G,MATCH(9.99E+307,'Returns (Calc)'!$A:$A)+1)-'Price History'!G3)*(ROW()-3)/(MATCH(9.99E+307,'Returns (Calc)'!$A:$A)-3),"")</f>
        <v>155.45329113924052</v>
      </c>
      <c r="AC111" s="143">
        <f>IFERROR('Price History'!H3+(INDEX('Price History'!H:H,MATCH(9.99E+307,'Returns (Calc)'!$A:$A)+1)-'Price History'!H3)*(ROW()-3)/(MATCH(9.99E+307,'Returns (Calc)'!$A:$A)-3),"")</f>
        <v>756.60518987341777</v>
      </c>
      <c r="AD111" s="143">
        <f>IFERROR('Price History'!I3+(INDEX('Price History'!I:I,MATCH(9.99E+307,'Returns (Calc)'!$A:$A)+1)-'Price History'!I3)*(ROW()-3)/(MATCH(9.99E+307,'Returns (Calc)'!$A:$A)-3),"")</f>
        <v>173.76645569620254</v>
      </c>
      <c r="AE111" s="143">
        <f>IFERROR('Price History'!J3+(INDEX('Price History'!J:J,MATCH(9.99E+307,'Returns (Calc)'!$A:$A)+1)-'Price History'!J3)*(ROW()-3)/(MATCH(9.99E+307,'Returns (Calc)'!$A:$A)-3),"")</f>
        <v>123.50810126582279</v>
      </c>
      <c r="AF111" s="143">
        <f>IFERROR('Price History'!K3+(INDEX('Price History'!K:K,MATCH(9.99E+307,'Returns (Calc)'!$A:$A)+1)-'Price History'!K3)*(ROW()-3)/(MATCH(9.99E+307,'Returns (Calc)'!$A:$A)-3),"")</f>
        <v>133.87025316455694</v>
      </c>
      <c r="AG111" s="143">
        <f>IFERROR('Price History'!L3+(INDEX('Price History'!L:L,MATCH(9.99E+307,'Returns (Calc)'!$A:$A)+1)-'Price History'!L3)*(ROW()-3)/(MATCH(9.99E+307,'Returns (Calc)'!$A:$A)-3),"")</f>
        <v>350.30215189873417</v>
      </c>
      <c r="AH111" s="143">
        <f>IFERROR('Price History'!M3+(INDEX('Price History'!M:M,MATCH(9.99E+307,'Returns (Calc)'!$A:$A)+1)-'Price History'!M3)*(ROW()-3)/(MATCH(9.99E+307,'Returns (Calc)'!$A:$A)-3),"")</f>
        <v>184.40784810126581</v>
      </c>
      <c r="AI111" s="143">
        <f>IFERROR('Price History'!N3+(INDEX('Price History'!N:N,MATCH(9.99E+307,'Returns (Calc)'!$A:$A)+1)-'Price History'!N3)*(ROW()-3)/(MATCH(9.99E+307,'Returns (Calc)'!$A:$A)-3),"")</f>
        <v>455.41670886075951</v>
      </c>
      <c r="AJ111" s="143">
        <f>IFERROR('Price History'!O3+(INDEX('Price History'!O:O,MATCH(9.99E+307,'Returns (Calc)'!$A:$A)+1)-'Price History'!O3)*(ROW()-3)/(MATCH(9.99E+307,'Returns (Calc)'!$A:$A)-3),"")</f>
        <v>105.87810126582279</v>
      </c>
      <c r="AK111" s="143">
        <f>IFERROR('Price History'!Q3+(INDEX('Price History'!Q:Q,MATCH(9.99E+307,'Returns (Calc)'!$A:$A)+1)-'Price History'!Q3)*(ROW()-3)/(MATCH(9.99E+307,'Returns (Calc)'!$A:$A)-3),"")</f>
        <v>47.451645569620254</v>
      </c>
      <c r="AL111" s="143">
        <f>IFERROR('Price History'!R3+(INDEX('Price History'!R:R,MATCH(9.99E+307,'Returns (Calc)'!$A:$A)+1)-'Price History'!R3)*(ROW()-3)/(MATCH(9.99E+307,'Returns (Calc)'!$A:$A)-3),"")</f>
        <v>52.634936708860764</v>
      </c>
      <c r="AM111" s="143">
        <f>IFERROR('Price History'!S3+(INDEX('Price History'!S:S,MATCH(9.99E+307,'Returns (Calc)'!$A:$A)+1)-'Price History'!S3)*(ROW()-3)/(MATCH(9.99E+307,'Returns (Calc)'!$A:$A)-3),"")</f>
        <v>122.97683544303797</v>
      </c>
      <c r="AN111" s="143">
        <f>IFERROR('Price History'!T3+(INDEX('Price History'!T:T,MATCH(9.99E+307,'Returns (Calc)'!$A:$A)+1)-'Price History'!T3)*(ROW()-3)/(MATCH(9.99E+307,'Returns (Calc)'!$A:$A)-3),"")</f>
        <v>43.408607594936711</v>
      </c>
      <c r="AO111" s="144">
        <f>IFERROR('Price History'!V3+(INDEX('Price History'!V:V,MATCH(9.99E+307,'Returns (Calc)'!$A:$A)+1)-'Price History'!V3)*(ROW()-3)/(MATCH(9.99E+307,'Returns (Calc)'!$A:$A)-3),"")</f>
        <v>321.0935443037975</v>
      </c>
      <c r="AP111" s="142">
        <f>IFERROR(IF(OR(NOT(ISNUMBER('Price History'!W112)),NOT(ISNUMBER('Price History'!W111)),'Price History'!W111=0),"",'Price History'!W112/'Price History'!W111-1),"")</f>
        <v>1.9151948729413393E-2</v>
      </c>
      <c r="AQ111" s="142" t="str">
        <f>IFERROR(IF(OR(NOT(ISNUMBER('Price History'!X112)),NOT(ISNUMBER('Price History'!X111)),'Price History'!X111=0),"",'Price History'!X112/'Price History'!X111-1),"")</f>
        <v/>
      </c>
      <c r="AR111" s="142">
        <f>IFERROR(IF(OR(NOT(ISNUMBER('Price History'!Y112)),NOT(ISNUMBER('Price History'!Y111)),'Price History'!Y111=0),"",'Price History'!Y112/'Price History'!Y111-1),"")</f>
        <v>1.527750918584414E-2</v>
      </c>
      <c r="AS111" s="142">
        <f>IFERROR(IF(OR(NOT(ISNUMBER('Price History'!Z112)),NOT(ISNUMBER('Price History'!Z111)),'Price History'!Z111=0),"",'Price History'!Z112/'Price History'!Z111-1),"")</f>
        <v>2.9686262354926551E-2</v>
      </c>
      <c r="AT111" s="142">
        <f>IFERROR(IF(OR(NOT(ISNUMBER('Price History'!AA112)),NOT(ISNUMBER('Price History'!AA111)),'Price History'!AA111=0),"",'Price History'!AA112/'Price History'!AA111-1),"")</f>
        <v>-1.6965822473567815E-2</v>
      </c>
    </row>
    <row r="112" spans="1:46" ht="15" customHeight="1" x14ac:dyDescent="0.35">
      <c r="A112" s="140">
        <f>IF('Price History'!A113="","",'Price History'!A113)</f>
        <v>45954</v>
      </c>
      <c r="B112" s="141">
        <f>IFERROR(IF(OR(NOT(ISNUMBER('Price History'!B113)),NOT(ISNUMBER('Price History'!B112)),'Price History'!B112=0),"",'Price History'!B113/'Price History'!B112-1),"")</f>
        <v>6.0793374542399192E-2</v>
      </c>
      <c r="C112" s="141">
        <f>IFERROR(IF(OR(NOT(ISNUMBER('Price History'!C113)),NOT(ISNUMBER('Price History'!C112)),'Price History'!C112=0),"",'Price History'!C113/'Price History'!C112-1),"")</f>
        <v>7.4912648497554191E-2</v>
      </c>
      <c r="D112" s="141">
        <f>IFERROR(IF(OR(NOT(ISNUMBER('Price History'!D113)),NOT(ISNUMBER('Price History'!D112)),'Price History'!D112=0),"",'Price History'!D113/'Price History'!D112-1),"")</f>
        <v>3.72605204737253E-3</v>
      </c>
      <c r="E112" s="141">
        <f>IFERROR(IF(OR(NOT(ISNUMBER('Price History'!E113)),NOT(ISNUMBER('Price History'!E112)),'Price History'!E112=0),"",'Price History'!E113/'Price History'!E112-1),"")</f>
        <v>1.3756308579668364E-2</v>
      </c>
      <c r="F112" s="141">
        <f>IFERROR(IF(OR(NOT(ISNUMBER('Price History'!F113)),NOT(ISNUMBER('Price History'!F112)),'Price History'!F112=0),"",'Price History'!F113/'Price History'!F112-1),"")</f>
        <v>8.8065368108286801E-2</v>
      </c>
      <c r="G112" s="141">
        <f>IFERROR(IF(OR(NOT(ISNUMBER('Price History'!G113)),NOT(ISNUMBER('Price History'!G112)),'Price History'!G112=0),"",'Price History'!G113/'Price History'!G112-1),"")</f>
        <v>6.8865267557009391E-2</v>
      </c>
      <c r="H112" s="141">
        <f>IFERROR(IF(OR(NOT(ISNUMBER('Price History'!H113)),NOT(ISNUMBER('Price History'!H112)),'Price History'!H112=0),"",'Price History'!H113/'Price History'!H112-1),"")</f>
        <v>8.2253437530912965E-2</v>
      </c>
      <c r="I112" s="141">
        <f>IFERROR(IF(OR(NOT(ISNUMBER('Price History'!I113)),NOT(ISNUMBER('Price History'!I112)),'Price History'!I112=0),"",'Price History'!I113/'Price History'!I112-1),"")</f>
        <v>1.657730605099017E-2</v>
      </c>
      <c r="J112" s="141">
        <f>IFERROR(IF(OR(NOT(ISNUMBER('Price History'!J113)),NOT(ISNUMBER('Price History'!J112)),'Price History'!J112=0),"",'Price History'!J113/'Price History'!J112-1),"")</f>
        <v>1.8952618453865311E-2</v>
      </c>
      <c r="K112" s="141">
        <f>IFERROR(IF(OR(NOT(ISNUMBER('Price History'!K113)),NOT(ISNUMBER('Price History'!K112)),'Price History'!K112=0),"",'Price History'!K113/'Price History'!K112-1),"")</f>
        <v>3.6373842267751755E-2</v>
      </c>
      <c r="L112" s="141">
        <f>IFERROR(IF(OR(NOT(ISNUMBER('Price History'!L113)),NOT(ISNUMBER('Price History'!L112)),'Price History'!L112=0),"",'Price History'!L113/'Price History'!L112-1),"")</f>
        <v>-4.1097297852665804E-4</v>
      </c>
      <c r="M112" s="141">
        <f>IFERROR(IF(OR(NOT(ISNUMBER('Price History'!M113)),NOT(ISNUMBER('Price History'!M112)),'Price History'!M112=0),"",'Price History'!M113/'Price History'!M112-1),"")</f>
        <v>6.9328577181980489E-2</v>
      </c>
      <c r="N112" s="141">
        <f>IFERROR(IF(OR(NOT(ISNUMBER('Price History'!N113)),NOT(ISNUMBER('Price History'!N112)),'Price History'!N112=0),"",'Price History'!N113/'Price History'!N112-1),"")</f>
        <v>1.0988220052301934E-2</v>
      </c>
      <c r="O112" s="141">
        <f>IFERROR(IF(OR(NOT(ISNUMBER('Price History'!O113)),NOT(ISNUMBER('Price History'!O112)),'Price History'!O112=0),"",'Price History'!O113/'Price History'!O112-1),"")</f>
        <v>2.9439398684622642E-2</v>
      </c>
      <c r="P112" s="141">
        <f>IFERROR(IF(OR(NOT(ISNUMBER('Price History'!P113)),NOT(ISNUMBER('Price History'!P112)),'Price History'!P112=0),"",'Price History'!P113/'Price History'!P112-1),"")</f>
        <v>1.6990470562162852E-2</v>
      </c>
      <c r="Q112" s="141">
        <f>IFERROR(IF(OR(NOT(ISNUMBER('Price History'!Q113)),NOT(ISNUMBER('Price History'!Q112)),'Price History'!Q112=0),"",'Price History'!Q113/'Price History'!Q112-1),"")</f>
        <v>1.0072834340616899E-2</v>
      </c>
      <c r="R112" s="141">
        <f>IFERROR(IF(OR(NOT(ISNUMBER('Price History'!R113)),NOT(ISNUMBER('Price History'!R112)),'Price History'!R112=0),"",'Price History'!R113/'Price History'!R112-1),"")</f>
        <v>1.8572825024437911E-2</v>
      </c>
      <c r="S112" s="141">
        <f>IFERROR(IF(OR(NOT(ISNUMBER('Price History'!S113)),NOT(ISNUMBER('Price History'!S112)),'Price History'!S112=0),"",'Price History'!S113/'Price History'!S112-1),"")</f>
        <v>1.0719370236998538E-2</v>
      </c>
      <c r="T112" s="141">
        <f>IFERROR(IF(OR(NOT(ISNUMBER('Price History'!T113)),NOT(ISNUMBER('Price History'!T112)),'Price History'!T112=0),"",'Price History'!T113/'Price History'!T112-1),"")</f>
        <v>2.5892613791223873E-2</v>
      </c>
      <c r="U112" s="141">
        <f>IFERROR(IF(OR(NOT(ISNUMBER('Price History'!U113)),NOT(ISNUMBER('Price History'!U112)),'Price History'!U112=0),"",'Price History'!U113/'Price History'!U112-1),"")</f>
        <v>8.8871715610510105E-3</v>
      </c>
      <c r="V112" s="142">
        <f>IFERROR(IF(OR(NOT(ISNUMBER('Price History'!V113)),NOT(ISNUMBER('Price History'!V112)),'Price History'!V112=0),"",'Price History'!V113/'Price History'!V112-1),"")</f>
        <v>1.6038681526033383E-2</v>
      </c>
      <c r="W112" s="143">
        <f>IFERROR('Price History'!B3+(INDEX('Price History'!B:B,MATCH(9.99E+307,'Returns (Calc)'!$A:$A)+1)-'Price History'!B3)*(ROW()-3)/(MATCH(9.99E+307,'Returns (Calc)'!$A:$A)-3),"")</f>
        <v>327.99886075949365</v>
      </c>
      <c r="X112" s="143">
        <f>IFERROR('Price History'!C3+(INDEX('Price History'!C:C,MATCH(9.99E+307,'Returns (Calc)'!$A:$A)+1)-'Price History'!C3)*(ROW()-3)/(MATCH(9.99E+307,'Returns (Calc)'!$A:$A)-3),"")</f>
        <v>157.3668987341772</v>
      </c>
      <c r="Y112" s="143">
        <f>IFERROR('Price History'!D3+(INDEX('Price History'!D:D,MATCH(9.99E+307,'Returns (Calc)'!$A:$A)+1)-'Price History'!D3)*(ROW()-3)/(MATCH(9.99E+307,'Returns (Calc)'!$A:$A)-3),"")</f>
        <v>1468.7043037974681</v>
      </c>
      <c r="Z112" s="143">
        <f>IFERROR('Price History'!E3+(INDEX('Price History'!E:E,MATCH(9.99E+307,'Returns (Calc)'!$A:$A)+1)-'Price History'!E3)*(ROW()-3)/(MATCH(9.99E+307,'Returns (Calc)'!$A:$A)-3),"")</f>
        <v>270.43202531645568</v>
      </c>
      <c r="AA112" s="143">
        <f>IFERROR('Price History'!F3+(INDEX('Price History'!F:F,MATCH(9.99E+307,'Returns (Calc)'!$A:$A)+1)-'Price History'!F3)*(ROW()-3)/(MATCH(9.99E+307,'Returns (Calc)'!$A:$A)-3),"")</f>
        <v>199.12025316455697</v>
      </c>
      <c r="AB112" s="143">
        <f>IFERROR('Price History'!G3+(INDEX('Price History'!G:G,MATCH(9.99E+307,'Returns (Calc)'!$A:$A)+1)-'Price History'!G3)*(ROW()-3)/(MATCH(9.99E+307,'Returns (Calc)'!$A:$A)-3),"")</f>
        <v>156.48202531645569</v>
      </c>
      <c r="AC112" s="143">
        <f>IFERROR('Price History'!H3+(INDEX('Price History'!H:H,MATCH(9.99E+307,'Returns (Calc)'!$A:$A)+1)-'Price History'!H3)*(ROW()-3)/(MATCH(9.99E+307,'Returns (Calc)'!$A:$A)-3),"")</f>
        <v>762.97088607594935</v>
      </c>
      <c r="AD112" s="143">
        <f>IFERROR('Price History'!I3+(INDEX('Price History'!I:I,MATCH(9.99E+307,'Returns (Calc)'!$A:$A)+1)-'Price History'!I3)*(ROW()-3)/(MATCH(9.99E+307,'Returns (Calc)'!$A:$A)-3),"")</f>
        <v>174.97012658227848</v>
      </c>
      <c r="AE112" s="143">
        <f>IFERROR('Price History'!J3+(INDEX('Price History'!J:J,MATCH(9.99E+307,'Returns (Calc)'!$A:$A)+1)-'Price History'!J3)*(ROW()-3)/(MATCH(9.99E+307,'Returns (Calc)'!$A:$A)-3),"")</f>
        <v>123.61613924050633</v>
      </c>
      <c r="AF112" s="143">
        <f>IFERROR('Price History'!K3+(INDEX('Price History'!K:K,MATCH(9.99E+307,'Returns (Calc)'!$A:$A)+1)-'Price History'!K3)*(ROW()-3)/(MATCH(9.99E+307,'Returns (Calc)'!$A:$A)-3),"")</f>
        <v>134.96784810126582</v>
      </c>
      <c r="AG112" s="143">
        <f>IFERROR('Price History'!L3+(INDEX('Price History'!L:L,MATCH(9.99E+307,'Returns (Calc)'!$A:$A)+1)-'Price History'!L3)*(ROW()-3)/(MATCH(9.99E+307,'Returns (Calc)'!$A:$A)-3),"")</f>
        <v>352.75170886075949</v>
      </c>
      <c r="AH112" s="143">
        <f>IFERROR('Price History'!M3+(INDEX('Price History'!M:M,MATCH(9.99E+307,'Returns (Calc)'!$A:$A)+1)-'Price History'!M3)*(ROW()-3)/(MATCH(9.99E+307,'Returns (Calc)'!$A:$A)-3),"")</f>
        <v>185.76329113924052</v>
      </c>
      <c r="AI112" s="143">
        <f>IFERROR('Price History'!N3+(INDEX('Price History'!N:N,MATCH(9.99E+307,'Returns (Calc)'!$A:$A)+1)-'Price History'!N3)*(ROW()-3)/(MATCH(9.99E+307,'Returns (Calc)'!$A:$A)-3),"")</f>
        <v>456.4029746835443</v>
      </c>
      <c r="AJ112" s="143">
        <f>IFERROR('Price History'!O3+(INDEX('Price History'!O:O,MATCH(9.99E+307,'Returns (Calc)'!$A:$A)+1)-'Price History'!O3)*(ROW()-3)/(MATCH(9.99E+307,'Returns (Calc)'!$A:$A)-3),"")</f>
        <v>106.16113924050633</v>
      </c>
      <c r="AK112" s="143">
        <f>IFERROR('Price History'!Q3+(INDEX('Price History'!Q:Q,MATCH(9.99E+307,'Returns (Calc)'!$A:$A)+1)-'Price History'!Q3)*(ROW()-3)/(MATCH(9.99E+307,'Returns (Calc)'!$A:$A)-3),"")</f>
        <v>47.891012658227844</v>
      </c>
      <c r="AL112" s="143">
        <f>IFERROR('Price History'!R3+(INDEX('Price History'!R:R,MATCH(9.99E+307,'Returns (Calc)'!$A:$A)+1)-'Price History'!R3)*(ROW()-3)/(MATCH(9.99E+307,'Returns (Calc)'!$A:$A)-3),"")</f>
        <v>52.803037974683548</v>
      </c>
      <c r="AM112" s="143">
        <f>IFERROR('Price History'!S3+(INDEX('Price History'!S:S,MATCH(9.99E+307,'Returns (Calc)'!$A:$A)+1)-'Price History'!S3)*(ROW()-3)/(MATCH(9.99E+307,'Returns (Calc)'!$A:$A)-3),"")</f>
        <v>123.5818987341772</v>
      </c>
      <c r="AN112" s="143">
        <f>IFERROR('Price History'!T3+(INDEX('Price History'!T:T,MATCH(9.99E+307,'Returns (Calc)'!$A:$A)+1)-'Price History'!T3)*(ROW()-3)/(MATCH(9.99E+307,'Returns (Calc)'!$A:$A)-3),"")</f>
        <v>43.576835443037979</v>
      </c>
      <c r="AO112" s="144">
        <f>IFERROR('Price History'!V3+(INDEX('Price History'!V:V,MATCH(9.99E+307,'Returns (Calc)'!$A:$A)+1)-'Price History'!V3)*(ROW()-3)/(MATCH(9.99E+307,'Returns (Calc)'!$A:$A)-3),"")</f>
        <v>321.88487341772156</v>
      </c>
      <c r="AP112" s="142">
        <f>IFERROR(IF(OR(NOT(ISNUMBER('Price History'!W113)),NOT(ISNUMBER('Price History'!W112)),'Price History'!W112=0),"",'Price History'!W113/'Price History'!W112-1),"")</f>
        <v>1.0821877742029917E-2</v>
      </c>
      <c r="AQ112" s="142" t="str">
        <f>IFERROR(IF(OR(NOT(ISNUMBER('Price History'!X113)),NOT(ISNUMBER('Price History'!X112)),'Price History'!X112=0),"",'Price History'!X113/'Price History'!X112-1),"")</f>
        <v/>
      </c>
      <c r="AR112" s="142">
        <f>IFERROR(IF(OR(NOT(ISNUMBER('Price History'!Y113)),NOT(ISNUMBER('Price History'!Y112)),'Price History'!Y112=0),"",'Price History'!Y113/'Price History'!Y112-1),"")</f>
        <v>1.0476190476190528E-2</v>
      </c>
      <c r="AS112" s="142">
        <f>IFERROR(IF(OR(NOT(ISNUMBER('Price History'!Z113)),NOT(ISNUMBER('Price History'!Z112)),'Price History'!Z112=0),"",'Price History'!Z113/'Price History'!Z112-1),"")</f>
        <v>1.2408441753904764E-2</v>
      </c>
      <c r="AT112" s="142">
        <f>IFERROR(IF(OR(NOT(ISNUMBER('Price History'!AA113)),NOT(ISNUMBER('Price History'!AA112)),'Price History'!AA112=0),"",'Price History'!AA113/'Price History'!AA112-1),"")</f>
        <v>-8.7293646823411675E-2</v>
      </c>
    </row>
    <row r="113" spans="1:46" ht="15" customHeight="1" x14ac:dyDescent="0.35">
      <c r="A113" s="140">
        <f>IF('Price History'!A114="","",'Price History'!A114)</f>
        <v>45961</v>
      </c>
      <c r="B113" s="141">
        <f>IFERROR(IF(OR(NOT(ISNUMBER('Price History'!B114)),NOT(ISNUMBER('Price History'!B113)),'Price History'!B113=0),"",'Price History'!B114/'Price History'!B113-1),"")</f>
        <v>-3.7367051369088022E-2</v>
      </c>
      <c r="C113" s="141">
        <f>IFERROR(IF(OR(NOT(ISNUMBER('Price History'!C114)),NOT(ISNUMBER('Price History'!C113)),'Price History'!C113=0),"",'Price History'!C114/'Price History'!C113-1),"")</f>
        <v>2.5159277077103193E-2</v>
      </c>
      <c r="D113" s="141">
        <f>IFERROR(IF(OR(NOT(ISNUMBER('Price History'!D114)),NOT(ISNUMBER('Price History'!D113)),'Price History'!D113=0),"",'Price History'!D114/'Price History'!D113-1),"")</f>
        <v>2.711577060233461E-2</v>
      </c>
      <c r="E113" s="141">
        <f>IFERROR(IF(OR(NOT(ISNUMBER('Price History'!E114)),NOT(ISNUMBER('Price History'!E113)),'Price History'!E113=0),"",'Price History'!E114/'Price History'!E113-1),"")</f>
        <v>4.3752844788347733E-2</v>
      </c>
      <c r="F113" s="141">
        <f>IFERROR(IF(OR(NOT(ISNUMBER('Price History'!F114)),NOT(ISNUMBER('Price History'!F113)),'Price History'!F113=0),"",'Price History'!F114/'Price History'!F113-1),"")</f>
        <v>2.9735265114162024E-2</v>
      </c>
      <c r="G113" s="141">
        <f>IFERROR(IF(OR(NOT(ISNUMBER('Price History'!G114)),NOT(ISNUMBER('Price History'!G113)),'Price History'!G113=0),"",'Price History'!G114/'Price History'!G113-1),"")</f>
        <v>2.1929451763705865E-2</v>
      </c>
      <c r="H113" s="141">
        <f>IFERROR(IF(OR(NOT(ISNUMBER('Price History'!H114)),NOT(ISNUMBER('Price History'!H113)),'Price History'!H113=0),"",'Price History'!H114/'Price History'!H113-1),"")</f>
        <v>2.1662629678716794E-2</v>
      </c>
      <c r="I113" s="141">
        <f>IFERROR(IF(OR(NOT(ISNUMBER('Price History'!I114)),NOT(ISNUMBER('Price History'!I113)),'Price History'!I113=0),"",'Price History'!I114/'Price History'!I113-1),"")</f>
        <v>8.7185834992734357E-2</v>
      </c>
      <c r="J113" s="141">
        <f>IFERROR(IF(OR(NOT(ISNUMBER('Price History'!J114)),NOT(ISNUMBER('Price History'!J113)),'Price History'!J113=0),"",'Price History'!J114/'Price History'!J113-1),"")</f>
        <v>-1.851851851851849E-2</v>
      </c>
      <c r="K113" s="141">
        <f>IFERROR(IF(OR(NOT(ISNUMBER('Price History'!K114)),NOT(ISNUMBER('Price History'!K113)),'Price History'!K113=0),"",'Price History'!K114/'Price History'!K113-1),"")</f>
        <v>8.5793208037697077E-2</v>
      </c>
      <c r="L113" s="141">
        <f>IFERROR(IF(OR(NOT(ISNUMBER('Price History'!L114)),NOT(ISNUMBER('Price History'!L113)),'Price History'!L113=0),"",'Price History'!L114/'Price History'!L113-1),"")</f>
        <v>1.8535649432966705E-2</v>
      </c>
      <c r="M113" s="141">
        <f>IFERROR(IF(OR(NOT(ISNUMBER('Price History'!M114)),NOT(ISNUMBER('Price History'!M113)),'Price History'!M113=0),"",'Price History'!M114/'Price History'!M113-1),"")</f>
        <v>3.6532874206391952E-2</v>
      </c>
      <c r="N113" s="141">
        <f>IFERROR(IF(OR(NOT(ISNUMBER('Price History'!N114)),NOT(ISNUMBER('Price History'!N113)),'Price History'!N113=0),"",'Price History'!N114/'Price History'!N113-1),"")</f>
        <v>9.919551958992967E-3</v>
      </c>
      <c r="O113" s="141">
        <f>IFERROR(IF(OR(NOT(ISNUMBER('Price History'!O114)),NOT(ISNUMBER('Price History'!O113)),'Price History'!O113=0),"",'Price History'!O114/'Price History'!O113-1),"")</f>
        <v>-2.1194605009633993E-2</v>
      </c>
      <c r="P113" s="141">
        <f>IFERROR(IF(OR(NOT(ISNUMBER('Price History'!P114)),NOT(ISNUMBER('Price History'!P113)),'Price History'!P113=0),"",'Price History'!P114/'Price History'!P113-1),"")</f>
        <v>-2.3825088980896303E-2</v>
      </c>
      <c r="Q113" s="141">
        <f>IFERROR(IF(OR(NOT(ISNUMBER('Price History'!Q114)),NOT(ISNUMBER('Price History'!Q113)),'Price History'!Q113=0),"",'Price History'!Q114/'Price History'!Q113-1),"")</f>
        <v>6.1368517950288748E-4</v>
      </c>
      <c r="R113" s="141">
        <f>IFERROR(IF(OR(NOT(ISNUMBER('Price History'!R114)),NOT(ISNUMBER('Price History'!R113)),'Price History'!R113=0),"",'Price History'!R114/'Price History'!R113-1),"")</f>
        <v>9.4049904030710785E-3</v>
      </c>
      <c r="S113" s="141">
        <f>IFERROR(IF(OR(NOT(ISNUMBER('Price History'!S114)),NOT(ISNUMBER('Price History'!S113)),'Price History'!S113=0),"",'Price History'!S114/'Price History'!S113-1),"")</f>
        <v>-8.2856906123085494E-5</v>
      </c>
      <c r="T113" s="141">
        <f>IFERROR(IF(OR(NOT(ISNUMBER('Price History'!T114)),NOT(ISNUMBER('Price History'!T113)),'Price History'!T113=0),"",'Price History'!T114/'Price History'!T113-1),"")</f>
        <v>-6.1105207226356262E-3</v>
      </c>
      <c r="U113" s="141">
        <f>IFERROR(IF(OR(NOT(ISNUMBER('Price History'!U114)),NOT(ISNUMBER('Price History'!U113)),'Price History'!U113=0),"",'Price History'!U114/'Price History'!U113-1),"")</f>
        <v>-1.0340865568747581E-2</v>
      </c>
      <c r="V113" s="142">
        <f>IFERROR(IF(OR(NOT(ISNUMBER('Price History'!V114)),NOT(ISNUMBER('Price History'!V113)),'Price History'!V113=0),"",'Price History'!V114/'Price History'!V113-1),"")</f>
        <v>-1.9093494283558665E-2</v>
      </c>
      <c r="W113" s="143">
        <f>IFERROR('Price History'!B3+(INDEX('Price History'!B:B,MATCH(9.99E+307,'Returns (Calc)'!$A:$A)+1)-'Price History'!B3)*(ROW()-3)/(MATCH(9.99E+307,'Returns (Calc)'!$A:$A)-3),"")</f>
        <v>326.15582278481008</v>
      </c>
      <c r="X113" s="143">
        <f>IFERROR('Price History'!C3+(INDEX('Price History'!C:C,MATCH(9.99E+307,'Returns (Calc)'!$A:$A)+1)-'Price History'!C3)*(ROW()-3)/(MATCH(9.99E+307,'Returns (Calc)'!$A:$A)-3),"")</f>
        <v>158.38696202531645</v>
      </c>
      <c r="Y113" s="143">
        <f>IFERROR('Price History'!D3+(INDEX('Price History'!D:D,MATCH(9.99E+307,'Returns (Calc)'!$A:$A)+1)-'Price History'!D3)*(ROW()-3)/(MATCH(9.99E+307,'Returns (Calc)'!$A:$A)-3),"")</f>
        <v>1476.8391139240507</v>
      </c>
      <c r="Z113" s="143">
        <f>IFERROR('Price History'!E3+(INDEX('Price History'!E:E,MATCH(9.99E+307,'Returns (Calc)'!$A:$A)+1)-'Price History'!E3)*(ROW()-3)/(MATCH(9.99E+307,'Returns (Calc)'!$A:$A)-3),"")</f>
        <v>272.16075949367087</v>
      </c>
      <c r="AA113" s="143">
        <f>IFERROR('Price History'!F3+(INDEX('Price History'!F:F,MATCH(9.99E+307,'Returns (Calc)'!$A:$A)+1)-'Price History'!F3)*(ROW()-3)/(MATCH(9.99E+307,'Returns (Calc)'!$A:$A)-3),"")</f>
        <v>200.56759493670887</v>
      </c>
      <c r="AB113" s="143">
        <f>IFERROR('Price History'!G3+(INDEX('Price History'!G:G,MATCH(9.99E+307,'Returns (Calc)'!$A:$A)+1)-'Price History'!G3)*(ROW()-3)/(MATCH(9.99E+307,'Returns (Calc)'!$A:$A)-3),"")</f>
        <v>157.51075949367086</v>
      </c>
      <c r="AC113" s="143">
        <f>IFERROR('Price History'!H3+(INDEX('Price History'!H:H,MATCH(9.99E+307,'Returns (Calc)'!$A:$A)+1)-'Price History'!H3)*(ROW()-3)/(MATCH(9.99E+307,'Returns (Calc)'!$A:$A)-3),"")</f>
        <v>769.33658227848105</v>
      </c>
      <c r="AD113" s="143">
        <f>IFERROR('Price History'!I3+(INDEX('Price History'!I:I,MATCH(9.99E+307,'Returns (Calc)'!$A:$A)+1)-'Price History'!I3)*(ROW()-3)/(MATCH(9.99E+307,'Returns (Calc)'!$A:$A)-3),"")</f>
        <v>176.17379746835442</v>
      </c>
      <c r="AE113" s="143">
        <f>IFERROR('Price History'!J3+(INDEX('Price History'!J:J,MATCH(9.99E+307,'Returns (Calc)'!$A:$A)+1)-'Price History'!J3)*(ROW()-3)/(MATCH(9.99E+307,'Returns (Calc)'!$A:$A)-3),"")</f>
        <v>123.72417721518987</v>
      </c>
      <c r="AF113" s="143">
        <f>IFERROR('Price History'!K3+(INDEX('Price History'!K:K,MATCH(9.99E+307,'Returns (Calc)'!$A:$A)+1)-'Price History'!K3)*(ROW()-3)/(MATCH(9.99E+307,'Returns (Calc)'!$A:$A)-3),"")</f>
        <v>136.06544303797466</v>
      </c>
      <c r="AG113" s="143">
        <f>IFERROR('Price History'!L3+(INDEX('Price History'!L:L,MATCH(9.99E+307,'Returns (Calc)'!$A:$A)+1)-'Price History'!L3)*(ROW()-3)/(MATCH(9.99E+307,'Returns (Calc)'!$A:$A)-3),"")</f>
        <v>355.20126582278476</v>
      </c>
      <c r="AH113" s="143">
        <f>IFERROR('Price History'!M3+(INDEX('Price History'!M:M,MATCH(9.99E+307,'Returns (Calc)'!$A:$A)+1)-'Price History'!M3)*(ROW()-3)/(MATCH(9.99E+307,'Returns (Calc)'!$A:$A)-3),"")</f>
        <v>187.1187341772152</v>
      </c>
      <c r="AI113" s="143">
        <f>IFERROR('Price History'!N3+(INDEX('Price History'!N:N,MATCH(9.99E+307,'Returns (Calc)'!$A:$A)+1)-'Price History'!N3)*(ROW()-3)/(MATCH(9.99E+307,'Returns (Calc)'!$A:$A)-3),"")</f>
        <v>457.38924050632909</v>
      </c>
      <c r="AJ113" s="143">
        <f>IFERROR('Price History'!O3+(INDEX('Price History'!O:O,MATCH(9.99E+307,'Returns (Calc)'!$A:$A)+1)-'Price History'!O3)*(ROW()-3)/(MATCH(9.99E+307,'Returns (Calc)'!$A:$A)-3),"")</f>
        <v>106.44417721518988</v>
      </c>
      <c r="AK113" s="143">
        <f>IFERROR('Price History'!Q3+(INDEX('Price History'!Q:Q,MATCH(9.99E+307,'Returns (Calc)'!$A:$A)+1)-'Price History'!Q3)*(ROW()-3)/(MATCH(9.99E+307,'Returns (Calc)'!$A:$A)-3),"")</f>
        <v>48.33037974683544</v>
      </c>
      <c r="AL113" s="143">
        <f>IFERROR('Price History'!R3+(INDEX('Price History'!R:R,MATCH(9.99E+307,'Returns (Calc)'!$A:$A)+1)-'Price History'!R3)*(ROW()-3)/(MATCH(9.99E+307,'Returns (Calc)'!$A:$A)-3),"")</f>
        <v>52.971139240506332</v>
      </c>
      <c r="AM113" s="143">
        <f>IFERROR('Price History'!S3+(INDEX('Price History'!S:S,MATCH(9.99E+307,'Returns (Calc)'!$A:$A)+1)-'Price History'!S3)*(ROW()-3)/(MATCH(9.99E+307,'Returns (Calc)'!$A:$A)-3),"")</f>
        <v>124.18696202531646</v>
      </c>
      <c r="AN113" s="143">
        <f>IFERROR('Price History'!T3+(INDEX('Price History'!T:T,MATCH(9.99E+307,'Returns (Calc)'!$A:$A)+1)-'Price History'!T3)*(ROW()-3)/(MATCH(9.99E+307,'Returns (Calc)'!$A:$A)-3),"")</f>
        <v>43.745063291139239</v>
      </c>
      <c r="AO113" s="144">
        <f>IFERROR('Price History'!V3+(INDEX('Price History'!V:V,MATCH(9.99E+307,'Returns (Calc)'!$A:$A)+1)-'Price History'!V3)*(ROW()-3)/(MATCH(9.99E+307,'Returns (Calc)'!$A:$A)-3),"")</f>
        <v>322.67620253164557</v>
      </c>
      <c r="AP113" s="142">
        <f>IFERROR(IF(OR(NOT(ISNUMBER('Price History'!W114)),NOT(ISNUMBER('Price History'!W113)),'Price History'!W113=0),"",'Price History'!W114/'Price History'!W113-1),"")</f>
        <v>-7.3784722222223209E-3</v>
      </c>
      <c r="AQ113" s="142" t="str">
        <f>IFERROR(IF(OR(NOT(ISNUMBER('Price History'!X114)),NOT(ISNUMBER('Price History'!X113)),'Price History'!X113=0),"",'Price History'!X114/'Price History'!X113-1),"")</f>
        <v/>
      </c>
      <c r="AR113" s="142">
        <f>IFERROR(IF(OR(NOT(ISNUMBER('Price History'!Y114)),NOT(ISNUMBER('Price History'!Y113)),'Price History'!Y113=0),"",'Price History'!Y114/'Price History'!Y113-1),"")</f>
        <v>-9.9905749293118795E-3</v>
      </c>
      <c r="AS113" s="142">
        <f>IFERROR(IF(OR(NOT(ISNUMBER('Price History'!Z114)),NOT(ISNUMBER('Price History'!Z113)),'Price History'!Z113=0),"",'Price History'!Z114/'Price History'!Z113-1),"")</f>
        <v>1.6716220680541793E-2</v>
      </c>
      <c r="AT113" s="142">
        <f>IFERROR(IF(OR(NOT(ISNUMBER('Price History'!AA114)),NOT(ISNUMBER('Price History'!AA113)),'Price History'!AA113=0),"",'Price History'!AA114/'Price History'!AA113-1),"")</f>
        <v>2.2106513199963373E-2</v>
      </c>
    </row>
    <row r="114" spans="1:46" ht="15" customHeight="1" x14ac:dyDescent="0.35">
      <c r="A114" s="140">
        <f>IF('Price History'!A115="","",'Price History'!A115)</f>
        <v>45968</v>
      </c>
      <c r="B114" s="141">
        <f>IFERROR(IF(OR(NOT(ISNUMBER('Price History'!B115)),NOT(ISNUMBER('Price History'!B114)),'Price History'!B114=0),"",'Price History'!B115/'Price History'!B114-1),"")</f>
        <v>-3.9258323293467789E-2</v>
      </c>
      <c r="C114" s="141">
        <f>IFERROR(IF(OR(NOT(ISNUMBER('Price History'!C115)),NOT(ISNUMBER('Price History'!C114)),'Price History'!C114=0),"",'Price History'!C115/'Price History'!C114-1),"")</f>
        <v>-0.14610945526032082</v>
      </c>
      <c r="D114" s="141">
        <f>IFERROR(IF(OR(NOT(ISNUMBER('Price History'!D115)),NOT(ISNUMBER('Price History'!D114)),'Price History'!D114=0),"",'Price History'!D115/'Price History'!D114-1),"")</f>
        <v>-3.9908174203401758E-2</v>
      </c>
      <c r="E114" s="141">
        <f>IFERROR(IF(OR(NOT(ISNUMBER('Price History'!E115)),NOT(ISNUMBER('Price History'!E114)),'Price History'!E114=0),"",'Price History'!E115/'Price History'!E114-1),"")</f>
        <v>-5.4647042790951117E-2</v>
      </c>
      <c r="F114" s="141">
        <f>IFERROR(IF(OR(NOT(ISNUMBER('Price History'!F115)),NOT(ISNUMBER('Price History'!F114)),'Price History'!F114=0),"",'Price History'!F115/'Price History'!F114-1),"")</f>
        <v>-5.8931860036832706E-3</v>
      </c>
      <c r="G114" s="141">
        <f>IFERROR(IF(OR(NOT(ISNUMBER('Price History'!G115)),NOT(ISNUMBER('Price History'!G114)),'Price History'!G114=0),"",'Price History'!G115/'Price History'!G114-1),"")</f>
        <v>-1.2725609248939507E-2</v>
      </c>
      <c r="H114" s="141">
        <f>IFERROR(IF(OR(NOT(ISNUMBER('Price History'!H115)),NOT(ISNUMBER('Price History'!H114)),'Price History'!H114=0),"",'Price History'!H115/'Price History'!H114-1),"")</f>
        <v>6.3252068888391744E-2</v>
      </c>
      <c r="I114" s="141">
        <f>IFERROR(IF(OR(NOT(ISNUMBER('Price History'!I115)),NOT(ISNUMBER('Price History'!I114)),'Price History'!I114=0),"",'Price History'!I115/'Price History'!I114-1),"")</f>
        <v>-7.0838077322904813E-2</v>
      </c>
      <c r="J114" s="141">
        <f>IFERROR(IF(OR(NOT(ISNUMBER('Price History'!J115)),NOT(ISNUMBER('Price History'!J114)),'Price History'!J114=0),"",'Price History'!J115/'Price History'!J114-1),"")</f>
        <v>1.2218435707755049E-2</v>
      </c>
      <c r="K114" s="141">
        <f>IFERROR(IF(OR(NOT(ISNUMBER('Price History'!K115)),NOT(ISNUMBER('Price History'!K114)),'Price History'!K114=0),"",'Price History'!K115/'Price History'!K114-1),"")</f>
        <v>-0.1124357759265725</v>
      </c>
      <c r="L114" s="141">
        <f>IFERROR(IF(OR(NOT(ISNUMBER('Price History'!L115)),NOT(ISNUMBER('Price History'!L114)),'Price History'!L114=0),"",'Price History'!L115/'Price History'!L114-1),"")</f>
        <v>-4.6353606027986993E-2</v>
      </c>
      <c r="M114" s="141">
        <f>IFERROR(IF(OR(NOT(ISNUMBER('Price History'!M115)),NOT(ISNUMBER('Price History'!M114)),'Price History'!M114=0),"",'Price History'!M115/'Price History'!M114-1),"")</f>
        <v>-6.7687516221126343E-2</v>
      </c>
      <c r="N114" s="141">
        <f>IFERROR(IF(OR(NOT(ISNUMBER('Price History'!N115)),NOT(ISNUMBER('Price History'!N114)),'Price History'!N114=0),"",'Price History'!N115/'Price History'!N114-1),"")</f>
        <v>-3.7831614070540587E-2</v>
      </c>
      <c r="O114" s="141">
        <f>IFERROR(IF(OR(NOT(ISNUMBER('Price History'!O115)),NOT(ISNUMBER('Price History'!O114)),'Price History'!O114=0),"",'Price History'!O115/'Price History'!O114-1),"")</f>
        <v>-6.2163282221305849E-4</v>
      </c>
      <c r="P114" s="141">
        <f>IFERROR(IF(OR(NOT(ISNUMBER('Price History'!P115)),NOT(ISNUMBER('Price History'!P114)),'Price History'!P114=0),"",'Price History'!P115/'Price History'!P114-1),"")</f>
        <v>7.441029838529678E-3</v>
      </c>
      <c r="Q114" s="141">
        <f>IFERROR(IF(OR(NOT(ISNUMBER('Price History'!Q115)),NOT(ISNUMBER('Price History'!Q114)),'Price History'!Q114=0),"",'Price History'!Q115/'Price History'!Q114-1),"")</f>
        <v>-5.0597976080956064E-3</v>
      </c>
      <c r="R114" s="141">
        <f>IFERROR(IF(OR(NOT(ISNUMBER('Price History'!R115)),NOT(ISNUMBER('Price History'!R114)),'Price History'!R114=0),"",'Price History'!R115/'Price History'!R114-1),"")</f>
        <v>-1.5592317931165667E-2</v>
      </c>
      <c r="S114" s="141">
        <f>IFERROR(IF(OR(NOT(ISNUMBER('Price History'!S115)),NOT(ISNUMBER('Price History'!S114)),'Price History'!S114=0),"",'Price History'!S115/'Price History'!S114-1),"")</f>
        <v>-2.601922439509452E-2</v>
      </c>
      <c r="T114" s="141">
        <f>IFERROR(IF(OR(NOT(ISNUMBER('Price History'!T115)),NOT(ISNUMBER('Price History'!T114)),'Price History'!T114=0),"",'Price History'!T115/'Price History'!T114-1),"")</f>
        <v>2.1384656508955935E-3</v>
      </c>
      <c r="U114" s="141">
        <f>IFERROR(IF(OR(NOT(ISNUMBER('Price History'!U115)),NOT(ISNUMBER('Price History'!U114)),'Price History'!U114=0),"",'Price History'!U115/'Price History'!U114-1),"")</f>
        <v>-1.1609907120743168E-3</v>
      </c>
      <c r="V114" s="142">
        <f>IFERROR(IF(OR(NOT(ISNUMBER('Price History'!V115)),NOT(ISNUMBER('Price History'!V114)),'Price History'!V114=0),"",'Price History'!V115/'Price History'!V114-1),"")</f>
        <v>-1.3874097739912439E-2</v>
      </c>
      <c r="W114" s="143">
        <f>IFERROR('Price History'!B3+(INDEX('Price History'!B:B,MATCH(9.99E+307,'Returns (Calc)'!$A:$A)+1)-'Price History'!B3)*(ROW()-3)/(MATCH(9.99E+307,'Returns (Calc)'!$A:$A)-3),"")</f>
        <v>324.31278481012657</v>
      </c>
      <c r="X114" s="143">
        <f>IFERROR('Price History'!C3+(INDEX('Price History'!C:C,MATCH(9.99E+307,'Returns (Calc)'!$A:$A)+1)-'Price History'!C3)*(ROW()-3)/(MATCH(9.99E+307,'Returns (Calc)'!$A:$A)-3),"")</f>
        <v>159.4070253164557</v>
      </c>
      <c r="Y114" s="143">
        <f>IFERROR('Price History'!D3+(INDEX('Price History'!D:D,MATCH(9.99E+307,'Returns (Calc)'!$A:$A)+1)-'Price History'!D3)*(ROW()-3)/(MATCH(9.99E+307,'Returns (Calc)'!$A:$A)-3),"")</f>
        <v>1484.9739240506328</v>
      </c>
      <c r="Z114" s="143">
        <f>IFERROR('Price History'!E3+(INDEX('Price History'!E:E,MATCH(9.99E+307,'Returns (Calc)'!$A:$A)+1)-'Price History'!E3)*(ROW()-3)/(MATCH(9.99E+307,'Returns (Calc)'!$A:$A)-3),"")</f>
        <v>273.88949367088605</v>
      </c>
      <c r="AA114" s="143">
        <f>IFERROR('Price History'!F3+(INDEX('Price History'!F:F,MATCH(9.99E+307,'Returns (Calc)'!$A:$A)+1)-'Price History'!F3)*(ROW()-3)/(MATCH(9.99E+307,'Returns (Calc)'!$A:$A)-3),"")</f>
        <v>202.01493670886077</v>
      </c>
      <c r="AB114" s="143">
        <f>IFERROR('Price History'!G3+(INDEX('Price History'!G:G,MATCH(9.99E+307,'Returns (Calc)'!$A:$A)+1)-'Price History'!G3)*(ROW()-3)/(MATCH(9.99E+307,'Returns (Calc)'!$A:$A)-3),"")</f>
        <v>158.53949367088606</v>
      </c>
      <c r="AC114" s="143">
        <f>IFERROR('Price History'!H3+(INDEX('Price History'!H:H,MATCH(9.99E+307,'Returns (Calc)'!$A:$A)+1)-'Price History'!H3)*(ROW()-3)/(MATCH(9.99E+307,'Returns (Calc)'!$A:$A)-3),"")</f>
        <v>775.70227848101274</v>
      </c>
      <c r="AD114" s="143">
        <f>IFERROR('Price History'!I3+(INDEX('Price History'!I:I,MATCH(9.99E+307,'Returns (Calc)'!$A:$A)+1)-'Price History'!I3)*(ROW()-3)/(MATCH(9.99E+307,'Returns (Calc)'!$A:$A)-3),"")</f>
        <v>177.37746835443036</v>
      </c>
      <c r="AE114" s="143">
        <f>IFERROR('Price History'!J3+(INDEX('Price History'!J:J,MATCH(9.99E+307,'Returns (Calc)'!$A:$A)+1)-'Price History'!J3)*(ROW()-3)/(MATCH(9.99E+307,'Returns (Calc)'!$A:$A)-3),"")</f>
        <v>123.83221518987341</v>
      </c>
      <c r="AF114" s="143">
        <f>IFERROR('Price History'!K3+(INDEX('Price History'!K:K,MATCH(9.99E+307,'Returns (Calc)'!$A:$A)+1)-'Price History'!K3)*(ROW()-3)/(MATCH(9.99E+307,'Returns (Calc)'!$A:$A)-3),"")</f>
        <v>137.16303797468353</v>
      </c>
      <c r="AG114" s="143">
        <f>IFERROR('Price History'!L3+(INDEX('Price History'!L:L,MATCH(9.99E+307,'Returns (Calc)'!$A:$A)+1)-'Price History'!L3)*(ROW()-3)/(MATCH(9.99E+307,'Returns (Calc)'!$A:$A)-3),"")</f>
        <v>357.65082278481009</v>
      </c>
      <c r="AH114" s="143">
        <f>IFERROR('Price History'!M3+(INDEX('Price History'!M:M,MATCH(9.99E+307,'Returns (Calc)'!$A:$A)+1)-'Price History'!M3)*(ROW()-3)/(MATCH(9.99E+307,'Returns (Calc)'!$A:$A)-3),"")</f>
        <v>188.47417721518988</v>
      </c>
      <c r="AI114" s="143">
        <f>IFERROR('Price History'!N3+(INDEX('Price History'!N:N,MATCH(9.99E+307,'Returns (Calc)'!$A:$A)+1)-'Price History'!N3)*(ROW()-3)/(MATCH(9.99E+307,'Returns (Calc)'!$A:$A)-3),"")</f>
        <v>458.37550632911393</v>
      </c>
      <c r="AJ114" s="143">
        <f>IFERROR('Price History'!O3+(INDEX('Price History'!O:O,MATCH(9.99E+307,'Returns (Calc)'!$A:$A)+1)-'Price History'!O3)*(ROW()-3)/(MATCH(9.99E+307,'Returns (Calc)'!$A:$A)-3),"")</f>
        <v>106.72721518987342</v>
      </c>
      <c r="AK114" s="143">
        <f>IFERROR('Price History'!Q3+(INDEX('Price History'!Q:Q,MATCH(9.99E+307,'Returns (Calc)'!$A:$A)+1)-'Price History'!Q3)*(ROW()-3)/(MATCH(9.99E+307,'Returns (Calc)'!$A:$A)-3),"")</f>
        <v>48.769746835443037</v>
      </c>
      <c r="AL114" s="143">
        <f>IFERROR('Price History'!R3+(INDEX('Price History'!R:R,MATCH(9.99E+307,'Returns (Calc)'!$A:$A)+1)-'Price History'!R3)*(ROW()-3)/(MATCH(9.99E+307,'Returns (Calc)'!$A:$A)-3),"")</f>
        <v>53.139240506329116</v>
      </c>
      <c r="AM114" s="143">
        <f>IFERROR('Price History'!S3+(INDEX('Price History'!S:S,MATCH(9.99E+307,'Returns (Calc)'!$A:$A)+1)-'Price History'!S3)*(ROW()-3)/(MATCH(9.99E+307,'Returns (Calc)'!$A:$A)-3),"")</f>
        <v>124.79202531645569</v>
      </c>
      <c r="AN114" s="143">
        <f>IFERROR('Price History'!T3+(INDEX('Price History'!T:T,MATCH(9.99E+307,'Returns (Calc)'!$A:$A)+1)-'Price History'!T3)*(ROW()-3)/(MATCH(9.99E+307,'Returns (Calc)'!$A:$A)-3),"")</f>
        <v>43.913291139240506</v>
      </c>
      <c r="AO114" s="144">
        <f>IFERROR('Price History'!V3+(INDEX('Price History'!V:V,MATCH(9.99E+307,'Returns (Calc)'!$A:$A)+1)-'Price History'!V3)*(ROW()-3)/(MATCH(9.99E+307,'Returns (Calc)'!$A:$A)-3),"")</f>
        <v>323.46753164556964</v>
      </c>
      <c r="AP114" s="142">
        <f>IFERROR(IF(OR(NOT(ISNUMBER('Price History'!W115)),NOT(ISNUMBER('Price History'!W114)),'Price History'!W114=0),"",'Price History'!W115/'Price History'!W114-1),"")</f>
        <v>-2.1862702229996644E-3</v>
      </c>
      <c r="AQ114" s="142" t="str">
        <f>IFERROR(IF(OR(NOT(ISNUMBER('Price History'!X115)),NOT(ISNUMBER('Price History'!X114)),'Price History'!X114=0),"",'Price History'!X115/'Price History'!X114-1),"")</f>
        <v/>
      </c>
      <c r="AR114" s="142">
        <f>IFERROR(IF(OR(NOT(ISNUMBER('Price History'!Y115)),NOT(ISNUMBER('Price History'!Y114)),'Price History'!Y114=0),"",'Price History'!Y115/'Price History'!Y114-1),"")</f>
        <v>-1.5232292460016783E-3</v>
      </c>
      <c r="AS114" s="142">
        <f>IFERROR(IF(OR(NOT(ISNUMBER('Price History'!Z115)),NOT(ISNUMBER('Price History'!Z114)),'Price History'!Z114=0),"",'Price History'!Z115/'Price History'!Z114-1),"")</f>
        <v>-5.4263062126332917E-3</v>
      </c>
      <c r="AT114" s="142">
        <f>IFERROR(IF(OR(NOT(ISNUMBER('Price History'!AA115)),NOT(ISNUMBER('Price History'!AA114)),'Price History'!AA114=0),"",'Price History'!AA115/'Price History'!AA114-1),"")</f>
        <v>-1.3584770756993492E-2</v>
      </c>
    </row>
    <row r="115" spans="1:46" ht="15" customHeight="1" x14ac:dyDescent="0.35">
      <c r="A115" s="140">
        <f>IF('Price History'!A116="","",'Price History'!A116)</f>
        <v>45975</v>
      </c>
      <c r="B115" s="141">
        <f>IFERROR(IF(OR(NOT(ISNUMBER('Price History'!B116)),NOT(ISNUMBER('Price History'!B115)),'Price History'!B115=0),"",'Price History'!B116/'Price History'!B115-1),"")</f>
        <v>1.2723658051689846E-2</v>
      </c>
      <c r="C115" s="141">
        <f>IFERROR(IF(OR(NOT(ISNUMBER('Price History'!C116)),NOT(ISNUMBER('Price History'!C115)),'Price History'!C115=0),"",'Price History'!C116/'Price History'!C115-1),"")</f>
        <v>-2.4359450427033025E-2</v>
      </c>
      <c r="D115" s="141">
        <f>IFERROR(IF(OR(NOT(ISNUMBER('Price History'!D116)),NOT(ISNUMBER('Price History'!D115)),'Price History'!D115=0),"",'Price History'!D116/'Price History'!D115-1),"")</f>
        <v>-9.8112834700129214E-3</v>
      </c>
      <c r="E115" s="141">
        <f>IFERROR(IF(OR(NOT(ISNUMBER('Price History'!E116)),NOT(ISNUMBER('Price History'!E115)),'Price History'!E115=0),"",'Price History'!E116/'Price History'!E115-1),"")</f>
        <v>-1.9950987458555614E-2</v>
      </c>
      <c r="F115" s="141">
        <f>IFERROR(IF(OR(NOT(ISNUMBER('Price History'!F116)),NOT(ISNUMBER('Price History'!F115)),'Price History'!F115=0),"",'Price History'!F116/'Price History'!F115-1),"")</f>
        <v>-4.1496850685439624E-3</v>
      </c>
      <c r="G115" s="141">
        <f>IFERROR(IF(OR(NOT(ISNUMBER('Price History'!G116)),NOT(ISNUMBER('Price History'!G115)),'Price History'!G115=0),"",'Price History'!G116/'Price History'!G115-1),"")</f>
        <v>-4.9536647009267187E-2</v>
      </c>
      <c r="H115" s="141">
        <f>IFERROR(IF(OR(NOT(ISNUMBER('Price History'!H116)),NOT(ISNUMBER('Price History'!H115)),'Price History'!H115=0),"",'Price History'!H116/'Price History'!H115-1),"")</f>
        <v>3.7443729227144562E-2</v>
      </c>
      <c r="I115" s="141">
        <f>IFERROR(IF(OR(NOT(ISNUMBER('Price History'!I116)),NOT(ISNUMBER('Price History'!I115)),'Price History'!I115=0),"",'Price History'!I116/'Price History'!I115-1),"")</f>
        <v>1.0761854022376172E-2</v>
      </c>
      <c r="J115" s="141">
        <f>IFERROR(IF(OR(NOT(ISNUMBER('Price History'!J116)),NOT(ISNUMBER('Price History'!J115)),'Price History'!J115=0),"",'Price History'!J116/'Price History'!J115-1),"")</f>
        <v>-2.2089012974215727E-2</v>
      </c>
      <c r="K115" s="141">
        <f>IFERROR(IF(OR(NOT(ISNUMBER('Price History'!K116)),NOT(ISNUMBER('Price History'!K115)),'Price History'!K115=0),"",'Price History'!K116/'Price History'!K115-1),"")</f>
        <v>-2.2031135839937099E-2</v>
      </c>
      <c r="L115" s="141">
        <f>IFERROR(IF(OR(NOT(ISNUMBER('Price History'!L116)),NOT(ISNUMBER('Price History'!L115)),'Price History'!L115=0),"",'Price History'!L116/'Price History'!L115-1),"")</f>
        <v>-5.855379188712595E-3</v>
      </c>
      <c r="M115" s="141">
        <f>IFERROR(IF(OR(NOT(ISNUMBER('Price History'!M116)),NOT(ISNUMBER('Price History'!M115)),'Price History'!M115=0),"",'Price History'!M116/'Price History'!M115-1),"")</f>
        <v>-4.9106397193920293E-2</v>
      </c>
      <c r="N115" s="141">
        <f>IFERROR(IF(OR(NOT(ISNUMBER('Price History'!N116)),NOT(ISNUMBER('Price History'!N115)),'Price History'!N115=0),"",'Price History'!N116/'Price History'!N115-1),"")</f>
        <v>6.7599579944806587E-2</v>
      </c>
      <c r="O115" s="141">
        <f>IFERROR(IF(OR(NOT(ISNUMBER('Price History'!O116)),NOT(ISNUMBER('Price History'!O115)),'Price History'!O115=0),"",'Price History'!O116/'Price History'!O115-1),"")</f>
        <v>-1.4513788098693414E-3</v>
      </c>
      <c r="P115" s="141">
        <f>IFERROR(IF(OR(NOT(ISNUMBER('Price History'!P116)),NOT(ISNUMBER('Price History'!P115)),'Price History'!P115=0),"",'Price History'!P116/'Price History'!P115-1),"")</f>
        <v>3.1021493463330163E-3</v>
      </c>
      <c r="Q115" s="141">
        <f>IFERROR(IF(OR(NOT(ISNUMBER('Price History'!Q116)),NOT(ISNUMBER('Price History'!Q115)),'Price History'!Q115=0),"",'Price History'!Q116/'Price History'!Q115-1),"")</f>
        <v>1.5410695022344267E-3</v>
      </c>
      <c r="R115" s="141">
        <f>IFERROR(IF(OR(NOT(ISNUMBER('Price History'!R116)),NOT(ISNUMBER('Price History'!R115)),'Price History'!R115=0),"",'Price History'!R116/'Price History'!R115-1),"")</f>
        <v>1.9316206297081973E-3</v>
      </c>
      <c r="S115" s="141">
        <f>IFERROR(IF(OR(NOT(ISNUMBER('Price History'!S116)),NOT(ISNUMBER('Price History'!S115)),'Price History'!S115=0),"",'Price History'!S116/'Price History'!S115-1),"")</f>
        <v>-5.9554194316828735E-3</v>
      </c>
      <c r="T115" s="141">
        <f>IFERROR(IF(OR(NOT(ISNUMBER('Price History'!T116)),NOT(ISNUMBER('Price History'!T115)),'Price History'!T115=0),"",'Price History'!T116/'Price History'!T115-1),"")</f>
        <v>1.1202987463323488E-2</v>
      </c>
      <c r="U115" s="141">
        <f>IFERROR(IF(OR(NOT(ISNUMBER('Price History'!U116)),NOT(ISNUMBER('Price History'!U115)),'Price History'!U115=0),"",'Price History'!U116/'Price History'!U115-1),"")</f>
        <v>1.97597830298335E-2</v>
      </c>
      <c r="V115" s="142">
        <f>IFERROR(IF(OR(NOT(ISNUMBER('Price History'!V116)),NOT(ISNUMBER('Price History'!V115)),'Price History'!V115=0),"",'Price History'!V116/'Price History'!V115-1),"")</f>
        <v>-1.5899205039748066E-2</v>
      </c>
      <c r="W115" s="143">
        <f>IFERROR('Price History'!B3+(INDEX('Price History'!B:B,MATCH(9.99E+307,'Returns (Calc)'!$A:$A)+1)-'Price History'!B3)*(ROW()-3)/(MATCH(9.99E+307,'Returns (Calc)'!$A:$A)-3),"")</f>
        <v>322.46974683544306</v>
      </c>
      <c r="X115" s="143">
        <f>IFERROR('Price History'!C3+(INDEX('Price History'!C:C,MATCH(9.99E+307,'Returns (Calc)'!$A:$A)+1)-'Price History'!C3)*(ROW()-3)/(MATCH(9.99E+307,'Returns (Calc)'!$A:$A)-3),"")</f>
        <v>160.42708860759492</v>
      </c>
      <c r="Y115" s="143">
        <f>IFERROR('Price History'!D3+(INDEX('Price History'!D:D,MATCH(9.99E+307,'Returns (Calc)'!$A:$A)+1)-'Price History'!D3)*(ROW()-3)/(MATCH(9.99E+307,'Returns (Calc)'!$A:$A)-3),"")</f>
        <v>1493.1087341772152</v>
      </c>
      <c r="Z115" s="143">
        <f>IFERROR('Price History'!E3+(INDEX('Price History'!E:E,MATCH(9.99E+307,'Returns (Calc)'!$A:$A)+1)-'Price History'!E3)*(ROW()-3)/(MATCH(9.99E+307,'Returns (Calc)'!$A:$A)-3),"")</f>
        <v>275.61822784810124</v>
      </c>
      <c r="AA115" s="143">
        <f>IFERROR('Price History'!F3+(INDEX('Price History'!F:F,MATCH(9.99E+307,'Returns (Calc)'!$A:$A)+1)-'Price History'!F3)*(ROW()-3)/(MATCH(9.99E+307,'Returns (Calc)'!$A:$A)-3),"")</f>
        <v>203.46227848101267</v>
      </c>
      <c r="AB115" s="143">
        <f>IFERROR('Price History'!G3+(INDEX('Price History'!G:G,MATCH(9.99E+307,'Returns (Calc)'!$A:$A)+1)-'Price History'!G3)*(ROW()-3)/(MATCH(9.99E+307,'Returns (Calc)'!$A:$A)-3),"")</f>
        <v>159.56822784810126</v>
      </c>
      <c r="AC115" s="143">
        <f>IFERROR('Price History'!H3+(INDEX('Price History'!H:H,MATCH(9.99E+307,'Returns (Calc)'!$A:$A)+1)-'Price History'!H3)*(ROW()-3)/(MATCH(9.99E+307,'Returns (Calc)'!$A:$A)-3),"")</f>
        <v>782.06797468354443</v>
      </c>
      <c r="AD115" s="143">
        <f>IFERROR('Price History'!I3+(INDEX('Price History'!I:I,MATCH(9.99E+307,'Returns (Calc)'!$A:$A)+1)-'Price History'!I3)*(ROW()-3)/(MATCH(9.99E+307,'Returns (Calc)'!$A:$A)-3),"")</f>
        <v>178.5811392405063</v>
      </c>
      <c r="AE115" s="143">
        <f>IFERROR('Price History'!J3+(INDEX('Price History'!J:J,MATCH(9.99E+307,'Returns (Calc)'!$A:$A)+1)-'Price History'!J3)*(ROW()-3)/(MATCH(9.99E+307,'Returns (Calc)'!$A:$A)-3),"")</f>
        <v>123.94025316455696</v>
      </c>
      <c r="AF115" s="143">
        <f>IFERROR('Price History'!K3+(INDEX('Price History'!K:K,MATCH(9.99E+307,'Returns (Calc)'!$A:$A)+1)-'Price History'!K3)*(ROW()-3)/(MATCH(9.99E+307,'Returns (Calc)'!$A:$A)-3),"")</f>
        <v>138.26063291139241</v>
      </c>
      <c r="AG115" s="143">
        <f>IFERROR('Price History'!L3+(INDEX('Price History'!L:L,MATCH(9.99E+307,'Returns (Calc)'!$A:$A)+1)-'Price History'!L3)*(ROW()-3)/(MATCH(9.99E+307,'Returns (Calc)'!$A:$A)-3),"")</f>
        <v>360.10037974683547</v>
      </c>
      <c r="AH115" s="143">
        <f>IFERROR('Price History'!M3+(INDEX('Price History'!M:M,MATCH(9.99E+307,'Returns (Calc)'!$A:$A)+1)-'Price History'!M3)*(ROW()-3)/(MATCH(9.99E+307,'Returns (Calc)'!$A:$A)-3),"")</f>
        <v>189.82962025316456</v>
      </c>
      <c r="AI115" s="143">
        <f>IFERROR('Price History'!N3+(INDEX('Price History'!N:N,MATCH(9.99E+307,'Returns (Calc)'!$A:$A)+1)-'Price History'!N3)*(ROW()-3)/(MATCH(9.99E+307,'Returns (Calc)'!$A:$A)-3),"")</f>
        <v>459.36177215189878</v>
      </c>
      <c r="AJ115" s="143">
        <f>IFERROR('Price History'!O3+(INDEX('Price History'!O:O,MATCH(9.99E+307,'Returns (Calc)'!$A:$A)+1)-'Price History'!O3)*(ROW()-3)/(MATCH(9.99E+307,'Returns (Calc)'!$A:$A)-3),"")</f>
        <v>107.01025316455696</v>
      </c>
      <c r="AK115" s="143">
        <f>IFERROR('Price History'!Q3+(INDEX('Price History'!Q:Q,MATCH(9.99E+307,'Returns (Calc)'!$A:$A)+1)-'Price History'!Q3)*(ROW()-3)/(MATCH(9.99E+307,'Returns (Calc)'!$A:$A)-3),"")</f>
        <v>49.209113924050634</v>
      </c>
      <c r="AL115" s="143">
        <f>IFERROR('Price History'!R3+(INDEX('Price History'!R:R,MATCH(9.99E+307,'Returns (Calc)'!$A:$A)+1)-'Price History'!R3)*(ROW()-3)/(MATCH(9.99E+307,'Returns (Calc)'!$A:$A)-3),"")</f>
        <v>53.307341772151901</v>
      </c>
      <c r="AM115" s="143">
        <f>IFERROR('Price History'!S3+(INDEX('Price History'!S:S,MATCH(9.99E+307,'Returns (Calc)'!$A:$A)+1)-'Price History'!S3)*(ROW()-3)/(MATCH(9.99E+307,'Returns (Calc)'!$A:$A)-3),"")</f>
        <v>125.39708860759492</v>
      </c>
      <c r="AN115" s="143">
        <f>IFERROR('Price History'!T3+(INDEX('Price History'!T:T,MATCH(9.99E+307,'Returns (Calc)'!$A:$A)+1)-'Price History'!T3)*(ROW()-3)/(MATCH(9.99E+307,'Returns (Calc)'!$A:$A)-3),"")</f>
        <v>44.081518987341767</v>
      </c>
      <c r="AO115" s="144">
        <f>IFERROR('Price History'!V3+(INDEX('Price History'!V:V,MATCH(9.99E+307,'Returns (Calc)'!$A:$A)+1)-'Price History'!V3)*(ROW()-3)/(MATCH(9.99E+307,'Returns (Calc)'!$A:$A)-3),"")</f>
        <v>324.2588607594937</v>
      </c>
      <c r="AP115" s="142">
        <f>IFERROR(IF(OR(NOT(ISNUMBER('Price History'!W116)),NOT(ISNUMBER('Price History'!W115)),'Price History'!W115=0),"",'Price History'!W116/'Price History'!W115-1),"")</f>
        <v>5.2585451358457824E-3</v>
      </c>
      <c r="AQ115" s="142" t="str">
        <f>IFERROR(IF(OR(NOT(ISNUMBER('Price History'!X116)),NOT(ISNUMBER('Price History'!X115)),'Price History'!X115=0),"",'Price History'!X116/'Price History'!X115-1),"")</f>
        <v/>
      </c>
      <c r="AR115" s="142">
        <f>IFERROR(IF(OR(NOT(ISNUMBER('Price History'!Y116)),NOT(ISNUMBER('Price History'!Y115)),'Price History'!Y115=0),"",'Price History'!Y116/'Price History'!Y115-1),"")</f>
        <v>5.1487414187643132E-3</v>
      </c>
      <c r="AS115" s="142">
        <f>IFERROR(IF(OR(NOT(ISNUMBER('Price History'!Z116)),NOT(ISNUMBER('Price History'!Z115)),'Price History'!Z115=0),"",'Price History'!Z116/'Price History'!Z115-1),"")</f>
        <v>-7.9715116469012415E-3</v>
      </c>
      <c r="AT115" s="142">
        <f>IFERROR(IF(OR(NOT(ISNUMBER('Price History'!AA116)),NOT(ISNUMBER('Price History'!AA115)),'Price History'!AA115=0),"",'Price History'!AA116/'Price History'!AA115-1),"")</f>
        <v>7.7013681253963462E-3</v>
      </c>
    </row>
    <row r="116" spans="1:46" ht="15" customHeight="1" x14ac:dyDescent="0.35">
      <c r="A116" s="140">
        <f>IF('Price History'!A117="","",'Price History'!A117)</f>
        <v>45982</v>
      </c>
      <c r="B116" s="141">
        <f>IFERROR(IF(OR(NOT(ISNUMBER('Price History'!B117)),NOT(ISNUMBER('Price History'!B116)),'Price History'!B116=0),"",'Price History'!B117/'Price History'!B116-1),"")</f>
        <v>-2.08993989912718E-2</v>
      </c>
      <c r="C116" s="141">
        <f>IFERROR(IF(OR(NOT(ISNUMBER('Price History'!C117)),NOT(ISNUMBER('Price History'!C116)),'Price History'!C116=0),"",'Price History'!C117/'Price History'!C116-1),"")</f>
        <v>-0.10611250666057692</v>
      </c>
      <c r="D116" s="141">
        <f>IFERROR(IF(OR(NOT(ISNUMBER('Price History'!D117)),NOT(ISNUMBER('Price History'!D116)),'Price History'!D116=0),"",'Price History'!D117/'Price History'!D116-1),"")</f>
        <v>-4.013291158186727E-2</v>
      </c>
      <c r="E116" s="141">
        <f>IFERROR(IF(OR(NOT(ISNUMBER('Price History'!E117)),NOT(ISNUMBER('Price History'!E116)),'Price History'!E116=0),"",'Price History'!E117/'Price History'!E116-1),"")</f>
        <v>-6.5895919748183429E-3</v>
      </c>
      <c r="F116" s="141">
        <f>IFERROR(IF(OR(NOT(ISNUMBER('Price History'!F117)),NOT(ISNUMBER('Price History'!F116)),'Price History'!F116=0),"",'Price History'!F117/'Price History'!F116-1),"")</f>
        <v>-8.7208869707567471E-2</v>
      </c>
      <c r="G116" s="141">
        <f>IFERROR(IF(OR(NOT(ISNUMBER('Price History'!G117)),NOT(ISNUMBER('Price History'!G116)),'Price History'!G116=0),"",'Price History'!G117/'Price History'!G116-1),"")</f>
        <v>-3.1111505052295652E-2</v>
      </c>
      <c r="H116" s="141">
        <f>IFERROR(IF(OR(NOT(ISNUMBER('Price History'!H117)),NOT(ISNUMBER('Price History'!H116)),'Price History'!H116=0),"",'Price History'!H117/'Price History'!H116-1),"")</f>
        <v>-0.15986049718155648</v>
      </c>
      <c r="I116" s="141">
        <f>IFERROR(IF(OR(NOT(ISNUMBER('Price History'!I117)),NOT(ISNUMBER('Price History'!I116)),'Price History'!I116=0),"",'Price History'!I117/'Price History'!I116-1),"")</f>
        <v>-5.9403331224963107E-2</v>
      </c>
      <c r="J116" s="141">
        <f>IFERROR(IF(OR(NOT(ISNUMBER('Price History'!J117)),NOT(ISNUMBER('Price History'!J116)),'Price History'!J116=0),"",'Price History'!J117/'Price History'!J116-1),"")</f>
        <v>2.4099420606264133E-2</v>
      </c>
      <c r="K116" s="141">
        <f>IFERROR(IF(OR(NOT(ISNUMBER('Price History'!K117)),NOT(ISNUMBER('Price History'!K116)),'Price History'!K116=0),"",'Price History'!K117/'Price History'!K116-1),"")</f>
        <v>-0.11010861444744557</v>
      </c>
      <c r="L116" s="141">
        <f>IFERROR(IF(OR(NOT(ISNUMBER('Price History'!L117)),NOT(ISNUMBER('Price History'!L116)),'Price History'!L116=0),"",'Price History'!L117/'Price History'!L116-1),"")</f>
        <v>-3.4274765824581221E-2</v>
      </c>
      <c r="M116" s="141">
        <f>IFERROR(IF(OR(NOT(ISNUMBER('Price History'!M117)),NOT(ISNUMBER('Price History'!M116)),'Price History'!M116=0),"",'Price History'!M117/'Price History'!M116-1),"")</f>
        <v>-6.5167749868259239E-2</v>
      </c>
      <c r="N116" s="141">
        <f>IFERROR(IF(OR(NOT(ISNUMBER('Price History'!N117)),NOT(ISNUMBER('Price History'!N116)),'Price History'!N116=0),"",'Price History'!N117/'Price History'!N116-1),"")</f>
        <v>-2.3767585496969001E-2</v>
      </c>
      <c r="O116" s="141">
        <f>IFERROR(IF(OR(NOT(ISNUMBER('Price History'!O117)),NOT(ISNUMBER('Price History'!O116)),'Price History'!O116=0),"",'Price History'!O117/'Price History'!O116-1),"")</f>
        <v>-7.7865448504983448E-3</v>
      </c>
      <c r="P116" s="141">
        <f>IFERROR(IF(OR(NOT(ISNUMBER('Price History'!P117)),NOT(ISNUMBER('Price History'!P116)),'Price History'!P116=0),"",'Price History'!P117/'Price History'!P116-1),"")</f>
        <v>-4.9333627862455653E-3</v>
      </c>
      <c r="Q116" s="141">
        <f>IFERROR(IF(OR(NOT(ISNUMBER('Price History'!Q117)),NOT(ISNUMBER('Price History'!Q116)),'Price History'!Q116=0),"",'Price History'!Q117/'Price History'!Q116-1),"")</f>
        <v>-8.9244499153715573E-3</v>
      </c>
      <c r="R116" s="141">
        <f>IFERROR(IF(OR(NOT(ISNUMBER('Price History'!R117)),NOT(ISNUMBER('Price History'!R116)),'Price History'!R116=0),"",'Price History'!R117/'Price History'!R116-1),"")</f>
        <v>-2.7376132639290396E-2</v>
      </c>
      <c r="S116" s="141">
        <f>IFERROR(IF(OR(NOT(ISNUMBER('Price History'!S117)),NOT(ISNUMBER('Price History'!S116)),'Price History'!S116=0),"",'Price History'!S117/'Price History'!S116-1),"")</f>
        <v>-2.9955494693598039E-2</v>
      </c>
      <c r="T116" s="141">
        <f>IFERROR(IF(OR(NOT(ISNUMBER('Price History'!T117)),NOT(ISNUMBER('Price History'!T116)),'Price History'!T116=0),"",'Price History'!T117/'Price History'!T116-1),"")</f>
        <v>-2.0047480875758361E-2</v>
      </c>
      <c r="U116" s="141">
        <f>IFERROR(IF(OR(NOT(ISNUMBER('Price History'!U117)),NOT(ISNUMBER('Price History'!U116)),'Price History'!U116=0),"",'Price History'!U117/'Price History'!U116-1),"")</f>
        <v>-5.3191489361702482E-3</v>
      </c>
      <c r="V116" s="142">
        <f>IFERROR(IF(OR(NOT(ISNUMBER('Price History'!V117)),NOT(ISNUMBER('Price History'!V116)),'Price History'!V116=0),"",'Price History'!V117/'Price History'!V116-1),"")</f>
        <v>-6.1880810852005252E-3</v>
      </c>
      <c r="W116" s="143">
        <f>IFERROR('Price History'!B3+(INDEX('Price History'!B:B,MATCH(9.99E+307,'Returns (Calc)'!$A:$A)+1)-'Price History'!B3)*(ROW()-3)/(MATCH(9.99E+307,'Returns (Calc)'!$A:$A)-3),"")</f>
        <v>320.62670886075949</v>
      </c>
      <c r="X116" s="143">
        <f>IFERROR('Price History'!C3+(INDEX('Price History'!C:C,MATCH(9.99E+307,'Returns (Calc)'!$A:$A)+1)-'Price History'!C3)*(ROW()-3)/(MATCH(9.99E+307,'Returns (Calc)'!$A:$A)-3),"")</f>
        <v>161.44715189873418</v>
      </c>
      <c r="Y116" s="143">
        <f>IFERROR('Price History'!D3+(INDEX('Price History'!D:D,MATCH(9.99E+307,'Returns (Calc)'!$A:$A)+1)-'Price History'!D3)*(ROW()-3)/(MATCH(9.99E+307,'Returns (Calc)'!$A:$A)-3),"")</f>
        <v>1501.2435443037975</v>
      </c>
      <c r="Z116" s="143">
        <f>IFERROR('Price History'!E3+(INDEX('Price History'!E:E,MATCH(9.99E+307,'Returns (Calc)'!$A:$A)+1)-'Price History'!E3)*(ROW()-3)/(MATCH(9.99E+307,'Returns (Calc)'!$A:$A)-3),"")</f>
        <v>277.34696202531643</v>
      </c>
      <c r="AA116" s="143">
        <f>IFERROR('Price History'!F3+(INDEX('Price History'!F:F,MATCH(9.99E+307,'Returns (Calc)'!$A:$A)+1)-'Price History'!F3)*(ROW()-3)/(MATCH(9.99E+307,'Returns (Calc)'!$A:$A)-3),"")</f>
        <v>204.90962025316458</v>
      </c>
      <c r="AB116" s="143">
        <f>IFERROR('Price History'!G3+(INDEX('Price History'!G:G,MATCH(9.99E+307,'Returns (Calc)'!$A:$A)+1)-'Price History'!G3)*(ROW()-3)/(MATCH(9.99E+307,'Returns (Calc)'!$A:$A)-3),"")</f>
        <v>160.59696202531646</v>
      </c>
      <c r="AC116" s="143">
        <f>IFERROR('Price History'!H3+(INDEX('Price History'!H:H,MATCH(9.99E+307,'Returns (Calc)'!$A:$A)+1)-'Price History'!H3)*(ROW()-3)/(MATCH(9.99E+307,'Returns (Calc)'!$A:$A)-3),"")</f>
        <v>788.43367088607602</v>
      </c>
      <c r="AD116" s="143">
        <f>IFERROR('Price History'!I3+(INDEX('Price History'!I:I,MATCH(9.99E+307,'Returns (Calc)'!$A:$A)+1)-'Price History'!I3)*(ROW()-3)/(MATCH(9.99E+307,'Returns (Calc)'!$A:$A)-3),"")</f>
        <v>179.78481012658227</v>
      </c>
      <c r="AE116" s="143">
        <f>IFERROR('Price History'!J3+(INDEX('Price History'!J:J,MATCH(9.99E+307,'Returns (Calc)'!$A:$A)+1)-'Price History'!J3)*(ROW()-3)/(MATCH(9.99E+307,'Returns (Calc)'!$A:$A)-3),"")</f>
        <v>124.0482911392405</v>
      </c>
      <c r="AF116" s="143">
        <f>IFERROR('Price History'!K3+(INDEX('Price History'!K:K,MATCH(9.99E+307,'Returns (Calc)'!$A:$A)+1)-'Price History'!K3)*(ROW()-3)/(MATCH(9.99E+307,'Returns (Calc)'!$A:$A)-3),"")</f>
        <v>139.35822784810128</v>
      </c>
      <c r="AG116" s="143">
        <f>IFERROR('Price History'!L3+(INDEX('Price History'!L:L,MATCH(9.99E+307,'Returns (Calc)'!$A:$A)+1)-'Price History'!L3)*(ROW()-3)/(MATCH(9.99E+307,'Returns (Calc)'!$A:$A)-3),"")</f>
        <v>362.54993670886074</v>
      </c>
      <c r="AH116" s="143">
        <f>IFERROR('Price History'!M3+(INDEX('Price History'!M:M,MATCH(9.99E+307,'Returns (Calc)'!$A:$A)+1)-'Price History'!M3)*(ROW()-3)/(MATCH(9.99E+307,'Returns (Calc)'!$A:$A)-3),"")</f>
        <v>191.18506329113924</v>
      </c>
      <c r="AI116" s="143">
        <f>IFERROR('Price History'!N3+(INDEX('Price History'!N:N,MATCH(9.99E+307,'Returns (Calc)'!$A:$A)+1)-'Price History'!N3)*(ROW()-3)/(MATCH(9.99E+307,'Returns (Calc)'!$A:$A)-3),"")</f>
        <v>460.34803797468356</v>
      </c>
      <c r="AJ116" s="143">
        <f>IFERROR('Price History'!O3+(INDEX('Price History'!O:O,MATCH(9.99E+307,'Returns (Calc)'!$A:$A)+1)-'Price History'!O3)*(ROW()-3)/(MATCH(9.99E+307,'Returns (Calc)'!$A:$A)-3),"")</f>
        <v>107.29329113924051</v>
      </c>
      <c r="AK116" s="143">
        <f>IFERROR('Price History'!Q3+(INDEX('Price History'!Q:Q,MATCH(9.99E+307,'Returns (Calc)'!$A:$A)+1)-'Price History'!Q3)*(ROW()-3)/(MATCH(9.99E+307,'Returns (Calc)'!$A:$A)-3),"")</f>
        <v>49.64848101265823</v>
      </c>
      <c r="AL116" s="143">
        <f>IFERROR('Price History'!R3+(INDEX('Price History'!R:R,MATCH(9.99E+307,'Returns (Calc)'!$A:$A)+1)-'Price History'!R3)*(ROW()-3)/(MATCH(9.99E+307,'Returns (Calc)'!$A:$A)-3),"")</f>
        <v>53.475443037974685</v>
      </c>
      <c r="AM116" s="143">
        <f>IFERROR('Price History'!S3+(INDEX('Price History'!S:S,MATCH(9.99E+307,'Returns (Calc)'!$A:$A)+1)-'Price History'!S3)*(ROW()-3)/(MATCH(9.99E+307,'Returns (Calc)'!$A:$A)-3),"")</f>
        <v>126.00215189873418</v>
      </c>
      <c r="AN116" s="143">
        <f>IFERROR('Price History'!T3+(INDEX('Price History'!T:T,MATCH(9.99E+307,'Returns (Calc)'!$A:$A)+1)-'Price History'!T3)*(ROW()-3)/(MATCH(9.99E+307,'Returns (Calc)'!$A:$A)-3),"")</f>
        <v>44.249746835443034</v>
      </c>
      <c r="AO116" s="144">
        <f>IFERROR('Price History'!V3+(INDEX('Price History'!V:V,MATCH(9.99E+307,'Returns (Calc)'!$A:$A)+1)-'Price History'!V3)*(ROW()-3)/(MATCH(9.99E+307,'Returns (Calc)'!$A:$A)-3),"")</f>
        <v>325.05018987341771</v>
      </c>
      <c r="AP116" s="142">
        <f>IFERROR(IF(OR(NOT(ISNUMBER('Price History'!W117)),NOT(ISNUMBER('Price History'!W116)),'Price History'!W116=0),"",'Price History'!W117/'Price History'!W116-1),"")</f>
        <v>-6.4661435629176367E-3</v>
      </c>
      <c r="AQ116" s="142" t="str">
        <f>IFERROR(IF(OR(NOT(ISNUMBER('Price History'!X117)),NOT(ISNUMBER('Price History'!X116)),'Price History'!X116=0),"",'Price History'!X117/'Price History'!X116-1),"")</f>
        <v/>
      </c>
      <c r="AR116" s="142">
        <f>IFERROR(IF(OR(NOT(ISNUMBER('Price History'!Y117)),NOT(ISNUMBER('Price History'!Y116)),'Price History'!Y116=0),"",'Price History'!Y117/'Price History'!Y116-1),"")</f>
        <v>-2.6560424966799445E-3</v>
      </c>
      <c r="AS116" s="142">
        <f>IFERROR(IF(OR(NOT(ISNUMBER('Price History'!Z117)),NOT(ISNUMBER('Price History'!Z116)),'Price History'!Z116=0),"",'Price History'!Z117/'Price History'!Z116-1),"")</f>
        <v>-5.7006421867281443E-2</v>
      </c>
      <c r="AT116" s="142">
        <f>IFERROR(IF(OR(NOT(ISNUMBER('Price History'!AA117)),NOT(ISNUMBER('Price History'!AA116)),'Price History'!AA116=0),"",'Price History'!AA117/'Price History'!AA116-1),"")</f>
        <v>-6.2129113468800568E-2</v>
      </c>
    </row>
    <row r="117" spans="1:46" ht="15" customHeight="1" x14ac:dyDescent="0.35">
      <c r="A117" s="140">
        <f>IF('Price History'!A118="","",'Price History'!A118)</f>
        <v>45989</v>
      </c>
      <c r="B117" s="141">
        <f>IFERROR(IF(OR(NOT(ISNUMBER('Price History'!B118)),NOT(ISNUMBER('Price History'!B117)),'Price History'!B117=0),"",'Price History'!B118/'Price History'!B117-1),"")</f>
        <v>-1.2523520157932122E-2</v>
      </c>
      <c r="C117" s="141">
        <f>IFERROR(IF(OR(NOT(ISNUMBER('Price History'!C118)),NOT(ISNUMBER('Price History'!C117)),'Price History'!C117=0),"",'Price History'!C118/'Price History'!C117-1),"")</f>
        <v>0.11283317721195596</v>
      </c>
      <c r="D117" s="141">
        <f>IFERROR(IF(OR(NOT(ISNUMBER('Price History'!D118)),NOT(ISNUMBER('Price History'!D117)),'Price History'!D117=0),"",'Price History'!D118/'Price History'!D117-1),"")</f>
        <v>9.6657830448568127E-2</v>
      </c>
      <c r="E117" s="141">
        <f>IFERROR(IF(OR(NOT(ISNUMBER('Price History'!E118)),NOT(ISNUMBER('Price History'!E117)),'Price History'!E117=0),"",'Price History'!E118/'Price History'!E117-1),"")</f>
        <v>0.18448873226924101</v>
      </c>
      <c r="F117" s="141">
        <f>IFERROR(IF(OR(NOT(ISNUMBER('Price History'!F118)),NOT(ISNUMBER('Price History'!F117)),'Price History'!F117=0),"",'Price History'!F118/'Price History'!F117-1),"")</f>
        <v>3.7662020053802925E-2</v>
      </c>
      <c r="G117" s="141">
        <f>IFERROR(IF(OR(NOT(ISNUMBER('Price History'!G118)),NOT(ISNUMBER('Price History'!G117)),'Price History'!G117=0),"",'Price History'!G118/'Price History'!G117-1),"")</f>
        <v>7.1356691976946163E-2</v>
      </c>
      <c r="H117" s="141">
        <f>IFERROR(IF(OR(NOT(ISNUMBER('Price History'!H118)),NOT(ISNUMBER('Price History'!H117)),'Price History'!H117=0),"",'Price History'!H118/'Price History'!H117-1),"")</f>
        <v>0.14036781387266495</v>
      </c>
      <c r="I117" s="141">
        <f>IFERROR(IF(OR(NOT(ISNUMBER('Price History'!I118)),NOT(ISNUMBER('Price History'!I117)),'Price History'!I117=0),"",'Price History'!I118/'Price History'!I117-1),"")</f>
        <v>-1.0479125805547662E-2</v>
      </c>
      <c r="J117" s="141">
        <f>IFERROR(IF(OR(NOT(ISNUMBER('Price History'!J118)),NOT(ISNUMBER('Price History'!J117)),'Price History'!J117=0),"",'Price History'!J118/'Price History'!J117-1),"")</f>
        <v>2.1810429649065322E-2</v>
      </c>
      <c r="K117" s="141">
        <f>IFERROR(IF(OR(NOT(ISNUMBER('Price History'!K118)),NOT(ISNUMBER('Price History'!K117)),'Price History'!K117=0),"",'Price History'!K118/'Price History'!K117-1),"")</f>
        <v>8.782692928640623E-2</v>
      </c>
      <c r="L117" s="141">
        <f>IFERROR(IF(OR(NOT(ISNUMBER('Price History'!L118)),NOT(ISNUMBER('Price History'!L117)),'Price History'!L117=0),"",'Price History'!L118/'Price History'!L117-1),"")</f>
        <v>5.9813358806672046E-2</v>
      </c>
      <c r="M117" s="141">
        <f>IFERROR(IF(OR(NOT(ISNUMBER('Price History'!M118)),NOT(ISNUMBER('Price History'!M117)),'Price History'!M117=0),"",'Price History'!M118/'Price History'!M117-1),"")</f>
        <v>0.12495302517850448</v>
      </c>
      <c r="N117" s="141">
        <f>IFERROR(IF(OR(NOT(ISNUMBER('Price History'!N118)),NOT(ISNUMBER('Price History'!N117)),'Price History'!N117=0),"",'Price History'!N118/'Price History'!N117-1),"")</f>
        <v>1.6051176305183379E-2</v>
      </c>
      <c r="O117" s="141">
        <f>IFERROR(IF(OR(NOT(ISNUMBER('Price History'!O118)),NOT(ISNUMBER('Price History'!O117)),'Price History'!O117=0),"",'Price History'!O118/'Price History'!O117-1),"")</f>
        <v>4.436538662760281E-2</v>
      </c>
      <c r="P117" s="141">
        <f>IFERROR(IF(OR(NOT(ISNUMBER('Price History'!P118)),NOT(ISNUMBER('Price History'!P117)),'Price History'!P117=0),"",'Price History'!P118/'Price History'!P117-1),"")</f>
        <v>2.5751072961373467E-2</v>
      </c>
      <c r="Q117" s="141">
        <f>IFERROR(IF(OR(NOT(ISNUMBER('Price History'!Q118)),NOT(ISNUMBER('Price History'!Q117)),'Price History'!Q117=0),"",'Price History'!Q118/'Price History'!Q117-1),"")</f>
        <v>2.1735755317497274E-2</v>
      </c>
      <c r="R117" s="141">
        <f>IFERROR(IF(OR(NOT(ISNUMBER('Price History'!R118)),NOT(ISNUMBER('Price History'!R117)),'Price History'!R117=0),"",'Price History'!R118/'Price History'!R117-1),"")</f>
        <v>4.5787908820614343E-2</v>
      </c>
      <c r="S117" s="141">
        <f>IFERROR(IF(OR(NOT(ISNUMBER('Price History'!S118)),NOT(ISNUMBER('Price History'!S117)),'Price History'!S117=0),"",'Price History'!S118/'Price History'!S117-1),"")</f>
        <v>5.090877007234873E-2</v>
      </c>
      <c r="T117" s="141">
        <f>IFERROR(IF(OR(NOT(ISNUMBER('Price History'!T118)),NOT(ISNUMBER('Price History'!T117)),'Price History'!T117=0),"",'Price History'!T118/'Price History'!T117-1),"")</f>
        <v>3.4185733512786198E-2</v>
      </c>
      <c r="U117" s="141">
        <f>IFERROR(IF(OR(NOT(ISNUMBER('Price History'!U118)),NOT(ISNUMBER('Price History'!U117)),'Price History'!U117=0),"",'Price History'!U118/'Price History'!U117-1),"")</f>
        <v>1.8334606569900602E-2</v>
      </c>
      <c r="V117" s="142">
        <f>IFERROR(IF(OR(NOT(ISNUMBER('Price History'!V118)),NOT(ISNUMBER('Price History'!V117)),'Price History'!V117=0),"",'Price History'!V118/'Price History'!V117-1),"")</f>
        <v>1.9692043432918194E-2</v>
      </c>
      <c r="W117" s="143">
        <f>IFERROR('Price History'!B3+(INDEX('Price History'!B:B,MATCH(9.99E+307,'Returns (Calc)'!$A:$A)+1)-'Price History'!B3)*(ROW()-3)/(MATCH(9.99E+307,'Returns (Calc)'!$A:$A)-3),"")</f>
        <v>318.78367088607592</v>
      </c>
      <c r="X117" s="143">
        <f>IFERROR('Price History'!C3+(INDEX('Price History'!C:C,MATCH(9.99E+307,'Returns (Calc)'!$A:$A)+1)-'Price History'!C3)*(ROW()-3)/(MATCH(9.99E+307,'Returns (Calc)'!$A:$A)-3),"")</f>
        <v>162.4672151898734</v>
      </c>
      <c r="Y117" s="143">
        <f>IFERROR('Price History'!D3+(INDEX('Price History'!D:D,MATCH(9.99E+307,'Returns (Calc)'!$A:$A)+1)-'Price History'!D3)*(ROW()-3)/(MATCH(9.99E+307,'Returns (Calc)'!$A:$A)-3),"")</f>
        <v>1509.3783544303797</v>
      </c>
      <c r="Z117" s="143">
        <f>IFERROR('Price History'!E3+(INDEX('Price History'!E:E,MATCH(9.99E+307,'Returns (Calc)'!$A:$A)+1)-'Price History'!E3)*(ROW()-3)/(MATCH(9.99E+307,'Returns (Calc)'!$A:$A)-3),"")</f>
        <v>279.07569620253162</v>
      </c>
      <c r="AA117" s="143">
        <f>IFERROR('Price History'!F3+(INDEX('Price History'!F:F,MATCH(9.99E+307,'Returns (Calc)'!$A:$A)+1)-'Price History'!F3)*(ROW()-3)/(MATCH(9.99E+307,'Returns (Calc)'!$A:$A)-3),"")</f>
        <v>206.35696202531648</v>
      </c>
      <c r="AB117" s="143">
        <f>IFERROR('Price History'!G3+(INDEX('Price History'!G:G,MATCH(9.99E+307,'Returns (Calc)'!$A:$A)+1)-'Price History'!G3)*(ROW()-3)/(MATCH(9.99E+307,'Returns (Calc)'!$A:$A)-3),"")</f>
        <v>161.62569620253163</v>
      </c>
      <c r="AC117" s="143">
        <f>IFERROR('Price History'!H3+(INDEX('Price History'!H:H,MATCH(9.99E+307,'Returns (Calc)'!$A:$A)+1)-'Price History'!H3)*(ROW()-3)/(MATCH(9.99E+307,'Returns (Calc)'!$A:$A)-3),"")</f>
        <v>794.79936708860771</v>
      </c>
      <c r="AD117" s="143">
        <f>IFERROR('Price History'!I3+(INDEX('Price History'!I:I,MATCH(9.99E+307,'Returns (Calc)'!$A:$A)+1)-'Price History'!I3)*(ROW()-3)/(MATCH(9.99E+307,'Returns (Calc)'!$A:$A)-3),"")</f>
        <v>180.98848101265821</v>
      </c>
      <c r="AE117" s="143">
        <f>IFERROR('Price History'!J3+(INDEX('Price History'!J:J,MATCH(9.99E+307,'Returns (Calc)'!$A:$A)+1)-'Price History'!J3)*(ROW()-3)/(MATCH(9.99E+307,'Returns (Calc)'!$A:$A)-3),"")</f>
        <v>124.15632911392404</v>
      </c>
      <c r="AF117" s="143">
        <f>IFERROR('Price History'!K3+(INDEX('Price History'!K:K,MATCH(9.99E+307,'Returns (Calc)'!$A:$A)+1)-'Price History'!K3)*(ROW()-3)/(MATCH(9.99E+307,'Returns (Calc)'!$A:$A)-3),"")</f>
        <v>140.45582278481012</v>
      </c>
      <c r="AG117" s="143">
        <f>IFERROR('Price History'!L3+(INDEX('Price History'!L:L,MATCH(9.99E+307,'Returns (Calc)'!$A:$A)+1)-'Price History'!L3)*(ROW()-3)/(MATCH(9.99E+307,'Returns (Calc)'!$A:$A)-3),"")</f>
        <v>364.99949367088607</v>
      </c>
      <c r="AH117" s="143">
        <f>IFERROR('Price History'!M3+(INDEX('Price History'!M:M,MATCH(9.99E+307,'Returns (Calc)'!$A:$A)+1)-'Price History'!M3)*(ROW()-3)/(MATCH(9.99E+307,'Returns (Calc)'!$A:$A)-3),"")</f>
        <v>192.54050632911392</v>
      </c>
      <c r="AI117" s="143">
        <f>IFERROR('Price History'!N3+(INDEX('Price History'!N:N,MATCH(9.99E+307,'Returns (Calc)'!$A:$A)+1)-'Price History'!N3)*(ROW()-3)/(MATCH(9.99E+307,'Returns (Calc)'!$A:$A)-3),"")</f>
        <v>461.33430379746835</v>
      </c>
      <c r="AJ117" s="143">
        <f>IFERROR('Price History'!O3+(INDEX('Price History'!O:O,MATCH(9.99E+307,'Returns (Calc)'!$A:$A)+1)-'Price History'!O3)*(ROW()-3)/(MATCH(9.99E+307,'Returns (Calc)'!$A:$A)-3),"")</f>
        <v>107.57632911392406</v>
      </c>
      <c r="AK117" s="143">
        <f>IFERROR('Price History'!Q3+(INDEX('Price History'!Q:Q,MATCH(9.99E+307,'Returns (Calc)'!$A:$A)+1)-'Price History'!Q3)*(ROW()-3)/(MATCH(9.99E+307,'Returns (Calc)'!$A:$A)-3),"")</f>
        <v>50.087848101265827</v>
      </c>
      <c r="AL117" s="143">
        <f>IFERROR('Price History'!R3+(INDEX('Price History'!R:R,MATCH(9.99E+307,'Returns (Calc)'!$A:$A)+1)-'Price History'!R3)*(ROW()-3)/(MATCH(9.99E+307,'Returns (Calc)'!$A:$A)-3),"")</f>
        <v>53.643544303797469</v>
      </c>
      <c r="AM117" s="143">
        <f>IFERROR('Price History'!S3+(INDEX('Price History'!S:S,MATCH(9.99E+307,'Returns (Calc)'!$A:$A)+1)-'Price History'!S3)*(ROW()-3)/(MATCH(9.99E+307,'Returns (Calc)'!$A:$A)-3),"")</f>
        <v>126.60721518987341</v>
      </c>
      <c r="AN117" s="143">
        <f>IFERROR('Price History'!T3+(INDEX('Price History'!T:T,MATCH(9.99E+307,'Returns (Calc)'!$A:$A)+1)-'Price History'!T3)*(ROW()-3)/(MATCH(9.99E+307,'Returns (Calc)'!$A:$A)-3),"")</f>
        <v>44.417974683544301</v>
      </c>
      <c r="AO117" s="144">
        <f>IFERROR('Price History'!V3+(INDEX('Price History'!V:V,MATCH(9.99E+307,'Returns (Calc)'!$A:$A)+1)-'Price History'!V3)*(ROW()-3)/(MATCH(9.99E+307,'Returns (Calc)'!$A:$A)-3),"")</f>
        <v>325.84151898734177</v>
      </c>
      <c r="AP117" s="142">
        <f>IFERROR(IF(OR(NOT(ISNUMBER('Price History'!W118)),NOT(ISNUMBER('Price History'!W117)),'Price History'!W117=0),"",'Price History'!W118/'Price History'!W117-1),"")</f>
        <v>3.8098720292504717E-2</v>
      </c>
      <c r="AQ117" s="142" t="str">
        <f>IFERROR(IF(OR(NOT(ISNUMBER('Price History'!X118)),NOT(ISNUMBER('Price History'!X117)),'Price History'!X117=0),"",'Price History'!X118/'Price History'!X117-1),"")</f>
        <v/>
      </c>
      <c r="AR117" s="142">
        <f>IFERROR(IF(OR(NOT(ISNUMBER('Price History'!Y118)),NOT(ISNUMBER('Price History'!Y117)),'Price History'!Y117=0),"",'Price History'!Y118/'Price History'!Y117-1),"")</f>
        <v>2.3397374928666448E-2</v>
      </c>
      <c r="AS117" s="142">
        <f>IFERROR(IF(OR(NOT(ISNUMBER('Price History'!Z118)),NOT(ISNUMBER('Price History'!Z117)),'Price History'!Z117=0),"",'Price History'!Z118/'Price History'!Z117-1),"")</f>
        <v>3.8276175176363836E-2</v>
      </c>
      <c r="AT117" s="142">
        <f>IFERROR(IF(OR(NOT(ISNUMBER('Price History'!AA118)),NOT(ISNUMBER('Price History'!AA117)),'Price History'!AA117=0),"",'Price History'!AA118/'Price History'!AA117-1),"")</f>
        <v>3.1348863963186702E-2</v>
      </c>
    </row>
    <row r="118" spans="1:46" ht="15" customHeight="1" x14ac:dyDescent="0.35">
      <c r="A118" s="140">
        <f>IF('Price History'!A119="","",'Price History'!A119)</f>
        <v>45996</v>
      </c>
      <c r="B118" s="141">
        <f>IFERROR(IF(OR(NOT(ISNUMBER('Price History'!B119)),NOT(ISNUMBER('Price History'!B118)),'Price History'!B118=0),"",'Price History'!B119/'Price History'!B118-1),"")</f>
        <v>8.1623090619435734E-2</v>
      </c>
      <c r="C118" s="141">
        <f>IFERROR(IF(OR(NOT(ISNUMBER('Price History'!C119)),NOT(ISNUMBER('Price History'!C118)),'Price History'!C118=0),"",'Price History'!C119/'Price History'!C118-1),"")</f>
        <v>-1.5993265993266004E-2</v>
      </c>
      <c r="D118" s="141">
        <f>IFERROR(IF(OR(NOT(ISNUMBER('Price History'!D119)),NOT(ISNUMBER('Price History'!D118)),'Price History'!D118=0),"",'Price History'!D119/'Price History'!D118-1),"")</f>
        <v>3.7234698036836544E-2</v>
      </c>
      <c r="E118" s="141">
        <f>IFERROR(IF(OR(NOT(ISNUMBER('Price History'!E119)),NOT(ISNUMBER('Price History'!E118)),'Price History'!E118=0),"",'Price History'!E119/'Price History'!E118-1),"")</f>
        <v>-3.1575789394734821E-2</v>
      </c>
      <c r="F118" s="141">
        <f>IFERROR(IF(OR(NOT(ISNUMBER('Price History'!F119)),NOT(ISNUMBER('Price History'!F118)),'Price History'!F118=0),"",'Price History'!F119/'Price History'!F118-1),"")</f>
        <v>5.6563752062219752E-3</v>
      </c>
      <c r="G118" s="141">
        <f>IFERROR(IF(OR(NOT(ISNUMBER('Price History'!G119)),NOT(ISNUMBER('Price History'!G118)),'Price History'!G118=0),"",'Price History'!G119/'Price History'!G118-1),"")</f>
        <v>3.321663393390839E-2</v>
      </c>
      <c r="H118" s="141">
        <f>IFERROR(IF(OR(NOT(ISNUMBER('Price History'!H119)),NOT(ISNUMBER('Price History'!H118)),'Price History'!H118=0),"",'Price History'!H119/'Price History'!H118-1),"")</f>
        <v>3.1322751322750975E-3</v>
      </c>
      <c r="I118" s="141">
        <f>IFERROR(IF(OR(NOT(ISNUMBER('Price History'!I119)),NOT(ISNUMBER('Price History'!I118)),'Price History'!I118=0),"",'Price History'!I119/'Price History'!I118-1),"")</f>
        <v>3.0581039755351647E-2</v>
      </c>
      <c r="J118" s="141">
        <f>IFERROR(IF(OR(NOT(ISNUMBER('Price History'!J119)),NOT(ISNUMBER('Price History'!J118)),'Price History'!J118=0),"",'Price History'!J119/'Price History'!J118-1),"")</f>
        <v>-4.3331728454502061E-3</v>
      </c>
      <c r="K118" s="141">
        <f>IFERROR(IF(OR(NOT(ISNUMBER('Price History'!K119)),NOT(ISNUMBER('Price History'!K118)),'Price History'!K118=0),"",'Price History'!K119/'Price History'!K118-1),"")</f>
        <v>7.9014544375185514E-2</v>
      </c>
      <c r="L118" s="141">
        <f>IFERROR(IF(OR(NOT(ISNUMBER('Price History'!L119)),NOT(ISNUMBER('Price History'!L118)),'Price History'!L118=0),"",'Price History'!L119/'Price History'!L118-1),"")</f>
        <v>1.0989391943423854E-2</v>
      </c>
      <c r="M118" s="141">
        <f>IFERROR(IF(OR(NOT(ISNUMBER('Price History'!M119)),NOT(ISNUMBER('Price History'!M118)),'Price History'!M118=0),"",'Price History'!M119/'Price History'!M118-1),"")</f>
        <v>5.166750180947588E-2</v>
      </c>
      <c r="N118" s="141">
        <f>IFERROR(IF(OR(NOT(ISNUMBER('Price History'!N119)),NOT(ISNUMBER('Price History'!N118)),'Price History'!N118=0),"",'Price History'!N119/'Price History'!N118-1),"")</f>
        <v>5.0437028666312944E-2</v>
      </c>
      <c r="O118" s="141">
        <f>IFERROR(IF(OR(NOT(ISNUMBER('Price History'!O119)),NOT(ISNUMBER('Price History'!O118)),'Price History'!O118=0),"",'Price History'!O119/'Price History'!O118-1),"")</f>
        <v>1.7533313295261088E-2</v>
      </c>
      <c r="P118" s="141">
        <f>IFERROR(IF(OR(NOT(ISNUMBER('Price History'!P119)),NOT(ISNUMBER('Price History'!P118)),'Price History'!P118=0),"",'Price History'!P119/'Price History'!P118-1),"")</f>
        <v>-1.1903044293752774E-2</v>
      </c>
      <c r="Q118" s="141">
        <f>IFERROR(IF(OR(NOT(ISNUMBER('Price History'!Q119)),NOT(ISNUMBER('Price History'!Q118)),'Price History'!Q118=0),"",'Price History'!Q119/'Price History'!Q118-1),"")</f>
        <v>2.2792888618750062E-3</v>
      </c>
      <c r="R118" s="141">
        <f>IFERROR(IF(OR(NOT(ISNUMBER('Price History'!R119)),NOT(ISNUMBER('Price History'!R118)),'Price History'!R118=0),"",'Price History'!R119/'Price History'!R118-1),"")</f>
        <v>9.6664139499622603E-3</v>
      </c>
      <c r="S118" s="141">
        <f>IFERROR(IF(OR(NOT(ISNUMBER('Price History'!S119)),NOT(ISNUMBER('Price History'!S118)),'Price History'!S118=0),"",'Price History'!S119/'Price History'!S118-1),"")</f>
        <v>6.1287885148182397E-3</v>
      </c>
      <c r="T118" s="141">
        <f>IFERROR(IF(OR(NOT(ISNUMBER('Price History'!T119)),NOT(ISNUMBER('Price History'!T118)),'Price History'!T118=0),"",'Price History'!T119/'Price History'!T118-1),"")</f>
        <v>1.5616866215512726E-2</v>
      </c>
      <c r="U118" s="141">
        <f>IFERROR(IF(OR(NOT(ISNUMBER('Price History'!U119)),NOT(ISNUMBER('Price History'!U118)),'Price History'!U118=0),"",'Price History'!U119/'Price History'!U118-1),"")</f>
        <v>4.1260315078770482E-3</v>
      </c>
      <c r="V118" s="142">
        <f>IFERROR(IF(OR(NOT(ISNUMBER('Price History'!V119)),NOT(ISNUMBER('Price History'!V118)),'Price History'!V118=0),"",'Price History'!V119/'Price History'!V118-1),"")</f>
        <v>-9.5656359042233241E-3</v>
      </c>
      <c r="W118" s="143">
        <f>IFERROR('Price History'!B3+(INDEX('Price History'!B:B,MATCH(9.99E+307,'Returns (Calc)'!$A:$A)+1)-'Price History'!B3)*(ROW()-3)/(MATCH(9.99E+307,'Returns (Calc)'!$A:$A)-3),"")</f>
        <v>316.94063291139241</v>
      </c>
      <c r="X118" s="143">
        <f>IFERROR('Price History'!C3+(INDEX('Price History'!C:C,MATCH(9.99E+307,'Returns (Calc)'!$A:$A)+1)-'Price History'!C3)*(ROW()-3)/(MATCH(9.99E+307,'Returns (Calc)'!$A:$A)-3),"")</f>
        <v>163.48727848101265</v>
      </c>
      <c r="Y118" s="143">
        <f>IFERROR('Price History'!D3+(INDEX('Price History'!D:D,MATCH(9.99E+307,'Returns (Calc)'!$A:$A)+1)-'Price History'!D3)*(ROW()-3)/(MATCH(9.99E+307,'Returns (Calc)'!$A:$A)-3),"")</f>
        <v>1517.513164556962</v>
      </c>
      <c r="Z118" s="143">
        <f>IFERROR('Price History'!E3+(INDEX('Price History'!E:E,MATCH(9.99E+307,'Returns (Calc)'!$A:$A)+1)-'Price History'!E3)*(ROW()-3)/(MATCH(9.99E+307,'Returns (Calc)'!$A:$A)-3),"")</f>
        <v>280.8044303797468</v>
      </c>
      <c r="AA118" s="143">
        <f>IFERROR('Price History'!F3+(INDEX('Price History'!F:F,MATCH(9.99E+307,'Returns (Calc)'!$A:$A)+1)-'Price History'!F3)*(ROW()-3)/(MATCH(9.99E+307,'Returns (Calc)'!$A:$A)-3),"")</f>
        <v>207.80430379746838</v>
      </c>
      <c r="AB118" s="143">
        <f>IFERROR('Price History'!G3+(INDEX('Price History'!G:G,MATCH(9.99E+307,'Returns (Calc)'!$A:$A)+1)-'Price History'!G3)*(ROW()-3)/(MATCH(9.99E+307,'Returns (Calc)'!$A:$A)-3),"")</f>
        <v>162.65443037974683</v>
      </c>
      <c r="AC118" s="143">
        <f>IFERROR('Price History'!H3+(INDEX('Price History'!H:H,MATCH(9.99E+307,'Returns (Calc)'!$A:$A)+1)-'Price History'!H3)*(ROW()-3)/(MATCH(9.99E+307,'Returns (Calc)'!$A:$A)-3),"")</f>
        <v>801.16506329113929</v>
      </c>
      <c r="AD118" s="143">
        <f>IFERROR('Price History'!I3+(INDEX('Price History'!I:I,MATCH(9.99E+307,'Returns (Calc)'!$A:$A)+1)-'Price History'!I3)*(ROW()-3)/(MATCH(9.99E+307,'Returns (Calc)'!$A:$A)-3),"")</f>
        <v>182.19215189873418</v>
      </c>
      <c r="AE118" s="143">
        <f>IFERROR('Price History'!J3+(INDEX('Price History'!J:J,MATCH(9.99E+307,'Returns (Calc)'!$A:$A)+1)-'Price History'!J3)*(ROW()-3)/(MATCH(9.99E+307,'Returns (Calc)'!$A:$A)-3),"")</f>
        <v>124.2643670886076</v>
      </c>
      <c r="AF118" s="143">
        <f>IFERROR('Price History'!K3+(INDEX('Price History'!K:K,MATCH(9.99E+307,'Returns (Calc)'!$A:$A)+1)-'Price History'!K3)*(ROW()-3)/(MATCH(9.99E+307,'Returns (Calc)'!$A:$A)-3),"")</f>
        <v>141.553417721519</v>
      </c>
      <c r="AG118" s="143">
        <f>IFERROR('Price History'!L3+(INDEX('Price History'!L:L,MATCH(9.99E+307,'Returns (Calc)'!$A:$A)+1)-'Price History'!L3)*(ROW()-3)/(MATCH(9.99E+307,'Returns (Calc)'!$A:$A)-3),"")</f>
        <v>367.44905063291139</v>
      </c>
      <c r="AH118" s="143">
        <f>IFERROR('Price History'!M3+(INDEX('Price History'!M:M,MATCH(9.99E+307,'Returns (Calc)'!$A:$A)+1)-'Price History'!M3)*(ROW()-3)/(MATCH(9.99E+307,'Returns (Calc)'!$A:$A)-3),"")</f>
        <v>193.8959493670886</v>
      </c>
      <c r="AI118" s="143">
        <f>IFERROR('Price History'!N3+(INDEX('Price History'!N:N,MATCH(9.99E+307,'Returns (Calc)'!$A:$A)+1)-'Price History'!N3)*(ROW()-3)/(MATCH(9.99E+307,'Returns (Calc)'!$A:$A)-3),"")</f>
        <v>462.3205696202532</v>
      </c>
      <c r="AJ118" s="143">
        <f>IFERROR('Price History'!O3+(INDEX('Price History'!O:O,MATCH(9.99E+307,'Returns (Calc)'!$A:$A)+1)-'Price History'!O3)*(ROW()-3)/(MATCH(9.99E+307,'Returns (Calc)'!$A:$A)-3),"")</f>
        <v>107.8593670886076</v>
      </c>
      <c r="AK118" s="143">
        <f>IFERROR('Price History'!Q3+(INDEX('Price History'!Q:Q,MATCH(9.99E+307,'Returns (Calc)'!$A:$A)+1)-'Price History'!Q3)*(ROW()-3)/(MATCH(9.99E+307,'Returns (Calc)'!$A:$A)-3),"")</f>
        <v>50.527215189873417</v>
      </c>
      <c r="AL118" s="143">
        <f>IFERROR('Price History'!R3+(INDEX('Price History'!R:R,MATCH(9.99E+307,'Returns (Calc)'!$A:$A)+1)-'Price History'!R3)*(ROW()-3)/(MATCH(9.99E+307,'Returns (Calc)'!$A:$A)-3),"")</f>
        <v>53.811645569620254</v>
      </c>
      <c r="AM118" s="143">
        <f>IFERROR('Price History'!S3+(INDEX('Price History'!S:S,MATCH(9.99E+307,'Returns (Calc)'!$A:$A)+1)-'Price History'!S3)*(ROW()-3)/(MATCH(9.99E+307,'Returns (Calc)'!$A:$A)-3),"")</f>
        <v>127.21227848101267</v>
      </c>
      <c r="AN118" s="143">
        <f>IFERROR('Price History'!T3+(INDEX('Price History'!T:T,MATCH(9.99E+307,'Returns (Calc)'!$A:$A)+1)-'Price History'!T3)*(ROW()-3)/(MATCH(9.99E+307,'Returns (Calc)'!$A:$A)-3),"")</f>
        <v>44.586202531645569</v>
      </c>
      <c r="AO118" s="144">
        <f>IFERROR('Price History'!V3+(INDEX('Price History'!V:V,MATCH(9.99E+307,'Returns (Calc)'!$A:$A)+1)-'Price History'!V3)*(ROW()-3)/(MATCH(9.99E+307,'Returns (Calc)'!$A:$A)-3),"")</f>
        <v>326.63284810126584</v>
      </c>
      <c r="AP118" s="142">
        <f>IFERROR(IF(OR(NOT(ISNUMBER('Price History'!W119)),NOT(ISNUMBER('Price History'!W118)),'Price History'!W118=0),"",'Price History'!W119/'Price History'!W118-1),"")</f>
        <v>-1.5497323189630485E-3</v>
      </c>
      <c r="AQ118" s="142" t="str">
        <f>IFERROR(IF(OR(NOT(ISNUMBER('Price History'!X119)),NOT(ISNUMBER('Price History'!X118)),'Price History'!X118=0),"",'Price History'!X119/'Price History'!X118-1),"")</f>
        <v/>
      </c>
      <c r="AR118" s="142">
        <f>IFERROR(IF(OR(NOT(ISNUMBER('Price History'!Y119)),NOT(ISNUMBER('Price History'!Y118)),'Price History'!Y118=0),"",'Price History'!Y119/'Price History'!Y118-1),"")</f>
        <v>-1.8587360594793934E-3</v>
      </c>
      <c r="AS118" s="142">
        <f>IFERROR(IF(OR(NOT(ISNUMBER('Price History'!Z119)),NOT(ISNUMBER('Price History'!Z118)),'Price History'!Z118=0),"",'Price History'!Z119/'Price History'!Z118-1),"")</f>
        <v>-4.8604103599058202E-2</v>
      </c>
      <c r="AT118" s="142">
        <f>IFERROR(IF(OR(NOT(ISNUMBER('Price History'!AA119)),NOT(ISNUMBER('Price History'!AA118)),'Price History'!AA118=0),"",'Price History'!AA119/'Price History'!AA118-1),"")</f>
        <v>-6.822829522216034E-2</v>
      </c>
    </row>
    <row r="119" spans="1:46" ht="15" customHeight="1" x14ac:dyDescent="0.35">
      <c r="A119" s="140">
        <f>IF('Price History'!A120="","",'Price History'!A120)</f>
        <v>46003</v>
      </c>
      <c r="B119" s="141">
        <f>IFERROR(IF(OR(NOT(ISNUMBER('Price History'!B120)),NOT(ISNUMBER('Price History'!B119)),'Price History'!B119=0),"",'Price History'!B120/'Price History'!B119-1),"")</f>
        <v>2.9370992895512149E-2</v>
      </c>
      <c r="C119" s="141">
        <f>IFERROR(IF(OR(NOT(ISNUMBER('Price History'!C120)),NOT(ISNUMBER('Price History'!C119)),'Price History'!C119=0),"",'Price History'!C120/'Price History'!C119-1),"")</f>
        <v>-2.9784586670814184E-2</v>
      </c>
      <c r="D119" s="141">
        <f>IFERROR(IF(OR(NOT(ISNUMBER('Price History'!D120)),NOT(ISNUMBER('Price History'!D119)),'Price History'!D119=0),"",'Price History'!D120/'Price History'!D119-1),"")</f>
        <v>-1.6934592080130817E-2</v>
      </c>
      <c r="E119" s="141">
        <f>IFERROR(IF(OR(NOT(ISNUMBER('Price History'!E120)),NOT(ISNUMBER('Price History'!E119)),'Price History'!E119=0),"",'Price History'!E120/'Price History'!E119-1),"")</f>
        <v>-7.7679677819083137E-2</v>
      </c>
      <c r="F119" s="141">
        <f>IFERROR(IF(OR(NOT(ISNUMBER('Price History'!F120)),NOT(ISNUMBER('Price History'!F119)),'Price History'!F119=0),"",'Price History'!F120/'Price History'!F119-1),"")</f>
        <v>-1.4217639246933755E-2</v>
      </c>
      <c r="G119" s="141">
        <f>IFERROR(IF(OR(NOT(ISNUMBER('Price History'!G120)),NOT(ISNUMBER('Price History'!G119)),'Price History'!G119=0),"",'Price History'!G120/'Price History'!G119-1),"")</f>
        <v>-1.6942148760330511E-2</v>
      </c>
      <c r="H119" s="141">
        <f>IFERROR(IF(OR(NOT(ISNUMBER('Price History'!H120)),NOT(ISNUMBER('Price History'!H119)),'Price History'!H119=0),"",'Price History'!H120/'Price History'!H119-1),"")</f>
        <v>1.649858643824631E-2</v>
      </c>
      <c r="I119" s="141">
        <f>IFERROR(IF(OR(NOT(ISNUMBER('Price History'!I120)),NOT(ISNUMBER('Price History'!I119)),'Price History'!I119=0),"",'Price History'!I120/'Price History'!I119-1),"")</f>
        <v>-4.0498955929222813E-2</v>
      </c>
      <c r="J119" s="141">
        <f>IFERROR(IF(OR(NOT(ISNUMBER('Price History'!J120)),NOT(ISNUMBER('Price History'!J119)),'Price History'!J119=0),"",'Price History'!J120/'Price History'!J119-1),"")</f>
        <v>1.7246937459703515E-2</v>
      </c>
      <c r="K119" s="141">
        <f>IFERROR(IF(OR(NOT(ISNUMBER('Price History'!K120)),NOT(ISNUMBER('Price History'!K119)),'Price History'!K119=0),"",'Price History'!K120/'Price History'!K119-1),"")</f>
        <v>9.9581866197182567E-3</v>
      </c>
      <c r="L119" s="141">
        <f>IFERROR(IF(OR(NOT(ISNUMBER('Price History'!L120)),NOT(ISNUMBER('Price History'!L119)),'Price History'!L119=0),"",'Price History'!L120/'Price History'!L119-1),"")</f>
        <v>-6.412234680931328E-3</v>
      </c>
      <c r="M119" s="141">
        <f>IFERROR(IF(OR(NOT(ISNUMBER('Price History'!M120)),NOT(ISNUMBER('Price History'!M119)),'Price History'!M119=0),"",'Price History'!M120/'Price History'!M119-1),"")</f>
        <v>-0.14680501879400709</v>
      </c>
      <c r="N119" s="141">
        <f>IFERROR(IF(OR(NOT(ISNUMBER('Price History'!N120)),NOT(ISNUMBER('Price History'!N119)),'Price History'!N119=0),"",'Price History'!N120/'Price History'!N119-1),"")</f>
        <v>-7.5524721173267917E-3</v>
      </c>
      <c r="O119" s="141">
        <f>IFERROR(IF(OR(NOT(ISNUMBER('Price History'!O120)),NOT(ISNUMBER('Price History'!O119)),'Price History'!O119=0),"",'Price History'!O120/'Price History'!O119-1),"")</f>
        <v>2.146514375738473E-2</v>
      </c>
      <c r="P119" s="141">
        <f>IFERROR(IF(OR(NOT(ISNUMBER('Price History'!P120)),NOT(ISNUMBER('Price History'!P119)),'Price History'!P119=0),"",'Price History'!P120/'Price History'!P119-1),"")</f>
        <v>1.6207928743520394E-2</v>
      </c>
      <c r="Q119" s="141">
        <f>IFERROR(IF(OR(NOT(ISNUMBER('Price History'!Q120)),NOT(ISNUMBER('Price History'!Q119)),'Price History'!Q119=0),"",'Price History'!Q120/'Price History'!Q119-1),"")</f>
        <v>-1.2128562765312267E-3</v>
      </c>
      <c r="R119" s="141">
        <f>IFERROR(IF(OR(NOT(ISNUMBER('Price History'!R120)),NOT(ISNUMBER('Price History'!R119)),'Price History'!R119=0),"",'Price History'!R120/'Price History'!R119-1),"")</f>
        <v>-1.0887929416181774E-2</v>
      </c>
      <c r="S119" s="141">
        <f>IFERROR(IF(OR(NOT(ISNUMBER('Price History'!S120)),NOT(ISNUMBER('Price History'!S119)),'Price History'!S119=0),"",'Price History'!S120/'Price History'!S119-1),"")</f>
        <v>-1.4519359145527488E-2</v>
      </c>
      <c r="T119" s="141">
        <f>IFERROR(IF(OR(NOT(ISNUMBER('Price History'!T120)),NOT(ISNUMBER('Price History'!T119)),'Price History'!T119=0),"",'Price History'!T120/'Price History'!T119-1),"")</f>
        <v>1.0763710917478075E-2</v>
      </c>
      <c r="U119" s="141">
        <f>IFERROR(IF(OR(NOT(ISNUMBER('Price History'!U120)),NOT(ISNUMBER('Price History'!U119)),'Price History'!U119=0),"",'Price History'!U120/'Price History'!U119-1),"")</f>
        <v>9.3388121031003912E-3</v>
      </c>
      <c r="V119" s="142">
        <f>IFERROR(IF(OR(NOT(ISNUMBER('Price History'!V120)),NOT(ISNUMBER('Price History'!V119)),'Price History'!V119=0),"",'Price History'!V120/'Price History'!V119-1),"")</f>
        <v>5.0082002065237274E-2</v>
      </c>
      <c r="W119" s="143">
        <f>IFERROR('Price History'!B3+(INDEX('Price History'!B:B,MATCH(9.99E+307,'Returns (Calc)'!$A:$A)+1)-'Price History'!B3)*(ROW()-3)/(MATCH(9.99E+307,'Returns (Calc)'!$A:$A)-3),"")</f>
        <v>315.0975949367089</v>
      </c>
      <c r="X119" s="143">
        <f>IFERROR('Price History'!C3+(INDEX('Price History'!C:C,MATCH(9.99E+307,'Returns (Calc)'!$A:$A)+1)-'Price History'!C3)*(ROW()-3)/(MATCH(9.99E+307,'Returns (Calc)'!$A:$A)-3),"")</f>
        <v>164.50734177215188</v>
      </c>
      <c r="Y119" s="143">
        <f>IFERROR('Price History'!D3+(INDEX('Price History'!D:D,MATCH(9.99E+307,'Returns (Calc)'!$A:$A)+1)-'Price History'!D3)*(ROW()-3)/(MATCH(9.99E+307,'Returns (Calc)'!$A:$A)-3),"")</f>
        <v>1525.6479746835444</v>
      </c>
      <c r="Z119" s="143">
        <f>IFERROR('Price History'!E3+(INDEX('Price History'!E:E,MATCH(9.99E+307,'Returns (Calc)'!$A:$A)+1)-'Price History'!E3)*(ROW()-3)/(MATCH(9.99E+307,'Returns (Calc)'!$A:$A)-3),"")</f>
        <v>282.53316455696199</v>
      </c>
      <c r="AA119" s="143">
        <f>IFERROR('Price History'!F3+(INDEX('Price History'!F:F,MATCH(9.99E+307,'Returns (Calc)'!$A:$A)+1)-'Price History'!F3)*(ROW()-3)/(MATCH(9.99E+307,'Returns (Calc)'!$A:$A)-3),"")</f>
        <v>209.25164556962028</v>
      </c>
      <c r="AB119" s="143">
        <f>IFERROR('Price History'!G3+(INDEX('Price History'!G:G,MATCH(9.99E+307,'Returns (Calc)'!$A:$A)+1)-'Price History'!G3)*(ROW()-3)/(MATCH(9.99E+307,'Returns (Calc)'!$A:$A)-3),"")</f>
        <v>163.68316455696203</v>
      </c>
      <c r="AC119" s="143">
        <f>IFERROR('Price History'!H3+(INDEX('Price History'!H:H,MATCH(9.99E+307,'Returns (Calc)'!$A:$A)+1)-'Price History'!H3)*(ROW()-3)/(MATCH(9.99E+307,'Returns (Calc)'!$A:$A)-3),"")</f>
        <v>807.53075949367098</v>
      </c>
      <c r="AD119" s="143">
        <f>IFERROR('Price History'!I3+(INDEX('Price History'!I:I,MATCH(9.99E+307,'Returns (Calc)'!$A:$A)+1)-'Price History'!I3)*(ROW()-3)/(MATCH(9.99E+307,'Returns (Calc)'!$A:$A)-3),"")</f>
        <v>183.39582278481012</v>
      </c>
      <c r="AE119" s="143">
        <f>IFERROR('Price History'!J3+(INDEX('Price History'!J:J,MATCH(9.99E+307,'Returns (Calc)'!$A:$A)+1)-'Price History'!J3)*(ROW()-3)/(MATCH(9.99E+307,'Returns (Calc)'!$A:$A)-3),"")</f>
        <v>124.37240506329114</v>
      </c>
      <c r="AF119" s="143">
        <f>IFERROR('Price History'!K3+(INDEX('Price History'!K:K,MATCH(9.99E+307,'Returns (Calc)'!$A:$A)+1)-'Price History'!K3)*(ROW()-3)/(MATCH(9.99E+307,'Returns (Calc)'!$A:$A)-3),"")</f>
        <v>142.65101265822784</v>
      </c>
      <c r="AG119" s="143">
        <f>IFERROR('Price History'!L3+(INDEX('Price History'!L:L,MATCH(9.99E+307,'Returns (Calc)'!$A:$A)+1)-'Price History'!L3)*(ROW()-3)/(MATCH(9.99E+307,'Returns (Calc)'!$A:$A)-3),"")</f>
        <v>369.89860759493666</v>
      </c>
      <c r="AH119" s="143">
        <f>IFERROR('Price History'!M3+(INDEX('Price History'!M:M,MATCH(9.99E+307,'Returns (Calc)'!$A:$A)+1)-'Price History'!M3)*(ROW()-3)/(MATCH(9.99E+307,'Returns (Calc)'!$A:$A)-3),"")</f>
        <v>195.25139240506331</v>
      </c>
      <c r="AI119" s="143">
        <f>IFERROR('Price History'!N3+(INDEX('Price History'!N:N,MATCH(9.99E+307,'Returns (Calc)'!$A:$A)+1)-'Price History'!N3)*(ROW()-3)/(MATCH(9.99E+307,'Returns (Calc)'!$A:$A)-3),"")</f>
        <v>463.30683544303798</v>
      </c>
      <c r="AJ119" s="143">
        <f>IFERROR('Price History'!O3+(INDEX('Price History'!O:O,MATCH(9.99E+307,'Returns (Calc)'!$A:$A)+1)-'Price History'!O3)*(ROW()-3)/(MATCH(9.99E+307,'Returns (Calc)'!$A:$A)-3),"")</f>
        <v>108.14240506329114</v>
      </c>
      <c r="AK119" s="143">
        <f>IFERROR('Price History'!Q3+(INDEX('Price History'!Q:Q,MATCH(9.99E+307,'Returns (Calc)'!$A:$A)+1)-'Price History'!Q3)*(ROW()-3)/(MATCH(9.99E+307,'Returns (Calc)'!$A:$A)-3),"")</f>
        <v>50.966582278481013</v>
      </c>
      <c r="AL119" s="143">
        <f>IFERROR('Price History'!R3+(INDEX('Price History'!R:R,MATCH(9.99E+307,'Returns (Calc)'!$A:$A)+1)-'Price History'!R3)*(ROW()-3)/(MATCH(9.99E+307,'Returns (Calc)'!$A:$A)-3),"")</f>
        <v>53.979746835443038</v>
      </c>
      <c r="AM119" s="143">
        <f>IFERROR('Price History'!S3+(INDEX('Price History'!S:S,MATCH(9.99E+307,'Returns (Calc)'!$A:$A)+1)-'Price History'!S3)*(ROW()-3)/(MATCH(9.99E+307,'Returns (Calc)'!$A:$A)-3),"")</f>
        <v>127.81734177215191</v>
      </c>
      <c r="AN119" s="143">
        <f>IFERROR('Price History'!T3+(INDEX('Price History'!T:T,MATCH(9.99E+307,'Returns (Calc)'!$A:$A)+1)-'Price History'!T3)*(ROW()-3)/(MATCH(9.99E+307,'Returns (Calc)'!$A:$A)-3),"")</f>
        <v>44.754430379746836</v>
      </c>
      <c r="AO119" s="144">
        <f>IFERROR('Price History'!V3+(INDEX('Price History'!V:V,MATCH(9.99E+307,'Returns (Calc)'!$A:$A)+1)-'Price History'!V3)*(ROW()-3)/(MATCH(9.99E+307,'Returns (Calc)'!$A:$A)-3),"")</f>
        <v>327.4241772151899</v>
      </c>
      <c r="AP119" s="142">
        <f>IFERROR(IF(OR(NOT(ISNUMBER('Price History'!W120)),NOT(ISNUMBER('Price History'!W119)),'Price History'!W119=0),"",'Price History'!W120/'Price History'!W119-1),"")</f>
        <v>5.5030337237194082E-3</v>
      </c>
      <c r="AQ119" s="142" t="str">
        <f>IFERROR(IF(OR(NOT(ISNUMBER('Price History'!X120)),NOT(ISNUMBER('Price History'!X119)),'Price History'!X119=0),"",'Price History'!X120/'Price History'!X119-1),"")</f>
        <v/>
      </c>
      <c r="AR119" s="142">
        <f>IFERROR(IF(OR(NOT(ISNUMBER('Price History'!Y120)),NOT(ISNUMBER('Price History'!Y119)),'Price History'!Y119=0),"",'Price History'!Y120/'Price History'!Y119-1),"")</f>
        <v>5.2141527001861032E-3</v>
      </c>
      <c r="AS119" s="142">
        <f>IFERROR(IF(OR(NOT(ISNUMBER('Price History'!Z120)),NOT(ISNUMBER('Price History'!Z119)),'Price History'!Z119=0),"",'Price History'!Z120/'Price History'!Z119-1),"")</f>
        <v>5.5895350892699369E-2</v>
      </c>
      <c r="AT119" s="142">
        <f>IFERROR(IF(OR(NOT(ISNUMBER('Price History'!AA120)),NOT(ISNUMBER('Price History'!AA119)),'Price History'!AA119=0),"",'Price History'!AA120/'Price History'!AA119-1),"")</f>
        <v>-5.0379090183559461E-2</v>
      </c>
    </row>
    <row r="120" spans="1:46" ht="15" customHeight="1" x14ac:dyDescent="0.35">
      <c r="A120" s="140">
        <f>IF('Price History'!A121="","",'Price History'!A121)</f>
        <v>46010</v>
      </c>
      <c r="B120" s="141">
        <f>IFERROR(IF(OR(NOT(ISNUMBER('Price History'!B121)),NOT(ISNUMBER('Price History'!B120)),'Price History'!B120=0),"",'Price History'!B121/'Price History'!B120-1),"")</f>
        <v>-1.599191987206483E-3</v>
      </c>
      <c r="C120" s="141">
        <f>IFERROR(IF(OR(NOT(ISNUMBER('Price History'!C121)),NOT(ISNUMBER('Price History'!C120)),'Price History'!C120=0),"",'Price History'!C121/'Price History'!C120-1),"")</f>
        <v>5.0977877524847726E-2</v>
      </c>
      <c r="D120" s="141">
        <f>IFERROR(IF(OR(NOT(ISNUMBER('Price History'!D121)),NOT(ISNUMBER('Price History'!D120)),'Price History'!D120=0),"",'Price History'!D121/'Price History'!D120-1),"")</f>
        <v>-2.2971515692399302E-2</v>
      </c>
      <c r="E120" s="141">
        <f>IFERROR(IF(OR(NOT(ISNUMBER('Price History'!E121)),NOT(ISNUMBER('Price History'!E120)),'Price History'!E120=0),"",'Price History'!E121/'Price History'!E120-1),"")</f>
        <v>-5.4356649032944127E-2</v>
      </c>
      <c r="F120" s="141">
        <f>IFERROR(IF(OR(NOT(ISNUMBER('Price History'!F121)),NOT(ISNUMBER('Price History'!F120)),'Price History'!F120=0),"",'Price History'!F121/'Price History'!F120-1),"")</f>
        <v>-4.6517156668515747E-2</v>
      </c>
      <c r="G120" s="141">
        <f>IFERROR(IF(OR(NOT(ISNUMBER('Price History'!G121)),NOT(ISNUMBER('Price History'!G120)),'Price History'!G120=0),"",'Price History'!G121/'Price History'!G120-1),"")</f>
        <v>4.3379571248423732E-2</v>
      </c>
      <c r="H120" s="141">
        <f>IFERROR(IF(OR(NOT(ISNUMBER('Price History'!H121)),NOT(ISNUMBER('Price History'!H120)),'Price History'!H120=0),"",'Price History'!H121/'Price History'!H120-1),"")</f>
        <v>0.1027812370278125</v>
      </c>
      <c r="I120" s="141">
        <f>IFERROR(IF(OR(NOT(ISNUMBER('Price History'!I121)),NOT(ISNUMBER('Price History'!I120)),'Price History'!I120=0),"",'Price History'!I121/'Price History'!I120-1),"")</f>
        <v>3.4133211156291088E-2</v>
      </c>
      <c r="J120" s="141">
        <f>IFERROR(IF(OR(NOT(ISNUMBER('Price History'!J121)),NOT(ISNUMBER('Price History'!J120)),'Price History'!J120=0),"",'Price History'!J121/'Price History'!J120-1),"")</f>
        <v>-1.5053081920456401E-2</v>
      </c>
      <c r="K120" s="141">
        <f>IFERROR(IF(OR(NOT(ISNUMBER('Price History'!K121)),NOT(ISNUMBER('Price History'!K120)),'Price History'!K120=0),"",'Price History'!K121/'Price History'!K120-1),"")</f>
        <v>5.3440104592253679E-2</v>
      </c>
      <c r="L120" s="141">
        <f>IFERROR(IF(OR(NOT(ISNUMBER('Price History'!L121)),NOT(ISNUMBER('Price History'!L120)),'Price History'!L120=0),"",'Price History'!L121/'Price History'!L120-1),"")</f>
        <v>-1.0560463832136935E-2</v>
      </c>
      <c r="M120" s="141">
        <f>IFERROR(IF(OR(NOT(ISNUMBER('Price History'!M121)),NOT(ISNUMBER('Price History'!M120)),'Price History'!M120=0),"",'Price History'!M121/'Price History'!M120-1),"")</f>
        <v>-8.997269793993512E-3</v>
      </c>
      <c r="N120" s="141">
        <f>IFERROR(IF(OR(NOT(ISNUMBER('Price History'!N121)),NOT(ISNUMBER('Price History'!N120)),'Price History'!N120=0),"",'Price History'!N121/'Price History'!N120-1),"")</f>
        <v>9.2027254225288679E-3</v>
      </c>
      <c r="O120" s="141">
        <f>IFERROR(IF(OR(NOT(ISNUMBER('Price History'!O121)),NOT(ISNUMBER('Price History'!O120)),'Price History'!O120=0),"",'Price History'!O121/'Price History'!O120-1),"")</f>
        <v>-9.0611143242721459E-3</v>
      </c>
      <c r="P120" s="141">
        <f>IFERROR(IF(OR(NOT(ISNUMBER('Price History'!P121)),NOT(ISNUMBER('Price History'!P120)),'Price History'!P120=0),"",'Price History'!P121/'Price History'!P120-1),"")</f>
        <v>-4.5980314677777079E-3</v>
      </c>
      <c r="Q120" s="141">
        <f>IFERROR(IF(OR(NOT(ISNUMBER('Price History'!Q121)),NOT(ISNUMBER('Price History'!Q120)),'Price History'!Q120=0),"",'Price History'!Q121/'Price History'!Q120-1),"")</f>
        <v>2.2768670309654127E-3</v>
      </c>
      <c r="R120" s="141">
        <f>IFERROR(IF(OR(NOT(ISNUMBER('Price History'!R121)),NOT(ISNUMBER('Price History'!R120)),'Price History'!R120=0),"",'Price History'!R121/'Price History'!R120-1),"")</f>
        <v>7.4017840197380114E-3</v>
      </c>
      <c r="S120" s="141">
        <f>IFERROR(IF(OR(NOT(ISNUMBER('Price History'!S121)),NOT(ISNUMBER('Price History'!S120)),'Price History'!S120=0),"",'Price History'!S121/'Price History'!S120-1),"")</f>
        <v>3.640982218459099E-3</v>
      </c>
      <c r="T120" s="141">
        <f>IFERROR(IF(OR(NOT(ISNUMBER('Price History'!T121)),NOT(ISNUMBER('Price History'!T120)),'Price History'!T120=0),"",'Price History'!T121/'Price History'!T120-1),"")</f>
        <v>-4.3103448275860767E-3</v>
      </c>
      <c r="U120" s="141">
        <f>IFERROR(IF(OR(NOT(ISNUMBER('Price History'!U121)),NOT(ISNUMBER('Price History'!U120)),'Price History'!U120=0),"",'Price History'!U121/'Price History'!U120-1),"")</f>
        <v>-8.1421169504071189E-3</v>
      </c>
      <c r="V120" s="142">
        <f>IFERROR(IF(OR(NOT(ISNUMBER('Price History'!V121)),NOT(ISNUMBER('Price History'!V120)),'Price History'!V120=0),"",'Price History'!V121/'Price History'!V120-1),"")</f>
        <v>4.1070137382501759E-3</v>
      </c>
      <c r="W120" s="143">
        <f>IFERROR('Price History'!B3+(INDEX('Price History'!B:B,MATCH(9.99E+307,'Returns (Calc)'!$A:$A)+1)-'Price History'!B3)*(ROW()-3)/(MATCH(9.99E+307,'Returns (Calc)'!$A:$A)-3),"")</f>
        <v>313.25455696202528</v>
      </c>
      <c r="X120" s="143">
        <f>IFERROR('Price History'!C3+(INDEX('Price History'!C:C,MATCH(9.99E+307,'Returns (Calc)'!$A:$A)+1)-'Price History'!C3)*(ROW()-3)/(MATCH(9.99E+307,'Returns (Calc)'!$A:$A)-3),"")</f>
        <v>165.52740506329113</v>
      </c>
      <c r="Y120" s="143">
        <f>IFERROR('Price History'!D3+(INDEX('Price History'!D:D,MATCH(9.99E+307,'Returns (Calc)'!$A:$A)+1)-'Price History'!D3)*(ROW()-3)/(MATCH(9.99E+307,'Returns (Calc)'!$A:$A)-3),"")</f>
        <v>1533.7827848101265</v>
      </c>
      <c r="Z120" s="143">
        <f>IFERROR('Price History'!E3+(INDEX('Price History'!E:E,MATCH(9.99E+307,'Returns (Calc)'!$A:$A)+1)-'Price History'!E3)*(ROW()-3)/(MATCH(9.99E+307,'Returns (Calc)'!$A:$A)-3),"")</f>
        <v>284.26189873417718</v>
      </c>
      <c r="AA120" s="143">
        <f>IFERROR('Price History'!F3+(INDEX('Price History'!F:F,MATCH(9.99E+307,'Returns (Calc)'!$A:$A)+1)-'Price History'!F3)*(ROW()-3)/(MATCH(9.99E+307,'Returns (Calc)'!$A:$A)-3),"")</f>
        <v>210.69898734177218</v>
      </c>
      <c r="AB120" s="143">
        <f>IFERROR('Price History'!G3+(INDEX('Price History'!G:G,MATCH(9.99E+307,'Returns (Calc)'!$A:$A)+1)-'Price History'!G3)*(ROW()-3)/(MATCH(9.99E+307,'Returns (Calc)'!$A:$A)-3),"")</f>
        <v>164.71189873417723</v>
      </c>
      <c r="AC120" s="143">
        <f>IFERROR('Price History'!H3+(INDEX('Price History'!H:H,MATCH(9.99E+307,'Returns (Calc)'!$A:$A)+1)-'Price History'!H3)*(ROW()-3)/(MATCH(9.99E+307,'Returns (Calc)'!$A:$A)-3),"")</f>
        <v>813.89645569620257</v>
      </c>
      <c r="AD120" s="143">
        <f>IFERROR('Price History'!I3+(INDEX('Price History'!I:I,MATCH(9.99E+307,'Returns (Calc)'!$A:$A)+1)-'Price History'!I3)*(ROW()-3)/(MATCH(9.99E+307,'Returns (Calc)'!$A:$A)-3),"")</f>
        <v>184.59949367088606</v>
      </c>
      <c r="AE120" s="143">
        <f>IFERROR('Price History'!J3+(INDEX('Price History'!J:J,MATCH(9.99E+307,'Returns (Calc)'!$A:$A)+1)-'Price History'!J3)*(ROW()-3)/(MATCH(9.99E+307,'Returns (Calc)'!$A:$A)-3),"")</f>
        <v>124.48044303797468</v>
      </c>
      <c r="AF120" s="143">
        <f>IFERROR('Price History'!K3+(INDEX('Price History'!K:K,MATCH(9.99E+307,'Returns (Calc)'!$A:$A)+1)-'Price History'!K3)*(ROW()-3)/(MATCH(9.99E+307,'Returns (Calc)'!$A:$A)-3),"")</f>
        <v>143.74860759493671</v>
      </c>
      <c r="AG120" s="143">
        <f>IFERROR('Price History'!L3+(INDEX('Price History'!L:L,MATCH(9.99E+307,'Returns (Calc)'!$A:$A)+1)-'Price History'!L3)*(ROW()-3)/(MATCH(9.99E+307,'Returns (Calc)'!$A:$A)-3),"")</f>
        <v>372.34816455696199</v>
      </c>
      <c r="AH120" s="143">
        <f>IFERROR('Price History'!M3+(INDEX('Price History'!M:M,MATCH(9.99E+307,'Returns (Calc)'!$A:$A)+1)-'Price History'!M3)*(ROW()-3)/(MATCH(9.99E+307,'Returns (Calc)'!$A:$A)-3),"")</f>
        <v>196.60683544303799</v>
      </c>
      <c r="AI120" s="143">
        <f>IFERROR('Price History'!N3+(INDEX('Price History'!N:N,MATCH(9.99E+307,'Returns (Calc)'!$A:$A)+1)-'Price History'!N3)*(ROW()-3)/(MATCH(9.99E+307,'Returns (Calc)'!$A:$A)-3),"")</f>
        <v>464.29310126582277</v>
      </c>
      <c r="AJ120" s="143">
        <f>IFERROR('Price History'!O3+(INDEX('Price History'!O:O,MATCH(9.99E+307,'Returns (Calc)'!$A:$A)+1)-'Price History'!O3)*(ROW()-3)/(MATCH(9.99E+307,'Returns (Calc)'!$A:$A)-3),"")</f>
        <v>108.42544303797469</v>
      </c>
      <c r="AK120" s="143">
        <f>IFERROR('Price History'!Q3+(INDEX('Price History'!Q:Q,MATCH(9.99E+307,'Returns (Calc)'!$A:$A)+1)-'Price History'!Q3)*(ROW()-3)/(MATCH(9.99E+307,'Returns (Calc)'!$A:$A)-3),"")</f>
        <v>51.40594936708861</v>
      </c>
      <c r="AL120" s="143">
        <f>IFERROR('Price History'!R3+(INDEX('Price History'!R:R,MATCH(9.99E+307,'Returns (Calc)'!$A:$A)+1)-'Price History'!R3)*(ROW()-3)/(MATCH(9.99E+307,'Returns (Calc)'!$A:$A)-3),"")</f>
        <v>54.147848101265822</v>
      </c>
      <c r="AM120" s="143">
        <f>IFERROR('Price History'!S3+(INDEX('Price History'!S:S,MATCH(9.99E+307,'Returns (Calc)'!$A:$A)+1)-'Price History'!S3)*(ROW()-3)/(MATCH(9.99E+307,'Returns (Calc)'!$A:$A)-3),"")</f>
        <v>128.42240506329114</v>
      </c>
      <c r="AN120" s="143">
        <f>IFERROR('Price History'!T3+(INDEX('Price History'!T:T,MATCH(9.99E+307,'Returns (Calc)'!$A:$A)+1)-'Price History'!T3)*(ROW()-3)/(MATCH(9.99E+307,'Returns (Calc)'!$A:$A)-3),"")</f>
        <v>44.922658227848103</v>
      </c>
      <c r="AO120" s="144">
        <f>IFERROR('Price History'!V3+(INDEX('Price History'!V:V,MATCH(9.99E+307,'Returns (Calc)'!$A:$A)+1)-'Price History'!V3)*(ROW()-3)/(MATCH(9.99E+307,'Returns (Calc)'!$A:$A)-3),"")</f>
        <v>328.21550632911396</v>
      </c>
      <c r="AP120" s="142">
        <f>IFERROR(IF(OR(NOT(ISNUMBER('Price History'!W121)),NOT(ISNUMBER('Price History'!W120)),'Price History'!W120=0),"",'Price History'!W121/'Price History'!W120-1),"")</f>
        <v>-1.1857984844232394E-2</v>
      </c>
      <c r="AQ120" s="142" t="str">
        <f>IFERROR(IF(OR(NOT(ISNUMBER('Price History'!X121)),NOT(ISNUMBER('Price History'!X120)),'Price History'!X120=0),"",'Price History'!X121/'Price History'!X120-1),"")</f>
        <v/>
      </c>
      <c r="AR120" s="142">
        <f>IFERROR(IF(OR(NOT(ISNUMBER('Price History'!Y121)),NOT(ISNUMBER('Price History'!Y120)),'Price History'!Y120=0),"",'Price History'!Y121/'Price History'!Y120-1),"")</f>
        <v>-3.3345683586513131E-3</v>
      </c>
      <c r="AS120" s="142">
        <f>IFERROR(IF(OR(NOT(ISNUMBER('Price History'!Z121)),NOT(ISNUMBER('Price History'!Z120)),'Price History'!Z120=0),"",'Price History'!Z121/'Price History'!Z120-1),"")</f>
        <v>2.4676890109154082E-2</v>
      </c>
      <c r="AT120" s="142">
        <f>IFERROR(IF(OR(NOT(ISNUMBER('Price History'!AA121)),NOT(ISNUMBER('Price History'!AA120)),'Price History'!AA120=0),"",'Price History'!AA121/'Price History'!AA120-1),"")</f>
        <v>-8.4042441432923276E-3</v>
      </c>
    </row>
    <row r="121" spans="1:46" ht="15" customHeight="1" x14ac:dyDescent="0.35">
      <c r="A121" s="140">
        <f>IF('Price History'!A122="","",'Price History'!A122)</f>
        <v>46017</v>
      </c>
      <c r="B121" s="141">
        <f>IFERROR(IF(OR(NOT(ISNUMBER('Price History'!B122)),NOT(ISNUMBER('Price History'!B121)),'Price History'!B121=0),"",'Price History'!B122/'Price History'!B121-1),"")</f>
        <v>-5.788793345697707E-3</v>
      </c>
      <c r="C121" s="141">
        <f>IFERROR(IF(OR(NOT(ISNUMBER('Price History'!C122)),NOT(ISNUMBER('Price History'!C121)),'Price History'!C121=0),"",'Price History'!C122/'Price History'!C121-1),"")</f>
        <v>5.4911531421597548E-3</v>
      </c>
      <c r="D121" s="141">
        <f>IFERROR(IF(OR(NOT(ISNUMBER('Price History'!D122)),NOT(ISNUMBER('Price History'!D121)),'Price History'!D121=0),"",'Price History'!D122/'Price History'!D121-1),"")</f>
        <v>1.5842507397927585E-2</v>
      </c>
      <c r="E121" s="141">
        <f>IFERROR(IF(OR(NOT(ISNUMBER('Price History'!E122)),NOT(ISNUMBER('Price History'!E121)),'Price History'!E121=0),"",'Price History'!E122/'Price History'!E121-1),"")</f>
        <v>3.6554684031374851E-2</v>
      </c>
      <c r="F121" s="141">
        <f>IFERROR(IF(OR(NOT(ISNUMBER('Price History'!F122)),NOT(ISNUMBER('Price History'!F121)),'Price History'!F121=0),"",'Price History'!F122/'Price History'!F121-1),"")</f>
        <v>-1.6622340425531679E-4</v>
      </c>
      <c r="G121" s="141">
        <f>IFERROR(IF(OR(NOT(ISNUMBER('Price History'!G122)),NOT(ISNUMBER('Price History'!G121)),'Price History'!G121=0),"",'Price History'!G122/'Price History'!G121-1),"")</f>
        <v>2.7233905406494285E-2</v>
      </c>
      <c r="H121" s="141">
        <f>IFERROR(IF(OR(NOT(ISNUMBER('Price History'!H122)),NOT(ISNUMBER('Price History'!H121)),'Price History'!H121=0),"",'Price History'!H122/'Price History'!H121-1),"")</f>
        <v>7.0955356470676634E-2</v>
      </c>
      <c r="I121" s="141">
        <f>IFERROR(IF(OR(NOT(ISNUMBER('Price History'!I122)),NOT(ISNUMBER('Price History'!I121)),'Price History'!I121=0),"",'Price History'!I122/'Price History'!I121-1),"")</f>
        <v>5.2721936091266519E-2</v>
      </c>
      <c r="J121" s="141">
        <f>IFERROR(IF(OR(NOT(ISNUMBER('Price History'!J122)),NOT(ISNUMBER('Price History'!J121)),'Price History'!J121=0),"",'Price History'!J122/'Price History'!J121-1),"")</f>
        <v>1.1583011583011782E-2</v>
      </c>
      <c r="K121" s="141">
        <f>IFERROR(IF(OR(NOT(ISNUMBER('Price History'!K122)),NOT(ISNUMBER('Price History'!K121)),'Price History'!K121=0),"",'Price History'!K122/'Price History'!K121-1),"")</f>
        <v>-2.4149343261971157E-2</v>
      </c>
      <c r="L121" s="141">
        <f>IFERROR(IF(OR(NOT(ISNUMBER('Price History'!L122)),NOT(ISNUMBER('Price History'!L121)),'Price History'!L121=0),"",'Price History'!L122/'Price History'!L121-1),"")</f>
        <v>4.8064178583885786E-2</v>
      </c>
      <c r="M121" s="141">
        <f>IFERROR(IF(OR(NOT(ISNUMBER('Price History'!M122)),NOT(ISNUMBER('Price History'!M121)),'Price History'!M121=0),"",'Price History'!M122/'Price History'!M121-1),"")</f>
        <v>4.8525452382443213E-2</v>
      </c>
      <c r="N121" s="141">
        <f>IFERROR(IF(OR(NOT(ISNUMBER('Price History'!N122)),NOT(ISNUMBER('Price History'!N121)),'Price History'!N121=0),"",'Price History'!N122/'Price History'!N121-1),"")</f>
        <v>1.4686540990793473E-2</v>
      </c>
      <c r="O121" s="141">
        <f>IFERROR(IF(OR(NOT(ISNUMBER('Price History'!O122)),NOT(ISNUMBER('Price History'!O121)),'Price History'!O121=0),"",'Price History'!O122/'Price History'!O121-1),"")</f>
        <v>-8.7548638132295409E-4</v>
      </c>
      <c r="P121" s="141">
        <f>IFERROR(IF(OR(NOT(ISNUMBER('Price History'!P122)),NOT(ISNUMBER('Price History'!P121)),'Price History'!P121=0),"",'Price History'!P122/'Price History'!P121-1),"")</f>
        <v>5.2688560086611158E-3</v>
      </c>
      <c r="Q121" s="141">
        <f>IFERROR(IF(OR(NOT(ISNUMBER('Price History'!Q122)),NOT(ISNUMBER('Price History'!Q121)),'Price History'!Q121=0),"",'Price History'!Q122/'Price History'!Q121-1),"")</f>
        <v>1.0601241859760746E-2</v>
      </c>
      <c r="R121" s="141">
        <f>IFERROR(IF(OR(NOT(ISNUMBER('Price History'!R122)),NOT(ISNUMBER('Price History'!R121)),'Price History'!R121=0),"",'Price History'!R122/'Price History'!R121-1),"")</f>
        <v>1.2434061793519247E-2</v>
      </c>
      <c r="S121" s="141">
        <f>IFERROR(IF(OR(NOT(ISNUMBER('Price History'!S122)),NOT(ISNUMBER('Price History'!S121)),'Price History'!S121=0),"",'Price History'!S122/'Price History'!S121-1),"")</f>
        <v>1.7970134143254768E-2</v>
      </c>
      <c r="T121" s="141">
        <f>IFERROR(IF(OR(NOT(ISNUMBER('Price History'!T122)),NOT(ISNUMBER('Price History'!T121)),'Price History'!T121=0),"",'Price History'!T122/'Price History'!T121-1),"")</f>
        <v>6.620830150241952E-3</v>
      </c>
      <c r="U121" s="141">
        <f>IFERROR(IF(OR(NOT(ISNUMBER('Price History'!U122)),NOT(ISNUMBER('Price History'!U121)),'Price History'!U121=0),"",'Price History'!U122/'Price History'!U121-1),"")</f>
        <v>6.7164179104477473E-3</v>
      </c>
      <c r="V121" s="142">
        <f>IFERROR(IF(OR(NOT(ISNUMBER('Price History'!V122)),NOT(ISNUMBER('Price History'!V121)),'Price History'!V121=0),"",'Price History'!V122/'Price History'!V121-1),"")</f>
        <v>1.6447273669959905E-2</v>
      </c>
      <c r="W121" s="143">
        <f>IFERROR('Price History'!B3+(INDEX('Price History'!B:B,MATCH(9.99E+307,'Returns (Calc)'!$A:$A)+1)-'Price History'!B3)*(ROW()-3)/(MATCH(9.99E+307,'Returns (Calc)'!$A:$A)-3),"")</f>
        <v>311.41151898734176</v>
      </c>
      <c r="X121" s="143">
        <f>IFERROR('Price History'!C3+(INDEX('Price History'!C:C,MATCH(9.99E+307,'Returns (Calc)'!$A:$A)+1)-'Price History'!C3)*(ROW()-3)/(MATCH(9.99E+307,'Returns (Calc)'!$A:$A)-3),"")</f>
        <v>166.54746835443038</v>
      </c>
      <c r="Y121" s="143">
        <f>IFERROR('Price History'!D3+(INDEX('Price History'!D:D,MATCH(9.99E+307,'Returns (Calc)'!$A:$A)+1)-'Price History'!D3)*(ROW()-3)/(MATCH(9.99E+307,'Returns (Calc)'!$A:$A)-3),"")</f>
        <v>1541.9175949367088</v>
      </c>
      <c r="Z121" s="143">
        <f>IFERROR('Price History'!E3+(INDEX('Price History'!E:E,MATCH(9.99E+307,'Returns (Calc)'!$A:$A)+1)-'Price History'!E3)*(ROW()-3)/(MATCH(9.99E+307,'Returns (Calc)'!$A:$A)-3),"")</f>
        <v>285.99063291139237</v>
      </c>
      <c r="AA121" s="143">
        <f>IFERROR('Price History'!F3+(INDEX('Price History'!F:F,MATCH(9.99E+307,'Returns (Calc)'!$A:$A)+1)-'Price History'!F3)*(ROW()-3)/(MATCH(9.99E+307,'Returns (Calc)'!$A:$A)-3),"")</f>
        <v>212.14632911392408</v>
      </c>
      <c r="AB121" s="143">
        <f>IFERROR('Price History'!G3+(INDEX('Price History'!G:G,MATCH(9.99E+307,'Returns (Calc)'!$A:$A)+1)-'Price History'!G3)*(ROW()-3)/(MATCH(9.99E+307,'Returns (Calc)'!$A:$A)-3),"")</f>
        <v>165.7406329113924</v>
      </c>
      <c r="AC121" s="143">
        <f>IFERROR('Price History'!H3+(INDEX('Price History'!H:H,MATCH(9.99E+307,'Returns (Calc)'!$A:$A)+1)-'Price History'!H3)*(ROW()-3)/(MATCH(9.99E+307,'Returns (Calc)'!$A:$A)-3),"")</f>
        <v>820.26215189873426</v>
      </c>
      <c r="AD121" s="143">
        <f>IFERROR('Price History'!I3+(INDEX('Price History'!I:I,MATCH(9.99E+307,'Returns (Calc)'!$A:$A)+1)-'Price History'!I3)*(ROW()-3)/(MATCH(9.99E+307,'Returns (Calc)'!$A:$A)-3),"")</f>
        <v>185.80316455696203</v>
      </c>
      <c r="AE121" s="143">
        <f>IFERROR('Price History'!J3+(INDEX('Price History'!J:J,MATCH(9.99E+307,'Returns (Calc)'!$A:$A)+1)-'Price History'!J3)*(ROW()-3)/(MATCH(9.99E+307,'Returns (Calc)'!$A:$A)-3),"")</f>
        <v>124.58848101265822</v>
      </c>
      <c r="AF121" s="143">
        <f>IFERROR('Price History'!K3+(INDEX('Price History'!K:K,MATCH(9.99E+307,'Returns (Calc)'!$A:$A)+1)-'Price History'!K3)*(ROW()-3)/(MATCH(9.99E+307,'Returns (Calc)'!$A:$A)-3),"")</f>
        <v>144.84620253164556</v>
      </c>
      <c r="AG121" s="143">
        <f>IFERROR('Price History'!L3+(INDEX('Price History'!L:L,MATCH(9.99E+307,'Returns (Calc)'!$A:$A)+1)-'Price History'!L3)*(ROW()-3)/(MATCH(9.99E+307,'Returns (Calc)'!$A:$A)-3),"")</f>
        <v>374.79772151898732</v>
      </c>
      <c r="AH121" s="143">
        <f>IFERROR('Price History'!M3+(INDEX('Price History'!M:M,MATCH(9.99E+307,'Returns (Calc)'!$A:$A)+1)-'Price History'!M3)*(ROW()-3)/(MATCH(9.99E+307,'Returns (Calc)'!$A:$A)-3),"")</f>
        <v>197.96227848101267</v>
      </c>
      <c r="AI121" s="143">
        <f>IFERROR('Price History'!N3+(INDEX('Price History'!N:N,MATCH(9.99E+307,'Returns (Calc)'!$A:$A)+1)-'Price History'!N3)*(ROW()-3)/(MATCH(9.99E+307,'Returns (Calc)'!$A:$A)-3),"")</f>
        <v>465.27936708860761</v>
      </c>
      <c r="AJ121" s="143">
        <f>IFERROR('Price History'!O3+(INDEX('Price History'!O:O,MATCH(9.99E+307,'Returns (Calc)'!$A:$A)+1)-'Price History'!O3)*(ROW()-3)/(MATCH(9.99E+307,'Returns (Calc)'!$A:$A)-3),"")</f>
        <v>108.70848101265824</v>
      </c>
      <c r="AK121" s="143">
        <f>IFERROR('Price History'!Q3+(INDEX('Price History'!Q:Q,MATCH(9.99E+307,'Returns (Calc)'!$A:$A)+1)-'Price History'!Q3)*(ROW()-3)/(MATCH(9.99E+307,'Returns (Calc)'!$A:$A)-3),"")</f>
        <v>51.845316455696207</v>
      </c>
      <c r="AL121" s="143">
        <f>IFERROR('Price History'!R3+(INDEX('Price History'!R:R,MATCH(9.99E+307,'Returns (Calc)'!$A:$A)+1)-'Price History'!R3)*(ROW()-3)/(MATCH(9.99E+307,'Returns (Calc)'!$A:$A)-3),"")</f>
        <v>54.315949367088606</v>
      </c>
      <c r="AM121" s="143">
        <f>IFERROR('Price History'!S3+(INDEX('Price History'!S:S,MATCH(9.99E+307,'Returns (Calc)'!$A:$A)+1)-'Price History'!S3)*(ROW()-3)/(MATCH(9.99E+307,'Returns (Calc)'!$A:$A)-3),"")</f>
        <v>129.02746835443037</v>
      </c>
      <c r="AN121" s="143">
        <f>IFERROR('Price History'!T3+(INDEX('Price History'!T:T,MATCH(9.99E+307,'Returns (Calc)'!$A:$A)+1)-'Price History'!T3)*(ROW()-3)/(MATCH(9.99E+307,'Returns (Calc)'!$A:$A)-3),"")</f>
        <v>45.090886075949371</v>
      </c>
      <c r="AO121" s="144">
        <f>IFERROR('Price History'!V3+(INDEX('Price History'!V:V,MATCH(9.99E+307,'Returns (Calc)'!$A:$A)+1)-'Price History'!V3)*(ROW()-3)/(MATCH(9.99E+307,'Returns (Calc)'!$A:$A)-3),"")</f>
        <v>329.00683544303797</v>
      </c>
      <c r="AP121" s="142">
        <f>IFERROR(IF(OR(NOT(ISNUMBER('Price History'!W122)),NOT(ISNUMBER('Price History'!W121)),'Price History'!W121=0),"",'Price History'!W122/'Price History'!W121-1),"")</f>
        <v>1.2284314421643128E-2</v>
      </c>
      <c r="AQ121" s="142">
        <f>IFERROR(IF(OR(NOT(ISNUMBER('Price History'!X122)),NOT(ISNUMBER('Price History'!X121)),'Price History'!X121=0),"",'Price History'!X122/'Price History'!X121-1),"")</f>
        <v>1.5855039637599155E-2</v>
      </c>
      <c r="AR121" s="142">
        <f>IFERROR(IF(OR(NOT(ISNUMBER('Price History'!Y122)),NOT(ISNUMBER('Price History'!Y121)),'Price History'!Y121=0),"",'Price History'!Y122/'Price History'!Y121-1),"")</f>
        <v>8.3643122676579917E-3</v>
      </c>
      <c r="AS121" s="142">
        <f>IFERROR(IF(OR(NOT(ISNUMBER('Price History'!Z122)),NOT(ISNUMBER('Price History'!Z121)),'Price History'!Z121=0),"",'Price History'!Z122/'Price History'!Z121-1),"")</f>
        <v>2.5814462634382362E-2</v>
      </c>
      <c r="AT121" s="142">
        <f>IFERROR(IF(OR(NOT(ISNUMBER('Price History'!AA122)),NOT(ISNUMBER('Price History'!AA121)),'Price History'!AA121=0),"",'Price History'!AA122/'Price History'!AA121-1),"")</f>
        <v>8.4754740968318032E-4</v>
      </c>
    </row>
    <row r="122" spans="1:46" ht="15" customHeight="1" x14ac:dyDescent="0.35">
      <c r="A122" s="140">
        <f>IF('Price History'!A123="","",'Price History'!A123)</f>
        <v>46024</v>
      </c>
      <c r="B122" s="141">
        <f>IFERROR(IF(OR(NOT(ISNUMBER('Price History'!B123)),NOT(ISNUMBER('Price History'!B122)),'Price History'!B122=0),"",'Price History'!B123/'Price History'!B122-1),"")</f>
        <v>-5.7942340305257245E-2</v>
      </c>
      <c r="C122" s="141">
        <f>IFERROR(IF(OR(NOT(ISNUMBER('Price History'!C123)),NOT(ISNUMBER('Price History'!C122)),'Price History'!C122=0),"",'Price History'!C123/'Price History'!C122-1),"")</f>
        <v>1.3349514563106624E-2</v>
      </c>
      <c r="D122" s="141">
        <f>IFERROR(IF(OR(NOT(ISNUMBER('Price History'!D123)),NOT(ISNUMBER('Price History'!D122)),'Price History'!D122=0),"",'Price History'!D123/'Price History'!D122-1),"")</f>
        <v>8.4861654895936889E-2</v>
      </c>
      <c r="E122" s="141">
        <f>IFERROR(IF(OR(NOT(ISNUMBER('Price History'!E123)),NOT(ISNUMBER('Price History'!E122)),'Price History'!E122=0),"",'Price History'!E123/'Price History'!E122-1),"")</f>
        <v>-1.282124500285553E-2</v>
      </c>
      <c r="F122" s="141">
        <f>IFERROR(IF(OR(NOT(ISNUMBER('Price History'!F123)),NOT(ISNUMBER('Price History'!F122)),'Price History'!F122=0),"",'Price History'!F123/'Price History'!F122-1),"")</f>
        <v>-5.7439733998337461E-2</v>
      </c>
      <c r="G122" s="141">
        <f>IFERROR(IF(OR(NOT(ISNUMBER('Price History'!G123)),NOT(ISNUMBER('Price History'!G122)),'Price History'!G122=0),"",'Price History'!G123/'Price History'!G122-1),"")</f>
        <v>-4.0003137500980168E-3</v>
      </c>
      <c r="H122" s="141">
        <f>IFERROR(IF(OR(NOT(ISNUMBER('Price History'!H123)),NOT(ISNUMBER('Price History'!H122)),'Price History'!H122=0),"",'Price History'!H123/'Price History'!H122-1),"")</f>
        <v>0.10801026325963936</v>
      </c>
      <c r="I122" s="141">
        <f>IFERROR(IF(OR(NOT(ISNUMBER('Price History'!I123)),NOT(ISNUMBER('Price History'!I122)),'Price History'!I122=0),"",'Price History'!I123/'Price History'!I122-1),"")</f>
        <v>-8.8379188805303155E-3</v>
      </c>
      <c r="J122" s="141">
        <f>IFERROR(IF(OR(NOT(ISNUMBER('Price History'!J123)),NOT(ISNUMBER('Price History'!J122)),'Price History'!J122=0),"",'Price History'!J123/'Price History'!J122-1),"")</f>
        <v>2.703562340966803E-3</v>
      </c>
      <c r="K122" s="141">
        <f>IFERROR(IF(OR(NOT(ISNUMBER('Price History'!K123)),NOT(ISNUMBER('Price History'!K122)),'Price History'!K122=0),"",'Price History'!K123/'Price History'!K122-1),"")</f>
        <v>-0.1104869906205288</v>
      </c>
      <c r="L122" s="141">
        <f>IFERROR(IF(OR(NOT(ISNUMBER('Price History'!L123)),NOT(ISNUMBER('Price History'!L122)),'Price History'!L122=0),"",'Price History'!L123/'Price History'!L122-1),"")</f>
        <v>5.5378061767838105E-2</v>
      </c>
      <c r="M122" s="141">
        <f>IFERROR(IF(OR(NOT(ISNUMBER('Price History'!M123)),NOT(ISNUMBER('Price History'!M122)),'Price History'!M122=0),"",'Price History'!M123/'Price History'!M122-1),"")</f>
        <v>4.7951749671563348E-2</v>
      </c>
      <c r="N122" s="141">
        <f>IFERROR(IF(OR(NOT(ISNUMBER('Price History'!N123)),NOT(ISNUMBER('Price History'!N122)),'Price History'!N122=0),"",'Price History'!N123/'Price History'!N122-1),"")</f>
        <v>-2.326636422553463E-2</v>
      </c>
      <c r="O122" s="141">
        <f>IFERROR(IF(OR(NOT(ISNUMBER('Price History'!O123)),NOT(ISNUMBER('Price History'!O122)),'Price History'!O122=0),"",'Price History'!O123/'Price History'!O122-1),"")</f>
        <v>-5.5496056859116738E-3</v>
      </c>
      <c r="P122" s="141">
        <f>IFERROR(IF(OR(NOT(ISNUMBER('Price History'!P123)),NOT(ISNUMBER('Price History'!P122)),'Price History'!P122=0),"",'Price History'!P123/'Price History'!P122-1),"")</f>
        <v>7.179781734634183E-5</v>
      </c>
      <c r="Q122" s="141">
        <f>IFERROR(IF(OR(NOT(ISNUMBER('Price History'!Q123)),NOT(ISNUMBER('Price History'!Q122)),'Price History'!Q122=0),"",'Price History'!Q123/'Price History'!Q122-1),"")</f>
        <v>-8.242169938558308E-3</v>
      </c>
      <c r="R122" s="141">
        <f>IFERROR(IF(OR(NOT(ISNUMBER('Price History'!R123)),NOT(ISNUMBER('Price History'!R122)),'Price History'!R122=0),"",'Price History'!R123/'Price History'!R122-1),"")</f>
        <v>-1.1537030145143401E-2</v>
      </c>
      <c r="S122" s="141">
        <f>IFERROR(IF(OR(NOT(ISNUMBER('Price History'!S123)),NOT(ISNUMBER('Price History'!S122)),'Price History'!S122=0),"",'Price History'!S123/'Price History'!S122-1),"")</f>
        <v>-1.4089176197579989E-2</v>
      </c>
      <c r="T122" s="141">
        <f>IFERROR(IF(OR(NOT(ISNUMBER('Price History'!T123)),NOT(ISNUMBER('Price History'!T122)),'Price History'!T122=0),"",'Price History'!T123/'Price History'!T122-1),"")</f>
        <v>-9.3599797622060388E-3</v>
      </c>
      <c r="U122" s="141">
        <f>IFERROR(IF(OR(NOT(ISNUMBER('Price History'!U123)),NOT(ISNUMBER('Price History'!U122)),'Price History'!U122=0),"",'Price History'!U123/'Price History'!U122-1),"")</f>
        <v>2.9651593773165619E-3</v>
      </c>
      <c r="V122" s="142">
        <f>IFERROR(IF(OR(NOT(ISNUMBER('Price History'!V123)),NOT(ISNUMBER('Price History'!V122)),'Price History'!V122=0),"",'Price History'!V123/'Price History'!V122-1),"")</f>
        <v>-2.4002493765585942E-2</v>
      </c>
      <c r="W122" s="143">
        <f>IFERROR('Price History'!B3+(INDEX('Price History'!B:B,MATCH(9.99E+307,'Returns (Calc)'!$A:$A)+1)-'Price History'!B3)*(ROW()-3)/(MATCH(9.99E+307,'Returns (Calc)'!$A:$A)-3),"")</f>
        <v>309.56848101265825</v>
      </c>
      <c r="X122" s="143">
        <f>IFERROR('Price History'!C3+(INDEX('Price History'!C:C,MATCH(9.99E+307,'Returns (Calc)'!$A:$A)+1)-'Price History'!C3)*(ROW()-3)/(MATCH(9.99E+307,'Returns (Calc)'!$A:$A)-3),"")</f>
        <v>167.56753164556963</v>
      </c>
      <c r="Y122" s="143">
        <f>IFERROR('Price History'!D3+(INDEX('Price History'!D:D,MATCH(9.99E+307,'Returns (Calc)'!$A:$A)+1)-'Price History'!D3)*(ROW()-3)/(MATCH(9.99E+307,'Returns (Calc)'!$A:$A)-3),"")</f>
        <v>1550.0524050632912</v>
      </c>
      <c r="Z122" s="143">
        <f>IFERROR('Price History'!E3+(INDEX('Price History'!E:E,MATCH(9.99E+307,'Returns (Calc)'!$A:$A)+1)-'Price History'!E3)*(ROW()-3)/(MATCH(9.99E+307,'Returns (Calc)'!$A:$A)-3),"")</f>
        <v>287.71936708860756</v>
      </c>
      <c r="AA122" s="143">
        <f>IFERROR('Price History'!F3+(INDEX('Price History'!F:F,MATCH(9.99E+307,'Returns (Calc)'!$A:$A)+1)-'Price History'!F3)*(ROW()-3)/(MATCH(9.99E+307,'Returns (Calc)'!$A:$A)-3),"")</f>
        <v>213.59367088607598</v>
      </c>
      <c r="AB122" s="143">
        <f>IFERROR('Price History'!G3+(INDEX('Price History'!G:G,MATCH(9.99E+307,'Returns (Calc)'!$A:$A)+1)-'Price History'!G3)*(ROW()-3)/(MATCH(9.99E+307,'Returns (Calc)'!$A:$A)-3),"")</f>
        <v>166.76936708860759</v>
      </c>
      <c r="AC122" s="143">
        <f>IFERROR('Price History'!H3+(INDEX('Price History'!H:H,MATCH(9.99E+307,'Returns (Calc)'!$A:$A)+1)-'Price History'!H3)*(ROW()-3)/(MATCH(9.99E+307,'Returns (Calc)'!$A:$A)-3),"")</f>
        <v>826.62784810126584</v>
      </c>
      <c r="AD122" s="143">
        <f>IFERROR('Price History'!I3+(INDEX('Price History'!I:I,MATCH(9.99E+307,'Returns (Calc)'!$A:$A)+1)-'Price History'!I3)*(ROW()-3)/(MATCH(9.99E+307,'Returns (Calc)'!$A:$A)-3),"")</f>
        <v>187.00683544303797</v>
      </c>
      <c r="AE122" s="143">
        <f>IFERROR('Price History'!J3+(INDEX('Price History'!J:J,MATCH(9.99E+307,'Returns (Calc)'!$A:$A)+1)-'Price History'!J3)*(ROW()-3)/(MATCH(9.99E+307,'Returns (Calc)'!$A:$A)-3),"")</f>
        <v>124.69651898734178</v>
      </c>
      <c r="AF122" s="143">
        <f>IFERROR('Price History'!K3+(INDEX('Price History'!K:K,MATCH(9.99E+307,'Returns (Calc)'!$A:$A)+1)-'Price History'!K3)*(ROW()-3)/(MATCH(9.99E+307,'Returns (Calc)'!$A:$A)-3),"")</f>
        <v>145.94379746835443</v>
      </c>
      <c r="AG122" s="143">
        <f>IFERROR('Price History'!L3+(INDEX('Price History'!L:L,MATCH(9.99E+307,'Returns (Calc)'!$A:$A)+1)-'Price History'!L3)*(ROW()-3)/(MATCH(9.99E+307,'Returns (Calc)'!$A:$A)-3),"")</f>
        <v>377.24727848101264</v>
      </c>
      <c r="AH122" s="143">
        <f>IFERROR('Price History'!M3+(INDEX('Price History'!M:M,MATCH(9.99E+307,'Returns (Calc)'!$A:$A)+1)-'Price History'!M3)*(ROW()-3)/(MATCH(9.99E+307,'Returns (Calc)'!$A:$A)-3),"")</f>
        <v>199.31772151898736</v>
      </c>
      <c r="AI122" s="143">
        <f>IFERROR('Price History'!N3+(INDEX('Price History'!N:N,MATCH(9.99E+307,'Returns (Calc)'!$A:$A)+1)-'Price History'!N3)*(ROW()-3)/(MATCH(9.99E+307,'Returns (Calc)'!$A:$A)-3),"")</f>
        <v>466.2656329113924</v>
      </c>
      <c r="AJ122" s="143">
        <f>IFERROR('Price History'!O3+(INDEX('Price History'!O:O,MATCH(9.99E+307,'Returns (Calc)'!$A:$A)+1)-'Price History'!O3)*(ROW()-3)/(MATCH(9.99E+307,'Returns (Calc)'!$A:$A)-3),"")</f>
        <v>108.99151898734178</v>
      </c>
      <c r="AK122" s="143">
        <f>IFERROR('Price History'!Q3+(INDEX('Price History'!Q:Q,MATCH(9.99E+307,'Returns (Calc)'!$A:$A)+1)-'Price History'!Q3)*(ROW()-3)/(MATCH(9.99E+307,'Returns (Calc)'!$A:$A)-3),"")</f>
        <v>52.284683544303796</v>
      </c>
      <c r="AL122" s="143">
        <f>IFERROR('Price History'!R3+(INDEX('Price History'!R:R,MATCH(9.99E+307,'Returns (Calc)'!$A:$A)+1)-'Price History'!R3)*(ROW()-3)/(MATCH(9.99E+307,'Returns (Calc)'!$A:$A)-3),"")</f>
        <v>54.484050632911391</v>
      </c>
      <c r="AM122" s="143">
        <f>IFERROR('Price History'!S3+(INDEX('Price History'!S:S,MATCH(9.99E+307,'Returns (Calc)'!$A:$A)+1)-'Price History'!S3)*(ROW()-3)/(MATCH(9.99E+307,'Returns (Calc)'!$A:$A)-3),"")</f>
        <v>129.63253164556963</v>
      </c>
      <c r="AN122" s="143">
        <f>IFERROR('Price History'!T3+(INDEX('Price History'!T:T,MATCH(9.99E+307,'Returns (Calc)'!$A:$A)+1)-'Price History'!T3)*(ROW()-3)/(MATCH(9.99E+307,'Returns (Calc)'!$A:$A)-3),"")</f>
        <v>45.259113924050638</v>
      </c>
      <c r="AO122" s="144">
        <f>IFERROR('Price History'!V3+(INDEX('Price History'!V:V,MATCH(9.99E+307,'Returns (Calc)'!$A:$A)+1)-'Price History'!V3)*(ROW()-3)/(MATCH(9.99E+307,'Returns (Calc)'!$A:$A)-3),"")</f>
        <v>329.79816455696204</v>
      </c>
      <c r="AP122" s="142">
        <f>IFERROR(IF(OR(NOT(ISNUMBER('Price History'!W123)),NOT(ISNUMBER('Price History'!W122)),'Price History'!W122=0),"",'Price History'!W123/'Price History'!W122-1),"")</f>
        <v>-2.2446689113355678E-3</v>
      </c>
      <c r="AQ122" s="142">
        <f>IFERROR(IF(OR(NOT(ISNUMBER('Price History'!X123)),NOT(ISNUMBER('Price History'!X122)),'Price History'!X122=0),"",'Price History'!X123/'Price History'!X122-1),"")</f>
        <v>1.025641025641022E-2</v>
      </c>
      <c r="AR122" s="142">
        <f>IFERROR(IF(OR(NOT(ISNUMBER('Price History'!Y123)),NOT(ISNUMBER('Price History'!Y122)),'Price History'!Y122=0),"",'Price History'!Y123/'Price History'!Y122-1),"")</f>
        <v>-4.7926267281105384E-3</v>
      </c>
      <c r="AS122" s="142">
        <f>IFERROR(IF(OR(NOT(ISNUMBER('Price History'!Z123)),NOT(ISNUMBER('Price History'!Z122)),'Price History'!Z122=0),"",'Price History'!Z123/'Price History'!Z122-1),"")</f>
        <v>1.8953269837224784E-2</v>
      </c>
      <c r="AT122" s="142">
        <f>IFERROR(IF(OR(NOT(ISNUMBER('Price History'!AA123)),NOT(ISNUMBER('Price History'!AA122)),'Price History'!AA122=0),"",'Price History'!AA123/'Price History'!AA122-1),"")</f>
        <v>-3.683709114004452E-2</v>
      </c>
    </row>
    <row r="123" spans="1:46" ht="15" customHeight="1" x14ac:dyDescent="0.35">
      <c r="A123" s="140">
        <f>IF('Price History'!A124="","",'Price History'!A124)</f>
        <v>46031</v>
      </c>
      <c r="B123" s="141">
        <f>IFERROR(IF(OR(NOT(ISNUMBER('Price History'!B124)),NOT(ISNUMBER('Price History'!B123)),'Price History'!B123=0),"",'Price History'!B124/'Price History'!B123-1),"")</f>
        <v>1.950195019501777E-3</v>
      </c>
      <c r="C123" s="141">
        <f>IFERROR(IF(OR(NOT(ISNUMBER('Price History'!C124)),NOT(ISNUMBER('Price History'!C123)),'Price History'!C123=0),"",'Price History'!C124/'Price History'!C123-1),"")</f>
        <v>-8.0164670658682602E-2</v>
      </c>
      <c r="D123" s="141">
        <f>IFERROR(IF(OR(NOT(ISNUMBER('Price History'!D124)),NOT(ISNUMBER('Price History'!D123)),'Price History'!D123=0),"",'Price History'!D124/'Price History'!D123-1),"")</f>
        <v>9.4602061784462288E-2</v>
      </c>
      <c r="E123" s="141">
        <f>IFERROR(IF(OR(NOT(ISNUMBER('Price History'!E124)),NOT(ISNUMBER('Price History'!E123)),'Price History'!E123=0),"",'Price History'!E124/'Price History'!E123-1),"")</f>
        <v>-7.6075323247808413E-3</v>
      </c>
      <c r="F123" s="141">
        <f>IFERROR(IF(OR(NOT(ISNUMBER('Price History'!F124)),NOT(ISNUMBER('Price History'!F123)),'Price History'!F123=0),"",'Price History'!F124/'Price History'!F123-1),"")</f>
        <v>3.7569450568833318E-2</v>
      </c>
      <c r="G123" s="141">
        <f>IFERROR(IF(OR(NOT(ISNUMBER('Price History'!G124)),NOT(ISNUMBER('Price History'!G123)),'Price History'!G123=0),"",'Price History'!G124/'Price History'!G123-1),"")</f>
        <v>9.8440699322727809E-2</v>
      </c>
      <c r="H123" s="141">
        <f>IFERROR(IF(OR(NOT(ISNUMBER('Price History'!H124)),NOT(ISNUMBER('Price History'!H123)),'Price History'!H123=0),"",'Price History'!H124/'Price History'!H123-1),"")</f>
        <v>9.4055322928562335E-2</v>
      </c>
      <c r="I123" s="141">
        <f>IFERROR(IF(OR(NOT(ISNUMBER('Price History'!I124)),NOT(ISNUMBER('Price History'!I123)),'Price History'!I123=0),"",'Price History'!I124/'Price History'!I123-1),"")</f>
        <v>-2.1124144153707336E-2</v>
      </c>
      <c r="J123" s="141">
        <f>IFERROR(IF(OR(NOT(ISNUMBER('Price History'!J124)),NOT(ISNUMBER('Price History'!J123)),'Price History'!J123=0),"",'Price History'!J124/'Price History'!J123-1),"")</f>
        <v>2.6962727993655733E-3</v>
      </c>
      <c r="K123" s="141">
        <f>IFERROR(IF(OR(NOT(ISNUMBER('Price History'!K124)),NOT(ISNUMBER('Price History'!K123)),'Price History'!K123=0),"",'Price History'!K124/'Price History'!K123-1),"")</f>
        <v>5.7369236268318913E-2</v>
      </c>
      <c r="L123" s="141">
        <f>IFERROR(IF(OR(NOT(ISNUMBER('Price History'!L124)),NOT(ISNUMBER('Price History'!L123)),'Price History'!L123=0),"",'Price History'!L124/'Price History'!L123-1),"")</f>
        <v>1.2581987891019164E-2</v>
      </c>
      <c r="M123" s="141">
        <f>IFERROR(IF(OR(NOT(ISNUMBER('Price History'!M124)),NOT(ISNUMBER('Price History'!M123)),'Price History'!M123=0),"",'Price History'!M124/'Price History'!M123-1),"")</f>
        <v>-6.8493931278135523E-2</v>
      </c>
      <c r="N123" s="141">
        <f>IFERROR(IF(OR(NOT(ISNUMBER('Price History'!N124)),NOT(ISNUMBER('Price History'!N123)),'Price History'!N123=0),"",'Price History'!N124/'Price History'!N123-1),"")</f>
        <v>2.5943865702342306E-2</v>
      </c>
      <c r="O123" s="141">
        <f>IFERROR(IF(OR(NOT(ISNUMBER('Price History'!O124)),NOT(ISNUMBER('Price History'!O123)),'Price History'!O123=0),"",'Price History'!O124/'Price History'!O123-1),"")</f>
        <v>4.082631682005089E-2</v>
      </c>
      <c r="P123" s="141">
        <f>IFERROR(IF(OR(NOT(ISNUMBER('Price History'!P124)),NOT(ISNUMBER('Price History'!P123)),'Price History'!P123=0),"",'Price History'!P124/'Price History'!P123-1),"")</f>
        <v>2.0963457534640018E-2</v>
      </c>
      <c r="Q123" s="141">
        <f>IFERROR(IF(OR(NOT(ISNUMBER('Price History'!Q124)),NOT(ISNUMBER('Price History'!Q123)),'Price History'!Q123=0),"",'Price History'!Q124/'Price History'!Q123-1),"")</f>
        <v>9.0661831368992196E-3</v>
      </c>
      <c r="R123" s="141">
        <f>IFERROR(IF(OR(NOT(ISNUMBER('Price History'!R124)),NOT(ISNUMBER('Price History'!R123)),'Price History'!R123=0),"",'Price History'!R124/'Price History'!R123-1),"")</f>
        <v>1.8448795180723065E-2</v>
      </c>
      <c r="S123" s="141">
        <f>IFERROR(IF(OR(NOT(ISNUMBER('Price History'!S124)),NOT(ISNUMBER('Price History'!S123)),'Price History'!S123=0),"",'Price History'!S124/'Price History'!S123-1),"")</f>
        <v>2.9421654337593584E-3</v>
      </c>
      <c r="T123" s="141">
        <f>IFERROR(IF(OR(NOT(ISNUMBER('Price History'!T124)),NOT(ISNUMBER('Price History'!T123)),'Price History'!T123=0),"",'Price History'!T124/'Price History'!T123-1),"")</f>
        <v>2.5791624106231037E-2</v>
      </c>
      <c r="U123" s="141">
        <f>IFERROR(IF(OR(NOT(ISNUMBER('Price History'!U124)),NOT(ISNUMBER('Price History'!U123)),'Price History'!U123=0),"",'Price History'!U124/'Price History'!U123-1),"")</f>
        <v>2.9563932002956372E-2</v>
      </c>
      <c r="V123" s="142">
        <f>IFERROR(IF(OR(NOT(ISNUMBER('Price History'!V124)),NOT(ISNUMBER('Price History'!V123)),'Price History'!V123=0),"",'Price History'!V124/'Price History'!V123-1),"")</f>
        <v>9.4944978368805E-3</v>
      </c>
      <c r="W123" s="143">
        <f>IFERROR('Price History'!B3+(INDEX('Price History'!B:B,MATCH(9.99E+307,'Returns (Calc)'!$A:$A)+1)-'Price History'!B3)*(ROW()-3)/(MATCH(9.99E+307,'Returns (Calc)'!$A:$A)-3),"")</f>
        <v>307.72544303797463</v>
      </c>
      <c r="X123" s="143">
        <f>IFERROR('Price History'!C3+(INDEX('Price History'!C:C,MATCH(9.99E+307,'Returns (Calc)'!$A:$A)+1)-'Price History'!C3)*(ROW()-3)/(MATCH(9.99E+307,'Returns (Calc)'!$A:$A)-3),"")</f>
        <v>168.58759493670885</v>
      </c>
      <c r="Y123" s="143">
        <f>IFERROR('Price History'!D3+(INDEX('Price History'!D:D,MATCH(9.99E+307,'Returns (Calc)'!$A:$A)+1)-'Price History'!D3)*(ROW()-3)/(MATCH(9.99E+307,'Returns (Calc)'!$A:$A)-3),"")</f>
        <v>1558.1872151898733</v>
      </c>
      <c r="Z123" s="143">
        <f>IFERROR('Price History'!E3+(INDEX('Price History'!E:E,MATCH(9.99E+307,'Returns (Calc)'!$A:$A)+1)-'Price History'!E3)*(ROW()-3)/(MATCH(9.99E+307,'Returns (Calc)'!$A:$A)-3),"")</f>
        <v>289.44810126582274</v>
      </c>
      <c r="AA123" s="143">
        <f>IFERROR('Price History'!F3+(INDEX('Price History'!F:F,MATCH(9.99E+307,'Returns (Calc)'!$A:$A)+1)-'Price History'!F3)*(ROW()-3)/(MATCH(9.99E+307,'Returns (Calc)'!$A:$A)-3),"")</f>
        <v>215.04101265822788</v>
      </c>
      <c r="AB123" s="143">
        <f>IFERROR('Price History'!G3+(INDEX('Price History'!G:G,MATCH(9.99E+307,'Returns (Calc)'!$A:$A)+1)-'Price History'!G3)*(ROW()-3)/(MATCH(9.99E+307,'Returns (Calc)'!$A:$A)-3),"")</f>
        <v>167.79810126582279</v>
      </c>
      <c r="AC123" s="143">
        <f>IFERROR('Price History'!H3+(INDEX('Price History'!H:H,MATCH(9.99E+307,'Returns (Calc)'!$A:$A)+1)-'Price History'!H3)*(ROW()-3)/(MATCH(9.99E+307,'Returns (Calc)'!$A:$A)-3),"")</f>
        <v>832.99354430379753</v>
      </c>
      <c r="AD123" s="143">
        <f>IFERROR('Price History'!I3+(INDEX('Price History'!I:I,MATCH(9.99E+307,'Returns (Calc)'!$A:$A)+1)-'Price History'!I3)*(ROW()-3)/(MATCH(9.99E+307,'Returns (Calc)'!$A:$A)-3),"")</f>
        <v>188.21050632911391</v>
      </c>
      <c r="AE123" s="143">
        <f>IFERROR('Price History'!J3+(INDEX('Price History'!J:J,MATCH(9.99E+307,'Returns (Calc)'!$A:$A)+1)-'Price History'!J3)*(ROW()-3)/(MATCH(9.99E+307,'Returns (Calc)'!$A:$A)-3),"")</f>
        <v>124.80455696202532</v>
      </c>
      <c r="AF123" s="143">
        <f>IFERROR('Price History'!K3+(INDEX('Price History'!K:K,MATCH(9.99E+307,'Returns (Calc)'!$A:$A)+1)-'Price History'!K3)*(ROW()-3)/(MATCH(9.99E+307,'Returns (Calc)'!$A:$A)-3),"")</f>
        <v>147.04139240506328</v>
      </c>
      <c r="AG123" s="143">
        <f>IFERROR('Price History'!L3+(INDEX('Price History'!L:L,MATCH(9.99E+307,'Returns (Calc)'!$A:$A)+1)-'Price History'!L3)*(ROW()-3)/(MATCH(9.99E+307,'Returns (Calc)'!$A:$A)-3),"")</f>
        <v>379.69683544303797</v>
      </c>
      <c r="AH123" s="143">
        <f>IFERROR('Price History'!M3+(INDEX('Price History'!M:M,MATCH(9.99E+307,'Returns (Calc)'!$A:$A)+1)-'Price History'!M3)*(ROW()-3)/(MATCH(9.99E+307,'Returns (Calc)'!$A:$A)-3),"")</f>
        <v>200.67316455696204</v>
      </c>
      <c r="AI123" s="143">
        <f>IFERROR('Price History'!N3+(INDEX('Price History'!N:N,MATCH(9.99E+307,'Returns (Calc)'!$A:$A)+1)-'Price History'!N3)*(ROW()-3)/(MATCH(9.99E+307,'Returns (Calc)'!$A:$A)-3),"")</f>
        <v>467.25189873417725</v>
      </c>
      <c r="AJ123" s="143">
        <f>IFERROR('Price History'!O3+(INDEX('Price History'!O:O,MATCH(9.99E+307,'Returns (Calc)'!$A:$A)+1)-'Price History'!O3)*(ROW()-3)/(MATCH(9.99E+307,'Returns (Calc)'!$A:$A)-3),"")</f>
        <v>109.27455696202531</v>
      </c>
      <c r="AK123" s="143">
        <f>IFERROR('Price History'!Q3+(INDEX('Price History'!Q:Q,MATCH(9.99E+307,'Returns (Calc)'!$A:$A)+1)-'Price History'!Q3)*(ROW()-3)/(MATCH(9.99E+307,'Returns (Calc)'!$A:$A)-3),"")</f>
        <v>52.724050632911393</v>
      </c>
      <c r="AL123" s="143">
        <f>IFERROR('Price History'!R3+(INDEX('Price History'!R:R,MATCH(9.99E+307,'Returns (Calc)'!$A:$A)+1)-'Price History'!R3)*(ROW()-3)/(MATCH(9.99E+307,'Returns (Calc)'!$A:$A)-3),"")</f>
        <v>54.652151898734175</v>
      </c>
      <c r="AM123" s="143">
        <f>IFERROR('Price History'!S3+(INDEX('Price History'!S:S,MATCH(9.99E+307,'Returns (Calc)'!$A:$A)+1)-'Price History'!S3)*(ROW()-3)/(MATCH(9.99E+307,'Returns (Calc)'!$A:$A)-3),"")</f>
        <v>130.23759493670886</v>
      </c>
      <c r="AN123" s="143">
        <f>IFERROR('Price History'!T3+(INDEX('Price History'!T:T,MATCH(9.99E+307,'Returns (Calc)'!$A:$A)+1)-'Price History'!T3)*(ROW()-3)/(MATCH(9.99E+307,'Returns (Calc)'!$A:$A)-3),"")</f>
        <v>45.427341772151898</v>
      </c>
      <c r="AO123" s="144">
        <f>IFERROR('Price History'!V3+(INDEX('Price History'!V:V,MATCH(9.99E+307,'Returns (Calc)'!$A:$A)+1)-'Price History'!V3)*(ROW()-3)/(MATCH(9.99E+307,'Returns (Calc)'!$A:$A)-3),"")</f>
        <v>330.5894936708861</v>
      </c>
      <c r="AP123" s="142">
        <f>IFERROR(IF(OR(NOT(ISNUMBER('Price History'!W124)),NOT(ISNUMBER('Price History'!W123)),'Price History'!W123=0),"",'Price History'!W124/'Price History'!W123-1),"")</f>
        <v>1.7224409448818756E-2</v>
      </c>
      <c r="AQ123" s="142">
        <f>IFERROR(IF(OR(NOT(ISNUMBER('Price History'!X124)),NOT(ISNUMBER('Price History'!X123)),'Price History'!X123=0),"",'Price History'!X124/'Price History'!X123-1),"")</f>
        <v>-2.0083866696093633E-2</v>
      </c>
      <c r="AR123" s="142">
        <f>IFERROR(IF(OR(NOT(ISNUMBER('Price History'!Y124)),NOT(ISNUMBER('Price History'!Y123)),'Price History'!Y123=0),"",'Price History'!Y124/'Price History'!Y123-1),"")</f>
        <v>1.6299314687905131E-2</v>
      </c>
      <c r="AS123" s="142">
        <f>IFERROR(IF(OR(NOT(ISNUMBER('Price History'!Z124)),NOT(ISNUMBER('Price History'!Z123)),'Price History'!Z123=0),"",'Price History'!Z124/'Price History'!Z123-1),"")</f>
        <v>2.6259847442791084E-3</v>
      </c>
      <c r="AT123" s="142">
        <f>IFERROR(IF(OR(NOT(ISNUMBER('Price History'!AA124)),NOT(ISNUMBER('Price History'!AA123)),'Price History'!AA123=0),"",'Price History'!AA124/'Price History'!AA123-1),"")</f>
        <v>-1.6815034619188984E-2</v>
      </c>
    </row>
    <row r="124" spans="1:46" ht="15" customHeight="1" x14ac:dyDescent="0.35">
      <c r="A124" s="140">
        <f>IF('Price History'!A125="","",'Price History'!A125)</f>
        <v>46038</v>
      </c>
      <c r="B124" s="141">
        <f>IFERROR(IF(OR(NOT(ISNUMBER('Price History'!B125)),NOT(ISNUMBER('Price History'!B124)),'Price History'!B124=0),"",'Price History'!B125/'Price History'!B124-1),"")</f>
        <v>-0.11328043120227571</v>
      </c>
      <c r="C124" s="141">
        <f>IFERROR(IF(OR(NOT(ISNUMBER('Price History'!C125)),NOT(ISNUMBER('Price History'!C124)),'Price History'!C124=0),"",'Price History'!C125/'Price History'!C124-1),"")</f>
        <v>5.6473268776955132E-2</v>
      </c>
      <c r="D124" s="141">
        <f>IFERROR(IF(OR(NOT(ISNUMBER('Price History'!D125)),NOT(ISNUMBER('Price History'!D124)),'Price History'!D124=0),"",'Price History'!D125/'Price History'!D124-1),"")</f>
        <v>6.647788671625432E-2</v>
      </c>
      <c r="E124" s="141">
        <f>IFERROR(IF(OR(NOT(ISNUMBER('Price History'!E125)),NOT(ISNUMBER('Price History'!E124)),'Price History'!E124=0),"",'Price History'!E125/'Price History'!E124-1),"")</f>
        <v>1.9528972834324421E-2</v>
      </c>
      <c r="F124" s="141">
        <f>IFERROR(IF(OR(NOT(ISNUMBER('Price History'!F125)),NOT(ISNUMBER('Price History'!F124)),'Price History'!F124=0),"",'Price History'!F125/'Price History'!F124-1),"")</f>
        <v>-3.5529111772205746E-2</v>
      </c>
      <c r="G124" s="141">
        <f>IFERROR(IF(OR(NOT(ISNUMBER('Price History'!G125)),NOT(ISNUMBER('Price History'!G124)),'Price History'!G124=0),"",'Price History'!G125/'Price History'!G124-1),"")</f>
        <v>0.11987381703470024</v>
      </c>
      <c r="H124" s="141">
        <f>IFERROR(IF(OR(NOT(ISNUMBER('Price History'!H125)),NOT(ISNUMBER('Price History'!H124)),'Price History'!H124=0),"",'Price History'!H125/'Price History'!H124-1),"")</f>
        <v>5.1175737191568427E-2</v>
      </c>
      <c r="I124" s="141">
        <f>IFERROR(IF(OR(NOT(ISNUMBER('Price History'!I125)),NOT(ISNUMBER('Price History'!I124)),'Price History'!I124=0),"",'Price History'!I125/'Price History'!I124-1),"")</f>
        <v>7.4282925771296249E-3</v>
      </c>
      <c r="J124" s="141">
        <f>IFERROR(IF(OR(NOT(ISNUMBER('Price History'!J125)),NOT(ISNUMBER('Price History'!J124)),'Price History'!J124=0),"",'Price History'!J125/'Price History'!J124-1),"")</f>
        <v>2.9421069281872825E-2</v>
      </c>
      <c r="K124" s="141">
        <f>IFERROR(IF(OR(NOT(ISNUMBER('Price History'!K125)),NOT(ISNUMBER('Price History'!K124)),'Price History'!K124=0),"",'Price History'!K125/'Price History'!K124-1),"")</f>
        <v>-3.6790805115781144E-2</v>
      </c>
      <c r="L124" s="141">
        <f>IFERROR(IF(OR(NOT(ISNUMBER('Price History'!L125)),NOT(ISNUMBER('Price History'!L124)),'Price History'!L124=0),"",'Price History'!L125/'Price History'!L124-1),"")</f>
        <v>5.7986359814393929E-2</v>
      </c>
      <c r="M124" s="141">
        <f>IFERROR(IF(OR(NOT(ISNUMBER('Price History'!M125)),NOT(ISNUMBER('Price History'!M124)),'Price History'!M124=0),"",'Price History'!M125/'Price History'!M124-1),"")</f>
        <v>8.1605187496176734E-2</v>
      </c>
      <c r="N124" s="141">
        <f>IFERROR(IF(OR(NOT(ISNUMBER('Price History'!N125)),NOT(ISNUMBER('Price History'!N124)),'Price History'!N124=0),"",'Price History'!N125/'Price History'!N124-1),"")</f>
        <v>-4.8506014745828496E-2</v>
      </c>
      <c r="O124" s="141">
        <f>IFERROR(IF(OR(NOT(ISNUMBER('Price History'!O125)),NOT(ISNUMBER('Price History'!O124)),'Price History'!O124=0),"",'Price History'!O125/'Price History'!O124-1),"")</f>
        <v>1.1005549807167725E-2</v>
      </c>
      <c r="P124" s="141">
        <f>IFERROR(IF(OR(NOT(ISNUMBER('Price History'!P125)),NOT(ISNUMBER('Price History'!P124)),'Price History'!P124=0),"",'Price History'!P125/'Price History'!P124-1),"")</f>
        <v>1.3008930454960987E-2</v>
      </c>
      <c r="Q124" s="141">
        <f>IFERROR(IF(OR(NOT(ISNUMBER('Price History'!Q125)),NOT(ISNUMBER('Price History'!Q124)),'Price History'!Q124=0),"",'Price History'!Q125/'Price History'!Q124-1),"")</f>
        <v>-4.4923629829289879E-3</v>
      </c>
      <c r="R124" s="141">
        <f>IFERROR(IF(OR(NOT(ISNUMBER('Price History'!R125)),NOT(ISNUMBER('Price History'!R124)),'Price History'!R124=0),"",'Price History'!R125/'Price History'!R124-1),"")</f>
        <v>-4.0665434380776633E-3</v>
      </c>
      <c r="S124" s="141">
        <f>IFERROR(IF(OR(NOT(ISNUMBER('Price History'!S125)),NOT(ISNUMBER('Price History'!S124)),'Price History'!S124=0),"",'Price History'!S125/'Price History'!S124-1),"")</f>
        <v>-2.5144581342717576E-4</v>
      </c>
      <c r="T124" s="141">
        <f>IFERROR(IF(OR(NOT(ISNUMBER('Price History'!T125)),NOT(ISNUMBER('Price History'!T124)),'Price History'!T124=0),"",'Price History'!T125/'Price History'!T124-1),"")</f>
        <v>-2.0413243714214602E-2</v>
      </c>
      <c r="U124" s="141">
        <f>IFERROR(IF(OR(NOT(ISNUMBER('Price History'!U125)),NOT(ISNUMBER('Price History'!U124)),'Price History'!U124=0),"",'Price History'!U125/'Price History'!U124-1),"")</f>
        <v>1.2562814070351758E-2</v>
      </c>
      <c r="V124" s="142">
        <f>IFERROR(IF(OR(NOT(ISNUMBER('Price History'!V125)),NOT(ISNUMBER('Price History'!V124)),'Price History'!V124=0),"",'Price History'!V125/'Price History'!V124-1),"")</f>
        <v>-6.1378278877128434E-2</v>
      </c>
      <c r="W124" s="143">
        <f>IFERROR('Price History'!B3+(INDEX('Price History'!B:B,MATCH(9.99E+307,'Returns (Calc)'!$A:$A)+1)-'Price History'!B3)*(ROW()-3)/(MATCH(9.99E+307,'Returns (Calc)'!$A:$A)-3),"")</f>
        <v>305.88240506329112</v>
      </c>
      <c r="X124" s="143">
        <f>IFERROR('Price History'!C3+(INDEX('Price History'!C:C,MATCH(9.99E+307,'Returns (Calc)'!$A:$A)+1)-'Price History'!C3)*(ROW()-3)/(MATCH(9.99E+307,'Returns (Calc)'!$A:$A)-3),"")</f>
        <v>169.60765822784811</v>
      </c>
      <c r="Y124" s="143">
        <f>IFERROR('Price History'!D3+(INDEX('Price History'!D:D,MATCH(9.99E+307,'Returns (Calc)'!$A:$A)+1)-'Price History'!D3)*(ROW()-3)/(MATCH(9.99E+307,'Returns (Calc)'!$A:$A)-3),"")</f>
        <v>1566.3220253164557</v>
      </c>
      <c r="Z124" s="143">
        <f>IFERROR('Price History'!E3+(INDEX('Price History'!E:E,MATCH(9.99E+307,'Returns (Calc)'!$A:$A)+1)-'Price History'!E3)*(ROW()-3)/(MATCH(9.99E+307,'Returns (Calc)'!$A:$A)-3),"")</f>
        <v>291.17683544303793</v>
      </c>
      <c r="AA124" s="143">
        <f>IFERROR('Price History'!F3+(INDEX('Price History'!F:F,MATCH(9.99E+307,'Returns (Calc)'!$A:$A)+1)-'Price History'!F3)*(ROW()-3)/(MATCH(9.99E+307,'Returns (Calc)'!$A:$A)-3),"")</f>
        <v>216.48835443037979</v>
      </c>
      <c r="AB124" s="143">
        <f>IFERROR('Price History'!G3+(INDEX('Price History'!G:G,MATCH(9.99E+307,'Returns (Calc)'!$A:$A)+1)-'Price History'!G3)*(ROW()-3)/(MATCH(9.99E+307,'Returns (Calc)'!$A:$A)-3),"")</f>
        <v>168.82683544303796</v>
      </c>
      <c r="AC124" s="143">
        <f>IFERROR('Price History'!H3+(INDEX('Price History'!H:H,MATCH(9.99E+307,'Returns (Calc)'!$A:$A)+1)-'Price History'!H3)*(ROW()-3)/(MATCH(9.99E+307,'Returns (Calc)'!$A:$A)-3),"")</f>
        <v>839.35924050632912</v>
      </c>
      <c r="AD124" s="143">
        <f>IFERROR('Price History'!I3+(INDEX('Price History'!I:I,MATCH(9.99E+307,'Returns (Calc)'!$A:$A)+1)-'Price History'!I3)*(ROW()-3)/(MATCH(9.99E+307,'Returns (Calc)'!$A:$A)-3),"")</f>
        <v>189.41417721518988</v>
      </c>
      <c r="AE124" s="143">
        <f>IFERROR('Price History'!J3+(INDEX('Price History'!J:J,MATCH(9.99E+307,'Returns (Calc)'!$A:$A)+1)-'Price History'!J3)*(ROW()-3)/(MATCH(9.99E+307,'Returns (Calc)'!$A:$A)-3),"")</f>
        <v>124.91259493670886</v>
      </c>
      <c r="AF124" s="143">
        <f>IFERROR('Price History'!K3+(INDEX('Price History'!K:K,MATCH(9.99E+307,'Returns (Calc)'!$A:$A)+1)-'Price History'!K3)*(ROW()-3)/(MATCH(9.99E+307,'Returns (Calc)'!$A:$A)-3),"")</f>
        <v>148.13898734177215</v>
      </c>
      <c r="AG124" s="143">
        <f>IFERROR('Price History'!L3+(INDEX('Price History'!L:L,MATCH(9.99E+307,'Returns (Calc)'!$A:$A)+1)-'Price History'!L3)*(ROW()-3)/(MATCH(9.99E+307,'Returns (Calc)'!$A:$A)-3),"")</f>
        <v>382.1463924050633</v>
      </c>
      <c r="AH124" s="143">
        <f>IFERROR('Price History'!M3+(INDEX('Price History'!M:M,MATCH(9.99E+307,'Returns (Calc)'!$A:$A)+1)-'Price History'!M3)*(ROW()-3)/(MATCH(9.99E+307,'Returns (Calc)'!$A:$A)-3),"")</f>
        <v>202.02860759493672</v>
      </c>
      <c r="AI124" s="143">
        <f>IFERROR('Price History'!N3+(INDEX('Price History'!N:N,MATCH(9.99E+307,'Returns (Calc)'!$A:$A)+1)-'Price History'!N3)*(ROW()-3)/(MATCH(9.99E+307,'Returns (Calc)'!$A:$A)-3),"")</f>
        <v>468.23816455696203</v>
      </c>
      <c r="AJ124" s="143">
        <f>IFERROR('Price History'!O3+(INDEX('Price History'!O:O,MATCH(9.99E+307,'Returns (Calc)'!$A:$A)+1)-'Price History'!O3)*(ROW()-3)/(MATCH(9.99E+307,'Returns (Calc)'!$A:$A)-3),"")</f>
        <v>109.55759493670885</v>
      </c>
      <c r="AK124" s="143">
        <f>IFERROR('Price History'!Q3+(INDEX('Price History'!Q:Q,MATCH(9.99E+307,'Returns (Calc)'!$A:$A)+1)-'Price History'!Q3)*(ROW()-3)/(MATCH(9.99E+307,'Returns (Calc)'!$A:$A)-3),"")</f>
        <v>53.163417721518982</v>
      </c>
      <c r="AL124" s="143">
        <f>IFERROR('Price History'!R3+(INDEX('Price History'!R:R,MATCH(9.99E+307,'Returns (Calc)'!$A:$A)+1)-'Price History'!R3)*(ROW()-3)/(MATCH(9.99E+307,'Returns (Calc)'!$A:$A)-3),"")</f>
        <v>54.820253164556959</v>
      </c>
      <c r="AM124" s="143">
        <f>IFERROR('Price History'!S3+(INDEX('Price History'!S:S,MATCH(9.99E+307,'Returns (Calc)'!$A:$A)+1)-'Price History'!S3)*(ROW()-3)/(MATCH(9.99E+307,'Returns (Calc)'!$A:$A)-3),"")</f>
        <v>130.84265822784809</v>
      </c>
      <c r="AN124" s="143">
        <f>IFERROR('Price History'!T3+(INDEX('Price History'!T:T,MATCH(9.99E+307,'Returns (Calc)'!$A:$A)+1)-'Price History'!T3)*(ROW()-3)/(MATCH(9.99E+307,'Returns (Calc)'!$A:$A)-3),"")</f>
        <v>45.595569620253166</v>
      </c>
      <c r="AO124" s="144">
        <f>IFERROR('Price History'!V3+(INDEX('Price History'!V:V,MATCH(9.99E+307,'Returns (Calc)'!$A:$A)+1)-'Price History'!V3)*(ROW()-3)/(MATCH(9.99E+307,'Returns (Calc)'!$A:$A)-3),"")</f>
        <v>331.38082278481011</v>
      </c>
      <c r="AP124" s="142">
        <f>IFERROR(IF(OR(NOT(ISNUMBER('Price History'!W125)),NOT(ISNUMBER('Price History'!W124)),'Price History'!W124=0),"",'Price History'!W125/'Price History'!W124-1),"")</f>
        <v>1.098901098901095E-2</v>
      </c>
      <c r="AQ124" s="142">
        <f>IFERROR(IF(OR(NOT(ISNUMBER('Price History'!X125)),NOT(ISNUMBER('Price History'!X124)),'Price History'!X124=0),"",'Price History'!X125/'Price History'!X124-1),"")</f>
        <v>2.9054054054054035E-2</v>
      </c>
      <c r="AR124" s="142">
        <f>IFERROR(IF(OR(NOT(ISNUMBER('Price History'!Y125)),NOT(ISNUMBER('Price History'!Y124)),'Price History'!Y124=0),"",'Price History'!Y125/'Price History'!Y124-1),"")</f>
        <v>2.7337342810280774E-3</v>
      </c>
      <c r="AS124" s="142">
        <f>IFERROR(IF(OR(NOT(ISNUMBER('Price History'!Z125)),NOT(ISNUMBER('Price History'!Z124)),'Price History'!Z124=0),"",'Price History'!Z125/'Price History'!Z124-1),"")</f>
        <v>1.0975305562484383E-2</v>
      </c>
      <c r="AT124" s="142">
        <f>IFERROR(IF(OR(NOT(ISNUMBER('Price History'!AA125)),NOT(ISNUMBER('Price History'!AA124)),'Price History'!AA124=0),"",'Price History'!AA125/'Price History'!AA124-1),"")</f>
        <v>-1.6320143080706395E-2</v>
      </c>
    </row>
    <row r="125" spans="1:46" ht="15" customHeight="1" x14ac:dyDescent="0.35">
      <c r="A125" s="140">
        <f>IF('Price History'!A126="","",'Price History'!A126)</f>
        <v>46045</v>
      </c>
      <c r="B125" s="141">
        <f>IFERROR(IF(OR(NOT(ISNUMBER('Price History'!B126)),NOT(ISNUMBER('Price History'!B125)),'Price History'!B125=0),"",'Price History'!B126/'Price History'!B125-1),"")</f>
        <v>1.6716196136701278E-2</v>
      </c>
      <c r="C125" s="141">
        <f>IFERROR(IF(OR(NOT(ISNUMBER('Price History'!C126)),NOT(ISNUMBER('Price History'!C125)),'Price History'!C125=0),"",'Price History'!C126/'Price History'!C125-1),"")</f>
        <v>5.0142494030655405E-2</v>
      </c>
      <c r="D125" s="141">
        <f>IFERROR(IF(OR(NOT(ISNUMBER('Price History'!D126)),NOT(ISNUMBER('Price History'!D125)),'Price History'!D125=0),"",'Price History'!D126/'Price History'!D125-1),"")</f>
        <v>2.2432270518538466E-2</v>
      </c>
      <c r="E125" s="141">
        <f>IFERROR(IF(OR(NOT(ISNUMBER('Price History'!E126)),NOT(ISNUMBER('Price History'!E125)),'Price History'!E125=0),"",'Price History'!E126/'Price History'!E125-1),"")</f>
        <v>-8.9999428212018895E-2</v>
      </c>
      <c r="F125" s="141">
        <f>IFERROR(IF(OR(NOT(ISNUMBER('Price History'!F126)),NOT(ISNUMBER('Price History'!F125)),'Price History'!F125=0),"",'Price History'!F126/'Price History'!F125-1),"")</f>
        <v>-3.0845157310301907E-3</v>
      </c>
      <c r="G125" s="141">
        <f>IFERROR(IF(OR(NOT(ISNUMBER('Price History'!G126)),NOT(ISNUMBER('Price History'!G125)),'Price History'!G125=0),"",'Price History'!G126/'Price History'!G125-1),"")</f>
        <v>-3.5083226632522391E-2</v>
      </c>
      <c r="H125" s="141">
        <f>IFERROR(IF(OR(NOT(ISNUMBER('Price History'!H126)),NOT(ISNUMBER('Price History'!H125)),'Price History'!H125=0),"",'Price History'!H126/'Price History'!H125-1),"")</f>
        <v>0.1017267060186462</v>
      </c>
      <c r="I125" s="141">
        <f>IFERROR(IF(OR(NOT(ISNUMBER('Price History'!I126)),NOT(ISNUMBER('Price History'!I125)),'Price History'!I125=0),"",'Price History'!I126/'Price History'!I125-1),"")</f>
        <v>7.6964477933261222E-3</v>
      </c>
      <c r="J125" s="141">
        <f>IFERROR(IF(OR(NOT(ISNUMBER('Price History'!J126)),NOT(ISNUMBER('Price History'!J125)),'Price History'!J125=0),"",'Price History'!J126/'Price History'!J125-1),"")</f>
        <v>-4.5482483097725845E-2</v>
      </c>
      <c r="K125" s="141">
        <f>IFERROR(IF(OR(NOT(ISNUMBER('Price History'!K126)),NOT(ISNUMBER('Price History'!K125)),'Price History'!K125=0),"",'Price History'!K126/'Price History'!K125-1),"")</f>
        <v>-7.9550772110436041E-3</v>
      </c>
      <c r="L125" s="141">
        <f>IFERROR(IF(OR(NOT(ISNUMBER('Price History'!L126)),NOT(ISNUMBER('Price History'!L125)),'Price History'!L125=0),"",'Price History'!L126/'Price History'!L125-1),"")</f>
        <v>-2.1988049333294124E-2</v>
      </c>
      <c r="M125" s="141">
        <f>IFERROR(IF(OR(NOT(ISNUMBER('Price History'!M126)),NOT(ISNUMBER('Price History'!M125)),'Price History'!M125=0),"",'Price History'!M126/'Price History'!M125-1),"")</f>
        <v>3.138962728352479E-2</v>
      </c>
      <c r="N125" s="141">
        <f>IFERROR(IF(OR(NOT(ISNUMBER('Price History'!N126)),NOT(ISNUMBER('Price History'!N125)),'Price History'!N125=0),"",'Price History'!N126/'Price History'!N125-1),"")</f>
        <v>6.1287837592894689E-2</v>
      </c>
      <c r="O125" s="141">
        <f>IFERROR(IF(OR(NOT(ISNUMBER('Price History'!O126)),NOT(ISNUMBER('Price History'!O125)),'Price History'!O125=0),"",'Price History'!O126/'Price History'!O125-1),"")</f>
        <v>-1.8608113137341675E-4</v>
      </c>
      <c r="P125" s="141">
        <f>IFERROR(IF(OR(NOT(ISNUMBER('Price History'!P126)),NOT(ISNUMBER('Price History'!P125)),'Price History'!P125=0),"",'Price History'!P126/'Price History'!P125-1),"")</f>
        <v>2.4989587671802038E-3</v>
      </c>
      <c r="Q125" s="141">
        <f>IFERROR(IF(OR(NOT(ISNUMBER('Price History'!Q126)),NOT(ISNUMBER('Price History'!Q125)),'Price History'!Q125=0),"",'Price History'!Q126/'Price History'!Q125-1),"")</f>
        <v>-3.0084235860428077E-4</v>
      </c>
      <c r="R125" s="141">
        <f>IFERROR(IF(OR(NOT(ISNUMBER('Price History'!R126)),NOT(ISNUMBER('Price History'!R125)),'Price History'!R125=0),"",'Price History'!R126/'Price History'!R125-1),"")</f>
        <v>5.1967334818112665E-3</v>
      </c>
      <c r="S125" s="141">
        <f>IFERROR(IF(OR(NOT(ISNUMBER('Price History'!S126)),NOT(ISNUMBER('Price History'!S125)),'Price History'!S125=0),"",'Price History'!S126/'Price History'!S125-1),"")</f>
        <v>-1.7270288397049027E-2</v>
      </c>
      <c r="T125" s="141">
        <f>IFERROR(IF(OR(NOT(ISNUMBER('Price History'!T126)),NOT(ISNUMBER('Price History'!T125)),'Price History'!T125=0),"",'Price History'!T126/'Price History'!T125-1),"")</f>
        <v>6.3532401524777349E-3</v>
      </c>
      <c r="U125" s="141">
        <f>IFERROR(IF(OR(NOT(ISNUMBER('Price History'!U126)),NOT(ISNUMBER('Price History'!U125)),'Price History'!U125=0),"",'Price History'!U126/'Price History'!U125-1),"")</f>
        <v>8.1531371853953427E-3</v>
      </c>
      <c r="V125" s="142">
        <f>IFERROR(IF(OR(NOT(ISNUMBER('Price History'!V126)),NOT(ISNUMBER('Price History'!V125)),'Price History'!V125=0),"",'Price History'!V126/'Price History'!V125-1),"")</f>
        <v>-6.4656493227920331E-3</v>
      </c>
      <c r="W125" s="143">
        <f>IFERROR('Price History'!B3+(INDEX('Price History'!B:B,MATCH(9.99E+307,'Returns (Calc)'!$A:$A)+1)-'Price History'!B3)*(ROW()-3)/(MATCH(9.99E+307,'Returns (Calc)'!$A:$A)-3),"")</f>
        <v>304.03936708860761</v>
      </c>
      <c r="X125" s="143">
        <f>IFERROR('Price History'!C3+(INDEX('Price History'!C:C,MATCH(9.99E+307,'Returns (Calc)'!$A:$A)+1)-'Price History'!C3)*(ROW()-3)/(MATCH(9.99E+307,'Returns (Calc)'!$A:$A)-3),"")</f>
        <v>170.62772151898733</v>
      </c>
      <c r="Y125" s="143">
        <f>IFERROR('Price History'!D3+(INDEX('Price History'!D:D,MATCH(9.99E+307,'Returns (Calc)'!$A:$A)+1)-'Price History'!D3)*(ROW()-3)/(MATCH(9.99E+307,'Returns (Calc)'!$A:$A)-3),"")</f>
        <v>1574.456835443038</v>
      </c>
      <c r="Z125" s="143">
        <f>IFERROR('Price History'!E3+(INDEX('Price History'!E:E,MATCH(9.99E+307,'Returns (Calc)'!$A:$A)+1)-'Price History'!E3)*(ROW()-3)/(MATCH(9.99E+307,'Returns (Calc)'!$A:$A)-3),"")</f>
        <v>292.90556962025317</v>
      </c>
      <c r="AA125" s="143">
        <f>IFERROR('Price History'!F3+(INDEX('Price History'!F:F,MATCH(9.99E+307,'Returns (Calc)'!$A:$A)+1)-'Price History'!F3)*(ROW()-3)/(MATCH(9.99E+307,'Returns (Calc)'!$A:$A)-3),"")</f>
        <v>217.93569620253163</v>
      </c>
      <c r="AB125" s="143">
        <f>IFERROR('Price History'!G3+(INDEX('Price History'!G:G,MATCH(9.99E+307,'Returns (Calc)'!$A:$A)+1)-'Price History'!G3)*(ROW()-3)/(MATCH(9.99E+307,'Returns (Calc)'!$A:$A)-3),"")</f>
        <v>169.85556962025316</v>
      </c>
      <c r="AC125" s="143">
        <f>IFERROR('Price History'!H3+(INDEX('Price History'!H:H,MATCH(9.99E+307,'Returns (Calc)'!$A:$A)+1)-'Price History'!H3)*(ROW()-3)/(MATCH(9.99E+307,'Returns (Calc)'!$A:$A)-3),"")</f>
        <v>845.72493670886081</v>
      </c>
      <c r="AD125" s="143">
        <f>IFERROR('Price History'!I3+(INDEX('Price History'!I:I,MATCH(9.99E+307,'Returns (Calc)'!$A:$A)+1)-'Price History'!I3)*(ROW()-3)/(MATCH(9.99E+307,'Returns (Calc)'!$A:$A)-3),"")</f>
        <v>190.61784810126582</v>
      </c>
      <c r="AE125" s="143">
        <f>IFERROR('Price History'!J3+(INDEX('Price History'!J:J,MATCH(9.99E+307,'Returns (Calc)'!$A:$A)+1)-'Price History'!J3)*(ROW()-3)/(MATCH(9.99E+307,'Returns (Calc)'!$A:$A)-3),"")</f>
        <v>125.0206329113924</v>
      </c>
      <c r="AF125" s="143">
        <f>IFERROR('Price History'!K3+(INDEX('Price History'!K:K,MATCH(9.99E+307,'Returns (Calc)'!$A:$A)+1)-'Price History'!K3)*(ROW()-3)/(MATCH(9.99E+307,'Returns (Calc)'!$A:$A)-3),"")</f>
        <v>149.23658227848102</v>
      </c>
      <c r="AG125" s="143">
        <f>IFERROR('Price History'!L3+(INDEX('Price History'!L:L,MATCH(9.99E+307,'Returns (Calc)'!$A:$A)+1)-'Price History'!L3)*(ROW()-3)/(MATCH(9.99E+307,'Returns (Calc)'!$A:$A)-3),"")</f>
        <v>384.59594936708856</v>
      </c>
      <c r="AH125" s="143">
        <f>IFERROR('Price History'!M3+(INDEX('Price History'!M:M,MATCH(9.99E+307,'Returns (Calc)'!$A:$A)+1)-'Price History'!M3)*(ROW()-3)/(MATCH(9.99E+307,'Returns (Calc)'!$A:$A)-3),"")</f>
        <v>203.3840506329114</v>
      </c>
      <c r="AI125" s="143">
        <f>IFERROR('Price History'!N3+(INDEX('Price History'!N:N,MATCH(9.99E+307,'Returns (Calc)'!$A:$A)+1)-'Price History'!N3)*(ROW()-3)/(MATCH(9.99E+307,'Returns (Calc)'!$A:$A)-3),"")</f>
        <v>469.22443037974688</v>
      </c>
      <c r="AJ125" s="143">
        <f>IFERROR('Price History'!O3+(INDEX('Price History'!O:O,MATCH(9.99E+307,'Returns (Calc)'!$A:$A)+1)-'Price History'!O3)*(ROW()-3)/(MATCH(9.99E+307,'Returns (Calc)'!$A:$A)-3),"")</f>
        <v>109.84063291139242</v>
      </c>
      <c r="AK125" s="143">
        <f>IFERROR('Price History'!Q3+(INDEX('Price History'!Q:Q,MATCH(9.99E+307,'Returns (Calc)'!$A:$A)+1)-'Price History'!Q3)*(ROW()-3)/(MATCH(9.99E+307,'Returns (Calc)'!$A:$A)-3),"")</f>
        <v>53.602784810126579</v>
      </c>
      <c r="AL125" s="143">
        <f>IFERROR('Price History'!R3+(INDEX('Price History'!R:R,MATCH(9.99E+307,'Returns (Calc)'!$A:$A)+1)-'Price History'!R3)*(ROW()-3)/(MATCH(9.99E+307,'Returns (Calc)'!$A:$A)-3),"")</f>
        <v>54.988354430379744</v>
      </c>
      <c r="AM125" s="143">
        <f>IFERROR('Price History'!S3+(INDEX('Price History'!S:S,MATCH(9.99E+307,'Returns (Calc)'!$A:$A)+1)-'Price History'!S3)*(ROW()-3)/(MATCH(9.99E+307,'Returns (Calc)'!$A:$A)-3),"")</f>
        <v>131.44772151898735</v>
      </c>
      <c r="AN125" s="143">
        <f>IFERROR('Price History'!T3+(INDEX('Price History'!T:T,MATCH(9.99E+307,'Returns (Calc)'!$A:$A)+1)-'Price History'!T3)*(ROW()-3)/(MATCH(9.99E+307,'Returns (Calc)'!$A:$A)-3),"")</f>
        <v>45.763797468354426</v>
      </c>
      <c r="AO125" s="144">
        <f>IFERROR('Price History'!V3+(INDEX('Price History'!V:V,MATCH(9.99E+307,'Returns (Calc)'!$A:$A)+1)-'Price History'!V3)*(ROW()-3)/(MATCH(9.99E+307,'Returns (Calc)'!$A:$A)-3),"")</f>
        <v>332.17215189873423</v>
      </c>
      <c r="AP125" s="142">
        <f>IFERROR(IF(OR(NOT(ISNUMBER('Price History'!W126)),NOT(ISNUMBER('Price History'!W125)),'Price History'!W125=0),"",'Price History'!W126/'Price History'!W125-1),"")</f>
        <v>-7.9299972655181294E-3</v>
      </c>
      <c r="AQ125" s="142">
        <f>IFERROR(IF(OR(NOT(ISNUMBER('Price History'!X126)),NOT(ISNUMBER('Price History'!X125)),'Price History'!X125=0),"",'Price History'!X126/'Price History'!X125-1),"")</f>
        <v>2.3199824906981803E-2</v>
      </c>
      <c r="AR125" s="142">
        <f>IFERROR(IF(OR(NOT(ISNUMBER('Price History'!Y126)),NOT(ISNUMBER('Price History'!Y125)),'Price History'!Y125=0),"",'Price History'!Y126/'Price History'!Y125-1),"")</f>
        <v>-5.4525627044710312E-4</v>
      </c>
      <c r="AS125" s="142">
        <f>IFERROR(IF(OR(NOT(ISNUMBER('Price History'!Z126)),NOT(ISNUMBER('Price History'!Z125)),'Price History'!Z125=0),"",'Price History'!Z126/'Price History'!Z125-1),"")</f>
        <v>-9.6101653096471784E-2</v>
      </c>
      <c r="AT125" s="142">
        <f>IFERROR(IF(OR(NOT(ISNUMBER('Price History'!AA126)),NOT(ISNUMBER('Price History'!AA125)),'Price History'!AA125=0),"",'Price History'!AA126/'Price History'!AA125-1),"")</f>
        <v>-2.1363636363636362E-2</v>
      </c>
    </row>
    <row r="126" spans="1:46" ht="15" customHeight="1" x14ac:dyDescent="0.35">
      <c r="A126" s="140">
        <f>IF('Price History'!A127="","",'Price History'!A127)</f>
        <v>46052</v>
      </c>
      <c r="B126" s="141">
        <f>IFERROR(IF(OR(NOT(ISNUMBER('Price History'!B127)),NOT(ISNUMBER('Price History'!B126)),'Price History'!B126=0),"",'Price History'!B127/'Price History'!B126-1),"")</f>
        <v>-2.5974025974025983E-2</v>
      </c>
      <c r="C126" s="141">
        <f>IFERROR(IF(OR(NOT(ISNUMBER('Price History'!C127)),NOT(ISNUMBER('Price History'!C126)),'Price History'!C126=0),"",'Price History'!C127/'Price History'!C126-1),"")</f>
        <v>3.9606865189966367E-2</v>
      </c>
      <c r="D126" s="141">
        <f>IFERROR(IF(OR(NOT(ISNUMBER('Price History'!D127)),NOT(ISNUMBER('Price History'!D126)),'Price History'!D126=0),"",'Price History'!D127/'Price History'!D126-1),"")</f>
        <v>2.4450231481481399E-2</v>
      </c>
      <c r="E126" s="141">
        <f>IFERROR(IF(OR(NOT(ISNUMBER('Price History'!E127)),NOT(ISNUMBER('Price History'!E126)),'Price History'!E126=0),"",'Price History'!E127/'Price History'!E126-1),"")</f>
        <v>3.5124096764059143E-2</v>
      </c>
      <c r="F126" s="141">
        <f>IFERROR(IF(OR(NOT(ISNUMBER('Price History'!F127)),NOT(ISNUMBER('Price History'!F126)),'Price History'!F126=0),"",'Price History'!F127/'Price History'!F126-1),"")</f>
        <v>-2.4487270155587049E-2</v>
      </c>
      <c r="G126" s="141">
        <f>IFERROR(IF(OR(NOT(ISNUMBER('Price History'!G127)),NOT(ISNUMBER('Price History'!G126)),'Price History'!G126=0),"",'Price History'!G127/'Price History'!G126-1),"")</f>
        <v>-5.6064225053078509E-2</v>
      </c>
      <c r="H126" s="141">
        <f>IFERROR(IF(OR(NOT(ISNUMBER('Price History'!H127)),NOT(ISNUMBER('Price History'!H126)),'Price History'!H126=0),"",'Price History'!H127/'Price History'!H126-1),"")</f>
        <v>3.8105252616293495E-2</v>
      </c>
      <c r="I126" s="141">
        <f>IFERROR(IF(OR(NOT(ISNUMBER('Price History'!I127)),NOT(ISNUMBER('Price History'!I126)),'Price History'!I126=0),"",'Price History'!I127/'Price History'!I126-1),"")</f>
        <v>1.8426534209261325E-2</v>
      </c>
      <c r="J126" s="141">
        <f>IFERROR(IF(OR(NOT(ISNUMBER('Price History'!J127)),NOT(ISNUMBER('Price History'!J126)),'Price History'!J126=0),"",'Price History'!J127/'Price History'!J126-1),"")</f>
        <v>2.6802962009014886E-2</v>
      </c>
      <c r="K126" s="141">
        <f>IFERROR(IF(OR(NOT(ISNUMBER('Price History'!K127)),NOT(ISNUMBER('Price History'!K126)),'Price History'!K126=0),"",'Price History'!K127/'Price History'!K126-1),"")</f>
        <v>-0.13567216981132069</v>
      </c>
      <c r="L126" s="141">
        <f>IFERROR(IF(OR(NOT(ISNUMBER('Price History'!L127)),NOT(ISNUMBER('Price History'!L126)),'Price History'!L126=0),"",'Price History'!L127/'Price History'!L126-1),"")</f>
        <v>-1.2881478360320164E-2</v>
      </c>
      <c r="M126" s="141">
        <f>IFERROR(IF(OR(NOT(ISNUMBER('Price History'!M127)),NOT(ISNUMBER('Price History'!M126)),'Price History'!M126=0),"",'Price History'!M127/'Price History'!M126-1),"")</f>
        <v>2.02347005922352E-2</v>
      </c>
      <c r="N126" s="141">
        <f>IFERROR(IF(OR(NOT(ISNUMBER('Price History'!N127)),NOT(ISNUMBER('Price History'!N126)),'Price History'!N126=0),"",'Price History'!N127/'Price History'!N126-1),"")</f>
        <v>3.1809739330928011E-3</v>
      </c>
      <c r="O126" s="141">
        <f>IFERROR(IF(OR(NOT(ISNUMBER('Price History'!O127)),NOT(ISNUMBER('Price History'!O126)),'Price History'!O126=0),"",'Price History'!O127/'Price History'!O126-1),"")</f>
        <v>7.2585147962032082E-3</v>
      </c>
      <c r="P126" s="141">
        <f>IFERROR(IF(OR(NOT(ISNUMBER('Price History'!P127)),NOT(ISNUMBER('Price History'!P126)),'Price History'!P126=0),"",'Price History'!P127/'Price History'!P126-1),"")</f>
        <v>1.7379864284725155E-2</v>
      </c>
      <c r="Q126" s="141">
        <f>IFERROR(IF(OR(NOT(ISNUMBER('Price History'!Q127)),NOT(ISNUMBER('Price History'!Q126)),'Price History'!Q126=0),"",'Price History'!Q127/'Price History'!Q126-1),"")</f>
        <v>3.6111947035812886E-3</v>
      </c>
      <c r="R126" s="141">
        <f>IFERROR(IF(OR(NOT(ISNUMBER('Price History'!R127)),NOT(ISNUMBER('Price History'!R126)),'Price History'!R126=0),"",'Price History'!R127/'Price History'!R126-1),"")</f>
        <v>3.5081240768095601E-3</v>
      </c>
      <c r="S126" s="141">
        <f>IFERROR(IF(OR(NOT(ISNUMBER('Price History'!S127)),NOT(ISNUMBER('Price History'!S126)),'Price History'!S126=0),"",'Price History'!S127/'Price History'!S126-1),"")</f>
        <v>1.6464767104589662E-2</v>
      </c>
      <c r="T126" s="141">
        <f>IFERROR(IF(OR(NOT(ISNUMBER('Price History'!T127)),NOT(ISNUMBER('Price History'!T126)),'Price History'!T126=0),"",'Price History'!T127/'Price History'!T126-1),"")</f>
        <v>-9.8484848484848841E-3</v>
      </c>
      <c r="U126" s="141">
        <f>IFERROR(IF(OR(NOT(ISNUMBER('Price History'!U127)),NOT(ISNUMBER('Price History'!U126)),'Price History'!U126=0),"",'Price History'!U127/'Price History'!U126-1),"")</f>
        <v>2.320675105485237E-2</v>
      </c>
      <c r="V126" s="142">
        <f>IFERROR(IF(OR(NOT(ISNUMBER('Price History'!V127)),NOT(ISNUMBER('Price History'!V126)),'Price History'!V126=0),"",'Price History'!V127/'Price History'!V126-1),"")</f>
        <v>-1.3323875026986953E-2</v>
      </c>
      <c r="W126" s="143">
        <f>IFERROR('Price History'!B3+(INDEX('Price History'!B:B,MATCH(9.99E+307,'Returns (Calc)'!$A:$A)+1)-'Price History'!B3)*(ROW()-3)/(MATCH(9.99E+307,'Returns (Calc)'!$A:$A)-3),"")</f>
        <v>302.19632911392404</v>
      </c>
      <c r="X126" s="143">
        <f>IFERROR('Price History'!C3+(INDEX('Price History'!C:C,MATCH(9.99E+307,'Returns (Calc)'!$A:$A)+1)-'Price History'!C3)*(ROW()-3)/(MATCH(9.99E+307,'Returns (Calc)'!$A:$A)-3),"")</f>
        <v>171.64778481012658</v>
      </c>
      <c r="Y126" s="143">
        <f>IFERROR('Price History'!D3+(INDEX('Price History'!D:D,MATCH(9.99E+307,'Returns (Calc)'!$A:$A)+1)-'Price History'!D3)*(ROW()-3)/(MATCH(9.99E+307,'Returns (Calc)'!$A:$A)-3),"")</f>
        <v>1582.5916455696201</v>
      </c>
      <c r="Z126" s="143">
        <f>IFERROR('Price History'!E3+(INDEX('Price History'!E:E,MATCH(9.99E+307,'Returns (Calc)'!$A:$A)+1)-'Price History'!E3)*(ROW()-3)/(MATCH(9.99E+307,'Returns (Calc)'!$A:$A)-3),"")</f>
        <v>294.63430379746836</v>
      </c>
      <c r="AA126" s="143">
        <f>IFERROR('Price History'!F3+(INDEX('Price History'!F:F,MATCH(9.99E+307,'Returns (Calc)'!$A:$A)+1)-'Price History'!F3)*(ROW()-3)/(MATCH(9.99E+307,'Returns (Calc)'!$A:$A)-3),"")</f>
        <v>219.38303797468353</v>
      </c>
      <c r="AB126" s="143">
        <f>IFERROR('Price History'!G3+(INDEX('Price History'!G:G,MATCH(9.99E+307,'Returns (Calc)'!$A:$A)+1)-'Price History'!G3)*(ROW()-3)/(MATCH(9.99E+307,'Returns (Calc)'!$A:$A)-3),"")</f>
        <v>170.88430379746833</v>
      </c>
      <c r="AC126" s="143">
        <f>IFERROR('Price History'!H3+(INDEX('Price History'!H:H,MATCH(9.99E+307,'Returns (Calc)'!$A:$A)+1)-'Price History'!H3)*(ROW()-3)/(MATCH(9.99E+307,'Returns (Calc)'!$A:$A)-3),"")</f>
        <v>852.0906329113925</v>
      </c>
      <c r="AD126" s="143">
        <f>IFERROR('Price History'!I3+(INDEX('Price History'!I:I,MATCH(9.99E+307,'Returns (Calc)'!$A:$A)+1)-'Price History'!I3)*(ROW()-3)/(MATCH(9.99E+307,'Returns (Calc)'!$A:$A)-3),"")</f>
        <v>191.82151898734176</v>
      </c>
      <c r="AE126" s="143">
        <f>IFERROR('Price History'!J3+(INDEX('Price History'!J:J,MATCH(9.99E+307,'Returns (Calc)'!$A:$A)+1)-'Price History'!J3)*(ROW()-3)/(MATCH(9.99E+307,'Returns (Calc)'!$A:$A)-3),"")</f>
        <v>125.12867088607595</v>
      </c>
      <c r="AF126" s="143">
        <f>IFERROR('Price History'!K3+(INDEX('Price History'!K:K,MATCH(9.99E+307,'Returns (Calc)'!$A:$A)+1)-'Price History'!K3)*(ROW()-3)/(MATCH(9.99E+307,'Returns (Calc)'!$A:$A)-3),"")</f>
        <v>150.3341772151899</v>
      </c>
      <c r="AG126" s="143">
        <f>IFERROR('Price History'!L3+(INDEX('Price History'!L:L,MATCH(9.99E+307,'Returns (Calc)'!$A:$A)+1)-'Price History'!L3)*(ROW()-3)/(MATCH(9.99E+307,'Returns (Calc)'!$A:$A)-3),"")</f>
        <v>387.04550632911389</v>
      </c>
      <c r="AH126" s="143">
        <f>IFERROR('Price History'!M3+(INDEX('Price History'!M:M,MATCH(9.99E+307,'Returns (Calc)'!$A:$A)+1)-'Price History'!M3)*(ROW()-3)/(MATCH(9.99E+307,'Returns (Calc)'!$A:$A)-3),"")</f>
        <v>204.73949367088608</v>
      </c>
      <c r="AI126" s="143">
        <f>IFERROR('Price History'!N3+(INDEX('Price History'!N:N,MATCH(9.99E+307,'Returns (Calc)'!$A:$A)+1)-'Price History'!N3)*(ROW()-3)/(MATCH(9.99E+307,'Returns (Calc)'!$A:$A)-3),"")</f>
        <v>470.21069620253166</v>
      </c>
      <c r="AJ126" s="143">
        <f>IFERROR('Price History'!O3+(INDEX('Price History'!O:O,MATCH(9.99E+307,'Returns (Calc)'!$A:$A)+1)-'Price History'!O3)*(ROW()-3)/(MATCH(9.99E+307,'Returns (Calc)'!$A:$A)-3),"")</f>
        <v>110.12367088607596</v>
      </c>
      <c r="AK126" s="143">
        <f>IFERROR('Price History'!Q3+(INDEX('Price History'!Q:Q,MATCH(9.99E+307,'Returns (Calc)'!$A:$A)+1)-'Price History'!Q3)*(ROW()-3)/(MATCH(9.99E+307,'Returns (Calc)'!$A:$A)-3),"")</f>
        <v>54.042151898734176</v>
      </c>
      <c r="AL126" s="143">
        <f>IFERROR('Price History'!R3+(INDEX('Price History'!R:R,MATCH(9.99E+307,'Returns (Calc)'!$A:$A)+1)-'Price History'!R3)*(ROW()-3)/(MATCH(9.99E+307,'Returns (Calc)'!$A:$A)-3),"")</f>
        <v>55.156455696202528</v>
      </c>
      <c r="AM126" s="143">
        <f>IFERROR('Price History'!S3+(INDEX('Price History'!S:S,MATCH(9.99E+307,'Returns (Calc)'!$A:$A)+1)-'Price History'!S3)*(ROW()-3)/(MATCH(9.99E+307,'Returns (Calc)'!$A:$A)-3),"")</f>
        <v>132.05278481012658</v>
      </c>
      <c r="AN126" s="143">
        <f>IFERROR('Price History'!T3+(INDEX('Price History'!T:T,MATCH(9.99E+307,'Returns (Calc)'!$A:$A)+1)-'Price History'!T3)*(ROW()-3)/(MATCH(9.99E+307,'Returns (Calc)'!$A:$A)-3),"")</f>
        <v>45.932025316455693</v>
      </c>
      <c r="AO126" s="144">
        <f>IFERROR('Price History'!V3+(INDEX('Price History'!V:V,MATCH(9.99E+307,'Returns (Calc)'!$A:$A)+1)-'Price History'!V3)*(ROW()-3)/(MATCH(9.99E+307,'Returns (Calc)'!$A:$A)-3),"")</f>
        <v>332.96348101265824</v>
      </c>
      <c r="AP126" s="142">
        <f>IFERROR(IF(OR(NOT(ISNUMBER('Price History'!W127)),NOT(ISNUMBER('Price History'!W126)),'Price History'!W126=0),"",'Price History'!W127/'Price History'!W126-1),"")</f>
        <v>1.5366593164277687E-2</v>
      </c>
      <c r="AQ126" s="142">
        <f>IFERROR(IF(OR(NOT(ISNUMBER('Price History'!X127)),NOT(ISNUMBER('Price History'!X126)),'Price History'!X126=0),"",'Price History'!X127/'Price History'!X126-1),"")</f>
        <v>1.8395721925133612E-2</v>
      </c>
      <c r="AR126" s="142">
        <f>IFERROR(IF(OR(NOT(ISNUMBER('Price History'!Y127)),NOT(ISNUMBER('Price History'!Y126)),'Price History'!Y126=0),"",'Price History'!Y127/'Price History'!Y126-1),"")</f>
        <v>3.0914711765774872E-3</v>
      </c>
      <c r="AS126" s="142">
        <f>IFERROR(IF(OR(NOT(ISNUMBER('Price History'!Z127)),NOT(ISNUMBER('Price History'!Z126)),'Price History'!Z126=0),"",'Price History'!Z127/'Price History'!Z126-1),"")</f>
        <v>4.3947045175378729E-2</v>
      </c>
      <c r="AT126" s="142">
        <f>IFERROR(IF(OR(NOT(ISNUMBER('Price History'!AA127)),NOT(ISNUMBER('Price History'!AA126)),'Price History'!AA126=0),"",'Price History'!AA127/'Price History'!AA126-1),"")</f>
        <v>-3.0538783093358224E-2</v>
      </c>
    </row>
    <row r="127" spans="1:46" ht="15" customHeight="1" x14ac:dyDescent="0.35">
      <c r="A127" s="140">
        <f>IF('Price History'!A128="","",'Price History'!A128)</f>
        <v>46059</v>
      </c>
      <c r="B127" s="141">
        <f>IFERROR(IF(OR(NOT(ISNUMBER('Price History'!B128)),NOT(ISNUMBER('Price History'!B127)),'Price History'!B127=0),"",'Price History'!B128/'Price History'!B127-1),"")</f>
        <v>-8.4808184143222554E-2</v>
      </c>
      <c r="C127" s="141">
        <f>IFERROR(IF(OR(NOT(ISNUMBER('Price History'!C128)),NOT(ISNUMBER('Price History'!C127)),'Price History'!C127=0),"",'Price History'!C128/'Price History'!C127-1),"")</f>
        <v>-2.998447862283049E-2</v>
      </c>
      <c r="D127" s="141">
        <f>IFERROR(IF(OR(NOT(ISNUMBER('Price History'!D128)),NOT(ISNUMBER('Price History'!D127)),'Price History'!D127=0),"",'Price History'!D128/'Price History'!D127-1),"")</f>
        <v>-7.0258438073719232E-3</v>
      </c>
      <c r="E127" s="141">
        <f>IFERROR(IF(OR(NOT(ISNUMBER('Price History'!E128)),NOT(ISNUMBER('Price History'!E127)),'Price History'!E127=0),"",'Price History'!E128/'Price History'!E127-1),"")</f>
        <v>4.916838654850153E-3</v>
      </c>
      <c r="F127" s="141">
        <f>IFERROR(IF(OR(NOT(ISNUMBER('Price History'!F128)),NOT(ISNUMBER('Price History'!F127)),'Price History'!F127=0),"",'Price History'!F128/'Price History'!F127-1),"")</f>
        <v>-0.10394200271862253</v>
      </c>
      <c r="G127" s="141">
        <f>IFERROR(IF(OR(NOT(ISNUMBER('Price History'!G128)),NOT(ISNUMBER('Price History'!G127)),'Price History'!G127=0),"",'Price History'!G128/'Price History'!G127-1),"")</f>
        <v>1.0473044211710025E-2</v>
      </c>
      <c r="H127" s="141">
        <f>IFERROR(IF(OR(NOT(ISNUMBER('Price History'!H128)),NOT(ISNUMBER('Price History'!H127)),'Price History'!H127=0),"",'Price History'!H128/'Price History'!H127-1),"")</f>
        <v>-4.8668724676828146E-2</v>
      </c>
      <c r="I127" s="141">
        <f>IFERROR(IF(OR(NOT(ISNUMBER('Price History'!I128)),NOT(ISNUMBER('Price History'!I127)),'Price History'!I127=0),"",'Price History'!I128/'Price History'!I127-1),"")</f>
        <v>-2.9893014474512314E-2</v>
      </c>
      <c r="J127" s="141">
        <f>IFERROR(IF(OR(NOT(ISNUMBER('Price History'!J128)),NOT(ISNUMBER('Price History'!J127)),'Price History'!J127=0),"",'Price History'!J128/'Price History'!J127-1),"")</f>
        <v>4.8992709884769114E-2</v>
      </c>
      <c r="K127" s="141">
        <f>IFERROR(IF(OR(NOT(ISNUMBER('Price History'!K128)),NOT(ISNUMBER('Price History'!K127)),'Price History'!K127=0),"",'Price History'!K128/'Price History'!K127-1),"")</f>
        <v>-7.2924483252609251E-2</v>
      </c>
      <c r="L127" s="141">
        <f>IFERROR(IF(OR(NOT(ISNUMBER('Price History'!L128)),NOT(ISNUMBER('Price History'!L127)),'Price History'!L127=0),"",'Price History'!L128/'Price History'!L127-1),"")</f>
        <v>5.5338740167083289E-2</v>
      </c>
      <c r="M127" s="141">
        <f>IFERROR(IF(OR(NOT(ISNUMBER('Price History'!M128)),NOT(ISNUMBER('Price History'!M127)),'Price History'!M127=0),"",'Price History'!M128/'Price History'!M127-1),"")</f>
        <v>5.0470303681805939E-2</v>
      </c>
      <c r="N127" s="141">
        <f>IFERROR(IF(OR(NOT(ISNUMBER('Price History'!N128)),NOT(ISNUMBER('Price History'!N127)),'Price History'!N127=0),"",'Price History'!N128/'Price History'!N127-1),"")</f>
        <v>1.706746116194946E-2</v>
      </c>
      <c r="O127" s="141">
        <f>IFERROR(IF(OR(NOT(ISNUMBER('Price History'!O128)),NOT(ISNUMBER('Price History'!O127)),'Price History'!O127=0),"",'Price History'!O128/'Price History'!O127-1),"")</f>
        <v>5.413895048041395E-2</v>
      </c>
      <c r="P127" s="141">
        <f>IFERROR(IF(OR(NOT(ISNUMBER('Price History'!P128)),NOT(ISNUMBER('Price History'!P127)),'Price History'!P127=0),"",'Price History'!P128/'Price History'!P127-1),"")</f>
        <v>3.307697543047694E-2</v>
      </c>
      <c r="Q127" s="141">
        <f>IFERROR(IF(OR(NOT(ISNUMBER('Price History'!Q128)),NOT(ISNUMBER('Price History'!Q127)),'Price History'!Q127=0),"",'Price History'!Q128/'Price History'!Q127-1),"")</f>
        <v>2.8485757121439192E-3</v>
      </c>
      <c r="R127" s="141">
        <f>IFERROR(IF(OR(NOT(ISNUMBER('Price History'!R128)),NOT(ISNUMBER('Price History'!R127)),'Price History'!R127=0),"",'Price History'!R128/'Price History'!R127-1),"")</f>
        <v>-1.5455381784728717E-2</v>
      </c>
      <c r="S127" s="141">
        <f>IFERROR(IF(OR(NOT(ISNUMBER('Price History'!S128)),NOT(ISNUMBER('Price History'!S127)),'Price History'!S127=0),"",'Price History'!S128/'Price History'!S127-1),"")</f>
        <v>-2.5178346621901326E-4</v>
      </c>
      <c r="T127" s="141">
        <f>IFERROR(IF(OR(NOT(ISNUMBER('Price History'!T128)),NOT(ISNUMBER('Price History'!T127)),'Price History'!T127=0),"",'Price History'!T128/'Price History'!T127-1),"")</f>
        <v>2.4483550114766661E-2</v>
      </c>
      <c r="U127" s="141">
        <f>IFERROR(IF(OR(NOT(ISNUMBER('Price History'!U128)),NOT(ISNUMBER('Price History'!U127)),'Price History'!U127=0),"",'Price History'!U128/'Price History'!U127-1),"")</f>
        <v>5.5326460481099682E-2</v>
      </c>
      <c r="V127" s="142">
        <f>IFERROR(IF(OR(NOT(ISNUMBER('Price History'!V128)),NOT(ISNUMBER('Price History'!V127)),'Price History'!V127=0),"",'Price History'!V128/'Price History'!V127-1),"")</f>
        <v>3.0289768997530553E-2</v>
      </c>
      <c r="W127" s="143">
        <f>IFERROR('Price History'!B3+(INDEX('Price History'!B:B,MATCH(9.99E+307,'Returns (Calc)'!$A:$A)+1)-'Price History'!B3)*(ROW()-3)/(MATCH(9.99E+307,'Returns (Calc)'!$A:$A)-3),"")</f>
        <v>300.35329113924053</v>
      </c>
      <c r="X127" s="143">
        <f>IFERROR('Price History'!C3+(INDEX('Price History'!C:C,MATCH(9.99E+307,'Returns (Calc)'!$A:$A)+1)-'Price History'!C3)*(ROW()-3)/(MATCH(9.99E+307,'Returns (Calc)'!$A:$A)-3),"")</f>
        <v>172.6678481012658</v>
      </c>
      <c r="Y127" s="143">
        <f>IFERROR('Price History'!D3+(INDEX('Price History'!D:D,MATCH(9.99E+307,'Returns (Calc)'!$A:$A)+1)-'Price History'!D3)*(ROW()-3)/(MATCH(9.99E+307,'Returns (Calc)'!$A:$A)-3),"")</f>
        <v>1590.7264556962023</v>
      </c>
      <c r="Z127" s="143">
        <f>IFERROR('Price History'!E3+(INDEX('Price History'!E:E,MATCH(9.99E+307,'Returns (Calc)'!$A:$A)+1)-'Price History'!E3)*(ROW()-3)/(MATCH(9.99E+307,'Returns (Calc)'!$A:$A)-3),"")</f>
        <v>296.36303797468355</v>
      </c>
      <c r="AA127" s="143">
        <f>IFERROR('Price History'!F3+(INDEX('Price History'!F:F,MATCH(9.99E+307,'Returns (Calc)'!$A:$A)+1)-'Price History'!F3)*(ROW()-3)/(MATCH(9.99E+307,'Returns (Calc)'!$A:$A)-3),"")</f>
        <v>220.83037974683543</v>
      </c>
      <c r="AB127" s="143">
        <f>IFERROR('Price History'!G3+(INDEX('Price History'!G:G,MATCH(9.99E+307,'Returns (Calc)'!$A:$A)+1)-'Price History'!G3)*(ROW()-3)/(MATCH(9.99E+307,'Returns (Calc)'!$A:$A)-3),"")</f>
        <v>171.91303797468353</v>
      </c>
      <c r="AC127" s="143">
        <f>IFERROR('Price History'!H3+(INDEX('Price History'!H:H,MATCH(9.99E+307,'Returns (Calc)'!$A:$A)+1)-'Price History'!H3)*(ROW()-3)/(MATCH(9.99E+307,'Returns (Calc)'!$A:$A)-3),"")</f>
        <v>858.4563291139242</v>
      </c>
      <c r="AD127" s="143">
        <f>IFERROR('Price History'!I3+(INDEX('Price History'!I:I,MATCH(9.99E+307,'Returns (Calc)'!$A:$A)+1)-'Price History'!I3)*(ROW()-3)/(MATCH(9.99E+307,'Returns (Calc)'!$A:$A)-3),"")</f>
        <v>193.0251898734177</v>
      </c>
      <c r="AE127" s="143">
        <f>IFERROR('Price History'!J3+(INDEX('Price History'!J:J,MATCH(9.99E+307,'Returns (Calc)'!$A:$A)+1)-'Price History'!J3)*(ROW()-3)/(MATCH(9.99E+307,'Returns (Calc)'!$A:$A)-3),"")</f>
        <v>125.23670886075949</v>
      </c>
      <c r="AF127" s="143">
        <f>IFERROR('Price History'!K3+(INDEX('Price History'!K:K,MATCH(9.99E+307,'Returns (Calc)'!$A:$A)+1)-'Price History'!K3)*(ROW()-3)/(MATCH(9.99E+307,'Returns (Calc)'!$A:$A)-3),"")</f>
        <v>151.43177215189874</v>
      </c>
      <c r="AG127" s="143">
        <f>IFERROR('Price History'!L3+(INDEX('Price History'!L:L,MATCH(9.99E+307,'Returns (Calc)'!$A:$A)+1)-'Price History'!L3)*(ROW()-3)/(MATCH(9.99E+307,'Returns (Calc)'!$A:$A)-3),"")</f>
        <v>389.49506329113922</v>
      </c>
      <c r="AH127" s="143">
        <f>IFERROR('Price History'!M3+(INDEX('Price History'!M:M,MATCH(9.99E+307,'Returns (Calc)'!$A:$A)+1)-'Price History'!M3)*(ROW()-3)/(MATCH(9.99E+307,'Returns (Calc)'!$A:$A)-3),"")</f>
        <v>206.09493670886076</v>
      </c>
      <c r="AI127" s="143">
        <f>IFERROR('Price History'!N3+(INDEX('Price History'!N:N,MATCH(9.99E+307,'Returns (Calc)'!$A:$A)+1)-'Price History'!N3)*(ROW()-3)/(MATCH(9.99E+307,'Returns (Calc)'!$A:$A)-3),"")</f>
        <v>471.19696202531645</v>
      </c>
      <c r="AJ127" s="143">
        <f>IFERROR('Price History'!O3+(INDEX('Price History'!O:O,MATCH(9.99E+307,'Returns (Calc)'!$A:$A)+1)-'Price History'!O3)*(ROW()-3)/(MATCH(9.99E+307,'Returns (Calc)'!$A:$A)-3),"")</f>
        <v>110.40670886075949</v>
      </c>
      <c r="AK127" s="143">
        <f>IFERROR('Price History'!Q3+(INDEX('Price History'!Q:Q,MATCH(9.99E+307,'Returns (Calc)'!$A:$A)+1)-'Price History'!Q3)*(ROW()-3)/(MATCH(9.99E+307,'Returns (Calc)'!$A:$A)-3),"")</f>
        <v>54.481518987341772</v>
      </c>
      <c r="AL127" s="143">
        <f>IFERROR('Price History'!R3+(INDEX('Price History'!R:R,MATCH(9.99E+307,'Returns (Calc)'!$A:$A)+1)-'Price History'!R3)*(ROW()-3)/(MATCH(9.99E+307,'Returns (Calc)'!$A:$A)-3),"")</f>
        <v>55.324556962025312</v>
      </c>
      <c r="AM127" s="143">
        <f>IFERROR('Price History'!S3+(INDEX('Price History'!S:S,MATCH(9.99E+307,'Returns (Calc)'!$A:$A)+1)-'Price History'!S3)*(ROW()-3)/(MATCH(9.99E+307,'Returns (Calc)'!$A:$A)-3),"")</f>
        <v>132.65784810126581</v>
      </c>
      <c r="AN127" s="143">
        <f>IFERROR('Price History'!T3+(INDEX('Price History'!T:T,MATCH(9.99E+307,'Returns (Calc)'!$A:$A)+1)-'Price History'!T3)*(ROW()-3)/(MATCH(9.99E+307,'Returns (Calc)'!$A:$A)-3),"")</f>
        <v>46.10025316455696</v>
      </c>
      <c r="AO127" s="144">
        <f>IFERROR('Price History'!V3+(INDEX('Price History'!V:V,MATCH(9.99E+307,'Returns (Calc)'!$A:$A)+1)-'Price History'!V3)*(ROW()-3)/(MATCH(9.99E+307,'Returns (Calc)'!$A:$A)-3),"")</f>
        <v>333.7548101265823</v>
      </c>
      <c r="AP127" s="142">
        <f>IFERROR(IF(OR(NOT(ISNUMBER('Price History'!W128)),NOT(ISNUMBER('Price History'!W127)),'Price History'!W127=0),"",'Price History'!W128/'Price History'!W127-1),"")</f>
        <v>3.6715303698676705E-2</v>
      </c>
      <c r="AQ127" s="142">
        <f>IFERROR(IF(OR(NOT(ISNUMBER('Price History'!X128)),NOT(ISNUMBER('Price History'!X127)),'Price History'!X127=0),"",'Price History'!X128/'Price History'!X127-1),"")</f>
        <v>1.9323671497584627E-2</v>
      </c>
      <c r="AR127" s="142">
        <f>IFERROR(IF(OR(NOT(ISNUMBER('Price History'!Y128)),NOT(ISNUMBER('Price History'!Y127)),'Price History'!Y127=0),"",'Price History'!Y128/'Price History'!Y127-1),"")</f>
        <v>1.5409717186366967E-2</v>
      </c>
      <c r="AS127" s="142">
        <f>IFERROR(IF(OR(NOT(ISNUMBER('Price History'!Z128)),NOT(ISNUMBER('Price History'!Z127)),'Price History'!Z127=0),"",'Price History'!Z128/'Price History'!Z127-1),"")</f>
        <v>4.6313243561249884E-2</v>
      </c>
      <c r="AT127" s="142">
        <f>IFERROR(IF(OR(NOT(ISNUMBER('Price History'!AA128)),NOT(ISNUMBER('Price History'!AA127)),'Price History'!AA127=0),"",'Price History'!AA128/'Price History'!AA127-1),"")</f>
        <v>-1.5450952209845381E-2</v>
      </c>
    </row>
    <row r="128" spans="1:46" ht="15" customHeight="1" x14ac:dyDescent="0.35">
      <c r="A128" s="140">
        <f>IF('Price History'!A129="","",'Price History'!A129)</f>
        <v>46066</v>
      </c>
      <c r="B128" s="141">
        <f>IFERROR(IF(OR(NOT(ISNUMBER('Price History'!B129)),NOT(ISNUMBER('Price History'!B128)),'Price History'!B128=0),"",'Price History'!B129/'Price History'!B128-1),"")</f>
        <v>-1.6431924882629012E-2</v>
      </c>
      <c r="C128" s="141">
        <f>IFERROR(IF(OR(NOT(ISNUMBER('Price History'!C129)),NOT(ISNUMBER('Price History'!C128)),'Price History'!C128=0),"",'Price History'!C129/'Price History'!C128-1),"")</f>
        <v>2.9820350570950671E-2</v>
      </c>
      <c r="D128" s="141">
        <f>IFERROR(IF(OR(NOT(ISNUMBER('Price History'!D129)),NOT(ISNUMBER('Price History'!D128)),'Price History'!D128=0),"",'Price History'!D129/'Price History'!D128-1),"")</f>
        <v>-3.2142222222222294E-3</v>
      </c>
      <c r="E128" s="141">
        <f>IFERROR(IF(OR(NOT(ISNUMBER('Price History'!E129)),NOT(ISNUMBER('Price History'!E128)),'Price History'!E128=0),"",'Price History'!E129/'Price History'!E128-1),"")</f>
        <v>-2.3286016309272184E-2</v>
      </c>
      <c r="F128" s="141">
        <f>IFERROR(IF(OR(NOT(ISNUMBER('Price History'!F129)),NOT(ISNUMBER('Price History'!F128)),'Price History'!F128=0),"",'Price History'!F129/'Price History'!F128-1),"")</f>
        <v>8.6266181229773586E-2</v>
      </c>
      <c r="G128" s="141">
        <f>IFERROR(IF(OR(NOT(ISNUMBER('Price History'!G129)),NOT(ISNUMBER('Price History'!G128)),'Price History'!G128=0),"",'Price History'!G129/'Price History'!G128-1),"")</f>
        <v>1.4677239844184786E-2</v>
      </c>
      <c r="H128" s="141">
        <f>IFERROR(IF(OR(NOT(ISNUMBER('Price History'!H129)),NOT(ISNUMBER('Price History'!H128)),'Price History'!H128=0),"",'Price History'!H129/'Price History'!H128-1),"")</f>
        <v>4.2995487501901408E-2</v>
      </c>
      <c r="I128" s="141">
        <f>IFERROR(IF(OR(NOT(ISNUMBER('Price History'!I129)),NOT(ISNUMBER('Price History'!I128)),'Price History'!I128=0),"",'Price History'!I129/'Price History'!I128-1),"")</f>
        <v>-1.4055573575521674E-2</v>
      </c>
      <c r="J128" s="141">
        <f>IFERROR(IF(OR(NOT(ISNUMBER('Price History'!J129)),NOT(ISNUMBER('Price History'!J128)),'Price History'!J128=0),"",'Price History'!J129/'Price History'!J128-1),"")</f>
        <v>1.4721267374084634E-2</v>
      </c>
      <c r="K128" s="141">
        <f>IFERROR(IF(OR(NOT(ISNUMBER('Price History'!K129)),NOT(ISNUMBER('Price History'!K128)),'Price History'!K128=0),"",'Price History'!K129/'Price History'!K128-1),"")</f>
        <v>-3.303899926416487E-2</v>
      </c>
      <c r="L128" s="141">
        <f>IFERROR(IF(OR(NOT(ISNUMBER('Price History'!L129)),NOT(ISNUMBER('Price History'!L128)),'Price History'!L128=0),"",'Price History'!L129/'Price History'!L128-1),"")</f>
        <v>5.018345708259897E-2</v>
      </c>
      <c r="M128" s="141">
        <f>IFERROR(IF(OR(NOT(ISNUMBER('Price History'!M129)),NOT(ISNUMBER('Price History'!M128)),'Price History'!M128=0),"",'Price History'!M129/'Price History'!M128-1),"")</f>
        <v>0.19919156774457636</v>
      </c>
      <c r="N128" s="141">
        <f>IFERROR(IF(OR(NOT(ISNUMBER('Price History'!N129)),NOT(ISNUMBER('Price History'!N128)),'Price History'!N128=0),"",'Price History'!N129/'Price History'!N128-1),"")</f>
        <v>2.8352025443588946E-2</v>
      </c>
      <c r="O128" s="141">
        <f>IFERROR(IF(OR(NOT(ISNUMBER('Price History'!O129)),NOT(ISNUMBER('Price History'!O128)),'Price History'!O128=0),"",'Price History'!O129/'Price History'!O128-1),"")</f>
        <v>-2.5416301489920023E-3</v>
      </c>
      <c r="P128" s="141">
        <f>IFERROR(IF(OR(NOT(ISNUMBER('Price History'!P129)),NOT(ISNUMBER('Price History'!P128)),'Price History'!P128=0),"",'Price History'!P129/'Price History'!P128-1),"")</f>
        <v>1.6074840239804988E-2</v>
      </c>
      <c r="Q128" s="141">
        <f>IFERROR(IF(OR(NOT(ISNUMBER('Price History'!Q129)),NOT(ISNUMBER('Price History'!Q128)),'Price History'!Q128=0),"",'Price History'!Q129/'Price History'!Q128-1),"")</f>
        <v>-8.6709523097622254E-3</v>
      </c>
      <c r="R128" s="141">
        <f>IFERROR(IF(OR(NOT(ISNUMBER('Price History'!R129)),NOT(ISNUMBER('Price History'!R128)),'Price History'!R128=0),"",'Price History'!R129/'Price History'!R128-1),"")</f>
        <v>-9.3440478415249828E-3</v>
      </c>
      <c r="S128" s="141">
        <f>IFERROR(IF(OR(NOT(ISNUMBER('Price History'!S129)),NOT(ISNUMBER('Price History'!S128)),'Price History'!S128=0),"",'Price History'!S129/'Price History'!S128-1),"")</f>
        <v>-1.32639355271994E-2</v>
      </c>
      <c r="T128" s="141">
        <f>IFERROR(IF(OR(NOT(ISNUMBER('Price History'!T129)),NOT(ISNUMBER('Price History'!T128)),'Price History'!T128=0),"",'Price History'!T129/'Price History'!T128-1),"")</f>
        <v>-4.2320139407518997E-3</v>
      </c>
      <c r="U128" s="141">
        <f>IFERROR(IF(OR(NOT(ISNUMBER('Price History'!U129)),NOT(ISNUMBER('Price History'!U128)),'Price History'!U128=0),"",'Price History'!U129/'Price History'!U128-1),"")</f>
        <v>4.5587756431129112E-3</v>
      </c>
      <c r="V128" s="142">
        <f>IFERROR(IF(OR(NOT(ISNUMBER('Price History'!V129)),NOT(ISNUMBER('Price History'!V128)),'Price History'!V128=0),"",'Price History'!V129/'Price History'!V128-1),"")</f>
        <v>-5.0819174757281593E-2</v>
      </c>
      <c r="W128" s="143">
        <f>IFERROR('Price History'!B3+(INDEX('Price History'!B:B,MATCH(9.99E+307,'Returns (Calc)'!$A:$A)+1)-'Price History'!B3)*(ROW()-3)/(MATCH(9.99E+307,'Returns (Calc)'!$A:$A)-3),"")</f>
        <v>298.51025316455696</v>
      </c>
      <c r="X128" s="143">
        <f>IFERROR('Price History'!C3+(INDEX('Price History'!C:C,MATCH(9.99E+307,'Returns (Calc)'!$A:$A)+1)-'Price History'!C3)*(ROW()-3)/(MATCH(9.99E+307,'Returns (Calc)'!$A:$A)-3),"")</f>
        <v>173.68791139240506</v>
      </c>
      <c r="Y128" s="143">
        <f>IFERROR('Price History'!D3+(INDEX('Price History'!D:D,MATCH(9.99E+307,'Returns (Calc)'!$A:$A)+1)-'Price History'!D3)*(ROW()-3)/(MATCH(9.99E+307,'Returns (Calc)'!$A:$A)-3),"")</f>
        <v>1598.8612658227848</v>
      </c>
      <c r="Z128" s="143">
        <f>IFERROR('Price History'!E3+(INDEX('Price History'!E:E,MATCH(9.99E+307,'Returns (Calc)'!$A:$A)+1)-'Price History'!E3)*(ROW()-3)/(MATCH(9.99E+307,'Returns (Calc)'!$A:$A)-3),"")</f>
        <v>298.09177215189874</v>
      </c>
      <c r="AA128" s="143">
        <f>IFERROR('Price History'!F3+(INDEX('Price History'!F:F,MATCH(9.99E+307,'Returns (Calc)'!$A:$A)+1)-'Price History'!F3)*(ROW()-3)/(MATCH(9.99E+307,'Returns (Calc)'!$A:$A)-3),"")</f>
        <v>222.27772151898733</v>
      </c>
      <c r="AB128" s="143">
        <f>IFERROR('Price History'!G3+(INDEX('Price History'!G:G,MATCH(9.99E+307,'Returns (Calc)'!$A:$A)+1)-'Price History'!G3)*(ROW()-3)/(MATCH(9.99E+307,'Returns (Calc)'!$A:$A)-3),"")</f>
        <v>172.94177215189873</v>
      </c>
      <c r="AC128" s="143">
        <f>IFERROR('Price History'!H3+(INDEX('Price History'!H:H,MATCH(9.99E+307,'Returns (Calc)'!$A:$A)+1)-'Price History'!H3)*(ROW()-3)/(MATCH(9.99E+307,'Returns (Calc)'!$A:$A)-3),"")</f>
        <v>864.82202531645578</v>
      </c>
      <c r="AD128" s="143">
        <f>IFERROR('Price History'!I3+(INDEX('Price History'!I:I,MATCH(9.99E+307,'Returns (Calc)'!$A:$A)+1)-'Price History'!I3)*(ROW()-3)/(MATCH(9.99E+307,'Returns (Calc)'!$A:$A)-3),"")</f>
        <v>194.22886075949367</v>
      </c>
      <c r="AE128" s="143">
        <f>IFERROR('Price History'!J3+(INDEX('Price History'!J:J,MATCH(9.99E+307,'Returns (Calc)'!$A:$A)+1)-'Price History'!J3)*(ROW()-3)/(MATCH(9.99E+307,'Returns (Calc)'!$A:$A)-3),"")</f>
        <v>125.34474683544303</v>
      </c>
      <c r="AF128" s="143">
        <f>IFERROR('Price History'!K3+(INDEX('Price History'!K:K,MATCH(9.99E+307,'Returns (Calc)'!$A:$A)+1)-'Price History'!K3)*(ROW()-3)/(MATCH(9.99E+307,'Returns (Calc)'!$A:$A)-3),"")</f>
        <v>152.52936708860761</v>
      </c>
      <c r="AG128" s="143">
        <f>IFERROR('Price History'!L3+(INDEX('Price History'!L:L,MATCH(9.99E+307,'Returns (Calc)'!$A:$A)+1)-'Price History'!L3)*(ROW()-3)/(MATCH(9.99E+307,'Returns (Calc)'!$A:$A)-3),"")</f>
        <v>391.94462025316454</v>
      </c>
      <c r="AH128" s="143">
        <f>IFERROR('Price History'!M3+(INDEX('Price History'!M:M,MATCH(9.99E+307,'Returns (Calc)'!$A:$A)+1)-'Price History'!M3)*(ROW()-3)/(MATCH(9.99E+307,'Returns (Calc)'!$A:$A)-3),"")</f>
        <v>207.45037974683547</v>
      </c>
      <c r="AI128" s="143">
        <f>IFERROR('Price History'!N3+(INDEX('Price History'!N:N,MATCH(9.99E+307,'Returns (Calc)'!$A:$A)+1)-'Price History'!N3)*(ROW()-3)/(MATCH(9.99E+307,'Returns (Calc)'!$A:$A)-3),"")</f>
        <v>472.1832278481013</v>
      </c>
      <c r="AJ128" s="143">
        <f>IFERROR('Price History'!O3+(INDEX('Price History'!O:O,MATCH(9.99E+307,'Returns (Calc)'!$A:$A)+1)-'Price History'!O3)*(ROW()-3)/(MATCH(9.99E+307,'Returns (Calc)'!$A:$A)-3),"")</f>
        <v>110.68974683544303</v>
      </c>
      <c r="AK128" s="143">
        <f>IFERROR('Price History'!Q3+(INDEX('Price History'!Q:Q,MATCH(9.99E+307,'Returns (Calc)'!$A:$A)+1)-'Price History'!Q3)*(ROW()-3)/(MATCH(9.99E+307,'Returns (Calc)'!$A:$A)-3),"")</f>
        <v>54.920886075949369</v>
      </c>
      <c r="AL128" s="143">
        <f>IFERROR('Price History'!R3+(INDEX('Price History'!R:R,MATCH(9.99E+307,'Returns (Calc)'!$A:$A)+1)-'Price History'!R3)*(ROW()-3)/(MATCH(9.99E+307,'Returns (Calc)'!$A:$A)-3),"")</f>
        <v>55.492658227848096</v>
      </c>
      <c r="AM128" s="143">
        <f>IFERROR('Price History'!S3+(INDEX('Price History'!S:S,MATCH(9.99E+307,'Returns (Calc)'!$A:$A)+1)-'Price History'!S3)*(ROW()-3)/(MATCH(9.99E+307,'Returns (Calc)'!$A:$A)-3),"")</f>
        <v>133.26291139240507</v>
      </c>
      <c r="AN128" s="143">
        <f>IFERROR('Price History'!T3+(INDEX('Price History'!T:T,MATCH(9.99E+307,'Returns (Calc)'!$A:$A)+1)-'Price History'!T3)*(ROW()-3)/(MATCH(9.99E+307,'Returns (Calc)'!$A:$A)-3),"")</f>
        <v>46.268481012658228</v>
      </c>
      <c r="AO128" s="144">
        <f>IFERROR('Price History'!V3+(INDEX('Price History'!V:V,MATCH(9.99E+307,'Returns (Calc)'!$A:$A)+1)-'Price History'!V3)*(ROW()-3)/(MATCH(9.99E+307,'Returns (Calc)'!$A:$A)-3),"")</f>
        <v>334.54613924050636</v>
      </c>
      <c r="AP128" s="142">
        <f>IFERROR(IF(OR(NOT(ISNUMBER('Price History'!W129)),NOT(ISNUMBER('Price History'!W128)),'Price History'!W128=0),"",'Price History'!W129/'Price History'!W128-1),"")</f>
        <v>-6.5462162869855955E-4</v>
      </c>
      <c r="AQ128" s="142">
        <f>IFERROR(IF(OR(NOT(ISNUMBER('Price History'!X129)),NOT(ISNUMBER('Price History'!X128)),'Price History'!X128=0),"",'Price History'!X129/'Price History'!X128-1),"")</f>
        <v>3.8944982485060731E-2</v>
      </c>
      <c r="AR128" s="142">
        <f>IFERROR(IF(OR(NOT(ISNUMBER('Price History'!Y129)),NOT(ISNUMBER('Price History'!Y128)),'Price History'!Y128=0),"",'Price History'!Y129/'Price History'!Y128-1),"")</f>
        <v>3.2137118371720064E-3</v>
      </c>
      <c r="AS128" s="142">
        <f>IFERROR(IF(OR(NOT(ISNUMBER('Price History'!Z129)),NOT(ISNUMBER('Price History'!Z128)),'Price History'!Z128=0),"",'Price History'!Z129/'Price History'!Z128-1),"")</f>
        <v>-1.7399181582482104E-2</v>
      </c>
      <c r="AT128" s="142">
        <f>IFERROR(IF(OR(NOT(ISNUMBER('Price History'!AA129)),NOT(ISNUMBER('Price History'!AA128)),'Price History'!AA128=0),"",'Price History'!AA129/'Price History'!AA128-1),"")</f>
        <v>-6.4841849148418507E-2</v>
      </c>
    </row>
    <row r="129" spans="1:46" ht="15" customHeight="1" x14ac:dyDescent="0.35">
      <c r="A129" s="140">
        <f>IF('Price History'!A130="","",'Price History'!A130)</f>
        <v>46073</v>
      </c>
      <c r="B129" s="141">
        <f>IFERROR(IF(OR(NOT(ISNUMBER('Price History'!B130)),NOT(ISNUMBER('Price History'!B129)),'Price History'!B129=0),"",'Price History'!B130/'Price History'!B129-1),"")</f>
        <v>-2.0305337727772099E-2</v>
      </c>
      <c r="C129" s="141">
        <f>IFERROR(IF(OR(NOT(ISNUMBER('Price History'!C130)),NOT(ISNUMBER('Price History'!C129)),'Price History'!C129=0),"",'Price History'!C130/'Price History'!C129-1),"")</f>
        <v>-6.2151281870188702E-2</v>
      </c>
      <c r="D129" s="141">
        <f>IFERROR(IF(OR(NOT(ISNUMBER('Price History'!D130)),NOT(ISNUMBER('Price History'!D129)),'Price History'!D129=0),"",'Price History'!D130/'Price History'!D129-1),"")</f>
        <v>4.4773244490736497E-2</v>
      </c>
      <c r="E129" s="141">
        <f>IFERROR(IF(OR(NOT(ISNUMBER('Price History'!E130)),NOT(ISNUMBER('Price History'!E129)),'Price History'!E129=0),"",'Price History'!E130/'Price History'!E129-1),"")</f>
        <v>2.3006277250378737E-2</v>
      </c>
      <c r="F129" s="141">
        <f>IFERROR(IF(OR(NOT(ISNUMBER('Price History'!F130)),NOT(ISNUMBER('Price History'!F129)),'Price History'!F129=0),"",'Price History'!F130/'Price History'!F129-1),"")</f>
        <v>-9.5521832231635684E-2</v>
      </c>
      <c r="G129" s="141">
        <f>IFERROR(IF(OR(NOT(ISNUMBER('Price History'!G130)),NOT(ISNUMBER('Price History'!G129)),'Price History'!G129=0),"",'Price History'!G130/'Price History'!G129-1),"")</f>
        <v>2.3102762733941296E-2</v>
      </c>
      <c r="H129" s="141">
        <f>IFERROR(IF(OR(NOT(ISNUMBER('Price History'!H130)),NOT(ISNUMBER('Price History'!H129)),'Price History'!H129=0),"",'Price History'!H130/'Price History'!H129-1),"")</f>
        <v>4.0105002187545535E-2</v>
      </c>
      <c r="I129" s="141">
        <f>IFERROR(IF(OR(NOT(ISNUMBER('Price History'!I130)),NOT(ISNUMBER('Price History'!I129)),'Price History'!I129=0),"",'Price History'!I130/'Price History'!I129-1),"")</f>
        <v>3.8381401469459453E-2</v>
      </c>
      <c r="J129" s="141">
        <f>IFERROR(IF(OR(NOT(ISNUMBER('Price History'!J130)),NOT(ISNUMBER('Price History'!J129)),'Price History'!J129=0),"",'Price History'!J130/'Price History'!J129-1),"")</f>
        <v>1.8263495102732286E-2</v>
      </c>
      <c r="K129" s="141">
        <f>IFERROR(IF(OR(NOT(ISNUMBER('Price History'!K130)),NOT(ISNUMBER('Price History'!K129)),'Price History'!K129=0),"",'Price History'!K130/'Price History'!K129-1),"")</f>
        <v>2.9145422722776093E-2</v>
      </c>
      <c r="L129" s="141">
        <f>IFERROR(IF(OR(NOT(ISNUMBER('Price History'!L130)),NOT(ISNUMBER('Price History'!L129)),'Price History'!L129=0),"",'Price History'!L130/'Price History'!L129-1),"")</f>
        <v>1.1416781292984846E-2</v>
      </c>
      <c r="M129" s="141">
        <f>IFERROR(IF(OR(NOT(ISNUMBER('Price History'!M130)),NOT(ISNUMBER('Price History'!M129)),'Price History'!M129=0),"",'Price History'!M130/'Price History'!M129-1),"")</f>
        <v>3.9296838332551154E-2</v>
      </c>
      <c r="N129" s="141">
        <f>IFERROR(IF(OR(NOT(ISNUMBER('Price History'!N130)),NOT(ISNUMBER('Price History'!N129)),'Price History'!N129=0),"",'Price History'!N130/'Price History'!N129-1),"")</f>
        <v>-2.9645756607727947E-2</v>
      </c>
      <c r="O129" s="141">
        <f>IFERROR(IF(OR(NOT(ISNUMBER('Price History'!O130)),NOT(ISNUMBER('Price History'!O129)),'Price History'!O129=0),"",'Price History'!O130/'Price History'!O129-1),"")</f>
        <v>5.6234074334418072E-3</v>
      </c>
      <c r="P129" s="141">
        <f>IFERROR(IF(OR(NOT(ISNUMBER('Price History'!P130)),NOT(ISNUMBER('Price History'!P129)),'Price History'!P129=0),"",'Price History'!P130/'Price History'!P129-1),"")</f>
        <v>-7.1322051481552684E-3</v>
      </c>
      <c r="Q129" s="141">
        <f>IFERROR(IF(OR(NOT(ISNUMBER('Price History'!Q130)),NOT(ISNUMBER('Price History'!Q129)),'Price History'!Q129=0),"",'Price History'!Q130/'Price History'!Q129-1),"")</f>
        <v>6.7863067410647293E-3</v>
      </c>
      <c r="R129" s="141">
        <f>IFERROR(IF(OR(NOT(ISNUMBER('Price History'!R130)),NOT(ISNUMBER('Price History'!R129)),'Price History'!R129=0),"",'Price History'!R130/'Price History'!R129-1),"")</f>
        <v>1.1129975476325216E-2</v>
      </c>
      <c r="S129" s="141">
        <f>IFERROR(IF(OR(NOT(ISNUMBER('Price History'!S130)),NOT(ISNUMBER('Price History'!S129)),'Price History'!S129=0),"",'Price History'!S130/'Price History'!S129-1),"")</f>
        <v>1.4463161476943931E-2</v>
      </c>
      <c r="T129" s="141">
        <f>IFERROR(IF(OR(NOT(ISNUMBER('Price History'!T130)),NOT(ISNUMBER('Price History'!T129)),'Price History'!T129=0),"",'Price History'!T130/'Price History'!T129-1),"")</f>
        <v>2.0000000000000018E-3</v>
      </c>
      <c r="U129" s="141">
        <f>IFERROR(IF(OR(NOT(ISNUMBER('Price History'!U130)),NOT(ISNUMBER('Price History'!U129)),'Price History'!U129=0),"",'Price History'!U130/'Price History'!U129-1),"")</f>
        <v>0</v>
      </c>
      <c r="V129" s="142">
        <f>IFERROR(IF(OR(NOT(ISNUMBER('Price History'!V130)),NOT(ISNUMBER('Price History'!V129)),'Price History'!V129=0),"",'Price History'!V130/'Price History'!V129-1),"")</f>
        <v>2.1863512865590407E-2</v>
      </c>
      <c r="W129" s="143">
        <f>IFERROR('Price History'!B3+(INDEX('Price History'!B:B,MATCH(9.99E+307,'Returns (Calc)'!$A:$A)+1)-'Price History'!B3)*(ROW()-3)/(MATCH(9.99E+307,'Returns (Calc)'!$A:$A)-3),"")</f>
        <v>296.66721518987345</v>
      </c>
      <c r="X129" s="143">
        <f>IFERROR('Price History'!C3+(INDEX('Price History'!C:C,MATCH(9.99E+307,'Returns (Calc)'!$A:$A)+1)-'Price History'!C3)*(ROW()-3)/(MATCH(9.99E+307,'Returns (Calc)'!$A:$A)-3),"")</f>
        <v>174.70797468354431</v>
      </c>
      <c r="Y129" s="143">
        <f>IFERROR('Price History'!D3+(INDEX('Price History'!D:D,MATCH(9.99E+307,'Returns (Calc)'!$A:$A)+1)-'Price History'!D3)*(ROW()-3)/(MATCH(9.99E+307,'Returns (Calc)'!$A:$A)-3),"")</f>
        <v>1606.996075949367</v>
      </c>
      <c r="Z129" s="143">
        <f>IFERROR('Price History'!E3+(INDEX('Price History'!E:E,MATCH(9.99E+307,'Returns (Calc)'!$A:$A)+1)-'Price History'!E3)*(ROW()-3)/(MATCH(9.99E+307,'Returns (Calc)'!$A:$A)-3),"")</f>
        <v>299.82050632911393</v>
      </c>
      <c r="AA129" s="143">
        <f>IFERROR('Price History'!F3+(INDEX('Price History'!F:F,MATCH(9.99E+307,'Returns (Calc)'!$A:$A)+1)-'Price History'!F3)*(ROW()-3)/(MATCH(9.99E+307,'Returns (Calc)'!$A:$A)-3),"")</f>
        <v>223.72506329113924</v>
      </c>
      <c r="AB129" s="143">
        <f>IFERROR('Price History'!G3+(INDEX('Price History'!G:G,MATCH(9.99E+307,'Returns (Calc)'!$A:$A)+1)-'Price History'!G3)*(ROW()-3)/(MATCH(9.99E+307,'Returns (Calc)'!$A:$A)-3),"")</f>
        <v>173.9705063291139</v>
      </c>
      <c r="AC129" s="143">
        <f>IFERROR('Price History'!H3+(INDEX('Price History'!H:H,MATCH(9.99E+307,'Returns (Calc)'!$A:$A)+1)-'Price History'!H3)*(ROW()-3)/(MATCH(9.99E+307,'Returns (Calc)'!$A:$A)-3),"")</f>
        <v>871.18772151898747</v>
      </c>
      <c r="AD129" s="143">
        <f>IFERROR('Price History'!I3+(INDEX('Price History'!I:I,MATCH(9.99E+307,'Returns (Calc)'!$A:$A)+1)-'Price History'!I3)*(ROW()-3)/(MATCH(9.99E+307,'Returns (Calc)'!$A:$A)-3),"")</f>
        <v>195.43253164556961</v>
      </c>
      <c r="AE129" s="143">
        <f>IFERROR('Price History'!J3+(INDEX('Price History'!J:J,MATCH(9.99E+307,'Returns (Calc)'!$A:$A)+1)-'Price History'!J3)*(ROW()-3)/(MATCH(9.99E+307,'Returns (Calc)'!$A:$A)-3),"")</f>
        <v>125.45278481012659</v>
      </c>
      <c r="AF129" s="143">
        <f>IFERROR('Price History'!K3+(INDEX('Price History'!K:K,MATCH(9.99E+307,'Returns (Calc)'!$A:$A)+1)-'Price History'!K3)*(ROW()-3)/(MATCH(9.99E+307,'Returns (Calc)'!$A:$A)-3),"")</f>
        <v>153.62696202531646</v>
      </c>
      <c r="AG129" s="143">
        <f>IFERROR('Price History'!L3+(INDEX('Price History'!L:L,MATCH(9.99E+307,'Returns (Calc)'!$A:$A)+1)-'Price History'!L3)*(ROW()-3)/(MATCH(9.99E+307,'Returns (Calc)'!$A:$A)-3),"")</f>
        <v>394.39417721518987</v>
      </c>
      <c r="AH129" s="143">
        <f>IFERROR('Price History'!M3+(INDEX('Price History'!M:M,MATCH(9.99E+307,'Returns (Calc)'!$A:$A)+1)-'Price History'!M3)*(ROW()-3)/(MATCH(9.99E+307,'Returns (Calc)'!$A:$A)-3),"")</f>
        <v>208.80582278481015</v>
      </c>
      <c r="AI129" s="143">
        <f>IFERROR('Price History'!N3+(INDEX('Price History'!N:N,MATCH(9.99E+307,'Returns (Calc)'!$A:$A)+1)-'Price History'!N3)*(ROW()-3)/(MATCH(9.99E+307,'Returns (Calc)'!$A:$A)-3),"")</f>
        <v>473.16949367088608</v>
      </c>
      <c r="AJ129" s="143">
        <f>IFERROR('Price History'!O3+(INDEX('Price History'!O:O,MATCH(9.99E+307,'Returns (Calc)'!$A:$A)+1)-'Price History'!O3)*(ROW()-3)/(MATCH(9.99E+307,'Returns (Calc)'!$A:$A)-3),"")</f>
        <v>110.97278481012658</v>
      </c>
      <c r="AK129" s="143">
        <f>IFERROR('Price History'!Q3+(INDEX('Price History'!Q:Q,MATCH(9.99E+307,'Returns (Calc)'!$A:$A)+1)-'Price History'!Q3)*(ROW()-3)/(MATCH(9.99E+307,'Returns (Calc)'!$A:$A)-3),"")</f>
        <v>55.360253164556966</v>
      </c>
      <c r="AL129" s="143">
        <f>IFERROR('Price History'!R3+(INDEX('Price History'!R:R,MATCH(9.99E+307,'Returns (Calc)'!$A:$A)+1)-'Price History'!R3)*(ROW()-3)/(MATCH(9.99E+307,'Returns (Calc)'!$A:$A)-3),"")</f>
        <v>55.660759493670881</v>
      </c>
      <c r="AM129" s="143">
        <f>IFERROR('Price History'!S3+(INDEX('Price History'!S:S,MATCH(9.99E+307,'Returns (Calc)'!$A:$A)+1)-'Price History'!S3)*(ROW()-3)/(MATCH(9.99E+307,'Returns (Calc)'!$A:$A)-3),"")</f>
        <v>133.8679746835443</v>
      </c>
      <c r="AN129" s="143">
        <f>IFERROR('Price History'!T3+(INDEX('Price History'!T:T,MATCH(9.99E+307,'Returns (Calc)'!$A:$A)+1)-'Price History'!T3)*(ROW()-3)/(MATCH(9.99E+307,'Returns (Calc)'!$A:$A)-3),"")</f>
        <v>46.436708860759495</v>
      </c>
      <c r="AO129" s="144">
        <f>IFERROR('Price History'!V3+(INDEX('Price History'!V:V,MATCH(9.99E+307,'Returns (Calc)'!$A:$A)+1)-'Price History'!V3)*(ROW()-3)/(MATCH(9.99E+307,'Returns (Calc)'!$A:$A)-3),"")</f>
        <v>335.33746835443037</v>
      </c>
      <c r="AP129" s="142">
        <f>IFERROR(IF(OR(NOT(ISNUMBER('Price History'!W130)),NOT(ISNUMBER('Price History'!W129)),'Price History'!W129=0),"",'Price History'!W130/'Price History'!W129-1),"")</f>
        <v>1.2445958338791474E-3</v>
      </c>
      <c r="AQ129" s="142">
        <f>IFERROR(IF(OR(NOT(ISNUMBER('Price History'!X130)),NOT(ISNUMBER('Price History'!X129)),'Price History'!X129=0),"",'Price History'!X130/'Price History'!X129-1),"")</f>
        <v>2.9750099166996335E-3</v>
      </c>
      <c r="AR129" s="142">
        <f>IFERROR(IF(OR(NOT(ISNUMBER('Price History'!Y130)),NOT(ISNUMBER('Price History'!Y129)),'Price History'!Y129=0),"",'Price History'!Y130/'Price History'!Y129-1),"")</f>
        <v>3.2034169781098853E-3</v>
      </c>
      <c r="AS129" s="142">
        <f>IFERROR(IF(OR(NOT(ISNUMBER('Price History'!Z130)),NOT(ISNUMBER('Price History'!Z129)),'Price History'!Z129=0),"",'Price History'!Z130/'Price History'!Z129-1),"")</f>
        <v>8.8154883011190233E-2</v>
      </c>
      <c r="AT129" s="142">
        <f>IFERROR(IF(OR(NOT(ISNUMBER('Price History'!AA130)),NOT(ISNUMBER('Price History'!AA129)),'Price History'!AA129=0),"",'Price History'!AA130/'Price History'!AA129-1),"")</f>
        <v>2.3416157148432371E-2</v>
      </c>
    </row>
    <row r="130" spans="1:46" ht="15" customHeight="1" x14ac:dyDescent="0.35">
      <c r="A130" s="140">
        <f>IF('Price History'!A131="","",'Price History'!A131)</f>
        <v>46080</v>
      </c>
      <c r="B130" s="141">
        <f>IFERROR(IF(OR(NOT(ISNUMBER('Price History'!B131)),NOT(ISNUMBER('Price History'!B130)),'Price History'!B130=0),"",'Price History'!B131/'Price History'!B130-1),"")</f>
        <v>1.4693940682881657E-2</v>
      </c>
      <c r="C130" s="141">
        <f>IFERROR(IF(OR(NOT(ISNUMBER('Price History'!C131)),NOT(ISNUMBER('Price History'!C130)),'Price History'!C130=0),"",'Price History'!C131/'Price History'!C130-1),"")</f>
        <v>5.3467881617592639E-3</v>
      </c>
      <c r="D130" s="141">
        <f>IFERROR(IF(OR(NOT(ISNUMBER('Price History'!D131)),NOT(ISNUMBER('Price History'!D130)),'Price History'!D130=0),"",'Price History'!D131/'Price History'!D130-1),"")</f>
        <v>-1.2946486490177489E-2</v>
      </c>
      <c r="E130" s="141">
        <f>IFERROR(IF(OR(NOT(ISNUMBER('Price History'!E131)),NOT(ISNUMBER('Price History'!E130)),'Price History'!E130=0),"",'Price History'!E131/'Price History'!E130-1),"")</f>
        <v>-3.93857872623401E-2</v>
      </c>
      <c r="F130" s="141">
        <f>IFERROR(IF(OR(NOT(ISNUMBER('Price History'!F131)),NOT(ISNUMBER('Price History'!F130)),'Price History'!F130=0),"",'Price History'!F131/'Price History'!F130-1),"")</f>
        <v>-4.2717447246526041E-2</v>
      </c>
      <c r="G130" s="141">
        <f>IFERROR(IF(OR(NOT(ISNUMBER('Price History'!G131)),NOT(ISNUMBER('Price History'!G130)),'Price History'!G130=0),"",'Price History'!G131/'Price History'!G130-1),"")</f>
        <v>1.9096756901634926E-2</v>
      </c>
      <c r="H130" s="141">
        <f>IFERROR(IF(OR(NOT(ISNUMBER('Price History'!H131)),NOT(ISNUMBER('Price History'!H130)),'Price History'!H130=0),"",'Price History'!H131/'Price History'!H130-1),"")</f>
        <v>-3.6899420452421006E-2</v>
      </c>
      <c r="I130" s="141">
        <f>IFERROR(IF(OR(NOT(ISNUMBER('Price History'!I131)),NOT(ISNUMBER('Price History'!I130)),'Price History'!I130=0),"",'Price History'!I131/'Price History'!I130-1),"")</f>
        <v>-6.6532896821206E-2</v>
      </c>
      <c r="J130" s="141">
        <f>IFERROR(IF(OR(NOT(ISNUMBER('Price History'!J131)),NOT(ISNUMBER('Price History'!J130)),'Price History'!J130=0),"",'Price History'!J131/'Price History'!J130-1),"")</f>
        <v>7.5215158747377053E-3</v>
      </c>
      <c r="K130" s="141">
        <f>IFERROR(IF(OR(NOT(ISNUMBER('Price History'!K131)),NOT(ISNUMBER('Price History'!K130)),'Price History'!K130=0),"",'Price History'!K131/'Price History'!K130-1),"")</f>
        <v>1.4418811002661958E-2</v>
      </c>
      <c r="L130" s="141">
        <f>IFERROR(IF(OR(NOT(ISNUMBER('Price History'!L131)),NOT(ISNUMBER('Price History'!L130)),'Price History'!L130=0),"",'Price History'!L131/'Price History'!L130-1),"")</f>
        <v>1.0907112743098191E-2</v>
      </c>
      <c r="M130" s="141">
        <f>IFERROR(IF(OR(NOT(ISNUMBER('Price History'!M131)),NOT(ISNUMBER('Price History'!M130)),'Price History'!M130=0),"",'Price History'!M131/'Price History'!M130-1),"")</f>
        <v>4.569340668363564E-2</v>
      </c>
      <c r="N130" s="141">
        <f>IFERROR(IF(OR(NOT(ISNUMBER('Price History'!N131)),NOT(ISNUMBER('Price History'!N130)),'Price History'!N130=0),"",'Price History'!N131/'Price History'!N130-1),"")</f>
        <v>4.1790731809603798E-2</v>
      </c>
      <c r="O130" s="141">
        <f>IFERROR(IF(OR(NOT(ISNUMBER('Price History'!O131)),NOT(ISNUMBER('Price History'!O130)),'Price History'!O130=0),"",'Price History'!O131/'Price History'!O130-1),"")</f>
        <v>-2.2193097422455232E-2</v>
      </c>
      <c r="P130" s="141">
        <f>IFERROR(IF(OR(NOT(ISNUMBER('Price History'!P131)),NOT(ISNUMBER('Price History'!P130)),'Price History'!P130=0),"",'Price History'!P131/'Price History'!P130-1),"")</f>
        <v>-3.3305034937634037E-3</v>
      </c>
      <c r="Q130" s="141">
        <f>IFERROR(IF(OR(NOT(ISNUMBER('Price History'!Q131)),NOT(ISNUMBER('Price History'!Q130)),'Price History'!Q130=0),"",'Price History'!Q131/'Price History'!Q130-1),"")</f>
        <v>-5.6920311563811721E-3</v>
      </c>
      <c r="R130" s="141">
        <f>IFERROR(IF(OR(NOT(ISNUMBER('Price History'!R131)),NOT(ISNUMBER('Price History'!R130)),'Price History'!R130=0),"",'Price History'!R131/'Price History'!R130-1),"")</f>
        <v>-1.8656716417910779E-3</v>
      </c>
      <c r="S130" s="141">
        <f>IFERROR(IF(OR(NOT(ISNUMBER('Price History'!S131)),NOT(ISNUMBER('Price History'!S130)),'Price History'!S130=0),"",'Price History'!S131/'Price History'!S130-1),"")</f>
        <v>-4.0254948004024849E-3</v>
      </c>
      <c r="T130" s="141">
        <f>IFERROR(IF(OR(NOT(ISNUMBER('Price History'!T131)),NOT(ISNUMBER('Price History'!T130)),'Price History'!T130=0),"",'Price History'!T131/'Price History'!T130-1),"")</f>
        <v>3.493013972055925E-3</v>
      </c>
      <c r="U130" s="141">
        <f>IFERROR(IF(OR(NOT(ISNUMBER('Price History'!U131)),NOT(ISNUMBER('Price History'!U130)),'Price History'!U130=0),"",'Price History'!U131/'Price History'!U130-1),"")</f>
        <v>5.1863857374392364E-3</v>
      </c>
      <c r="V130" s="142">
        <f>IFERROR(IF(OR(NOT(ISNUMBER('Price History'!V131)),NOT(ISNUMBER('Price History'!V130)),'Price History'!V130=0),"",'Price History'!V131/'Price History'!V130-1),"")</f>
        <v>-2.5024242234664706E-3</v>
      </c>
      <c r="W130" s="143">
        <f>IFERROR('Price History'!B3+(INDEX('Price History'!B:B,MATCH(9.99E+307,'Returns (Calc)'!$A:$A)+1)-'Price History'!B3)*(ROW()-3)/(MATCH(9.99E+307,'Returns (Calc)'!$A:$A)-3),"")</f>
        <v>294.82417721518982</v>
      </c>
      <c r="X130" s="143">
        <f>IFERROR('Price History'!C3+(INDEX('Price History'!C:C,MATCH(9.99E+307,'Returns (Calc)'!$A:$A)+1)-'Price History'!C3)*(ROW()-3)/(MATCH(9.99E+307,'Returns (Calc)'!$A:$A)-3),"")</f>
        <v>175.72803797468356</v>
      </c>
      <c r="Y130" s="143">
        <f>IFERROR('Price History'!D3+(INDEX('Price History'!D:D,MATCH(9.99E+307,'Returns (Calc)'!$A:$A)+1)-'Price History'!D3)*(ROW()-3)/(MATCH(9.99E+307,'Returns (Calc)'!$A:$A)-3),"")</f>
        <v>1615.1308860759493</v>
      </c>
      <c r="Z130" s="143">
        <f>IFERROR('Price History'!E3+(INDEX('Price History'!E:E,MATCH(9.99E+307,'Returns (Calc)'!$A:$A)+1)-'Price History'!E3)*(ROW()-3)/(MATCH(9.99E+307,'Returns (Calc)'!$A:$A)-3),"")</f>
        <v>301.54924050632911</v>
      </c>
      <c r="AA130" s="143">
        <f>IFERROR('Price History'!F3+(INDEX('Price History'!F:F,MATCH(9.99E+307,'Returns (Calc)'!$A:$A)+1)-'Price History'!F3)*(ROW()-3)/(MATCH(9.99E+307,'Returns (Calc)'!$A:$A)-3),"")</f>
        <v>225.17240506329114</v>
      </c>
      <c r="AB130" s="143">
        <f>IFERROR('Price History'!G3+(INDEX('Price History'!G:G,MATCH(9.99E+307,'Returns (Calc)'!$A:$A)+1)-'Price History'!G3)*(ROW()-3)/(MATCH(9.99E+307,'Returns (Calc)'!$A:$A)-3),"")</f>
        <v>174.9992405063291</v>
      </c>
      <c r="AC130" s="143">
        <f>IFERROR('Price History'!H3+(INDEX('Price History'!H:H,MATCH(9.99E+307,'Returns (Calc)'!$A:$A)+1)-'Price History'!H3)*(ROW()-3)/(MATCH(9.99E+307,'Returns (Calc)'!$A:$A)-3),"")</f>
        <v>877.55341772151905</v>
      </c>
      <c r="AD130" s="143">
        <f>IFERROR('Price History'!I3+(INDEX('Price History'!I:I,MATCH(9.99E+307,'Returns (Calc)'!$A:$A)+1)-'Price History'!I3)*(ROW()-3)/(MATCH(9.99E+307,'Returns (Calc)'!$A:$A)-3),"")</f>
        <v>196.63620253164555</v>
      </c>
      <c r="AE130" s="143">
        <f>IFERROR('Price History'!J3+(INDEX('Price History'!J:J,MATCH(9.99E+307,'Returns (Calc)'!$A:$A)+1)-'Price History'!J3)*(ROW()-3)/(MATCH(9.99E+307,'Returns (Calc)'!$A:$A)-3),"")</f>
        <v>125.56082278481013</v>
      </c>
      <c r="AF130" s="143">
        <f>IFERROR('Price History'!K3+(INDEX('Price History'!K:K,MATCH(9.99E+307,'Returns (Calc)'!$A:$A)+1)-'Price History'!K3)*(ROW()-3)/(MATCH(9.99E+307,'Returns (Calc)'!$A:$A)-3),"")</f>
        <v>154.72455696202533</v>
      </c>
      <c r="AG130" s="143">
        <f>IFERROR('Price History'!L3+(INDEX('Price History'!L:L,MATCH(9.99E+307,'Returns (Calc)'!$A:$A)+1)-'Price History'!L3)*(ROW()-3)/(MATCH(9.99E+307,'Returns (Calc)'!$A:$A)-3),"")</f>
        <v>396.8437341772152</v>
      </c>
      <c r="AH130" s="143">
        <f>IFERROR('Price History'!M3+(INDEX('Price History'!M:M,MATCH(9.99E+307,'Returns (Calc)'!$A:$A)+1)-'Price History'!M3)*(ROW()-3)/(MATCH(9.99E+307,'Returns (Calc)'!$A:$A)-3),"")</f>
        <v>210.16126582278483</v>
      </c>
      <c r="AI130" s="143">
        <f>IFERROR('Price History'!N3+(INDEX('Price History'!N:N,MATCH(9.99E+307,'Returns (Calc)'!$A:$A)+1)-'Price History'!N3)*(ROW()-3)/(MATCH(9.99E+307,'Returns (Calc)'!$A:$A)-3),"")</f>
        <v>474.15575949367087</v>
      </c>
      <c r="AJ130" s="143">
        <f>IFERROR('Price History'!O3+(INDEX('Price History'!O:O,MATCH(9.99E+307,'Returns (Calc)'!$A:$A)+1)-'Price History'!O3)*(ROW()-3)/(MATCH(9.99E+307,'Returns (Calc)'!$A:$A)-3),"")</f>
        <v>111.25582278481014</v>
      </c>
      <c r="AK130" s="143">
        <f>IFERROR('Price History'!Q3+(INDEX('Price History'!Q:Q,MATCH(9.99E+307,'Returns (Calc)'!$A:$A)+1)-'Price History'!Q3)*(ROW()-3)/(MATCH(9.99E+307,'Returns (Calc)'!$A:$A)-3),"")</f>
        <v>55.799620253164555</v>
      </c>
      <c r="AL130" s="143">
        <f>IFERROR('Price History'!R3+(INDEX('Price History'!R:R,MATCH(9.99E+307,'Returns (Calc)'!$A:$A)+1)-'Price History'!R3)*(ROW()-3)/(MATCH(9.99E+307,'Returns (Calc)'!$A:$A)-3),"")</f>
        <v>55.828860759493665</v>
      </c>
      <c r="AM130" s="143">
        <f>IFERROR('Price History'!S3+(INDEX('Price History'!S:S,MATCH(9.99E+307,'Returns (Calc)'!$A:$A)+1)-'Price History'!S3)*(ROW()-3)/(MATCH(9.99E+307,'Returns (Calc)'!$A:$A)-3),"")</f>
        <v>134.47303797468354</v>
      </c>
      <c r="AN130" s="143">
        <f>IFERROR('Price History'!T3+(INDEX('Price History'!T:T,MATCH(9.99E+307,'Returns (Calc)'!$A:$A)+1)-'Price History'!T3)*(ROW()-3)/(MATCH(9.99E+307,'Returns (Calc)'!$A:$A)-3),"")</f>
        <v>46.604936708860762</v>
      </c>
      <c r="AO130" s="144">
        <f>IFERROR('Price History'!V3+(INDEX('Price History'!V:V,MATCH(9.99E+307,'Returns (Calc)'!$A:$A)+1)-'Price History'!V3)*(ROW()-3)/(MATCH(9.99E+307,'Returns (Calc)'!$A:$A)-3),"")</f>
        <v>336.12879746835443</v>
      </c>
      <c r="AP130" s="142">
        <f>IFERROR(IF(OR(NOT(ISNUMBER('Price History'!W131)),NOT(ISNUMBER('Price History'!W130)),'Price History'!W130=0),"",'Price History'!W131/'Price History'!W130-1),"")</f>
        <v>-3.2711808963035161E-3</v>
      </c>
      <c r="AQ130" s="142">
        <f>IFERROR(IF(OR(NOT(ISNUMBER('Price History'!X131)),NOT(ISNUMBER('Price History'!X130)),'Price History'!X130=0),"",'Price History'!X131/'Price History'!X130-1),"")</f>
        <v>1.0085030650583304E-2</v>
      </c>
      <c r="AR130" s="142">
        <f>IFERROR(IF(OR(NOT(ISNUMBER('Price History'!Y131)),NOT(ISNUMBER('Price History'!Y130)),'Price History'!Y130=0),"",'Price History'!Y131/'Price History'!Y130-1),"")</f>
        <v>6.3863757317721426E-3</v>
      </c>
      <c r="AS130" s="142">
        <f>IFERROR(IF(OR(NOT(ISNUMBER('Price History'!Z131)),NOT(ISNUMBER('Price History'!Z130)),'Price History'!Z130=0),"",'Price History'!Z131/'Price History'!Z130-1),"")</f>
        <v>-2.7754243477754459E-3</v>
      </c>
      <c r="AT130" s="142">
        <f>IFERROR(IF(OR(NOT(ISNUMBER('Price History'!AA131)),NOT(ISNUMBER('Price History'!AA130)),'Price History'!AA130=0),"",'Price History'!AA131/'Price History'!AA130-1),"")</f>
        <v>0.22333799415278999</v>
      </c>
    </row>
    <row r="131" spans="1:46" ht="15" customHeight="1" x14ac:dyDescent="0.35">
      <c r="A131" s="140">
        <f>IF('Price History'!A132="","",'Price History'!A132)</f>
        <v>46087</v>
      </c>
      <c r="B131" s="141">
        <f>IFERROR(IF(OR(NOT(ISNUMBER('Price History'!B132)),NOT(ISNUMBER('Price History'!B131)),'Price History'!B131=0),"",'Price History'!B132/'Price History'!B131-1),"")</f>
        <v>8.0827712358522819E-2</v>
      </c>
      <c r="C131" s="141">
        <f>IFERROR(IF(OR(NOT(ISNUMBER('Price History'!C132)),NOT(ISNUMBER('Price History'!C131)),'Price History'!C131=0),"",'Price History'!C132/'Price History'!C131-1),"")</f>
        <v>-4.5692883895132042E-3</v>
      </c>
      <c r="D131" s="141">
        <f>IFERROR(IF(OR(NOT(ISNUMBER('Price History'!D132)),NOT(ISNUMBER('Price History'!D131)),'Price History'!D131=0),"",'Price History'!D132/'Price History'!D131-1),"")</f>
        <v>-0.10875595802231708</v>
      </c>
      <c r="E131" s="141">
        <f>IFERROR(IF(OR(NOT(ISNUMBER('Price History'!E132)),NOT(ISNUMBER('Price History'!E131)),'Price History'!E131=0),"",'Price History'!E132/'Price History'!E131-1),"")</f>
        <v>3.4203901825047289E-2</v>
      </c>
      <c r="F131" s="141">
        <f>IFERROR(IF(OR(NOT(ISNUMBER('Price History'!F132)),NOT(ISNUMBER('Price History'!F131)),'Price History'!F131=0),"",'Price History'!F132/'Price History'!F131-1),"")</f>
        <v>0.15322580645161299</v>
      </c>
      <c r="G131" s="141">
        <f>IFERROR(IF(OR(NOT(ISNUMBER('Price History'!G132)),NOT(ISNUMBER('Price History'!G131)),'Price History'!G131=0),"",'Price History'!G132/'Price History'!G131-1),"")</f>
        <v>-0.11808797422578743</v>
      </c>
      <c r="H131" s="141">
        <f>IFERROR(IF(OR(NOT(ISNUMBER('Price History'!H132)),NOT(ISNUMBER('Price History'!H131)),'Price History'!H131=0),"",'Price History'!H132/'Price History'!H131-1),"")</f>
        <v>-0.10200664838764473</v>
      </c>
      <c r="I131" s="141">
        <f>IFERROR(IF(OR(NOT(ISNUMBER('Price History'!I132)),NOT(ISNUMBER('Price History'!I131)),'Price History'!I131=0),"",'Price History'!I132/'Price History'!I131-1),"")</f>
        <v>3.5071840705962476E-3</v>
      </c>
      <c r="J131" s="141">
        <f>IFERROR(IF(OR(NOT(ISNUMBER('Price History'!J132)),NOT(ISNUMBER('Price History'!J131)),'Price History'!J131=0),"",'Price History'!J132/'Price History'!J131-1),"")</f>
        <v>-5.634914937908253E-2</v>
      </c>
      <c r="K131" s="141">
        <f>IFERROR(IF(OR(NOT(ISNUMBER('Price History'!K132)),NOT(ISNUMBER('Price History'!K131)),'Price History'!K131=0),"",'Price History'!K132/'Price History'!K131-1),"")</f>
        <v>0.14556454552081055</v>
      </c>
      <c r="L131" s="141">
        <f>IFERROR(IF(OR(NOT(ISNUMBER('Price History'!L132)),NOT(ISNUMBER('Price History'!L131)),'Price History'!L131=0),"",'Price History'!L132/'Price History'!L131-1),"")</f>
        <v>-9.5275251574019282E-2</v>
      </c>
      <c r="M131" s="141">
        <f>IFERROR(IF(OR(NOT(ISNUMBER('Price History'!M132)),NOT(ISNUMBER('Price History'!M131)),'Price History'!M131=0),"",'Price History'!M132/'Price History'!M131-1),"")</f>
        <v>-5.1431039221074948E-2</v>
      </c>
      <c r="N131" s="141">
        <f>IFERROR(IF(OR(NOT(ISNUMBER('Price History'!N132)),NOT(ISNUMBER('Price History'!N131)),'Price History'!N131=0),"",'Price History'!N132/'Price History'!N131-1),"")</f>
        <v>-8.0792222691866367E-2</v>
      </c>
      <c r="O131" s="141">
        <f>IFERROR(IF(OR(NOT(ISNUMBER('Price History'!O132)),NOT(ISNUMBER('Price History'!O131)),'Price History'!O131=0),"",'Price History'!O132/'Price History'!O131-1),"")</f>
        <v>-3.8334375837726697E-2</v>
      </c>
      <c r="P131" s="141">
        <f>IFERROR(IF(OR(NOT(ISNUMBER('Price History'!P132)),NOT(ISNUMBER('Price History'!P131)),'Price History'!P131=0),"",'Price History'!P132/'Price History'!P131-1),"")</f>
        <v>-2.4701873935264129E-2</v>
      </c>
      <c r="Q131" s="141">
        <f>IFERROR(IF(OR(NOT(ISNUMBER('Price History'!Q132)),NOT(ISNUMBER('Price History'!Q131)),'Price History'!Q131=0),"",'Price History'!Q132/'Price History'!Q131-1),"")</f>
        <v>-1.1298583910816506E-2</v>
      </c>
      <c r="R131" s="141">
        <f>IFERROR(IF(OR(NOT(ISNUMBER('Price History'!R132)),NOT(ISNUMBER('Price History'!R131)),'Price History'!R131=0),"",'Price History'!R132/'Price History'!R131-1),"")</f>
        <v>-1.1962616822429939E-2</v>
      </c>
      <c r="S131" s="141">
        <f>IFERROR(IF(OR(NOT(ISNUMBER('Price History'!S132)),NOT(ISNUMBER('Price History'!S131)),'Price History'!S131=0),"",'Price History'!S132/'Price History'!S131-1),"")</f>
        <v>-1.0357022566520713E-2</v>
      </c>
      <c r="T131" s="141">
        <f>IFERROR(IF(OR(NOT(ISNUMBER('Price History'!T132)),NOT(ISNUMBER('Price History'!T131)),'Price History'!T131=0),"",'Price History'!T132/'Price History'!T131-1),"")</f>
        <v>-9.1994032819492366E-3</v>
      </c>
      <c r="U131" s="141">
        <f>IFERROR(IF(OR(NOT(ISNUMBER('Price History'!U132)),NOT(ISNUMBER('Price History'!U131)),'Price History'!U131=0),"",'Price History'!U132/'Price History'!U131-1),"")</f>
        <v>-2.0316027088036148E-2</v>
      </c>
      <c r="V131" s="142">
        <f>IFERROR(IF(OR(NOT(ISNUMBER('Price History'!V132)),NOT(ISNUMBER('Price History'!V131)),'Price History'!V131=0),"",'Price History'!V132/'Price History'!V131-1),"")</f>
        <v>-8.6863808836902257E-3</v>
      </c>
      <c r="W131" s="143">
        <f>IFERROR('Price History'!B3+(INDEX('Price History'!B:B,MATCH(9.99E+307,'Returns (Calc)'!$A:$A)+1)-'Price History'!B3)*(ROW()-3)/(MATCH(9.99E+307,'Returns (Calc)'!$A:$A)-3),"")</f>
        <v>292.98113924050631</v>
      </c>
      <c r="X131" s="143">
        <f>IFERROR('Price History'!C3+(INDEX('Price History'!C:C,MATCH(9.99E+307,'Returns (Calc)'!$A:$A)+1)-'Price History'!C3)*(ROW()-3)/(MATCH(9.99E+307,'Returns (Calc)'!$A:$A)-3),"")</f>
        <v>176.74810126582278</v>
      </c>
      <c r="Y131" s="143">
        <f>IFERROR('Price History'!D3+(INDEX('Price History'!D:D,MATCH(9.99E+307,'Returns (Calc)'!$A:$A)+1)-'Price History'!D3)*(ROW()-3)/(MATCH(9.99E+307,'Returns (Calc)'!$A:$A)-3),"")</f>
        <v>1623.2656962025317</v>
      </c>
      <c r="Z131" s="143">
        <f>IFERROR('Price History'!E3+(INDEX('Price History'!E:E,MATCH(9.99E+307,'Returns (Calc)'!$A:$A)+1)-'Price History'!E3)*(ROW()-3)/(MATCH(9.99E+307,'Returns (Calc)'!$A:$A)-3),"")</f>
        <v>303.2779746835443</v>
      </c>
      <c r="AA131" s="143">
        <f>IFERROR('Price History'!F3+(INDEX('Price History'!F:F,MATCH(9.99E+307,'Returns (Calc)'!$A:$A)+1)-'Price History'!F3)*(ROW()-3)/(MATCH(9.99E+307,'Returns (Calc)'!$A:$A)-3),"")</f>
        <v>226.61974683544304</v>
      </c>
      <c r="AB131" s="143">
        <f>IFERROR('Price History'!G3+(INDEX('Price History'!G:G,MATCH(9.99E+307,'Returns (Calc)'!$A:$A)+1)-'Price History'!G3)*(ROW()-3)/(MATCH(9.99E+307,'Returns (Calc)'!$A:$A)-3),"")</f>
        <v>176.0279746835443</v>
      </c>
      <c r="AC131" s="143">
        <f>IFERROR('Price History'!H3+(INDEX('Price History'!H:H,MATCH(9.99E+307,'Returns (Calc)'!$A:$A)+1)-'Price History'!H3)*(ROW()-3)/(MATCH(9.99E+307,'Returns (Calc)'!$A:$A)-3),"")</f>
        <v>883.91911392405075</v>
      </c>
      <c r="AD131" s="143">
        <f>IFERROR('Price History'!I3+(INDEX('Price History'!I:I,MATCH(9.99E+307,'Returns (Calc)'!$A:$A)+1)-'Price History'!I3)*(ROW()-3)/(MATCH(9.99E+307,'Returns (Calc)'!$A:$A)-3),"")</f>
        <v>197.83987341772152</v>
      </c>
      <c r="AE131" s="143">
        <f>IFERROR('Price History'!J3+(INDEX('Price History'!J:J,MATCH(9.99E+307,'Returns (Calc)'!$A:$A)+1)-'Price History'!J3)*(ROW()-3)/(MATCH(9.99E+307,'Returns (Calc)'!$A:$A)-3),"")</f>
        <v>125.66886075949367</v>
      </c>
      <c r="AF131" s="143">
        <f>IFERROR('Price History'!K3+(INDEX('Price History'!K:K,MATCH(9.99E+307,'Returns (Calc)'!$A:$A)+1)-'Price History'!K3)*(ROW()-3)/(MATCH(9.99E+307,'Returns (Calc)'!$A:$A)-3),"")</f>
        <v>155.82215189873418</v>
      </c>
      <c r="AG131" s="143">
        <f>IFERROR('Price History'!L3+(INDEX('Price History'!L:L,MATCH(9.99E+307,'Returns (Calc)'!$A:$A)+1)-'Price History'!L3)*(ROW()-3)/(MATCH(9.99E+307,'Returns (Calc)'!$A:$A)-3),"")</f>
        <v>399.29329113924047</v>
      </c>
      <c r="AH131" s="143">
        <f>IFERROR('Price History'!M3+(INDEX('Price History'!M:M,MATCH(9.99E+307,'Returns (Calc)'!$A:$A)+1)-'Price History'!M3)*(ROW()-3)/(MATCH(9.99E+307,'Returns (Calc)'!$A:$A)-3),"")</f>
        <v>211.51670886075951</v>
      </c>
      <c r="AI131" s="143">
        <f>IFERROR('Price History'!N3+(INDEX('Price History'!N:N,MATCH(9.99E+307,'Returns (Calc)'!$A:$A)+1)-'Price History'!N3)*(ROW()-3)/(MATCH(9.99E+307,'Returns (Calc)'!$A:$A)-3),"")</f>
        <v>475.14202531645572</v>
      </c>
      <c r="AJ131" s="143">
        <f>IFERROR('Price History'!O3+(INDEX('Price History'!O:O,MATCH(9.99E+307,'Returns (Calc)'!$A:$A)+1)-'Price History'!O3)*(ROW()-3)/(MATCH(9.99E+307,'Returns (Calc)'!$A:$A)-3),"")</f>
        <v>111.53886075949367</v>
      </c>
      <c r="AK131" s="143">
        <f>IFERROR('Price History'!Q3+(INDEX('Price History'!Q:Q,MATCH(9.99E+307,'Returns (Calc)'!$A:$A)+1)-'Price History'!Q3)*(ROW()-3)/(MATCH(9.99E+307,'Returns (Calc)'!$A:$A)-3),"")</f>
        <v>56.238987341772152</v>
      </c>
      <c r="AL131" s="143">
        <f>IFERROR('Price History'!R3+(INDEX('Price History'!R:R,MATCH(9.99E+307,'Returns (Calc)'!$A:$A)+1)-'Price History'!R3)*(ROW()-3)/(MATCH(9.99E+307,'Returns (Calc)'!$A:$A)-3),"")</f>
        <v>55.996962025316449</v>
      </c>
      <c r="AM131" s="143">
        <f>IFERROR('Price History'!S3+(INDEX('Price History'!S:S,MATCH(9.99E+307,'Returns (Calc)'!$A:$A)+1)-'Price History'!S3)*(ROW()-3)/(MATCH(9.99E+307,'Returns (Calc)'!$A:$A)-3),"")</f>
        <v>135.0781012658228</v>
      </c>
      <c r="AN131" s="143">
        <f>IFERROR('Price History'!T3+(INDEX('Price History'!T:T,MATCH(9.99E+307,'Returns (Calc)'!$A:$A)+1)-'Price History'!T3)*(ROW()-3)/(MATCH(9.99E+307,'Returns (Calc)'!$A:$A)-3),"")</f>
        <v>46.77316455696203</v>
      </c>
      <c r="AO131" s="144">
        <f>IFERROR('Price History'!V3+(INDEX('Price History'!V:V,MATCH(9.99E+307,'Returns (Calc)'!$A:$A)+1)-'Price History'!V3)*(ROW()-3)/(MATCH(9.99E+307,'Returns (Calc)'!$A:$A)-3),"")</f>
        <v>336.9201265822785</v>
      </c>
      <c r="AP131" s="142">
        <f>IFERROR(IF(OR(NOT(ISNUMBER('Price History'!W132)),NOT(ISNUMBER('Price History'!W131)),'Price History'!W131=0),"",'Price History'!W132/'Price History'!W131-1),"")</f>
        <v>-2.7830653101411085E-2</v>
      </c>
      <c r="AQ131" s="142">
        <f>IFERROR(IF(OR(NOT(ISNUMBER('Price History'!X132)),NOT(ISNUMBER('Price History'!X131)),'Price History'!X131=0),"",'Price History'!X132/'Price History'!X131-1),"")</f>
        <v>9.9843382928739288E-3</v>
      </c>
      <c r="AR131" s="142">
        <f>IFERROR(IF(OR(NOT(ISNUMBER('Price History'!Y132)),NOT(ISNUMBER('Price History'!Y131)),'Price History'!Y131=0),"",'Price History'!Y132/'Price History'!Y131-1),"")</f>
        <v>-2.414947999294903E-2</v>
      </c>
      <c r="AS131" s="142">
        <f>IFERROR(IF(OR(NOT(ISNUMBER('Price History'!Z132)),NOT(ISNUMBER('Price History'!Z131)),'Price History'!Z131=0),"",'Price History'!Z132/'Price History'!Z131-1),"")</f>
        <v>-5.5955938360578772E-2</v>
      </c>
      <c r="AT131" s="142">
        <f>IFERROR(IF(OR(NOT(ISNUMBER('Price History'!AA132)),NOT(ISNUMBER('Price History'!AA131)),'Price History'!AA131=0),"",'Price History'!AA132/'Price History'!AA131-1),"")</f>
        <v>2.8886118038237818E-2</v>
      </c>
    </row>
    <row r="132" spans="1:46" ht="15" customHeight="1" x14ac:dyDescent="0.35">
      <c r="A132" s="140">
        <f>IF('Price History'!A133="","",'Price History'!A133)</f>
        <v>46094</v>
      </c>
      <c r="B132" s="141">
        <f>IFERROR(IF(OR(NOT(ISNUMBER('Price History'!B133)),NOT(ISNUMBER('Price History'!B132)),'Price History'!B132=0),"",'Price History'!B133/'Price History'!B132-1),"")</f>
        <v>-0.12093646428319582</v>
      </c>
      <c r="C132" s="141">
        <f>IFERROR(IF(OR(NOT(ISNUMBER('Price History'!C133)),NOT(ISNUMBER('Price History'!C132)),'Price History'!C132=0),"",'Price History'!C133/'Price History'!C132-1),"")</f>
        <v>5.1170140717886614E-3</v>
      </c>
      <c r="D132" s="141">
        <f>IFERROR(IF(OR(NOT(ISNUMBER('Price History'!D133)),NOT(ISNUMBER('Price History'!D132)),'Price History'!D132=0),"",'Price History'!D133/'Price History'!D132-1),"")</f>
        <v>4.0905986090412405E-2</v>
      </c>
      <c r="E132" s="141">
        <f>IFERROR(IF(OR(NOT(ISNUMBER('Price History'!E133)),NOT(ISNUMBER('Price History'!E132)),'Price History'!E132=0),"",'Price History'!E133/'Price History'!E132-1),"")</f>
        <v>-2.519244226731987E-2</v>
      </c>
      <c r="F132" s="141">
        <f>IFERROR(IF(OR(NOT(ISNUMBER('Price History'!F133)),NOT(ISNUMBER('Price History'!F132)),'Price History'!F132=0),"",'Price History'!F133/'Price History'!F132-1),"")</f>
        <v>2.9743589743589816E-2</v>
      </c>
      <c r="G132" s="141">
        <f>IFERROR(IF(OR(NOT(ISNUMBER('Price History'!G133)),NOT(ISNUMBER('Price History'!G132)),'Price History'!G132=0),"",'Price History'!G133/'Price History'!G132-1),"")</f>
        <v>5.5095802579587128E-2</v>
      </c>
      <c r="H132" s="141">
        <f>IFERROR(IF(OR(NOT(ISNUMBER('Price History'!H133)),NOT(ISNUMBER('Price History'!H132)),'Price History'!H132=0),"",'Price History'!H133/'Price History'!H132-1),"")</f>
        <v>0.15077413602096801</v>
      </c>
      <c r="I132" s="141">
        <f>IFERROR(IF(OR(NOT(ISNUMBER('Price History'!I133)),NOT(ISNUMBER('Price History'!I132)),'Price History'!I132=0),"",'Price History'!I133/'Price History'!I132-1),"")</f>
        <v>1.3754227733934643E-2</v>
      </c>
      <c r="J132" s="141">
        <f>IFERROR(IF(OR(NOT(ISNUMBER('Price History'!J133)),NOT(ISNUMBER('Price History'!J132)),'Price History'!J132=0),"",'Price History'!J133/'Price History'!J132-1),"")</f>
        <v>-2.07667731629394E-2</v>
      </c>
      <c r="K132" s="141">
        <f>IFERROR(IF(OR(NOT(ISNUMBER('Price History'!K133)),NOT(ISNUMBER('Price History'!K132)),'Price History'!K132=0),"",'Price History'!K133/'Price History'!K132-1),"")</f>
        <v>-3.9513871214049479E-2</v>
      </c>
      <c r="L132" s="141">
        <f>IFERROR(IF(OR(NOT(ISNUMBER('Price History'!L133)),NOT(ISNUMBER('Price History'!L132)),'Price History'!L132=0),"",'Price History'!L133/'Price History'!L132-1),"")</f>
        <v>-1.7249070631969454E-3</v>
      </c>
      <c r="M132" s="141">
        <f>IFERROR(IF(OR(NOT(ISNUMBER('Price History'!M133)),NOT(ISNUMBER('Price History'!M132)),'Price History'!M132=0),"",'Price History'!M133/'Price History'!M132-1),"")</f>
        <v>7.0733827242249747E-2</v>
      </c>
      <c r="N132" s="141">
        <f>IFERROR(IF(OR(NOT(ISNUMBER('Price History'!N133)),NOT(ISNUMBER('Price History'!N132)),'Price History'!N132=0),"",'Price History'!N133/'Price History'!N132-1),"")</f>
        <v>2.7699314633558902E-2</v>
      </c>
      <c r="O132" s="141">
        <f>IFERROR(IF(OR(NOT(ISNUMBER('Price History'!O133)),NOT(ISNUMBER('Price History'!O132)),'Price History'!O132=0),"",'Price History'!O133/'Price History'!O132-1),"")</f>
        <v>-1.9141423527225476E-2</v>
      </c>
      <c r="P132" s="141">
        <f>IFERROR(IF(OR(NOT(ISNUMBER('Price History'!P133)),NOT(ISNUMBER('Price History'!P132)),'Price History'!P132=0),"",'Price History'!P133/'Price History'!P132-1),"")</f>
        <v>-1.2159892509237546E-2</v>
      </c>
      <c r="Q132" s="141">
        <f>IFERROR(IF(OR(NOT(ISNUMBER('Price History'!Q133)),NOT(ISNUMBER('Price History'!Q132)),'Price History'!Q132=0),"",'Price History'!Q133/'Price History'!Q132-1),"")</f>
        <v>-1.3408502209355411E-2</v>
      </c>
      <c r="R132" s="141">
        <f>IFERROR(IF(OR(NOT(ISNUMBER('Price History'!R133)),NOT(ISNUMBER('Price History'!R132)),'Price History'!R132=0),"",'Price History'!R133/'Price History'!R132-1),"")</f>
        <v>-5.107832009080493E-3</v>
      </c>
      <c r="S132" s="141">
        <f>IFERROR(IF(OR(NOT(ISNUMBER('Price History'!S133)),NOT(ISNUMBER('Price History'!S132)),'Price History'!S132=0),"",'Price History'!S133/'Price History'!S132-1),"")</f>
        <v>-1.7357270484131715E-2</v>
      </c>
      <c r="T132" s="141">
        <f>IFERROR(IF(OR(NOT(ISNUMBER('Price History'!T133)),NOT(ISNUMBER('Price History'!T132)),'Price History'!T132=0),"",'Price History'!T133/'Price History'!T132-1),"")</f>
        <v>-2.1580928481806705E-2</v>
      </c>
      <c r="U132" s="141">
        <f>IFERROR(IF(OR(NOT(ISNUMBER('Price History'!U133)),NOT(ISNUMBER('Price History'!U132)),'Price History'!U132=0),"",'Price History'!U133/'Price History'!U132-1),"")</f>
        <v>-1.0533245556286985E-2</v>
      </c>
      <c r="V132" s="142">
        <f>IFERROR(IF(OR(NOT(ISNUMBER('Price History'!V133)),NOT(ISNUMBER('Price History'!V132)),'Price History'!V132=0),"",'Price History'!V133/'Price History'!V132-1),"")</f>
        <v>-3.2202960900923672E-2</v>
      </c>
      <c r="W132" s="143">
        <f>IFERROR('Price History'!B3+(INDEX('Price History'!B:B,MATCH(9.99E+307,'Returns (Calc)'!$A:$A)+1)-'Price History'!B3)*(ROW()-3)/(MATCH(9.99E+307,'Returns (Calc)'!$A:$A)-3),"")</f>
        <v>291.1381012658228</v>
      </c>
      <c r="X132" s="143">
        <f>IFERROR('Price History'!C3+(INDEX('Price History'!C:C,MATCH(9.99E+307,'Returns (Calc)'!$A:$A)+1)-'Price History'!C3)*(ROW()-3)/(MATCH(9.99E+307,'Returns (Calc)'!$A:$A)-3),"")</f>
        <v>177.76816455696201</v>
      </c>
      <c r="Y132" s="143">
        <f>IFERROR('Price History'!D3+(INDEX('Price History'!D:D,MATCH(9.99E+307,'Returns (Calc)'!$A:$A)+1)-'Price History'!D3)*(ROW()-3)/(MATCH(9.99E+307,'Returns (Calc)'!$A:$A)-3),"")</f>
        <v>1631.4005063291138</v>
      </c>
      <c r="Z132" s="143">
        <f>IFERROR('Price History'!E3+(INDEX('Price History'!E:E,MATCH(9.99E+307,'Returns (Calc)'!$A:$A)+1)-'Price History'!E3)*(ROW()-3)/(MATCH(9.99E+307,'Returns (Calc)'!$A:$A)-3),"")</f>
        <v>305.00670886075949</v>
      </c>
      <c r="AA132" s="143">
        <f>IFERROR('Price History'!F3+(INDEX('Price History'!F:F,MATCH(9.99E+307,'Returns (Calc)'!$A:$A)+1)-'Price History'!F3)*(ROW()-3)/(MATCH(9.99E+307,'Returns (Calc)'!$A:$A)-3),"")</f>
        <v>228.06708860759494</v>
      </c>
      <c r="AB132" s="143">
        <f>IFERROR('Price History'!G3+(INDEX('Price History'!G:G,MATCH(9.99E+307,'Returns (Calc)'!$A:$A)+1)-'Price History'!G3)*(ROW()-3)/(MATCH(9.99E+307,'Returns (Calc)'!$A:$A)-3),"")</f>
        <v>177.0567088607595</v>
      </c>
      <c r="AC132" s="143">
        <f>IFERROR('Price History'!H3+(INDEX('Price History'!H:H,MATCH(9.99E+307,'Returns (Calc)'!$A:$A)+1)-'Price History'!H3)*(ROW()-3)/(MATCH(9.99E+307,'Returns (Calc)'!$A:$A)-3),"")</f>
        <v>890.28481012658233</v>
      </c>
      <c r="AD132" s="143">
        <f>IFERROR('Price History'!I3+(INDEX('Price History'!I:I,MATCH(9.99E+307,'Returns (Calc)'!$A:$A)+1)-'Price History'!I3)*(ROW()-3)/(MATCH(9.99E+307,'Returns (Calc)'!$A:$A)-3),"")</f>
        <v>199.04354430379746</v>
      </c>
      <c r="AE132" s="143">
        <f>IFERROR('Price History'!J3+(INDEX('Price History'!J:J,MATCH(9.99E+307,'Returns (Calc)'!$A:$A)+1)-'Price History'!J3)*(ROW()-3)/(MATCH(9.99E+307,'Returns (Calc)'!$A:$A)-3),"")</f>
        <v>125.77689873417721</v>
      </c>
      <c r="AF132" s="143">
        <f>IFERROR('Price History'!K3+(INDEX('Price History'!K:K,MATCH(9.99E+307,'Returns (Calc)'!$A:$A)+1)-'Price History'!K3)*(ROW()-3)/(MATCH(9.99E+307,'Returns (Calc)'!$A:$A)-3),"")</f>
        <v>156.91974683544302</v>
      </c>
      <c r="AG132" s="143">
        <f>IFERROR('Price History'!L3+(INDEX('Price History'!L:L,MATCH(9.99E+307,'Returns (Calc)'!$A:$A)+1)-'Price History'!L3)*(ROW()-3)/(MATCH(9.99E+307,'Returns (Calc)'!$A:$A)-3),"")</f>
        <v>401.74284810126579</v>
      </c>
      <c r="AH132" s="143">
        <f>IFERROR('Price History'!M3+(INDEX('Price History'!M:M,MATCH(9.99E+307,'Returns (Calc)'!$A:$A)+1)-'Price History'!M3)*(ROW()-3)/(MATCH(9.99E+307,'Returns (Calc)'!$A:$A)-3),"")</f>
        <v>212.87215189873419</v>
      </c>
      <c r="AI132" s="143">
        <f>IFERROR('Price History'!N3+(INDEX('Price History'!N:N,MATCH(9.99E+307,'Returns (Calc)'!$A:$A)+1)-'Price History'!N3)*(ROW()-3)/(MATCH(9.99E+307,'Returns (Calc)'!$A:$A)-3),"")</f>
        <v>476.12829113924056</v>
      </c>
      <c r="AJ132" s="143">
        <f>IFERROR('Price History'!O3+(INDEX('Price History'!O:O,MATCH(9.99E+307,'Returns (Calc)'!$A:$A)+1)-'Price History'!O3)*(ROW()-3)/(MATCH(9.99E+307,'Returns (Calc)'!$A:$A)-3),"")</f>
        <v>111.82189873417721</v>
      </c>
      <c r="AK132" s="143">
        <f>IFERROR('Price History'!Q3+(INDEX('Price History'!Q:Q,MATCH(9.99E+307,'Returns (Calc)'!$A:$A)+1)-'Price History'!Q3)*(ROW()-3)/(MATCH(9.99E+307,'Returns (Calc)'!$A:$A)-3),"")</f>
        <v>56.678354430379748</v>
      </c>
      <c r="AL132" s="143">
        <f>IFERROR('Price History'!R3+(INDEX('Price History'!R:R,MATCH(9.99E+307,'Returns (Calc)'!$A:$A)+1)-'Price History'!R3)*(ROW()-3)/(MATCH(9.99E+307,'Returns (Calc)'!$A:$A)-3),"")</f>
        <v>56.165063291139234</v>
      </c>
      <c r="AM132" s="143">
        <f>IFERROR('Price History'!S3+(INDEX('Price History'!S:S,MATCH(9.99E+307,'Returns (Calc)'!$A:$A)+1)-'Price History'!S3)*(ROW()-3)/(MATCH(9.99E+307,'Returns (Calc)'!$A:$A)-3),"")</f>
        <v>135.68316455696203</v>
      </c>
      <c r="AN132" s="143">
        <f>IFERROR('Price History'!T3+(INDEX('Price History'!T:T,MATCH(9.99E+307,'Returns (Calc)'!$A:$A)+1)-'Price History'!T3)*(ROW()-3)/(MATCH(9.99E+307,'Returns (Calc)'!$A:$A)-3),"")</f>
        <v>46.94139240506329</v>
      </c>
      <c r="AO132" s="144">
        <f>IFERROR('Price History'!V3+(INDEX('Price History'!V:V,MATCH(9.99E+307,'Returns (Calc)'!$A:$A)+1)-'Price History'!V3)*(ROW()-3)/(MATCH(9.99E+307,'Returns (Calc)'!$A:$A)-3),"")</f>
        <v>337.71145569620256</v>
      </c>
      <c r="AP132" s="142">
        <f>IFERROR(IF(OR(NOT(ISNUMBER('Price History'!W133)),NOT(ISNUMBER('Price History'!W132)),'Price History'!W132=0),"",'Price History'!W133/'Price History'!W132-1),"")</f>
        <v>-1.5326446559989271E-2</v>
      </c>
      <c r="AQ132" s="142">
        <f>IFERROR(IF(OR(NOT(ISNUMBER('Price History'!X133)),NOT(ISNUMBER('Price History'!X132)),'Price History'!X132=0),"",'Price History'!X133/'Price History'!X132-1),"")</f>
        <v>-4.2643923240939241E-3</v>
      </c>
      <c r="AR132" s="142">
        <f>IFERROR(IF(OR(NOT(ISNUMBER('Price History'!Y133)),NOT(ISNUMBER('Price History'!Y132)),'Price History'!Y132=0),"",'Price History'!Y133/'Price History'!Y132-1),"")</f>
        <v>-1.7160404624277481E-2</v>
      </c>
      <c r="AS132" s="142">
        <f>IFERROR(IF(OR(NOT(ISNUMBER('Price History'!Z133)),NOT(ISNUMBER('Price History'!Z132)),'Price History'!Z132=0),"",'Price History'!Z133/'Price History'!Z132-1),"")</f>
        <v>-7.1127110228401236E-2</v>
      </c>
      <c r="AT132" s="142">
        <f>IFERROR(IF(OR(NOT(ISNUMBER('Price History'!AA133)),NOT(ISNUMBER('Price History'!AA132)),'Price History'!AA132=0),"",'Price History'!AA133/'Price History'!AA132-1),"")</f>
        <v>-3.7467178347808439E-2</v>
      </c>
    </row>
    <row r="133" spans="1:46" ht="15" customHeight="1" x14ac:dyDescent="0.35">
      <c r="A133" s="140">
        <f>IF('Price History'!A134="","",'Price History'!A134)</f>
        <v>46101</v>
      </c>
      <c r="B133" s="141">
        <f>IFERROR(IF(OR(NOT(ISNUMBER('Price History'!B134)),NOT(ISNUMBER('Price History'!B133)),'Price History'!B133=0),"",'Price History'!B134/'Price History'!B133-1),"")</f>
        <v>-4.6927643189474955E-3</v>
      </c>
      <c r="C133" s="141">
        <f>IFERROR(IF(OR(NOT(ISNUMBER('Price History'!C134)),NOT(ISNUMBER('Price History'!C133)),'Price History'!C133=0),"",'Price History'!C134/'Price History'!C133-1),"")</f>
        <v>-1.7593771056374941E-2</v>
      </c>
      <c r="D133" s="141">
        <f>IFERROR(IF(OR(NOT(ISNUMBER('Price History'!D134)),NOT(ISNUMBER('Price History'!D133)),'Price History'!D133=0),"",'Price History'!D134/'Price History'!D133-1),"")</f>
        <v>-2.1133167290569799E-2</v>
      </c>
      <c r="E133" s="141">
        <f>IFERROR(IF(OR(NOT(ISNUMBER('Price History'!E134)),NOT(ISNUMBER('Price History'!E133)),'Price History'!E133=0),"",'Price History'!E134/'Price History'!E133-1),"")</f>
        <v>-3.6143450170105118E-2</v>
      </c>
      <c r="F133" s="141">
        <f>IFERROR(IF(OR(NOT(ISNUMBER('Price History'!F134)),NOT(ISNUMBER('Price History'!F133)),'Price History'!F133=0),"",'Price History'!F134/'Price History'!F133-1),"")</f>
        <v>-7.4157913799347996E-2</v>
      </c>
      <c r="G133" s="141">
        <f>IFERROR(IF(OR(NOT(ISNUMBER('Price History'!G134)),NOT(ISNUMBER('Price History'!G133)),'Price History'!G133=0),"",'Price History'!G134/'Price History'!G133-1),"")</f>
        <v>5.6458451102317619E-2</v>
      </c>
      <c r="H133" s="141">
        <f>IFERROR(IF(OR(NOT(ISNUMBER('Price History'!H134)),NOT(ISNUMBER('Price History'!H133)),'Price History'!H133=0),"",'Price History'!H134/'Price History'!H133-1),"")</f>
        <v>-7.5841179647325729E-3</v>
      </c>
      <c r="I133" s="141">
        <f>IFERROR(IF(OR(NOT(ISNUMBER('Price History'!I134)),NOT(ISNUMBER('Price History'!I133)),'Price History'!I133=0),"",'Price History'!I134/'Price History'!I133-1),"")</f>
        <v>-4.18705516014235E-2</v>
      </c>
      <c r="J133" s="141">
        <f>IFERROR(IF(OR(NOT(ISNUMBER('Price History'!J134)),NOT(ISNUMBER('Price History'!J133)),'Price History'!J133=0),"",'Price History'!J134/'Price History'!J133-1),"")</f>
        <v>-2.0508040083896395E-2</v>
      </c>
      <c r="K133" s="141">
        <f>IFERROR(IF(OR(NOT(ISNUMBER('Price History'!K134)),NOT(ISNUMBER('Price History'!K133)),'Price History'!K133=0),"",'Price History'!K134/'Price History'!K133-1),"")</f>
        <v>-1.7886717456110368E-3</v>
      </c>
      <c r="L133" s="141">
        <f>IFERROR(IF(OR(NOT(ISNUMBER('Price History'!L134)),NOT(ISNUMBER('Price History'!L133)),'Price History'!L133=0),"",'Price History'!L134/'Price History'!L133-1),"")</f>
        <v>-2.4071260464146427E-2</v>
      </c>
      <c r="M133" s="141">
        <f>IFERROR(IF(OR(NOT(ISNUMBER('Price History'!M134)),NOT(ISNUMBER('Price History'!M133)),'Price History'!M133=0),"",'Price History'!M134/'Price History'!M133-1),"")</f>
        <v>-1.1364514882102772E-2</v>
      </c>
      <c r="N133" s="141">
        <f>IFERROR(IF(OR(NOT(ISNUMBER('Price History'!N134)),NOT(ISNUMBER('Price History'!N133)),'Price History'!N133=0),"",'Price History'!N134/'Price History'!N133-1),"")</f>
        <v>-3.2684194826777979E-2</v>
      </c>
      <c r="O133" s="141">
        <f>IFERROR(IF(OR(NOT(ISNUMBER('Price History'!O134)),NOT(ISNUMBER('Price History'!O133)),'Price History'!O133=0),"",'Price History'!O134/'Price History'!O133-1),"")</f>
        <v>-1.9893899204245225E-3</v>
      </c>
      <c r="P133" s="141">
        <f>IFERROR(IF(OR(NOT(ISNUMBER('Price History'!P134)),NOT(ISNUMBER('Price History'!P133)),'Price History'!P133=0),"",'Price History'!P134/'Price History'!P133-1),"")</f>
        <v>-2.3394994559303606E-2</v>
      </c>
      <c r="Q133" s="141">
        <f>IFERROR(IF(OR(NOT(ISNUMBER('Price History'!Q134)),NOT(ISNUMBER('Price History'!Q133)),'Price History'!Q133=0),"",'Price History'!Q134/'Price History'!Q133-1),"")</f>
        <v>-1.1119691119691133E-2</v>
      </c>
      <c r="R133" s="141">
        <f>IFERROR(IF(OR(NOT(ISNUMBER('Price History'!R134)),NOT(ISNUMBER('Price History'!R133)),'Price History'!R133=0),"",'Price History'!R134/'Price History'!R133-1),"")</f>
        <v>-1.4071116181783694E-2</v>
      </c>
      <c r="S133" s="141">
        <f>IFERROR(IF(OR(NOT(ISNUMBER('Price History'!S134)),NOT(ISNUMBER('Price History'!S133)),'Price History'!S133=0),"",'Price History'!S134/'Price History'!S133-1),"")</f>
        <v>-2.0694432418391195E-2</v>
      </c>
      <c r="T133" s="141">
        <f>IFERROR(IF(OR(NOT(ISNUMBER('Price History'!T134)),NOT(ISNUMBER('Price History'!T133)),'Price History'!T133=0),"",'Price History'!T134/'Price History'!T133-1),"")</f>
        <v>1.0259040779687645E-3</v>
      </c>
      <c r="U133" s="141">
        <f>IFERROR(IF(OR(NOT(ISNUMBER('Price History'!U134)),NOT(ISNUMBER('Price History'!U133)),'Price History'!U133=0),"",'Price History'!U134/'Price History'!U133-1),"")</f>
        <v>-1.3306719893546148E-2</v>
      </c>
      <c r="V133" s="142">
        <f>IFERROR(IF(OR(NOT(ISNUMBER('Price History'!V134)),NOT(ISNUMBER('Price History'!V133)),'Price History'!V133=0),"",'Price History'!V134/'Price History'!V133-1),"")</f>
        <v>-1.7977381185853458E-2</v>
      </c>
      <c r="W133" s="143">
        <f>IFERROR('Price History'!B3+(INDEX('Price History'!B:B,MATCH(9.99E+307,'Returns (Calc)'!$A:$A)+1)-'Price History'!B3)*(ROW()-3)/(MATCH(9.99E+307,'Returns (Calc)'!$A:$A)-3),"")</f>
        <v>289.29506329113923</v>
      </c>
      <c r="X133" s="143">
        <f>IFERROR('Price History'!C3+(INDEX('Price History'!C:C,MATCH(9.99E+307,'Returns (Calc)'!$A:$A)+1)-'Price History'!C3)*(ROW()-3)/(MATCH(9.99E+307,'Returns (Calc)'!$A:$A)-3),"")</f>
        <v>178.78822784810126</v>
      </c>
      <c r="Y133" s="143">
        <f>IFERROR('Price History'!D3+(INDEX('Price History'!D:D,MATCH(9.99E+307,'Returns (Calc)'!$A:$A)+1)-'Price History'!D3)*(ROW()-3)/(MATCH(9.99E+307,'Returns (Calc)'!$A:$A)-3),"")</f>
        <v>1639.5353164556961</v>
      </c>
      <c r="Z133" s="143">
        <f>IFERROR('Price History'!E3+(INDEX('Price History'!E:E,MATCH(9.99E+307,'Returns (Calc)'!$A:$A)+1)-'Price History'!E3)*(ROW()-3)/(MATCH(9.99E+307,'Returns (Calc)'!$A:$A)-3),"")</f>
        <v>306.73544303797468</v>
      </c>
      <c r="AA133" s="143">
        <f>IFERROR('Price History'!F3+(INDEX('Price History'!F:F,MATCH(9.99E+307,'Returns (Calc)'!$A:$A)+1)-'Price History'!F3)*(ROW()-3)/(MATCH(9.99E+307,'Returns (Calc)'!$A:$A)-3),"")</f>
        <v>229.51443037974684</v>
      </c>
      <c r="AB133" s="143">
        <f>IFERROR('Price History'!G3+(INDEX('Price History'!G:G,MATCH(9.99E+307,'Returns (Calc)'!$A:$A)+1)-'Price History'!G3)*(ROW()-3)/(MATCH(9.99E+307,'Returns (Calc)'!$A:$A)-3),"")</f>
        <v>178.08544303797467</v>
      </c>
      <c r="AC133" s="143">
        <f>IFERROR('Price History'!H3+(INDEX('Price History'!H:H,MATCH(9.99E+307,'Returns (Calc)'!$A:$A)+1)-'Price History'!H3)*(ROW()-3)/(MATCH(9.99E+307,'Returns (Calc)'!$A:$A)-3),"")</f>
        <v>896.65050632911402</v>
      </c>
      <c r="AD133" s="143">
        <f>IFERROR('Price History'!I3+(INDEX('Price History'!I:I,MATCH(9.99E+307,'Returns (Calc)'!$A:$A)+1)-'Price History'!I3)*(ROW()-3)/(MATCH(9.99E+307,'Returns (Calc)'!$A:$A)-3),"")</f>
        <v>200.2472151898734</v>
      </c>
      <c r="AE133" s="143">
        <f>IFERROR('Price History'!J3+(INDEX('Price History'!J:J,MATCH(9.99E+307,'Returns (Calc)'!$A:$A)+1)-'Price History'!J3)*(ROW()-3)/(MATCH(9.99E+307,'Returns (Calc)'!$A:$A)-3),"")</f>
        <v>125.88493670886075</v>
      </c>
      <c r="AF133" s="143">
        <f>IFERROR('Price History'!K3+(INDEX('Price History'!K:K,MATCH(9.99E+307,'Returns (Calc)'!$A:$A)+1)-'Price History'!K3)*(ROW()-3)/(MATCH(9.99E+307,'Returns (Calc)'!$A:$A)-3),"")</f>
        <v>158.01734177215189</v>
      </c>
      <c r="AG133" s="143">
        <f>IFERROR('Price History'!L3+(INDEX('Price History'!L:L,MATCH(9.99E+307,'Returns (Calc)'!$A:$A)+1)-'Price History'!L3)*(ROW()-3)/(MATCH(9.99E+307,'Returns (Calc)'!$A:$A)-3),"")</f>
        <v>404.19240506329112</v>
      </c>
      <c r="AH133" s="143">
        <f>IFERROR('Price History'!M3+(INDEX('Price History'!M:M,MATCH(9.99E+307,'Returns (Calc)'!$A:$A)+1)-'Price History'!M3)*(ROW()-3)/(MATCH(9.99E+307,'Returns (Calc)'!$A:$A)-3),"")</f>
        <v>214.22759493670887</v>
      </c>
      <c r="AI133" s="143">
        <f>IFERROR('Price History'!N3+(INDEX('Price History'!N:N,MATCH(9.99E+307,'Returns (Calc)'!$A:$A)+1)-'Price History'!N3)*(ROW()-3)/(MATCH(9.99E+307,'Returns (Calc)'!$A:$A)-3),"")</f>
        <v>477.11455696202529</v>
      </c>
      <c r="AJ133" s="143">
        <f>IFERROR('Price History'!O3+(INDEX('Price History'!O:O,MATCH(9.99E+307,'Returns (Calc)'!$A:$A)+1)-'Price History'!O3)*(ROW()-3)/(MATCH(9.99E+307,'Returns (Calc)'!$A:$A)-3),"")</f>
        <v>112.10493670886075</v>
      </c>
      <c r="AK133" s="143">
        <f>IFERROR('Price History'!Q3+(INDEX('Price History'!Q:Q,MATCH(9.99E+307,'Returns (Calc)'!$A:$A)+1)-'Price History'!Q3)*(ROW()-3)/(MATCH(9.99E+307,'Returns (Calc)'!$A:$A)-3),"")</f>
        <v>57.117721518987345</v>
      </c>
      <c r="AL133" s="143">
        <f>IFERROR('Price History'!R3+(INDEX('Price History'!R:R,MATCH(9.99E+307,'Returns (Calc)'!$A:$A)+1)-'Price History'!R3)*(ROW()-3)/(MATCH(9.99E+307,'Returns (Calc)'!$A:$A)-3),"")</f>
        <v>56.333164556962025</v>
      </c>
      <c r="AM133" s="143">
        <f>IFERROR('Price History'!S3+(INDEX('Price History'!S:S,MATCH(9.99E+307,'Returns (Calc)'!$A:$A)+1)-'Price History'!S3)*(ROW()-3)/(MATCH(9.99E+307,'Returns (Calc)'!$A:$A)-3),"")</f>
        <v>136.28822784810126</v>
      </c>
      <c r="AN133" s="143">
        <f>IFERROR('Price History'!T3+(INDEX('Price History'!T:T,MATCH(9.99E+307,'Returns (Calc)'!$A:$A)+1)-'Price History'!T3)*(ROW()-3)/(MATCH(9.99E+307,'Returns (Calc)'!$A:$A)-3),"")</f>
        <v>47.109620253164557</v>
      </c>
      <c r="AO133" s="144">
        <f>IFERROR('Price History'!V3+(INDEX('Price History'!V:V,MATCH(9.99E+307,'Returns (Calc)'!$A:$A)+1)-'Price History'!V3)*(ROW()-3)/(MATCH(9.99E+307,'Returns (Calc)'!$A:$A)-3),"")</f>
        <v>338.50278481012663</v>
      </c>
      <c r="AP133" s="142">
        <f>IFERROR(IF(OR(NOT(ISNUMBER('Price History'!W134)),NOT(ISNUMBER('Price History'!W133)),'Price History'!W133=0),"",'Price History'!W134/'Price History'!W133-1),"")</f>
        <v>-1.6182117388919504E-2</v>
      </c>
      <c r="AQ133" s="142">
        <f>IFERROR(IF(OR(NOT(ISNUMBER('Price History'!X134)),NOT(ISNUMBER('Price History'!X133)),'Price History'!X133=0),"",'Price History'!X134/'Price History'!X133-1),"")</f>
        <v>1.031730582051793E-2</v>
      </c>
      <c r="AR133" s="142">
        <f>IFERROR(IF(OR(NOT(ISNUMBER('Price History'!Y134)),NOT(ISNUMBER('Price History'!Y133)),'Price History'!Y133=0),"",'Price History'!Y134/'Price History'!Y133-1),"")</f>
        <v>-1.7460025730564155E-2</v>
      </c>
      <c r="AS133" s="142">
        <f>IFERROR(IF(OR(NOT(ISNUMBER('Price History'!Z134)),NOT(ISNUMBER('Price History'!Z133)),'Price History'!Z133=0),"",'Price History'!Z134/'Price History'!Z133-1),"")</f>
        <v>-4.3064279032473562E-2</v>
      </c>
      <c r="AT133" s="142">
        <f>IFERROR(IF(OR(NOT(ISNUMBER('Price History'!AA134)),NOT(ISNUMBER('Price History'!AA133)),'Price History'!AA133=0),"",'Price History'!AA134/'Price History'!AA133-1),"")</f>
        <v>-3.6617353897807292E-2</v>
      </c>
    </row>
    <row r="134" spans="1:46" ht="15" customHeight="1" x14ac:dyDescent="0.35">
      <c r="A134" s="140">
        <f>IF('Price History'!A135="","",'Price History'!A135)</f>
        <v>46108</v>
      </c>
      <c r="B134" s="141">
        <f>IFERROR(IF(OR(NOT(ISNUMBER('Price History'!B135)),NOT(ISNUMBER('Price History'!B134)),'Price History'!B134=0),"",'Price History'!B135/'Price History'!B134-1),"")</f>
        <v>-5.3636913157364519E-2</v>
      </c>
      <c r="C134" s="141">
        <f>IFERROR(IF(OR(NOT(ISNUMBER('Price History'!C135)),NOT(ISNUMBER('Price History'!C134)),'Price History'!C134=0),"",'Price History'!C135/'Price History'!C134-1),"")</f>
        <v>-7.963725041914349E-2</v>
      </c>
      <c r="D134" s="141">
        <f>IFERROR(IF(OR(NOT(ISNUMBER('Price History'!D135)),NOT(ISNUMBER('Price History'!D134)),'Price History'!D134=0),"",'Price History'!D135/'Price History'!D134-1),"")</f>
        <v>-1.1221318219215681E-2</v>
      </c>
      <c r="E134" s="141">
        <f>IFERROR(IF(OR(NOT(ISNUMBER('Price History'!E135)),NOT(ISNUMBER('Price History'!E134)),'Price History'!E134=0),"",'Price History'!E135/'Price History'!E134-1),"")</f>
        <v>-2.962986949904467E-2</v>
      </c>
      <c r="F134" s="141">
        <f>IFERROR(IF(OR(NOT(ISNUMBER('Price History'!F135)),NOT(ISNUMBER('Price History'!F134)),'Price History'!F134=0),"",'Price History'!F135/'Price History'!F134-1),"")</f>
        <v>-9.6430317848410718E-2</v>
      </c>
      <c r="G134" s="141">
        <f>IFERROR(IF(OR(NOT(ISNUMBER('Price History'!G135)),NOT(ISNUMBER('Price History'!G134)),'Price History'!G134=0),"",'Price History'!G135/'Price History'!G134-1),"")</f>
        <v>-3.7054377633603086E-2</v>
      </c>
      <c r="H134" s="141">
        <f>IFERROR(IF(OR(NOT(ISNUMBER('Price History'!H135)),NOT(ISNUMBER('Price History'!H134)),'Price History'!H134=0),"",'Price History'!H135/'Price History'!H134-1),"")</f>
        <v>-0.15530213410306171</v>
      </c>
      <c r="I134" s="141">
        <f>IFERROR(IF(OR(NOT(ISNUMBER('Price History'!I135)),NOT(ISNUMBER('Price History'!I134)),'Price History'!I134=0),"",'Price History'!I135/'Price History'!I134-1),"")</f>
        <v>-3.0004062445592283E-2</v>
      </c>
      <c r="J134" s="141">
        <f>IFERROR(IF(OR(NOT(ISNUMBER('Price History'!J135)),NOT(ISNUMBER('Price History'!J134)),'Price History'!J134=0),"",'Price History'!J135/'Price History'!J134-1),"")</f>
        <v>6.8998334522958338E-3</v>
      </c>
      <c r="K134" s="141">
        <f>IFERROR(IF(OR(NOT(ISNUMBER('Price History'!K135)),NOT(ISNUMBER('Price History'!K134)),'Price History'!K134=0),"",'Price History'!K135/'Price History'!K134-1),"")</f>
        <v>-5.0570745951685758E-2</v>
      </c>
      <c r="L134" s="141">
        <f>IFERROR(IF(OR(NOT(ISNUMBER('Price History'!L135)),NOT(ISNUMBER('Price History'!L134)),'Price History'!L134=0),"",'Price History'!L135/'Price History'!L134-1),"")</f>
        <v>-7.6009646204094894E-3</v>
      </c>
      <c r="M134" s="141">
        <f>IFERROR(IF(OR(NOT(ISNUMBER('Price History'!M135)),NOT(ISNUMBER('Price History'!M134)),'Price History'!M134=0),"",'Price History'!M135/'Price History'!M134-1),"")</f>
        <v>-1.8767594619956141E-2</v>
      </c>
      <c r="N134" s="141">
        <f>IFERROR(IF(OR(NOT(ISNUMBER('Price History'!N135)),NOT(ISNUMBER('Price History'!N134)),'Price History'!N134=0),"",'Price History'!N135/'Price History'!N134-1),"")</f>
        <v>-4.6101321585903077E-2</v>
      </c>
      <c r="O134" s="141">
        <f>IFERROR(IF(OR(NOT(ISNUMBER('Price History'!O135)),NOT(ISNUMBER('Price History'!O134)),'Price History'!O134=0),"",'Price History'!O135/'Price History'!O134-1),"")</f>
        <v>2.9615567157095457E-2</v>
      </c>
      <c r="P134" s="141">
        <f>IFERROR(IF(OR(NOT(ISNUMBER('Price History'!P135)),NOT(ISNUMBER('Price History'!P134)),'Price History'!P134=0),"",'Price History'!P135/'Price History'!P134-1),"")</f>
        <v>2.4442896935933378E-2</v>
      </c>
      <c r="Q134" s="141">
        <f>IFERROR(IF(OR(NOT(ISNUMBER('Price History'!Q135)),NOT(ISNUMBER('Price History'!Q134)),'Price History'!Q134=0),"",'Price History'!Q135/'Price History'!Q134-1),"")</f>
        <v>-1.2806496954552604E-2</v>
      </c>
      <c r="R134" s="141">
        <f>IFERROR(IF(OR(NOT(ISNUMBER('Price History'!R135)),NOT(ISNUMBER('Price History'!R134)),'Price History'!R134=0),"",'Price History'!R135/'Price History'!R134-1),"")</f>
        <v>-2.9315332690453277E-2</v>
      </c>
      <c r="S134" s="141">
        <f>IFERROR(IF(OR(NOT(ISNUMBER('Price History'!S135)),NOT(ISNUMBER('Price History'!S134)),'Price History'!S134=0),"",'Price History'!S135/'Price History'!S134-1),"")</f>
        <v>-2.7763041556145063E-2</v>
      </c>
      <c r="T134" s="141">
        <f>IFERROR(IF(OR(NOT(ISNUMBER('Price History'!T135)),NOT(ISNUMBER('Price History'!T134)),'Price History'!T134=0),"",'Price History'!T135/'Price History'!T134-1),"")</f>
        <v>-1.2298232129131503E-2</v>
      </c>
      <c r="U134" s="141">
        <f>IFERROR(IF(OR(NOT(ISNUMBER('Price History'!U135)),NOT(ISNUMBER('Price History'!U134)),'Price History'!U134=0),"",'Price History'!U135/'Price History'!U134-1),"")</f>
        <v>1.0114632501685872E-2</v>
      </c>
      <c r="V134" s="142">
        <f>IFERROR(IF(OR(NOT(ISNUMBER('Price History'!V135)),NOT(ISNUMBER('Price History'!V134)),'Price History'!V134=0),"",'Price History'!V135/'Price History'!V134-1),"")</f>
        <v>-2.0236985754227055E-2</v>
      </c>
      <c r="W134" s="143">
        <f>IFERROR('Price History'!B3+(INDEX('Price History'!B:B,MATCH(9.99E+307,'Returns (Calc)'!$A:$A)+1)-'Price History'!B3)*(ROW()-3)/(MATCH(9.99E+307,'Returns (Calc)'!$A:$A)-3),"")</f>
        <v>287.45202531645566</v>
      </c>
      <c r="X134" s="143">
        <f>IFERROR('Price History'!C3+(INDEX('Price History'!C:C,MATCH(9.99E+307,'Returns (Calc)'!$A:$A)+1)-'Price History'!C3)*(ROW()-3)/(MATCH(9.99E+307,'Returns (Calc)'!$A:$A)-3),"")</f>
        <v>179.80829113924048</v>
      </c>
      <c r="Y134" s="143">
        <f>IFERROR('Price History'!D3+(INDEX('Price History'!D:D,MATCH(9.99E+307,'Returns (Calc)'!$A:$A)+1)-'Price History'!D3)*(ROW()-3)/(MATCH(9.99E+307,'Returns (Calc)'!$A:$A)-3),"")</f>
        <v>1647.6701265822785</v>
      </c>
      <c r="Z134" s="143">
        <f>IFERROR('Price History'!E3+(INDEX('Price History'!E:E,MATCH(9.99E+307,'Returns (Calc)'!$A:$A)+1)-'Price History'!E3)*(ROW()-3)/(MATCH(9.99E+307,'Returns (Calc)'!$A:$A)-3),"")</f>
        <v>308.46417721518986</v>
      </c>
      <c r="AA134" s="143">
        <f>IFERROR('Price History'!F3+(INDEX('Price History'!F:F,MATCH(9.99E+307,'Returns (Calc)'!$A:$A)+1)-'Price History'!F3)*(ROW()-3)/(MATCH(9.99E+307,'Returns (Calc)'!$A:$A)-3),"")</f>
        <v>230.96177215189874</v>
      </c>
      <c r="AB134" s="143">
        <f>IFERROR('Price History'!G3+(INDEX('Price History'!G:G,MATCH(9.99E+307,'Returns (Calc)'!$A:$A)+1)-'Price History'!G3)*(ROW()-3)/(MATCH(9.99E+307,'Returns (Calc)'!$A:$A)-3),"")</f>
        <v>179.11417721518984</v>
      </c>
      <c r="AC134" s="143">
        <f>IFERROR('Price History'!H3+(INDEX('Price History'!H:H,MATCH(9.99E+307,'Returns (Calc)'!$A:$A)+1)-'Price History'!H3)*(ROW()-3)/(MATCH(9.99E+307,'Returns (Calc)'!$A:$A)-3),"")</f>
        <v>903.01620253164572</v>
      </c>
      <c r="AD134" s="143">
        <f>IFERROR('Price History'!I3+(INDEX('Price History'!I:I,MATCH(9.99E+307,'Returns (Calc)'!$A:$A)+1)-'Price History'!I3)*(ROW()-3)/(MATCH(9.99E+307,'Returns (Calc)'!$A:$A)-3),"")</f>
        <v>201.45088607594937</v>
      </c>
      <c r="AE134" s="143">
        <f>IFERROR('Price History'!J3+(INDEX('Price History'!J:J,MATCH(9.99E+307,'Returns (Calc)'!$A:$A)+1)-'Price History'!J3)*(ROW()-3)/(MATCH(9.99E+307,'Returns (Calc)'!$A:$A)-3),"")</f>
        <v>125.9929746835443</v>
      </c>
      <c r="AF134" s="143">
        <f>IFERROR('Price History'!K3+(INDEX('Price History'!K:K,MATCH(9.99E+307,'Returns (Calc)'!$A:$A)+1)-'Price History'!K3)*(ROW()-3)/(MATCH(9.99E+307,'Returns (Calc)'!$A:$A)-3),"")</f>
        <v>159.11493670886074</v>
      </c>
      <c r="AG134" s="143">
        <f>IFERROR('Price History'!L3+(INDEX('Price History'!L:L,MATCH(9.99E+307,'Returns (Calc)'!$A:$A)+1)-'Price History'!L3)*(ROW()-3)/(MATCH(9.99E+307,'Returns (Calc)'!$A:$A)-3),"")</f>
        <v>406.64196202531639</v>
      </c>
      <c r="AH134" s="143">
        <f>IFERROR('Price History'!M3+(INDEX('Price History'!M:M,MATCH(9.99E+307,'Returns (Calc)'!$A:$A)+1)-'Price History'!M3)*(ROW()-3)/(MATCH(9.99E+307,'Returns (Calc)'!$A:$A)-3),"")</f>
        <v>215.58303797468355</v>
      </c>
      <c r="AI134" s="143">
        <f>IFERROR('Price History'!N3+(INDEX('Price History'!N:N,MATCH(9.99E+307,'Returns (Calc)'!$A:$A)+1)-'Price History'!N3)*(ROW()-3)/(MATCH(9.99E+307,'Returns (Calc)'!$A:$A)-3),"")</f>
        <v>478.10082278481013</v>
      </c>
      <c r="AJ134" s="143">
        <f>IFERROR('Price History'!O3+(INDEX('Price History'!O:O,MATCH(9.99E+307,'Returns (Calc)'!$A:$A)+1)-'Price History'!O3)*(ROW()-3)/(MATCH(9.99E+307,'Returns (Calc)'!$A:$A)-3),"")</f>
        <v>112.38797468354431</v>
      </c>
      <c r="AK134" s="143">
        <f>IFERROR('Price History'!Q3+(INDEX('Price History'!Q:Q,MATCH(9.99E+307,'Returns (Calc)'!$A:$A)+1)-'Price History'!Q3)*(ROW()-3)/(MATCH(9.99E+307,'Returns (Calc)'!$A:$A)-3),"")</f>
        <v>57.557088607594942</v>
      </c>
      <c r="AL134" s="143">
        <f>IFERROR('Price History'!R3+(INDEX('Price History'!R:R,MATCH(9.99E+307,'Returns (Calc)'!$A:$A)+1)-'Price History'!R3)*(ROW()-3)/(MATCH(9.99E+307,'Returns (Calc)'!$A:$A)-3),"")</f>
        <v>56.501265822784809</v>
      </c>
      <c r="AM134" s="143">
        <f>IFERROR('Price History'!S3+(INDEX('Price History'!S:S,MATCH(9.99E+307,'Returns (Calc)'!$A:$A)+1)-'Price History'!S3)*(ROW()-3)/(MATCH(9.99E+307,'Returns (Calc)'!$A:$A)-3),"")</f>
        <v>136.89329113924049</v>
      </c>
      <c r="AN134" s="143">
        <f>IFERROR('Price History'!T3+(INDEX('Price History'!T:T,MATCH(9.99E+307,'Returns (Calc)'!$A:$A)+1)-'Price History'!T3)*(ROW()-3)/(MATCH(9.99E+307,'Returns (Calc)'!$A:$A)-3),"")</f>
        <v>47.277848101265818</v>
      </c>
      <c r="AO134" s="144">
        <f>IFERROR('Price History'!V3+(INDEX('Price History'!V:V,MATCH(9.99E+307,'Returns (Calc)'!$A:$A)+1)-'Price History'!V3)*(ROW()-3)/(MATCH(9.99E+307,'Returns (Calc)'!$A:$A)-3),"")</f>
        <v>339.29411392405063</v>
      </c>
      <c r="AP134" s="142">
        <f>IFERROR(IF(OR(NOT(ISNUMBER('Price History'!W135)),NOT(ISNUMBER('Price History'!W134)),'Price History'!W134=0),"",'Price History'!W135/'Price History'!W134-1),"")</f>
        <v>3.6241984945637462E-3</v>
      </c>
      <c r="AQ134" s="142">
        <f>IFERROR(IF(OR(NOT(ISNUMBER('Price History'!X135)),NOT(ISNUMBER('Price History'!X134)),'Price History'!X134=0),"",'Price History'!X135/'Price History'!X134-1),"")</f>
        <v>2.6396917148362231E-2</v>
      </c>
      <c r="AR134" s="142">
        <f>IFERROR(IF(OR(NOT(ISNUMBER('Price History'!Y135)),NOT(ISNUMBER('Price History'!Y134)),'Price History'!Y134=0),"",'Price History'!Y135/'Price History'!Y134-1),"")</f>
        <v>-9.7268986157875714E-3</v>
      </c>
      <c r="AS134" s="142">
        <f>IFERROR(IF(OR(NOT(ISNUMBER('Price History'!Z135)),NOT(ISNUMBER('Price History'!Z134)),'Price History'!Z134=0),"",'Price History'!Z135/'Price History'!Z134-1),"")</f>
        <v>-1.386027999860362E-2</v>
      </c>
      <c r="AT134" s="142">
        <f>IFERROR(IF(OR(NOT(ISNUMBER('Price History'!AA135)),NOT(ISNUMBER('Price History'!AA134)),'Price History'!AA134=0),"",'Price History'!AA135/'Price History'!AA134-1),"")</f>
        <v>1.7534306251361542E-2</v>
      </c>
    </row>
    <row r="135" spans="1:46" ht="15" customHeight="1" x14ac:dyDescent="0.35">
      <c r="A135" s="140">
        <f>IF('Price History'!A136="","",'Price History'!A136)</f>
        <v>46115</v>
      </c>
      <c r="B135" s="141">
        <f>IFERROR(IF(OR(NOT(ISNUMBER('Price History'!B136)),NOT(ISNUMBER('Price History'!B135)),'Price History'!B135=0),"",'Price History'!B136/'Price History'!B135-1),"")</f>
        <v>3.4406404360415532E-2</v>
      </c>
      <c r="C135" s="141">
        <f>IFERROR(IF(OR(NOT(ISNUMBER('Price History'!C136)),NOT(ISNUMBER('Price History'!C135)),'Price History'!C135=0),"",'Price History'!C136/'Price History'!C135-1),"")</f>
        <v>4.8935994038254549E-2</v>
      </c>
      <c r="D135" s="141">
        <f>IFERROR(IF(OR(NOT(ISNUMBER('Price History'!D136)),NOT(ISNUMBER('Price History'!D135)),'Price History'!D135=0),"",'Price History'!D136/'Price History'!D135-1),"")</f>
        <v>1.1333256288763138E-2</v>
      </c>
      <c r="E135" s="141">
        <f>IFERROR(IF(OR(NOT(ISNUMBER('Price History'!E136)),NOT(ISNUMBER('Price History'!E135)),'Price History'!E135=0),"",'Price History'!E136/'Price History'!E135-1),"")</f>
        <v>4.6118934792765076E-2</v>
      </c>
      <c r="F135" s="141">
        <f>IFERROR(IF(OR(NOT(ISNUMBER('Price History'!F136)),NOT(ISNUMBER('Price History'!F135)),'Price History'!F135=0),"",'Price History'!F136/'Price History'!F135-1),"")</f>
        <v>7.9987011581339917E-2</v>
      </c>
      <c r="G135" s="141">
        <f>IFERROR(IF(OR(NOT(ISNUMBER('Price History'!G136)),NOT(ISNUMBER('Price History'!G135)),'Price History'!G135=0),"",'Price History'!G136/'Price History'!G135-1),"")</f>
        <v>5.1052302563033836E-2</v>
      </c>
      <c r="H135" s="141">
        <f>IFERROR(IF(OR(NOT(ISNUMBER('Price History'!H136)),NOT(ISNUMBER('Price History'!H135)),'Price History'!H135=0),"",'Price History'!H136/'Price History'!H135-1),"")</f>
        <v>2.5656825948126238E-2</v>
      </c>
      <c r="I135" s="141">
        <f>IFERROR(IF(OR(NOT(ISNUMBER('Price History'!I136)),NOT(ISNUMBER('Price History'!I135)),'Price History'!I135=0),"",'Price History'!I136/'Price History'!I135-1),"")</f>
        <v>5.8932631327031304E-2</v>
      </c>
      <c r="J135" s="141">
        <f>IFERROR(IF(OR(NOT(ISNUMBER('Price History'!J136)),NOT(ISNUMBER('Price History'!J135)),'Price History'!J135=0),"",'Price History'!J136/'Price History'!J135-1),"")</f>
        <v>3.7807183364839236E-2</v>
      </c>
      <c r="K135" s="141">
        <f>IFERROR(IF(OR(NOT(ISNUMBER('Price History'!K136)),NOT(ISNUMBER('Price History'!K135)),'Price History'!K135=0),"",'Price History'!K136/'Price History'!K135-1),"")</f>
        <v>3.7746400111841272E-2</v>
      </c>
      <c r="L135" s="141">
        <f>IFERROR(IF(OR(NOT(ISNUMBER('Price History'!L136)),NOT(ISNUMBER('Price History'!L135)),'Price History'!L135=0),"",'Price History'!L136/'Price History'!L135-1),"")</f>
        <v>3.7649953860350527E-2</v>
      </c>
      <c r="M135" s="141">
        <f>IFERROR(IF(OR(NOT(ISNUMBER('Price History'!M136)),NOT(ISNUMBER('Price History'!M135)),'Price History'!M135=0),"",'Price History'!M136/'Price History'!M135-1),"")</f>
        <v>4.0683774306662368E-2</v>
      </c>
      <c r="N135" s="141">
        <f>IFERROR(IF(OR(NOT(ISNUMBER('Price History'!N136)),NOT(ISNUMBER('Price History'!N135)),'Price History'!N135=0),"",'Price History'!N136/'Price History'!N135-1),"")</f>
        <v>1.3023298773870318E-2</v>
      </c>
      <c r="O135" s="141">
        <f>IFERROR(IF(OR(NOT(ISNUMBER('Price History'!O136)),NOT(ISNUMBER('Price History'!O135)),'Price History'!O135=0),"",'Price History'!O136/'Price History'!O135-1),"")</f>
        <v>2.0097722872683743E-2</v>
      </c>
      <c r="P135" s="141">
        <f>IFERROR(IF(OR(NOT(ISNUMBER('Price History'!P136)),NOT(ISNUMBER('Price History'!P135)),'Price History'!P135=0),"",'Price History'!P136/'Price History'!P135-1),"")</f>
        <v>1.4478961321460204E-2</v>
      </c>
      <c r="Q135" s="141">
        <f>IFERROR(IF(OR(NOT(ISNUMBER('Price History'!Q136)),NOT(ISNUMBER('Price History'!Q135)),'Price History'!Q135=0),"",'Price History'!Q136/'Price History'!Q135-1),"")</f>
        <v>1.1707008384749251E-2</v>
      </c>
      <c r="R135" s="141">
        <f>IFERROR(IF(OR(NOT(ISNUMBER('Price History'!R136)),NOT(ISNUMBER('Price History'!R135)),'Price History'!R135=0),"",'Price History'!R136/'Price History'!R135-1),"")</f>
        <v>3.7552155771905404E-2</v>
      </c>
      <c r="S135" s="141">
        <f>IFERROR(IF(OR(NOT(ISNUMBER('Price History'!S136)),NOT(ISNUMBER('Price History'!S135)),'Price History'!S135=0),"",'Price History'!S136/'Price History'!S135-1),"")</f>
        <v>4.0196435067297198E-2</v>
      </c>
      <c r="T135" s="141">
        <f>IFERROR(IF(OR(NOT(ISNUMBER('Price History'!T136)),NOT(ISNUMBER('Price History'!T135)),'Price History'!T135=0),"",'Price History'!T136/'Price History'!T135-1),"")</f>
        <v>2.8015564202334753E-2</v>
      </c>
      <c r="U135" s="141">
        <f>IFERROR(IF(OR(NOT(ISNUMBER('Price History'!U136)),NOT(ISNUMBER('Price History'!U135)),'Price History'!U135=0),"",'Price History'!U136/'Price History'!U135-1),"")</f>
        <v>4.0053404539384108E-3</v>
      </c>
      <c r="V135" s="142">
        <f>IFERROR(IF(OR(NOT(ISNUMBER('Price History'!V136)),NOT(ISNUMBER('Price History'!V135)),'Price History'!V135=0),"",'Price History'!V136/'Price History'!V135-1),"")</f>
        <v>1.7869275716809296E-2</v>
      </c>
      <c r="W135" s="143">
        <f>IFERROR('Price History'!B3+(INDEX('Price History'!B:B,MATCH(9.99E+307,'Returns (Calc)'!$A:$A)+1)-'Price History'!B3)*(ROW()-3)/(MATCH(9.99E+307,'Returns (Calc)'!$A:$A)-3),"")</f>
        <v>285.60898734177215</v>
      </c>
      <c r="X135" s="143">
        <f>IFERROR('Price History'!C3+(INDEX('Price History'!C:C,MATCH(9.99E+307,'Returns (Calc)'!$A:$A)+1)-'Price History'!C3)*(ROW()-3)/(MATCH(9.99E+307,'Returns (Calc)'!$A:$A)-3),"")</f>
        <v>180.82835443037973</v>
      </c>
      <c r="Y135" s="143">
        <f>IFERROR('Price History'!D3+(INDEX('Price History'!D:D,MATCH(9.99E+307,'Returns (Calc)'!$A:$A)+1)-'Price History'!D3)*(ROW()-3)/(MATCH(9.99E+307,'Returns (Calc)'!$A:$A)-3),"")</f>
        <v>1655.8049367088609</v>
      </c>
      <c r="Z135" s="143">
        <f>IFERROR('Price History'!E3+(INDEX('Price History'!E:E,MATCH(9.99E+307,'Returns (Calc)'!$A:$A)+1)-'Price History'!E3)*(ROW()-3)/(MATCH(9.99E+307,'Returns (Calc)'!$A:$A)-3),"")</f>
        <v>310.19291139240505</v>
      </c>
      <c r="AA135" s="143">
        <f>IFERROR('Price History'!F3+(INDEX('Price History'!F:F,MATCH(9.99E+307,'Returns (Calc)'!$A:$A)+1)-'Price History'!F3)*(ROW()-3)/(MATCH(9.99E+307,'Returns (Calc)'!$A:$A)-3),"")</f>
        <v>232.40911392405064</v>
      </c>
      <c r="AB135" s="143">
        <f>IFERROR('Price History'!G3+(INDEX('Price History'!G:G,MATCH(9.99E+307,'Returns (Calc)'!$A:$A)+1)-'Price History'!G3)*(ROW()-3)/(MATCH(9.99E+307,'Returns (Calc)'!$A:$A)-3),"")</f>
        <v>180.14291139240504</v>
      </c>
      <c r="AC135" s="143">
        <f>IFERROR('Price History'!H3+(INDEX('Price History'!H:H,MATCH(9.99E+307,'Returns (Calc)'!$A:$A)+1)-'Price History'!H3)*(ROW()-3)/(MATCH(9.99E+307,'Returns (Calc)'!$A:$A)-3),"")</f>
        <v>909.38189873417741</v>
      </c>
      <c r="AD135" s="143">
        <f>IFERROR('Price History'!I3+(INDEX('Price History'!I:I,MATCH(9.99E+307,'Returns (Calc)'!$A:$A)+1)-'Price History'!I3)*(ROW()-3)/(MATCH(9.99E+307,'Returns (Calc)'!$A:$A)-3),"")</f>
        <v>202.65455696202531</v>
      </c>
      <c r="AE135" s="143">
        <f>IFERROR('Price History'!J3+(INDEX('Price History'!J:J,MATCH(9.99E+307,'Returns (Calc)'!$A:$A)+1)-'Price History'!J3)*(ROW()-3)/(MATCH(9.99E+307,'Returns (Calc)'!$A:$A)-3),"")</f>
        <v>126.10101265822784</v>
      </c>
      <c r="AF135" s="143">
        <f>IFERROR('Price History'!K3+(INDEX('Price History'!K:K,MATCH(9.99E+307,'Returns (Calc)'!$A:$A)+1)-'Price History'!K3)*(ROW()-3)/(MATCH(9.99E+307,'Returns (Calc)'!$A:$A)-3),"")</f>
        <v>160.21253164556961</v>
      </c>
      <c r="AG135" s="143">
        <f>IFERROR('Price History'!L3+(INDEX('Price History'!L:L,MATCH(9.99E+307,'Returns (Calc)'!$A:$A)+1)-'Price History'!L3)*(ROW()-3)/(MATCH(9.99E+307,'Returns (Calc)'!$A:$A)-3),"")</f>
        <v>409.09151898734177</v>
      </c>
      <c r="AH135" s="143">
        <f>IFERROR('Price History'!M3+(INDEX('Price History'!M:M,MATCH(9.99E+307,'Returns (Calc)'!$A:$A)+1)-'Price History'!M3)*(ROW()-3)/(MATCH(9.99E+307,'Returns (Calc)'!$A:$A)-3),"")</f>
        <v>216.93848101265823</v>
      </c>
      <c r="AI135" s="143">
        <f>IFERROR('Price History'!N3+(INDEX('Price History'!N:N,MATCH(9.99E+307,'Returns (Calc)'!$A:$A)+1)-'Price History'!N3)*(ROW()-3)/(MATCH(9.99E+307,'Returns (Calc)'!$A:$A)-3),"")</f>
        <v>479.08708860759498</v>
      </c>
      <c r="AJ135" s="143">
        <f>IFERROR('Price History'!O3+(INDEX('Price History'!O:O,MATCH(9.99E+307,'Returns (Calc)'!$A:$A)+1)-'Price History'!O3)*(ROW()-3)/(MATCH(9.99E+307,'Returns (Calc)'!$A:$A)-3),"")</f>
        <v>112.67101265822785</v>
      </c>
      <c r="AK135" s="143">
        <f>IFERROR('Price History'!Q3+(INDEX('Price History'!Q:Q,MATCH(9.99E+307,'Returns (Calc)'!$A:$A)+1)-'Price History'!Q3)*(ROW()-3)/(MATCH(9.99E+307,'Returns (Calc)'!$A:$A)-3),"")</f>
        <v>57.996455696202538</v>
      </c>
      <c r="AL135" s="143">
        <f>IFERROR('Price History'!R3+(INDEX('Price History'!R:R,MATCH(9.99E+307,'Returns (Calc)'!$A:$A)+1)-'Price History'!R3)*(ROW()-3)/(MATCH(9.99E+307,'Returns (Calc)'!$A:$A)-3),"")</f>
        <v>56.669367088607594</v>
      </c>
      <c r="AM135" s="143">
        <f>IFERROR('Price History'!S3+(INDEX('Price History'!S:S,MATCH(9.99E+307,'Returns (Calc)'!$A:$A)+1)-'Price History'!S3)*(ROW()-3)/(MATCH(9.99E+307,'Returns (Calc)'!$A:$A)-3),"")</f>
        <v>137.49835443037975</v>
      </c>
      <c r="AN135" s="143">
        <f>IFERROR('Price History'!T3+(INDEX('Price History'!T:T,MATCH(9.99E+307,'Returns (Calc)'!$A:$A)+1)-'Price History'!T3)*(ROW()-3)/(MATCH(9.99E+307,'Returns (Calc)'!$A:$A)-3),"")</f>
        <v>47.446075949367085</v>
      </c>
      <c r="AO135" s="144">
        <f>IFERROR('Price History'!V3+(INDEX('Price History'!V:V,MATCH(9.99E+307,'Returns (Calc)'!$A:$A)+1)-'Price History'!V3)*(ROW()-3)/(MATCH(9.99E+307,'Returns (Calc)'!$A:$A)-3),"")</f>
        <v>340.0854430379747</v>
      </c>
      <c r="AP135" s="142">
        <f>IFERROR(IF(OR(NOT(ISNUMBER('Price History'!W136)),NOT(ISNUMBER('Price History'!W135)),'Price History'!W135=0),"",'Price History'!W136/'Price History'!W135-1),"")</f>
        <v>1.6527777777777697E-2</v>
      </c>
      <c r="AQ135" s="142">
        <f>IFERROR(IF(OR(NOT(ISNUMBER('Price History'!X136)),NOT(ISNUMBER('Price History'!X135)),'Price History'!X135=0),"",'Price History'!X136/'Price History'!X135-1),"")</f>
        <v>-1.8396846254927768E-2</v>
      </c>
      <c r="AR135" s="142">
        <f>IFERROR(IF(OR(NOT(ISNUMBER('Price History'!Y136)),NOT(ISNUMBER('Price History'!Y135)),'Price History'!Y135=0),"",'Price History'!Y136/'Price History'!Y135-1),"")</f>
        <v>2.3800528900642437E-2</v>
      </c>
      <c r="AS135" s="142">
        <f>IFERROR(IF(OR(NOT(ISNUMBER('Price History'!Z136)),NOT(ISNUMBER('Price History'!Z135)),'Price History'!Z135=0),"",'Price History'!Z136/'Price History'!Z135-1),"")</f>
        <v>-5.8415350846137137E-3</v>
      </c>
      <c r="AT135" s="142">
        <f>IFERROR(IF(OR(NOT(ISNUMBER('Price History'!AA136)),NOT(ISNUMBER('Price History'!AA135)),'Price History'!AA135=0),"",'Price History'!AA136/'Price History'!AA135-1),"")</f>
        <v>5.5977737343465561E-2</v>
      </c>
    </row>
    <row r="136" spans="1:46" ht="15" customHeight="1" x14ac:dyDescent="0.35">
      <c r="A136" s="140">
        <f>IF('Price History'!A137="","",'Price History'!A137)</f>
        <v>46122</v>
      </c>
      <c r="B136" s="141">
        <f>IFERROR(IF(OR(NOT(ISNUMBER('Price History'!B137)),NOT(ISNUMBER('Price History'!B136)),'Price History'!B136=0),"",'Price History'!B137/'Price History'!B136-1),"")</f>
        <v>-7.2328338547669957E-2</v>
      </c>
      <c r="C136" s="141">
        <f>IFERROR(IF(OR(NOT(ISNUMBER('Price History'!C137)),NOT(ISNUMBER('Price History'!C136)),'Price History'!C136=0),"",'Price History'!C137/'Price History'!C136-1),"")</f>
        <v>0.16316703504894203</v>
      </c>
      <c r="D136" s="141">
        <f>IFERROR(IF(OR(NOT(ISNUMBER('Price History'!D137)),NOT(ISNUMBER('Price History'!D136)),'Price History'!D136=0),"",'Price History'!D137/'Price History'!D136-1),"")</f>
        <v>0.12226319077293435</v>
      </c>
      <c r="E136" s="141">
        <f>IFERROR(IF(OR(NOT(ISNUMBER('Price History'!E137)),NOT(ISNUMBER('Price History'!E136)),'Price History'!E136=0),"",'Price History'!E137/'Price History'!E136-1),"")</f>
        <v>0.18122368253158094</v>
      </c>
      <c r="F136" s="141">
        <f>IFERROR(IF(OR(NOT(ISNUMBER('Price History'!F137)),NOT(ISNUMBER('Price History'!F136)),'Price History'!F136=0),"",'Price History'!F137/'Price History'!F136-1),"")</f>
        <v>-5.0410903988775346E-2</v>
      </c>
      <c r="G136" s="141">
        <f>IFERROR(IF(OR(NOT(ISNUMBER('Price History'!G137)),NOT(ISNUMBER('Price History'!G136)),'Price History'!G136=0),"",'Price History'!G137/'Price History'!G136-1),"")</f>
        <v>0.14532117367168929</v>
      </c>
      <c r="H136" s="141">
        <f>IFERROR(IF(OR(NOT(ISNUMBER('Price History'!H137)),NOT(ISNUMBER('Price History'!H136)),'Price History'!H136=0),"",'Price History'!H137/'Price History'!H136-1),"")</f>
        <v>0.14842427221584997</v>
      </c>
      <c r="I136" s="141">
        <f>IFERROR(IF(OR(NOT(ISNUMBER('Price History'!I137)),NOT(ISNUMBER('Price History'!I136)),'Price History'!I136=0),"",'Price History'!I137/'Price History'!I136-1),"")</f>
        <v>6.3336911689925834E-2</v>
      </c>
      <c r="J136" s="141">
        <f>IFERROR(IF(OR(NOT(ISNUMBER('Price History'!J137)),NOT(ISNUMBER('Price History'!J136)),'Price History'!J136=0),"",'Price History'!J137/'Price History'!J136-1),"")</f>
        <v>2.5576806314511202E-2</v>
      </c>
      <c r="K136" s="141">
        <f>IFERROR(IF(OR(NOT(ISNUMBER('Price History'!K137)),NOT(ISNUMBER('Price History'!K136)),'Price History'!K136=0),"",'Price History'!K137/'Price History'!K136-1),"")</f>
        <v>-0.13741075037047024</v>
      </c>
      <c r="L136" s="141">
        <f>IFERROR(IF(OR(NOT(ISNUMBER('Price History'!L137)),NOT(ISNUMBER('Price History'!L136)),'Price History'!L136=0),"",'Price History'!L137/'Price History'!L136-1),"")</f>
        <v>9.3081164403865602E-2</v>
      </c>
      <c r="M136" s="141">
        <f>IFERROR(IF(OR(NOT(ISNUMBER('Price History'!M137)),NOT(ISNUMBER('Price History'!M136)),'Price History'!M136=0),"",'Price History'!M137/'Price History'!M136-1),"")</f>
        <v>0.12945590994371492</v>
      </c>
      <c r="N136" s="141">
        <f>IFERROR(IF(OR(NOT(ISNUMBER('Price History'!N137)),NOT(ISNUMBER('Price History'!N136)),'Price History'!N136=0),"",'Price History'!N137/'Price History'!N136-1),"")</f>
        <v>-5.5617606163524957E-3</v>
      </c>
      <c r="O136" s="141">
        <f>IFERROR(IF(OR(NOT(ISNUMBER('Price History'!O137)),NOT(ISNUMBER('Price History'!O136)),'Price History'!O136=0),"",'Price History'!O137/'Price History'!O136-1),"")</f>
        <v>2.9733393583371015E-2</v>
      </c>
      <c r="P136" s="141">
        <f>IFERROR(IF(OR(NOT(ISNUMBER('Price History'!P137)),NOT(ISNUMBER('Price History'!P136)),'Price History'!P136=0),"",'Price History'!P137/'Price History'!P136-1),"")</f>
        <v>5.1594746716696616E-3</v>
      </c>
      <c r="Q136" s="141">
        <f>IFERROR(IF(OR(NOT(ISNUMBER('Price History'!Q137)),NOT(ISNUMBER('Price History'!Q136)),'Price History'!Q136=0),"",'Price History'!Q137/'Price History'!Q136-1),"")</f>
        <v>2.0328381548084362E-2</v>
      </c>
      <c r="R136" s="141">
        <f>IFERROR(IF(OR(NOT(ISNUMBER('Price History'!R137)),NOT(ISNUMBER('Price History'!R136)),'Price History'!R136=0),"",'Price History'!R137/'Price History'!R136-1),"")</f>
        <v>3.6384527001148914E-2</v>
      </c>
      <c r="S136" s="141">
        <f>IFERROR(IF(OR(NOT(ISNUMBER('Price History'!S137)),NOT(ISNUMBER('Price History'!S136)),'Price History'!S136=0),"",'Price History'!S137/'Price History'!S136-1),"")</f>
        <v>7.4925686308795258E-2</v>
      </c>
      <c r="T136" s="141">
        <f>IFERROR(IF(OR(NOT(ISNUMBER('Price History'!T137)),NOT(ISNUMBER('Price History'!T136)),'Price History'!T136=0),"",'Price History'!T137/'Price History'!T136-1),"")</f>
        <v>-4.2896795357053596E-3</v>
      </c>
      <c r="U136" s="141">
        <f>IFERROR(IF(OR(NOT(ISNUMBER('Price History'!U137)),NOT(ISNUMBER('Price History'!U136)),'Price History'!U136=0),"",'Price History'!U137/'Price History'!U136-1),"")</f>
        <v>0</v>
      </c>
      <c r="V136" s="142">
        <f>IFERROR(IF(OR(NOT(ISNUMBER('Price History'!V137)),NOT(ISNUMBER('Price History'!V136)),'Price History'!V136=0),"",'Price History'!V137/'Price History'!V136-1),"")</f>
        <v>1.1848341232227444E-2</v>
      </c>
      <c r="W136" s="143">
        <f>IFERROR('Price History'!B3+(INDEX('Price History'!B:B,MATCH(9.99E+307,'Returns (Calc)'!$A:$A)+1)-'Price History'!B3)*(ROW()-3)/(MATCH(9.99E+307,'Returns (Calc)'!$A:$A)-3),"")</f>
        <v>283.76594936708864</v>
      </c>
      <c r="X136" s="143">
        <f>IFERROR('Price History'!C3+(INDEX('Price History'!C:C,MATCH(9.99E+307,'Returns (Calc)'!$A:$A)+1)-'Price History'!C3)*(ROW()-3)/(MATCH(9.99E+307,'Returns (Calc)'!$A:$A)-3),"")</f>
        <v>181.84841772151898</v>
      </c>
      <c r="Y136" s="143">
        <f>IFERROR('Price History'!D3+(INDEX('Price History'!D:D,MATCH(9.99E+307,'Returns (Calc)'!$A:$A)+1)-'Price History'!D3)*(ROW()-3)/(MATCH(9.99E+307,'Returns (Calc)'!$A:$A)-3),"")</f>
        <v>1663.939746835443</v>
      </c>
      <c r="Z136" s="143">
        <f>IFERROR('Price History'!E3+(INDEX('Price History'!E:E,MATCH(9.99E+307,'Returns (Calc)'!$A:$A)+1)-'Price History'!E3)*(ROW()-3)/(MATCH(9.99E+307,'Returns (Calc)'!$A:$A)-3),"")</f>
        <v>311.92164556962018</v>
      </c>
      <c r="AA136" s="143">
        <f>IFERROR('Price History'!F3+(INDEX('Price History'!F:F,MATCH(9.99E+307,'Returns (Calc)'!$A:$A)+1)-'Price History'!F3)*(ROW()-3)/(MATCH(9.99E+307,'Returns (Calc)'!$A:$A)-3),"")</f>
        <v>233.85645569620254</v>
      </c>
      <c r="AB136" s="143">
        <f>IFERROR('Price History'!G3+(INDEX('Price History'!G:G,MATCH(9.99E+307,'Returns (Calc)'!$A:$A)+1)-'Price History'!G3)*(ROW()-3)/(MATCH(9.99E+307,'Returns (Calc)'!$A:$A)-3),"")</f>
        <v>181.17164556962024</v>
      </c>
      <c r="AC136" s="143">
        <f>IFERROR('Price History'!H3+(INDEX('Price History'!H:H,MATCH(9.99E+307,'Returns (Calc)'!$A:$A)+1)-'Price History'!H3)*(ROW()-3)/(MATCH(9.99E+307,'Returns (Calc)'!$A:$A)-3),"")</f>
        <v>915.74759493670899</v>
      </c>
      <c r="AD136" s="143">
        <f>IFERROR('Price History'!I3+(INDEX('Price History'!I:I,MATCH(9.99E+307,'Returns (Calc)'!$A:$A)+1)-'Price History'!I3)*(ROW()-3)/(MATCH(9.99E+307,'Returns (Calc)'!$A:$A)-3),"")</f>
        <v>203.85822784810128</v>
      </c>
      <c r="AE136" s="143">
        <f>IFERROR('Price History'!J3+(INDEX('Price History'!J:J,MATCH(9.99E+307,'Returns (Calc)'!$A:$A)+1)-'Price History'!J3)*(ROW()-3)/(MATCH(9.99E+307,'Returns (Calc)'!$A:$A)-3),"")</f>
        <v>126.20905063291139</v>
      </c>
      <c r="AF136" s="143">
        <f>IFERROR('Price History'!K3+(INDEX('Price History'!K:K,MATCH(9.99E+307,'Returns (Calc)'!$A:$A)+1)-'Price History'!K3)*(ROW()-3)/(MATCH(9.99E+307,'Returns (Calc)'!$A:$A)-3),"")</f>
        <v>161.31012658227849</v>
      </c>
      <c r="AG136" s="143">
        <f>IFERROR('Price History'!L3+(INDEX('Price History'!L:L,MATCH(9.99E+307,'Returns (Calc)'!$A:$A)+1)-'Price History'!L3)*(ROW()-3)/(MATCH(9.99E+307,'Returns (Calc)'!$A:$A)-3),"")</f>
        <v>411.5410759493671</v>
      </c>
      <c r="AH136" s="143">
        <f>IFERROR('Price History'!M3+(INDEX('Price History'!M:M,MATCH(9.99E+307,'Returns (Calc)'!$A:$A)+1)-'Price History'!M3)*(ROW()-3)/(MATCH(9.99E+307,'Returns (Calc)'!$A:$A)-3),"")</f>
        <v>218.29392405063291</v>
      </c>
      <c r="AI136" s="143">
        <f>IFERROR('Price History'!N3+(INDEX('Price History'!N:N,MATCH(9.99E+307,'Returns (Calc)'!$A:$A)+1)-'Price History'!N3)*(ROW()-3)/(MATCH(9.99E+307,'Returns (Calc)'!$A:$A)-3),"")</f>
        <v>480.07335443037977</v>
      </c>
      <c r="AJ136" s="143">
        <f>IFERROR('Price History'!O3+(INDEX('Price History'!O:O,MATCH(9.99E+307,'Returns (Calc)'!$A:$A)+1)-'Price History'!O3)*(ROW()-3)/(MATCH(9.99E+307,'Returns (Calc)'!$A:$A)-3),"")</f>
        <v>112.95405063291139</v>
      </c>
      <c r="AK136" s="143">
        <f>IFERROR('Price History'!Q3+(INDEX('Price History'!Q:Q,MATCH(9.99E+307,'Returns (Calc)'!$A:$A)+1)-'Price History'!Q3)*(ROW()-3)/(MATCH(9.99E+307,'Returns (Calc)'!$A:$A)-3),"")</f>
        <v>58.435822784810128</v>
      </c>
      <c r="AL136" s="143">
        <f>IFERROR('Price History'!R3+(INDEX('Price History'!R:R,MATCH(9.99E+307,'Returns (Calc)'!$A:$A)+1)-'Price History'!R3)*(ROW()-3)/(MATCH(9.99E+307,'Returns (Calc)'!$A:$A)-3),"")</f>
        <v>56.837468354430385</v>
      </c>
      <c r="AM136" s="143">
        <f>IFERROR('Price History'!S3+(INDEX('Price History'!S:S,MATCH(9.99E+307,'Returns (Calc)'!$A:$A)+1)-'Price History'!S3)*(ROW()-3)/(MATCH(9.99E+307,'Returns (Calc)'!$A:$A)-3),"")</f>
        <v>138.10341772151898</v>
      </c>
      <c r="AN136" s="143">
        <f>IFERROR('Price History'!T3+(INDEX('Price History'!T:T,MATCH(9.99E+307,'Returns (Calc)'!$A:$A)+1)-'Price History'!T3)*(ROW()-3)/(MATCH(9.99E+307,'Returns (Calc)'!$A:$A)-3),"")</f>
        <v>47.614303797468352</v>
      </c>
      <c r="AO136" s="144">
        <f>IFERROR('Price History'!V3+(INDEX('Price History'!V:V,MATCH(9.99E+307,'Returns (Calc)'!$A:$A)+1)-'Price History'!V3)*(ROW()-3)/(MATCH(9.99E+307,'Returns (Calc)'!$A:$A)-3),"")</f>
        <v>340.87677215189876</v>
      </c>
      <c r="AP136" s="142">
        <f>IFERROR(IF(OR(NOT(ISNUMBER('Price History'!W137)),NOT(ISNUMBER('Price History'!W136)),'Price History'!W136=0),"",'Price History'!W137/'Price History'!W136-1),"")</f>
        <v>2.6711299357835783E-2</v>
      </c>
      <c r="AQ136" s="142">
        <f>IFERROR(IF(OR(NOT(ISNUMBER('Price History'!X137)),NOT(ISNUMBER('Price History'!X136)),'Price History'!X136=0),"",'Price History'!X137/'Price History'!X136-1),"")</f>
        <v>-1.1474469305795543E-3</v>
      </c>
      <c r="AR136" s="142">
        <f>IFERROR(IF(OR(NOT(ISNUMBER('Price History'!Y137)),NOT(ISNUMBER('Price History'!Y136)),'Price History'!Y136=0),"",'Price History'!Y137/'Price History'!Y136-1),"")</f>
        <v>1.9372693726937174E-2</v>
      </c>
      <c r="AS136" s="142">
        <f>IFERROR(IF(OR(NOT(ISNUMBER('Price History'!Z137)),NOT(ISNUMBER('Price History'!Z136)),'Price History'!Z136=0),"",'Price History'!Z137/'Price History'!Z136-1),"")</f>
        <v>9.6720202271998845E-2</v>
      </c>
      <c r="AT136" s="142">
        <f>IFERROR(IF(OR(NOT(ISNUMBER('Price History'!AA137)),NOT(ISNUMBER('Price History'!AA136)),'Price History'!AA136=0),"",'Price History'!AA137/'Price History'!AA136-1),"")</f>
        <v>4.4090816947091049E-2</v>
      </c>
    </row>
    <row r="137" spans="1:46" ht="15" customHeight="1" x14ac:dyDescent="0.35">
      <c r="A137" s="140">
        <f>IF('Price History'!A138="","",'Price History'!A138)</f>
        <v>46129</v>
      </c>
      <c r="B137" s="141">
        <f>IFERROR(IF(OR(NOT(ISNUMBER('Price History'!B138)),NOT(ISNUMBER('Price History'!B137)),'Price History'!B137=0),"",'Price History'!B138/'Price History'!B137-1),"")</f>
        <v>8.4757044597293163E-2</v>
      </c>
      <c r="C137" s="141">
        <f>IFERROR(IF(OR(NOT(ISNUMBER('Price History'!C138)),NOT(ISNUMBER('Price History'!C137)),'Price History'!C137=0),"",'Price History'!C138/'Price History'!C137-1),"")</f>
        <v>0.11455717678995581</v>
      </c>
      <c r="D137" s="141">
        <f>IFERROR(IF(OR(NOT(ISNUMBER('Price History'!D138)),NOT(ISNUMBER('Price History'!D137)),'Price History'!D137=0),"",'Price History'!D138/'Price History'!D137-1),"")</f>
        <v>-1.2497030173437951E-2</v>
      </c>
      <c r="E137" s="141">
        <f>IFERROR(IF(OR(NOT(ISNUMBER('Price History'!E138)),NOT(ISNUMBER('Price History'!E137)),'Price History'!E137=0),"",'Price History'!E138/'Price History'!E137-1),"")</f>
        <v>9.4169434767344518E-2</v>
      </c>
      <c r="F137" s="141">
        <f>IFERROR(IF(OR(NOT(ISNUMBER('Price History'!F138)),NOT(ISNUMBER('Price History'!F137)),'Price History'!F137=0),"",'Price History'!F138/'Price History'!F137-1),"")</f>
        <v>0.11862796833773093</v>
      </c>
      <c r="G137" s="141">
        <f>IFERROR(IF(OR(NOT(ISNUMBER('Price History'!G138)),NOT(ISNUMBER('Price History'!G137)),'Price History'!G137=0),"",'Price History'!G138/'Price History'!G137-1),"")</f>
        <v>3.1158040505452789E-2</v>
      </c>
      <c r="H137" s="141">
        <f>IFERROR(IF(OR(NOT(ISNUMBER('Price History'!H138)),NOT(ISNUMBER('Price History'!H137)),'Price History'!H137=0),"",'Price History'!H138/'Price History'!H137-1),"")</f>
        <v>8.1967992771027065E-2</v>
      </c>
      <c r="I137" s="141">
        <f>IFERROR(IF(OR(NOT(ISNUMBER('Price History'!I138)),NOT(ISNUMBER('Price History'!I137)),'Price History'!I137=0),"",'Price History'!I138/'Price History'!I137-1),"")</f>
        <v>6.9181721572795007E-2</v>
      </c>
      <c r="J137" s="141">
        <f>IFERROR(IF(OR(NOT(ISNUMBER('Price History'!J138)),NOT(ISNUMBER('Price History'!J137)),'Price History'!J137=0),"",'Price History'!J138/'Price History'!J137-1),"")</f>
        <v>5.7648190631243823E-2</v>
      </c>
      <c r="K137" s="141">
        <f>IFERROR(IF(OR(NOT(ISNUMBER('Price History'!K138)),NOT(ISNUMBER('Price History'!K137)),'Price History'!K137=0),"",'Price History'!K138/'Price History'!K137-1),"")</f>
        <v>0.14313602998594388</v>
      </c>
      <c r="L137" s="141">
        <f>IFERROR(IF(OR(NOT(ISNUMBER('Price History'!L138)),NOT(ISNUMBER('Price History'!L137)),'Price History'!L137=0),"",'Price History'!L138/'Price History'!L137-1),"")</f>
        <v>-2.4407441557749987E-4</v>
      </c>
      <c r="M137" s="141">
        <f>IFERROR(IF(OR(NOT(ISNUMBER('Price History'!M138)),NOT(ISNUMBER('Price History'!M137)),'Price History'!M137=0),"",'Price History'!M138/'Price History'!M137-1),"")</f>
        <v>4.1426537392365459E-2</v>
      </c>
      <c r="N137" s="141">
        <f>IFERROR(IF(OR(NOT(ISNUMBER('Price History'!N138)),NOT(ISNUMBER('Price History'!N137)),'Price History'!N137=0),"",'Price History'!N138/'Price History'!N137-1),"")</f>
        <v>1.1300341531620406E-2</v>
      </c>
      <c r="O137" s="141">
        <f>IFERROR(IF(OR(NOT(ISNUMBER('Price History'!O138)),NOT(ISNUMBER('Price History'!O137)),'Price History'!O137=0),"",'Price History'!O138/'Price History'!O137-1),"")</f>
        <v>2.4311040898718606E-2</v>
      </c>
      <c r="P137" s="141">
        <f>IFERROR(IF(OR(NOT(ISNUMBER('Price History'!P138)),NOT(ISNUMBER('Price History'!P137)),'Price History'!P137=0),"",'Price History'!P138/'Price History'!P137-1),"")</f>
        <v>4.5996933537764129E-3</v>
      </c>
      <c r="Q137" s="141">
        <f>IFERROR(IF(OR(NOT(ISNUMBER('Price History'!Q138)),NOT(ISNUMBER('Price History'!Q137)),'Price History'!Q137=0),"",'Price History'!Q138/'Price History'!Q137-1),"")</f>
        <v>2.5747126436781675E-2</v>
      </c>
      <c r="R137" s="141">
        <f>IFERROR(IF(OR(NOT(ISNUMBER('Price History'!R138)),NOT(ISNUMBER('Price History'!R137)),'Price History'!R137=0),"",'Price History'!R138/'Price History'!R137-1),"")</f>
        <v>1.8107908351810975E-2</v>
      </c>
      <c r="S137" s="141">
        <f>IFERROR(IF(OR(NOT(ISNUMBER('Price History'!S138)),NOT(ISNUMBER('Price History'!S137)),'Price History'!S137=0),"",'Price History'!S138/'Price History'!S137-1),"")</f>
        <v>4.0178934526230226E-2</v>
      </c>
      <c r="T137" s="141">
        <f>IFERROR(IF(OR(NOT(ISNUMBER('Price History'!T138)),NOT(ISNUMBER('Price History'!T137)),'Price History'!T137=0),"",'Price History'!T138/'Price History'!T137-1),"")</f>
        <v>5.347187024835276E-2</v>
      </c>
      <c r="U137" s="141">
        <f>IFERROR(IF(OR(NOT(ISNUMBER('Price History'!U138)),NOT(ISNUMBER('Price History'!U137)),'Price History'!U137=0),"",'Price History'!U138/'Price History'!U137-1),"")</f>
        <v>1.5957446808510634E-2</v>
      </c>
      <c r="V137" s="142">
        <f>IFERROR(IF(OR(NOT(ISNUMBER('Price History'!V138)),NOT(ISNUMBER('Price History'!V137)),'Price History'!V137=0),"",'Price History'!V138/'Price History'!V137-1),"")</f>
        <v>4.15938252465613E-2</v>
      </c>
      <c r="W137" s="143">
        <f>IFERROR('Price History'!B3+(INDEX('Price History'!B:B,MATCH(9.99E+307,'Returns (Calc)'!$A:$A)+1)-'Price History'!B3)*(ROW()-3)/(MATCH(9.99E+307,'Returns (Calc)'!$A:$A)-3),"")</f>
        <v>281.92291139240507</v>
      </c>
      <c r="X137" s="143">
        <f>IFERROR('Price History'!C3+(INDEX('Price History'!C:C,MATCH(9.99E+307,'Returns (Calc)'!$A:$A)+1)-'Price History'!C3)*(ROW()-3)/(MATCH(9.99E+307,'Returns (Calc)'!$A:$A)-3),"")</f>
        <v>182.86848101265824</v>
      </c>
      <c r="Y137" s="143">
        <f>IFERROR('Price History'!D3+(INDEX('Price History'!D:D,MATCH(9.99E+307,'Returns (Calc)'!$A:$A)+1)-'Price History'!D3)*(ROW()-3)/(MATCH(9.99E+307,'Returns (Calc)'!$A:$A)-3),"")</f>
        <v>1672.0745569620251</v>
      </c>
      <c r="Z137" s="143">
        <f>IFERROR('Price History'!E3+(INDEX('Price History'!E:E,MATCH(9.99E+307,'Returns (Calc)'!$A:$A)+1)-'Price History'!E3)*(ROW()-3)/(MATCH(9.99E+307,'Returns (Calc)'!$A:$A)-3),"")</f>
        <v>313.65037974683537</v>
      </c>
      <c r="AA137" s="143">
        <f>IFERROR('Price History'!F3+(INDEX('Price History'!F:F,MATCH(9.99E+307,'Returns (Calc)'!$A:$A)+1)-'Price History'!F3)*(ROW()-3)/(MATCH(9.99E+307,'Returns (Calc)'!$A:$A)-3),"")</f>
        <v>235.30379746835445</v>
      </c>
      <c r="AB137" s="143">
        <f>IFERROR('Price History'!G3+(INDEX('Price History'!G:G,MATCH(9.99E+307,'Returns (Calc)'!$A:$A)+1)-'Price History'!G3)*(ROW()-3)/(MATCH(9.99E+307,'Returns (Calc)'!$A:$A)-3),"")</f>
        <v>182.20037974683544</v>
      </c>
      <c r="AC137" s="143">
        <f>IFERROR('Price History'!H3+(INDEX('Price History'!H:H,MATCH(9.99E+307,'Returns (Calc)'!$A:$A)+1)-'Price History'!H3)*(ROW()-3)/(MATCH(9.99E+307,'Returns (Calc)'!$A:$A)-3),"")</f>
        <v>922.11329113924069</v>
      </c>
      <c r="AD137" s="143">
        <f>IFERROR('Price History'!I3+(INDEX('Price History'!I:I,MATCH(9.99E+307,'Returns (Calc)'!$A:$A)+1)-'Price History'!I3)*(ROW()-3)/(MATCH(9.99E+307,'Returns (Calc)'!$A:$A)-3),"")</f>
        <v>205.06189873417719</v>
      </c>
      <c r="AE137" s="143">
        <f>IFERROR('Price History'!J3+(INDEX('Price History'!J:J,MATCH(9.99E+307,'Returns (Calc)'!$A:$A)+1)-'Price History'!J3)*(ROW()-3)/(MATCH(9.99E+307,'Returns (Calc)'!$A:$A)-3),"")</f>
        <v>126.31708860759494</v>
      </c>
      <c r="AF137" s="143">
        <f>IFERROR('Price History'!K3+(INDEX('Price History'!K:K,MATCH(9.99E+307,'Returns (Calc)'!$A:$A)+1)-'Price History'!K3)*(ROW()-3)/(MATCH(9.99E+307,'Returns (Calc)'!$A:$A)-3),"")</f>
        <v>162.40772151898736</v>
      </c>
      <c r="AG137" s="143">
        <f>IFERROR('Price History'!L3+(INDEX('Price History'!L:L,MATCH(9.99E+307,'Returns (Calc)'!$A:$A)+1)-'Price History'!L3)*(ROW()-3)/(MATCH(9.99E+307,'Returns (Calc)'!$A:$A)-3),"")</f>
        <v>413.99063291139237</v>
      </c>
      <c r="AH137" s="143">
        <f>IFERROR('Price History'!M3+(INDEX('Price History'!M:M,MATCH(9.99E+307,'Returns (Calc)'!$A:$A)+1)-'Price History'!M3)*(ROW()-3)/(MATCH(9.99E+307,'Returns (Calc)'!$A:$A)-3),"")</f>
        <v>219.64936708860759</v>
      </c>
      <c r="AI137" s="143">
        <f>IFERROR('Price History'!N3+(INDEX('Price History'!N:N,MATCH(9.99E+307,'Returns (Calc)'!$A:$A)+1)-'Price History'!N3)*(ROW()-3)/(MATCH(9.99E+307,'Returns (Calc)'!$A:$A)-3),"")</f>
        <v>481.05962025316455</v>
      </c>
      <c r="AJ137" s="143">
        <f>IFERROR('Price History'!O3+(INDEX('Price History'!O:O,MATCH(9.99E+307,'Returns (Calc)'!$A:$A)+1)-'Price History'!O3)*(ROW()-3)/(MATCH(9.99E+307,'Returns (Calc)'!$A:$A)-3),"")</f>
        <v>113.23708860759493</v>
      </c>
      <c r="AK137" s="143">
        <f>IFERROR('Price History'!Q3+(INDEX('Price History'!Q:Q,MATCH(9.99E+307,'Returns (Calc)'!$A:$A)+1)-'Price History'!Q3)*(ROW()-3)/(MATCH(9.99E+307,'Returns (Calc)'!$A:$A)-3),"")</f>
        <v>58.875189873417725</v>
      </c>
      <c r="AL137" s="143">
        <f>IFERROR('Price History'!R3+(INDEX('Price History'!R:R,MATCH(9.99E+307,'Returns (Calc)'!$A:$A)+1)-'Price History'!R3)*(ROW()-3)/(MATCH(9.99E+307,'Returns (Calc)'!$A:$A)-3),"")</f>
        <v>57.005569620253169</v>
      </c>
      <c r="AM137" s="143">
        <f>IFERROR('Price History'!S3+(INDEX('Price History'!S:S,MATCH(9.99E+307,'Returns (Calc)'!$A:$A)+1)-'Price History'!S3)*(ROW()-3)/(MATCH(9.99E+307,'Returns (Calc)'!$A:$A)-3),"")</f>
        <v>138.70848101265824</v>
      </c>
      <c r="AN137" s="143">
        <f>IFERROR('Price History'!T3+(INDEX('Price History'!T:T,MATCH(9.99E+307,'Returns (Calc)'!$A:$A)+1)-'Price History'!T3)*(ROW()-3)/(MATCH(9.99E+307,'Returns (Calc)'!$A:$A)-3),"")</f>
        <v>47.78253164556962</v>
      </c>
      <c r="AO137" s="144">
        <f>IFERROR('Price History'!V3+(INDEX('Price History'!V:V,MATCH(9.99E+307,'Returns (Calc)'!$A:$A)+1)-'Price History'!V3)*(ROW()-3)/(MATCH(9.99E+307,'Returns (Calc)'!$A:$A)-3),"")</f>
        <v>341.66810126582283</v>
      </c>
      <c r="AP137" s="142">
        <f>IFERROR(IF(OR(NOT(ISNUMBER('Price History'!W138)),NOT(ISNUMBER('Price History'!W137)),'Price History'!W137=0),"",'Price History'!W138/'Price History'!W137-1),"")</f>
        <v>2.0027945971122563E-2</v>
      </c>
      <c r="AQ137" s="142">
        <f>IFERROR(IF(OR(NOT(ISNUMBER('Price History'!X138)),NOT(ISNUMBER('Price History'!X137)),'Price History'!X137=0),"",'Price History'!X138/'Price History'!X137-1),"")</f>
        <v>-2.5081370859659113E-2</v>
      </c>
      <c r="AR137" s="142">
        <f>IFERROR(IF(OR(NOT(ISNUMBER('Price History'!Y138)),NOT(ISNUMBER('Price History'!Y137)),'Price History'!Y137=0),"",'Price History'!Y138/'Price History'!Y137-1),"")</f>
        <v>4.3438914027149611E-3</v>
      </c>
      <c r="AS137" s="142">
        <f>IFERROR(IF(OR(NOT(ISNUMBER('Price History'!Z138)),NOT(ISNUMBER('Price History'!Z137)),'Price History'!Z137=0),"",'Price History'!Z138/'Price History'!Z137-1),"")</f>
        <v>-1.3702633373380624E-2</v>
      </c>
      <c r="AT137" s="142">
        <f>IFERROR(IF(OR(NOT(ISNUMBER('Price History'!AA138)),NOT(ISNUMBER('Price History'!AA137)),'Price History'!AA137=0),"",'Price History'!AA138/'Price History'!AA137-1),"")</f>
        <v>-5.5334433550140782E-2</v>
      </c>
    </row>
    <row r="138" spans="1:46" ht="15" customHeight="1" x14ac:dyDescent="0.35">
      <c r="A138" s="140">
        <f>IF('Price History'!A139="","",'Price History'!A139)</f>
        <v>46136</v>
      </c>
      <c r="B138" s="141">
        <f>IFERROR(IF(OR(NOT(ISNUMBER('Price History'!B139)),NOT(ISNUMBER('Price History'!B138)),'Price History'!B138=0),"",'Price History'!B139/'Price History'!B138-1),"")</f>
        <v>4.0499079566373997E-3</v>
      </c>
      <c r="C138" s="141">
        <f>IFERROR(IF(OR(NOT(ISNUMBER('Price History'!C139)),NOT(ISNUMBER('Price History'!C138)),'Price History'!C138=0),"",'Price History'!C139/'Price History'!C138-1),"")</f>
        <v>7.7208792547037719E-2</v>
      </c>
      <c r="D138" s="141">
        <f>IFERROR(IF(OR(NOT(ISNUMBER('Price History'!D139)),NOT(ISNUMBER('Price History'!D138)),'Price History'!D138=0),"",'Price History'!D139/'Price History'!D138-1),"")</f>
        <v>-1.4435569242613466E-3</v>
      </c>
      <c r="E138" s="141">
        <f>IFERROR(IF(OR(NOT(ISNUMBER('Price History'!E139)),NOT(ISNUMBER('Price History'!E138)),'Price History'!E138=0),"",'Price History'!E139/'Price History'!E138-1),"")</f>
        <v>3.9885477342284537E-2</v>
      </c>
      <c r="F138" s="141">
        <f>IFERROR(IF(OR(NOT(ISNUMBER('Price History'!F139)),NOT(ISNUMBER('Price History'!F138)),'Price History'!F138=0),"",'Price History'!F139/'Price History'!F138-1),"")</f>
        <v>5.6986508161147365E-2</v>
      </c>
      <c r="G138" s="141">
        <f>IFERROR(IF(OR(NOT(ISNUMBER('Price History'!G139)),NOT(ISNUMBER('Price History'!G138)),'Price History'!G138=0),"",'Price History'!G139/'Price History'!G138-1),"")</f>
        <v>8.0185775837949613E-2</v>
      </c>
      <c r="H138" s="141">
        <f>IFERROR(IF(OR(NOT(ISNUMBER('Price History'!H139)),NOT(ISNUMBER('Price History'!H138)),'Price History'!H138=0),"",'Price History'!H139/'Price History'!H138-1),"")</f>
        <v>9.1516483516483449E-2</v>
      </c>
      <c r="I138" s="141">
        <f>IFERROR(IF(OR(NOT(ISNUMBER('Price History'!I139)),NOT(ISNUMBER('Price History'!I138)),'Price History'!I138=0),"",'Price History'!I139/'Price History'!I138-1),"")</f>
        <v>3.2700526786601847E-2</v>
      </c>
      <c r="J138" s="141">
        <f>IFERROR(IF(OR(NOT(ISNUMBER('Price History'!J139)),NOT(ISNUMBER('Price History'!J138)),'Price History'!J138=0),"",'Price History'!J139/'Price History'!J138-1),"")</f>
        <v>-2.071088720962766E-2</v>
      </c>
      <c r="K138" s="141">
        <f>IFERROR(IF(OR(NOT(ISNUMBER('Price History'!K139)),NOT(ISNUMBER('Price History'!K138)),'Price History'!K138=0),"",'Price History'!K139/'Price History'!K138-1),"")</f>
        <v>-2.2542523396406722E-2</v>
      </c>
      <c r="L138" s="141">
        <f>IFERROR(IF(OR(NOT(ISNUMBER('Price History'!L139)),NOT(ISNUMBER('Price History'!L138)),'Price History'!L138=0),"",'Price History'!L139/'Price History'!L138-1),"")</f>
        <v>8.6260680862606742E-2</v>
      </c>
      <c r="M138" s="141">
        <f>IFERROR(IF(OR(NOT(ISNUMBER('Price History'!M139)),NOT(ISNUMBER('Price History'!M138)),'Price History'!M138=0),"",'Price History'!M139/'Price History'!M138-1),"")</f>
        <v>5.2441406250000044E-2</v>
      </c>
      <c r="N138" s="141">
        <f>IFERROR(IF(OR(NOT(ISNUMBER('Price History'!N139)),NOT(ISNUMBER('Price History'!N138)),'Price History'!N138=0),"",'Price History'!N139/'Price History'!N138-1),"")</f>
        <v>-2.4728014505892904E-2</v>
      </c>
      <c r="O138" s="141">
        <f>IFERROR(IF(OR(NOT(ISNUMBER('Price History'!O139)),NOT(ISNUMBER('Price History'!O138)),'Price History'!O138=0),"",'Price History'!O139/'Price History'!O138-1),"")</f>
        <v>1.2252591894439169E-2</v>
      </c>
      <c r="P138" s="141">
        <f>IFERROR(IF(OR(NOT(ISNUMBER('Price History'!P139)),NOT(ISNUMBER('Price History'!P138)),'Price History'!P138=0),"",'Price History'!P139/'Price History'!P138-1),"")</f>
        <v>-8.0955540809555249E-3</v>
      </c>
      <c r="Q138" s="141">
        <f>IFERROR(IF(OR(NOT(ISNUMBER('Price History'!Q139)),NOT(ISNUMBER('Price History'!Q138)),'Price History'!Q138=0),"",'Price History'!Q139/'Price History'!Q138-1),"")</f>
        <v>2.2411474675032572E-3</v>
      </c>
      <c r="R138" s="141">
        <f>IFERROR(IF(OR(NOT(ISNUMBER('Price History'!R139)),NOT(ISNUMBER('Price History'!R138)),'Price History'!R138=0),"",'Price History'!R139/'Price History'!R138-1),"")</f>
        <v>5.6261343012702358E-3</v>
      </c>
      <c r="S138" s="141">
        <f>IFERROR(IF(OR(NOT(ISNUMBER('Price History'!S139)),NOT(ISNUMBER('Price History'!S138)),'Price History'!S138=0),"",'Price History'!S139/'Price History'!S138-1),"")</f>
        <v>2.5099695050433857E-2</v>
      </c>
      <c r="T138" s="141">
        <f>IFERROR(IF(OR(NOT(ISNUMBER('Price History'!T139)),NOT(ISNUMBER('Price History'!T138)),'Price History'!T138=0),"",'Price History'!T139/'Price History'!T138-1),"")</f>
        <v>-5.5328361799373837E-3</v>
      </c>
      <c r="U138" s="141">
        <f>IFERROR(IF(OR(NOT(ISNUMBER('Price History'!U139)),NOT(ISNUMBER('Price History'!U138)),'Price History'!U138=0),"",'Price History'!U139/'Price History'!U138-1),"")</f>
        <v>4.9083769633508911E-3</v>
      </c>
      <c r="V138" s="142">
        <f>IFERROR(IF(OR(NOT(ISNUMBER('Price History'!V139)),NOT(ISNUMBER('Price History'!V138)),'Price History'!V138=0),"",'Price History'!V139/'Price History'!V138-1),"")</f>
        <v>-2.3972385838241794E-2</v>
      </c>
      <c r="W138" s="143">
        <f>IFERROR('Price History'!B3+(INDEX('Price History'!B:B,MATCH(9.99E+307,'Returns (Calc)'!$A:$A)+1)-'Price History'!B3)*(ROW()-3)/(MATCH(9.99E+307,'Returns (Calc)'!$A:$A)-3),"")</f>
        <v>280.0798734177215</v>
      </c>
      <c r="X138" s="143">
        <f>IFERROR('Price History'!C3+(INDEX('Price History'!C:C,MATCH(9.99E+307,'Returns (Calc)'!$A:$A)+1)-'Price History'!C3)*(ROW()-3)/(MATCH(9.99E+307,'Returns (Calc)'!$A:$A)-3),"")</f>
        <v>183.88854430379746</v>
      </c>
      <c r="Y138" s="143">
        <f>IFERROR('Price History'!D3+(INDEX('Price History'!D:D,MATCH(9.99E+307,'Returns (Calc)'!$A:$A)+1)-'Price History'!D3)*(ROW()-3)/(MATCH(9.99E+307,'Returns (Calc)'!$A:$A)-3),"")</f>
        <v>1680.2093670886077</v>
      </c>
      <c r="Z138" s="143">
        <f>IFERROR('Price History'!E3+(INDEX('Price History'!E:E,MATCH(9.99E+307,'Returns (Calc)'!$A:$A)+1)-'Price History'!E3)*(ROW()-3)/(MATCH(9.99E+307,'Returns (Calc)'!$A:$A)-3),"")</f>
        <v>315.37911392405067</v>
      </c>
      <c r="AA138" s="143">
        <f>IFERROR('Price History'!F3+(INDEX('Price History'!F:F,MATCH(9.99E+307,'Returns (Calc)'!$A:$A)+1)-'Price History'!F3)*(ROW()-3)/(MATCH(9.99E+307,'Returns (Calc)'!$A:$A)-3),"")</f>
        <v>236.75113924050635</v>
      </c>
      <c r="AB138" s="143">
        <f>IFERROR('Price History'!G3+(INDEX('Price History'!G:G,MATCH(9.99E+307,'Returns (Calc)'!$A:$A)+1)-'Price History'!G3)*(ROW()-3)/(MATCH(9.99E+307,'Returns (Calc)'!$A:$A)-3),"")</f>
        <v>183.22911392405061</v>
      </c>
      <c r="AC138" s="143">
        <f>IFERROR('Price History'!H3+(INDEX('Price History'!H:H,MATCH(9.99E+307,'Returns (Calc)'!$A:$A)+1)-'Price History'!H3)*(ROW()-3)/(MATCH(9.99E+307,'Returns (Calc)'!$A:$A)-3),"")</f>
        <v>928.47898734177227</v>
      </c>
      <c r="AD138" s="143">
        <f>IFERROR('Price History'!I3+(INDEX('Price History'!I:I,MATCH(9.99E+307,'Returns (Calc)'!$A:$A)+1)-'Price History'!I3)*(ROW()-3)/(MATCH(9.99E+307,'Returns (Calc)'!$A:$A)-3),"")</f>
        <v>206.26556962025316</v>
      </c>
      <c r="AE138" s="143">
        <f>IFERROR('Price History'!J3+(INDEX('Price History'!J:J,MATCH(9.99E+307,'Returns (Calc)'!$A:$A)+1)-'Price History'!J3)*(ROW()-3)/(MATCH(9.99E+307,'Returns (Calc)'!$A:$A)-3),"")</f>
        <v>126.42512658227848</v>
      </c>
      <c r="AF138" s="143">
        <f>IFERROR('Price History'!K3+(INDEX('Price History'!K:K,MATCH(9.99E+307,'Returns (Calc)'!$A:$A)+1)-'Price History'!K3)*(ROW()-3)/(MATCH(9.99E+307,'Returns (Calc)'!$A:$A)-3),"")</f>
        <v>163.5053164556962</v>
      </c>
      <c r="AG138" s="143">
        <f>IFERROR('Price History'!L3+(INDEX('Price History'!L:L,MATCH(9.99E+307,'Returns (Calc)'!$A:$A)+1)-'Price History'!L3)*(ROW()-3)/(MATCH(9.99E+307,'Returns (Calc)'!$A:$A)-3),"")</f>
        <v>416.44018987341769</v>
      </c>
      <c r="AH138" s="143">
        <f>IFERROR('Price History'!M3+(INDEX('Price History'!M:M,MATCH(9.99E+307,'Returns (Calc)'!$A:$A)+1)-'Price History'!M3)*(ROW()-3)/(MATCH(9.99E+307,'Returns (Calc)'!$A:$A)-3),"")</f>
        <v>221.00481012658227</v>
      </c>
      <c r="AI138" s="143">
        <f>IFERROR('Price History'!N3+(INDEX('Price History'!N:N,MATCH(9.99E+307,'Returns (Calc)'!$A:$A)+1)-'Price History'!N3)*(ROW()-3)/(MATCH(9.99E+307,'Returns (Calc)'!$A:$A)-3),"")</f>
        <v>482.0458860759494</v>
      </c>
      <c r="AJ138" s="143">
        <f>IFERROR('Price History'!O3+(INDEX('Price History'!O:O,MATCH(9.99E+307,'Returns (Calc)'!$A:$A)+1)-'Price History'!O3)*(ROW()-3)/(MATCH(9.99E+307,'Returns (Calc)'!$A:$A)-3),"")</f>
        <v>113.52012658227848</v>
      </c>
      <c r="AK138" s="143">
        <f>IFERROR('Price History'!Q3+(INDEX('Price History'!Q:Q,MATCH(9.99E+307,'Returns (Calc)'!$A:$A)+1)-'Price History'!Q3)*(ROW()-3)/(MATCH(9.99E+307,'Returns (Calc)'!$A:$A)-3),"")</f>
        <v>59.314556962025321</v>
      </c>
      <c r="AL138" s="143">
        <f>IFERROR('Price History'!R3+(INDEX('Price History'!R:R,MATCH(9.99E+307,'Returns (Calc)'!$A:$A)+1)-'Price History'!R3)*(ROW()-3)/(MATCH(9.99E+307,'Returns (Calc)'!$A:$A)-3),"")</f>
        <v>57.173670886075953</v>
      </c>
      <c r="AM138" s="143">
        <f>IFERROR('Price History'!S3+(INDEX('Price History'!S:S,MATCH(9.99E+307,'Returns (Calc)'!$A:$A)+1)-'Price History'!S3)*(ROW()-3)/(MATCH(9.99E+307,'Returns (Calc)'!$A:$A)-3),"")</f>
        <v>139.31354430379747</v>
      </c>
      <c r="AN138" s="143">
        <f>IFERROR('Price History'!T3+(INDEX('Price History'!T:T,MATCH(9.99E+307,'Returns (Calc)'!$A:$A)+1)-'Price History'!T3)*(ROW()-3)/(MATCH(9.99E+307,'Returns (Calc)'!$A:$A)-3),"")</f>
        <v>47.950759493670887</v>
      </c>
      <c r="AO138" s="144">
        <f>IFERROR('Price History'!V3+(INDEX('Price History'!V:V,MATCH(9.99E+307,'Returns (Calc)'!$A:$A)+1)-'Price History'!V3)*(ROW()-3)/(MATCH(9.99E+307,'Returns (Calc)'!$A:$A)-3),"")</f>
        <v>342.45943037974683</v>
      </c>
      <c r="AP138" s="142">
        <f>IFERROR(IF(OR(NOT(ISNUMBER('Price History'!W139)),NOT(ISNUMBER('Price History'!W138)),'Price History'!W138=0),"",'Price History'!W139/'Price History'!W138-1),"")</f>
        <v>-1.0437051532943276E-3</v>
      </c>
      <c r="AQ138" s="142">
        <f>IFERROR(IF(OR(NOT(ISNUMBER('Price History'!X139)),NOT(ISNUMBER('Price History'!X138)),'Price History'!X138=0),"",'Price History'!X139/'Price History'!X138-1),"")</f>
        <v>1.3354281225451681E-2</v>
      </c>
      <c r="AR138" s="142">
        <f>IFERROR(IF(OR(NOT(ISNUMBER('Price History'!Y139)),NOT(ISNUMBER('Price History'!Y138)),'Price History'!Y138=0),"",'Price History'!Y139/'Price History'!Y138-1),"")</f>
        <v>-8.1095692917643181E-3</v>
      </c>
      <c r="AS138" s="142">
        <f>IFERROR(IF(OR(NOT(ISNUMBER('Price History'!Z139)),NOT(ISNUMBER('Price History'!Z138)),'Price History'!Z138=0),"",'Price History'!Z139/'Price History'!Z138-1),"")</f>
        <v>-6.419753086419755E-2</v>
      </c>
      <c r="AT138" s="142">
        <f>IFERROR(IF(OR(NOT(ISNUMBER('Price History'!AA139)),NOT(ISNUMBER('Price History'!AA138)),'Price History'!AA138=0),"",'Price History'!AA139/'Price History'!AA138-1),"")</f>
        <v>-5.0046243962593828E-2</v>
      </c>
    </row>
    <row r="139" spans="1:46" ht="15" customHeight="1" x14ac:dyDescent="0.35">
      <c r="A139" s="140">
        <f>IF('Price History'!A140="","",'Price History'!A140)</f>
        <v>46143</v>
      </c>
      <c r="B139" s="141">
        <f>IFERROR(IF(OR(NOT(ISNUMBER('Price History'!B140)),NOT(ISNUMBER('Price History'!B139)),'Price History'!B139=0),"",'Price History'!B140/'Price History'!B139-1),"")</f>
        <v>2.1471642764015586E-2</v>
      </c>
      <c r="C139" s="141">
        <f>IFERROR(IF(OR(NOT(ISNUMBER('Price History'!C140)),NOT(ISNUMBER('Price History'!C139)),'Price History'!C139=0),"",'Price History'!C140/'Price History'!C139-1),"")</f>
        <v>-2.3797411112995381E-2</v>
      </c>
      <c r="D139" s="141">
        <f>IFERROR(IF(OR(NOT(ISNUMBER('Price History'!D140)),NOT(ISNUMBER('Price History'!D139)),'Price History'!D139=0),"",'Price History'!D140/'Price History'!D139-1),"")</f>
        <v>-1.8903513602819721E-2</v>
      </c>
      <c r="E139" s="141">
        <f>IFERROR(IF(OR(NOT(ISNUMBER('Price History'!E140)),NOT(ISNUMBER('Price History'!E139)),'Price History'!E139=0),"",'Price History'!E140/'Price History'!E139-1),"")</f>
        <v>-3.4890344631158809E-3</v>
      </c>
      <c r="F139" s="141">
        <f>IFERROR(IF(OR(NOT(ISNUMBER('Price History'!F140)),NOT(ISNUMBER('Price History'!F139)),'Price History'!F139=0),"",'Price History'!F140/'Price History'!F139-1),"")</f>
        <v>1.6781219316254425E-2</v>
      </c>
      <c r="G139" s="141">
        <f>IFERROR(IF(OR(NOT(ISNUMBER('Price History'!G140)),NOT(ISNUMBER('Price History'!G139)),'Price History'!G139=0),"",'Price History'!G140/'Price History'!G139-1),"")</f>
        <v>-0.10790509738914211</v>
      </c>
      <c r="H139" s="141">
        <f>IFERROR(IF(OR(NOT(ISNUMBER('Price History'!H140)),NOT(ISNUMBER('Price History'!H139)),'Price History'!H139=0),"",'Price History'!H140/'Price History'!H139-1),"")</f>
        <v>9.1595521907216426E-2</v>
      </c>
      <c r="I139" s="141">
        <f>IFERROR(IF(OR(NOT(ISNUMBER('Price History'!I140)),NOT(ISNUMBER('Price History'!I139)),'Price History'!I139=0),"",'Price History'!I140/'Price History'!I139-1),"")</f>
        <v>-4.7160731472569828E-2</v>
      </c>
      <c r="J139" s="141">
        <f>IFERROR(IF(OR(NOT(ISNUMBER('Price History'!J140)),NOT(ISNUMBER('Price History'!J139)),'Price History'!J139=0),"",'Price History'!J140/'Price History'!J139-1),"")</f>
        <v>-4.7870820234353628E-3</v>
      </c>
      <c r="K139" s="141">
        <f>IFERROR(IF(OR(NOT(ISNUMBER('Price History'!K140)),NOT(ISNUMBER('Price History'!K139)),'Price History'!K139=0),"",'Price History'!K140/'Price History'!K139-1),"")</f>
        <v>6.8488363966734411E-3</v>
      </c>
      <c r="L139" s="141">
        <f>IFERROR(IF(OR(NOT(ISNUMBER('Price History'!L140)),NOT(ISNUMBER('Price History'!L139)),'Price History'!L139=0),"",'Price History'!L140/'Price History'!L139-1),"")</f>
        <v>-1.1911599450618038E-2</v>
      </c>
      <c r="M139" s="141">
        <f>IFERROR(IF(OR(NOT(ISNUMBER('Price History'!M140)),NOT(ISNUMBER('Price History'!M139)),'Price History'!M139=0),"",'Price History'!M140/'Price History'!M139-1),"")</f>
        <v>1.5001082552349221E-2</v>
      </c>
      <c r="N139" s="141">
        <f>IFERROR(IF(OR(NOT(ISNUMBER('Price History'!N140)),NOT(ISNUMBER('Price History'!N139)),'Price History'!N139=0),"",'Price History'!N140/'Price History'!N139-1),"")</f>
        <v>-1.4803969415975282E-2</v>
      </c>
      <c r="O139" s="141">
        <f>IFERROR(IF(OR(NOT(ISNUMBER('Price History'!O140)),NOT(ISNUMBER('Price History'!O139)),'Price History'!O139=0),"",'Price History'!O140/'Price History'!O139-1),"")</f>
        <v>8.379888268156277E-3</v>
      </c>
      <c r="P139" s="141">
        <f>IFERROR(IF(OR(NOT(ISNUMBER('Price History'!P140)),NOT(ISNUMBER('Price History'!P139)),'Price History'!P139=0),"",'Price History'!P140/'Price History'!P139-1),"")</f>
        <v>1.7928819909017957E-2</v>
      </c>
      <c r="Q139" s="141">
        <f>IFERROR(IF(OR(NOT(ISNUMBER('Price History'!Q140)),NOT(ISNUMBER('Price History'!Q139)),'Price History'!Q139=0),"",'Price History'!Q140/'Price History'!Q139-1),"")</f>
        <v>4.0250447227190289E-3</v>
      </c>
      <c r="R139" s="141">
        <f>IFERROR(IF(OR(NOT(ISNUMBER('Price History'!R140)),NOT(ISNUMBER('Price History'!R139)),'Price History'!R139=0),"",'Price History'!R140/'Price History'!R139-1),"")</f>
        <v>7.9408049088613986E-3</v>
      </c>
      <c r="S139" s="141">
        <f>IFERROR(IF(OR(NOT(ISNUMBER('Price History'!S140)),NOT(ISNUMBER('Price History'!S139)),'Price History'!S139=0),"",'Price History'!S140/'Price History'!S139-1),"")</f>
        <v>2.2120518688024449E-2</v>
      </c>
      <c r="T139" s="141">
        <f>IFERROR(IF(OR(NOT(ISNUMBER('Price History'!T140)),NOT(ISNUMBER('Price History'!T139)),'Price History'!T139=0),"",'Price History'!T140/'Price History'!T139-1),"")</f>
        <v>2.564102564102555E-2</v>
      </c>
      <c r="U139" s="141">
        <f>IFERROR(IF(OR(NOT(ISNUMBER('Price History'!U140)),NOT(ISNUMBER('Price History'!U139)),'Price History'!U139=0),"",'Price History'!U140/'Price History'!U139-1),"")</f>
        <v>2.116574405731031E-2</v>
      </c>
      <c r="V139" s="142">
        <f>IFERROR(IF(OR(NOT(ISNUMBER('Price History'!V140)),NOT(ISNUMBER('Price History'!V139)),'Price History'!V139=0),"",'Price History'!V140/'Price History'!V139-1),"")</f>
        <v>6.0121345835631557E-2</v>
      </c>
      <c r="W139" s="143">
        <f>IFERROR('Price History'!B3+(INDEX('Price History'!B:B,MATCH(9.99E+307,'Returns (Calc)'!$A:$A)+1)-'Price History'!B3)*(ROW()-3)/(MATCH(9.99E+307,'Returns (Calc)'!$A:$A)-3),"")</f>
        <v>278.23683544303799</v>
      </c>
      <c r="X139" s="143">
        <f>IFERROR('Price History'!C3+(INDEX('Price History'!C:C,MATCH(9.99E+307,'Returns (Calc)'!$A:$A)+1)-'Price History'!C3)*(ROW()-3)/(MATCH(9.99E+307,'Returns (Calc)'!$A:$A)-3),"")</f>
        <v>184.90860759493671</v>
      </c>
      <c r="Y139" s="143">
        <f>IFERROR('Price History'!D3+(INDEX('Price History'!D:D,MATCH(9.99E+307,'Returns (Calc)'!$A:$A)+1)-'Price History'!D3)*(ROW()-3)/(MATCH(9.99E+307,'Returns (Calc)'!$A:$A)-3),"")</f>
        <v>1688.3441772151898</v>
      </c>
      <c r="Z139" s="143">
        <f>IFERROR('Price History'!E3+(INDEX('Price History'!E:E,MATCH(9.99E+307,'Returns (Calc)'!$A:$A)+1)-'Price History'!E3)*(ROW()-3)/(MATCH(9.99E+307,'Returns (Calc)'!$A:$A)-3),"")</f>
        <v>317.10784810126586</v>
      </c>
      <c r="AA139" s="143">
        <f>IFERROR('Price History'!F3+(INDEX('Price History'!F:F,MATCH(9.99E+307,'Returns (Calc)'!$A:$A)+1)-'Price History'!F3)*(ROW()-3)/(MATCH(9.99E+307,'Returns (Calc)'!$A:$A)-3),"")</f>
        <v>238.19848101265825</v>
      </c>
      <c r="AB139" s="143">
        <f>IFERROR('Price History'!G3+(INDEX('Price History'!G:G,MATCH(9.99E+307,'Returns (Calc)'!$A:$A)+1)-'Price History'!G3)*(ROW()-3)/(MATCH(9.99E+307,'Returns (Calc)'!$A:$A)-3),"")</f>
        <v>184.25784810126581</v>
      </c>
      <c r="AC139" s="143">
        <f>IFERROR('Price History'!H3+(INDEX('Price History'!H:H,MATCH(9.99E+307,'Returns (Calc)'!$A:$A)+1)-'Price History'!H3)*(ROW()-3)/(MATCH(9.99E+307,'Returns (Calc)'!$A:$A)-3),"")</f>
        <v>934.84468354430396</v>
      </c>
      <c r="AD139" s="143">
        <f>IFERROR('Price History'!I3+(INDEX('Price History'!I:I,MATCH(9.99E+307,'Returns (Calc)'!$A:$A)+1)-'Price History'!I3)*(ROW()-3)/(MATCH(9.99E+307,'Returns (Calc)'!$A:$A)-3),"")</f>
        <v>207.4692405063291</v>
      </c>
      <c r="AE139" s="143">
        <f>IFERROR('Price History'!J3+(INDEX('Price History'!J:J,MATCH(9.99E+307,'Returns (Calc)'!$A:$A)+1)-'Price History'!J3)*(ROW()-3)/(MATCH(9.99E+307,'Returns (Calc)'!$A:$A)-3),"")</f>
        <v>126.53316455696202</v>
      </c>
      <c r="AF139" s="143">
        <f>IFERROR('Price History'!K3+(INDEX('Price History'!K:K,MATCH(9.99E+307,'Returns (Calc)'!$A:$A)+1)-'Price History'!K3)*(ROW()-3)/(MATCH(9.99E+307,'Returns (Calc)'!$A:$A)-3),"")</f>
        <v>164.60291139240508</v>
      </c>
      <c r="AG139" s="143">
        <f>IFERROR('Price History'!L3+(INDEX('Price History'!L:L,MATCH(9.99E+307,'Returns (Calc)'!$A:$A)+1)-'Price History'!L3)*(ROW()-3)/(MATCH(9.99E+307,'Returns (Calc)'!$A:$A)-3),"")</f>
        <v>418.88974683544302</v>
      </c>
      <c r="AH139" s="143">
        <f>IFERROR('Price History'!M3+(INDEX('Price History'!M:M,MATCH(9.99E+307,'Returns (Calc)'!$A:$A)+1)-'Price History'!M3)*(ROW()-3)/(MATCH(9.99E+307,'Returns (Calc)'!$A:$A)-3),"")</f>
        <v>222.36025316455695</v>
      </c>
      <c r="AI139" s="143">
        <f>IFERROR('Price History'!N3+(INDEX('Price History'!N:N,MATCH(9.99E+307,'Returns (Calc)'!$A:$A)+1)-'Price History'!N3)*(ROW()-3)/(MATCH(9.99E+307,'Returns (Calc)'!$A:$A)-3),"")</f>
        <v>483.03215189873418</v>
      </c>
      <c r="AJ139" s="143">
        <f>IFERROR('Price History'!O3+(INDEX('Price History'!O:O,MATCH(9.99E+307,'Returns (Calc)'!$A:$A)+1)-'Price History'!O3)*(ROW()-3)/(MATCH(9.99E+307,'Returns (Calc)'!$A:$A)-3),"")</f>
        <v>113.80316455696203</v>
      </c>
      <c r="AK139" s="143">
        <f>IFERROR('Price History'!Q3+(INDEX('Price History'!Q:Q,MATCH(9.99E+307,'Returns (Calc)'!$A:$A)+1)-'Price History'!Q3)*(ROW()-3)/(MATCH(9.99E+307,'Returns (Calc)'!$A:$A)-3),"")</f>
        <v>59.753924050632918</v>
      </c>
      <c r="AL139" s="143">
        <f>IFERROR('Price History'!R3+(INDEX('Price History'!R:R,MATCH(9.99E+307,'Returns (Calc)'!$A:$A)+1)-'Price History'!R3)*(ROW()-3)/(MATCH(9.99E+307,'Returns (Calc)'!$A:$A)-3),"")</f>
        <v>57.341772151898738</v>
      </c>
      <c r="AM139" s="143">
        <f>IFERROR('Price History'!S3+(INDEX('Price History'!S:S,MATCH(9.99E+307,'Returns (Calc)'!$A:$A)+1)-'Price History'!S3)*(ROW()-3)/(MATCH(9.99E+307,'Returns (Calc)'!$A:$A)-3),"")</f>
        <v>139.9186075949367</v>
      </c>
      <c r="AN139" s="143">
        <f>IFERROR('Price History'!T3+(INDEX('Price History'!T:T,MATCH(9.99E+307,'Returns (Calc)'!$A:$A)+1)-'Price History'!T3)*(ROW()-3)/(MATCH(9.99E+307,'Returns (Calc)'!$A:$A)-3),"")</f>
        <v>48.118987341772154</v>
      </c>
      <c r="AO139" s="144">
        <f>IFERROR('Price History'!V3+(INDEX('Price History'!V:V,MATCH(9.99E+307,'Returns (Calc)'!$A:$A)+1)-'Price History'!V3)*(ROW()-3)/(MATCH(9.99E+307,'Returns (Calc)'!$A:$A)-3),"")</f>
        <v>343.2507594936709</v>
      </c>
      <c r="AP139" s="142">
        <f>IFERROR(IF(OR(NOT(ISNUMBER('Price History'!W140)),NOT(ISNUMBER('Price History'!W139)),'Price History'!W139=0),"",'Price History'!W140/'Price History'!W139-1),"")</f>
        <v>1.0121457489878694E-2</v>
      </c>
      <c r="AQ139" s="142">
        <f>IFERROR(IF(OR(NOT(ISNUMBER('Price History'!X140)),NOT(ISNUMBER('Price History'!X139)),'Price History'!X139=0),"",'Price History'!X140/'Price History'!X139-1),"")</f>
        <v>5.1356589147286691E-2</v>
      </c>
      <c r="AR139" s="142">
        <f>IFERROR(IF(OR(NOT(ISNUMBER('Price History'!Y140)),NOT(ISNUMBER('Price History'!Y139)),'Price History'!Y139=0),"",'Price History'!Y140/'Price History'!Y139-1),"")</f>
        <v>-9.08430232558044E-4</v>
      </c>
      <c r="AS139" s="142">
        <f>IFERROR(IF(OR(NOT(ISNUMBER('Price History'!Z140)),NOT(ISNUMBER('Price History'!Z139)),'Price History'!Z139=0),"",'Price History'!Z140/'Price History'!Z139-1),"")</f>
        <v>6.6842568161828986E-3</v>
      </c>
      <c r="AT139" s="142">
        <f>IFERROR(IF(OR(NOT(ISNUMBER('Price History'!AA140)),NOT(ISNUMBER('Price History'!AA139)),'Price History'!AA139=0),"",'Price History'!AA140/'Price History'!AA139-1),"")</f>
        <v>-4.1107745564690212E-3</v>
      </c>
    </row>
    <row r="140" spans="1:46" ht="15" customHeight="1" x14ac:dyDescent="0.35">
      <c r="A140" s="140">
        <f>IF('Price History'!A141="","",'Price History'!A141)</f>
        <v>46150</v>
      </c>
      <c r="B140" s="141">
        <f>IFERROR(IF(OR(NOT(ISNUMBER('Price History'!B141)),NOT(ISNUMBER('Price History'!B140)),'Price History'!B140=0),"",'Price History'!B141/'Price History'!B140-1),"")</f>
        <v>9.2936061585098262E-3</v>
      </c>
      <c r="C140" s="141">
        <f>IFERROR(IF(OR(NOT(ISNUMBER('Price History'!C141)),NOT(ISNUMBER('Price History'!C140)),'Price History'!C140=0),"",'Price History'!C141/'Price History'!C140-1),"")</f>
        <v>-0.17909669947886497</v>
      </c>
      <c r="D140" s="141">
        <f>IFERROR(IF(OR(NOT(ISNUMBER('Price History'!D141)),NOT(ISNUMBER('Price History'!D140)),'Price History'!D140=0),"",'Price History'!D141/'Price History'!D140-1),"")</f>
        <v>0.11562048302670536</v>
      </c>
      <c r="E140" s="141">
        <f>IFERROR(IF(OR(NOT(ISNUMBER('Price History'!E141)),NOT(ISNUMBER('Price History'!E140)),'Price History'!E140=0),"",'Price History'!E141/'Price History'!E140-1),"")</f>
        <v>2.0697868286292609E-2</v>
      </c>
      <c r="F140" s="141">
        <f>IFERROR(IF(OR(NOT(ISNUMBER('Price History'!F141)),NOT(ISNUMBER('Price History'!F140)),'Price History'!F140=0),"",'Price History'!F141/'Price History'!F140-1),"")</f>
        <v>0.15828285488543581</v>
      </c>
      <c r="G140" s="141">
        <f>IFERROR(IF(OR(NOT(ISNUMBER('Price History'!G141)),NOT(ISNUMBER('Price History'!G140)),'Price History'!G140=0),"",'Price History'!G141/'Price History'!G140-1),"")</f>
        <v>8.2805876546077517E-2</v>
      </c>
      <c r="H140" s="141">
        <f>IFERROR(IF(OR(NOT(ISNUMBER('Price History'!H141)),NOT(ISNUMBER('Price History'!H140)),'Price History'!H140=0),"",'Price History'!H141/'Price History'!H140-1),"")</f>
        <v>0.37734491727076547</v>
      </c>
      <c r="I140" s="141">
        <f>IFERROR(IF(OR(NOT(ISNUMBER('Price History'!I141)),NOT(ISNUMBER('Price History'!I140)),'Price History'!I140=0),"",'Price History'!I141/'Price History'!I140-1),"")</f>
        <v>8.4393939393939466E-2</v>
      </c>
      <c r="J140" s="141">
        <f>IFERROR(IF(OR(NOT(ISNUMBER('Price History'!J141)),NOT(ISNUMBER('Price History'!J140)),'Price History'!J140=0),"",'Price History'!J141/'Price History'!J140-1),"")</f>
        <v>1.8881470313733884E-2</v>
      </c>
      <c r="K140" s="141">
        <f>IFERROR(IF(OR(NOT(ISNUMBER('Price History'!K141)),NOT(ISNUMBER('Price History'!K140)),'Price History'!K140=0),"",'Price History'!K141/'Price History'!K140-1),"")</f>
        <v>-4.3520510862774864E-2</v>
      </c>
      <c r="L140" s="141">
        <f>IFERROR(IF(OR(NOT(ISNUMBER('Price History'!L141)),NOT(ISNUMBER('Price History'!L140)),'Price History'!L140=0),"",'Price History'!L141/'Price History'!L140-1),"")</f>
        <v>3.5230489284270083E-2</v>
      </c>
      <c r="M140" s="141">
        <f>IFERROR(IF(OR(NOT(ISNUMBER('Price History'!M141)),NOT(ISNUMBER('Price History'!M140)),'Price History'!M140=0),"",'Price History'!M141/'Price History'!M140-1),"")</f>
        <v>3.5531448074110017E-2</v>
      </c>
      <c r="N140" s="141">
        <f>IFERROR(IF(OR(NOT(ISNUMBER('Price History'!N141)),NOT(ISNUMBER('Price History'!N140)),'Price History'!N140=0),"",'Price History'!N141/'Price History'!N140-1),"")</f>
        <v>1.3917720324589489E-2</v>
      </c>
      <c r="O140" s="141">
        <f>IFERROR(IF(OR(NOT(ISNUMBER('Price History'!O141)),NOT(ISNUMBER('Price History'!O140)),'Price History'!O140=0),"",'Price History'!O141/'Price History'!O140-1),"")</f>
        <v>-1.0073029463610883E-3</v>
      </c>
      <c r="P140" s="141">
        <f>IFERROR(IF(OR(NOT(ISNUMBER('Price History'!P141)),NOT(ISNUMBER('Price History'!P140)),'Price History'!P140=0),"",'Price History'!P141/'Price History'!P140-1),"")</f>
        <v>-1.5181388012618258E-2</v>
      </c>
      <c r="Q140" s="141">
        <f>IFERROR(IF(OR(NOT(ISNUMBER('Price History'!Q141)),NOT(ISNUMBER('Price History'!Q140)),'Price History'!Q140=0),"",'Price History'!Q141/'Price History'!Q140-1),"")</f>
        <v>1.9302152932443306E-3</v>
      </c>
      <c r="R140" s="141">
        <f>IFERROR(IF(OR(NOT(ISNUMBER('Price History'!R141)),NOT(ISNUMBER('Price History'!R140)),'Price History'!R140=0),"",'Price History'!R141/'Price History'!R140-1),"")</f>
        <v>1.271262309758292E-2</v>
      </c>
      <c r="S140" s="141">
        <f>IFERROR(IF(OR(NOT(ISNUMBER('Price History'!S141)),NOT(ISNUMBER('Price History'!S140)),'Price History'!S140=0),"",'Price History'!S141/'Price History'!S140-1),"")</f>
        <v>6.9850746268656838E-2</v>
      </c>
      <c r="T140" s="141">
        <f>IFERROR(IF(OR(NOT(ISNUMBER('Price History'!T141)),NOT(ISNUMBER('Price History'!T140)),'Price History'!T140=0),"",'Price History'!T141/'Price History'!T140-1),"")</f>
        <v>2.4528301886792336E-2</v>
      </c>
      <c r="U140" s="141">
        <f>IFERROR(IF(OR(NOT(ISNUMBER('Price History'!U141)),NOT(ISNUMBER('Price History'!U140)),'Price History'!U140=0),"",'Price History'!U141/'Price History'!U140-1),"")</f>
        <v>-7.6530612244897211E-3</v>
      </c>
      <c r="V140" s="142">
        <f>IFERROR(IF(OR(NOT(ISNUMBER('Price History'!V141)),NOT(ISNUMBER('Price History'!V140)),'Price History'!V140=0),"",'Price History'!V141/'Price History'!V140-1),"")</f>
        <v>-2.8156944359429503E-2</v>
      </c>
      <c r="W140" s="143">
        <f>IFERROR('Price History'!B3+(INDEX('Price History'!B:B,MATCH(9.99E+307,'Returns (Calc)'!$A:$A)+1)-'Price History'!B3)*(ROW()-3)/(MATCH(9.99E+307,'Returns (Calc)'!$A:$A)-3),"")</f>
        <v>276.39379746835442</v>
      </c>
      <c r="X140" s="143">
        <f>IFERROR('Price History'!C3+(INDEX('Price History'!C:C,MATCH(9.99E+307,'Returns (Calc)'!$A:$A)+1)-'Price History'!C3)*(ROW()-3)/(MATCH(9.99E+307,'Returns (Calc)'!$A:$A)-3),"")</f>
        <v>185.92867088607593</v>
      </c>
      <c r="Y140" s="143">
        <f>IFERROR('Price History'!D3+(INDEX('Price History'!D:D,MATCH(9.99E+307,'Returns (Calc)'!$A:$A)+1)-'Price History'!D3)*(ROW()-3)/(MATCH(9.99E+307,'Returns (Calc)'!$A:$A)-3),"")</f>
        <v>1696.4789873417722</v>
      </c>
      <c r="Z140" s="143">
        <f>IFERROR('Price History'!E3+(INDEX('Price History'!E:E,MATCH(9.99E+307,'Returns (Calc)'!$A:$A)+1)-'Price History'!E3)*(ROW()-3)/(MATCH(9.99E+307,'Returns (Calc)'!$A:$A)-3),"")</f>
        <v>318.83658227848105</v>
      </c>
      <c r="AA140" s="143">
        <f>IFERROR('Price History'!F3+(INDEX('Price History'!F:F,MATCH(9.99E+307,'Returns (Calc)'!$A:$A)+1)-'Price History'!F3)*(ROW()-3)/(MATCH(9.99E+307,'Returns (Calc)'!$A:$A)-3),"")</f>
        <v>239.64582278481015</v>
      </c>
      <c r="AB140" s="143">
        <f>IFERROR('Price History'!G3+(INDEX('Price History'!G:G,MATCH(9.99E+307,'Returns (Calc)'!$A:$A)+1)-'Price History'!G3)*(ROW()-3)/(MATCH(9.99E+307,'Returns (Calc)'!$A:$A)-3),"")</f>
        <v>185.28658227848101</v>
      </c>
      <c r="AC140" s="143">
        <f>IFERROR('Price History'!H3+(INDEX('Price History'!H:H,MATCH(9.99E+307,'Returns (Calc)'!$A:$A)+1)-'Price History'!H3)*(ROW()-3)/(MATCH(9.99E+307,'Returns (Calc)'!$A:$A)-3),"")</f>
        <v>941.21037974683554</v>
      </c>
      <c r="AD140" s="143">
        <f>IFERROR('Price History'!I3+(INDEX('Price History'!I:I,MATCH(9.99E+307,'Returns (Calc)'!$A:$A)+1)-'Price History'!I3)*(ROW()-3)/(MATCH(9.99E+307,'Returns (Calc)'!$A:$A)-3),"")</f>
        <v>208.67291139240504</v>
      </c>
      <c r="AE140" s="143">
        <f>IFERROR('Price History'!J3+(INDEX('Price History'!J:J,MATCH(9.99E+307,'Returns (Calc)'!$A:$A)+1)-'Price History'!J3)*(ROW()-3)/(MATCH(9.99E+307,'Returns (Calc)'!$A:$A)-3),"")</f>
        <v>126.64120253164558</v>
      </c>
      <c r="AF140" s="143">
        <f>IFERROR('Price History'!K3+(INDEX('Price History'!K:K,MATCH(9.99E+307,'Returns (Calc)'!$A:$A)+1)-'Price History'!K3)*(ROW()-3)/(MATCH(9.99E+307,'Returns (Calc)'!$A:$A)-3),"")</f>
        <v>165.70050632911392</v>
      </c>
      <c r="AG140" s="143">
        <f>IFERROR('Price History'!L3+(INDEX('Price History'!L:L,MATCH(9.99E+307,'Returns (Calc)'!$A:$A)+1)-'Price History'!L3)*(ROW()-3)/(MATCH(9.99E+307,'Returns (Calc)'!$A:$A)-3),"")</f>
        <v>421.33930379746829</v>
      </c>
      <c r="AH140" s="143">
        <f>IFERROR('Price History'!M3+(INDEX('Price History'!M:M,MATCH(9.99E+307,'Returns (Calc)'!$A:$A)+1)-'Price History'!M3)*(ROW()-3)/(MATCH(9.99E+307,'Returns (Calc)'!$A:$A)-3),"")</f>
        <v>223.71569620253163</v>
      </c>
      <c r="AI140" s="143">
        <f>IFERROR('Price History'!N3+(INDEX('Price History'!N:N,MATCH(9.99E+307,'Returns (Calc)'!$A:$A)+1)-'Price History'!N3)*(ROW()-3)/(MATCH(9.99E+307,'Returns (Calc)'!$A:$A)-3),"")</f>
        <v>484.01841772151897</v>
      </c>
      <c r="AJ140" s="143">
        <f>IFERROR('Price History'!O3+(INDEX('Price History'!O:O,MATCH(9.99E+307,'Returns (Calc)'!$A:$A)+1)-'Price History'!O3)*(ROW()-3)/(MATCH(9.99E+307,'Returns (Calc)'!$A:$A)-3),"")</f>
        <v>114.08620253164557</v>
      </c>
      <c r="AK140" s="143">
        <f>IFERROR('Price History'!Q3+(INDEX('Price History'!Q:Q,MATCH(9.99E+307,'Returns (Calc)'!$A:$A)+1)-'Price History'!Q3)*(ROW()-3)/(MATCH(9.99E+307,'Returns (Calc)'!$A:$A)-3),"")</f>
        <v>60.193291139240515</v>
      </c>
      <c r="AL140" s="143">
        <f>IFERROR('Price History'!R3+(INDEX('Price History'!R:R,MATCH(9.99E+307,'Returns (Calc)'!$A:$A)+1)-'Price History'!R3)*(ROW()-3)/(MATCH(9.99E+307,'Returns (Calc)'!$A:$A)-3),"")</f>
        <v>57.509873417721522</v>
      </c>
      <c r="AM140" s="143">
        <f>IFERROR('Price History'!S3+(INDEX('Price History'!S:S,MATCH(9.99E+307,'Returns (Calc)'!$A:$A)+1)-'Price History'!S3)*(ROW()-3)/(MATCH(9.99E+307,'Returns (Calc)'!$A:$A)-3),"")</f>
        <v>140.52367088607593</v>
      </c>
      <c r="AN140" s="143">
        <f>IFERROR('Price History'!T3+(INDEX('Price History'!T:T,MATCH(9.99E+307,'Returns (Calc)'!$A:$A)+1)-'Price History'!T3)*(ROW()-3)/(MATCH(9.99E+307,'Returns (Calc)'!$A:$A)-3),"")</f>
        <v>48.287215189873422</v>
      </c>
      <c r="AO140" s="144">
        <f>IFERROR('Price History'!V3+(INDEX('Price History'!V:V,MATCH(9.99E+307,'Returns (Calc)'!$A:$A)+1)-'Price History'!V3)*(ROW()-3)/(MATCH(9.99E+307,'Returns (Calc)'!$A:$A)-3),"")</f>
        <v>344.04208860759496</v>
      </c>
      <c r="AP140" s="142">
        <f>IFERROR(IF(OR(NOT(ISNUMBER('Price History'!W141)),NOT(ISNUMBER('Price History'!W140)),'Price History'!W140=0),"",'Price History'!W141/'Price History'!W140-1),"")</f>
        <v>-6.7231236666881466E-3</v>
      </c>
      <c r="AQ140" s="142">
        <f>IFERROR(IF(OR(NOT(ISNUMBER('Price History'!X141)),NOT(ISNUMBER('Price History'!X140)),'Price History'!X140=0),"",'Price History'!X141/'Price History'!X140-1),"")</f>
        <v>-3.5207373271889386E-2</v>
      </c>
      <c r="AR140" s="142">
        <f>IFERROR(IF(OR(NOT(ISNUMBER('Price History'!Y141)),NOT(ISNUMBER('Price History'!Y140)),'Price History'!Y140=0),"",'Price History'!Y141/'Price History'!Y140-1),"")</f>
        <v>-1.5275504637206838E-2</v>
      </c>
      <c r="AS140" s="142">
        <f>IFERROR(IF(OR(NOT(ISNUMBER('Price History'!Z141)),NOT(ISNUMBER('Price History'!Z140)),'Price History'!Z140=0),"",'Price History'!Z141/'Price History'!Z140-1),"")</f>
        <v>3.7148348768128558E-2</v>
      </c>
      <c r="AT140" s="142">
        <f>IFERROR(IF(OR(NOT(ISNUMBER('Price History'!AA141)),NOT(ISNUMBER('Price History'!AA140)),'Price History'!AA140=0),"",'Price History'!AA141/'Price History'!AA140-1),"")</f>
        <v>-4.9641538127308316E-2</v>
      </c>
    </row>
    <row r="141" spans="1:46" ht="15" customHeight="1" x14ac:dyDescent="0.35">
      <c r="A141" s="140">
        <f>IF('Price History'!A142="","",'Price History'!A142)</f>
        <v>46157</v>
      </c>
      <c r="B141" s="141">
        <f>IFERROR(IF(OR(NOT(ISNUMBER('Price History'!B142)),NOT(ISNUMBER('Price History'!B141)),'Price History'!B141=0),"",'Price History'!B142/'Price History'!B141-1),"")</f>
        <v>-2.1498577300031574E-2</v>
      </c>
      <c r="C141" s="141">
        <f>IFERROR(IF(OR(NOT(ISNUMBER('Price History'!C142)),NOT(ISNUMBER('Price History'!C141)),'Price History'!C141=0),"",'Price History'!C142/'Price History'!C141-1),"")</f>
        <v>1.4107356986667874E-3</v>
      </c>
      <c r="D141" s="141">
        <f>IFERROR(IF(OR(NOT(ISNUMBER('Price History'!D142)),NOT(ISNUMBER('Price History'!D141)),'Price History'!D141=0),"",'Price History'!D142/'Price History'!D141-1),"")</f>
        <v>-5.6661802812649431E-2</v>
      </c>
      <c r="E141" s="141">
        <f>IFERROR(IF(OR(NOT(ISNUMBER('Price History'!E142)),NOT(ISNUMBER('Price History'!E141)),'Price History'!E141=0),"",'Price History'!E142/'Price History'!E141-1),"")</f>
        <v>-1.1177486348998955E-2</v>
      </c>
      <c r="F141" s="141">
        <f>IFERROR(IF(OR(NOT(ISNUMBER('Price History'!F142)),NOT(ISNUMBER('Price History'!F141)),'Price History'!F141=0),"",'Price History'!F142/'Price History'!F141-1),"")</f>
        <v>0.12566318023343959</v>
      </c>
      <c r="G141" s="141">
        <f>IFERROR(IF(OR(NOT(ISNUMBER('Price History'!G142)),NOT(ISNUMBER('Price History'!G141)),'Price History'!G141=0),"",'Price History'!G142/'Price History'!G141-1),"")</f>
        <v>-3.4697270338392205E-2</v>
      </c>
      <c r="H141" s="141">
        <f>IFERROR(IF(OR(NOT(ISNUMBER('Price History'!H142)),NOT(ISNUMBER('Price History'!H141)),'Price History'!H141=0),"",'Price History'!H142/'Price History'!H141-1),"")</f>
        <v>-2.9663854292219183E-2</v>
      </c>
      <c r="I141" s="141">
        <f>IFERROR(IF(OR(NOT(ISNUMBER('Price History'!I142)),NOT(ISNUMBER('Price History'!I141)),'Price History'!I141=0),"",'Price History'!I142/'Price History'!I141-1),"")</f>
        <v>4.7040193749708914E-2</v>
      </c>
      <c r="J141" s="141">
        <f>IFERROR(IF(OR(NOT(ISNUMBER('Price History'!J142)),NOT(ISNUMBER('Price History'!J141)),'Price History'!J141=0),"",'Price History'!J142/'Price History'!J141-1),"")</f>
        <v>-2.466178128523111E-2</v>
      </c>
      <c r="K141" s="141">
        <f>IFERROR(IF(OR(NOT(ISNUMBER('Price History'!K142)),NOT(ISNUMBER('Price History'!K141)),'Price History'!K141=0),"",'Price History'!K142/'Price History'!K141-1),"")</f>
        <v>-2.7648766328011609E-2</v>
      </c>
      <c r="L141" s="141">
        <f>IFERROR(IF(OR(NOT(ISNUMBER('Price History'!L142)),NOT(ISNUMBER('Price History'!L141)),'Price History'!L141=0),"",'Price History'!L142/'Price History'!L141-1),"")</f>
        <v>-1.7796982569210584E-2</v>
      </c>
      <c r="M141" s="141">
        <f>IFERROR(IF(OR(NOT(ISNUMBER('Price History'!M142)),NOT(ISNUMBER('Price History'!M141)),'Price History'!M141=0),"",'Price History'!M142/'Price History'!M141-1),"")</f>
        <v>9.1077629333176313E-2</v>
      </c>
      <c r="N141" s="141">
        <f>IFERROR(IF(OR(NOT(ISNUMBER('Price History'!N142)),NOT(ISNUMBER('Price History'!N141)),'Price History'!N141=0),"",'Price History'!N142/'Price History'!N141-1),"")</f>
        <v>1.6588339304825173E-2</v>
      </c>
      <c r="O141" s="141">
        <f>IFERROR(IF(OR(NOT(ISNUMBER('Price History'!O142)),NOT(ISNUMBER('Price History'!O141)),'Price History'!O141=0),"",'Price History'!O142/'Price History'!O141-1),"")</f>
        <v>-2.1594823964372845E-2</v>
      </c>
      <c r="P141" s="141">
        <f>IFERROR(IF(OR(NOT(ISNUMBER('Price History'!P142)),NOT(ISNUMBER('Price History'!P141)),'Price History'!P141=0),"",'Price History'!P142/'Price History'!P141-1),"")</f>
        <v>-8.6753420086752575E-3</v>
      </c>
      <c r="Q141" s="141">
        <f>IFERROR(IF(OR(NOT(ISNUMBER('Price History'!Q142)),NOT(ISNUMBER('Price History'!Q141)),'Price History'!Q141=0),"",'Price History'!Q142/'Price History'!Q141-1),"")</f>
        <v>2.9638411381149865E-4</v>
      </c>
      <c r="R141" s="141">
        <f>IFERROR(IF(OR(NOT(ISNUMBER('Price History'!R142)),NOT(ISNUMBER('Price History'!R141)),'Price History'!R141=0),"",'Price History'!R142/'Price History'!R141-1),"")</f>
        <v>2.652050919377702E-3</v>
      </c>
      <c r="S141" s="141">
        <f>IFERROR(IF(OR(NOT(ISNUMBER('Price History'!S142)),NOT(ISNUMBER('Price History'!S141)),'Price History'!S141=0),"",'Price History'!S142/'Price History'!S141-1),"")</f>
        <v>-2.3018973214286031E-3</v>
      </c>
      <c r="T141" s="141">
        <f>IFERROR(IF(OR(NOT(ISNUMBER('Price History'!T142)),NOT(ISNUMBER('Price History'!T141)),'Price History'!T141=0),"",'Price History'!T142/'Price History'!T141-1),"")</f>
        <v>-2.5782688766114115E-2</v>
      </c>
      <c r="U141" s="141">
        <f>IFERROR(IF(OR(NOT(ISNUMBER('Price History'!U142)),NOT(ISNUMBER('Price History'!U141)),'Price History'!U141=0),"",'Price History'!U142/'Price History'!U141-1),"")</f>
        <v>3.2133676092545027E-3</v>
      </c>
      <c r="V141" s="142">
        <f>IFERROR(IF(OR(NOT(ISNUMBER('Price History'!V142)),NOT(ISNUMBER('Price History'!V141)),'Price History'!V141=0),"",'Price History'!V142/'Price History'!V141-1),"")</f>
        <v>2.3965484663349468E-2</v>
      </c>
      <c r="W141" s="143">
        <f>IFERROR('Price History'!B3+(INDEX('Price History'!B:B,MATCH(9.99E+307,'Returns (Calc)'!$A:$A)+1)-'Price History'!B3)*(ROW()-3)/(MATCH(9.99E+307,'Returns (Calc)'!$A:$A)-3),"")</f>
        <v>274.55075949367085</v>
      </c>
      <c r="X141" s="143">
        <f>IFERROR('Price History'!C3+(INDEX('Price History'!C:C,MATCH(9.99E+307,'Returns (Calc)'!$A:$A)+1)-'Price History'!C3)*(ROW()-3)/(MATCH(9.99E+307,'Returns (Calc)'!$A:$A)-3),"")</f>
        <v>186.94873417721519</v>
      </c>
      <c r="Y141" s="143">
        <f>IFERROR('Price History'!D3+(INDEX('Price History'!D:D,MATCH(9.99E+307,'Returns (Calc)'!$A:$A)+1)-'Price History'!D3)*(ROW()-3)/(MATCH(9.99E+307,'Returns (Calc)'!$A:$A)-3),"")</f>
        <v>1704.6137974683543</v>
      </c>
      <c r="Z141" s="143">
        <f>IFERROR('Price History'!E3+(INDEX('Price History'!E:E,MATCH(9.99E+307,'Returns (Calc)'!$A:$A)+1)-'Price History'!E3)*(ROW()-3)/(MATCH(9.99E+307,'Returns (Calc)'!$A:$A)-3),"")</f>
        <v>320.56531645569623</v>
      </c>
      <c r="AA141" s="143">
        <f>IFERROR('Price History'!F3+(INDEX('Price History'!F:F,MATCH(9.99E+307,'Returns (Calc)'!$A:$A)+1)-'Price History'!F3)*(ROW()-3)/(MATCH(9.99E+307,'Returns (Calc)'!$A:$A)-3),"")</f>
        <v>241.09316455696205</v>
      </c>
      <c r="AB141" s="143">
        <f>IFERROR('Price History'!G3+(INDEX('Price History'!G:G,MATCH(9.99E+307,'Returns (Calc)'!$A:$A)+1)-'Price History'!G3)*(ROW()-3)/(MATCH(9.99E+307,'Returns (Calc)'!$A:$A)-3),"")</f>
        <v>186.31531645569621</v>
      </c>
      <c r="AC141" s="143">
        <f>IFERROR('Price History'!H3+(INDEX('Price History'!H:H,MATCH(9.99E+307,'Returns (Calc)'!$A:$A)+1)-'Price History'!H3)*(ROW()-3)/(MATCH(9.99E+307,'Returns (Calc)'!$A:$A)-3),"")</f>
        <v>947.57607594936724</v>
      </c>
      <c r="AD141" s="143">
        <f>IFERROR('Price History'!I3+(INDEX('Price History'!I:I,MATCH(9.99E+307,'Returns (Calc)'!$A:$A)+1)-'Price History'!I3)*(ROW()-3)/(MATCH(9.99E+307,'Returns (Calc)'!$A:$A)-3),"")</f>
        <v>209.87658227848101</v>
      </c>
      <c r="AE141" s="143">
        <f>IFERROR('Price History'!J3+(INDEX('Price History'!J:J,MATCH(9.99E+307,'Returns (Calc)'!$A:$A)+1)-'Price History'!J3)*(ROW()-3)/(MATCH(9.99E+307,'Returns (Calc)'!$A:$A)-3),"")</f>
        <v>126.74924050632912</v>
      </c>
      <c r="AF141" s="143">
        <f>IFERROR('Price History'!K3+(INDEX('Price History'!K:K,MATCH(9.99E+307,'Returns (Calc)'!$A:$A)+1)-'Price History'!K3)*(ROW()-3)/(MATCH(9.99E+307,'Returns (Calc)'!$A:$A)-3),"")</f>
        <v>166.79810126582279</v>
      </c>
      <c r="AG141" s="143">
        <f>IFERROR('Price History'!L3+(INDEX('Price History'!L:L,MATCH(9.99E+307,'Returns (Calc)'!$A:$A)+1)-'Price History'!L3)*(ROW()-3)/(MATCH(9.99E+307,'Returns (Calc)'!$A:$A)-3),"")</f>
        <v>423.78886075949367</v>
      </c>
      <c r="AH141" s="143">
        <f>IFERROR('Price History'!M3+(INDEX('Price History'!M:M,MATCH(9.99E+307,'Returns (Calc)'!$A:$A)+1)-'Price History'!M3)*(ROW()-3)/(MATCH(9.99E+307,'Returns (Calc)'!$A:$A)-3),"")</f>
        <v>225.07113924050634</v>
      </c>
      <c r="AI141" s="143">
        <f>IFERROR('Price History'!N3+(INDEX('Price History'!N:N,MATCH(9.99E+307,'Returns (Calc)'!$A:$A)+1)-'Price History'!N3)*(ROW()-3)/(MATCH(9.99E+307,'Returns (Calc)'!$A:$A)-3),"")</f>
        <v>485.00468354430382</v>
      </c>
      <c r="AJ141" s="143">
        <f>IFERROR('Price History'!O3+(INDEX('Price History'!O:O,MATCH(9.99E+307,'Returns (Calc)'!$A:$A)+1)-'Price History'!O3)*(ROW()-3)/(MATCH(9.99E+307,'Returns (Calc)'!$A:$A)-3),"")</f>
        <v>114.36924050632911</v>
      </c>
      <c r="AK141" s="143">
        <f>IFERROR('Price History'!Q3+(INDEX('Price History'!Q:Q,MATCH(9.99E+307,'Returns (Calc)'!$A:$A)+1)-'Price History'!Q3)*(ROW()-3)/(MATCH(9.99E+307,'Returns (Calc)'!$A:$A)-3),"")</f>
        <v>60.632658227848104</v>
      </c>
      <c r="AL141" s="143">
        <f>IFERROR('Price History'!R3+(INDEX('Price History'!R:R,MATCH(9.99E+307,'Returns (Calc)'!$A:$A)+1)-'Price History'!R3)*(ROW()-3)/(MATCH(9.99E+307,'Returns (Calc)'!$A:$A)-3),"")</f>
        <v>57.677974683544306</v>
      </c>
      <c r="AM141" s="143">
        <f>IFERROR('Price History'!S3+(INDEX('Price History'!S:S,MATCH(9.99E+307,'Returns (Calc)'!$A:$A)+1)-'Price History'!S3)*(ROW()-3)/(MATCH(9.99E+307,'Returns (Calc)'!$A:$A)-3),"")</f>
        <v>141.12873417721519</v>
      </c>
      <c r="AN141" s="143">
        <f>IFERROR('Price History'!T3+(INDEX('Price History'!T:T,MATCH(9.99E+307,'Returns (Calc)'!$A:$A)+1)-'Price History'!T3)*(ROW()-3)/(MATCH(9.99E+307,'Returns (Calc)'!$A:$A)-3),"")</f>
        <v>48.455443037974689</v>
      </c>
      <c r="AO141" s="144">
        <f>IFERROR('Price History'!V3+(INDEX('Price History'!V:V,MATCH(9.99E+307,'Returns (Calc)'!$A:$A)+1)-'Price History'!V3)*(ROW()-3)/(MATCH(9.99E+307,'Returns (Calc)'!$A:$A)-3),"")</f>
        <v>344.83341772151903</v>
      </c>
      <c r="AP141" s="142">
        <f>IFERROR(IF(OR(NOT(ISNUMBER('Price History'!W142)),NOT(ISNUMBER('Price History'!W141)),'Price History'!W141=0),"",'Price History'!W142/'Price History'!W141-1),"")</f>
        <v>1.9524894240154911E-3</v>
      </c>
      <c r="AQ141" s="142">
        <f>IFERROR(IF(OR(NOT(ISNUMBER('Price History'!X142)),NOT(ISNUMBER('Price History'!X141)),'Price History'!X141=0),"",'Price History'!X142/'Price History'!X141-1),"")</f>
        <v>4.1268628200229251E-2</v>
      </c>
      <c r="AR141" s="142">
        <f>IFERROR(IF(OR(NOT(ISNUMBER('Price History'!Y142)),NOT(ISNUMBER('Price History'!Y141)),'Price History'!Y141=0),"",'Price History'!Y142/'Price History'!Y141-1),"")</f>
        <v>-1.1080332409971749E-3</v>
      </c>
      <c r="AS141" s="142">
        <f>IFERROR(IF(OR(NOT(ISNUMBER('Price History'!Z142)),NOT(ISNUMBER('Price History'!Z141)),'Price History'!Z141=0),"",'Price History'!Z142/'Price History'!Z141-1),"")</f>
        <v>-5.2564188961520153E-2</v>
      </c>
      <c r="AT141" s="142">
        <f>IFERROR(IF(OR(NOT(ISNUMBER('Price History'!AA142)),NOT(ISNUMBER('Price History'!AA141)),'Price History'!AA141=0),"",'Price History'!AA142/'Price History'!AA141-1),"")</f>
        <v>-5.3720425191450261E-3</v>
      </c>
    </row>
    <row r="142" spans="1:46" ht="15" customHeight="1" x14ac:dyDescent="0.35">
      <c r="A142" s="140">
        <f>IF('Price History'!A143="","",'Price History'!A143)</f>
        <v>46164</v>
      </c>
      <c r="B142" s="141">
        <f>IFERROR(IF(OR(NOT(ISNUMBER('Price History'!B143)),NOT(ISNUMBER('Price History'!B142)),'Price History'!B142=0),"",'Price History'!B143/'Price History'!B142-1),"")</f>
        <v>-1.1470113085621958E-2</v>
      </c>
      <c r="C142" s="141">
        <f>IFERROR(IF(OR(NOT(ISNUMBER('Price History'!C143)),NOT(ISNUMBER('Price History'!C142)),'Price History'!C142=0),"",'Price History'!C143/'Price History'!C142-1),"")</f>
        <v>8.494752412481521E-2</v>
      </c>
      <c r="D142" s="141">
        <f>IFERROR(IF(OR(NOT(ISNUMBER('Price History'!D143)),NOT(ISNUMBER('Price History'!D142)),'Price History'!D142=0),"",'Price History'!D143/'Price History'!D142-1),"")</f>
        <v>8.7287564922293281E-2</v>
      </c>
      <c r="E142" s="141">
        <f>IFERROR(IF(OR(NOT(ISNUMBER('Price History'!E143)),NOT(ISNUMBER('Price History'!E142)),'Price History'!E142=0),"",'Price History'!E143/'Price History'!E142-1),"")</f>
        <v>-2.6005899705014657E-2</v>
      </c>
      <c r="F142" s="141">
        <f>IFERROR(IF(OR(NOT(ISNUMBER('Price History'!F143)),NOT(ISNUMBER('Price History'!F142)),'Price History'!F142=0),"",'Price History'!F143/'Price History'!F142-1),"")</f>
        <v>0.11681928359816851</v>
      </c>
      <c r="G142" s="141">
        <f>IFERROR(IF(OR(NOT(ISNUMBER('Price History'!G143)),NOT(ISNUMBER('Price History'!G142)),'Price History'!G142=0),"",'Price History'!G143/'Price History'!G142-1),"")</f>
        <v>4.788888888888887E-2</v>
      </c>
      <c r="H142" s="141">
        <f>IFERROR(IF(OR(NOT(ISNUMBER('Price History'!H143)),NOT(ISNUMBER('Price History'!H142)),'Price History'!H142=0),"",'Price History'!H143/'Price History'!H142-1),"")</f>
        <v>3.63397971154511E-2</v>
      </c>
      <c r="I142" s="141">
        <f>IFERROR(IF(OR(NOT(ISNUMBER('Price History'!I143)),NOT(ISNUMBER('Price History'!I142)),'Price History'!I142=0),"",'Price History'!I143/'Price History'!I142-1),"")</f>
        <v>-4.4348561007072629E-2</v>
      </c>
      <c r="J142" s="141">
        <f>IFERROR(IF(OR(NOT(ISNUMBER('Price History'!J143)),NOT(ISNUMBER('Price History'!J142)),'Price History'!J142=0),"",'Price History'!J143/'Price History'!J142-1),"")</f>
        <v>3.8217020661754253E-2</v>
      </c>
      <c r="K142" s="141">
        <f>IFERROR(IF(OR(NOT(ISNUMBER('Price History'!K143)),NOT(ISNUMBER('Price History'!K142)),'Price History'!K142=0),"",'Price History'!K143/'Price History'!K142-1),"")</f>
        <v>2.1568773789088613E-2</v>
      </c>
      <c r="L142" s="141">
        <f>IFERROR(IF(OR(NOT(ISNUMBER('Price History'!L143)),NOT(ISNUMBER('Price History'!L142)),'Price History'!L142=0),"",'Price History'!L143/'Price History'!L142-1),"")</f>
        <v>4.2253871200270687E-4</v>
      </c>
      <c r="M142" s="141">
        <f>IFERROR(IF(OR(NOT(ISNUMBER('Price History'!M143)),NOT(ISNUMBER('Price History'!M142)),'Price History'!M142=0),"",'Price History'!M143/'Price History'!M142-1),"")</f>
        <v>-0.11721552444911931</v>
      </c>
      <c r="N142" s="141">
        <f>IFERROR(IF(OR(NOT(ISNUMBER('Price History'!N143)),NOT(ISNUMBER('Price History'!N142)),'Price History'!N142=0),"",'Price History'!N143/'Price History'!N142-1),"")</f>
        <v>-5.5612770339855677E-3</v>
      </c>
      <c r="O142" s="141">
        <f>IFERROR(IF(OR(NOT(ISNUMBER('Price History'!O143)),NOT(ISNUMBER('Price History'!O142)),'Price History'!O142=0),"",'Price History'!O143/'Price History'!O142-1),"")</f>
        <v>2.370319477842675E-2</v>
      </c>
      <c r="P142" s="141">
        <f>IFERROR(IF(OR(NOT(ISNUMBER('Price History'!P143)),NOT(ISNUMBER('Price History'!P142)),'Price History'!P142=0),"",'Price History'!P143/'Price History'!P142-1),"")</f>
        <v>3.1773813530797668E-2</v>
      </c>
      <c r="Q142" s="141">
        <f>IFERROR(IF(OR(NOT(ISNUMBER('Price History'!Q143)),NOT(ISNUMBER('Price History'!Q142)),'Price History'!Q142=0),"",'Price History'!Q143/'Price History'!Q142-1),"")</f>
        <v>7.407407407407085E-4</v>
      </c>
      <c r="R142" s="141">
        <f>IFERROR(IF(OR(NOT(ISNUMBER('Price History'!R143)),NOT(ISNUMBER('Price History'!R142)),'Price History'!R142=0),"",'Price History'!R143/'Price History'!R142-1),"")</f>
        <v>7.4061012167165874E-3</v>
      </c>
      <c r="S142" s="141">
        <f>IFERROR(IF(OR(NOT(ISNUMBER('Price History'!S143)),NOT(ISNUMBER('Price History'!S142)),'Price History'!S142=0),"",'Price History'!S143/'Price History'!S142-1),"")</f>
        <v>1.0137733342655331E-2</v>
      </c>
      <c r="T142" s="141">
        <f>IFERROR(IF(OR(NOT(ISNUMBER('Price History'!T143)),NOT(ISNUMBER('Price History'!T142)),'Price History'!T142=0),"",'Price History'!T143/'Price History'!T142-1),"")</f>
        <v>3.969754253308122E-2</v>
      </c>
      <c r="U142" s="141">
        <f>IFERROR(IF(OR(NOT(ISNUMBER('Price History'!U143)),NOT(ISNUMBER('Price History'!U142)),'Price History'!U142=0),"",'Price History'!U143/'Price History'!U142-1),"")</f>
        <v>3.4913516976297299E-2</v>
      </c>
      <c r="V142" s="142">
        <f>IFERROR(IF(OR(NOT(ISNUMBER('Price History'!V143)),NOT(ISNUMBER('Price History'!V142)),'Price History'!V142=0),"",'Price History'!V143/'Price History'!V142-1),"")</f>
        <v>9.5955712747961552E-3</v>
      </c>
      <c r="W142" s="143">
        <f>IFERROR('Price History'!B3+(INDEX('Price History'!B:B,MATCH(9.99E+307,'Returns (Calc)'!$A:$A)+1)-'Price History'!B3)*(ROW()-3)/(MATCH(9.99E+307,'Returns (Calc)'!$A:$A)-3),"")</f>
        <v>272.70772151898734</v>
      </c>
      <c r="X142" s="143">
        <f>IFERROR('Price History'!C3+(INDEX('Price History'!C:C,MATCH(9.99E+307,'Returns (Calc)'!$A:$A)+1)-'Price History'!C3)*(ROW()-3)/(MATCH(9.99E+307,'Returns (Calc)'!$A:$A)-3),"")</f>
        <v>187.96879746835441</v>
      </c>
      <c r="Y142" s="143">
        <f>IFERROR('Price History'!D3+(INDEX('Price History'!D:D,MATCH(9.99E+307,'Returns (Calc)'!$A:$A)+1)-'Price History'!D3)*(ROW()-3)/(MATCH(9.99E+307,'Returns (Calc)'!$A:$A)-3),"")</f>
        <v>1712.7486075949366</v>
      </c>
      <c r="Z142" s="143">
        <f>IFERROR('Price History'!E3+(INDEX('Price History'!E:E,MATCH(9.99E+307,'Returns (Calc)'!$A:$A)+1)-'Price History'!E3)*(ROW()-3)/(MATCH(9.99E+307,'Returns (Calc)'!$A:$A)-3),"")</f>
        <v>322.29405063291142</v>
      </c>
      <c r="AA142" s="143">
        <f>IFERROR('Price History'!F3+(INDEX('Price History'!F:F,MATCH(9.99E+307,'Returns (Calc)'!$A:$A)+1)-'Price History'!F3)*(ROW()-3)/(MATCH(9.99E+307,'Returns (Calc)'!$A:$A)-3),"")</f>
        <v>242.54050632911395</v>
      </c>
      <c r="AB142" s="143">
        <f>IFERROR('Price History'!G3+(INDEX('Price History'!G:G,MATCH(9.99E+307,'Returns (Calc)'!$A:$A)+1)-'Price History'!G3)*(ROW()-3)/(MATCH(9.99E+307,'Returns (Calc)'!$A:$A)-3),"")</f>
        <v>187.34405063291138</v>
      </c>
      <c r="AC142" s="143">
        <f>IFERROR('Price History'!H3+(INDEX('Price History'!H:H,MATCH(9.99E+307,'Returns (Calc)'!$A:$A)+1)-'Price History'!H3)*(ROW()-3)/(MATCH(9.99E+307,'Returns (Calc)'!$A:$A)-3),"")</f>
        <v>953.94177215189882</v>
      </c>
      <c r="AD142" s="143">
        <f>IFERROR('Price History'!I3+(INDEX('Price History'!I:I,MATCH(9.99E+307,'Returns (Calc)'!$A:$A)+1)-'Price History'!I3)*(ROW()-3)/(MATCH(9.99E+307,'Returns (Calc)'!$A:$A)-3),"")</f>
        <v>211.08025316455695</v>
      </c>
      <c r="AE142" s="143">
        <f>IFERROR('Price History'!J3+(INDEX('Price History'!J:J,MATCH(9.99E+307,'Returns (Calc)'!$A:$A)+1)-'Price History'!J3)*(ROW()-3)/(MATCH(9.99E+307,'Returns (Calc)'!$A:$A)-3),"")</f>
        <v>126.85727848101266</v>
      </c>
      <c r="AF142" s="143">
        <f>IFERROR('Price History'!K3+(INDEX('Price History'!K:K,MATCH(9.99E+307,'Returns (Calc)'!$A:$A)+1)-'Price History'!K3)*(ROW()-3)/(MATCH(9.99E+307,'Returns (Calc)'!$A:$A)-3),"")</f>
        <v>167.89569620253164</v>
      </c>
      <c r="AG142" s="143">
        <f>IFERROR('Price History'!L3+(INDEX('Price History'!L:L,MATCH(9.99E+307,'Returns (Calc)'!$A:$A)+1)-'Price History'!L3)*(ROW()-3)/(MATCH(9.99E+307,'Returns (Calc)'!$A:$A)-3),"")</f>
        <v>426.238417721519</v>
      </c>
      <c r="AH142" s="143">
        <f>IFERROR('Price History'!M3+(INDEX('Price History'!M:M,MATCH(9.99E+307,'Returns (Calc)'!$A:$A)+1)-'Price History'!M3)*(ROW()-3)/(MATCH(9.99E+307,'Returns (Calc)'!$A:$A)-3),"")</f>
        <v>226.42658227848102</v>
      </c>
      <c r="AI142" s="143">
        <f>IFERROR('Price History'!N3+(INDEX('Price History'!N:N,MATCH(9.99E+307,'Returns (Calc)'!$A:$A)+1)-'Price History'!N3)*(ROW()-3)/(MATCH(9.99E+307,'Returns (Calc)'!$A:$A)-3),"")</f>
        <v>485.99094936708866</v>
      </c>
      <c r="AJ142" s="143">
        <f>IFERROR('Price History'!O3+(INDEX('Price History'!O:O,MATCH(9.99E+307,'Returns (Calc)'!$A:$A)+1)-'Price History'!O3)*(ROW()-3)/(MATCH(9.99E+307,'Returns (Calc)'!$A:$A)-3),"")</f>
        <v>114.65227848101266</v>
      </c>
      <c r="AK142" s="143">
        <f>IFERROR('Price History'!Q3+(INDEX('Price History'!Q:Q,MATCH(9.99E+307,'Returns (Calc)'!$A:$A)+1)-'Price History'!Q3)*(ROW()-3)/(MATCH(9.99E+307,'Returns (Calc)'!$A:$A)-3),"")</f>
        <v>61.072025316455701</v>
      </c>
      <c r="AL142" s="143">
        <f>IFERROR('Price History'!R3+(INDEX('Price History'!R:R,MATCH(9.99E+307,'Returns (Calc)'!$A:$A)+1)-'Price History'!R3)*(ROW()-3)/(MATCH(9.99E+307,'Returns (Calc)'!$A:$A)-3),"")</f>
        <v>57.846075949367091</v>
      </c>
      <c r="AM142" s="143">
        <f>IFERROR('Price History'!S3+(INDEX('Price History'!S:S,MATCH(9.99E+307,'Returns (Calc)'!$A:$A)+1)-'Price History'!S3)*(ROW()-3)/(MATCH(9.99E+307,'Returns (Calc)'!$A:$A)-3),"")</f>
        <v>141.73379746835442</v>
      </c>
      <c r="AN142" s="143">
        <f>IFERROR('Price History'!T3+(INDEX('Price History'!T:T,MATCH(9.99E+307,'Returns (Calc)'!$A:$A)+1)-'Price History'!T3)*(ROW()-3)/(MATCH(9.99E+307,'Returns (Calc)'!$A:$A)-3),"")</f>
        <v>48.623670886075949</v>
      </c>
      <c r="AO142" s="144">
        <f>IFERROR('Price History'!V3+(INDEX('Price History'!V:V,MATCH(9.99E+307,'Returns (Calc)'!$A:$A)+1)-'Price History'!V3)*(ROW()-3)/(MATCH(9.99E+307,'Returns (Calc)'!$A:$A)-3),"")</f>
        <v>345.62474683544303</v>
      </c>
      <c r="AP142" s="142">
        <f>IFERROR(IF(OR(NOT(ISNUMBER('Price History'!W143)),NOT(ISNUMBER('Price History'!W142)),'Price History'!W142=0),"",'Price History'!W143/'Price History'!W142-1),"")</f>
        <v>1.8837284832737833E-2</v>
      </c>
      <c r="AQ142" s="142">
        <f>IFERROR(IF(OR(NOT(ISNUMBER('Price History'!X143)),NOT(ISNUMBER('Price History'!X142)),'Price History'!X142=0),"",'Price History'!X143/'Price History'!X142-1),"")</f>
        <v>8.0733944954127779E-3</v>
      </c>
      <c r="AR142" s="142">
        <f>IFERROR(IF(OR(NOT(ISNUMBER('Price History'!Y143)),NOT(ISNUMBER('Price History'!Y142)),'Price History'!Y142=0),"",'Price History'!Y143/'Price History'!Y142-1),"")</f>
        <v>7.7648363838047629E-3</v>
      </c>
      <c r="AS142" s="142">
        <f>IFERROR(IF(OR(NOT(ISNUMBER('Price History'!Z143)),NOT(ISNUMBER('Price History'!Z142)),'Price History'!Z142=0),"",'Price History'!Z143/'Price History'!Z142-1),"")</f>
        <v>7.5681058396756429E-2</v>
      </c>
      <c r="AT142" s="142">
        <f>IFERROR(IF(OR(NOT(ISNUMBER('Price History'!AA143)),NOT(ISNUMBER('Price History'!AA142)),'Price History'!AA142=0),"",'Price History'!AA143/'Price History'!AA142-1),"")</f>
        <v>1.815674557572966E-2</v>
      </c>
    </row>
    <row r="143" spans="1:46" ht="15" customHeight="1" x14ac:dyDescent="0.35">
      <c r="A143" s="140">
        <f>IF('Price History'!A144="","",'Price History'!A144)</f>
        <v>46171</v>
      </c>
      <c r="B143" s="141">
        <f>IFERROR(IF(OR(NOT(ISNUMBER('Price History'!B144)),NOT(ISNUMBER('Price History'!B143)),'Price History'!B143=0),"",'Price History'!B144/'Price History'!B143-1),"")</f>
        <v>5.9037424415754103E-2</v>
      </c>
      <c r="C143" s="141">
        <f>IFERROR(IF(OR(NOT(ISNUMBER('Price History'!C144)),NOT(ISNUMBER('Price History'!C143)),'Price History'!C143=0),"",'Price History'!C144/'Price History'!C143-1),"")</f>
        <v>3.5317795234694582E-2</v>
      </c>
      <c r="D143" s="141">
        <f>IFERROR(IF(OR(NOT(ISNUMBER('Price History'!D144)),NOT(ISNUMBER('Price History'!D143)),'Price History'!D143=0),"",'Price History'!D144/'Price History'!D143-1),"")</f>
        <v>-1.2331446722140704E-2</v>
      </c>
      <c r="E143" s="141">
        <f>IFERROR(IF(OR(NOT(ISNUMBER('Price History'!E144)),NOT(ISNUMBER('Price History'!E143)),'Price History'!E143=0),"",'Price History'!E144/'Price History'!E143-1),"")</f>
        <v>7.8792430887020481E-2</v>
      </c>
      <c r="F143" s="141">
        <f>IFERROR(IF(OR(NOT(ISNUMBER('Price History'!F144)),NOT(ISNUMBER('Price History'!F143)),'Price History'!F143=0),"",'Price History'!F144/'Price History'!F143-1),"")</f>
        <v>0.10176644360040998</v>
      </c>
      <c r="G143" s="141">
        <f>IFERROR(IF(OR(NOT(ISNUMBER('Price History'!G144)),NOT(ISNUMBER('Price History'!G143)),'Price History'!G143=0),"",'Price History'!G144/'Price History'!G143-1),"")</f>
        <v>1.7654543526667288E-2</v>
      </c>
      <c r="H143" s="141">
        <f>IFERROR(IF(OR(NOT(ISNUMBER('Price History'!H144)),NOT(ISNUMBER('Price History'!H143)),'Price History'!H143=0),"",'Price History'!H144/'Price History'!H143-1),"")</f>
        <v>0.29294960579586626</v>
      </c>
      <c r="I143" s="141">
        <f>IFERROR(IF(OR(NOT(ISNUMBER('Price History'!I144)),NOT(ISNUMBER('Price History'!I143)),'Price History'!I143=0),"",'Price History'!I144/'Price History'!I143-1),"")</f>
        <v>-1.945633960156401E-2</v>
      </c>
      <c r="J143" s="141">
        <f>IFERROR(IF(OR(NOT(ISNUMBER('Price History'!J144)),NOT(ISNUMBER('Price History'!J143)),'Price History'!J143=0),"",'Price History'!J144/'Price History'!J143-1),"")</f>
        <v>-1.6700299213694314E-2</v>
      </c>
      <c r="K143" s="141">
        <f>IFERROR(IF(OR(NOT(ISNUMBER('Price History'!K144)),NOT(ISNUMBER('Price History'!K143)),'Price History'!K143=0),"",'Price History'!K144/'Price History'!K143-1),"")</f>
        <v>0.14362945645821146</v>
      </c>
      <c r="L143" s="141">
        <f>IFERROR(IF(OR(NOT(ISNUMBER('Price History'!L144)),NOT(ISNUMBER('Price History'!L143)),'Price History'!L143=0),"",'Price History'!L144/'Price History'!L143-1),"")</f>
        <v>3.4434782608695702E-2</v>
      </c>
      <c r="M143" s="141">
        <f>IFERROR(IF(OR(NOT(ISNUMBER('Price History'!M144)),NOT(ISNUMBER('Price History'!M143)),'Price History'!M143=0),"",'Price History'!M144/'Price History'!M143-1),"")</f>
        <v>-3.5868137239925435E-2</v>
      </c>
      <c r="N143" s="141">
        <f>IFERROR(IF(OR(NOT(ISNUMBER('Price History'!N144)),NOT(ISNUMBER('Price History'!N143)),'Price History'!N143=0),"",'Price History'!N144/'Price History'!N143-1),"")</f>
        <v>2.9964098315382603E-2</v>
      </c>
      <c r="O143" s="141">
        <f>IFERROR(IF(OR(NOT(ISNUMBER('Price History'!O144)),NOT(ISNUMBER('Price History'!O143)),'Price History'!O143=0),"",'Price History'!O144/'Price History'!O143-1),"")</f>
        <v>1.677852348993536E-4</v>
      </c>
      <c r="P143" s="141">
        <f>IFERROR(IF(OR(NOT(ISNUMBER('Price History'!P144)),NOT(ISNUMBER('Price History'!P143)),'Price History'!P143=0),"",'Price History'!P144/'Price History'!P143-1),"")</f>
        <v>-5.0890585241730735E-3</v>
      </c>
      <c r="Q143" s="141">
        <f>IFERROR(IF(OR(NOT(ISNUMBER('Price History'!Q144)),NOT(ISNUMBER('Price History'!Q143)),'Price History'!Q143=0),"",'Price History'!Q144/'Price History'!Q143-1),"")</f>
        <v>4.2931162102146647E-3</v>
      </c>
      <c r="R143" s="141">
        <f>IFERROR(IF(OR(NOT(ISNUMBER('Price History'!R144)),NOT(ISNUMBER('Price History'!R143)),'Price History'!R143=0),"",'Price History'!R144/'Price History'!R143-1),"")</f>
        <v>1.5578505163661882E-2</v>
      </c>
      <c r="S143" s="141">
        <f>IFERROR(IF(OR(NOT(ISNUMBER('Price History'!S144)),NOT(ISNUMBER('Price History'!S143)),'Price History'!S143=0),"",'Price History'!S144/'Price History'!S143-1),"")</f>
        <v>3.8967331118494153E-2</v>
      </c>
      <c r="T143" s="141">
        <f>IFERROR(IF(OR(NOT(ISNUMBER('Price History'!T144)),NOT(ISNUMBER('Price History'!T143)),'Price History'!T143=0),"",'Price History'!T144/'Price History'!T143-1),"")</f>
        <v>5.4090909090909189E-2</v>
      </c>
      <c r="U143" s="141">
        <f>IFERROR(IF(OR(NOT(ISNUMBER('Price History'!U144)),NOT(ISNUMBER('Price History'!U143)),'Price History'!U143=0),"",'Price History'!U144/'Price History'!U143-1),"")</f>
        <v>-9.9040544722996948E-3</v>
      </c>
      <c r="V143" s="142">
        <f>IFERROR(IF(OR(NOT(ISNUMBER('Price History'!V144)),NOT(ISNUMBER('Price History'!V143)),'Price History'!V143=0),"",'Price History'!V144/'Price History'!V143-1),"")</f>
        <v>-7.6766076705150343E-3</v>
      </c>
      <c r="W143" s="143">
        <f>IFERROR('Price History'!B3+(INDEX('Price History'!B:B,MATCH(9.99E+307,'Returns (Calc)'!$A:$A)+1)-'Price History'!B3)*(ROW()-3)/(MATCH(9.99E+307,'Returns (Calc)'!$A:$A)-3),"")</f>
        <v>270.86468354430377</v>
      </c>
      <c r="X143" s="143">
        <f>IFERROR('Price History'!C3+(INDEX('Price History'!C:C,MATCH(9.99E+307,'Returns (Calc)'!$A:$A)+1)-'Price History'!C3)*(ROW()-3)/(MATCH(9.99E+307,'Returns (Calc)'!$A:$A)-3),"")</f>
        <v>188.98886075949366</v>
      </c>
      <c r="Y143" s="143">
        <f>IFERROR('Price History'!D3+(INDEX('Price History'!D:D,MATCH(9.99E+307,'Returns (Calc)'!$A:$A)+1)-'Price History'!D3)*(ROW()-3)/(MATCH(9.99E+307,'Returns (Calc)'!$A:$A)-3),"")</f>
        <v>1720.883417721519</v>
      </c>
      <c r="Z143" s="143">
        <f>IFERROR('Price History'!E3+(INDEX('Price History'!E:E,MATCH(9.99E+307,'Returns (Calc)'!$A:$A)+1)-'Price History'!E3)*(ROW()-3)/(MATCH(9.99E+307,'Returns (Calc)'!$A:$A)-3),"")</f>
        <v>324.02278481012661</v>
      </c>
      <c r="AA143" s="143">
        <f>IFERROR('Price History'!F3+(INDEX('Price History'!F:F,MATCH(9.99E+307,'Returns (Calc)'!$A:$A)+1)-'Price History'!F3)*(ROW()-3)/(MATCH(9.99E+307,'Returns (Calc)'!$A:$A)-3),"")</f>
        <v>243.98784810126585</v>
      </c>
      <c r="AB143" s="143">
        <f>IFERROR('Price History'!G3+(INDEX('Price History'!G:G,MATCH(9.99E+307,'Returns (Calc)'!$A:$A)+1)-'Price History'!G3)*(ROW()-3)/(MATCH(9.99E+307,'Returns (Calc)'!$A:$A)-3),"")</f>
        <v>188.37278481012657</v>
      </c>
      <c r="AC143" s="143">
        <f>IFERROR('Price History'!H3+(INDEX('Price History'!H:H,MATCH(9.99E+307,'Returns (Calc)'!$A:$A)+1)-'Price History'!H3)*(ROW()-3)/(MATCH(9.99E+307,'Returns (Calc)'!$A:$A)-3),"")</f>
        <v>960.30746835443051</v>
      </c>
      <c r="AD143" s="143">
        <f>IFERROR('Price History'!I3+(INDEX('Price History'!I:I,MATCH(9.99E+307,'Returns (Calc)'!$A:$A)+1)-'Price History'!I3)*(ROW()-3)/(MATCH(9.99E+307,'Returns (Calc)'!$A:$A)-3),"")</f>
        <v>212.28392405063289</v>
      </c>
      <c r="AE143" s="143">
        <f>IFERROR('Price History'!J3+(INDEX('Price History'!J:J,MATCH(9.99E+307,'Returns (Calc)'!$A:$A)+1)-'Price History'!J3)*(ROW()-3)/(MATCH(9.99E+307,'Returns (Calc)'!$A:$A)-3),"")</f>
        <v>126.9653164556962</v>
      </c>
      <c r="AF143" s="143">
        <f>IFERROR('Price History'!K3+(INDEX('Price History'!K:K,MATCH(9.99E+307,'Returns (Calc)'!$A:$A)+1)-'Price History'!K3)*(ROW()-3)/(MATCH(9.99E+307,'Returns (Calc)'!$A:$A)-3),"")</f>
        <v>168.99329113924051</v>
      </c>
      <c r="AG143" s="143">
        <f>IFERROR('Price History'!L3+(INDEX('Price History'!L:L,MATCH(9.99E+307,'Returns (Calc)'!$A:$A)+1)-'Price History'!L3)*(ROW()-3)/(MATCH(9.99E+307,'Returns (Calc)'!$A:$A)-3),"")</f>
        <v>428.68797468354427</v>
      </c>
      <c r="AH143" s="143">
        <f>IFERROR('Price History'!M3+(INDEX('Price History'!M:M,MATCH(9.99E+307,'Returns (Calc)'!$A:$A)+1)-'Price History'!M3)*(ROW()-3)/(MATCH(9.99E+307,'Returns (Calc)'!$A:$A)-3),"")</f>
        <v>227.7820253164557</v>
      </c>
      <c r="AI143" s="143">
        <f>IFERROR('Price History'!N3+(INDEX('Price History'!N:N,MATCH(9.99E+307,'Returns (Calc)'!$A:$A)+1)-'Price History'!N3)*(ROW()-3)/(MATCH(9.99E+307,'Returns (Calc)'!$A:$A)-3),"")</f>
        <v>486.97721518987339</v>
      </c>
      <c r="AJ143" s="143">
        <f>IFERROR('Price History'!O3+(INDEX('Price History'!O:O,MATCH(9.99E+307,'Returns (Calc)'!$A:$A)+1)-'Price History'!O3)*(ROW()-3)/(MATCH(9.99E+307,'Returns (Calc)'!$A:$A)-3),"")</f>
        <v>114.93531645569621</v>
      </c>
      <c r="AK143" s="143">
        <f>IFERROR('Price History'!Q3+(INDEX('Price History'!Q:Q,MATCH(9.99E+307,'Returns (Calc)'!$A:$A)+1)-'Price History'!Q3)*(ROW()-3)/(MATCH(9.99E+307,'Returns (Calc)'!$A:$A)-3),"")</f>
        <v>61.511392405063297</v>
      </c>
      <c r="AL143" s="143">
        <f>IFERROR('Price History'!R3+(INDEX('Price History'!R:R,MATCH(9.99E+307,'Returns (Calc)'!$A:$A)+1)-'Price History'!R3)*(ROW()-3)/(MATCH(9.99E+307,'Returns (Calc)'!$A:$A)-3),"")</f>
        <v>58.014177215189875</v>
      </c>
      <c r="AM143" s="143">
        <f>IFERROR('Price History'!S3+(INDEX('Price History'!S:S,MATCH(9.99E+307,'Returns (Calc)'!$A:$A)+1)-'Price History'!S3)*(ROW()-3)/(MATCH(9.99E+307,'Returns (Calc)'!$A:$A)-3),"")</f>
        <v>142.33886075949368</v>
      </c>
      <c r="AN143" s="143">
        <f>IFERROR('Price History'!T3+(INDEX('Price History'!T:T,MATCH(9.99E+307,'Returns (Calc)'!$A:$A)+1)-'Price History'!T3)*(ROW()-3)/(MATCH(9.99E+307,'Returns (Calc)'!$A:$A)-3),"")</f>
        <v>48.791898734177217</v>
      </c>
      <c r="AO143" s="144">
        <f>IFERROR('Price History'!V3+(INDEX('Price History'!V:V,MATCH(9.99E+307,'Returns (Calc)'!$A:$A)+1)-'Price History'!V3)*(ROW()-3)/(MATCH(9.99E+307,'Returns (Calc)'!$A:$A)-3),"")</f>
        <v>346.4160759493671</v>
      </c>
      <c r="AP143" s="142">
        <f>IFERROR(IF(OR(NOT(ISNUMBER('Price History'!W144)),NOT(ISNUMBER('Price History'!W143)),'Price History'!W143=0),"",'Price History'!W144/'Price History'!W143-1),"")</f>
        <v>3.1240038253108615E-3</v>
      </c>
      <c r="AQ143" s="142">
        <f>IFERROR(IF(OR(NOT(ISNUMBER('Price History'!X144)),NOT(ISNUMBER('Price History'!X143)),'Price History'!X143=0),"",'Price History'!X144/'Price History'!X143-1),"")</f>
        <v>-5.369493993447394E-2</v>
      </c>
      <c r="AR143" s="142">
        <f>IFERROR(IF(OR(NOT(ISNUMBER('Price History'!Y144)),NOT(ISNUMBER('Price History'!Y143)),'Price History'!Y143=0),"",'Price History'!Y144/'Price History'!Y143-1),"")</f>
        <v>-5.1366721702440499E-3</v>
      </c>
      <c r="AS143" s="142">
        <f>IFERROR(IF(OR(NOT(ISNUMBER('Price History'!Z144)),NOT(ISNUMBER('Price History'!Z143)),'Price History'!Z143=0),"",'Price History'!Z144/'Price History'!Z143-1),"")</f>
        <v>6.9100046287112526E-2</v>
      </c>
      <c r="AT143" s="142">
        <f>IFERROR(IF(OR(NOT(ISNUMBER('Price History'!AA144)),NOT(ISNUMBER('Price History'!AA143)),'Price History'!AA143=0),"",'Price History'!AA144/'Price History'!AA143-1),"")</f>
        <v>-2.9119638826185068E-2</v>
      </c>
    </row>
    <row r="144" spans="1:46" ht="15" customHeight="1" x14ac:dyDescent="0.35">
      <c r="A144" s="140">
        <f>IF('Price History'!A145="","",'Price History'!A145)</f>
        <v>46178</v>
      </c>
      <c r="B144" s="141">
        <f>IFERROR(IF(OR(NOT(ISNUMBER('Price History'!B145)),NOT(ISNUMBER('Price History'!B144)),'Price History'!B144=0),"",'Price History'!B145/'Price History'!B144-1),"")</f>
        <v>-2.9975695382122525E-2</v>
      </c>
      <c r="C144" s="141">
        <f>IFERROR(IF(OR(NOT(ISNUMBER('Price History'!C145)),NOT(ISNUMBER('Price History'!C144)),'Price History'!C144=0),"",'Price History'!C145/'Price History'!C144-1),"")</f>
        <v>-3.2608014046529021E-2</v>
      </c>
      <c r="D144" s="141">
        <f>IFERROR(IF(OR(NOT(ISNUMBER('Price History'!D145)),NOT(ISNUMBER('Price History'!D144)),'Price History'!D144=0),"",'Price History'!D145/'Price History'!D144-1),"")</f>
        <v>1.7967566493654719E-2</v>
      </c>
      <c r="E144" s="141">
        <f>IFERROR(IF(OR(NOT(ISNUMBER('Price History'!E145)),NOT(ISNUMBER('Price History'!E144)),'Price History'!E144=0),"",'Price History'!E145/'Price History'!E144-1),"")</f>
        <v>-0.13661987647389107</v>
      </c>
      <c r="F144" s="141">
        <f>IFERROR(IF(OR(NOT(ISNUMBER('Price History'!F145)),NOT(ISNUMBER('Price History'!F144)),'Price History'!F144=0),"",'Price History'!F145/'Price History'!F144-1),"")</f>
        <v>-8.2024623803009677E-2</v>
      </c>
      <c r="G144" s="141">
        <f>IFERROR(IF(OR(NOT(ISNUMBER('Price History'!G145)),NOT(ISNUMBER('Price History'!G144)),'Price History'!G144=0),"",'Price History'!G145/'Price History'!G144-1),"")</f>
        <v>3.9072675175826355E-3</v>
      </c>
      <c r="H144" s="141">
        <f>IFERROR(IF(OR(NOT(ISNUMBER('Price History'!H145)),NOT(ISNUMBER('Price History'!H144)),'Price History'!H144=0),"",'Price History'!H145/'Price History'!H144-1),"")</f>
        <v>-0.11018179945408668</v>
      </c>
      <c r="I144" s="141">
        <f>IFERROR(IF(OR(NOT(ISNUMBER('Price History'!I145)),NOT(ISNUMBER('Price History'!I144)),'Price History'!I144=0),"",'Price History'!I145/'Price History'!I144-1),"")</f>
        <v>-2.748504699515808E-2</v>
      </c>
      <c r="J144" s="141">
        <f>IFERROR(IF(OR(NOT(ISNUMBER('Price History'!J145)),NOT(ISNUMBER('Price History'!J144)),'Price History'!J144=0),"",'Price History'!J145/'Price History'!J144-1),"")</f>
        <v>7.5012384120018982E-3</v>
      </c>
      <c r="K144" s="141">
        <f>IFERROR(IF(OR(NOT(ISNUMBER('Price History'!K145)),NOT(ISNUMBER('Price History'!K144)),'Price History'!K144=0),"",'Price History'!K145/'Price History'!K144-1),"")</f>
        <v>-0.13421489715088786</v>
      </c>
      <c r="L144" s="141">
        <f>IFERROR(IF(OR(NOT(ISNUMBER('Price History'!L145)),NOT(ISNUMBER('Price History'!L144)),'Price History'!L144=0),"",'Price History'!L145/'Price History'!L144-1),"")</f>
        <v>-7.8537803823615082E-3</v>
      </c>
      <c r="M144" s="141">
        <f>IFERROR(IF(OR(NOT(ISNUMBER('Price History'!M145)),NOT(ISNUMBER('Price History'!M144)),'Price History'!M144=0),"",'Price History'!M145/'Price History'!M144-1),"")</f>
        <v>-4.8166809265772992E-2</v>
      </c>
      <c r="N144" s="141">
        <f>IFERROR(IF(OR(NOT(ISNUMBER('Price History'!N145)),NOT(ISNUMBER('Price History'!N144)),'Price History'!N144=0),"",'Price History'!N145/'Price History'!N144-1),"")</f>
        <v>-1.5864503731510826E-3</v>
      </c>
      <c r="O144" s="141">
        <f>IFERROR(IF(OR(NOT(ISNUMBER('Price History'!O145)),NOT(ISNUMBER('Price History'!O144)),'Price History'!O144=0),"",'Price History'!O145/'Price History'!O144-1),"")</f>
        <v>-2.9357490353967286E-3</v>
      </c>
      <c r="P144" s="141">
        <f>IFERROR(IF(OR(NOT(ISNUMBER('Price History'!P145)),NOT(ISNUMBER('Price History'!P144)),'Price History'!P144=0),"",'Price History'!P145/'Price History'!P144-1),"")</f>
        <v>2.8198570398056955E-3</v>
      </c>
      <c r="Q144" s="141">
        <f>IFERROR(IF(OR(NOT(ISNUMBER('Price History'!Q145)),NOT(ISNUMBER('Price History'!Q144)),'Price History'!Q144=0),"",'Price History'!Q145/'Price History'!Q144-1),"")</f>
        <v>-1.0465801886792581E-2</v>
      </c>
      <c r="R144" s="141">
        <f>IFERROR(IF(OR(NOT(ISNUMBER('Price History'!R145)),NOT(ISNUMBER('Price History'!R144)),'Price History'!R144=0),"",'Price History'!R145/'Price History'!R144-1),"")</f>
        <v>-2.792140641158225E-2</v>
      </c>
      <c r="S144" s="141">
        <f>IFERROR(IF(OR(NOT(ISNUMBER('Price History'!S145)),NOT(ISNUMBER('Price History'!S144)),'Price History'!S144=0),"",'Price History'!S145/'Price History'!S144-1),"")</f>
        <v>-4.1902604756511974E-2</v>
      </c>
      <c r="T144" s="141">
        <f>IFERROR(IF(OR(NOT(ISNUMBER('Price History'!T145)),NOT(ISNUMBER('Price History'!T144)),'Price History'!T144=0),"",'Price History'!T145/'Price History'!T144-1),"")</f>
        <v>-1.1211729193618014E-2</v>
      </c>
      <c r="U144" s="141">
        <f>IFERROR(IF(OR(NOT(ISNUMBER('Price History'!U145)),NOT(ISNUMBER('Price History'!U144)),'Price History'!U144=0),"",'Price History'!U145/'Price History'!U144-1),"")</f>
        <v>-6.251953735542326E-3</v>
      </c>
      <c r="V144" s="142">
        <f>IFERROR(IF(OR(NOT(ISNUMBER('Price History'!V145)),NOT(ISNUMBER('Price History'!V144)),'Price History'!V144=0),"",'Price History'!V145/'Price History'!V144-1),"")</f>
        <v>-8.534151957022118E-3</v>
      </c>
      <c r="W144" s="143">
        <f>IFERROR('Price History'!B3+(INDEX('Price History'!B:B,MATCH(9.99E+307,'Returns (Calc)'!$A:$A)+1)-'Price History'!B3)*(ROW()-3)/(MATCH(9.99E+307,'Returns (Calc)'!$A:$A)-3),"")</f>
        <v>269.02164556962026</v>
      </c>
      <c r="X144" s="143">
        <f>IFERROR('Price History'!C3+(INDEX('Price History'!C:C,MATCH(9.99E+307,'Returns (Calc)'!$A:$A)+1)-'Price History'!C3)*(ROW()-3)/(MATCH(9.99E+307,'Returns (Calc)'!$A:$A)-3),"")</f>
        <v>190.00892405063291</v>
      </c>
      <c r="Y144" s="143">
        <f>IFERROR('Price History'!D3+(INDEX('Price History'!D:D,MATCH(9.99E+307,'Returns (Calc)'!$A:$A)+1)-'Price History'!D3)*(ROW()-3)/(MATCH(9.99E+307,'Returns (Calc)'!$A:$A)-3),"")</f>
        <v>1729.0182278481011</v>
      </c>
      <c r="Z144" s="143">
        <f>IFERROR('Price History'!E3+(INDEX('Price History'!E:E,MATCH(9.99E+307,'Returns (Calc)'!$A:$A)+1)-'Price History'!E3)*(ROW()-3)/(MATCH(9.99E+307,'Returns (Calc)'!$A:$A)-3),"")</f>
        <v>325.7515189873418</v>
      </c>
      <c r="AA144" s="143">
        <f>IFERROR('Price History'!F3+(INDEX('Price History'!F:F,MATCH(9.99E+307,'Returns (Calc)'!$A:$A)+1)-'Price History'!F3)*(ROW()-3)/(MATCH(9.99E+307,'Returns (Calc)'!$A:$A)-3),"")</f>
        <v>245.43518987341776</v>
      </c>
      <c r="AB144" s="143">
        <f>IFERROR('Price History'!G3+(INDEX('Price History'!G:G,MATCH(9.99E+307,'Returns (Calc)'!$A:$A)+1)-'Price History'!G3)*(ROW()-3)/(MATCH(9.99E+307,'Returns (Calc)'!$A:$A)-3),"")</f>
        <v>189.40151898734177</v>
      </c>
      <c r="AC144" s="143">
        <f>IFERROR('Price History'!H3+(INDEX('Price History'!H:H,MATCH(9.99E+307,'Returns (Calc)'!$A:$A)+1)-'Price History'!H3)*(ROW()-3)/(MATCH(9.99E+307,'Returns (Calc)'!$A:$A)-3),"")</f>
        <v>966.67316455696209</v>
      </c>
      <c r="AD144" s="143">
        <f>IFERROR('Price History'!I3+(INDEX('Price History'!I:I,MATCH(9.99E+307,'Returns (Calc)'!$A:$A)+1)-'Price History'!I3)*(ROW()-3)/(MATCH(9.99E+307,'Returns (Calc)'!$A:$A)-3),"")</f>
        <v>213.48759493670886</v>
      </c>
      <c r="AE144" s="143">
        <f>IFERROR('Price History'!J3+(INDEX('Price History'!J:J,MATCH(9.99E+307,'Returns (Calc)'!$A:$A)+1)-'Price History'!J3)*(ROW()-3)/(MATCH(9.99E+307,'Returns (Calc)'!$A:$A)-3),"")</f>
        <v>127.07335443037974</v>
      </c>
      <c r="AF144" s="143">
        <f>IFERROR('Price History'!K3+(INDEX('Price History'!K:K,MATCH(9.99E+307,'Returns (Calc)'!$A:$A)+1)-'Price History'!K3)*(ROW()-3)/(MATCH(9.99E+307,'Returns (Calc)'!$A:$A)-3),"")</f>
        <v>170.09088607594936</v>
      </c>
      <c r="AG144" s="143">
        <f>IFERROR('Price History'!L3+(INDEX('Price History'!L:L,MATCH(9.99E+307,'Returns (Calc)'!$A:$A)+1)-'Price History'!L3)*(ROW()-3)/(MATCH(9.99E+307,'Returns (Calc)'!$A:$A)-3),"")</f>
        <v>431.1375316455696</v>
      </c>
      <c r="AH144" s="143">
        <f>IFERROR('Price History'!M3+(INDEX('Price History'!M:M,MATCH(9.99E+307,'Returns (Calc)'!$A:$A)+1)-'Price History'!M3)*(ROW()-3)/(MATCH(9.99E+307,'Returns (Calc)'!$A:$A)-3),"")</f>
        <v>229.13746835443041</v>
      </c>
      <c r="AI144" s="143">
        <f>IFERROR('Price History'!N3+(INDEX('Price History'!N:N,MATCH(9.99E+307,'Returns (Calc)'!$A:$A)+1)-'Price History'!N3)*(ROW()-3)/(MATCH(9.99E+307,'Returns (Calc)'!$A:$A)-3),"")</f>
        <v>487.96348101265824</v>
      </c>
      <c r="AJ144" s="143">
        <f>IFERROR('Price History'!O3+(INDEX('Price History'!O:O,MATCH(9.99E+307,'Returns (Calc)'!$A:$A)+1)-'Price History'!O3)*(ROW()-3)/(MATCH(9.99E+307,'Returns (Calc)'!$A:$A)-3),"")</f>
        <v>115.21835443037975</v>
      </c>
      <c r="AK144" s="143">
        <f>IFERROR('Price History'!Q3+(INDEX('Price History'!Q:Q,MATCH(9.99E+307,'Returns (Calc)'!$A:$A)+1)-'Price History'!Q3)*(ROW()-3)/(MATCH(9.99E+307,'Returns (Calc)'!$A:$A)-3),"")</f>
        <v>61.95075949367088</v>
      </c>
      <c r="AL144" s="143">
        <f>IFERROR('Price History'!R3+(INDEX('Price History'!R:R,MATCH(9.99E+307,'Returns (Calc)'!$A:$A)+1)-'Price History'!R3)*(ROW()-3)/(MATCH(9.99E+307,'Returns (Calc)'!$A:$A)-3),"")</f>
        <v>58.182278481012659</v>
      </c>
      <c r="AM144" s="143">
        <f>IFERROR('Price History'!S3+(INDEX('Price History'!S:S,MATCH(9.99E+307,'Returns (Calc)'!$A:$A)+1)-'Price History'!S3)*(ROW()-3)/(MATCH(9.99E+307,'Returns (Calc)'!$A:$A)-3),"")</f>
        <v>142.94392405063292</v>
      </c>
      <c r="AN144" s="143">
        <f>IFERROR('Price History'!T3+(INDEX('Price History'!T:T,MATCH(9.99E+307,'Returns (Calc)'!$A:$A)+1)-'Price History'!T3)*(ROW()-3)/(MATCH(9.99E+307,'Returns (Calc)'!$A:$A)-3),"")</f>
        <v>48.960126582278477</v>
      </c>
      <c r="AO144" s="144">
        <f>IFERROR('Price History'!V3+(INDEX('Price History'!V:V,MATCH(9.99E+307,'Returns (Calc)'!$A:$A)+1)-'Price History'!V3)*(ROW()-3)/(MATCH(9.99E+307,'Returns (Calc)'!$A:$A)-3),"")</f>
        <v>347.20740506329116</v>
      </c>
      <c r="AP144" s="142">
        <f>IFERROR(IF(OR(NOT(ISNUMBER('Price History'!W145)),NOT(ISNUMBER('Price History'!W144)),'Price History'!W144=0),"",'Price History'!W145/'Price History'!W144-1),"")</f>
        <v>-5.9743231219016035E-3</v>
      </c>
      <c r="AQ144" s="142">
        <f>IFERROR(IF(OR(NOT(ISNUMBER('Price History'!X145)),NOT(ISNUMBER('Price History'!X144)),'Price History'!X144=0),"",'Price History'!X145/'Price History'!X144-1),"")</f>
        <v>2.3466051163685275E-2</v>
      </c>
      <c r="AR144" s="142">
        <f>IFERROR(IF(OR(NOT(ISNUMBER('Price History'!Y145)),NOT(ISNUMBER('Price History'!Y144)),'Price History'!Y144=0),"",'Price History'!Y145/'Price History'!Y144-1),"")</f>
        <v>-2.3971971233633926E-3</v>
      </c>
      <c r="AS144" s="142">
        <f>IFERROR(IF(OR(NOT(ISNUMBER('Price History'!Z145)),NOT(ISNUMBER('Price History'!Z144)),'Price History'!Z144=0),"",'Price History'!Z145/'Price History'!Z144-1),"")</f>
        <v>1.3081395348837122E-2</v>
      </c>
      <c r="AT144" s="142">
        <f>IFERROR(IF(OR(NOT(ISNUMBER('Price History'!AA145)),NOT(ISNUMBER('Price History'!AA144)),'Price History'!AA144=0),"",'Price History'!AA145/'Price History'!AA144-1),"")</f>
        <v>-4.4640781213671099E-2</v>
      </c>
    </row>
    <row r="145" spans="1:46" ht="15" customHeight="1" x14ac:dyDescent="0.35">
      <c r="A145" s="140">
        <f>IF('Price History'!A146="","",'Price History'!A146)</f>
        <v>46185</v>
      </c>
      <c r="B145" s="141">
        <f>IFERROR(IF(OR(NOT(ISNUMBER('Price History'!B146)),NOT(ISNUMBER('Price History'!B145)),'Price History'!B145=0),"",'Price History'!B146/'Price History'!B145-1),"")</f>
        <v>-0.18859370028635059</v>
      </c>
      <c r="C145" s="141">
        <f>IFERROR(IF(OR(NOT(ISNUMBER('Price History'!C146)),NOT(ISNUMBER('Price History'!C145)),'Price History'!C145=0),"",'Price History'!C146/'Price History'!C145-1),"")</f>
        <v>5.8144811045569345E-2</v>
      </c>
      <c r="D145" s="141">
        <f>IFERROR(IF(OR(NOT(ISNUMBER('Price History'!D146)),NOT(ISNUMBER('Price History'!D145)),'Price History'!D145=0),"",'Price History'!D146/'Price History'!D145-1),"")</f>
        <v>0.13510447542723325</v>
      </c>
      <c r="E145" s="141">
        <f>IFERROR(IF(OR(NOT(ISNUMBER('Price History'!E146)),NOT(ISNUMBER('Price History'!E145)),'Price History'!E145=0),"",'Price History'!E146/'Price History'!E145-1),"")</f>
        <v>-9.4948233702721874E-3</v>
      </c>
      <c r="F145" s="141">
        <f>IFERROR(IF(OR(NOT(ISNUMBER('Price History'!F146)),NOT(ISNUMBER('Price History'!F145)),'Price History'!F145=0),"",'Price History'!F146/'Price History'!F145-1),"")</f>
        <v>1.7525035765379116E-2</v>
      </c>
      <c r="G145" s="141">
        <f>IFERROR(IF(OR(NOT(ISNUMBER('Price History'!G146)),NOT(ISNUMBER('Price History'!G145)),'Price History'!G145=0),"",'Price History'!G146/'Price History'!G145-1),"")</f>
        <v>0.31940840685002603</v>
      </c>
      <c r="H145" s="141">
        <f>IFERROR(IF(OR(NOT(ISNUMBER('Price History'!H146)),NOT(ISNUMBER('Price History'!H145)),'Price History'!H145=0),"",'Price History'!H146/'Price History'!H145-1),"")</f>
        <v>0.13610686669444827</v>
      </c>
      <c r="I145" s="141">
        <f>IFERROR(IF(OR(NOT(ISNUMBER('Price History'!I146)),NOT(ISNUMBER('Price History'!I145)),'Price History'!I145=0),"",'Price History'!I146/'Price History'!I145-1),"")</f>
        <v>4.393029726168507E-4</v>
      </c>
      <c r="J145" s="141">
        <f>IFERROR(IF(OR(NOT(ISNUMBER('Price History'!J146)),NOT(ISNUMBER('Price History'!J145)),'Price History'!J145=0),"",'Price History'!J146/'Price History'!J145-1),"")</f>
        <v>2.9079159935379462E-2</v>
      </c>
      <c r="K145" s="141">
        <f>IFERROR(IF(OR(NOT(ISNUMBER('Price History'!K146)),NOT(ISNUMBER('Price History'!K145)),'Price History'!K145=0),"",'Price History'!K146/'Price History'!K145-1),"")</f>
        <v>-5.5633439090976178E-2</v>
      </c>
      <c r="L145" s="141">
        <f>IFERROR(IF(OR(NOT(ISNUMBER('Price History'!L146)),NOT(ISNUMBER('Price History'!L145)),'Price History'!L145=0),"",'Price History'!L146/'Price History'!L145-1),"")</f>
        <v>2.3505773560241305E-2</v>
      </c>
      <c r="M145" s="141">
        <f>IFERROR(IF(OR(NOT(ISNUMBER('Price History'!M146)),NOT(ISNUMBER('Price History'!M145)),'Price History'!M145=0),"",'Price History'!M146/'Price History'!M145-1),"")</f>
        <v>7.8569763957785366E-3</v>
      </c>
      <c r="N145" s="141">
        <f>IFERROR(IF(OR(NOT(ISNUMBER('Price History'!N146)),NOT(ISNUMBER('Price History'!N145)),'Price History'!N145=0),"",'Price History'!N146/'Price History'!N145-1),"")</f>
        <v>-4.2521764429424014E-3</v>
      </c>
      <c r="O145" s="141">
        <f>IFERROR(IF(OR(NOT(ISNUMBER('Price History'!O146)),NOT(ISNUMBER('Price History'!O145)),'Price History'!O145=0),"",'Price History'!O146/'Price History'!O145-1),"")</f>
        <v>4.2904012787078338E-2</v>
      </c>
      <c r="P145" s="141">
        <f>IFERROR(IF(OR(NOT(ISNUMBER('Price History'!P146)),NOT(ISNUMBER('Price History'!P145)),'Price History'!P145=0),"",'Price History'!P146/'Price History'!P145-1),"")</f>
        <v>2.2103060423751097E-2</v>
      </c>
      <c r="Q145" s="141">
        <f>IFERROR(IF(OR(NOT(ISNUMBER('Price History'!Q146)),NOT(ISNUMBER('Price History'!Q145)),'Price History'!Q145=0),"",'Price History'!Q146/'Price History'!Q145-1),"")</f>
        <v>4.468940861015458E-4</v>
      </c>
      <c r="R145" s="141">
        <f>IFERROR(IF(OR(NOT(ISNUMBER('Price History'!R146)),NOT(ISNUMBER('Price History'!R145)),'Price History'!R145=0),"",'Price History'!R146/'Price History'!R145-1),"")</f>
        <v>1.6312056737588732E-2</v>
      </c>
      <c r="S145" s="141">
        <f>IFERROR(IF(OR(NOT(ISNUMBER('Price History'!S146)),NOT(ISNUMBER('Price History'!S145)),'Price History'!S145=0),"",'Price History'!S146/'Price History'!S145-1),"")</f>
        <v>5.6876651369767828E-2</v>
      </c>
      <c r="T145" s="141">
        <f>IFERROR(IF(OR(NOT(ISNUMBER('Price History'!T146)),NOT(ISNUMBER('Price History'!T145)),'Price History'!T145=0),"",'Price History'!T146/'Price History'!T145-1),"")</f>
        <v>6.1055385957260455E-3</v>
      </c>
      <c r="U145" s="141">
        <f>IFERROR(IF(OR(NOT(ISNUMBER('Price History'!U146)),NOT(ISNUMBER('Price History'!U145)),'Price History'!U145=0),"",'Price History'!U146/'Price History'!U145-1),"")</f>
        <v>1.6042780748662944E-2</v>
      </c>
      <c r="V145" s="142">
        <f>IFERROR(IF(OR(NOT(ISNUMBER('Price History'!V146)),NOT(ISNUMBER('Price History'!V145)),'Price History'!V145=0),"",'Price History'!V146/'Price History'!V145-1),"")</f>
        <v>-3.6535901167291662E-3</v>
      </c>
      <c r="W145" s="143">
        <f>IFERROR('Price History'!B3+(INDEX('Price History'!B:B,MATCH(9.99E+307,'Returns (Calc)'!$A:$A)+1)-'Price History'!B3)*(ROW()-3)/(MATCH(9.99E+307,'Returns (Calc)'!$A:$A)-3),"")</f>
        <v>267.17860759493669</v>
      </c>
      <c r="X145" s="143">
        <f>IFERROR('Price History'!C3+(INDEX('Price History'!C:C,MATCH(9.99E+307,'Returns (Calc)'!$A:$A)+1)-'Price History'!C3)*(ROW()-3)/(MATCH(9.99E+307,'Returns (Calc)'!$A:$A)-3),"")</f>
        <v>191.02898734177217</v>
      </c>
      <c r="Y145" s="143">
        <f>IFERROR('Price History'!D3+(INDEX('Price History'!D:D,MATCH(9.99E+307,'Returns (Calc)'!$A:$A)+1)-'Price History'!D3)*(ROW()-3)/(MATCH(9.99E+307,'Returns (Calc)'!$A:$A)-3),"")</f>
        <v>1737.1530379746837</v>
      </c>
      <c r="Z145" s="143">
        <f>IFERROR('Price History'!E3+(INDEX('Price History'!E:E,MATCH(9.99E+307,'Returns (Calc)'!$A:$A)+1)-'Price History'!E3)*(ROW()-3)/(MATCH(9.99E+307,'Returns (Calc)'!$A:$A)-3),"")</f>
        <v>327.48025316455698</v>
      </c>
      <c r="AA145" s="143">
        <f>IFERROR('Price History'!F3+(INDEX('Price History'!F:F,MATCH(9.99E+307,'Returns (Calc)'!$A:$A)+1)-'Price History'!F3)*(ROW()-3)/(MATCH(9.99E+307,'Returns (Calc)'!$A:$A)-3),"")</f>
        <v>246.8825316455696</v>
      </c>
      <c r="AB145" s="143">
        <f>IFERROR('Price History'!G3+(INDEX('Price History'!G:G,MATCH(9.99E+307,'Returns (Calc)'!$A:$A)+1)-'Price History'!G3)*(ROW()-3)/(MATCH(9.99E+307,'Returns (Calc)'!$A:$A)-3),"")</f>
        <v>190.43025316455694</v>
      </c>
      <c r="AC145" s="143">
        <f>IFERROR('Price History'!H3+(INDEX('Price History'!H:H,MATCH(9.99E+307,'Returns (Calc)'!$A:$A)+1)-'Price History'!H3)*(ROW()-3)/(MATCH(9.99E+307,'Returns (Calc)'!$A:$A)-3),"")</f>
        <v>973.03886075949379</v>
      </c>
      <c r="AD145" s="143">
        <f>IFERROR('Price History'!I3+(INDEX('Price History'!I:I,MATCH(9.99E+307,'Returns (Calc)'!$A:$A)+1)-'Price History'!I3)*(ROW()-3)/(MATCH(9.99E+307,'Returns (Calc)'!$A:$A)-3),"")</f>
        <v>214.6912658227848</v>
      </c>
      <c r="AE145" s="143">
        <f>IFERROR('Price History'!J3+(INDEX('Price History'!J:J,MATCH(9.99E+307,'Returns (Calc)'!$A:$A)+1)-'Price History'!J3)*(ROW()-3)/(MATCH(9.99E+307,'Returns (Calc)'!$A:$A)-3),"")</f>
        <v>127.18139240506329</v>
      </c>
      <c r="AF145" s="143">
        <f>IFERROR('Price History'!K3+(INDEX('Price History'!K:K,MATCH(9.99E+307,'Returns (Calc)'!$A:$A)+1)-'Price History'!K3)*(ROW()-3)/(MATCH(9.99E+307,'Returns (Calc)'!$A:$A)-3),"")</f>
        <v>171.18848101265823</v>
      </c>
      <c r="AG145" s="143">
        <f>IFERROR('Price History'!L3+(INDEX('Price History'!L:L,MATCH(9.99E+307,'Returns (Calc)'!$A:$A)+1)-'Price History'!L3)*(ROW()-3)/(MATCH(9.99E+307,'Returns (Calc)'!$A:$A)-3),"")</f>
        <v>433.58708860759492</v>
      </c>
      <c r="AH145" s="143">
        <f>IFERROR('Price History'!M3+(INDEX('Price History'!M:M,MATCH(9.99E+307,'Returns (Calc)'!$A:$A)+1)-'Price History'!M3)*(ROW()-3)/(MATCH(9.99E+307,'Returns (Calc)'!$A:$A)-3),"")</f>
        <v>230.49291139240509</v>
      </c>
      <c r="AI145" s="143">
        <f>IFERROR('Price History'!N3+(INDEX('Price History'!N:N,MATCH(9.99E+307,'Returns (Calc)'!$A:$A)+1)-'Price History'!N3)*(ROW()-3)/(MATCH(9.99E+307,'Returns (Calc)'!$A:$A)-3),"")</f>
        <v>488.94974683544308</v>
      </c>
      <c r="AJ145" s="143">
        <f>IFERROR('Price History'!O3+(INDEX('Price History'!O:O,MATCH(9.99E+307,'Returns (Calc)'!$A:$A)+1)-'Price History'!O3)*(ROW()-3)/(MATCH(9.99E+307,'Returns (Calc)'!$A:$A)-3),"")</f>
        <v>115.50139240506329</v>
      </c>
      <c r="AK145" s="143">
        <f>IFERROR('Price History'!Q3+(INDEX('Price History'!Q:Q,MATCH(9.99E+307,'Returns (Calc)'!$A:$A)+1)-'Price History'!Q3)*(ROW()-3)/(MATCH(9.99E+307,'Returns (Calc)'!$A:$A)-3),"")</f>
        <v>62.390126582278477</v>
      </c>
      <c r="AL145" s="143">
        <f>IFERROR('Price History'!R3+(INDEX('Price History'!R:R,MATCH(9.99E+307,'Returns (Calc)'!$A:$A)+1)-'Price History'!R3)*(ROW()-3)/(MATCH(9.99E+307,'Returns (Calc)'!$A:$A)-3),"")</f>
        <v>58.350379746835443</v>
      </c>
      <c r="AM145" s="143">
        <f>IFERROR('Price History'!S3+(INDEX('Price History'!S:S,MATCH(9.99E+307,'Returns (Calc)'!$A:$A)+1)-'Price History'!S3)*(ROW()-3)/(MATCH(9.99E+307,'Returns (Calc)'!$A:$A)-3),"")</f>
        <v>143.54898734177215</v>
      </c>
      <c r="AN145" s="143">
        <f>IFERROR('Price History'!T3+(INDEX('Price History'!T:T,MATCH(9.99E+307,'Returns (Calc)'!$A:$A)+1)-'Price History'!T3)*(ROW()-3)/(MATCH(9.99E+307,'Returns (Calc)'!$A:$A)-3),"")</f>
        <v>49.128354430379744</v>
      </c>
      <c r="AO145" s="144">
        <f>IFERROR('Price History'!V3+(INDEX('Price History'!V:V,MATCH(9.99E+307,'Returns (Calc)'!$A:$A)+1)-'Price History'!V3)*(ROW()-3)/(MATCH(9.99E+307,'Returns (Calc)'!$A:$A)-3),"")</f>
        <v>347.99873417721523</v>
      </c>
      <c r="AP145" s="142">
        <f>IFERROR(IF(OR(NOT(ISNUMBER('Price History'!W146)),NOT(ISNUMBER('Price History'!W145)),'Price History'!W145=0),"",'Price History'!W146/'Price History'!W145-1),"")</f>
        <v>1.3171355498721171E-2</v>
      </c>
      <c r="AQ145" s="142">
        <f>IFERROR(IF(OR(NOT(ISNUMBER('Price History'!X146)),NOT(ISNUMBER('Price History'!X145)),'Price History'!X145=0),"",'Price History'!X146/'Price History'!X145-1),"")</f>
        <v>6.389776357827337E-3</v>
      </c>
      <c r="AR145" s="142">
        <f>IFERROR(IF(OR(NOT(ISNUMBER('Price History'!Y146)),NOT(ISNUMBER('Price History'!Y145)),'Price History'!Y145=0),"",'Price History'!Y146/'Price History'!Y145-1),"")</f>
        <v>9.4269870609982043E-3</v>
      </c>
      <c r="AS145" s="142">
        <f>IFERROR(IF(OR(NOT(ISNUMBER('Price History'!Z146)),NOT(ISNUMBER('Price History'!Z145)),'Price History'!Z145=0),"",'Price History'!Z146/'Price History'!Z145-1),"")</f>
        <v>2.2253426539271759E-2</v>
      </c>
      <c r="AT145" s="142">
        <f>IFERROR(IF(OR(NOT(ISNUMBER('Price History'!AA146)),NOT(ISNUMBER('Price History'!AA145)),'Price History'!AA145=0),"",'Price History'!AA146/'Price History'!AA145-1),"")</f>
        <v>-2.2389875882209864E-2</v>
      </c>
    </row>
    <row r="146" spans="1:46" ht="15" customHeight="1" x14ac:dyDescent="0.35">
      <c r="A146" s="140">
        <f>IF('Price History'!A147="","",'Price History'!A147)</f>
        <v>46192</v>
      </c>
      <c r="B146" s="141">
        <f>IFERROR(IF(OR(NOT(ISNUMBER('Price History'!B147)),NOT(ISNUMBER('Price History'!B146)),'Price History'!B146=0),"",'Price History'!B147/'Price History'!B146-1),"")</f>
        <v>-4.3427114988726645E-2</v>
      </c>
      <c r="C146" s="141">
        <f>IFERROR(IF(OR(NOT(ISNUMBER('Price History'!C147)),NOT(ISNUMBER('Price History'!C146)),'Price History'!C146=0),"",'Price History'!C147/'Price History'!C146-1),"")</f>
        <v>3.9389855427591103E-2</v>
      </c>
      <c r="D146" s="141">
        <f>IFERROR(IF(OR(NOT(ISNUMBER('Price History'!D147)),NOT(ISNUMBER('Price History'!D146)),'Price History'!D146=0),"",'Price History'!D147/'Price History'!D146-1),"")</f>
        <v>3.5489001364754857E-2</v>
      </c>
      <c r="E146" s="141">
        <f>IFERROR(IF(OR(NOT(ISNUMBER('Price History'!E147)),NOT(ISNUMBER('Price History'!E146)),'Price History'!E146=0),"",'Price History'!E147/'Price History'!E146-1),"")</f>
        <v>7.6634188617800802E-2</v>
      </c>
      <c r="F146" s="141">
        <f>IFERROR(IF(OR(NOT(ISNUMBER('Price History'!F147)),NOT(ISNUMBER('Price History'!F146)),'Price History'!F146=0),"",'Price History'!F147/'Price History'!F146-1),"")</f>
        <v>2.9876977152900608E-3</v>
      </c>
      <c r="G146" s="141">
        <f>IFERROR(IF(OR(NOT(ISNUMBER('Price History'!G147)),NOT(ISNUMBER('Price History'!G146)),'Price History'!G146=0),"",'Price History'!G147/'Price History'!G146-1),"")</f>
        <v>1.9744346116027378E-2</v>
      </c>
      <c r="H146" s="141">
        <f>IFERROR(IF(OR(NOT(ISNUMBER('Price History'!H147)),NOT(ISNUMBER('Price History'!H146)),'Price History'!H146=0),"",'Price History'!H147/'Price History'!H146-1),"")</f>
        <v>0.15523811464552795</v>
      </c>
      <c r="I146" s="141">
        <f>IFERROR(IF(OR(NOT(ISNUMBER('Price History'!I147)),NOT(ISNUMBER('Price History'!I146)),'Price History'!I146=0),"",'Price History'!I147/'Price History'!I146-1),"")</f>
        <v>2.6785714285714191E-2</v>
      </c>
      <c r="J146" s="141">
        <f>IFERROR(IF(OR(NOT(ISNUMBER('Price History'!J147)),NOT(ISNUMBER('Price History'!J146)),'Price History'!J146=0),"",'Price History'!J147/'Price History'!J146-1),"")</f>
        <v>-4.8324346460992373E-2</v>
      </c>
      <c r="K146" s="141">
        <f>IFERROR(IF(OR(NOT(ISNUMBER('Price History'!K147)),NOT(ISNUMBER('Price History'!K146)),'Price History'!K146=0),"",'Price History'!K147/'Price History'!K146-1),"")</f>
        <v>3.7502929916399808E-3</v>
      </c>
      <c r="L146" s="141">
        <f>IFERROR(IF(OR(NOT(ISNUMBER('Price History'!L147)),NOT(ISNUMBER('Price History'!L146)),'Price History'!L146=0),"",'Price History'!L147/'Price History'!L146-1),"")</f>
        <v>9.0066225165562841E-2</v>
      </c>
      <c r="M146" s="141">
        <f>IFERROR(IF(OR(NOT(ISNUMBER('Price History'!M147)),NOT(ISNUMBER('Price History'!M146)),'Price History'!M146=0),"",'Price History'!M147/'Price History'!M146-1),"")</f>
        <v>9.9890991973045296E-2</v>
      </c>
      <c r="N146" s="141">
        <f>IFERROR(IF(OR(NOT(ISNUMBER('Price History'!N147)),NOT(ISNUMBER('Price History'!N146)),'Price History'!N146=0),"",'Price History'!N147/'Price History'!N146-1),"")</f>
        <v>1.5058548535724636E-2</v>
      </c>
      <c r="O146" s="141">
        <f>IFERROR(IF(OR(NOT(ISNUMBER('Price History'!O147)),NOT(ISNUMBER('Price History'!O146)),'Price History'!O146=0),"",'Price History'!O147/'Price History'!O146-1),"")</f>
        <v>-1.9117528434298703E-2</v>
      </c>
      <c r="P146" s="141">
        <f>IFERROR(IF(OR(NOT(ISNUMBER('Price History'!P147)),NOT(ISNUMBER('Price History'!P146)),'Price History'!P146=0),"",'Price History'!P147/'Price History'!P146-1),"")</f>
        <v>-2.7191298784388973E-2</v>
      </c>
      <c r="Q146" s="141">
        <f>IFERROR(IF(OR(NOT(ISNUMBER('Price History'!Q147)),NOT(ISNUMBER('Price History'!Q146)),'Price History'!Q146=0),"",'Price History'!Q147/'Price History'!Q146-1),"")</f>
        <v>8.3382966051221974E-3</v>
      </c>
      <c r="R146" s="141">
        <f>IFERROR(IF(OR(NOT(ISNUMBER('Price History'!R147)),NOT(ISNUMBER('Price History'!R146)),'Price History'!R146=0),"",'Price History'!R147/'Price History'!R146-1),"")</f>
        <v>2.4773203070481475E-2</v>
      </c>
      <c r="S146" s="141">
        <f>IFERROR(IF(OR(NOT(ISNUMBER('Price History'!S147)),NOT(ISNUMBER('Price History'!S146)),'Price History'!S146=0),"",'Price History'!S147/'Price History'!S146-1),"")</f>
        <v>4.8618421052631478E-2</v>
      </c>
      <c r="T146" s="141">
        <f>IFERROR(IF(OR(NOT(ISNUMBER('Price History'!T147)),NOT(ISNUMBER('Price History'!T146)),'Price History'!T146=0),"",'Price History'!T147/'Price History'!T146-1),"")</f>
        <v>-2.232336367576937E-2</v>
      </c>
      <c r="U146" s="141">
        <f>IFERROR(IF(OR(NOT(ISNUMBER('Price History'!U147)),NOT(ISNUMBER('Price History'!U146)),'Price History'!U146=0),"",'Price History'!U147/'Price History'!U146-1),"")</f>
        <v>-2.9102167182662453E-2</v>
      </c>
      <c r="V146" s="142">
        <f>IFERROR(IF(OR(NOT(ISNUMBER('Price History'!V147)),NOT(ISNUMBER('Price History'!V146)),'Price History'!V146=0),"",'Price History'!V147/'Price History'!V146-1),"")</f>
        <v>1.5040865160508288E-2</v>
      </c>
      <c r="W146" s="143">
        <f>IFERROR('Price History'!B3+(INDEX('Price History'!B:B,MATCH(9.99E+307,'Returns (Calc)'!$A:$A)+1)-'Price History'!B3)*(ROW()-3)/(MATCH(9.99E+307,'Returns (Calc)'!$A:$A)-3),"")</f>
        <v>265.33556962025318</v>
      </c>
      <c r="X146" s="143">
        <f>IFERROR('Price History'!C3+(INDEX('Price History'!C:C,MATCH(9.99E+307,'Returns (Calc)'!$A:$A)+1)-'Price History'!C3)*(ROW()-3)/(MATCH(9.99E+307,'Returns (Calc)'!$A:$A)-3),"")</f>
        <v>192.04905063291139</v>
      </c>
      <c r="Y146" s="143">
        <f>IFERROR('Price History'!D3+(INDEX('Price History'!D:D,MATCH(9.99E+307,'Returns (Calc)'!$A:$A)+1)-'Price History'!D3)*(ROW()-3)/(MATCH(9.99E+307,'Returns (Calc)'!$A:$A)-3),"")</f>
        <v>1745.2878481012658</v>
      </c>
      <c r="Z146" s="143">
        <f>IFERROR('Price History'!E3+(INDEX('Price History'!E:E,MATCH(9.99E+307,'Returns (Calc)'!$A:$A)+1)-'Price History'!E3)*(ROW()-3)/(MATCH(9.99E+307,'Returns (Calc)'!$A:$A)-3),"")</f>
        <v>329.20898734177217</v>
      </c>
      <c r="AA146" s="143">
        <f>IFERROR('Price History'!F3+(INDEX('Price History'!F:F,MATCH(9.99E+307,'Returns (Calc)'!$A:$A)+1)-'Price History'!F3)*(ROW()-3)/(MATCH(9.99E+307,'Returns (Calc)'!$A:$A)-3),"")</f>
        <v>248.3298734177215</v>
      </c>
      <c r="AB146" s="143">
        <f>IFERROR('Price History'!G3+(INDEX('Price History'!G:G,MATCH(9.99E+307,'Returns (Calc)'!$A:$A)+1)-'Price History'!G3)*(ROW()-3)/(MATCH(9.99E+307,'Returns (Calc)'!$A:$A)-3),"")</f>
        <v>191.45898734177214</v>
      </c>
      <c r="AC146" s="143">
        <f>IFERROR('Price History'!H3+(INDEX('Price History'!H:H,MATCH(9.99E+307,'Returns (Calc)'!$A:$A)+1)-'Price History'!H3)*(ROW()-3)/(MATCH(9.99E+307,'Returns (Calc)'!$A:$A)-3),"")</f>
        <v>979.40455696202537</v>
      </c>
      <c r="AD146" s="143">
        <f>IFERROR('Price History'!I3+(INDEX('Price History'!I:I,MATCH(9.99E+307,'Returns (Calc)'!$A:$A)+1)-'Price History'!I3)*(ROW()-3)/(MATCH(9.99E+307,'Returns (Calc)'!$A:$A)-3),"")</f>
        <v>215.89493670886077</v>
      </c>
      <c r="AE146" s="143">
        <f>IFERROR('Price History'!J3+(INDEX('Price History'!J:J,MATCH(9.99E+307,'Returns (Calc)'!$A:$A)+1)-'Price History'!J3)*(ROW()-3)/(MATCH(9.99E+307,'Returns (Calc)'!$A:$A)-3),"")</f>
        <v>127.28943037974683</v>
      </c>
      <c r="AF146" s="143">
        <f>IFERROR('Price History'!K3+(INDEX('Price History'!K:K,MATCH(9.99E+307,'Returns (Calc)'!$A:$A)+1)-'Price History'!K3)*(ROW()-3)/(MATCH(9.99E+307,'Returns (Calc)'!$A:$A)-3),"")</f>
        <v>172.28607594936707</v>
      </c>
      <c r="AG146" s="143">
        <f>IFERROR('Price History'!L3+(INDEX('Price History'!L:L,MATCH(9.99E+307,'Returns (Calc)'!$A:$A)+1)-'Price History'!L3)*(ROW()-3)/(MATCH(9.99E+307,'Returns (Calc)'!$A:$A)-3),"")</f>
        <v>436.03664556962019</v>
      </c>
      <c r="AH146" s="143">
        <f>IFERROR('Price History'!M3+(INDEX('Price History'!M:M,MATCH(9.99E+307,'Returns (Calc)'!$A:$A)+1)-'Price History'!M3)*(ROW()-3)/(MATCH(9.99E+307,'Returns (Calc)'!$A:$A)-3),"")</f>
        <v>231.84835443037977</v>
      </c>
      <c r="AI146" s="143">
        <f>IFERROR('Price History'!N3+(INDEX('Price History'!N:N,MATCH(9.99E+307,'Returns (Calc)'!$A:$A)+1)-'Price History'!N3)*(ROW()-3)/(MATCH(9.99E+307,'Returns (Calc)'!$A:$A)-3),"")</f>
        <v>489.93601265822787</v>
      </c>
      <c r="AJ146" s="143">
        <f>IFERROR('Price History'!O3+(INDEX('Price History'!O:O,MATCH(9.99E+307,'Returns (Calc)'!$A:$A)+1)-'Price History'!O3)*(ROW()-3)/(MATCH(9.99E+307,'Returns (Calc)'!$A:$A)-3),"")</f>
        <v>115.78443037974684</v>
      </c>
      <c r="AK146" s="143">
        <f>IFERROR('Price History'!Q3+(INDEX('Price History'!Q:Q,MATCH(9.99E+307,'Returns (Calc)'!$A:$A)+1)-'Price History'!Q3)*(ROW()-3)/(MATCH(9.99E+307,'Returns (Calc)'!$A:$A)-3),"")</f>
        <v>62.829493670886073</v>
      </c>
      <c r="AL146" s="143">
        <f>IFERROR('Price History'!R3+(INDEX('Price History'!R:R,MATCH(9.99E+307,'Returns (Calc)'!$A:$A)+1)-'Price History'!R3)*(ROW()-3)/(MATCH(9.99E+307,'Returns (Calc)'!$A:$A)-3),"")</f>
        <v>58.518481012658228</v>
      </c>
      <c r="AM146" s="143">
        <f>IFERROR('Price History'!S3+(INDEX('Price History'!S:S,MATCH(9.99E+307,'Returns (Calc)'!$A:$A)+1)-'Price History'!S3)*(ROW()-3)/(MATCH(9.99E+307,'Returns (Calc)'!$A:$A)-3),"")</f>
        <v>144.15405063291138</v>
      </c>
      <c r="AN146" s="143">
        <f>IFERROR('Price History'!T3+(INDEX('Price History'!T:T,MATCH(9.99E+307,'Returns (Calc)'!$A:$A)+1)-'Price History'!T3)*(ROW()-3)/(MATCH(9.99E+307,'Returns (Calc)'!$A:$A)-3),"")</f>
        <v>49.296582278481011</v>
      </c>
      <c r="AO146" s="144">
        <f>IFERROR('Price History'!V3+(INDEX('Price History'!V:V,MATCH(9.99E+307,'Returns (Calc)'!$A:$A)+1)-'Price History'!V3)*(ROW()-3)/(MATCH(9.99E+307,'Returns (Calc)'!$A:$A)-3),"")</f>
        <v>348.79006329113929</v>
      </c>
      <c r="AP146" s="142">
        <f>IFERROR(IF(OR(NOT(ISNUMBER('Price History'!W147)),NOT(ISNUMBER('Price History'!W146)),'Price History'!W146=0),"",'Price History'!W147/'Price History'!W146-1),"")</f>
        <v>-7.068029786696961E-3</v>
      </c>
      <c r="AQ146" s="142">
        <f>IFERROR(IF(OR(NOT(ISNUMBER('Price History'!X147)),NOT(ISNUMBER('Price History'!X146)),'Price History'!X146=0),"",'Price History'!X147/'Price History'!X146-1),"")</f>
        <v>-2.2035480859010304E-2</v>
      </c>
      <c r="AR146" s="142">
        <f>IFERROR(IF(OR(NOT(ISNUMBER('Price History'!Y147)),NOT(ISNUMBER('Price History'!Y146)),'Price History'!Y146=0),"",'Price History'!Y147/'Price History'!Y146-1),"")</f>
        <v>1.0986998718183205E-3</v>
      </c>
      <c r="AS146" s="142">
        <f>IFERROR(IF(OR(NOT(ISNUMBER('Price History'!Z147)),NOT(ISNUMBER('Price History'!Z146)),'Price History'!Z146=0),"",'Price History'!Z147/'Price History'!Z146-1),"")</f>
        <v>6.6620879120879106E-2</v>
      </c>
      <c r="AT146" s="142">
        <f>IFERROR(IF(OR(NOT(ISNUMBER('Price History'!AA147)),NOT(ISNUMBER('Price History'!AA146)),'Price History'!AA146=0),"",'Price History'!AA147/'Price History'!AA146-1),"")</f>
        <v>-3.6843415484192232E-2</v>
      </c>
    </row>
    <row r="147" spans="1:46" ht="15" customHeight="1" x14ac:dyDescent="0.35">
      <c r="A147" s="140">
        <f>IF('Price History'!A148="","",'Price History'!A148)</f>
        <v>46199</v>
      </c>
      <c r="B147" s="141">
        <f>IFERROR(IF(OR(NOT(ISNUMBER('Price History'!B148)),NOT(ISNUMBER('Price History'!B147)),'Price History'!B147=0),"",'Price History'!B148/'Price History'!B147-1),"")</f>
        <v>3.8788686206189693E-2</v>
      </c>
      <c r="C147" s="141">
        <f>IFERROR(IF(OR(NOT(ISNUMBER('Price History'!C148)),NOT(ISNUMBER('Price History'!C147)),'Price History'!C147=0),"",'Price History'!C148/'Price History'!C147-1),"")</f>
        <v>-7.1138091589556196E-2</v>
      </c>
      <c r="D147" s="141">
        <f>IFERROR(IF(OR(NOT(ISNUMBER('Price History'!D148)),NOT(ISNUMBER('Price History'!D147)),'Price History'!D147=0),"",'Price History'!D148/'Price History'!D147-1),"")</f>
        <v>-6.9993098760371408E-2</v>
      </c>
      <c r="E147" s="141">
        <f>IFERROR(IF(OR(NOT(ISNUMBER('Price History'!E148)),NOT(ISNUMBER('Price History'!E147)),'Price History'!E147=0),"",'Price History'!E148/'Price History'!E147-1),"")</f>
        <v>-0.11120868398585193</v>
      </c>
      <c r="F147" s="141">
        <f>IFERROR(IF(OR(NOT(ISNUMBER('Price History'!F148)),NOT(ISNUMBER('Price History'!F147)),'Price History'!F147=0),"",'Price History'!F148/'Price History'!F147-1),"")</f>
        <v>2.3713568132702534E-2</v>
      </c>
      <c r="G147" s="141">
        <f>IFERROR(IF(OR(NOT(ISNUMBER('Price History'!G148)),NOT(ISNUMBER('Price History'!G147)),'Price History'!G147=0),"",'Price History'!G148/'Price History'!G147-1),"")</f>
        <v>-4.2079685270181577E-2</v>
      </c>
      <c r="H147" s="141">
        <f>IFERROR(IF(OR(NOT(ISNUMBER('Price History'!H148)),NOT(ISNUMBER('Price History'!H147)),'Price History'!H147=0),"",'Price History'!H148/'Price History'!H147-1),"")</f>
        <v>-1.4640771903827732E-3</v>
      </c>
      <c r="I147" s="141">
        <f>IFERROR(IF(OR(NOT(ISNUMBER('Price History'!I148)),NOT(ISNUMBER('Price History'!I147)),'Price History'!I147=0),"",'Price History'!I148/'Price History'!I147-1),"")</f>
        <v>-8.6196246139225385E-2</v>
      </c>
      <c r="J147" s="141">
        <f>IFERROR(IF(OR(NOT(ISNUMBER('Price History'!J148)),NOT(ISNUMBER('Price History'!J147)),'Price History'!J147=0),"",'Price History'!J148/'Price History'!J147-1),"")</f>
        <v>-4.0163522914724581E-3</v>
      </c>
      <c r="K147" s="141">
        <f>IFERROR(IF(OR(NOT(ISNUMBER('Price History'!K148)),NOT(ISNUMBER('Price History'!K147)),'Price History'!K147=0),"",'Price History'!K148/'Price History'!K147-1),"")</f>
        <v>-0.12096209231727251</v>
      </c>
      <c r="L147" s="141">
        <f>IFERROR(IF(OR(NOT(ISNUMBER('Price History'!L148)),NOT(ISNUMBER('Price History'!L147)),'Price History'!L147=0),"",'Price History'!L148/'Price History'!L147-1),"")</f>
        <v>-6.4420239541746249E-2</v>
      </c>
      <c r="M147" s="141">
        <f>IFERROR(IF(OR(NOT(ISNUMBER('Price History'!M148)),NOT(ISNUMBER('Price History'!M147)),'Price History'!M147=0),"",'Price History'!M148/'Price History'!M147-1),"")</f>
        <v>-8.7365228098627568E-2</v>
      </c>
      <c r="N147" s="141">
        <f>IFERROR(IF(OR(NOT(ISNUMBER('Price History'!N148)),NOT(ISNUMBER('Price History'!N147)),'Price History'!N147=0),"",'Price History'!N148/'Price History'!N147-1),"")</f>
        <v>8.7925957088767381E-2</v>
      </c>
      <c r="O147" s="141">
        <f>IFERROR(IF(OR(NOT(ISNUMBER('Price History'!O148)),NOT(ISNUMBER('Price History'!O147)),'Price History'!O147=0),"",'Price History'!O148/'Price History'!O147-1),"")</f>
        <v>2.409539473684208E-2</v>
      </c>
      <c r="P147" s="141">
        <f>IFERROR(IF(OR(NOT(ISNUMBER('Price History'!P148)),NOT(ISNUMBER('Price History'!P147)),'Price History'!P147=0),"",'Price History'!P148/'Price History'!P147-1),"")</f>
        <v>3.1700098651759268E-2</v>
      </c>
      <c r="Q147" s="141">
        <f>IFERROR(IF(OR(NOT(ISNUMBER('Price History'!Q148)),NOT(ISNUMBER('Price History'!Q147)),'Price History'!Q147=0),"",'Price History'!Q148/'Price History'!Q147-1),"")</f>
        <v>-1.0779681039574829E-2</v>
      </c>
      <c r="R147" s="141">
        <f>IFERROR(IF(OR(NOT(ISNUMBER('Price History'!R148)),NOT(ISNUMBER('Price History'!R147)),'Price History'!R147=0),"",'Price History'!R148/'Price History'!R147-1),"")</f>
        <v>-3.1324480762683016E-2</v>
      </c>
      <c r="S147" s="141">
        <f>IFERROR(IF(OR(NOT(ISNUMBER('Price History'!S148)),NOT(ISNUMBER('Price History'!S147)),'Price History'!S147=0),"",'Price History'!S148/'Price History'!S147-1),"")</f>
        <v>-3.4130121086642817E-2</v>
      </c>
      <c r="T147" s="141">
        <f>IFERROR(IF(OR(NOT(ISNUMBER('Price History'!T148)),NOT(ISNUMBER('Price History'!T147)),'Price History'!T147=0),"",'Price History'!T148/'Price History'!T147-1),"")</f>
        <v>2.0616271336732384E-2</v>
      </c>
      <c r="U147" s="141">
        <f>IFERROR(IF(OR(NOT(ISNUMBER('Price History'!U148)),NOT(ISNUMBER('Price History'!U147)),'Price History'!U147=0),"",'Price History'!U148/'Price History'!U147-1),"")</f>
        <v>1.5306122448979664E-2</v>
      </c>
      <c r="V147" s="142">
        <f>IFERROR(IF(OR(NOT(ISNUMBER('Price History'!V148)),NOT(ISNUMBER('Price History'!V147)),'Price History'!V147=0),"",'Price History'!V148/'Price History'!V147-1),"")</f>
        <v>2.7492881854085827E-2</v>
      </c>
      <c r="W147" s="143">
        <f>IFERROR('Price History'!B3+(INDEX('Price History'!B:B,MATCH(9.99E+307,'Returns (Calc)'!$A:$A)+1)-'Price History'!B3)*(ROW()-3)/(MATCH(9.99E+307,'Returns (Calc)'!$A:$A)-3),"")</f>
        <v>263.49253164556961</v>
      </c>
      <c r="X147" s="143">
        <f>IFERROR('Price History'!C3+(INDEX('Price History'!C:C,MATCH(9.99E+307,'Returns (Calc)'!$A:$A)+1)-'Price History'!C3)*(ROW()-3)/(MATCH(9.99E+307,'Returns (Calc)'!$A:$A)-3),"")</f>
        <v>193.06911392405064</v>
      </c>
      <c r="Y147" s="143">
        <f>IFERROR('Price History'!D3+(INDEX('Price History'!D:D,MATCH(9.99E+307,'Returns (Calc)'!$A:$A)+1)-'Price History'!D3)*(ROW()-3)/(MATCH(9.99E+307,'Returns (Calc)'!$A:$A)-3),"")</f>
        <v>1753.4226582278479</v>
      </c>
      <c r="Z147" s="143">
        <f>IFERROR('Price History'!E3+(INDEX('Price History'!E:E,MATCH(9.99E+307,'Returns (Calc)'!$A:$A)+1)-'Price History'!E3)*(ROW()-3)/(MATCH(9.99E+307,'Returns (Calc)'!$A:$A)-3),"")</f>
        <v>330.93772151898736</v>
      </c>
      <c r="AA147" s="143">
        <f>IFERROR('Price History'!F3+(INDEX('Price History'!F:F,MATCH(9.99E+307,'Returns (Calc)'!$A:$A)+1)-'Price History'!F3)*(ROW()-3)/(MATCH(9.99E+307,'Returns (Calc)'!$A:$A)-3),"")</f>
        <v>249.7772151898734</v>
      </c>
      <c r="AB147" s="143">
        <f>IFERROR('Price History'!G3+(INDEX('Price History'!G:G,MATCH(9.99E+307,'Returns (Calc)'!$A:$A)+1)-'Price History'!G3)*(ROW()-3)/(MATCH(9.99E+307,'Returns (Calc)'!$A:$A)-3),"")</f>
        <v>192.48772151898731</v>
      </c>
      <c r="AC147" s="143">
        <f>IFERROR('Price History'!H3+(INDEX('Price History'!H:H,MATCH(9.99E+307,'Returns (Calc)'!$A:$A)+1)-'Price History'!H3)*(ROW()-3)/(MATCH(9.99E+307,'Returns (Calc)'!$A:$A)-3),"")</f>
        <v>985.77025316455706</v>
      </c>
      <c r="AD147" s="143">
        <f>IFERROR('Price History'!I3+(INDEX('Price History'!I:I,MATCH(9.99E+307,'Returns (Calc)'!$A:$A)+1)-'Price History'!I3)*(ROW()-3)/(MATCH(9.99E+307,'Returns (Calc)'!$A:$A)-3),"")</f>
        <v>217.09860759493671</v>
      </c>
      <c r="AE147" s="143">
        <f>IFERROR('Price History'!J3+(INDEX('Price History'!J:J,MATCH(9.99E+307,'Returns (Calc)'!$A:$A)+1)-'Price History'!J3)*(ROW()-3)/(MATCH(9.99E+307,'Returns (Calc)'!$A:$A)-3),"")</f>
        <v>127.39746835443037</v>
      </c>
      <c r="AF147" s="143">
        <f>IFERROR('Price History'!K3+(INDEX('Price History'!K:K,MATCH(9.99E+307,'Returns (Calc)'!$A:$A)+1)-'Price History'!K3)*(ROW()-3)/(MATCH(9.99E+307,'Returns (Calc)'!$A:$A)-3),"")</f>
        <v>173.38367088607595</v>
      </c>
      <c r="AG147" s="143">
        <f>IFERROR('Price History'!L3+(INDEX('Price History'!L:L,MATCH(9.99E+307,'Returns (Calc)'!$A:$A)+1)-'Price History'!L3)*(ROW()-3)/(MATCH(9.99E+307,'Returns (Calc)'!$A:$A)-3),"")</f>
        <v>438.48620253164552</v>
      </c>
      <c r="AH147" s="143">
        <f>IFERROR('Price History'!M3+(INDEX('Price History'!M:M,MATCH(9.99E+307,'Returns (Calc)'!$A:$A)+1)-'Price History'!M3)*(ROW()-3)/(MATCH(9.99E+307,'Returns (Calc)'!$A:$A)-3),"")</f>
        <v>233.20379746835445</v>
      </c>
      <c r="AI147" s="143">
        <f>IFERROR('Price History'!N3+(INDEX('Price History'!N:N,MATCH(9.99E+307,'Returns (Calc)'!$A:$A)+1)-'Price History'!N3)*(ROW()-3)/(MATCH(9.99E+307,'Returns (Calc)'!$A:$A)-3),"")</f>
        <v>490.92227848101265</v>
      </c>
      <c r="AJ147" s="143">
        <f>IFERROR('Price History'!O3+(INDEX('Price History'!O:O,MATCH(9.99E+307,'Returns (Calc)'!$A:$A)+1)-'Price History'!O3)*(ROW()-3)/(MATCH(9.99E+307,'Returns (Calc)'!$A:$A)-3),"")</f>
        <v>116.06746835443039</v>
      </c>
      <c r="AK147" s="143">
        <f>IFERROR('Price History'!Q3+(INDEX('Price History'!Q:Q,MATCH(9.99E+307,'Returns (Calc)'!$A:$A)+1)-'Price History'!Q3)*(ROW()-3)/(MATCH(9.99E+307,'Returns (Calc)'!$A:$A)-3),"")</f>
        <v>63.26886075949367</v>
      </c>
      <c r="AL147" s="143">
        <f>IFERROR('Price History'!R3+(INDEX('Price History'!R:R,MATCH(9.99E+307,'Returns (Calc)'!$A:$A)+1)-'Price History'!R3)*(ROW()-3)/(MATCH(9.99E+307,'Returns (Calc)'!$A:$A)-3),"")</f>
        <v>58.686582278481012</v>
      </c>
      <c r="AM147" s="143">
        <f>IFERROR('Price History'!S3+(INDEX('Price History'!S:S,MATCH(9.99E+307,'Returns (Calc)'!$A:$A)+1)-'Price History'!S3)*(ROW()-3)/(MATCH(9.99E+307,'Returns (Calc)'!$A:$A)-3),"")</f>
        <v>144.75911392405064</v>
      </c>
      <c r="AN147" s="143">
        <f>IFERROR('Price History'!T3+(INDEX('Price History'!T:T,MATCH(9.99E+307,'Returns (Calc)'!$A:$A)+1)-'Price History'!T3)*(ROW()-3)/(MATCH(9.99E+307,'Returns (Calc)'!$A:$A)-3),"")</f>
        <v>49.464810126582279</v>
      </c>
      <c r="AO147" s="144">
        <f>IFERROR('Price History'!V3+(INDEX('Price History'!V:V,MATCH(9.99E+307,'Returns (Calc)'!$A:$A)+1)-'Price History'!V3)*(ROW()-3)/(MATCH(9.99E+307,'Returns (Calc)'!$A:$A)-3),"")</f>
        <v>349.5813924050633</v>
      </c>
      <c r="AP147" s="142">
        <f>IFERROR(IF(OR(NOT(ISNUMBER('Price History'!W148)),NOT(ISNUMBER('Price History'!W147)),'Price History'!W147=0),"",'Price History'!W148/'Price History'!W147-1),"")</f>
        <v>6.3556628956407124E-5</v>
      </c>
      <c r="AQ147" s="142">
        <f>IFERROR(IF(OR(NOT(ISNUMBER('Price History'!X148)),NOT(ISNUMBER('Price History'!X147)),'Price History'!X147=0),"",'Price History'!X148/'Price History'!X147-1),"")</f>
        <v>3.3034179873973724E-2</v>
      </c>
      <c r="AR147" s="142">
        <f>IFERROR(IF(OR(NOT(ISNUMBER('Price History'!Y148)),NOT(ISNUMBER('Price History'!Y147)),'Price History'!Y147=0),"",'Price History'!Y148/'Price History'!Y147-1),"")</f>
        <v>1.0974940552404E-3</v>
      </c>
      <c r="AS147" s="142">
        <f>IFERROR(IF(OR(NOT(ISNUMBER('Price History'!Z148)),NOT(ISNUMBER('Price History'!Z147)),'Price History'!Z147=0),"",'Price History'!Z148/'Price History'!Z147-1),"")</f>
        <v>3.1775805593661666E-2</v>
      </c>
      <c r="AT147" s="142">
        <f>IFERROR(IF(OR(NOT(ISNUMBER('Price History'!AA148)),NOT(ISNUMBER('Price History'!AA147)),'Price History'!AA147=0),"",'Price History'!AA148/'Price History'!AA147-1),"")</f>
        <v>-4.6135952442491468E-2</v>
      </c>
    </row>
    <row r="148" spans="1:46" ht="15" customHeight="1" x14ac:dyDescent="0.35">
      <c r="A148" s="140">
        <f>IF('Price History'!A149="","",'Price History'!A149)</f>
        <v>46206</v>
      </c>
      <c r="B148" s="141">
        <f>IFERROR(IF(OR(NOT(ISNUMBER('Price History'!B149)),NOT(ISNUMBER('Price History'!B148)),'Price History'!B148=0),"",'Price History'!B149/'Price History'!B148-1),"")</f>
        <v>8.3806047452276378E-2</v>
      </c>
      <c r="C148" s="141">
        <f>IFERROR(IF(OR(NOT(ISNUMBER('Price History'!C149)),NOT(ISNUMBER('Price History'!C148)),'Price History'!C148=0),"",'Price History'!C149/'Price History'!C148-1),"")</f>
        <v>1.5164974619289451E-2</v>
      </c>
      <c r="D148" s="141">
        <f>IFERROR(IF(OR(NOT(ISNUMBER('Price History'!D149)),NOT(ISNUMBER('Price History'!D148)),'Price History'!D148=0),"",'Price History'!D149/'Price History'!D148-1),"")</f>
        <v>-1.409920214249849E-2</v>
      </c>
      <c r="E148" s="141">
        <f>IFERROR(IF(OR(NOT(ISNUMBER('Price History'!E149)),NOT(ISNUMBER('Price History'!E148)),'Price History'!E148=0),"",'Price History'!E149/'Price History'!E148-1),"")</f>
        <v>-1.2542540344714026E-2</v>
      </c>
      <c r="F148" s="141">
        <f>IFERROR(IF(OR(NOT(ISNUMBER('Price History'!F149)),NOT(ISNUMBER('Price History'!F148)),'Price History'!F148=0),"",'Price History'!F149/'Price History'!F148-1),"")</f>
        <v>0.10674958635248455</v>
      </c>
      <c r="G148" s="141">
        <f>IFERROR(IF(OR(NOT(ISNUMBER('Price History'!G149)),NOT(ISNUMBER('Price History'!G148)),'Price History'!G148=0),"",'Price History'!G149/'Price History'!G148-1),"")</f>
        <v>-5.2665485585440486E-2</v>
      </c>
      <c r="H148" s="141">
        <f>IFERROR(IF(OR(NOT(ISNUMBER('Price History'!H149)),NOT(ISNUMBER('Price History'!H148)),'Price History'!H148=0),"",'Price History'!H149/'Price History'!H148-1),"")</f>
        <v>-0.13845216223855294</v>
      </c>
      <c r="I148" s="141">
        <f>IFERROR(IF(OR(NOT(ISNUMBER('Price History'!I149)),NOT(ISNUMBER('Price History'!I148)),'Price History'!I148=0),"",'Price History'!I149/'Price History'!I148-1),"")</f>
        <v>1.1959856481722264E-2</v>
      </c>
      <c r="J148" s="141">
        <f>IFERROR(IF(OR(NOT(ISNUMBER('Price History'!J149)),NOT(ISNUMBER('Price History'!J148)),'Price History'!J148=0),"",'Price History'!J149/'Price History'!J148-1),"")</f>
        <v>-3.8885288399221896E-3</v>
      </c>
      <c r="K148" s="141">
        <f>IFERROR(IF(OR(NOT(ISNUMBER('Price History'!K149)),NOT(ISNUMBER('Price History'!K148)),'Price History'!K148=0),"",'Price History'!K149/'Price History'!K148-1),"")</f>
        <v>0.14495705304170725</v>
      </c>
      <c r="L148" s="141">
        <f>IFERROR(IF(OR(NOT(ISNUMBER('Price History'!L149)),NOT(ISNUMBER('Price History'!L148)),'Price History'!L148=0),"",'Price History'!L149/'Price History'!L148-1),"")</f>
        <v>4.1976854750807036E-3</v>
      </c>
      <c r="M148" s="141">
        <f>IFERROR(IF(OR(NOT(ISNUMBER('Price History'!M149)),NOT(ISNUMBER('Price History'!M148)),'Price History'!M148=0),"",'Price History'!M149/'Price History'!M148-1),"")</f>
        <v>-1.1254442543109144E-2</v>
      </c>
      <c r="N148" s="141">
        <f>IFERROR(IF(OR(NOT(ISNUMBER('Price History'!N149)),NOT(ISNUMBER('Price History'!N148)),'Price History'!N148=0),"",'Price History'!N149/'Price History'!N148-1),"")</f>
        <v>7.4693694793829035E-2</v>
      </c>
      <c r="O148" s="141">
        <f>IFERROR(IF(OR(NOT(ISNUMBER('Price History'!O149)),NOT(ISNUMBER('Price History'!O148)),'Price History'!O148=0),"",'Price History'!O149/'Price History'!O148-1),"")</f>
        <v>-1.1402874809282926E-2</v>
      </c>
      <c r="P148" s="141">
        <f>IFERROR(IF(OR(NOT(ISNUMBER('Price History'!P149)),NOT(ISNUMBER('Price History'!P148)),'Price History'!P148=0),"",'Price History'!P149/'Price History'!P148-1),"")</f>
        <v>5.8009817045960865E-3</v>
      </c>
      <c r="Q148" s="141">
        <f>IFERROR(IF(OR(NOT(ISNUMBER('Price History'!Q149)),NOT(ISNUMBER('Price History'!Q148)),'Price History'!Q148=0),"",'Price History'!Q149/'Price History'!Q148-1),"")</f>
        <v>7.6130765785940024E-3</v>
      </c>
      <c r="R148" s="141">
        <f>IFERROR(IF(OR(NOT(ISNUMBER('Price History'!R149)),NOT(ISNUMBER('Price History'!R148)),'Price History'!R148=0),"",'Price History'!R149/'Price History'!R148-1),"")</f>
        <v>1.001757469244291E-2</v>
      </c>
      <c r="S148" s="141">
        <f>IFERROR(IF(OR(NOT(ISNUMBER('Price History'!S149)),NOT(ISNUMBER('Price History'!S148)),'Price History'!S148=0),"",'Price History'!S149/'Price History'!S148-1),"")</f>
        <v>-2.1890224098733202E-2</v>
      </c>
      <c r="T148" s="141">
        <f>IFERROR(IF(OR(NOT(ISNUMBER('Price History'!T149)),NOT(ISNUMBER('Price History'!T148)),'Price History'!T148=0),"",'Price History'!T149/'Price History'!T148-1),"")</f>
        <v>1.7593397046046899E-2</v>
      </c>
      <c r="U148" s="141">
        <f>IFERROR(IF(OR(NOT(ISNUMBER('Price History'!U149)),NOT(ISNUMBER('Price History'!U148)),'Price History'!U148=0),"",'Price History'!U149/'Price History'!U148-1),"")</f>
        <v>9.1080402010050854E-3</v>
      </c>
      <c r="V148" s="142">
        <f>IFERROR(IF(OR(NOT(ISNUMBER('Price History'!V149)),NOT(ISNUMBER('Price History'!V148)),'Price History'!V148=0),"",'Price History'!V149/'Price History'!V148-1),"")</f>
        <v>7.7023926581448521E-2</v>
      </c>
      <c r="W148" s="143">
        <f>IFERROR('Price History'!B3+(INDEX('Price History'!B:B,MATCH(9.99E+307,'Returns (Calc)'!$A:$A)+1)-'Price History'!B3)*(ROW()-3)/(MATCH(9.99E+307,'Returns (Calc)'!$A:$A)-3),"")</f>
        <v>261.64949367088605</v>
      </c>
      <c r="X148" s="143">
        <f>IFERROR('Price History'!C3+(INDEX('Price History'!C:C,MATCH(9.99E+307,'Returns (Calc)'!$A:$A)+1)-'Price History'!C3)*(ROW()-3)/(MATCH(9.99E+307,'Returns (Calc)'!$A:$A)-3),"")</f>
        <v>194.08917721518986</v>
      </c>
      <c r="Y148" s="143">
        <f>IFERROR('Price History'!D3+(INDEX('Price History'!D:D,MATCH(9.99E+307,'Returns (Calc)'!$A:$A)+1)-'Price History'!D3)*(ROW()-3)/(MATCH(9.99E+307,'Returns (Calc)'!$A:$A)-3),"")</f>
        <v>1761.5574683544303</v>
      </c>
      <c r="Z148" s="143">
        <f>IFERROR('Price History'!E3+(INDEX('Price History'!E:E,MATCH(9.99E+307,'Returns (Calc)'!$A:$A)+1)-'Price History'!E3)*(ROW()-3)/(MATCH(9.99E+307,'Returns (Calc)'!$A:$A)-3),"")</f>
        <v>332.66645569620249</v>
      </c>
      <c r="AA148" s="143">
        <f>IFERROR('Price History'!F3+(INDEX('Price History'!F:F,MATCH(9.99E+307,'Returns (Calc)'!$A:$A)+1)-'Price History'!F3)*(ROW()-3)/(MATCH(9.99E+307,'Returns (Calc)'!$A:$A)-3),"")</f>
        <v>251.2245569620253</v>
      </c>
      <c r="AB148" s="143">
        <f>IFERROR('Price History'!G3+(INDEX('Price History'!G:G,MATCH(9.99E+307,'Returns (Calc)'!$A:$A)+1)-'Price History'!G3)*(ROW()-3)/(MATCH(9.99E+307,'Returns (Calc)'!$A:$A)-3),"")</f>
        <v>193.51645569620251</v>
      </c>
      <c r="AC148" s="143">
        <f>IFERROR('Price History'!H3+(INDEX('Price History'!H:H,MATCH(9.99E+307,'Returns (Calc)'!$A:$A)+1)-'Price History'!H3)*(ROW()-3)/(MATCH(9.99E+307,'Returns (Calc)'!$A:$A)-3),"")</f>
        <v>992.13594936708864</v>
      </c>
      <c r="AD148" s="143">
        <f>IFERROR('Price History'!I3+(INDEX('Price History'!I:I,MATCH(9.99E+307,'Returns (Calc)'!$A:$A)+1)-'Price History'!I3)*(ROW()-3)/(MATCH(9.99E+307,'Returns (Calc)'!$A:$A)-3),"")</f>
        <v>218.30227848101265</v>
      </c>
      <c r="AE148" s="143">
        <f>IFERROR('Price History'!J3+(INDEX('Price History'!J:J,MATCH(9.99E+307,'Returns (Calc)'!$A:$A)+1)-'Price History'!J3)*(ROW()-3)/(MATCH(9.99E+307,'Returns (Calc)'!$A:$A)-3),"")</f>
        <v>127.50550632911393</v>
      </c>
      <c r="AF148" s="143">
        <f>IFERROR('Price History'!K3+(INDEX('Price History'!K:K,MATCH(9.99E+307,'Returns (Calc)'!$A:$A)+1)-'Price History'!K3)*(ROW()-3)/(MATCH(9.99E+307,'Returns (Calc)'!$A:$A)-3),"")</f>
        <v>174.48126582278482</v>
      </c>
      <c r="AG148" s="143">
        <f>IFERROR('Price History'!L3+(INDEX('Price History'!L:L,MATCH(9.99E+307,'Returns (Calc)'!$A:$A)+1)-'Price History'!L3)*(ROW()-3)/(MATCH(9.99E+307,'Returns (Calc)'!$A:$A)-3),"")</f>
        <v>440.9357594936709</v>
      </c>
      <c r="AH148" s="143">
        <f>IFERROR('Price History'!M3+(INDEX('Price History'!M:M,MATCH(9.99E+307,'Returns (Calc)'!$A:$A)+1)-'Price History'!M3)*(ROW()-3)/(MATCH(9.99E+307,'Returns (Calc)'!$A:$A)-3),"")</f>
        <v>234.55924050632913</v>
      </c>
      <c r="AI148" s="143">
        <f>IFERROR('Price History'!N3+(INDEX('Price History'!N:N,MATCH(9.99E+307,'Returns (Calc)'!$A:$A)+1)-'Price History'!N3)*(ROW()-3)/(MATCH(9.99E+307,'Returns (Calc)'!$A:$A)-3),"")</f>
        <v>491.9085443037975</v>
      </c>
      <c r="AJ148" s="143">
        <f>IFERROR('Price History'!O3+(INDEX('Price History'!O:O,MATCH(9.99E+307,'Returns (Calc)'!$A:$A)+1)-'Price History'!O3)*(ROW()-3)/(MATCH(9.99E+307,'Returns (Calc)'!$A:$A)-3),"")</f>
        <v>116.35050632911393</v>
      </c>
      <c r="AK148" s="143">
        <f>IFERROR('Price History'!Q3+(INDEX('Price History'!Q:Q,MATCH(9.99E+307,'Returns (Calc)'!$A:$A)+1)-'Price History'!Q3)*(ROW()-3)/(MATCH(9.99E+307,'Returns (Calc)'!$A:$A)-3),"")</f>
        <v>63.708227848101266</v>
      </c>
      <c r="AL148" s="143">
        <f>IFERROR('Price History'!R3+(INDEX('Price History'!R:R,MATCH(9.99E+307,'Returns (Calc)'!$A:$A)+1)-'Price History'!R3)*(ROW()-3)/(MATCH(9.99E+307,'Returns (Calc)'!$A:$A)-3),"")</f>
        <v>58.854683544303796</v>
      </c>
      <c r="AM148" s="143">
        <f>IFERROR('Price History'!S3+(INDEX('Price History'!S:S,MATCH(9.99E+307,'Returns (Calc)'!$A:$A)+1)-'Price History'!S3)*(ROW()-3)/(MATCH(9.99E+307,'Returns (Calc)'!$A:$A)-3),"")</f>
        <v>145.36417721518987</v>
      </c>
      <c r="AN148" s="143">
        <f>IFERROR('Price History'!T3+(INDEX('Price History'!T:T,MATCH(9.99E+307,'Returns (Calc)'!$A:$A)+1)-'Price History'!T3)*(ROW()-3)/(MATCH(9.99E+307,'Returns (Calc)'!$A:$A)-3),"")</f>
        <v>49.633037974683546</v>
      </c>
      <c r="AO148" s="144">
        <f>IFERROR('Price History'!V3+(INDEX('Price History'!V:V,MATCH(9.99E+307,'Returns (Calc)'!$A:$A)+1)-'Price History'!V3)*(ROW()-3)/(MATCH(9.99E+307,'Returns (Calc)'!$A:$A)-3),"")</f>
        <v>350.37272151898736</v>
      </c>
      <c r="AP148" s="142">
        <f>IFERROR(IF(OR(NOT(ISNUMBER('Price History'!W149)),NOT(ISNUMBER('Price History'!W148)),'Price History'!W148=0),"",'Price History'!W149/'Price History'!W148-1),"")</f>
        <v>7.9440737210041412E-3</v>
      </c>
      <c r="AQ148" s="142">
        <f>IFERROR(IF(OR(NOT(ISNUMBER('Price History'!X149)),NOT(ISNUMBER('Price History'!X148)),'Price History'!X148=0),"",'Price History'!X149/'Price History'!X148-1),"")</f>
        <v>-1.8114602587800399E-2</v>
      </c>
      <c r="AR148" s="142">
        <f>IFERROR(IF(OR(NOT(ISNUMBER('Price History'!Y149)),NOT(ISNUMBER('Price History'!Y148)),'Price History'!Y148=0),"",'Price History'!Y149/'Price History'!Y148-1),"")</f>
        <v>1.6627078384798155E-2</v>
      </c>
      <c r="AS148" s="142">
        <f>IFERROR(IF(OR(NOT(ISNUMBER('Price History'!Z149)),NOT(ISNUMBER('Price History'!Z148)),'Price History'!Z148=0),"",'Price History'!Z149/'Price History'!Z148-1),"")</f>
        <v>2.3091116296738434E-2</v>
      </c>
      <c r="AT148" s="142">
        <f>IFERROR(IF(OR(NOT(ISNUMBER('Price History'!AA149)),NOT(ISNUMBER('Price History'!AA148)),'Price History'!AA148=0),"",'Price History'!AA149/'Price History'!AA148-1),"")</f>
        <v>5.2025470803414242E-2</v>
      </c>
    </row>
    <row r="149" spans="1:46" ht="15" customHeight="1" x14ac:dyDescent="0.35">
      <c r="A149" s="140">
        <f>IF('Price History'!A150="","",'Price History'!A150)</f>
        <v>46213</v>
      </c>
      <c r="B149" s="141">
        <f>IFERROR(IF(OR(NOT(ISNUMBER('Price History'!B150)),NOT(ISNUMBER('Price History'!B149)),'Price History'!B149=0),"",'Price History'!B150/'Price History'!B149-1),"")</f>
        <v>1.7840888403422461E-2</v>
      </c>
      <c r="C149" s="141">
        <f>IFERROR(IF(OR(NOT(ISNUMBER('Price History'!C150)),NOT(ISNUMBER('Price History'!C149)),'Price History'!C149=0),"",'Price History'!C150/'Price History'!C149-1),"")</f>
        <v>0.16857303581473837</v>
      </c>
      <c r="D149" s="141">
        <f>IFERROR(IF(OR(NOT(ISNUMBER('Price History'!D150)),NOT(ISNUMBER('Price History'!D149)),'Price History'!D149=0),"",'Price History'!D150/'Price History'!D149-1),"")</f>
        <v>1.5828820110580955E-2</v>
      </c>
      <c r="E149" s="141">
        <f>IFERROR(IF(OR(NOT(ISNUMBER('Price History'!E150)),NOT(ISNUMBER('Price History'!E149)),'Price History'!E149=0),"",'Price History'!E150/'Price History'!E149-1),"")</f>
        <v>0.10964729425498199</v>
      </c>
      <c r="F149" s="141">
        <f>IFERROR(IF(OR(NOT(ISNUMBER('Price History'!F150)),NOT(ISNUMBER('Price History'!F149)),'Price History'!F149=0),"",'Price History'!F150/'Price History'!F149-1),"")</f>
        <v>-3.5055160325806689E-2</v>
      </c>
      <c r="G149" s="141">
        <f>IFERROR(IF(OR(NOT(ISNUMBER('Price History'!G150)),NOT(ISNUMBER('Price History'!G149)),'Price History'!G149=0),"",'Price History'!G150/'Price History'!G149-1),"")</f>
        <v>-1.7086025161509699E-2</v>
      </c>
      <c r="H149" s="141">
        <f>IFERROR(IF(OR(NOT(ISNUMBER('Price History'!H150)),NOT(ISNUMBER('Price History'!H149)),'Price History'!H149=0),"",'Price History'!H150/'Price History'!H149-1),"")</f>
        <v>3.9880665566274232E-3</v>
      </c>
      <c r="I149" s="141">
        <f>IFERROR(IF(OR(NOT(ISNUMBER('Price History'!I150)),NOT(ISNUMBER('Price History'!I149)),'Price History'!I149=0),"",'Price History'!I150/'Price History'!I149-1),"")</f>
        <v>8.2780946508401287E-2</v>
      </c>
      <c r="J149" s="141">
        <f>IFERROR(IF(OR(NOT(ISNUMBER('Price History'!J150)),NOT(ISNUMBER('Price History'!J149)),'Price History'!J149=0),"",'Price History'!J150/'Price History'!J149-1),"")</f>
        <v>1.0337598496349187E-2</v>
      </c>
      <c r="K149" s="141">
        <f>IFERROR(IF(OR(NOT(ISNUMBER('Price History'!K150)),NOT(ISNUMBER('Price History'!K149)),'Price History'!K149=0),"",'Price History'!K150/'Price History'!K149-1),"")</f>
        <v>-1.9412219644238227E-2</v>
      </c>
      <c r="L149" s="141">
        <f>IFERROR(IF(OR(NOT(ISNUMBER('Price History'!L150)),NOT(ISNUMBER('Price History'!L149)),'Price History'!L149=0),"",'Price History'!L150/'Price History'!L149-1),"")</f>
        <v>-1.1547344110862667E-4</v>
      </c>
      <c r="M149" s="141">
        <f>IFERROR(IF(OR(NOT(ISNUMBER('Price History'!M150)),NOT(ISNUMBER('Price History'!M149)),'Price History'!M149=0),"",'Price History'!M150/'Price History'!M149-1),"")</f>
        <v>6.0973174465819069E-2</v>
      </c>
      <c r="N149" s="141">
        <f>IFERROR(IF(OR(NOT(ISNUMBER('Price History'!N150)),NOT(ISNUMBER('Price History'!N149)),'Price History'!N149=0),"",'Price History'!N150/'Price History'!N149-1),"")</f>
        <v>-8.0770396182107351E-2</v>
      </c>
      <c r="O149" s="141">
        <f>IFERROR(IF(OR(NOT(ISNUMBER('Price History'!O150)),NOT(ISNUMBER('Price History'!O149)),'Price History'!O149=0),"",'Price History'!O150/'Price History'!O149-1),"")</f>
        <v>3.5740394768906114E-3</v>
      </c>
      <c r="P149" s="141">
        <f>IFERROR(IF(OR(NOT(ISNUMBER('Price History'!P150)),NOT(ISNUMBER('Price History'!P149)),'Price History'!P149=0),"",'Price History'!P150/'Price History'!P149-1),"")</f>
        <v>2.3450373938396218E-3</v>
      </c>
      <c r="Q149" s="141">
        <f>IFERROR(IF(OR(NOT(ISNUMBER('Price History'!Q150)),NOT(ISNUMBER('Price History'!Q149)),'Price History'!Q149=0),"",'Price History'!Q150/'Price History'!Q149-1),"")</f>
        <v>1.0962962962962841E-2</v>
      </c>
      <c r="R149" s="141">
        <f>IFERROR(IF(OR(NOT(ISNUMBER('Price History'!R150)),NOT(ISNUMBER('Price History'!R149)),'Price History'!R149=0),"",'Price History'!R150/'Price History'!R149-1),"")</f>
        <v>1.8792413433095456E-2</v>
      </c>
      <c r="S149" s="141">
        <f>IFERROR(IF(OR(NOT(ISNUMBER('Price History'!S150)),NOT(ISNUMBER('Price History'!S149)),'Price History'!S149=0),"",'Price History'!S150/'Price History'!S149-1),"")</f>
        <v>1.9391685482799792E-2</v>
      </c>
      <c r="T149" s="141">
        <f>IFERROR(IF(OR(NOT(ISNUMBER('Price History'!T150)),NOT(ISNUMBER('Price History'!T149)),'Price History'!T149=0),"",'Price History'!T150/'Price History'!T149-1),"")</f>
        <v>8.9647812166488983E-3</v>
      </c>
      <c r="U149" s="141">
        <f>IFERROR(IF(OR(NOT(ISNUMBER('Price History'!U150)),NOT(ISNUMBER('Price History'!U149)),'Price History'!U149=0),"",'Price History'!U150/'Price History'!U149-1),"")</f>
        <v>3.1123560535317729E-4</v>
      </c>
      <c r="V149" s="142">
        <f>IFERROR(IF(OR(NOT(ISNUMBER('Price History'!V150)),NOT(ISNUMBER('Price History'!V149)),'Price History'!V149=0),"",'Price History'!V150/'Price History'!V149-1),"")</f>
        <v>-3.6352570132241468E-2</v>
      </c>
      <c r="W149" s="143">
        <f>IFERROR('Price History'!B3+(INDEX('Price History'!B:B,MATCH(9.99E+307,'Returns (Calc)'!$A:$A)+1)-'Price History'!B3)*(ROW()-3)/(MATCH(9.99E+307,'Returns (Calc)'!$A:$A)-3),"")</f>
        <v>259.80645569620253</v>
      </c>
      <c r="X149" s="143">
        <f>IFERROR('Price History'!C3+(INDEX('Price History'!C:C,MATCH(9.99E+307,'Returns (Calc)'!$A:$A)+1)-'Price History'!C3)*(ROW()-3)/(MATCH(9.99E+307,'Returns (Calc)'!$A:$A)-3),"")</f>
        <v>195.10924050632912</v>
      </c>
      <c r="Y149" s="143">
        <f>IFERROR('Price History'!D3+(INDEX('Price History'!D:D,MATCH(9.99E+307,'Returns (Calc)'!$A:$A)+1)-'Price History'!D3)*(ROW()-3)/(MATCH(9.99E+307,'Returns (Calc)'!$A:$A)-3),"")</f>
        <v>1769.6922784810126</v>
      </c>
      <c r="Z149" s="143">
        <f>IFERROR('Price History'!E3+(INDEX('Price History'!E:E,MATCH(9.99E+307,'Returns (Calc)'!$A:$A)+1)-'Price History'!E3)*(ROW()-3)/(MATCH(9.99E+307,'Returns (Calc)'!$A:$A)-3),"")</f>
        <v>334.39518987341768</v>
      </c>
      <c r="AA149" s="143">
        <f>IFERROR('Price History'!F3+(INDEX('Price History'!F:F,MATCH(9.99E+307,'Returns (Calc)'!$A:$A)+1)-'Price History'!F3)*(ROW()-3)/(MATCH(9.99E+307,'Returns (Calc)'!$A:$A)-3),"")</f>
        <v>252.6718987341772</v>
      </c>
      <c r="AB149" s="143">
        <f>IFERROR('Price History'!G3+(INDEX('Price History'!G:G,MATCH(9.99E+307,'Returns (Calc)'!$A:$A)+1)-'Price History'!G3)*(ROW()-3)/(MATCH(9.99E+307,'Returns (Calc)'!$A:$A)-3),"")</f>
        <v>194.54518987341771</v>
      </c>
      <c r="AC149" s="143">
        <f>IFERROR('Price History'!H3+(INDEX('Price History'!H:H,MATCH(9.99E+307,'Returns (Calc)'!$A:$A)+1)-'Price History'!H3)*(ROW()-3)/(MATCH(9.99E+307,'Returns (Calc)'!$A:$A)-3),"")</f>
        <v>998.50164556962034</v>
      </c>
      <c r="AD149" s="143">
        <f>IFERROR('Price History'!I3+(INDEX('Price History'!I:I,MATCH(9.99E+307,'Returns (Calc)'!$A:$A)+1)-'Price History'!I3)*(ROW()-3)/(MATCH(9.99E+307,'Returns (Calc)'!$A:$A)-3),"")</f>
        <v>219.50594936708859</v>
      </c>
      <c r="AE149" s="143">
        <f>IFERROR('Price History'!J3+(INDEX('Price History'!J:J,MATCH(9.99E+307,'Returns (Calc)'!$A:$A)+1)-'Price History'!J3)*(ROW()-3)/(MATCH(9.99E+307,'Returns (Calc)'!$A:$A)-3),"")</f>
        <v>127.61354430379747</v>
      </c>
      <c r="AF149" s="143">
        <f>IFERROR('Price History'!K3+(INDEX('Price History'!K:K,MATCH(9.99E+307,'Returns (Calc)'!$A:$A)+1)-'Price History'!K3)*(ROW()-3)/(MATCH(9.99E+307,'Returns (Calc)'!$A:$A)-3),"")</f>
        <v>175.57886075949369</v>
      </c>
      <c r="AG149" s="143">
        <f>IFERROR('Price History'!L3+(INDEX('Price History'!L:L,MATCH(9.99E+307,'Returns (Calc)'!$A:$A)+1)-'Price History'!L3)*(ROW()-3)/(MATCH(9.99E+307,'Returns (Calc)'!$A:$A)-3),"")</f>
        <v>443.38531645569617</v>
      </c>
      <c r="AH149" s="143">
        <f>IFERROR('Price History'!M3+(INDEX('Price History'!M:M,MATCH(9.99E+307,'Returns (Calc)'!$A:$A)+1)-'Price History'!M3)*(ROW()-3)/(MATCH(9.99E+307,'Returns (Calc)'!$A:$A)-3),"")</f>
        <v>235.91468354430381</v>
      </c>
      <c r="AI149" s="143">
        <f>IFERROR('Price History'!N3+(INDEX('Price History'!N:N,MATCH(9.99E+307,'Returns (Calc)'!$A:$A)+1)-'Price History'!N3)*(ROW()-3)/(MATCH(9.99E+307,'Returns (Calc)'!$A:$A)-3),"")</f>
        <v>492.89481012658234</v>
      </c>
      <c r="AJ149" s="143">
        <f>IFERROR('Price History'!O3+(INDEX('Price History'!O:O,MATCH(9.99E+307,'Returns (Calc)'!$A:$A)+1)-'Price History'!O3)*(ROW()-3)/(MATCH(9.99E+307,'Returns (Calc)'!$A:$A)-3),"")</f>
        <v>116.63354430379746</v>
      </c>
      <c r="AK149" s="143">
        <f>IFERROR('Price History'!Q3+(INDEX('Price History'!Q:Q,MATCH(9.99E+307,'Returns (Calc)'!$A:$A)+1)-'Price History'!Q3)*(ROW()-3)/(MATCH(9.99E+307,'Returns (Calc)'!$A:$A)-3),"")</f>
        <v>64.147594936708856</v>
      </c>
      <c r="AL149" s="143">
        <f>IFERROR('Price History'!R3+(INDEX('Price History'!R:R,MATCH(9.99E+307,'Returns (Calc)'!$A:$A)+1)-'Price History'!R3)*(ROW()-3)/(MATCH(9.99E+307,'Returns (Calc)'!$A:$A)-3),"")</f>
        <v>59.022784810126581</v>
      </c>
      <c r="AM149" s="143">
        <f>IFERROR('Price History'!S3+(INDEX('Price History'!S:S,MATCH(9.99E+307,'Returns (Calc)'!$A:$A)+1)-'Price History'!S3)*(ROW()-3)/(MATCH(9.99E+307,'Returns (Calc)'!$A:$A)-3),"")</f>
        <v>145.9692405063291</v>
      </c>
      <c r="AN149" s="143">
        <f>IFERROR('Price History'!T3+(INDEX('Price History'!T:T,MATCH(9.99E+307,'Returns (Calc)'!$A:$A)+1)-'Price History'!T3)*(ROW()-3)/(MATCH(9.99E+307,'Returns (Calc)'!$A:$A)-3),"")</f>
        <v>49.801265822784814</v>
      </c>
      <c r="AO149" s="144">
        <f>IFERROR('Price History'!V3+(INDEX('Price History'!V:V,MATCH(9.99E+307,'Returns (Calc)'!$A:$A)+1)-'Price History'!V3)*(ROW()-3)/(MATCH(9.99E+307,'Returns (Calc)'!$A:$A)-3),"")</f>
        <v>351.16405063291143</v>
      </c>
      <c r="AP149" s="142">
        <f>IFERROR(IF(OR(NOT(ISNUMBER('Price History'!W150)),NOT(ISNUMBER('Price History'!W149)),'Price History'!W149=0),"",'Price History'!W150/'Price History'!W149-1),"")</f>
        <v>9.8991172761664359E-3</v>
      </c>
      <c r="AQ149" s="142">
        <f>IFERROR(IF(OR(NOT(ISNUMBER('Price History'!X150)),NOT(ISNUMBER('Price History'!X149)),'Price History'!X149=0),"",'Price History'!X150/'Price History'!X149-1),"")</f>
        <v>7.9066265060241392E-3</v>
      </c>
      <c r="AR149" s="142">
        <f>IFERROR(IF(OR(NOT(ISNUMBER('Price History'!Y150)),NOT(ISNUMBER('Price History'!Y149)),'Price History'!Y149=0),"",'Price History'!Y150/'Price History'!Y149-1),"")</f>
        <v>8.9863407620405233E-4</v>
      </c>
      <c r="AS149" s="142">
        <f>IFERROR(IF(OR(NOT(ISNUMBER('Price History'!Z150)),NOT(ISNUMBER('Price History'!Z149)),'Price History'!Z149=0),"",'Price History'!Z150/'Price History'!Z149-1),"")</f>
        <v>-4.715554966184865E-2</v>
      </c>
      <c r="AT149" s="142">
        <f>IFERROR(IF(OR(NOT(ISNUMBER('Price History'!AA150)),NOT(ISNUMBER('Price History'!AA149)),'Price History'!AA149=0),"",'Price History'!AA150/'Price History'!AA149-1),"")</f>
        <v>-5.5119124275595621E-2</v>
      </c>
    </row>
    <row r="150" spans="1:46" ht="15" customHeight="1" x14ac:dyDescent="0.35">
      <c r="A150" s="140">
        <f>IF('Price History'!A151="","",'Price History'!A151)</f>
        <v>46220</v>
      </c>
      <c r="B150" s="141">
        <f>IFERROR(IF(OR(NOT(ISNUMBER('Price History'!B151)),NOT(ISNUMBER('Price History'!B150)),'Price History'!B150=0),"",'Price History'!B151/'Price History'!B150-1),"")</f>
        <v>6.0856734036844884E-2</v>
      </c>
      <c r="C150" s="141">
        <f>IFERROR(IF(OR(NOT(ISNUMBER('Price History'!C151)),NOT(ISNUMBER('Price History'!C150)),'Price History'!C150=0),"",'Price History'!C151/'Price History'!C150-1),"")</f>
        <v>-9.8149336756525374E-2</v>
      </c>
      <c r="D150" s="141">
        <f>IFERROR(IF(OR(NOT(ISNUMBER('Price History'!D151)),NOT(ISNUMBER('Price History'!D150)),'Price History'!D150=0),"",'Price History'!D151/'Price History'!D150-1),"")</f>
        <v>-2.7676880222841316E-2</v>
      </c>
      <c r="E150" s="141">
        <f>IFERROR(IF(OR(NOT(ISNUMBER('Price History'!E151)),NOT(ISNUMBER('Price History'!E150)),'Price History'!E150=0),"",'Price History'!E151/'Price History'!E150-1),"")</f>
        <v>-7.283839294659844E-2</v>
      </c>
      <c r="F150" s="141">
        <f>IFERROR(IF(OR(NOT(ISNUMBER('Price History'!F151)),NOT(ISNUMBER('Price History'!F150)),'Price History'!F150=0),"",'Price History'!F151/'Price History'!F150-1),"")</f>
        <v>8.4944972753499437E-2</v>
      </c>
      <c r="G150" s="141">
        <f>IFERROR(IF(OR(NOT(ISNUMBER('Price History'!G151)),NOT(ISNUMBER('Price History'!G150)),'Price History'!G150=0),"",'Price History'!G151/'Price History'!G150-1),"")</f>
        <v>-8.1077575023782766E-2</v>
      </c>
      <c r="H150" s="141">
        <f>IFERROR(IF(OR(NOT(ISNUMBER('Price History'!H151)),NOT(ISNUMBER('Price History'!H150)),'Price History'!H150=0),"",'Price History'!H151/'Price History'!H150-1),"")</f>
        <v>-0.13310527928111904</v>
      </c>
      <c r="I150" s="141">
        <f>IFERROR(IF(OR(NOT(ISNUMBER('Price History'!I151)),NOT(ISNUMBER('Price History'!I150)),'Price History'!I150=0),"",'Price History'!I151/'Price History'!I150-1),"")</f>
        <v>-3.8629460895975631E-2</v>
      </c>
      <c r="J150" s="141">
        <f>IFERROR(IF(OR(NOT(ISNUMBER('Price History'!J151)),NOT(ISNUMBER('Price History'!J150)),'Price History'!J150=0),"",'Price History'!J151/'Price History'!J150-1),"")</f>
        <v>6.3322839152833543E-2</v>
      </c>
      <c r="K150" s="141">
        <f>IFERROR(IF(OR(NOT(ISNUMBER('Price History'!K151)),NOT(ISNUMBER('Price History'!K150)),'Price History'!K150=0),"",'Price History'!K151/'Price History'!K150-1),"")</f>
        <v>4.4088650524489292E-2</v>
      </c>
      <c r="L150" s="141">
        <f>IFERROR(IF(OR(NOT(ISNUMBER('Price History'!L151)),NOT(ISNUMBER('Price History'!L150)),'Price History'!L150=0),"",'Price History'!L151/'Price History'!L150-1),"")</f>
        <v>-8.2342071832775088E-2</v>
      </c>
      <c r="M150" s="141">
        <f>IFERROR(IF(OR(NOT(ISNUMBER('Price History'!M151)),NOT(ISNUMBER('Price History'!M150)),'Price History'!M150=0),"",'Price History'!M151/'Price History'!M150-1),"")</f>
        <v>-9.1881548403287439E-2</v>
      </c>
      <c r="N150" s="141">
        <f>IFERROR(IF(OR(NOT(ISNUMBER('Price History'!N151)),NOT(ISNUMBER('Price History'!N150)),'Price History'!N150=0),"",'Price History'!N151/'Price History'!N150-1),"")</f>
        <v>5.3565174395853177E-4</v>
      </c>
      <c r="O150" s="141">
        <f>IFERROR(IF(OR(NOT(ISNUMBER('Price History'!O151)),NOT(ISNUMBER('Price History'!O150)),'Price History'!O150=0),"",'Price History'!O151/'Price History'!O150-1),"")</f>
        <v>1.1250505868069638E-2</v>
      </c>
      <c r="P150" s="141">
        <f>IFERROR(IF(OR(NOT(ISNUMBER('Price History'!P151)),NOT(ISNUMBER('Price History'!P150)),'Price History'!P150=0),"",'Price History'!P151/'Price History'!P150-1),"")</f>
        <v>1.4922541890610042E-2</v>
      </c>
      <c r="Q150" s="141">
        <f>IFERROR(IF(OR(NOT(ISNUMBER('Price History'!Q151)),NOT(ISNUMBER('Price History'!Q150)),'Price History'!Q150=0),"",'Price History'!Q151/'Price History'!Q150-1),"")</f>
        <v>-9.2321219226260132E-3</v>
      </c>
      <c r="R150" s="141">
        <f>IFERROR(IF(OR(NOT(ISNUMBER('Price History'!R151)),NOT(ISNUMBER('Price History'!R150)),'Price History'!R150=0),"",'Price History'!R151/'Price History'!R150-1),"")</f>
        <v>-3.2963279248505506E-2</v>
      </c>
      <c r="S150" s="141">
        <f>IFERROR(IF(OR(NOT(ISNUMBER('Price History'!S151)),NOT(ISNUMBER('Price History'!S150)),'Price History'!S150=0),"",'Price History'!S151/'Price History'!S150-1),"")</f>
        <v>-6.410423452768732E-2</v>
      </c>
      <c r="T150" s="141">
        <f>IFERROR(IF(OR(NOT(ISNUMBER('Price History'!T151)),NOT(ISNUMBER('Price History'!T150)),'Price History'!T150=0),"",'Price History'!T151/'Price History'!T150-1),"")</f>
        <v>8.6735773217685441E-3</v>
      </c>
      <c r="U150" s="141">
        <f>IFERROR(IF(OR(NOT(ISNUMBER('Price History'!U151)),NOT(ISNUMBER('Price History'!U150)),'Price History'!U150=0),"",'Price History'!U151/'Price History'!U150-1),"")</f>
        <v>1.5868077162414451E-2</v>
      </c>
      <c r="V150" s="142">
        <f>IFERROR(IF(OR(NOT(ISNUMBER('Price History'!V151)),NOT(ISNUMBER('Price History'!V150)),'Price History'!V150=0),"",'Price History'!V151/'Price History'!V150-1),"")</f>
        <v>2.7503445107946778E-2</v>
      </c>
      <c r="W150" s="143">
        <f>IFERROR('Price History'!B3+(INDEX('Price History'!B:B,MATCH(9.99E+307,'Returns (Calc)'!$A:$A)+1)-'Price History'!B3)*(ROW()-3)/(MATCH(9.99E+307,'Returns (Calc)'!$A:$A)-3),"")</f>
        <v>257.96341772151897</v>
      </c>
      <c r="X150" s="143">
        <f>IFERROR('Price History'!C3+(INDEX('Price History'!C:C,MATCH(9.99E+307,'Returns (Calc)'!$A:$A)+1)-'Price History'!C3)*(ROW()-3)/(MATCH(9.99E+307,'Returns (Calc)'!$A:$A)-3),"")</f>
        <v>196.12930379746834</v>
      </c>
      <c r="Y150" s="143">
        <f>IFERROR('Price History'!D3+(INDEX('Price History'!D:D,MATCH(9.99E+307,'Returns (Calc)'!$A:$A)+1)-'Price History'!D3)*(ROW()-3)/(MATCH(9.99E+307,'Returns (Calc)'!$A:$A)-3),"")</f>
        <v>1777.827088607595</v>
      </c>
      <c r="Z150" s="143">
        <f>IFERROR('Price History'!E3+(INDEX('Price History'!E:E,MATCH(9.99E+307,'Returns (Calc)'!$A:$A)+1)-'Price History'!E3)*(ROW()-3)/(MATCH(9.99E+307,'Returns (Calc)'!$A:$A)-3),"")</f>
        <v>336.12392405063287</v>
      </c>
      <c r="AA150" s="143">
        <f>IFERROR('Price History'!F3+(INDEX('Price History'!F:F,MATCH(9.99E+307,'Returns (Calc)'!$A:$A)+1)-'Price History'!F3)*(ROW()-3)/(MATCH(9.99E+307,'Returns (Calc)'!$A:$A)-3),"")</f>
        <v>254.11924050632911</v>
      </c>
      <c r="AB150" s="143">
        <f>IFERROR('Price History'!G3+(INDEX('Price History'!G:G,MATCH(9.99E+307,'Returns (Calc)'!$A:$A)+1)-'Price History'!G3)*(ROW()-3)/(MATCH(9.99E+307,'Returns (Calc)'!$A:$A)-3),"")</f>
        <v>195.57392405063288</v>
      </c>
      <c r="AC150" s="143">
        <f>IFERROR('Price History'!H3+(INDEX('Price History'!H:H,MATCH(9.99E+307,'Returns (Calc)'!$A:$A)+1)-'Price History'!H3)*(ROW()-3)/(MATCH(9.99E+307,'Returns (Calc)'!$A:$A)-3),"")</f>
        <v>1004.8673417721519</v>
      </c>
      <c r="AD150" s="143">
        <f>IFERROR('Price History'!I3+(INDEX('Price History'!I:I,MATCH(9.99E+307,'Returns (Calc)'!$A:$A)+1)-'Price History'!I3)*(ROW()-3)/(MATCH(9.99E+307,'Returns (Calc)'!$A:$A)-3),"")</f>
        <v>220.70962025316453</v>
      </c>
      <c r="AE150" s="143">
        <f>IFERROR('Price History'!J3+(INDEX('Price History'!J:J,MATCH(9.99E+307,'Returns (Calc)'!$A:$A)+1)-'Price History'!J3)*(ROW()-3)/(MATCH(9.99E+307,'Returns (Calc)'!$A:$A)-3),"")</f>
        <v>127.72158227848101</v>
      </c>
      <c r="AF150" s="143">
        <f>IFERROR('Price History'!K3+(INDEX('Price History'!K:K,MATCH(9.99E+307,'Returns (Calc)'!$A:$A)+1)-'Price History'!K3)*(ROW()-3)/(MATCH(9.99E+307,'Returns (Calc)'!$A:$A)-3),"")</f>
        <v>176.67645569620254</v>
      </c>
      <c r="AG150" s="143">
        <f>IFERROR('Price History'!L3+(INDEX('Price History'!L:L,MATCH(9.99E+307,'Returns (Calc)'!$A:$A)+1)-'Price History'!L3)*(ROW()-3)/(MATCH(9.99E+307,'Returns (Calc)'!$A:$A)-3),"")</f>
        <v>445.8348734177215</v>
      </c>
      <c r="AH150" s="143">
        <f>IFERROR('Price History'!M3+(INDEX('Price History'!M:M,MATCH(9.99E+307,'Returns (Calc)'!$A:$A)+1)-'Price History'!M3)*(ROW()-3)/(MATCH(9.99E+307,'Returns (Calc)'!$A:$A)-3),"")</f>
        <v>237.27012658227849</v>
      </c>
      <c r="AI150" s="143">
        <f>IFERROR('Price History'!N3+(INDEX('Price History'!N:N,MATCH(9.99E+307,'Returns (Calc)'!$A:$A)+1)-'Price History'!N3)*(ROW()-3)/(MATCH(9.99E+307,'Returns (Calc)'!$A:$A)-3),"")</f>
        <v>493.88107594936707</v>
      </c>
      <c r="AJ150" s="143">
        <f>IFERROR('Price History'!O3+(INDEX('Price History'!O:O,MATCH(9.99E+307,'Returns (Calc)'!$A:$A)+1)-'Price History'!O3)*(ROW()-3)/(MATCH(9.99E+307,'Returns (Calc)'!$A:$A)-3),"")</f>
        <v>116.91658227848102</v>
      </c>
      <c r="AK150" s="143">
        <f>IFERROR('Price History'!Q3+(INDEX('Price History'!Q:Q,MATCH(9.99E+307,'Returns (Calc)'!$A:$A)+1)-'Price History'!Q3)*(ROW()-3)/(MATCH(9.99E+307,'Returns (Calc)'!$A:$A)-3),"")</f>
        <v>64.586962025316453</v>
      </c>
      <c r="AL150" s="143">
        <f>IFERROR('Price History'!R3+(INDEX('Price History'!R:R,MATCH(9.99E+307,'Returns (Calc)'!$A:$A)+1)-'Price History'!R3)*(ROW()-3)/(MATCH(9.99E+307,'Returns (Calc)'!$A:$A)-3),"")</f>
        <v>59.190886075949365</v>
      </c>
      <c r="AM150" s="143">
        <f>IFERROR('Price History'!S3+(INDEX('Price History'!S:S,MATCH(9.99E+307,'Returns (Calc)'!$A:$A)+1)-'Price History'!S3)*(ROW()-3)/(MATCH(9.99E+307,'Returns (Calc)'!$A:$A)-3),"")</f>
        <v>146.57430379746836</v>
      </c>
      <c r="AN150" s="143">
        <f>IFERROR('Price History'!T3+(INDEX('Price History'!T:T,MATCH(9.99E+307,'Returns (Calc)'!$A:$A)+1)-'Price History'!T3)*(ROW()-3)/(MATCH(9.99E+307,'Returns (Calc)'!$A:$A)-3),"")</f>
        <v>49.969493670886081</v>
      </c>
      <c r="AO150" s="144">
        <f>IFERROR('Price History'!V3+(INDEX('Price History'!V:V,MATCH(9.99E+307,'Returns (Calc)'!$A:$A)+1)-'Price History'!V3)*(ROW()-3)/(MATCH(9.99E+307,'Returns (Calc)'!$A:$A)-3),"")</f>
        <v>351.95537974683543</v>
      </c>
      <c r="AP150" s="142">
        <f>IFERROR(IF(OR(NOT(ISNUMBER('Price History'!W151)),NOT(ISNUMBER('Price History'!W150)),'Price History'!W150=0),"",'Price History'!W151/'Price History'!W150-1),"")</f>
        <v>-5.5565961166259559E-3</v>
      </c>
      <c r="AQ150" s="142">
        <f>IFERROR(IF(OR(NOT(ISNUMBER('Price History'!X151)),NOT(ISNUMBER('Price History'!X150)),'Price History'!X150=0),"",'Price History'!X151/'Price History'!X150-1),"")</f>
        <v>1.3821441912588828E-2</v>
      </c>
      <c r="AR150" s="142">
        <f>IFERROR(IF(OR(NOT(ISNUMBER('Price History'!Y151)),NOT(ISNUMBER('Price History'!Y150)),'Price History'!Y150=0),"",'Price History'!Y151/'Price History'!Y150-1),"")</f>
        <v>-3.5913090321421093E-3</v>
      </c>
      <c r="AS150" s="142">
        <f>IFERROR(IF(OR(NOT(ISNUMBER('Price History'!Z151)),NOT(ISNUMBER('Price History'!Z150)),'Price History'!Z150=0),"",'Price History'!Z151/'Price History'!Z150-1),"")</f>
        <v>-2.9058925042447226E-2</v>
      </c>
      <c r="AT150" s="142">
        <f>IFERROR(IF(OR(NOT(ISNUMBER('Price History'!AA151)),NOT(ISNUMBER('Price History'!AA150)),'Price History'!AA150=0),"",'Price History'!AA151/'Price History'!AA150-1),"")</f>
        <v>-6.0242605969742402E-2</v>
      </c>
    </row>
    <row r="151" spans="1:46" ht="15" customHeight="1" x14ac:dyDescent="0.35">
      <c r="A151" s="140">
        <f>IF('Price History'!A152="","",'Price History'!A152)</f>
        <v>46227</v>
      </c>
      <c r="B151" s="141">
        <f>IFERROR(IF(OR(NOT(ISNUMBER('Price History'!B152)),NOT(ISNUMBER('Price History'!B151)),'Price History'!B151=0),"",'Price History'!B152/'Price History'!B151-1),"")</f>
        <v>-5.1169652265542598E-2</v>
      </c>
      <c r="C151" s="141">
        <f>IFERROR(IF(OR(NOT(ISNUMBER('Price History'!C152)),NOT(ISNUMBER('Price History'!C151)),'Price History'!C151=0),"",'Price History'!C152/'Price History'!C151-1),"")</f>
        <v>3.1907953264930899E-2</v>
      </c>
      <c r="D151" s="141">
        <f>IFERROR(IF(OR(NOT(ISNUMBER('Price History'!D152)),NOT(ISNUMBER('Price History'!D151)),'Price History'!D151=0),"",'Price History'!D152/'Price History'!D151-1),"")</f>
        <v>5.4431279077762351E-3</v>
      </c>
      <c r="E151" s="141">
        <f>IFERROR(IF(OR(NOT(ISNUMBER('Price History'!E152)),NOT(ISNUMBER('Price History'!E151)),'Price History'!E151=0),"",'Price History'!E152/'Price History'!E151-1),"")</f>
        <v>2.9905986600389012E-2</v>
      </c>
      <c r="F151" s="141">
        <f>IFERROR(IF(OR(NOT(ISNUMBER('Price History'!F152)),NOT(ISNUMBER('Price History'!F151)),'Price History'!F151=0),"",'Price History'!F152/'Price History'!F151-1),"")</f>
        <v>-9.7498522749655314E-2</v>
      </c>
      <c r="G151" s="141">
        <f>IFERROR(IF(OR(NOT(ISNUMBER('Price History'!G152)),NOT(ISNUMBER('Price History'!G151)),'Price History'!G151=0),"",'Price History'!G152/'Price History'!G151-1),"")</f>
        <v>-1.0493623829466836E-2</v>
      </c>
      <c r="H151" s="141">
        <f>IFERROR(IF(OR(NOT(ISNUMBER('Price History'!H152)),NOT(ISNUMBER('Price History'!H151)),'Price History'!H151=0),"",'Price History'!H152/'Price History'!H151-1),"")</f>
        <v>8.4810648448082837E-2</v>
      </c>
      <c r="I151" s="141">
        <f>IFERROR(IF(OR(NOT(ISNUMBER('Price History'!I152)),NOT(ISNUMBER('Price History'!I151)),'Price History'!I151=0),"",'Price History'!I152/'Price History'!I151-1),"")</f>
        <v>1.9893375456609741E-2</v>
      </c>
      <c r="J151" s="141">
        <f>IFERROR(IF(OR(NOT(ISNUMBER('Price History'!J152)),NOT(ISNUMBER('Price History'!J151)),'Price History'!J151=0),"",'Price History'!J152/'Price History'!J151-1),"")</f>
        <v>-1.440010766435651E-2</v>
      </c>
      <c r="K151" s="141">
        <f>IFERROR(IF(OR(NOT(ISNUMBER('Price History'!K152)),NOT(ISNUMBER('Price History'!K151)),'Price History'!K151=0),"",'Price History'!K152/'Price History'!K151-1),"")</f>
        <v>-7.1460945762199635E-2</v>
      </c>
      <c r="L151" s="141">
        <f>IFERROR(IF(OR(NOT(ISNUMBER('Price History'!L152)),NOT(ISNUMBER('Price History'!L151)),'Price History'!L151=0),"",'Price History'!L152/'Price History'!L151-1),"")</f>
        <v>1.2660458092121685E-2</v>
      </c>
      <c r="M151" s="141">
        <f>IFERROR(IF(OR(NOT(ISNUMBER('Price History'!M152)),NOT(ISNUMBER('Price History'!M151)),'Price History'!M151=0),"",'Price History'!M152/'Price History'!M151-1),"")</f>
        <v>2.7634806038205895E-3</v>
      </c>
      <c r="N151" s="141">
        <f>IFERROR(IF(OR(NOT(ISNUMBER('Price History'!N152)),NOT(ISNUMBER('Price History'!N151)),'Price History'!N151=0),"",'Price History'!N152/'Price History'!N151-1),"")</f>
        <v>-1.7069906311129368E-2</v>
      </c>
      <c r="O151" s="141">
        <f>IFERROR(IF(OR(NOT(ISNUMBER('Price History'!O152)),NOT(ISNUMBER('Price History'!O151)),'Price History'!O151=0),"",'Price History'!O152/'Price History'!O151-1),"")</f>
        <v>-5.6026892908589421E-4</v>
      </c>
      <c r="P151" s="141">
        <f>IFERROR(IF(OR(NOT(ISNUMBER('Price History'!P152)),NOT(ISNUMBER('Price History'!P151)),'Price History'!P151=0),"",'Price History'!P152/'Price History'!P151-1),"")</f>
        <v>7.1646626378418787E-3</v>
      </c>
      <c r="Q151" s="141">
        <f>IFERROR(IF(OR(NOT(ISNUMBER('Price History'!Q152)),NOT(ISNUMBER('Price History'!Q151)),'Price History'!Q151=0),"",'Price History'!Q152/'Price History'!Q151-1),"")</f>
        <v>-1.7748853719864455E-3</v>
      </c>
      <c r="R151" s="141">
        <f>IFERROR(IF(OR(NOT(ISNUMBER('Price History'!R152)),NOT(ISNUMBER('Price History'!R151)),'Price History'!R151=0),"",'Price History'!R152/'Price History'!R151-1),"")</f>
        <v>-9.3606499470151316E-3</v>
      </c>
      <c r="S151" s="141">
        <f>IFERROR(IF(OR(NOT(ISNUMBER('Price History'!S152)),NOT(ISNUMBER('Price History'!S151)),'Price History'!S151=0),"",'Price History'!S152/'Price History'!S151-1),"")</f>
        <v>1.8167896422107921E-2</v>
      </c>
      <c r="T151" s="141">
        <f>IFERROR(IF(OR(NOT(ISNUMBER('Price History'!T152)),NOT(ISNUMBER('Price History'!T151)),'Price History'!T151=0),"",'Price History'!T152/'Price History'!T151-1),"")</f>
        <v>6.9211409395972812E-3</v>
      </c>
      <c r="U151" s="141">
        <f>IFERROR(IF(OR(NOT(ISNUMBER('Price History'!U152)),NOT(ISNUMBER('Price History'!U151)),'Price History'!U151=0),"",'Price History'!U152/'Price History'!U151-1),"")</f>
        <v>1.1638591117917318E-2</v>
      </c>
      <c r="V151" s="142">
        <f>IFERROR(IF(OR(NOT(ISNUMBER('Price History'!V152)),NOT(ISNUMBER('Price History'!V151)),'Price History'!V151=0),"",'Price History'!V152/'Price History'!V151-1),"")</f>
        <v>-7.8792958927074164E-3</v>
      </c>
      <c r="W151" s="143">
        <f>IFERROR('Price History'!B3+(INDEX('Price History'!B:B,MATCH(9.99E+307,'Returns (Calc)'!$A:$A)+1)-'Price History'!B3)*(ROW()-3)/(MATCH(9.99E+307,'Returns (Calc)'!$A:$A)-3),"")</f>
        <v>256.12037974683545</v>
      </c>
      <c r="X151" s="143">
        <f>IFERROR('Price History'!C3+(INDEX('Price History'!C:C,MATCH(9.99E+307,'Returns (Calc)'!$A:$A)+1)-'Price History'!C3)*(ROW()-3)/(MATCH(9.99E+307,'Returns (Calc)'!$A:$A)-3),"")</f>
        <v>197.14936708860759</v>
      </c>
      <c r="Y151" s="143">
        <f>IFERROR('Price History'!D3+(INDEX('Price History'!D:D,MATCH(9.99E+307,'Returns (Calc)'!$A:$A)+1)-'Price History'!D3)*(ROW()-3)/(MATCH(9.99E+307,'Returns (Calc)'!$A:$A)-3),"")</f>
        <v>1785.9618987341771</v>
      </c>
      <c r="Z151" s="143">
        <f>IFERROR('Price History'!E3+(INDEX('Price History'!E:E,MATCH(9.99E+307,'Returns (Calc)'!$A:$A)+1)-'Price History'!E3)*(ROW()-3)/(MATCH(9.99E+307,'Returns (Calc)'!$A:$A)-3),"")</f>
        <v>337.85265822784811</v>
      </c>
      <c r="AA151" s="143">
        <f>IFERROR('Price History'!F3+(INDEX('Price History'!F:F,MATCH(9.99E+307,'Returns (Calc)'!$A:$A)+1)-'Price History'!F3)*(ROW()-3)/(MATCH(9.99E+307,'Returns (Calc)'!$A:$A)-3),"")</f>
        <v>255.56658227848101</v>
      </c>
      <c r="AB151" s="143">
        <f>IFERROR('Price History'!G3+(INDEX('Price History'!G:G,MATCH(9.99E+307,'Returns (Calc)'!$A:$A)+1)-'Price History'!G3)*(ROW()-3)/(MATCH(9.99E+307,'Returns (Calc)'!$A:$A)-3),"")</f>
        <v>196.60265822784808</v>
      </c>
      <c r="AC151" s="143">
        <f>IFERROR('Price History'!H3+(INDEX('Price History'!H:H,MATCH(9.99E+307,'Returns (Calc)'!$A:$A)+1)-'Price History'!H3)*(ROW()-3)/(MATCH(9.99E+307,'Returns (Calc)'!$A:$A)-3),"")</f>
        <v>1011.2330379746836</v>
      </c>
      <c r="AD151" s="143">
        <f>IFERROR('Price History'!I3+(INDEX('Price History'!I:I,MATCH(9.99E+307,'Returns (Calc)'!$A:$A)+1)-'Price History'!I3)*(ROW()-3)/(MATCH(9.99E+307,'Returns (Calc)'!$A:$A)-3),"")</f>
        <v>221.9132911392405</v>
      </c>
      <c r="AE151" s="143">
        <f>IFERROR('Price History'!J3+(INDEX('Price History'!J:J,MATCH(9.99E+307,'Returns (Calc)'!$A:$A)+1)-'Price History'!J3)*(ROW()-3)/(MATCH(9.99E+307,'Returns (Calc)'!$A:$A)-3),"")</f>
        <v>127.82962025316455</v>
      </c>
      <c r="AF151" s="143">
        <f>IFERROR('Price History'!K3+(INDEX('Price History'!K:K,MATCH(9.99E+307,'Returns (Calc)'!$A:$A)+1)-'Price History'!K3)*(ROW()-3)/(MATCH(9.99E+307,'Returns (Calc)'!$A:$A)-3),"")</f>
        <v>177.77405063291141</v>
      </c>
      <c r="AG151" s="143">
        <f>IFERROR('Price History'!L3+(INDEX('Price History'!L:L,MATCH(9.99E+307,'Returns (Calc)'!$A:$A)+1)-'Price History'!L3)*(ROW()-3)/(MATCH(9.99E+307,'Returns (Calc)'!$A:$A)-3),"")</f>
        <v>448.28443037974682</v>
      </c>
      <c r="AH151" s="143">
        <f>IFERROR('Price History'!M3+(INDEX('Price History'!M:M,MATCH(9.99E+307,'Returns (Calc)'!$A:$A)+1)-'Price History'!M3)*(ROW()-3)/(MATCH(9.99E+307,'Returns (Calc)'!$A:$A)-3),"")</f>
        <v>238.62556962025317</v>
      </c>
      <c r="AI151" s="143">
        <f>IFERROR('Price History'!N3+(INDEX('Price History'!N:N,MATCH(9.99E+307,'Returns (Calc)'!$A:$A)+1)-'Price History'!N3)*(ROW()-3)/(MATCH(9.99E+307,'Returns (Calc)'!$A:$A)-3),"")</f>
        <v>494.86734177215192</v>
      </c>
      <c r="AJ151" s="143">
        <f>IFERROR('Price History'!O3+(INDEX('Price History'!O:O,MATCH(9.99E+307,'Returns (Calc)'!$A:$A)+1)-'Price History'!O3)*(ROW()-3)/(MATCH(9.99E+307,'Returns (Calc)'!$A:$A)-3),"")</f>
        <v>117.19962025316455</v>
      </c>
      <c r="AK151" s="143">
        <f>IFERROR('Price History'!Q3+(INDEX('Price History'!Q:Q,MATCH(9.99E+307,'Returns (Calc)'!$A:$A)+1)-'Price History'!Q3)*(ROW()-3)/(MATCH(9.99E+307,'Returns (Calc)'!$A:$A)-3),"")</f>
        <v>65.026329113924049</v>
      </c>
      <c r="AL151" s="143">
        <f>IFERROR('Price History'!R3+(INDEX('Price History'!R:R,MATCH(9.99E+307,'Returns (Calc)'!$A:$A)+1)-'Price History'!R3)*(ROW()-3)/(MATCH(9.99E+307,'Returns (Calc)'!$A:$A)-3),"")</f>
        <v>59.358987341772149</v>
      </c>
      <c r="AM151" s="143">
        <f>IFERROR('Price History'!S3+(INDEX('Price History'!S:S,MATCH(9.99E+307,'Returns (Calc)'!$A:$A)+1)-'Price History'!S3)*(ROW()-3)/(MATCH(9.99E+307,'Returns (Calc)'!$A:$A)-3),"")</f>
        <v>147.17936708860759</v>
      </c>
      <c r="AN151" s="143">
        <f>IFERROR('Price History'!T3+(INDEX('Price History'!T:T,MATCH(9.99E+307,'Returns (Calc)'!$A:$A)+1)-'Price History'!T3)*(ROW()-3)/(MATCH(9.99E+307,'Returns (Calc)'!$A:$A)-3),"")</f>
        <v>50.137721518987341</v>
      </c>
      <c r="AO151" s="144">
        <f>IFERROR('Price History'!V3+(INDEX('Price History'!V:V,MATCH(9.99E+307,'Returns (Calc)'!$A:$A)+1)-'Price History'!V3)*(ROW()-3)/(MATCH(9.99E+307,'Returns (Calc)'!$A:$A)-3),"")</f>
        <v>352.74670886075955</v>
      </c>
      <c r="AP151" s="142">
        <f>IFERROR(IF(OR(NOT(ISNUMBER('Price History'!W152)),NOT(ISNUMBER('Price History'!W151)),'Price History'!W151=0),"",'Price History'!W152/'Price History'!W151-1),"")</f>
        <v>1.2870416875941704E-2</v>
      </c>
      <c r="AQ151" s="142">
        <f>IFERROR(IF(OR(NOT(ISNUMBER('Price History'!X152)),NOT(ISNUMBER('Price History'!X151)),'Price History'!X151=0),"",'Price History'!X152/'Price History'!X151-1),"")</f>
        <v>-1.8422991893884966E-4</v>
      </c>
      <c r="AR151" s="142">
        <f>IFERROR(IF(OR(NOT(ISNUMBER('Price History'!Y152)),NOT(ISNUMBER('Price History'!Y151)),'Price History'!Y151=0),"",'Price History'!Y152/'Price History'!Y151-1),"")</f>
        <v>4.325103622274229E-3</v>
      </c>
      <c r="AS151" s="142">
        <f>IFERROR(IF(OR(NOT(ISNUMBER('Price History'!Z152)),NOT(ISNUMBER('Price History'!Z151)),'Price History'!Z151=0),"",'Price History'!Z152/'Price History'!Z151-1),"")</f>
        <v>1.4046956970444224E-2</v>
      </c>
      <c r="AT151" s="142">
        <f>IFERROR(IF(OR(NOT(ISNUMBER('Price History'!AA152)),NOT(ISNUMBER('Price History'!AA151)),'Price History'!AA151=0),"",'Price History'!AA152/'Price History'!AA151-1),"")</f>
        <v>1.6533720087019477E-2</v>
      </c>
    </row>
    <row r="152" spans="1:46" ht="15" customHeight="1" x14ac:dyDescent="0.35">
      <c r="A152" s="140">
        <f>IF('Price History'!A153="","",'Price History'!A153)</f>
        <v>46234</v>
      </c>
      <c r="B152" s="141">
        <f>IFERROR(IF(OR(NOT(ISNUMBER('Price History'!B153)),NOT(ISNUMBER('Price History'!B152)),'Price History'!B152=0),"",'Price History'!B153/'Price History'!B152-1),"")</f>
        <v>0.11238949846741586</v>
      </c>
      <c r="C152" s="141">
        <f>IFERROR(IF(OR(NOT(ISNUMBER('Price History'!C153)),NOT(ISNUMBER('Price History'!C152)),'Price History'!C152=0),"",'Price History'!C153/'Price History'!C152-1),"")</f>
        <v>3.6553824932467283E-2</v>
      </c>
      <c r="D152" s="141">
        <f>IFERROR(IF(OR(NOT(ISNUMBER('Price History'!D153)),NOT(ISNUMBER('Price History'!D152)),'Price History'!D152=0),"",'Price History'!D153/'Price History'!D152-1),"")</f>
        <v>-7.1699661503743961E-2</v>
      </c>
      <c r="E152" s="141">
        <f>IFERROR(IF(OR(NOT(ISNUMBER('Price History'!E153)),NOT(ISNUMBER('Price History'!E152)),'Price History'!E152=0),"",'Price History'!E153/'Price History'!E152-1),"")</f>
        <v>1.9253469034441029E-2</v>
      </c>
      <c r="F152" s="141">
        <f>IFERROR(IF(OR(NOT(ISNUMBER('Price History'!F153)),NOT(ISNUMBER('Price History'!F152)),'Price History'!F152=0),"",'Price History'!F153/'Price History'!F152-1),"")</f>
        <v>4.1357485814055073E-2</v>
      </c>
      <c r="G152" s="141">
        <f>IFERROR(IF(OR(NOT(ISNUMBER('Price History'!G153)),NOT(ISNUMBER('Price History'!G152)),'Price History'!G152=0),"",'Price History'!G153/'Price History'!G152-1),"")</f>
        <v>-0.13158645615369979</v>
      </c>
      <c r="H152" s="141">
        <f>IFERROR(IF(OR(NOT(ISNUMBER('Price History'!H153)),NOT(ISNUMBER('Price History'!H152)),'Price History'!H152=0),"",'Price History'!H153/'Price History'!H152-1),"")</f>
        <v>-0.1063249904989414</v>
      </c>
      <c r="I152" s="141">
        <f>IFERROR(IF(OR(NOT(ISNUMBER('Price History'!I153)),NOT(ISNUMBER('Price History'!I152)),'Price History'!I152=0),"",'Price History'!I153/'Price History'!I152-1),"")</f>
        <v>-2.942742364841977E-2</v>
      </c>
      <c r="J152" s="141">
        <f>IFERROR(IF(OR(NOT(ISNUMBER('Price History'!J153)),NOT(ISNUMBER('Price History'!J152)),'Price History'!J152=0),"",'Price History'!J153/'Price History'!J152-1),"")</f>
        <v>-2.0482009967911496E-2</v>
      </c>
      <c r="K152" s="141">
        <f>IFERROR(IF(OR(NOT(ISNUMBER('Price History'!K153)),NOT(ISNUMBER('Price History'!K152)),'Price History'!K152=0),"",'Price History'!K153/'Price History'!K152-1),"")</f>
        <v>1.138952164009055E-3</v>
      </c>
      <c r="L152" s="141">
        <f>IFERROR(IF(OR(NOT(ISNUMBER('Price History'!L153)),NOT(ISNUMBER('Price History'!L152)),'Price History'!L152=0),"",'Price History'!L153/'Price History'!L152-1),"")</f>
        <v>2.0878383416598201E-3</v>
      </c>
      <c r="M152" s="141">
        <f>IFERROR(IF(OR(NOT(ISNUMBER('Price History'!M153)),NOT(ISNUMBER('Price History'!M152)),'Price History'!M152=0),"",'Price History'!M153/'Price History'!M152-1),"")</f>
        <v>-0.16803885769403015</v>
      </c>
      <c r="N152" s="141">
        <f>IFERROR(IF(OR(NOT(ISNUMBER('Price History'!N153)),NOT(ISNUMBER('Price History'!N152)),'Price History'!N152=0),"",'Price History'!N153/'Price History'!N152-1),"")</f>
        <v>-5.4466230936822679E-4</v>
      </c>
      <c r="O152" s="141">
        <f>IFERROR(IF(OR(NOT(ISNUMBER('Price History'!O153)),NOT(ISNUMBER('Price History'!O152)),'Price History'!O152=0),"",'Price History'!O153/'Price History'!O152-1),"")</f>
        <v>0</v>
      </c>
      <c r="P152" s="141">
        <f>IFERROR(IF(OR(NOT(ISNUMBER('Price History'!P153)),NOT(ISNUMBER('Price History'!P152)),'Price History'!P152=0),"",'Price History'!P153/'Price History'!P152-1),"")</f>
        <v>-1.0948905109489093E-2</v>
      </c>
      <c r="Q152" s="141">
        <f>IFERROR(IF(OR(NOT(ISNUMBER('Price History'!Q153)),NOT(ISNUMBER('Price History'!Q152)),'Price History'!Q152=0),"",'Price History'!Q153/'Price History'!Q152-1),"")</f>
        <v>1.2890798636835177E-2</v>
      </c>
      <c r="R152" s="141">
        <f>IFERROR(IF(OR(NOT(ISNUMBER('Price History'!R153)),NOT(ISNUMBER('Price History'!R152)),'Price History'!R152=0),"",'Price History'!R153/'Price History'!R152-1),"")</f>
        <v>4.9919771795328138E-3</v>
      </c>
      <c r="S152" s="141">
        <f>IFERROR(IF(OR(NOT(ISNUMBER('Price History'!S153)),NOT(ISNUMBER('Price History'!S152)),'Price History'!S152=0),"",'Price History'!S153/'Price History'!S152-1),"")</f>
        <v>-1.825391399466747E-2</v>
      </c>
      <c r="T152" s="141">
        <f>IFERROR(IF(OR(NOT(ISNUMBER('Price History'!T153)),NOT(ISNUMBER('Price History'!T152)),'Price History'!T152=0),"",'Price History'!T153/'Price History'!T152-1),"")</f>
        <v>3.33263903353469E-2</v>
      </c>
      <c r="U152" s="141">
        <f>IFERROR(IF(OR(NOT(ISNUMBER('Price History'!U153)),NOT(ISNUMBER('Price History'!U152)),'Price History'!U152=0),"",'Price History'!U153/'Price History'!U152-1),"")</f>
        <v>5.4495912806540314E-3</v>
      </c>
      <c r="V152" s="142">
        <f>IFERROR(IF(OR(NOT(ISNUMBER('Price History'!V153)),NOT(ISNUMBER('Price History'!V152)),'Price History'!V152=0),"",'Price History'!V153/'Price History'!V152-1),"")</f>
        <v>2.9204686267883417E-2</v>
      </c>
      <c r="W152" s="143">
        <f>IFERROR('Price History'!B3+(INDEX('Price History'!B:B,MATCH(9.99E+307,'Returns (Calc)'!$A:$A)+1)-'Price History'!B3)*(ROW()-3)/(MATCH(9.99E+307,'Returns (Calc)'!$A:$A)-3),"")</f>
        <v>254.27734177215189</v>
      </c>
      <c r="X152" s="143">
        <f>IFERROR('Price History'!C3+(INDEX('Price History'!C:C,MATCH(9.99E+307,'Returns (Calc)'!$A:$A)+1)-'Price History'!C3)*(ROW()-3)/(MATCH(9.99E+307,'Returns (Calc)'!$A:$A)-3),"")</f>
        <v>198.16943037974684</v>
      </c>
      <c r="Y152" s="143">
        <f>IFERROR('Price History'!D3+(INDEX('Price History'!D:D,MATCH(9.99E+307,'Returns (Calc)'!$A:$A)+1)-'Price History'!D3)*(ROW()-3)/(MATCH(9.99E+307,'Returns (Calc)'!$A:$A)-3),"")</f>
        <v>1794.0967088607595</v>
      </c>
      <c r="Z152" s="143">
        <f>IFERROR('Price History'!E3+(INDEX('Price History'!E:E,MATCH(9.99E+307,'Returns (Calc)'!$A:$A)+1)-'Price History'!E3)*(ROW()-3)/(MATCH(9.99E+307,'Returns (Calc)'!$A:$A)-3),"")</f>
        <v>339.5813924050633</v>
      </c>
      <c r="AA152" s="143">
        <f>IFERROR('Price History'!F3+(INDEX('Price History'!F:F,MATCH(9.99E+307,'Returns (Calc)'!$A:$A)+1)-'Price History'!F3)*(ROW()-3)/(MATCH(9.99E+307,'Returns (Calc)'!$A:$A)-3),"")</f>
        <v>257.01392405063291</v>
      </c>
      <c r="AB152" s="143">
        <f>IFERROR('Price History'!G3+(INDEX('Price History'!G:G,MATCH(9.99E+307,'Returns (Calc)'!$A:$A)+1)-'Price History'!G3)*(ROW()-3)/(MATCH(9.99E+307,'Returns (Calc)'!$A:$A)-3),"")</f>
        <v>197.63139240506328</v>
      </c>
      <c r="AC152" s="143">
        <f>IFERROR('Price History'!H3+(INDEX('Price History'!H:H,MATCH(9.99E+307,'Returns (Calc)'!$A:$A)+1)-'Price History'!H3)*(ROW()-3)/(MATCH(9.99E+307,'Returns (Calc)'!$A:$A)-3),"")</f>
        <v>1017.5987341772152</v>
      </c>
      <c r="AD152" s="143">
        <f>IFERROR('Price History'!I3+(INDEX('Price History'!I:I,MATCH(9.99E+307,'Returns (Calc)'!$A:$A)+1)-'Price History'!I3)*(ROW()-3)/(MATCH(9.99E+307,'Returns (Calc)'!$A:$A)-3),"")</f>
        <v>223.11696202531644</v>
      </c>
      <c r="AE152" s="143">
        <f>IFERROR('Price History'!J3+(INDEX('Price History'!J:J,MATCH(9.99E+307,'Returns (Calc)'!$A:$A)+1)-'Price History'!J3)*(ROW()-3)/(MATCH(9.99E+307,'Returns (Calc)'!$A:$A)-3),"")</f>
        <v>127.93765822784809</v>
      </c>
      <c r="AF152" s="143">
        <f>IFERROR('Price History'!K3+(INDEX('Price History'!K:K,MATCH(9.99E+307,'Returns (Calc)'!$A:$A)+1)-'Price History'!K3)*(ROW()-3)/(MATCH(9.99E+307,'Returns (Calc)'!$A:$A)-3),"")</f>
        <v>178.87164556962026</v>
      </c>
      <c r="AG152" s="143">
        <f>IFERROR('Price History'!L3+(INDEX('Price History'!L:L,MATCH(9.99E+307,'Returns (Calc)'!$A:$A)+1)-'Price History'!L3)*(ROW()-3)/(MATCH(9.99E+307,'Returns (Calc)'!$A:$A)-3),"")</f>
        <v>450.73398734177209</v>
      </c>
      <c r="AH152" s="143">
        <f>IFERROR('Price History'!M3+(INDEX('Price History'!M:M,MATCH(9.99E+307,'Returns (Calc)'!$A:$A)+1)-'Price History'!M3)*(ROW()-3)/(MATCH(9.99E+307,'Returns (Calc)'!$A:$A)-3),"")</f>
        <v>239.98101265822785</v>
      </c>
      <c r="AI152" s="143">
        <f>IFERROR('Price History'!N3+(INDEX('Price History'!N:N,MATCH(9.99E+307,'Returns (Calc)'!$A:$A)+1)-'Price History'!N3)*(ROW()-3)/(MATCH(9.99E+307,'Returns (Calc)'!$A:$A)-3),"")</f>
        <v>495.85360759493676</v>
      </c>
      <c r="AJ152" s="143">
        <f>IFERROR('Price History'!O3+(INDEX('Price History'!O:O,MATCH(9.99E+307,'Returns (Calc)'!$A:$A)+1)-'Price History'!O3)*(ROW()-3)/(MATCH(9.99E+307,'Returns (Calc)'!$A:$A)-3),"")</f>
        <v>117.48265822784811</v>
      </c>
      <c r="AK152" s="143">
        <f>IFERROR('Price History'!Q3+(INDEX('Price History'!Q:Q,MATCH(9.99E+307,'Returns (Calc)'!$A:$A)+1)-'Price History'!Q3)*(ROW()-3)/(MATCH(9.99E+307,'Returns (Calc)'!$A:$A)-3),"")</f>
        <v>65.465696202531646</v>
      </c>
      <c r="AL152" s="143">
        <f>IFERROR('Price History'!R3+(INDEX('Price History'!R:R,MATCH(9.99E+307,'Returns (Calc)'!$A:$A)+1)-'Price History'!R3)*(ROW()-3)/(MATCH(9.99E+307,'Returns (Calc)'!$A:$A)-3),"")</f>
        <v>59.527088607594933</v>
      </c>
      <c r="AM152" s="143">
        <f>IFERROR('Price History'!S3+(INDEX('Price History'!S:S,MATCH(9.99E+307,'Returns (Calc)'!$A:$A)+1)-'Price History'!S3)*(ROW()-3)/(MATCH(9.99E+307,'Returns (Calc)'!$A:$A)-3),"")</f>
        <v>147.78443037974682</v>
      </c>
      <c r="AN152" s="143">
        <f>IFERROR('Price History'!T3+(INDEX('Price History'!T:T,MATCH(9.99E+307,'Returns (Calc)'!$A:$A)+1)-'Price History'!T3)*(ROW()-3)/(MATCH(9.99E+307,'Returns (Calc)'!$A:$A)-3),"")</f>
        <v>50.305949367088601</v>
      </c>
      <c r="AO152" s="144">
        <f>IFERROR('Price History'!V3+(INDEX('Price History'!V:V,MATCH(9.99E+307,'Returns (Calc)'!$A:$A)+1)-'Price History'!V3)*(ROW()-3)/(MATCH(9.99E+307,'Returns (Calc)'!$A:$A)-3),"")</f>
        <v>353.53803797468356</v>
      </c>
      <c r="AP152" s="142">
        <f>IFERROR(IF(OR(NOT(ISNUMBER('Price History'!W153)),NOT(ISNUMBER('Price History'!W152)),'Price History'!W152=0),"",'Price History'!W153/'Price History'!W152-1),"")</f>
        <v>-1.6116035455279176E-3</v>
      </c>
      <c r="AQ152" s="142">
        <f>IFERROR(IF(OR(NOT(ISNUMBER('Price History'!X153)),NOT(ISNUMBER('Price History'!X152)),'Price History'!X152=0),"",'Price History'!X153/'Price History'!X152-1),"")</f>
        <v>-2.174313617099688E-2</v>
      </c>
      <c r="AR152" s="142">
        <f>IFERROR(IF(OR(NOT(ISNUMBER('Price History'!Y153)),NOT(ISNUMBER('Price History'!Y152)),'Price History'!Y152=0),"",'Price History'!Y153/'Price History'!Y152-1),"")</f>
        <v>1.1125067288713542E-2</v>
      </c>
      <c r="AS152" s="142">
        <f>IFERROR(IF(OR(NOT(ISNUMBER('Price History'!Z153)),NOT(ISNUMBER('Price History'!Z152)),'Price History'!Z152=0),"",'Price History'!Z153/'Price History'!Z152-1),"")</f>
        <v>1.7923274814123591E-2</v>
      </c>
      <c r="AT152" s="142">
        <f>IFERROR(IF(OR(NOT(ISNUMBER('Price History'!AA153)),NOT(ISNUMBER('Price History'!AA152)),'Price History'!AA152=0),"",'Price History'!AA153/'Price History'!AA152-1),"")</f>
        <v>2.3113140248252062E-2</v>
      </c>
    </row>
    <row r="153" spans="1:46" ht="15" customHeight="1" x14ac:dyDescent="0.35">
      <c r="A153" s="140">
        <f>IF('Price History'!A154="","",'Price History'!A154)</f>
        <v>46241</v>
      </c>
      <c r="B153" s="141">
        <f>IFERROR(IF(OR(NOT(ISNUMBER('Price History'!B154)),NOT(ISNUMBER('Price History'!B153)),'Price History'!B153=0),"",'Price History'!B154/'Price History'!B153-1),"")</f>
        <v>5.9103070963619553E-2</v>
      </c>
      <c r="C153" s="141">
        <f>IFERROR(IF(OR(NOT(ISNUMBER('Price History'!C154)),NOT(ISNUMBER('Price History'!C153)),'Price History'!C153=0),"",'Price History'!C154/'Price History'!C153-1),"")</f>
        <v>4.6132520099805951E-2</v>
      </c>
      <c r="D153" s="141">
        <f>IFERROR(IF(OR(NOT(ISNUMBER('Price History'!D154)),NOT(ISNUMBER('Price History'!D153)),'Price History'!D153=0),"",'Price History'!D154/'Price History'!D153-1),"")</f>
        <v>6.8747697974217425E-2</v>
      </c>
      <c r="E153" s="141">
        <f>IFERROR(IF(OR(NOT(ISNUMBER('Price History'!E154)),NOT(ISNUMBER('Price History'!E153)),'Price History'!E153=0),"",'Price History'!E154/'Price History'!E153-1),"")</f>
        <v>9.8849628123632849E-2</v>
      </c>
      <c r="F153" s="141">
        <f>IFERROR(IF(OR(NOT(ISNUMBER('Price History'!F154)),NOT(ISNUMBER('Price History'!F153)),'Price History'!F153=0),"",'Price History'!F154/'Price History'!F153-1),"")</f>
        <v>0.12344126584931359</v>
      </c>
      <c r="G153" s="141">
        <f>IFERROR(IF(OR(NOT(ISNUMBER('Price History'!G154)),NOT(ISNUMBER('Price History'!G153)),'Price History'!G153=0),"",'Price History'!G154/'Price History'!G153-1),"")</f>
        <v>8.3675592793384546E-2</v>
      </c>
      <c r="H153" s="141">
        <f>IFERROR(IF(OR(NOT(ISNUMBER('Price History'!H154)),NOT(ISNUMBER('Price History'!H153)),'Price History'!H153=0),"",'Price History'!H154/'Price History'!H153-1),"")</f>
        <v>6.6267329258957952E-2</v>
      </c>
      <c r="I153" s="141">
        <f>IFERROR(IF(OR(NOT(ISNUMBER('Price History'!I154)),NOT(ISNUMBER('Price History'!I153)),'Price History'!I153=0),"",'Price History'!I154/'Price History'!I153-1),"")</f>
        <v>0.11559367675659504</v>
      </c>
      <c r="J153" s="141">
        <f>IFERROR(IF(OR(NOT(ISNUMBER('Price History'!J154)),NOT(ISNUMBER('Price History'!J153)),'Price History'!J153=0),"",'Price History'!J154/'Price History'!J153-1),"")</f>
        <v>-3.0738133407681056E-2</v>
      </c>
      <c r="K153" s="141">
        <f>IFERROR(IF(OR(NOT(ISNUMBER('Price History'!K154)),NOT(ISNUMBER('Price History'!K153)),'Price History'!K153=0),"",'Price History'!K154/'Price History'!K153-1),"")</f>
        <v>0.39777344384852897</v>
      </c>
      <c r="L153" s="141">
        <f>IFERROR(IF(OR(NOT(ISNUMBER('Price History'!L154)),NOT(ISNUMBER('Price History'!L153)),'Price History'!L153=0),"",'Price History'!L154/'Price History'!L153-1),"")</f>
        <v>3.9065406652280643E-2</v>
      </c>
      <c r="M153" s="141">
        <f>IFERROR(IF(OR(NOT(ISNUMBER('Price History'!M154)),NOT(ISNUMBER('Price History'!M153)),'Price History'!M153=0),"",'Price History'!M154/'Price History'!M153-1),"")</f>
        <v>0.12761376340524189</v>
      </c>
      <c r="N153" s="141">
        <f>IFERROR(IF(OR(NOT(ISNUMBER('Price History'!N154)),NOT(ISNUMBER('Price History'!N153)),'Price History'!N153=0),"",'Price History'!N154/'Price History'!N153-1),"")</f>
        <v>3.9761056382309645E-2</v>
      </c>
      <c r="O153" s="141">
        <f>IFERROR(IF(OR(NOT(ISNUMBER('Price History'!O154)),NOT(ISNUMBER('Price History'!O153)),'Price History'!O153=0),"",'Price History'!O154/'Price History'!O153-1),"")</f>
        <v>1.2813325858893165E-2</v>
      </c>
      <c r="P153" s="141">
        <f>IFERROR(IF(OR(NOT(ISNUMBER('Price History'!P154)),NOT(ISNUMBER('Price History'!P153)),'Price History'!P153=0),"",'Price History'!P154/'Price History'!P153-1),"")</f>
        <v>4.3154668834826104E-3</v>
      </c>
      <c r="Q153" s="141">
        <f>IFERROR(IF(OR(NOT(ISNUMBER('Price History'!Q154)),NOT(ISNUMBER('Price History'!Q153)),'Price History'!Q153=0),"",'Price History'!Q154/'Price History'!Q153-1),"")</f>
        <v>2.062609713282626E-2</v>
      </c>
      <c r="R153" s="141">
        <f>IFERROR(IF(OR(NOT(ISNUMBER('Price History'!R154)),NOT(ISNUMBER('Price History'!R153)),'Price History'!R153=0),"",'Price History'!R154/'Price History'!R153-1),"")</f>
        <v>3.8140855064750845E-2</v>
      </c>
      <c r="S153" s="141">
        <f>IFERROR(IF(OR(NOT(ISNUMBER('Price History'!S154)),NOT(ISNUMBER('Price History'!S153)),'Price History'!S153=0),"",'Price History'!S154/'Price History'!S153-1),"")</f>
        <v>4.0738161559888519E-2</v>
      </c>
      <c r="T153" s="141">
        <f>IFERROR(IF(OR(NOT(ISNUMBER('Price History'!T154)),NOT(ISNUMBER('Price History'!T153)),'Price History'!T153=0),"",'Price History'!T154/'Price History'!T153-1),"")</f>
        <v>3.5275146139891245E-2</v>
      </c>
      <c r="U153" s="141">
        <f>IFERROR(IF(OR(NOT(ISNUMBER('Price History'!U154)),NOT(ISNUMBER('Price History'!U153)),'Price History'!U153=0),"",'Price History'!U154/'Price History'!U153-1),"")</f>
        <v>1.2646793134598155E-2</v>
      </c>
      <c r="V153" s="142">
        <f>IFERROR(IF(OR(NOT(ISNUMBER('Price History'!V154)),NOT(ISNUMBER('Price History'!V153)),'Price History'!V153=0),"",'Price History'!V154/'Price History'!V153-1),"")</f>
        <v>-9.9055958407443523E-3</v>
      </c>
      <c r="W153" s="143">
        <f>IFERROR('Price History'!B3+(INDEX('Price History'!B:B,MATCH(9.99E+307,'Returns (Calc)'!$A:$A)+1)-'Price History'!B3)*(ROW()-3)/(MATCH(9.99E+307,'Returns (Calc)'!$A:$A)-3),"")</f>
        <v>252.43430379746832</v>
      </c>
      <c r="X153" s="143">
        <f>IFERROR('Price History'!C3+(INDEX('Price History'!C:C,MATCH(9.99E+307,'Returns (Calc)'!$A:$A)+1)-'Price History'!C3)*(ROW()-3)/(MATCH(9.99E+307,'Returns (Calc)'!$A:$A)-3),"")</f>
        <v>199.18949367088607</v>
      </c>
      <c r="Y153" s="143">
        <f>IFERROR('Price History'!D3+(INDEX('Price History'!D:D,MATCH(9.99E+307,'Returns (Calc)'!$A:$A)+1)-'Price History'!D3)*(ROW()-3)/(MATCH(9.99E+307,'Returns (Calc)'!$A:$A)-3),"")</f>
        <v>1802.2315189873418</v>
      </c>
      <c r="Z153" s="143">
        <f>IFERROR('Price History'!E3+(INDEX('Price History'!E:E,MATCH(9.99E+307,'Returns (Calc)'!$A:$A)+1)-'Price History'!E3)*(ROW()-3)/(MATCH(9.99E+307,'Returns (Calc)'!$A:$A)-3),"")</f>
        <v>341.31012658227849</v>
      </c>
      <c r="AA153" s="143">
        <f>IFERROR('Price History'!F3+(INDEX('Price History'!F:F,MATCH(9.99E+307,'Returns (Calc)'!$A:$A)+1)-'Price History'!F3)*(ROW()-3)/(MATCH(9.99E+307,'Returns (Calc)'!$A:$A)-3),"")</f>
        <v>258.46126582278481</v>
      </c>
      <c r="AB153" s="143">
        <f>IFERROR('Price History'!G3+(INDEX('Price History'!G:G,MATCH(9.99E+307,'Returns (Calc)'!$A:$A)+1)-'Price History'!G3)*(ROW()-3)/(MATCH(9.99E+307,'Returns (Calc)'!$A:$A)-3),"")</f>
        <v>198.66012658227848</v>
      </c>
      <c r="AC153" s="143">
        <f>IFERROR('Price History'!H3+(INDEX('Price History'!H:H,MATCH(9.99E+307,'Returns (Calc)'!$A:$A)+1)-'Price History'!H3)*(ROW()-3)/(MATCH(9.99E+307,'Returns (Calc)'!$A:$A)-3),"")</f>
        <v>1023.9644303797469</v>
      </c>
      <c r="AD153" s="143">
        <f>IFERROR('Price History'!I3+(INDEX('Price History'!I:I,MATCH(9.99E+307,'Returns (Calc)'!$A:$A)+1)-'Price History'!I3)*(ROW()-3)/(MATCH(9.99E+307,'Returns (Calc)'!$A:$A)-3),"")</f>
        <v>224.32063291139238</v>
      </c>
      <c r="AE153" s="143">
        <f>IFERROR('Price History'!J3+(INDEX('Price History'!J:J,MATCH(9.99E+307,'Returns (Calc)'!$A:$A)+1)-'Price History'!J3)*(ROW()-3)/(MATCH(9.99E+307,'Returns (Calc)'!$A:$A)-3),"")</f>
        <v>128.04569620253164</v>
      </c>
      <c r="AF153" s="143">
        <f>IFERROR('Price History'!K3+(INDEX('Price History'!K:K,MATCH(9.99E+307,'Returns (Calc)'!$A:$A)+1)-'Price History'!K3)*(ROW()-3)/(MATCH(9.99E+307,'Returns (Calc)'!$A:$A)-3),"")</f>
        <v>179.9692405063291</v>
      </c>
      <c r="AG153" s="143">
        <f>IFERROR('Price History'!L3+(INDEX('Price History'!L:L,MATCH(9.99E+307,'Returns (Calc)'!$A:$A)+1)-'Price History'!L3)*(ROW()-3)/(MATCH(9.99E+307,'Returns (Calc)'!$A:$A)-3),"")</f>
        <v>453.18354430379742</v>
      </c>
      <c r="AH153" s="143">
        <f>IFERROR('Price History'!M3+(INDEX('Price History'!M:M,MATCH(9.99E+307,'Returns (Calc)'!$A:$A)+1)-'Price History'!M3)*(ROW()-3)/(MATCH(9.99E+307,'Returns (Calc)'!$A:$A)-3),"")</f>
        <v>241.33645569620253</v>
      </c>
      <c r="AI153" s="143">
        <f>IFERROR('Price History'!N3+(INDEX('Price History'!N:N,MATCH(9.99E+307,'Returns (Calc)'!$A:$A)+1)-'Price History'!N3)*(ROW()-3)/(MATCH(9.99E+307,'Returns (Calc)'!$A:$A)-3),"")</f>
        <v>496.83987341772155</v>
      </c>
      <c r="AJ153" s="143">
        <f>IFERROR('Price History'!O3+(INDEX('Price History'!O:O,MATCH(9.99E+307,'Returns (Calc)'!$A:$A)+1)-'Price History'!O3)*(ROW()-3)/(MATCH(9.99E+307,'Returns (Calc)'!$A:$A)-3),"")</f>
        <v>117.76569620253164</v>
      </c>
      <c r="AK153" s="143">
        <f>IFERROR('Price History'!Q3+(INDEX('Price History'!Q:Q,MATCH(9.99E+307,'Returns (Calc)'!$A:$A)+1)-'Price History'!Q3)*(ROW()-3)/(MATCH(9.99E+307,'Returns (Calc)'!$A:$A)-3),"")</f>
        <v>65.905063291139243</v>
      </c>
      <c r="AL153" s="143">
        <f>IFERROR('Price History'!R3+(INDEX('Price History'!R:R,MATCH(9.99E+307,'Returns (Calc)'!$A:$A)+1)-'Price History'!R3)*(ROW()-3)/(MATCH(9.99E+307,'Returns (Calc)'!$A:$A)-3),"")</f>
        <v>59.695189873417718</v>
      </c>
      <c r="AM153" s="143">
        <f>IFERROR('Price History'!S3+(INDEX('Price History'!S:S,MATCH(9.99E+307,'Returns (Calc)'!$A:$A)+1)-'Price History'!S3)*(ROW()-3)/(MATCH(9.99E+307,'Returns (Calc)'!$A:$A)-3),"")</f>
        <v>148.38949367088608</v>
      </c>
      <c r="AN153" s="143">
        <f>IFERROR('Price History'!T3+(INDEX('Price History'!T:T,MATCH(9.99E+307,'Returns (Calc)'!$A:$A)+1)-'Price History'!T3)*(ROW()-3)/(MATCH(9.99E+307,'Returns (Calc)'!$A:$A)-3),"")</f>
        <v>50.474177215189876</v>
      </c>
      <c r="AO153" s="144">
        <f>IFERROR('Price History'!V3+(INDEX('Price History'!V:V,MATCH(9.99E+307,'Returns (Calc)'!$A:$A)+1)-'Price History'!V3)*(ROW()-3)/(MATCH(9.99E+307,'Returns (Calc)'!$A:$A)-3),"")</f>
        <v>354.32936708860763</v>
      </c>
      <c r="AP153" s="142">
        <f>IFERROR(IF(OR(NOT(ISNUMBER('Price History'!W154)),NOT(ISNUMBER('Price History'!W153)),'Price History'!W153=0),"",'Price History'!W154/'Price History'!W153-1),"")</f>
        <v>2.2660954864344829E-2</v>
      </c>
      <c r="AQ153" s="142">
        <f>IFERROR(IF(OR(NOT(ISNUMBER('Price History'!X154)),NOT(ISNUMBER('Price History'!X153)),'Price History'!X153=0),"",'Price History'!X154/'Price History'!X153-1),"")</f>
        <v>-2.6181955170465288E-2</v>
      </c>
      <c r="AR153" s="142">
        <f>IFERROR(IF(OR(NOT(ISNUMBER('Price History'!Y154)),NOT(ISNUMBER('Price History'!Y153)),'Price History'!Y153=0),"",'Price History'!Y154/'Price History'!Y153-1),"")</f>
        <v>9.0505767524400316E-3</v>
      </c>
      <c r="AS153" s="142">
        <f>IFERROR(IF(OR(NOT(ISNUMBER('Price History'!Z154)),NOT(ISNUMBER('Price History'!Z153)),'Price History'!Z153=0),"",'Price History'!Z154/'Price History'!Z153-1),"")</f>
        <v>2.7800149970838905E-2</v>
      </c>
      <c r="AT153" s="142">
        <f>IFERROR(IF(OR(NOT(ISNUMBER('Price History'!AA154)),NOT(ISNUMBER('Price History'!AA153)),'Price History'!AA153=0),"",'Price History'!AA154/'Price History'!AA153-1),"")</f>
        <v>3.3886487240273322E-2</v>
      </c>
    </row>
    <row r="154" spans="1:46" ht="15" customHeight="1" x14ac:dyDescent="0.35">
      <c r="A154" s="140">
        <f>IF('Price History'!A155="","",'Price History'!A155)</f>
        <v>46248</v>
      </c>
      <c r="B154" s="141">
        <f>IFERROR(IF(OR(NOT(ISNUMBER('Price History'!B155)),NOT(ISNUMBER('Price History'!B154)),'Price History'!B154=0),"",'Price History'!B155/'Price History'!B154-1),"")</f>
        <v>-4.4870102937294432E-3</v>
      </c>
      <c r="C154" s="141">
        <f>IFERROR(IF(OR(NOT(ISNUMBER('Price History'!C155)),NOT(ISNUMBER('Price History'!C154)),'Price History'!C154=0),"",'Price History'!C155/'Price History'!C154-1),"")</f>
        <v>5.3797636084168099E-2</v>
      </c>
      <c r="D154" s="141">
        <f>IFERROR(IF(OR(NOT(ISNUMBER('Price History'!D155)),NOT(ISNUMBER('Price History'!D154)),'Price History'!D154=0),"",'Price History'!D155/'Price History'!D154-1),"")</f>
        <v>5.9213436033521027E-2</v>
      </c>
      <c r="E154" s="141">
        <f>IFERROR(IF(OR(NOT(ISNUMBER('Price History'!E155)),NOT(ISNUMBER('Price History'!E154)),'Price History'!E154=0),"",'Price History'!E155/'Price History'!E154-1),"")</f>
        <v>-8.1268443486814501E-2</v>
      </c>
      <c r="F154" s="141">
        <f>IFERROR(IF(OR(NOT(ISNUMBER('Price History'!F155)),NOT(ISNUMBER('Price History'!F154)),'Price History'!F154=0),"",'Price History'!F155/'Price History'!F154-1),"")</f>
        <v>1.1799272455927712E-2</v>
      </c>
      <c r="G154" s="141">
        <f>IFERROR(IF(OR(NOT(ISNUMBER('Price History'!G155)),NOT(ISNUMBER('Price History'!G154)),'Price History'!G154=0),"",'Price History'!G155/'Price History'!G154-1),"")</f>
        <v>2.8298549699327991E-2</v>
      </c>
      <c r="H154" s="141">
        <f>IFERROR(IF(OR(NOT(ISNUMBER('Price History'!H155)),NOT(ISNUMBER('Price History'!H154)),'Price History'!H154=0),"",'Price History'!H155/'Price History'!H154-1),"")</f>
        <v>0.10721651834041723</v>
      </c>
      <c r="I154" s="141">
        <f>IFERROR(IF(OR(NOT(ISNUMBER('Price History'!I155)),NOT(ISNUMBER('Price History'!I154)),'Price History'!I154=0),"",'Price History'!I155/'Price History'!I154-1),"")</f>
        <v>5.3640874346252421E-3</v>
      </c>
      <c r="J154" s="141">
        <f>IFERROR(IF(OR(NOT(ISNUMBER('Price History'!J155)),NOT(ISNUMBER('Price History'!J154)),'Price History'!J154=0),"",'Price History'!J155/'Price History'!J154-1),"")</f>
        <v>6.1843808428014846E-3</v>
      </c>
      <c r="K154" s="141">
        <f>IFERROR(IF(OR(NOT(ISNUMBER('Price History'!K155)),NOT(ISNUMBER('Price History'!K154)),'Price History'!K154=0),"",'Price History'!K155/'Price History'!K154-1),"")</f>
        <v>1.1801639439567468E-2</v>
      </c>
      <c r="L154" s="141">
        <f>IFERROR(IF(OR(NOT(ISNUMBER('Price History'!L155)),NOT(ISNUMBER('Price History'!L154)),'Price History'!L154=0),"",'Price History'!L155/'Price History'!L154-1),"")</f>
        <v>1.5014799961806435E-2</v>
      </c>
      <c r="M154" s="141">
        <f>IFERROR(IF(OR(NOT(ISNUMBER('Price History'!M155)),NOT(ISNUMBER('Price History'!M154)),'Price History'!M154=0),"",'Price History'!M155/'Price History'!M154-1),"")</f>
        <v>7.8728013806778518E-2</v>
      </c>
      <c r="N154" s="141">
        <f>IFERROR(IF(OR(NOT(ISNUMBER('Price History'!N155)),NOT(ISNUMBER('Price History'!N154)),'Price History'!N154=0),"",'Price History'!N155/'Price History'!N154-1),"")</f>
        <v>1.9513375128510146E-2</v>
      </c>
      <c r="O154" s="141">
        <f>IFERROR(IF(OR(NOT(ISNUMBER('Price History'!O155)),NOT(ISNUMBER('Price History'!O154)),'Price History'!O154=0),"",'Price History'!O155/'Price History'!O154-1),"")</f>
        <v>1.4548904878627367E-2</v>
      </c>
      <c r="P154" s="141">
        <f>IFERROR(IF(OR(NOT(ISNUMBER('Price History'!P155)),NOT(ISNUMBER('Price History'!P154)),'Price History'!P154=0),"",'Price History'!P155/'Price History'!P154-1),"")</f>
        <v>2.2231909328683575E-2</v>
      </c>
      <c r="Q154" s="141">
        <f>IFERROR(IF(OR(NOT(ISNUMBER('Price History'!Q155)),NOT(ISNUMBER('Price History'!Q154)),'Price History'!Q154=0),"",'Price History'!Q155/'Price History'!Q154-1),"")</f>
        <v>4.1565142611439398E-3</v>
      </c>
      <c r="R154" s="141">
        <f>IFERROR(IF(OR(NOT(ISNUMBER('Price History'!R155)),NOT(ISNUMBER('Price History'!R154)),'Price History'!R154=0),"",'Price History'!R155/'Price History'!R154-1),"")</f>
        <v>1.3157894736842035E-2</v>
      </c>
      <c r="S154" s="141">
        <f>IFERROR(IF(OR(NOT(ISNUMBER('Price History'!S155)),NOT(ISNUMBER('Price History'!S154)),'Price History'!S154=0),"",'Price History'!S155/'Price History'!S154-1),"")</f>
        <v>2.415523586483781E-2</v>
      </c>
      <c r="T154" s="141">
        <f>IFERROR(IF(OR(NOT(ISNUMBER('Price History'!T155)),NOT(ISNUMBER('Price History'!T154)),'Price History'!T154=0),"",'Price History'!T155/'Price History'!T154-1),"")</f>
        <v>4.3613707165109039E-2</v>
      </c>
      <c r="U154" s="141">
        <f>IFERROR(IF(OR(NOT(ISNUMBER('Price History'!U155)),NOT(ISNUMBER('Price History'!U154)),'Price History'!U154=0),"",'Price History'!U155/'Price History'!U154-1),"")</f>
        <v>1.8435920309247678E-2</v>
      </c>
      <c r="V154" s="142">
        <f>IFERROR(IF(OR(NOT(ISNUMBER('Price History'!V155)),NOT(ISNUMBER('Price History'!V154)),'Price History'!V154=0),"",'Price History'!V155/'Price History'!V154-1),"")</f>
        <v>6.4118508691926035E-3</v>
      </c>
      <c r="W154" s="143">
        <f>IFERROR('Price History'!B3+(INDEX('Price History'!B:B,MATCH(9.99E+307,'Returns (Calc)'!$A:$A)+1)-'Price History'!B3)*(ROW()-3)/(MATCH(9.99E+307,'Returns (Calc)'!$A:$A)-3),"")</f>
        <v>250.59126582278481</v>
      </c>
      <c r="X154" s="143">
        <f>IFERROR('Price History'!C3+(INDEX('Price History'!C:C,MATCH(9.99E+307,'Returns (Calc)'!$A:$A)+1)-'Price History'!C3)*(ROW()-3)/(MATCH(9.99E+307,'Returns (Calc)'!$A:$A)-3),"")</f>
        <v>200.20955696202532</v>
      </c>
      <c r="Y154" s="143">
        <f>IFERROR('Price History'!D3+(INDEX('Price History'!D:D,MATCH(9.99E+307,'Returns (Calc)'!$A:$A)+1)-'Price History'!D3)*(ROW()-3)/(MATCH(9.99E+307,'Returns (Calc)'!$A:$A)-3),"")</f>
        <v>1810.3663291139239</v>
      </c>
      <c r="Z154" s="143">
        <f>IFERROR('Price History'!E3+(INDEX('Price History'!E:E,MATCH(9.99E+307,'Returns (Calc)'!$A:$A)+1)-'Price History'!E3)*(ROW()-3)/(MATCH(9.99E+307,'Returns (Calc)'!$A:$A)-3),"")</f>
        <v>343.03886075949367</v>
      </c>
      <c r="AA154" s="143">
        <f>IFERROR('Price History'!F3+(INDEX('Price History'!F:F,MATCH(9.99E+307,'Returns (Calc)'!$A:$A)+1)-'Price History'!F3)*(ROW()-3)/(MATCH(9.99E+307,'Returns (Calc)'!$A:$A)-3),"")</f>
        <v>259.90860759493671</v>
      </c>
      <c r="AB154" s="143">
        <f>IFERROR('Price History'!G3+(INDEX('Price History'!G:G,MATCH(9.99E+307,'Returns (Calc)'!$A:$A)+1)-'Price History'!G3)*(ROW()-3)/(MATCH(9.99E+307,'Returns (Calc)'!$A:$A)-3),"")</f>
        <v>199.68886075949365</v>
      </c>
      <c r="AC154" s="143">
        <f>IFERROR('Price History'!H3+(INDEX('Price History'!H:H,MATCH(9.99E+307,'Returns (Calc)'!$A:$A)+1)-'Price History'!H3)*(ROW()-3)/(MATCH(9.99E+307,'Returns (Calc)'!$A:$A)-3),"")</f>
        <v>1030.3301265822784</v>
      </c>
      <c r="AD154" s="143">
        <f>IFERROR('Price History'!I3+(INDEX('Price History'!I:I,MATCH(9.99E+307,'Returns (Calc)'!$A:$A)+1)-'Price History'!I3)*(ROW()-3)/(MATCH(9.99E+307,'Returns (Calc)'!$A:$A)-3),"")</f>
        <v>225.52430379746835</v>
      </c>
      <c r="AE154" s="143">
        <f>IFERROR('Price History'!J3+(INDEX('Price History'!J:J,MATCH(9.99E+307,'Returns (Calc)'!$A:$A)+1)-'Price History'!J3)*(ROW()-3)/(MATCH(9.99E+307,'Returns (Calc)'!$A:$A)-3),"")</f>
        <v>128.1537341772152</v>
      </c>
      <c r="AF154" s="143">
        <f>IFERROR('Price History'!K3+(INDEX('Price History'!K:K,MATCH(9.99E+307,'Returns (Calc)'!$A:$A)+1)-'Price History'!K3)*(ROW()-3)/(MATCH(9.99E+307,'Returns (Calc)'!$A:$A)-3),"")</f>
        <v>181.06683544303797</v>
      </c>
      <c r="AG154" s="143">
        <f>IFERROR('Price History'!L3+(INDEX('Price History'!L:L,MATCH(9.99E+307,'Returns (Calc)'!$A:$A)+1)-'Price History'!L3)*(ROW()-3)/(MATCH(9.99E+307,'Returns (Calc)'!$A:$A)-3),"")</f>
        <v>455.6331012658228</v>
      </c>
      <c r="AH154" s="143">
        <f>IFERROR('Price History'!M3+(INDEX('Price History'!M:M,MATCH(9.99E+307,'Returns (Calc)'!$A:$A)+1)-'Price History'!M3)*(ROW()-3)/(MATCH(9.99E+307,'Returns (Calc)'!$A:$A)-3),"")</f>
        <v>242.69189873417722</v>
      </c>
      <c r="AI154" s="143">
        <f>IFERROR('Price History'!N3+(INDEX('Price History'!N:N,MATCH(9.99E+307,'Returns (Calc)'!$A:$A)+1)-'Price History'!N3)*(ROW()-3)/(MATCH(9.99E+307,'Returns (Calc)'!$A:$A)-3),"")</f>
        <v>497.82613924050634</v>
      </c>
      <c r="AJ154" s="143">
        <f>IFERROR('Price History'!O3+(INDEX('Price History'!O:O,MATCH(9.99E+307,'Returns (Calc)'!$A:$A)+1)-'Price History'!O3)*(ROW()-3)/(MATCH(9.99E+307,'Returns (Calc)'!$A:$A)-3),"")</f>
        <v>118.0487341772152</v>
      </c>
      <c r="AK154" s="143">
        <f>IFERROR('Price History'!Q3+(INDEX('Price History'!Q:Q,MATCH(9.99E+307,'Returns (Calc)'!$A:$A)+1)-'Price History'!Q3)*(ROW()-3)/(MATCH(9.99E+307,'Returns (Calc)'!$A:$A)-3),"")</f>
        <v>66.344430379746839</v>
      </c>
      <c r="AL154" s="143">
        <f>IFERROR('Price History'!R3+(INDEX('Price History'!R:R,MATCH(9.99E+307,'Returns (Calc)'!$A:$A)+1)-'Price History'!R3)*(ROW()-3)/(MATCH(9.99E+307,'Returns (Calc)'!$A:$A)-3),"")</f>
        <v>59.863291139240502</v>
      </c>
      <c r="AM154" s="143">
        <f>IFERROR('Price History'!S3+(INDEX('Price History'!S:S,MATCH(9.99E+307,'Returns (Calc)'!$A:$A)+1)-'Price History'!S3)*(ROW()-3)/(MATCH(9.99E+307,'Returns (Calc)'!$A:$A)-3),"")</f>
        <v>148.99455696202531</v>
      </c>
      <c r="AN154" s="143">
        <f>IFERROR('Price History'!T3+(INDEX('Price History'!T:T,MATCH(9.99E+307,'Returns (Calc)'!$A:$A)+1)-'Price History'!T3)*(ROW()-3)/(MATCH(9.99E+307,'Returns (Calc)'!$A:$A)-3),"")</f>
        <v>50.642405063291136</v>
      </c>
      <c r="AO154" s="144">
        <f>IFERROR('Price History'!V3+(INDEX('Price History'!V:V,MATCH(9.99E+307,'Returns (Calc)'!$A:$A)+1)-'Price History'!V3)*(ROW()-3)/(MATCH(9.99E+307,'Returns (Calc)'!$A:$A)-3),"")</f>
        <v>355.12069620253169</v>
      </c>
      <c r="AP154" s="142">
        <f>IFERROR(IF(OR(NOT(ISNUMBER('Price History'!W155)),NOT(ISNUMBER('Price History'!W154)),'Price History'!W154=0),"",'Price History'!W155/'Price History'!W154-1),"")</f>
        <v>5.3423992229237882E-3</v>
      </c>
      <c r="AQ154" s="142">
        <f>IFERROR(IF(OR(NOT(ISNUMBER('Price History'!X155)),NOT(ISNUMBER('Price History'!X154)),'Price History'!X154=0),"",'Price History'!X155/'Price History'!X154-1),"")</f>
        <v>3.9651837524177891E-2</v>
      </c>
      <c r="AR154" s="142">
        <f>IFERROR(IF(OR(NOT(ISNUMBER('Price History'!Y155)),NOT(ISNUMBER('Price History'!Y154)),'Price History'!Y154=0),"",'Price History'!Y155/'Price History'!Y154-1),"")</f>
        <v>7.7383046078085549E-3</v>
      </c>
      <c r="AS154" s="142">
        <f>IFERROR(IF(OR(NOT(ISNUMBER('Price History'!Z155)),NOT(ISNUMBER('Price History'!Z154)),'Price History'!Z154=0),"",'Price History'!Z155/'Price History'!Z154-1),"")</f>
        <v>-4.5936013834846356E-3</v>
      </c>
      <c r="AT154" s="142">
        <f>IFERROR(IF(OR(NOT(ISNUMBER('Price History'!AA155)),NOT(ISNUMBER('Price History'!AA154)),'Price History'!AA154=0),"",'Price History'!AA155/'Price History'!AA154-1),"")</f>
        <v>5.4221742649042337E-2</v>
      </c>
    </row>
    <row r="155" spans="1:46" ht="15" customHeight="1" x14ac:dyDescent="0.35">
      <c r="A155" s="140">
        <f>IF('Price History'!A156="","",'Price History'!A156)</f>
        <v>46255</v>
      </c>
      <c r="B155" s="141">
        <f>IFERROR(IF(OR(NOT(ISNUMBER('Price History'!B156)),NOT(ISNUMBER('Price History'!B155)),'Price History'!B155=0),"",'Price History'!B156/'Price History'!B155-1),"")</f>
        <v>4.2724036057874448E-2</v>
      </c>
      <c r="C155" s="141">
        <f>IFERROR(IF(OR(NOT(ISNUMBER('Price History'!C156)),NOT(ISNUMBER('Price History'!C155)),'Price History'!C155=0),"",'Price History'!C156/'Price History'!C155-1),"")</f>
        <v>-5.1151795594004512E-2</v>
      </c>
      <c r="D155" s="141">
        <f>IFERROR(IF(OR(NOT(ISNUMBER('Price History'!D156)),NOT(ISNUMBER('Price History'!D155)),'Price History'!D155=0),"",'Price History'!D156/'Price History'!D155-1),"")</f>
        <v>-4.3555594117391849E-2</v>
      </c>
      <c r="E155" s="141">
        <f>IFERROR(IF(OR(NOT(ISNUMBER('Price History'!E156)),NOT(ISNUMBER('Price History'!E155)),'Price History'!E155=0),"",'Price History'!E156/'Price History'!E155-1),"")</f>
        <v>-6.2455389007851525E-2</v>
      </c>
      <c r="F155" s="141">
        <f>IFERROR(IF(OR(NOT(ISNUMBER('Price History'!F156)),NOT(ISNUMBER('Price History'!F155)),'Price History'!F155=0),"",'Price History'!F156/'Price History'!F155-1),"")</f>
        <v>-0.11523392486748096</v>
      </c>
      <c r="G155" s="141">
        <f>IFERROR(IF(OR(NOT(ISNUMBER('Price History'!G156)),NOT(ISNUMBER('Price History'!G155)),'Price History'!G155=0),"",'Price History'!G156/'Price History'!G155-1),"")</f>
        <v>-9.5827804806132955E-2</v>
      </c>
      <c r="H155" s="141">
        <f>IFERROR(IF(OR(NOT(ISNUMBER('Price History'!H156)),NOT(ISNUMBER('Price History'!H155)),'Price History'!H155=0),"",'Price History'!H156/'Price History'!H155-1),"")</f>
        <v>-5.0223329148055829E-3</v>
      </c>
      <c r="I155" s="141">
        <f>IFERROR(IF(OR(NOT(ISNUMBER('Price History'!I156)),NOT(ISNUMBER('Price History'!I155)),'Price History'!I155=0),"",'Price History'!I156/'Price History'!I155-1),"")</f>
        <v>-4.637410519763463E-2</v>
      </c>
      <c r="J155" s="141">
        <f>IFERROR(IF(OR(NOT(ISNUMBER('Price History'!J156)),NOT(ISNUMBER('Price History'!J155)),'Price History'!J155=0),"",'Price History'!J156/'Price History'!J155-1),"")</f>
        <v>5.4316752429961479E-3</v>
      </c>
      <c r="K155" s="141">
        <f>IFERROR(IF(OR(NOT(ISNUMBER('Price History'!K156)),NOT(ISNUMBER('Price History'!K155)),'Price History'!K155=0),"",'Price History'!K156/'Price History'!K155-1),"")</f>
        <v>3.3900252815444842E-2</v>
      </c>
      <c r="L155" s="141">
        <f>IFERROR(IF(OR(NOT(ISNUMBER('Price History'!L156)),NOT(ISNUMBER('Price History'!L155)),'Price History'!L155=0),"",'Price History'!L156/'Price History'!L155-1),"")</f>
        <v>-1.7356129912278639E-2</v>
      </c>
      <c r="M155" s="141">
        <f>IFERROR(IF(OR(NOT(ISNUMBER('Price History'!M156)),NOT(ISNUMBER('Price History'!M155)),'Price History'!M155=0),"",'Price History'!M156/'Price History'!M155-1),"")</f>
        <v>-0.10852027096027506</v>
      </c>
      <c r="N155" s="141">
        <f>IFERROR(IF(OR(NOT(ISNUMBER('Price History'!N156)),NOT(ISNUMBER('Price History'!N155)),'Price History'!N155=0),"",'Price History'!N156/'Price History'!N155-1),"")</f>
        <v>8.3638161146811552E-2</v>
      </c>
      <c r="O155" s="141">
        <f>IFERROR(IF(OR(NOT(ISNUMBER('Price History'!O156)),NOT(ISNUMBER('Price History'!O155)),'Price History'!O155=0),"",'Price History'!O156/'Price History'!O155-1),"")</f>
        <v>-1.7691528329826123E-2</v>
      </c>
      <c r="P155" s="141">
        <f>IFERROR(IF(OR(NOT(ISNUMBER('Price History'!P156)),NOT(ISNUMBER('Price History'!P155)),'Price History'!P155=0),"",'Price History'!P156/'Price History'!P155-1),"")</f>
        <v>-8.5287846481876262E-3</v>
      </c>
      <c r="Q155" s="141">
        <f>IFERROR(IF(OR(NOT(ISNUMBER('Price History'!Q156)),NOT(ISNUMBER('Price History'!Q155)),'Price History'!Q155=0),"",'Price History'!Q156/'Price History'!Q155-1),"")</f>
        <v>-1.0562375107051269E-2</v>
      </c>
      <c r="R155" s="141">
        <f>IFERROR(IF(OR(NOT(ISNUMBER('Price History'!R156)),NOT(ISNUMBER('Price History'!R155)),'Price History'!R155=0),"",'Price History'!R156/'Price History'!R155-1),"")</f>
        <v>-1.1469050430089389E-2</v>
      </c>
      <c r="S155" s="141">
        <f>IFERROR(IF(OR(NOT(ISNUMBER('Price History'!S156)),NOT(ISNUMBER('Price History'!S155)),'Price History'!S155=0),"",'Price History'!S156/'Price History'!S155-1),"")</f>
        <v>-2.9857572193910831E-2</v>
      </c>
      <c r="T155" s="141">
        <f>IFERROR(IF(OR(NOT(ISNUMBER('Price History'!T156)),NOT(ISNUMBER('Price History'!T155)),'Price History'!T155=0),"",'Price History'!T156/'Price History'!T155-1),"")</f>
        <v>3.2462686567164223E-2</v>
      </c>
      <c r="U155" s="141">
        <f>IFERROR(IF(OR(NOT(ISNUMBER('Price History'!U156)),NOT(ISNUMBER('Price History'!U155)),'Price History'!U155=0),"",'Price History'!U156/'Price History'!U155-1),"")</f>
        <v>1.6934306569343027E-2</v>
      </c>
      <c r="V155" s="142">
        <f>IFERROR(IF(OR(NOT(ISNUMBER('Price History'!V156)),NOT(ISNUMBER('Price History'!V155)),'Price History'!V155=0),"",'Price History'!V156/'Price History'!V155-1),"")</f>
        <v>1.8920774406151475E-2</v>
      </c>
      <c r="W155" s="143">
        <f>IFERROR('Price History'!B3+(INDEX('Price History'!B:B,MATCH(9.99E+307,'Returns (Calc)'!$A:$A)+1)-'Price History'!B3)*(ROW()-3)/(MATCH(9.99E+307,'Returns (Calc)'!$A:$A)-3),"")</f>
        <v>248.74822784810124</v>
      </c>
      <c r="X155" s="143">
        <f>IFERROR('Price History'!C3+(INDEX('Price History'!C:C,MATCH(9.99E+307,'Returns (Calc)'!$A:$A)+1)-'Price History'!C3)*(ROW()-3)/(MATCH(9.99E+307,'Returns (Calc)'!$A:$A)-3),"")</f>
        <v>201.22962025316454</v>
      </c>
      <c r="Y155" s="143">
        <f>IFERROR('Price History'!D3+(INDEX('Price History'!D:D,MATCH(9.99E+307,'Returns (Calc)'!$A:$A)+1)-'Price History'!D3)*(ROW()-3)/(MATCH(9.99E+307,'Returns (Calc)'!$A:$A)-3),"")</f>
        <v>1818.5011392405063</v>
      </c>
      <c r="Z155" s="143">
        <f>IFERROR('Price History'!E3+(INDEX('Price History'!E:E,MATCH(9.99E+307,'Returns (Calc)'!$A:$A)+1)-'Price History'!E3)*(ROW()-3)/(MATCH(9.99E+307,'Returns (Calc)'!$A:$A)-3),"")</f>
        <v>344.76759493670886</v>
      </c>
      <c r="AA155" s="143">
        <f>IFERROR('Price History'!F3+(INDEX('Price History'!F:F,MATCH(9.99E+307,'Returns (Calc)'!$A:$A)+1)-'Price History'!F3)*(ROW()-3)/(MATCH(9.99E+307,'Returns (Calc)'!$A:$A)-3),"")</f>
        <v>261.35594936708861</v>
      </c>
      <c r="AB155" s="143">
        <f>IFERROR('Price History'!G3+(INDEX('Price History'!G:G,MATCH(9.99E+307,'Returns (Calc)'!$A:$A)+1)-'Price History'!G3)*(ROW()-3)/(MATCH(9.99E+307,'Returns (Calc)'!$A:$A)-3),"")</f>
        <v>200.71759493670885</v>
      </c>
      <c r="AC155" s="143">
        <f>IFERROR('Price History'!H3+(INDEX('Price History'!H:H,MATCH(9.99E+307,'Returns (Calc)'!$A:$A)+1)-'Price History'!H3)*(ROW()-3)/(MATCH(9.99E+307,'Returns (Calc)'!$A:$A)-3),"")</f>
        <v>1036.6958227848102</v>
      </c>
      <c r="AD155" s="143">
        <f>IFERROR('Price History'!I3+(INDEX('Price History'!I:I,MATCH(9.99E+307,'Returns (Calc)'!$A:$A)+1)-'Price History'!I3)*(ROW()-3)/(MATCH(9.99E+307,'Returns (Calc)'!$A:$A)-3),"")</f>
        <v>226.72797468354429</v>
      </c>
      <c r="AE155" s="143">
        <f>IFERROR('Price History'!J3+(INDEX('Price History'!J:J,MATCH(9.99E+307,'Returns (Calc)'!$A:$A)+1)-'Price History'!J3)*(ROW()-3)/(MATCH(9.99E+307,'Returns (Calc)'!$A:$A)-3),"")</f>
        <v>128.26177215189873</v>
      </c>
      <c r="AF155" s="143">
        <f>IFERROR('Price History'!K3+(INDEX('Price History'!K:K,MATCH(9.99E+307,'Returns (Calc)'!$A:$A)+1)-'Price History'!K3)*(ROW()-3)/(MATCH(9.99E+307,'Returns (Calc)'!$A:$A)-3),"")</f>
        <v>182.16443037974682</v>
      </c>
      <c r="AG155" s="143">
        <f>IFERROR('Price History'!L3+(INDEX('Price History'!L:L,MATCH(9.99E+307,'Returns (Calc)'!$A:$A)+1)-'Price History'!L3)*(ROW()-3)/(MATCH(9.99E+307,'Returns (Calc)'!$A:$A)-3),"")</f>
        <v>458.08265822784807</v>
      </c>
      <c r="AH155" s="143">
        <f>IFERROR('Price History'!M3+(INDEX('Price History'!M:M,MATCH(9.99E+307,'Returns (Calc)'!$A:$A)+1)-'Price History'!M3)*(ROW()-3)/(MATCH(9.99E+307,'Returns (Calc)'!$A:$A)-3),"")</f>
        <v>244.0473417721519</v>
      </c>
      <c r="AI155" s="143">
        <f>IFERROR('Price History'!N3+(INDEX('Price History'!N:N,MATCH(9.99E+307,'Returns (Calc)'!$A:$A)+1)-'Price History'!N3)*(ROW()-3)/(MATCH(9.99E+307,'Returns (Calc)'!$A:$A)-3),"")</f>
        <v>498.81240506329118</v>
      </c>
      <c r="AJ155" s="143">
        <f>IFERROR('Price History'!O3+(INDEX('Price History'!O:O,MATCH(9.99E+307,'Returns (Calc)'!$A:$A)+1)-'Price History'!O3)*(ROW()-3)/(MATCH(9.99E+307,'Returns (Calc)'!$A:$A)-3),"")</f>
        <v>118.33177215189873</v>
      </c>
      <c r="AK155" s="143">
        <f>IFERROR('Price History'!Q3+(INDEX('Price History'!Q:Q,MATCH(9.99E+307,'Returns (Calc)'!$A:$A)+1)-'Price History'!Q3)*(ROW()-3)/(MATCH(9.99E+307,'Returns (Calc)'!$A:$A)-3),"")</f>
        <v>66.783797468354436</v>
      </c>
      <c r="AL155" s="143">
        <f>IFERROR('Price History'!R3+(INDEX('Price History'!R:R,MATCH(9.99E+307,'Returns (Calc)'!$A:$A)+1)-'Price History'!R3)*(ROW()-3)/(MATCH(9.99E+307,'Returns (Calc)'!$A:$A)-3),"")</f>
        <v>60.031392405063286</v>
      </c>
      <c r="AM155" s="143">
        <f>IFERROR('Price History'!S3+(INDEX('Price History'!S:S,MATCH(9.99E+307,'Returns (Calc)'!$A:$A)+1)-'Price History'!S3)*(ROW()-3)/(MATCH(9.99E+307,'Returns (Calc)'!$A:$A)-3),"")</f>
        <v>149.59962025316455</v>
      </c>
      <c r="AN155" s="143">
        <f>IFERROR('Price History'!T3+(INDEX('Price History'!T:T,MATCH(9.99E+307,'Returns (Calc)'!$A:$A)+1)-'Price History'!T3)*(ROW()-3)/(MATCH(9.99E+307,'Returns (Calc)'!$A:$A)-3),"")</f>
        <v>50.810632911392403</v>
      </c>
      <c r="AO155" s="144">
        <f>IFERROR('Price History'!V3+(INDEX('Price History'!V:V,MATCH(9.99E+307,'Returns (Calc)'!$A:$A)+1)-'Price History'!V3)*(ROW()-3)/(MATCH(9.99E+307,'Returns (Calc)'!$A:$A)-3),"")</f>
        <v>355.9120253164557</v>
      </c>
      <c r="AP155" s="142">
        <f>IFERROR(IF(OR(NOT(ISNUMBER('Price History'!W156)),NOT(ISNUMBER('Price History'!W155)),'Price History'!W155=0),"",'Price History'!W156/'Price History'!W155-1),"")</f>
        <v>-9.2995169082125129E-3</v>
      </c>
      <c r="AQ155" s="142">
        <f>IFERROR(IF(OR(NOT(ISNUMBER('Price History'!X156)),NOT(ISNUMBER('Price History'!X155)),'Price History'!X155=0),"",'Price History'!X156/'Price History'!X155-1),"")</f>
        <v>-9.6744186046512359E-3</v>
      </c>
      <c r="AR155" s="142">
        <f>IFERROR(IF(OR(NOT(ISNUMBER('Price History'!Y156)),NOT(ISNUMBER('Price History'!Y155)),'Price History'!Y155=0),"",'Price History'!Y156/'Price History'!Y155-1),"")</f>
        <v>-1.7452006980801515E-3</v>
      </c>
      <c r="AS155" s="142">
        <f>IFERROR(IF(OR(NOT(ISNUMBER('Price History'!Z156)),NOT(ISNUMBER('Price History'!Z155)),'Price History'!Z155=0),"",'Price History'!Z156/'Price History'!Z155-1),"")</f>
        <v>-5.4318909821380101E-2</v>
      </c>
      <c r="AT155" s="142">
        <f>IFERROR(IF(OR(NOT(ISNUMBER('Price History'!AA156)),NOT(ISNUMBER('Price History'!AA155)),'Price History'!AA155=0),"",'Price History'!AA156/'Price History'!AA155-1),"")</f>
        <v>1.8295803480041117E-2</v>
      </c>
    </row>
    <row r="156" spans="1:46" ht="15" customHeight="1" x14ac:dyDescent="0.35">
      <c r="A156" s="140">
        <f>IF('Price History'!A157="","",'Price History'!A157)</f>
        <v>46262</v>
      </c>
      <c r="B156" s="141">
        <f>IFERROR(IF(OR(NOT(ISNUMBER('Price History'!B157)),NOT(ISNUMBER('Price History'!B156)),'Price History'!B156=0),"",'Price History'!B157/'Price History'!B156-1),"")</f>
        <v>5.8917544496912333E-2</v>
      </c>
      <c r="C156" s="141">
        <f>IFERROR(IF(OR(NOT(ISNUMBER('Price History'!C157)),NOT(ISNUMBER('Price History'!C156)),'Price History'!C156=0),"",'Price History'!C157/'Price History'!C156-1),"")</f>
        <v>3.5674529552080614E-2</v>
      </c>
      <c r="D156" s="141">
        <f>IFERROR(IF(OR(NOT(ISNUMBER('Price History'!D157)),NOT(ISNUMBER('Price History'!D156)),'Price History'!D156=0),"",'Price History'!D157/'Price History'!D156-1),"")</f>
        <v>-3.8327210051254057E-2</v>
      </c>
      <c r="E156" s="141">
        <f>IFERROR(IF(OR(NOT(ISNUMBER('Price History'!E157)),NOT(ISNUMBER('Price History'!E156)),'Price History'!E156=0),"",'Price History'!E157/'Price History'!E156-1),"")</f>
        <v>9.2446571319815263E-4</v>
      </c>
      <c r="F156" s="141">
        <f>IFERROR(IF(OR(NOT(ISNUMBER('Price History'!F157)),NOT(ISNUMBER('Price History'!F156)),'Price History'!F156=0),"",'Price History'!F157/'Price History'!F156-1),"")</f>
        <v>0.13779630112008334</v>
      </c>
      <c r="G156" s="141">
        <f>IFERROR(IF(OR(NOT(ISNUMBER('Price History'!G157)),NOT(ISNUMBER('Price History'!G156)),'Price History'!G156=0),"",'Price History'!G157/'Price History'!G156-1),"")</f>
        <v>-4.5926409043969829E-2</v>
      </c>
      <c r="H156" s="141">
        <f>IFERROR(IF(OR(NOT(ISNUMBER('Price History'!H157)),NOT(ISNUMBER('Price History'!H156)),'Price History'!H156=0),"",'Price History'!H157/'Price History'!H156-1),"")</f>
        <v>-3.5085541695111577E-2</v>
      </c>
      <c r="I156" s="141">
        <f>IFERROR(IF(OR(NOT(ISNUMBER('Price History'!I157)),NOT(ISNUMBER('Price History'!I156)),'Price History'!I156=0),"",'Price History'!I157/'Price History'!I156-1),"")</f>
        <v>1.3194703468854874E-2</v>
      </c>
      <c r="J156" s="141">
        <f>IFERROR(IF(OR(NOT(ISNUMBER('Price History'!J157)),NOT(ISNUMBER('Price History'!J156)),'Price History'!J156=0),"",'Price History'!J157/'Price History'!J156-1),"")</f>
        <v>-7.7480807506398186E-3</v>
      </c>
      <c r="K156" s="141">
        <f>IFERROR(IF(OR(NOT(ISNUMBER('Price History'!K157)),NOT(ISNUMBER('Price History'!K156)),'Price History'!K156=0),"",'Price History'!K157/'Price History'!K156-1),"")</f>
        <v>3.528954095809711E-2</v>
      </c>
      <c r="L156" s="141">
        <f>IFERROR(IF(OR(NOT(ISNUMBER('Price History'!L157)),NOT(ISNUMBER('Price History'!L156)),'Price History'!L156=0),"",'Price History'!L157/'Price History'!L156-1),"")</f>
        <v>-3.4224445348587373E-3</v>
      </c>
      <c r="M156" s="141">
        <f>IFERROR(IF(OR(NOT(ISNUMBER('Price History'!M157)),NOT(ISNUMBER('Price History'!M156)),'Price History'!M156=0),"",'Price History'!M157/'Price History'!M156-1),"")</f>
        <v>-1.8595593569819435E-2</v>
      </c>
      <c r="N156" s="141">
        <f>IFERROR(IF(OR(NOT(ISNUMBER('Price History'!N157)),NOT(ISNUMBER('Price History'!N156)),'Price History'!N156=0),"",'Price History'!N157/'Price History'!N156-1),"")</f>
        <v>-1.1604780585712793E-2</v>
      </c>
      <c r="O156" s="141">
        <f>IFERROR(IF(OR(NOT(ISNUMBER('Price History'!O157)),NOT(ISNUMBER('Price History'!O156)),'Price History'!O156=0),"",'Price History'!O157/'Price History'!O156-1),"")</f>
        <v>-6.9819105046018404E-3</v>
      </c>
      <c r="P156" s="141">
        <f>IFERROR(IF(OR(NOT(ISNUMBER('Price History'!P157)),NOT(ISNUMBER('Price History'!P156)),'Price History'!P156=0),"",'Price History'!P157/'Price History'!P156-1),"")</f>
        <v>-1.7818740399384581E-3</v>
      </c>
      <c r="Q156" s="141">
        <f>IFERROR(IF(OR(NOT(ISNUMBER('Price History'!Q157)),NOT(ISNUMBER('Price History'!Q156)),'Price History'!Q156=0),"",'Price History'!Q157/'Price History'!Q156-1),"")</f>
        <v>4.0392383150607003E-3</v>
      </c>
      <c r="R156" s="141">
        <f>IFERROR(IF(OR(NOT(ISNUMBER('Price History'!R157)),NOT(ISNUMBER('Price History'!R156)),'Price History'!R156=0),"",'Price History'!R157/'Price History'!R156-1),"")</f>
        <v>5.2891997952568826E-3</v>
      </c>
      <c r="S156" s="141">
        <f>IFERROR(IF(OR(NOT(ISNUMBER('Price History'!S157)),NOT(ISNUMBER('Price History'!S156)),'Price History'!S156=0),"",'Price History'!S157/'Price History'!S156-1),"")</f>
        <v>-1.3132197454374106E-2</v>
      </c>
      <c r="T156" s="141">
        <f>IFERROR(IF(OR(NOT(ISNUMBER('Price History'!T157)),NOT(ISNUMBER('Price History'!T156)),'Price History'!T156=0),"",'Price History'!T157/'Price History'!T156-1),"")</f>
        <v>3.7947235272857149E-3</v>
      </c>
      <c r="U156" s="141">
        <f>IFERROR(IF(OR(NOT(ISNUMBER('Price History'!U157)),NOT(ISNUMBER('Price History'!U156)),'Price History'!U156=0),"",'Price History'!U157/'Price History'!U156-1),"")</f>
        <v>-6.0292850990525393E-3</v>
      </c>
      <c r="V156" s="142">
        <f>IFERROR(IF(OR(NOT(ISNUMBER('Price History'!V157)),NOT(ISNUMBER('Price History'!V156)),'Price History'!V156=0),"",'Price History'!V157/'Price History'!V156-1),"")</f>
        <v>2.8460543337645472E-2</v>
      </c>
      <c r="W156" s="143">
        <f>IFERROR('Price History'!B3+(INDEX('Price History'!B:B,MATCH(9.99E+307,'Returns (Calc)'!$A:$A)+1)-'Price History'!B3)*(ROW()-3)/(MATCH(9.99E+307,'Returns (Calc)'!$A:$A)-3),"")</f>
        <v>246.90518987341773</v>
      </c>
      <c r="X156" s="143">
        <f>IFERROR('Price History'!C3+(INDEX('Price History'!C:C,MATCH(9.99E+307,'Returns (Calc)'!$A:$A)+1)-'Price History'!C3)*(ROW()-3)/(MATCH(9.99E+307,'Returns (Calc)'!$A:$A)-3),"")</f>
        <v>202.24968354430379</v>
      </c>
      <c r="Y156" s="143">
        <f>IFERROR('Price History'!D3+(INDEX('Price History'!D:D,MATCH(9.99E+307,'Returns (Calc)'!$A:$A)+1)-'Price History'!D3)*(ROW()-3)/(MATCH(9.99E+307,'Returns (Calc)'!$A:$A)-3),"")</f>
        <v>1826.6359493670886</v>
      </c>
      <c r="Z156" s="143">
        <f>IFERROR('Price History'!E3+(INDEX('Price History'!E:E,MATCH(9.99E+307,'Returns (Calc)'!$A:$A)+1)-'Price History'!E3)*(ROW()-3)/(MATCH(9.99E+307,'Returns (Calc)'!$A:$A)-3),"")</f>
        <v>346.49632911392405</v>
      </c>
      <c r="AA156" s="143">
        <f>IFERROR('Price History'!F3+(INDEX('Price History'!F:F,MATCH(9.99E+307,'Returns (Calc)'!$A:$A)+1)-'Price History'!F3)*(ROW()-3)/(MATCH(9.99E+307,'Returns (Calc)'!$A:$A)-3),"")</f>
        <v>262.80329113924051</v>
      </c>
      <c r="AB156" s="143">
        <f>IFERROR('Price History'!G3+(INDEX('Price History'!G:G,MATCH(9.99E+307,'Returns (Calc)'!$A:$A)+1)-'Price History'!G3)*(ROW()-3)/(MATCH(9.99E+307,'Returns (Calc)'!$A:$A)-3),"")</f>
        <v>201.74632911392405</v>
      </c>
      <c r="AC156" s="143">
        <f>IFERROR('Price History'!H3+(INDEX('Price History'!H:H,MATCH(9.99E+307,'Returns (Calc)'!$A:$A)+1)-'Price History'!H3)*(ROW()-3)/(MATCH(9.99E+307,'Returns (Calc)'!$A:$A)-3),"")</f>
        <v>1043.061518987342</v>
      </c>
      <c r="AD156" s="143">
        <f>IFERROR('Price History'!I3+(INDEX('Price History'!I:I,MATCH(9.99E+307,'Returns (Calc)'!$A:$A)+1)-'Price History'!I3)*(ROW()-3)/(MATCH(9.99E+307,'Returns (Calc)'!$A:$A)-3),"")</f>
        <v>227.93164556962026</v>
      </c>
      <c r="AE156" s="143">
        <f>IFERROR('Price History'!J3+(INDEX('Price History'!J:J,MATCH(9.99E+307,'Returns (Calc)'!$A:$A)+1)-'Price History'!J3)*(ROW()-3)/(MATCH(9.99E+307,'Returns (Calc)'!$A:$A)-3),"")</f>
        <v>128.36981012658228</v>
      </c>
      <c r="AF156" s="143">
        <f>IFERROR('Price History'!K3+(INDEX('Price History'!K:K,MATCH(9.99E+307,'Returns (Calc)'!$A:$A)+1)-'Price History'!K3)*(ROW()-3)/(MATCH(9.99E+307,'Returns (Calc)'!$A:$A)-3),"")</f>
        <v>183.26202531645569</v>
      </c>
      <c r="AG156" s="143">
        <f>IFERROR('Price History'!L3+(INDEX('Price History'!L:L,MATCH(9.99E+307,'Returns (Calc)'!$A:$A)+1)-'Price History'!L3)*(ROW()-3)/(MATCH(9.99E+307,'Returns (Calc)'!$A:$A)-3),"")</f>
        <v>460.5322151898734</v>
      </c>
      <c r="AH156" s="143">
        <f>IFERROR('Price History'!M3+(INDEX('Price History'!M:M,MATCH(9.99E+307,'Returns (Calc)'!$A:$A)+1)-'Price History'!M3)*(ROW()-3)/(MATCH(9.99E+307,'Returns (Calc)'!$A:$A)-3),"")</f>
        <v>245.40278481012658</v>
      </c>
      <c r="AI156" s="143">
        <f>IFERROR('Price History'!N3+(INDEX('Price History'!N:N,MATCH(9.99E+307,'Returns (Calc)'!$A:$A)+1)-'Price History'!N3)*(ROW()-3)/(MATCH(9.99E+307,'Returns (Calc)'!$A:$A)-3),"")</f>
        <v>499.79867088607597</v>
      </c>
      <c r="AJ156" s="143">
        <f>IFERROR('Price History'!O3+(INDEX('Price History'!O:O,MATCH(9.99E+307,'Returns (Calc)'!$A:$A)+1)-'Price History'!O3)*(ROW()-3)/(MATCH(9.99E+307,'Returns (Calc)'!$A:$A)-3),"")</f>
        <v>118.61481012658228</v>
      </c>
      <c r="AK156" s="143">
        <f>IFERROR('Price History'!Q3+(INDEX('Price History'!Q:Q,MATCH(9.99E+307,'Returns (Calc)'!$A:$A)+1)-'Price History'!Q3)*(ROW()-3)/(MATCH(9.99E+307,'Returns (Calc)'!$A:$A)-3),"")</f>
        <v>67.223164556962033</v>
      </c>
      <c r="AL156" s="143">
        <f>IFERROR('Price History'!R3+(INDEX('Price History'!R:R,MATCH(9.99E+307,'Returns (Calc)'!$A:$A)+1)-'Price History'!R3)*(ROW()-3)/(MATCH(9.99E+307,'Returns (Calc)'!$A:$A)-3),"")</f>
        <v>60.199493670886071</v>
      </c>
      <c r="AM156" s="143">
        <f>IFERROR('Price History'!S3+(INDEX('Price History'!S:S,MATCH(9.99E+307,'Returns (Calc)'!$A:$A)+1)-'Price History'!S3)*(ROW()-3)/(MATCH(9.99E+307,'Returns (Calc)'!$A:$A)-3),"")</f>
        <v>150.2046835443038</v>
      </c>
      <c r="AN156" s="143">
        <f>IFERROR('Price History'!T3+(INDEX('Price History'!T:T,MATCH(9.99E+307,'Returns (Calc)'!$A:$A)+1)-'Price History'!T3)*(ROW()-3)/(MATCH(9.99E+307,'Returns (Calc)'!$A:$A)-3),"")</f>
        <v>50.978860759493671</v>
      </c>
      <c r="AO156" s="144">
        <f>IFERROR('Price History'!V3+(INDEX('Price History'!V:V,MATCH(9.99E+307,'Returns (Calc)'!$A:$A)+1)-'Price History'!V3)*(ROW()-3)/(MATCH(9.99E+307,'Returns (Calc)'!$A:$A)-3),"")</f>
        <v>356.70335443037976</v>
      </c>
      <c r="AP156" s="142">
        <f>IFERROR(IF(OR(NOT(ISNUMBER('Price History'!W157)),NOT(ISNUMBER('Price History'!W156)),'Price History'!W156=0),"",'Price History'!W157/'Price History'!W156-1),"")</f>
        <v>-4.3886383030597997E-3</v>
      </c>
      <c r="AQ156" s="142">
        <f>IFERROR(IF(OR(NOT(ISNUMBER('Price History'!X157)),NOT(ISNUMBER('Price History'!X156)),'Price History'!X156=0),"",'Price History'!X157/'Price History'!X156-1),"")</f>
        <v>7.7024234454254881E-3</v>
      </c>
      <c r="AR156" s="142">
        <f>IFERROR(IF(OR(NOT(ISNUMBER('Price History'!Y157)),NOT(ISNUMBER('Price History'!Y156)),'Price History'!Y156=0),"",'Price History'!Y157/'Price History'!Y156-1),"")</f>
        <v>-2.2727272727273151E-3</v>
      </c>
      <c r="AS156" s="142">
        <f>IFERROR(IF(OR(NOT(ISNUMBER('Price History'!Z157)),NOT(ISNUMBER('Price History'!Z156)),'Price History'!Z156=0),"",'Price History'!Z157/'Price History'!Z156-1),"")</f>
        <v>-1.6620260068318182E-2</v>
      </c>
      <c r="AT156" s="142">
        <f>IFERROR(IF(OR(NOT(ISNUMBER('Price History'!AA157)),NOT(ISNUMBER('Price History'!AA156)),'Price History'!AA156=0),"",'Price History'!AA157/'Price History'!AA156-1),"")</f>
        <v>2.6762156049754848E-2</v>
      </c>
    </row>
    <row r="157" spans="1:46" ht="15" customHeight="1" x14ac:dyDescent="0.35">
      <c r="A157" s="140">
        <f>IF('Price History'!A158="","",'Price History'!A158)</f>
        <v>46269</v>
      </c>
      <c r="B157" s="141">
        <f>IFERROR(IF(OR(NOT(ISNUMBER('Price History'!B158)),NOT(ISNUMBER('Price History'!B157)),'Price History'!B157=0),"",'Price History'!B158/'Price History'!B157-1),"")</f>
        <v>-8.579171240395167E-2</v>
      </c>
      <c r="C157" s="141">
        <f>IFERROR(IF(OR(NOT(ISNUMBER('Price History'!C158)),NOT(ISNUMBER('Price History'!C157)),'Price History'!C157=0),"",'Price History'!C158/'Price History'!C157-1),"")</f>
        <v>-8.1891698229091814E-3</v>
      </c>
      <c r="D157" s="141">
        <f>IFERROR(IF(OR(NOT(ISNUMBER('Price History'!D158)),NOT(ISNUMBER('Price History'!D157)),'Price History'!D157=0),"",'Price History'!D158/'Price History'!D157-1),"")</f>
        <v>1.1036694651447965E-2</v>
      </c>
      <c r="E157" s="141">
        <f>IFERROR(IF(OR(NOT(ISNUMBER('Price History'!E158)),NOT(ISNUMBER('Price History'!E157)),'Price History'!E157=0),"",'Price History'!E158/'Price History'!E157-1),"")</f>
        <v>-2.9528414647397638E-2</v>
      </c>
      <c r="F157" s="141">
        <f>IFERROR(IF(OR(NOT(ISNUMBER('Price History'!F158)),NOT(ISNUMBER('Price History'!F157)),'Price History'!F157=0),"",'Price History'!F158/'Price History'!F157-1),"")</f>
        <v>-2.4267399267399292E-2</v>
      </c>
      <c r="G157" s="141">
        <f>IFERROR(IF(OR(NOT(ISNUMBER('Price History'!G158)),NOT(ISNUMBER('Price History'!G157)),'Price History'!G157=0),"",'Price History'!G158/'Price History'!G157-1),"")</f>
        <v>5.7308875469978426E-2</v>
      </c>
      <c r="H157" s="141">
        <f>IFERROR(IF(OR(NOT(ISNUMBER('Price History'!H158)),NOT(ISNUMBER('Price History'!H157)),'Price History'!H157=0),"",'Price History'!H158/'Price History'!H157-1),"")</f>
        <v>8.9756233518427209E-2</v>
      </c>
      <c r="I157" s="141">
        <f>IFERROR(IF(OR(NOT(ISNUMBER('Price History'!I158)),NOT(ISNUMBER('Price History'!I157)),'Price History'!I157=0),"",'Price History'!I158/'Price History'!I157-1),"")</f>
        <v>5.8856012148543524E-2</v>
      </c>
      <c r="J157" s="141">
        <f>IFERROR(IF(OR(NOT(ISNUMBER('Price History'!J158)),NOT(ISNUMBER('Price History'!J157)),'Price History'!J157=0),"",'Price History'!J158/'Price History'!J157-1),"")</f>
        <v>-2.3855577047066534E-2</v>
      </c>
      <c r="K157" s="141">
        <f>IFERROR(IF(OR(NOT(ISNUMBER('Price History'!K158)),NOT(ISNUMBER('Price History'!K157)),'Price History'!K157=0),"",'Price History'!K158/'Price History'!K157-1),"")</f>
        <v>-6.4200976971388601E-2</v>
      </c>
      <c r="L157" s="141">
        <f>IFERROR(IF(OR(NOT(ISNUMBER('Price History'!L158)),NOT(ISNUMBER('Price History'!L157)),'Price History'!L157=0),"",'Price History'!L158/'Price History'!L157-1),"")</f>
        <v>2.728146013448618E-2</v>
      </c>
      <c r="M157" s="141">
        <f>IFERROR(IF(OR(NOT(ISNUMBER('Price History'!M158)),NOT(ISNUMBER('Price History'!M157)),'Price History'!M157=0),"",'Price History'!M158/'Price History'!M157-1),"")</f>
        <v>9.1199128472492452E-2</v>
      </c>
      <c r="N157" s="141">
        <f>IFERROR(IF(OR(NOT(ISNUMBER('Price History'!N158)),NOT(ISNUMBER('Price History'!N157)),'Price History'!N157=0),"",'Price History'!N158/'Price History'!N157-1),"")</f>
        <v>8.1781092506783004E-3</v>
      </c>
      <c r="O157" s="141">
        <f>IFERROR(IF(OR(NOT(ISNUMBER('Price History'!O158)),NOT(ISNUMBER('Price History'!O157)),'Price History'!O157=0),"",'Price History'!O158/'Price History'!O157-1),"")</f>
        <v>1.0866091403004097E-2</v>
      </c>
      <c r="P157" s="141">
        <f>IFERROR(IF(OR(NOT(ISNUMBER('Price History'!P158)),NOT(ISNUMBER('Price History'!P157)),'Price History'!P157=0),"",'Price History'!P158/'Price History'!P157-1),"")</f>
        <v>2.7699125938691616E-3</v>
      </c>
      <c r="Q157" s="141">
        <f>IFERROR(IF(OR(NOT(ISNUMBER('Price History'!Q158)),NOT(ISNUMBER('Price History'!Q157)),'Price History'!Q157=0),"",'Price History'!Q158/'Price History'!Q157-1),"")</f>
        <v>4.310344827587187E-4</v>
      </c>
      <c r="R157" s="141">
        <f>IFERROR(IF(OR(NOT(ISNUMBER('Price History'!R158)),NOT(ISNUMBER('Price History'!R157)),'Price History'!R157=0),"",'Price History'!R158/'Price History'!R157-1),"")</f>
        <v>6.7888662593347249E-3</v>
      </c>
      <c r="S157" s="141">
        <f>IFERROR(IF(OR(NOT(ISNUMBER('Price History'!S158)),NOT(ISNUMBER('Price History'!S157)),'Price History'!S157=0),"",'Price History'!S158/'Price History'!S157-1),"")</f>
        <v>2.0062781493107584E-2</v>
      </c>
      <c r="T157" s="141">
        <f>IFERROR(IF(OR(NOT(ISNUMBER('Price History'!T158)),NOT(ISNUMBER('Price History'!T157)),'Price History'!T157=0),"",'Price History'!T158/'Price History'!T157-1),"")</f>
        <v>-6.6606660666066464E-3</v>
      </c>
      <c r="U157" s="141">
        <f>IFERROR(IF(OR(NOT(ISNUMBER('Price History'!U158)),NOT(ISNUMBER('Price History'!U157)),'Price History'!U157=0),"",'Price History'!U158/'Price History'!U157-1),"")</f>
        <v>-2.8885037550546722E-3</v>
      </c>
      <c r="V157" s="142">
        <f>IFERROR(IF(OR(NOT(ISNUMBER('Price History'!V158)),NOT(ISNUMBER('Price History'!V157)),'Price History'!V157=0),"",'Price History'!V158/'Price History'!V157-1),"")</f>
        <v>-1.7112159329140564E-2</v>
      </c>
      <c r="W157" s="143">
        <f>IFERROR('Price History'!B3+(INDEX('Price History'!B:B,MATCH(9.99E+307,'Returns (Calc)'!$A:$A)+1)-'Price History'!B3)*(ROW()-3)/(MATCH(9.99E+307,'Returns (Calc)'!$A:$A)-3),"")</f>
        <v>245.06215189873421</v>
      </c>
      <c r="X157" s="143">
        <f>IFERROR('Price History'!C3+(INDEX('Price History'!C:C,MATCH(9.99E+307,'Returns (Calc)'!$A:$A)+1)-'Price History'!C3)*(ROW()-3)/(MATCH(9.99E+307,'Returns (Calc)'!$A:$A)-3),"")</f>
        <v>203.26974683544302</v>
      </c>
      <c r="Y157" s="143">
        <f>IFERROR('Price History'!D3+(INDEX('Price History'!D:D,MATCH(9.99E+307,'Returns (Calc)'!$A:$A)+1)-'Price History'!D3)*(ROW()-3)/(MATCH(9.99E+307,'Returns (Calc)'!$A:$A)-3),"")</f>
        <v>1834.7707594936708</v>
      </c>
      <c r="Z157" s="143">
        <f>IFERROR('Price History'!E3+(INDEX('Price History'!E:E,MATCH(9.99E+307,'Returns (Calc)'!$A:$A)+1)-'Price History'!E3)*(ROW()-3)/(MATCH(9.99E+307,'Returns (Calc)'!$A:$A)-3),"")</f>
        <v>348.22506329113924</v>
      </c>
      <c r="AA157" s="143">
        <f>IFERROR('Price History'!F3+(INDEX('Price History'!F:F,MATCH(9.99E+307,'Returns (Calc)'!$A:$A)+1)-'Price History'!F3)*(ROW()-3)/(MATCH(9.99E+307,'Returns (Calc)'!$A:$A)-3),"")</f>
        <v>264.25063291139242</v>
      </c>
      <c r="AB157" s="143">
        <f>IFERROR('Price History'!G3+(INDEX('Price History'!G:G,MATCH(9.99E+307,'Returns (Calc)'!$A:$A)+1)-'Price History'!G3)*(ROW()-3)/(MATCH(9.99E+307,'Returns (Calc)'!$A:$A)-3),"")</f>
        <v>202.77506329113925</v>
      </c>
      <c r="AC157" s="143">
        <f>IFERROR('Price History'!H3+(INDEX('Price History'!H:H,MATCH(9.99E+307,'Returns (Calc)'!$A:$A)+1)-'Price History'!H3)*(ROW()-3)/(MATCH(9.99E+307,'Returns (Calc)'!$A:$A)-3),"")</f>
        <v>1049.4272151898736</v>
      </c>
      <c r="AD157" s="143">
        <f>IFERROR('Price History'!I3+(INDEX('Price History'!I:I,MATCH(9.99E+307,'Returns (Calc)'!$A:$A)+1)-'Price History'!I3)*(ROW()-3)/(MATCH(9.99E+307,'Returns (Calc)'!$A:$A)-3),"")</f>
        <v>229.1353164556962</v>
      </c>
      <c r="AE157" s="143">
        <f>IFERROR('Price History'!J3+(INDEX('Price History'!J:J,MATCH(9.99E+307,'Returns (Calc)'!$A:$A)+1)-'Price History'!J3)*(ROW()-3)/(MATCH(9.99E+307,'Returns (Calc)'!$A:$A)-3),"")</f>
        <v>128.47784810126581</v>
      </c>
      <c r="AF157" s="143">
        <f>IFERROR('Price History'!K3+(INDEX('Price History'!K:K,MATCH(9.99E+307,'Returns (Calc)'!$A:$A)+1)-'Price History'!K3)*(ROW()-3)/(MATCH(9.99E+307,'Returns (Calc)'!$A:$A)-3),"")</f>
        <v>184.35962025316454</v>
      </c>
      <c r="AG157" s="143">
        <f>IFERROR('Price History'!L3+(INDEX('Price History'!L:L,MATCH(9.99E+307,'Returns (Calc)'!$A:$A)+1)-'Price History'!L3)*(ROW()-3)/(MATCH(9.99E+307,'Returns (Calc)'!$A:$A)-3),"")</f>
        <v>462.98177215189872</v>
      </c>
      <c r="AH157" s="143">
        <f>IFERROR('Price History'!M3+(INDEX('Price History'!M:M,MATCH(9.99E+307,'Returns (Calc)'!$A:$A)+1)-'Price History'!M3)*(ROW()-3)/(MATCH(9.99E+307,'Returns (Calc)'!$A:$A)-3),"")</f>
        <v>246.75822784810128</v>
      </c>
      <c r="AI157" s="143">
        <f>IFERROR('Price History'!N3+(INDEX('Price History'!N:N,MATCH(9.99E+307,'Returns (Calc)'!$A:$A)+1)-'Price History'!N3)*(ROW()-3)/(MATCH(9.99E+307,'Returns (Calc)'!$A:$A)-3),"")</f>
        <v>500.78493670886076</v>
      </c>
      <c r="AJ157" s="143">
        <f>IFERROR('Price History'!O3+(INDEX('Price History'!O:O,MATCH(9.99E+307,'Returns (Calc)'!$A:$A)+1)-'Price History'!O3)*(ROW()-3)/(MATCH(9.99E+307,'Returns (Calc)'!$A:$A)-3),"")</f>
        <v>118.89784810126582</v>
      </c>
      <c r="AK157" s="143">
        <f>IFERROR('Price History'!Q3+(INDEX('Price History'!Q:Q,MATCH(9.99E+307,'Returns (Calc)'!$A:$A)+1)-'Price History'!Q3)*(ROW()-3)/(MATCH(9.99E+307,'Returns (Calc)'!$A:$A)-3),"")</f>
        <v>67.662531645569615</v>
      </c>
      <c r="AL157" s="143">
        <f>IFERROR('Price History'!R3+(INDEX('Price History'!R:R,MATCH(9.99E+307,'Returns (Calc)'!$A:$A)+1)-'Price History'!R3)*(ROW()-3)/(MATCH(9.99E+307,'Returns (Calc)'!$A:$A)-3),"")</f>
        <v>60.367594936708855</v>
      </c>
      <c r="AM157" s="143">
        <f>IFERROR('Price History'!S3+(INDEX('Price History'!S:S,MATCH(9.99E+307,'Returns (Calc)'!$A:$A)+1)-'Price History'!S3)*(ROW()-3)/(MATCH(9.99E+307,'Returns (Calc)'!$A:$A)-3),"")</f>
        <v>150.80974683544304</v>
      </c>
      <c r="AN157" s="143">
        <f>IFERROR('Price History'!T3+(INDEX('Price History'!T:T,MATCH(9.99E+307,'Returns (Calc)'!$A:$A)+1)-'Price History'!T3)*(ROW()-3)/(MATCH(9.99E+307,'Returns (Calc)'!$A:$A)-3),"")</f>
        <v>51.147088607594938</v>
      </c>
      <c r="AO157" s="144">
        <f>IFERROR('Price History'!V3+(INDEX('Price History'!V:V,MATCH(9.99E+307,'Returns (Calc)'!$A:$A)+1)-'Price History'!V3)*(ROW()-3)/(MATCH(9.99E+307,'Returns (Calc)'!$A:$A)-3),"")</f>
        <v>357.49468354430383</v>
      </c>
      <c r="AP157" s="142">
        <f>IFERROR(IF(OR(NOT(ISNUMBER('Price History'!W158)),NOT(ISNUMBER('Price History'!W157)),'Price History'!W157=0),"",'Price History'!W158/'Price History'!W157-1),"")</f>
        <v>-1.224439818783285E-4</v>
      </c>
      <c r="AQ157" s="142">
        <f>IFERROR(IF(OR(NOT(ISNUMBER('Price History'!X158)),NOT(ISNUMBER('Price History'!X157)),'Price History'!X157=0),"",'Price History'!X158/'Price History'!X157-1),"")</f>
        <v>6.5249813571961468E-3</v>
      </c>
      <c r="AR157" s="142">
        <f>IFERROR(IF(OR(NOT(ISNUMBER('Price History'!Y158)),NOT(ISNUMBER('Price History'!Y157)),'Price History'!Y157=0),"",'Price History'!Y158/'Price History'!Y157-1),"")</f>
        <v>-3.5044681969511604E-3</v>
      </c>
      <c r="AS157" s="142">
        <f>IFERROR(IF(OR(NOT(ISNUMBER('Price History'!Z158)),NOT(ISNUMBER('Price History'!Z157)),'Price History'!Z157=0),"",'Price History'!Z158/'Price History'!Z157-1),"")</f>
        <v>-1.5937883122190355E-2</v>
      </c>
      <c r="AT157" s="142">
        <f>IFERROR(IF(OR(NOT(ISNUMBER('Price History'!AA158)),NOT(ISNUMBER('Price History'!AA157)),'Price History'!AA157=0),"",'Price History'!AA158/'Price History'!AA157-1),"")</f>
        <v>-4.2462065589818909E-2</v>
      </c>
    </row>
    <row r="158" spans="1:46" ht="15" customHeight="1" x14ac:dyDescent="0.35">
      <c r="A158" s="140">
        <f>IF('Price History'!A159="","",'Price History'!A159)</f>
        <v>46276</v>
      </c>
      <c r="B158" s="141">
        <f>IFERROR(IF(OR(NOT(ISNUMBER('Price History'!B159)),NOT(ISNUMBER('Price History'!B158)),'Price History'!B158=0),"",'Price History'!B159/'Price History'!B158-1),"")</f>
        <v>-5.3581479118982367E-2</v>
      </c>
      <c r="C158" s="141">
        <f>IFERROR(IF(OR(NOT(ISNUMBER('Price History'!C159)),NOT(ISNUMBER('Price History'!C158)),'Price History'!C158=0),"",'Price History'!C159/'Price History'!C158-1),"")</f>
        <v>2.9982454329652297E-2</v>
      </c>
      <c r="D158" s="141">
        <f>IFERROR(IF(OR(NOT(ISNUMBER('Price History'!D159)),NOT(ISNUMBER('Price History'!D158)),'Price History'!D158=0),"",'Price History'!D159/'Price History'!D158-1),"")</f>
        <v>-9.6683149841388927E-3</v>
      </c>
      <c r="E158" s="141">
        <f>IFERROR(IF(OR(NOT(ISNUMBER('Price History'!E159)),NOT(ISNUMBER('Price History'!E158)),'Price History'!E158=0),"",'Price History'!E159/'Price History'!E158-1),"")</f>
        <v>1.1420573827851666E-2</v>
      </c>
      <c r="F158" s="141">
        <f>IFERROR(IF(OR(NOT(ISNUMBER('Price History'!F159)),NOT(ISNUMBER('Price History'!F158)),'Price History'!F158=0),"",'Price History'!F159/'Price History'!F158-1),"")</f>
        <v>-2.9845143125293183E-2</v>
      </c>
      <c r="G158" s="141">
        <f>IFERROR(IF(OR(NOT(ISNUMBER('Price History'!G159)),NOT(ISNUMBER('Price History'!G158)),'Price History'!G158=0),"",'Price History'!G159/'Price History'!G158-1),"")</f>
        <v>-2.6724137931034564E-2</v>
      </c>
      <c r="H158" s="141">
        <f>IFERROR(IF(OR(NOT(ISNUMBER('Price History'!H159)),NOT(ISNUMBER('Price History'!H158)),'Price History'!H158=0),"",'Price History'!H159/'Price History'!H158-1),"")</f>
        <v>-4.065552484285706E-2</v>
      </c>
      <c r="I158" s="141">
        <f>IFERROR(IF(OR(NOT(ISNUMBER('Price History'!I159)),NOT(ISNUMBER('Price History'!I158)),'Price History'!I158=0),"",'Price History'!I159/'Price History'!I158-1),"")</f>
        <v>-5.1325510647544537E-2</v>
      </c>
      <c r="J158" s="141">
        <f>IFERROR(IF(OR(NOT(ISNUMBER('Price History'!J159)),NOT(ISNUMBER('Price History'!J158)),'Price History'!J158=0),"",'Price History'!J159/'Price History'!J158-1),"")</f>
        <v>-1.1595479230882E-2</v>
      </c>
      <c r="K158" s="141">
        <f>IFERROR(IF(OR(NOT(ISNUMBER('Price History'!K159)),NOT(ISNUMBER('Price History'!K158)),'Price History'!K158=0),"",'Price History'!K159/'Price History'!K158-1),"")</f>
        <v>-4.0727356163597905E-2</v>
      </c>
      <c r="L158" s="141">
        <f>IFERROR(IF(OR(NOT(ISNUMBER('Price History'!L159)),NOT(ISNUMBER('Price History'!L158)),'Price History'!L158=0),"",'Price History'!L159/'Price History'!L158-1),"")</f>
        <v>1.0099121002431266E-2</v>
      </c>
      <c r="M158" s="141">
        <f>IFERROR(IF(OR(NOT(ISNUMBER('Price History'!M159)),NOT(ISNUMBER('Price History'!M158)),'Price History'!M158=0),"",'Price History'!M159/'Price History'!M158-1),"")</f>
        <v>-8.364829209156377E-2</v>
      </c>
      <c r="N158" s="141">
        <f>IFERROR(IF(OR(NOT(ISNUMBER('Price History'!N159)),NOT(ISNUMBER('Price History'!N158)),'Price History'!N158=0),"",'Price History'!N159/'Price History'!N158-1),"")</f>
        <v>-5.6178129348861017E-2</v>
      </c>
      <c r="O158" s="141">
        <f>IFERROR(IF(OR(NOT(ISNUMBER('Price History'!O159)),NOT(ISNUMBER('Price History'!O158)),'Price History'!O158=0),"",'Price History'!O159/'Price History'!O158-1),"")</f>
        <v>-1.5965855200758772E-2</v>
      </c>
      <c r="P158" s="141">
        <f>IFERROR(IF(OR(NOT(ISNUMBER('Price History'!P159)),NOT(ISNUMBER('Price History'!P158)),'Price History'!P158=0),"",'Price History'!P159/'Price History'!P158-1),"")</f>
        <v>-1.1540114173470006E-2</v>
      </c>
      <c r="Q158" s="141">
        <f>IFERROR(IF(OR(NOT(ISNUMBER('Price History'!Q159)),NOT(ISNUMBER('Price History'!Q158)),'Price History'!Q158=0),"",'Price History'!Q159/'Price History'!Q158-1),"")</f>
        <v>-6.8935803532957918E-3</v>
      </c>
      <c r="R158" s="141">
        <f>IFERROR(IF(OR(NOT(ISNUMBER('Price History'!R159)),NOT(ISNUMBER('Price History'!R158)),'Price History'!R158=0),"",'Price History'!R159/'Price History'!R158-1),"")</f>
        <v>-1.5171948752529252E-3</v>
      </c>
      <c r="S158" s="141">
        <f>IFERROR(IF(OR(NOT(ISNUMBER('Price History'!S159)),NOT(ISNUMBER('Price History'!S158)),'Price History'!S158=0),"",'Price History'!S159/'Price History'!S158-1),"")</f>
        <v>-9.4327000267594441E-3</v>
      </c>
      <c r="T158" s="141">
        <f>IFERROR(IF(OR(NOT(ISNUMBER('Price History'!T159)),NOT(ISNUMBER('Price History'!T158)),'Price History'!T158=0),"",'Price History'!T159/'Price History'!T158-1),"")</f>
        <v>-2.3559260601667242E-2</v>
      </c>
      <c r="U158" s="141">
        <f>IFERROR(IF(OR(NOT(ISNUMBER('Price History'!U159)),NOT(ISNUMBER('Price History'!U158)),'Price History'!U158=0),"",'Price History'!U159/'Price History'!U158-1),"")</f>
        <v>-1.9409038238702214E-2</v>
      </c>
      <c r="V158" s="142">
        <f>IFERROR(IF(OR(NOT(ISNUMBER('Price History'!V159)),NOT(ISNUMBER('Price History'!V158)),'Price History'!V158=0),"",'Price History'!V159/'Price History'!V158-1),"")</f>
        <v>-1.2317700695870126E-2</v>
      </c>
      <c r="W158" s="144">
        <f>IFERROR('Price History'!B3+(INDEX('Price History'!B:B,MATCH(9.99E+307,'Returns (Calc)'!$A:$A)+1)-'Price History'!B3)*(ROW()-3)/(MATCH(9.99E+307,'Returns (Calc)'!$A:$A)-3),"")</f>
        <v>243.21911392405065</v>
      </c>
      <c r="X158" s="144">
        <f>IFERROR('Price History'!C3+(INDEX('Price History'!C:C,MATCH(9.99E+307,'Returns (Calc)'!$A:$A)+1)-'Price History'!C3)*(ROW()-3)/(MATCH(9.99E+307,'Returns (Calc)'!$A:$A)-3),"")</f>
        <v>204.28981012658227</v>
      </c>
      <c r="Y158" s="144">
        <f>IFERROR('Price History'!D3+(INDEX('Price History'!D:D,MATCH(9.99E+307,'Returns (Calc)'!$A:$A)+1)-'Price History'!D3)*(ROW()-3)/(MATCH(9.99E+307,'Returns (Calc)'!$A:$A)-3),"")</f>
        <v>1842.9055696202531</v>
      </c>
      <c r="Z158" s="144">
        <f>IFERROR('Price History'!E3+(INDEX('Price History'!E:E,MATCH(9.99E+307,'Returns (Calc)'!$A:$A)+1)-'Price History'!E3)*(ROW()-3)/(MATCH(9.99E+307,'Returns (Calc)'!$A:$A)-3),"")</f>
        <v>349.95379746835442</v>
      </c>
      <c r="AA158" s="144">
        <f>IFERROR('Price History'!F3+(INDEX('Price History'!F:F,MATCH(9.99E+307,'Returns (Calc)'!$A:$A)+1)-'Price History'!F3)*(ROW()-3)/(MATCH(9.99E+307,'Returns (Calc)'!$A:$A)-3),"")</f>
        <v>265.69797468354432</v>
      </c>
      <c r="AB158" s="144">
        <f>IFERROR('Price History'!G3+(INDEX('Price History'!G:G,MATCH(9.99E+307,'Returns (Calc)'!$A:$A)+1)-'Price History'!G3)*(ROW()-3)/(MATCH(9.99E+307,'Returns (Calc)'!$A:$A)-3),"")</f>
        <v>203.80379746835442</v>
      </c>
      <c r="AC158" s="144">
        <f>IFERROR('Price History'!H3+(INDEX('Price History'!H:H,MATCH(9.99E+307,'Returns (Calc)'!$A:$A)+1)-'Price History'!H3)*(ROW()-3)/(MATCH(9.99E+307,'Returns (Calc)'!$A:$A)-3),"")</f>
        <v>1055.7929113924051</v>
      </c>
      <c r="AD158" s="144">
        <f>IFERROR('Price History'!I3+(INDEX('Price History'!I:I,MATCH(9.99E+307,'Returns (Calc)'!$A:$A)+1)-'Price History'!I3)*(ROW()-3)/(MATCH(9.99E+307,'Returns (Calc)'!$A:$A)-3),"")</f>
        <v>230.33898734177214</v>
      </c>
      <c r="AE158" s="144">
        <f>IFERROR('Price History'!J3+(INDEX('Price History'!J:J,MATCH(9.99E+307,'Returns (Calc)'!$A:$A)+1)-'Price History'!J3)*(ROW()-3)/(MATCH(9.99E+307,'Returns (Calc)'!$A:$A)-3),"")</f>
        <v>128.58588607594936</v>
      </c>
      <c r="AF158" s="144">
        <f>IFERROR('Price History'!K3+(INDEX('Price History'!K:K,MATCH(9.99E+307,'Returns (Calc)'!$A:$A)+1)-'Price History'!K3)*(ROW()-3)/(MATCH(9.99E+307,'Returns (Calc)'!$A:$A)-3),"")</f>
        <v>185.45721518987341</v>
      </c>
      <c r="AG158" s="144">
        <f>IFERROR('Price History'!L3+(INDEX('Price History'!L:L,MATCH(9.99E+307,'Returns (Calc)'!$A:$A)+1)-'Price History'!L3)*(ROW()-3)/(MATCH(9.99E+307,'Returns (Calc)'!$A:$A)-3),"")</f>
        <v>465.43132911392399</v>
      </c>
      <c r="AH158" s="144">
        <f>IFERROR('Price History'!M3+(INDEX('Price History'!M:M,MATCH(9.99E+307,'Returns (Calc)'!$A:$A)+1)-'Price History'!M3)*(ROW()-3)/(MATCH(9.99E+307,'Returns (Calc)'!$A:$A)-3),"")</f>
        <v>248.11367088607597</v>
      </c>
      <c r="AI158" s="144">
        <f>IFERROR('Price History'!N3+(INDEX('Price History'!N:N,MATCH(9.99E+307,'Returns (Calc)'!$A:$A)+1)-'Price History'!N3)*(ROW()-3)/(MATCH(9.99E+307,'Returns (Calc)'!$A:$A)-3),"")</f>
        <v>501.7712025316456</v>
      </c>
      <c r="AJ158" s="144">
        <f>IFERROR('Price History'!O3+(INDEX('Price History'!O:O,MATCH(9.99E+307,'Returns (Calc)'!$A:$A)+1)-'Price History'!O3)*(ROW()-3)/(MATCH(9.99E+307,'Returns (Calc)'!$A:$A)-3),"")</f>
        <v>119.18088607594936</v>
      </c>
      <c r="AK158" s="144">
        <f>IFERROR('Price History'!Q3+(INDEX('Price History'!Q:Q,MATCH(9.99E+307,'Returns (Calc)'!$A:$A)+1)-'Price History'!Q3)*(ROW()-3)/(MATCH(9.99E+307,'Returns (Calc)'!$A:$A)-3),"")</f>
        <v>68.101898734177212</v>
      </c>
      <c r="AL158" s="144">
        <f>IFERROR('Price History'!R3+(INDEX('Price History'!R:R,MATCH(9.99E+307,'Returns (Calc)'!$A:$A)+1)-'Price History'!R3)*(ROW()-3)/(MATCH(9.99E+307,'Returns (Calc)'!$A:$A)-3),"")</f>
        <v>60.535696202531639</v>
      </c>
      <c r="AM158" s="144">
        <f>IFERROR('Price History'!S3+(INDEX('Price History'!S:S,MATCH(9.99E+307,'Returns (Calc)'!$A:$A)+1)-'Price History'!S3)*(ROW()-3)/(MATCH(9.99E+307,'Returns (Calc)'!$A:$A)-3),"")</f>
        <v>151.41481012658227</v>
      </c>
      <c r="AN158" s="144">
        <f>IFERROR('Price History'!T3+(INDEX('Price History'!T:T,MATCH(9.99E+307,'Returns (Calc)'!$A:$A)+1)-'Price History'!T3)*(ROW()-3)/(MATCH(9.99E+307,'Returns (Calc)'!$A:$A)-3),"")</f>
        <v>51.315316455696205</v>
      </c>
      <c r="AO158" s="144">
        <f>IFERROR('Price History'!V3+(INDEX('Price History'!V:V,MATCH(9.99E+307,'Returns (Calc)'!$A:$A)+1)-'Price History'!V3)*(ROW()-3)/(MATCH(9.99E+307,'Returns (Calc)'!$A:$A)-3),"")</f>
        <v>358.28601265822789</v>
      </c>
      <c r="AP158" s="142">
        <f>IFERROR(IF(OR(NOT(ISNUMBER('Price History'!W159)),NOT(ISNUMBER('Price History'!W158)),'Price History'!W158=0),"",'Price History'!W159/'Price History'!W158-1),"")</f>
        <v>-7.959833455792209E-3</v>
      </c>
      <c r="AQ158" s="142">
        <f>IFERROR(IF(OR(NOT(ISNUMBER('Price History'!X159)),NOT(ISNUMBER('Price History'!X158)),'Price History'!X158=0),"",'Price History'!X159/'Price History'!X158-1),"")</f>
        <v>-1.1668827560659456E-2</v>
      </c>
      <c r="AR158" s="142">
        <f>IFERROR(IF(OR(NOT(ISNUMBER('Price History'!Y159)),NOT(ISNUMBER('Price History'!Y158)),'Price History'!Y158=0),"",'Price History'!Y159/'Price History'!Y158-1),"")</f>
        <v>-9.8470195181993292E-3</v>
      </c>
      <c r="AS158" s="142">
        <f>IFERROR(IF(OR(NOT(ISNUMBER('Price History'!Z159)),NOT(ISNUMBER('Price History'!Z158)),'Price History'!Z158=0),"",'Price History'!Z159/'Price History'!Z158-1),"")</f>
        <v>-3.9926435690555206E-2</v>
      </c>
      <c r="AT158" s="142">
        <f>IFERROR(IF(OR(NOT(ISNUMBER('Price History'!AA159)),NOT(ISNUMBER('Price History'!AA158)),'Price History'!AA158=0),"",'Price History'!AA159/'Price History'!AA158-1),"")</f>
        <v>-1.0862619808306606E-2</v>
      </c>
    </row>
    <row r="159" spans="1:46" ht="15" customHeight="1" x14ac:dyDescent="0.35">
      <c r="A159" s="140">
        <f>IF('Price History'!A160="","",'Price History'!A160)</f>
        <v>46283</v>
      </c>
      <c r="B159" s="141">
        <f>IFERROR(IF(OR(NOT(ISNUMBER('Price History'!B160)),NOT(ISNUMBER('Price History'!B159)),'Price History'!B159=0),"",'Price History'!B160/'Price History'!B159-1),"")</f>
        <v>-1.312294334535935E-2</v>
      </c>
      <c r="C159" s="141">
        <f>IFERROR(IF(OR(NOT(ISNUMBER('Price History'!C160)),NOT(ISNUMBER('Price History'!C159)),'Price History'!C159=0),"",'Price History'!C160/'Price History'!C159-1),"")</f>
        <v>-1.0020542111328634E-3</v>
      </c>
      <c r="D159" s="141">
        <f>IFERROR(IF(OR(NOT(ISNUMBER('Price History'!D160)),NOT(ISNUMBER('Price History'!D159)),'Price History'!D159=0),"",'Price History'!D160/'Price History'!D159-1),"")</f>
        <v>-1.0822587293175423E-2</v>
      </c>
      <c r="E159" s="141">
        <f>IFERROR(IF(OR(NOT(ISNUMBER('Price History'!E160)),NOT(ISNUMBER('Price History'!E159)),'Price History'!E159=0),"",'Price History'!E160/'Price History'!E159-1),"")</f>
        <v>-1.2094207511139432E-2</v>
      </c>
      <c r="F159" s="141">
        <f>IFERROR(IF(OR(NOT(ISNUMBER('Price History'!F160)),NOT(ISNUMBER('Price History'!F159)),'Price History'!F159=0),"",'Price History'!F160/'Price History'!F159-1),"")</f>
        <v>0.14951146367418011</v>
      </c>
      <c r="G159" s="141">
        <f>IFERROR(IF(OR(NOT(ISNUMBER('Price History'!G160)),NOT(ISNUMBER('Price History'!G159)),'Price History'!G159=0),"",'Price History'!G160/'Price History'!G159-1),"")</f>
        <v>-2.020593445527008E-2</v>
      </c>
      <c r="H159" s="141">
        <f>IFERROR(IF(OR(NOT(ISNUMBER('Price History'!H160)),NOT(ISNUMBER('Price History'!H159)),'Price History'!H159=0),"",'Price History'!H160/'Price History'!H159-1),"")</f>
        <v>4.1568402272214477E-2</v>
      </c>
      <c r="I159" s="141">
        <f>IFERROR(IF(OR(NOT(ISNUMBER('Price History'!I160)),NOT(ISNUMBER('Price History'!I159)),'Price History'!I159=0),"",'Price History'!I160/'Price History'!I159-1),"")</f>
        <v>1.8232626322781664E-2</v>
      </c>
      <c r="J159" s="141">
        <f>IFERROR(IF(OR(NOT(ISNUMBER('Price History'!J160)),NOT(ISNUMBER('Price History'!J159)),'Price History'!J159=0),"",'Price History'!J160/'Price History'!J159-1),"")</f>
        <v>1.1880011880012198E-3</v>
      </c>
      <c r="K159" s="141">
        <f>IFERROR(IF(OR(NOT(ISNUMBER('Price History'!K160)),NOT(ISNUMBER('Price History'!K159)),'Price History'!K159=0),"",'Price History'!K160/'Price History'!K159-1),"")</f>
        <v>6.2249596364288617E-2</v>
      </c>
      <c r="L159" s="141">
        <f>IFERROR(IF(OR(NOT(ISNUMBER('Price History'!L160)),NOT(ISNUMBER('Price History'!L159)),'Price History'!L159=0),"",'Price History'!L160/'Price History'!L159-1),"")</f>
        <v>5.9942603221625479E-3</v>
      </c>
      <c r="M159" s="141">
        <f>IFERROR(IF(OR(NOT(ISNUMBER('Price History'!M160)),NOT(ISNUMBER('Price History'!M159)),'Price History'!M159=0),"",'Price History'!M160/'Price History'!M159-1),"")</f>
        <v>-2.9610894941634269E-2</v>
      </c>
      <c r="N159" s="141">
        <f>IFERROR(IF(OR(NOT(ISNUMBER('Price History'!N160)),NOT(ISNUMBER('Price History'!N159)),'Price History'!N159=0),"",'Price History'!N160/'Price History'!N159-1),"")</f>
        <v>-1.3774639143256384E-2</v>
      </c>
      <c r="O159" s="141">
        <f>IFERROR(IF(OR(NOT(ISNUMBER('Price History'!O160)),NOT(ISNUMBER('Price History'!O159)),'Price History'!O159=0),"",'Price History'!O160/'Price History'!O159-1),"")</f>
        <v>-2.0401606425702878E-2</v>
      </c>
      <c r="P159" s="141">
        <f>IFERROR(IF(OR(NOT(ISNUMBER('Price History'!P160)),NOT(ISNUMBER('Price History'!P159)),'Price History'!P159=0),"",'Price History'!P160/'Price History'!P159-1),"")</f>
        <v>-1.7325964106067127E-2</v>
      </c>
      <c r="Q159" s="141">
        <f>IFERROR(IF(OR(NOT(ISNUMBER('Price History'!Q160)),NOT(ISNUMBER('Price History'!Q159)),'Price History'!Q159=0),"",'Price History'!Q160/'Price History'!Q159-1),"")</f>
        <v>-2.3138105567608314E-3</v>
      </c>
      <c r="R159" s="141">
        <f>IFERROR(IF(OR(NOT(ISNUMBER('Price History'!R160)),NOT(ISNUMBER('Price History'!R159)),'Price History'!R159=0),"",'Price History'!R160/'Price History'!R159-1),"")</f>
        <v>7.5975012662503616E-3</v>
      </c>
      <c r="S159" s="141">
        <f>IFERROR(IF(OR(NOT(ISNUMBER('Price History'!S160)),NOT(ISNUMBER('Price History'!S159)),'Price History'!S159=0),"",'Price History'!S160/'Price History'!S159-1),"")</f>
        <v>6.0782062537989567E-3</v>
      </c>
      <c r="T159" s="141">
        <f>IFERROR(IF(OR(NOT(ISNUMBER('Price History'!T160)),NOT(ISNUMBER('Price History'!T159)),'Price History'!T159=0),"",'Price History'!T160/'Price History'!T159-1),"")</f>
        <v>-1.6332590942836012E-2</v>
      </c>
      <c r="U159" s="141">
        <f>IFERROR(IF(OR(NOT(ISNUMBER('Price History'!U160)),NOT(ISNUMBER('Price History'!U159)),'Price History'!U159=0),"",'Price History'!U160/'Price History'!U159-1),"")</f>
        <v>-1.2998522895125708E-2</v>
      </c>
      <c r="V159" s="142">
        <f>IFERROR(IF(OR(NOT(ISNUMBER('Price History'!V160)),NOT(ISNUMBER('Price History'!V159)),'Price History'!V159=0),"",'Price History'!V160/'Price History'!V159-1),"")</f>
        <v>-5.8307463895261868E-3</v>
      </c>
      <c r="W159" s="144">
        <f>IFERROR('Price History'!B3+(INDEX('Price History'!B:B,MATCH(9.99E+307,'Returns (Calc)'!$A:$A)+1)-'Price History'!B3)*(ROW()-3)/(MATCH(9.99E+307,'Returns (Calc)'!$A:$A)-3),"")</f>
        <v>241.37607594936708</v>
      </c>
      <c r="X159" s="144">
        <f>IFERROR('Price History'!C3+(INDEX('Price History'!C:C,MATCH(9.99E+307,'Returns (Calc)'!$A:$A)+1)-'Price History'!C3)*(ROW()-3)/(MATCH(9.99E+307,'Returns (Calc)'!$A:$A)-3),"")</f>
        <v>205.30987341772152</v>
      </c>
      <c r="Y159" s="144">
        <f>IFERROR('Price History'!D3+(INDEX('Price History'!D:D,MATCH(9.99E+307,'Returns (Calc)'!$A:$A)+1)-'Price History'!D3)*(ROW()-3)/(MATCH(9.99E+307,'Returns (Calc)'!$A:$A)-3),"")</f>
        <v>1851.0403797468355</v>
      </c>
      <c r="Z159" s="144">
        <f>IFERROR('Price History'!E3+(INDEX('Price History'!E:E,MATCH(9.99E+307,'Returns (Calc)'!$A:$A)+1)-'Price History'!E3)*(ROW()-3)/(MATCH(9.99E+307,'Returns (Calc)'!$A:$A)-3),"")</f>
        <v>351.68253164556961</v>
      </c>
      <c r="AA159" s="144">
        <f>IFERROR('Price History'!F3+(INDEX('Price History'!F:F,MATCH(9.99E+307,'Returns (Calc)'!$A:$A)+1)-'Price History'!F3)*(ROW()-3)/(MATCH(9.99E+307,'Returns (Calc)'!$A:$A)-3),"")</f>
        <v>267.14531645569622</v>
      </c>
      <c r="AB159" s="144">
        <f>IFERROR('Price History'!G3+(INDEX('Price History'!G:G,MATCH(9.99E+307,'Returns (Calc)'!$A:$A)+1)-'Price History'!G3)*(ROW()-3)/(MATCH(9.99E+307,'Returns (Calc)'!$A:$A)-3),"")</f>
        <v>204.83253164556959</v>
      </c>
      <c r="AC159" s="144">
        <f>IFERROR('Price History'!H3+(INDEX('Price History'!H:H,MATCH(9.99E+307,'Returns (Calc)'!$A:$A)+1)-'Price History'!H3)*(ROW()-3)/(MATCH(9.99E+307,'Returns (Calc)'!$A:$A)-3),"")</f>
        <v>1062.1586075949367</v>
      </c>
      <c r="AD159" s="144">
        <f>IFERROR('Price History'!I3+(INDEX('Price History'!I:I,MATCH(9.99E+307,'Returns (Calc)'!$A:$A)+1)-'Price History'!I3)*(ROW()-3)/(MATCH(9.99E+307,'Returns (Calc)'!$A:$A)-3),"")</f>
        <v>231.54265822784811</v>
      </c>
      <c r="AE159" s="144">
        <f>IFERROR('Price History'!J3+(INDEX('Price History'!J:J,MATCH(9.99E+307,'Returns (Calc)'!$A:$A)+1)-'Price History'!J3)*(ROW()-3)/(MATCH(9.99E+307,'Returns (Calc)'!$A:$A)-3),"")</f>
        <v>128.69392405063292</v>
      </c>
      <c r="AF159" s="144">
        <f>IFERROR('Price History'!K3+(INDEX('Price History'!K:K,MATCH(9.99E+307,'Returns (Calc)'!$A:$A)+1)-'Price History'!K3)*(ROW()-3)/(MATCH(9.99E+307,'Returns (Calc)'!$A:$A)-3),"")</f>
        <v>186.55481012658228</v>
      </c>
      <c r="AG159" s="144">
        <f>IFERROR('Price History'!L3+(INDEX('Price History'!L:L,MATCH(9.99E+307,'Returns (Calc)'!$A:$A)+1)-'Price History'!L3)*(ROW()-3)/(MATCH(9.99E+307,'Returns (Calc)'!$A:$A)-3),"")</f>
        <v>467.88088607594932</v>
      </c>
      <c r="AH159" s="144">
        <f>IFERROR('Price History'!M3+(INDEX('Price History'!M:M,MATCH(9.99E+307,'Returns (Calc)'!$A:$A)+1)-'Price History'!M3)*(ROW()-3)/(MATCH(9.99E+307,'Returns (Calc)'!$A:$A)-3),"")</f>
        <v>249.46911392405065</v>
      </c>
      <c r="AI159" s="144">
        <f>IFERROR('Price History'!N3+(INDEX('Price History'!N:N,MATCH(9.99E+307,'Returns (Calc)'!$A:$A)+1)-'Price History'!N3)*(ROW()-3)/(MATCH(9.99E+307,'Returns (Calc)'!$A:$A)-3),"")</f>
        <v>502.75746835443039</v>
      </c>
      <c r="AJ159" s="144">
        <f>IFERROR('Price History'!O3+(INDEX('Price History'!O:O,MATCH(9.99E+307,'Returns (Calc)'!$A:$A)+1)-'Price History'!O3)*(ROW()-3)/(MATCH(9.99E+307,'Returns (Calc)'!$A:$A)-3),"")</f>
        <v>119.46392405063291</v>
      </c>
      <c r="AK159" s="144">
        <f>IFERROR('Price History'!Q3+(INDEX('Price History'!Q:Q,MATCH(9.99E+307,'Returns (Calc)'!$A:$A)+1)-'Price History'!Q3)*(ROW()-3)/(MATCH(9.99E+307,'Returns (Calc)'!$A:$A)-3),"")</f>
        <v>68.541265822784808</v>
      </c>
      <c r="AL159" s="144">
        <f>IFERROR('Price History'!R3+(INDEX('Price History'!R:R,MATCH(9.99E+307,'Returns (Calc)'!$A:$A)+1)-'Price History'!R3)*(ROW()-3)/(MATCH(9.99E+307,'Returns (Calc)'!$A:$A)-3),"")</f>
        <v>60.703797468354431</v>
      </c>
      <c r="AM159" s="144">
        <f>IFERROR('Price History'!S3+(INDEX('Price History'!S:S,MATCH(9.99E+307,'Returns (Calc)'!$A:$A)+1)-'Price History'!S3)*(ROW()-3)/(MATCH(9.99E+307,'Returns (Calc)'!$A:$A)-3),"")</f>
        <v>152.0198734177215</v>
      </c>
      <c r="AN159" s="144">
        <f>IFERROR('Price History'!T3+(INDEX('Price History'!T:T,MATCH(9.99E+307,'Returns (Calc)'!$A:$A)+1)-'Price History'!T3)*(ROW()-3)/(MATCH(9.99E+307,'Returns (Calc)'!$A:$A)-3),"")</f>
        <v>51.483544303797473</v>
      </c>
      <c r="AO159" s="144">
        <f>IFERROR('Price History'!V3+(INDEX('Price History'!V:V,MATCH(9.99E+307,'Returns (Calc)'!$A:$A)+1)-'Price History'!V3)*(ROW()-3)/(MATCH(9.99E+307,'Returns (Calc)'!$A:$A)-3),"")</f>
        <v>359.07734177215195</v>
      </c>
      <c r="AP159" s="142">
        <f>IFERROR(IF(OR(NOT(ISNUMBER('Price History'!W160)),NOT(ISNUMBER('Price History'!W159)),'Price History'!W159=0),"",'Price History'!W160/'Price History'!W159-1),"")</f>
        <v>-1.7034933958770648E-2</v>
      </c>
      <c r="AQ159" s="142">
        <f>IFERROR(IF(OR(NOT(ISNUMBER('Price History'!X160)),NOT(ISNUMBER('Price History'!X159)),'Price History'!X159=0),"",'Price History'!X160/'Price History'!X159-1),"")</f>
        <v>-1.0307346326836497E-2</v>
      </c>
      <c r="AR159" s="142">
        <f>IFERROR(IF(OR(NOT(ISNUMBER('Price History'!Y160)),NOT(ISNUMBER('Price History'!Y159)),'Price History'!Y159=0),"",'Price History'!Y160/'Price History'!Y159-1),"")</f>
        <v>-7.2811223583733042E-3</v>
      </c>
      <c r="AS159" s="142">
        <f>IFERROR(IF(OR(NOT(ISNUMBER('Price History'!Z160)),NOT(ISNUMBER('Price History'!Z159)),'Price History'!Z159=0),"",'Price History'!Z160/'Price History'!Z159-1),"")</f>
        <v>-2.9011926095285356E-2</v>
      </c>
      <c r="AT159" s="142">
        <f>IFERROR(IF(OR(NOT(ISNUMBER('Price History'!AA160)),NOT(ISNUMBER('Price History'!AA159)),'Price History'!AA159=0),"",'Price History'!AA160/'Price History'!AA159-1),"")</f>
        <v>-7.2480620155038755E-2</v>
      </c>
    </row>
    <row r="160" spans="1:46" ht="15" customHeight="1" x14ac:dyDescent="0.35">
      <c r="A160" s="140">
        <f>IF('Price History'!A161="","",'Price History'!A161)</f>
        <v>46290</v>
      </c>
      <c r="B160" s="141">
        <f>IFERROR(IF(OR(NOT(ISNUMBER('Price History'!B161)),NOT(ISNUMBER('Price History'!B160)),'Price History'!B160=0),"",'Price History'!B161/'Price History'!B160-1),"")</f>
        <v>-5.4033424393379326E-2</v>
      </c>
      <c r="C160" s="141">
        <f>IFERROR(IF(OR(NOT(ISNUMBER('Price History'!C161)),NOT(ISNUMBER('Price History'!C160)),'Price History'!C160=0),"",'Price History'!C161/'Price History'!C160-1),"")</f>
        <v>3.5909524048347574E-2</v>
      </c>
      <c r="D160" s="141">
        <f>IFERROR(IF(OR(NOT(ISNUMBER('Price History'!D161)),NOT(ISNUMBER('Price History'!D160)),'Price History'!D160=0),"",'Price History'!D161/'Price History'!D160-1),"")</f>
        <v>3.810895756940802E-2</v>
      </c>
      <c r="E160" s="141">
        <f>IFERROR(IF(OR(NOT(ISNUMBER('Price History'!E161)),NOT(ISNUMBER('Price History'!E160)),'Price History'!E160=0),"",'Price History'!E161/'Price History'!E160-1),"")</f>
        <v>-1.1625952487673619E-2</v>
      </c>
      <c r="F160" s="141">
        <f>IFERROR(IF(OR(NOT(ISNUMBER('Price History'!F161)),NOT(ISNUMBER('Price History'!F160)),'Price History'!F160=0),"",'Price History'!F161/'Price History'!F160-1),"")</f>
        <v>6.0929938985903487E-2</v>
      </c>
      <c r="G160" s="141">
        <f>IFERROR(IF(OR(NOT(ISNUMBER('Price History'!G161)),NOT(ISNUMBER('Price History'!G160)),'Price History'!G160=0),"",'Price History'!G161/'Price History'!G160-1),"")</f>
        <v>6.175490140685902E-2</v>
      </c>
      <c r="H160" s="141">
        <f>IFERROR(IF(OR(NOT(ISNUMBER('Price History'!H161)),NOT(ISNUMBER('Price History'!H160)),'Price History'!H160=0),"",'Price History'!H161/'Price History'!H160-1),"")</f>
        <v>6.5445953927938616E-2</v>
      </c>
      <c r="I160" s="141">
        <f>IFERROR(IF(OR(NOT(ISNUMBER('Price History'!I161)),NOT(ISNUMBER('Price History'!I160)),'Price History'!I160=0),"",'Price History'!I161/'Price History'!I160-1),"")</f>
        <v>1.2597291582309822E-2</v>
      </c>
      <c r="J160" s="141">
        <f>IFERROR(IF(OR(NOT(ISNUMBER('Price History'!J161)),NOT(ISNUMBER('Price History'!J160)),'Price History'!J160=0),"",'Price History'!J161/'Price History'!J160-1),"")</f>
        <v>-1.3274992583802936E-2</v>
      </c>
      <c r="K160" s="141">
        <f>IFERROR(IF(OR(NOT(ISNUMBER('Price History'!K161)),NOT(ISNUMBER('Price History'!K160)),'Price History'!K160=0),"",'Price History'!K161/'Price History'!K160-1),"")</f>
        <v>6.772123395631624E-2</v>
      </c>
      <c r="L160" s="141">
        <f>IFERROR(IF(OR(NOT(ISNUMBER('Price History'!L161)),NOT(ISNUMBER('Price History'!L160)),'Price History'!L160=0),"",'Price History'!L161/'Price History'!L160-1),"")</f>
        <v>3.667149791796076E-2</v>
      </c>
      <c r="M160" s="141">
        <f>IFERROR(IF(OR(NOT(ISNUMBER('Price History'!M161)),NOT(ISNUMBER('Price History'!M160)),'Price History'!M160=0),"",'Price History'!M161/'Price History'!M160-1),"")</f>
        <v>1.5598059264605668E-2</v>
      </c>
      <c r="N160" s="141">
        <f>IFERROR(IF(OR(NOT(ISNUMBER('Price History'!N161)),NOT(ISNUMBER('Price History'!N160)),'Price History'!N160=0),"",'Price History'!N161/'Price History'!N160-1),"")</f>
        <v>3.5114293583035083E-2</v>
      </c>
      <c r="O160" s="141">
        <f>IFERROR(IF(OR(NOT(ISNUMBER('Price History'!O161)),NOT(ISNUMBER('Price History'!O160)),'Price History'!O160=0),"",'Price History'!O161/'Price History'!O160-1),"")</f>
        <v>-1.2709084945883853E-2</v>
      </c>
      <c r="P160" s="141">
        <f>IFERROR(IF(OR(NOT(ISNUMBER('Price History'!P161)),NOT(ISNUMBER('Price History'!P160)),'Price History'!P160=0),"",'Price History'!P161/'Price History'!P160-1),"")</f>
        <v>-2.2181496461071926E-2</v>
      </c>
      <c r="Q160" s="141">
        <f>IFERROR(IF(OR(NOT(ISNUMBER('Price History'!Q161)),NOT(ISNUMBER('Price History'!Q160)),'Price History'!Q160=0),"",'Price History'!Q161/'Price History'!Q160-1),"")</f>
        <v>8.5519640527613738E-3</v>
      </c>
      <c r="R160" s="141">
        <f>IFERROR(IF(OR(NOT(ISNUMBER('Price History'!R161)),NOT(ISNUMBER('Price History'!R160)),'Price History'!R160=0),"",'Price History'!R161/'Price History'!R160-1),"")</f>
        <v>1.6588471849865893E-2</v>
      </c>
      <c r="S160" s="141">
        <f>IFERROR(IF(OR(NOT(ISNUMBER('Price History'!S161)),NOT(ISNUMBER('Price History'!S160)),'Price History'!S160=0),"",'Price History'!S161/'Price History'!S160-1),"")</f>
        <v>2.6515405786399882E-2</v>
      </c>
      <c r="T160" s="141">
        <f>IFERROR(IF(OR(NOT(ISNUMBER('Price History'!T161)),NOT(ISNUMBER('Price History'!T160)),'Price History'!T160=0),"",'Price History'!T161/'Price History'!T160-1),"")</f>
        <v>-2.6415094339622636E-2</v>
      </c>
      <c r="U160" s="141">
        <f>IFERROR(IF(OR(NOT(ISNUMBER('Price History'!U161)),NOT(ISNUMBER('Price History'!U160)),'Price History'!U160=0),"",'Price History'!U161/'Price History'!U160-1),"")</f>
        <v>-5.986231667165387E-3</v>
      </c>
      <c r="V160" s="142">
        <f>IFERROR(IF(OR(NOT(ISNUMBER('Price History'!V161)),NOT(ISNUMBER('Price History'!V160)),'Price History'!V160=0),"",'Price History'!V161/'Price History'!V160-1),"")</f>
        <v>-2.4708789269326514E-3</v>
      </c>
      <c r="W160" s="144">
        <f>IFERROR('Price History'!B3+(INDEX('Price History'!B:B,MATCH(9.99E+307,'Returns (Calc)'!$A:$A)+1)-'Price History'!B3)*(ROW()-3)/(MATCH(9.99E+307,'Returns (Calc)'!$A:$A)-3),"")</f>
        <v>239.53303797468351</v>
      </c>
      <c r="X160" s="144">
        <f>IFERROR('Price History'!C3+(INDEX('Price History'!C:C,MATCH(9.99E+307,'Returns (Calc)'!$A:$A)+1)-'Price History'!C3)*(ROW()-3)/(MATCH(9.99E+307,'Returns (Calc)'!$A:$A)-3),"")</f>
        <v>206.32993670886077</v>
      </c>
      <c r="Y160" s="144">
        <f>IFERROR('Price History'!D3+(INDEX('Price History'!D:D,MATCH(9.99E+307,'Returns (Calc)'!$A:$A)+1)-'Price History'!D3)*(ROW()-3)/(MATCH(9.99E+307,'Returns (Calc)'!$A:$A)-3),"")</f>
        <v>1859.1751898734178</v>
      </c>
      <c r="Z160" s="144">
        <f>IFERROR('Price History'!E3+(INDEX('Price History'!E:E,MATCH(9.99E+307,'Returns (Calc)'!$A:$A)+1)-'Price History'!E3)*(ROW()-3)/(MATCH(9.99E+307,'Returns (Calc)'!$A:$A)-3),"")</f>
        <v>353.4112658227848</v>
      </c>
      <c r="AA160" s="144">
        <f>IFERROR('Price History'!F3+(INDEX('Price History'!F:F,MATCH(9.99E+307,'Returns (Calc)'!$A:$A)+1)-'Price History'!F3)*(ROW()-3)/(MATCH(9.99E+307,'Returns (Calc)'!$A:$A)-3),"")</f>
        <v>268.59265822784812</v>
      </c>
      <c r="AB160" s="144">
        <f>IFERROR('Price History'!G3+(INDEX('Price History'!G:G,MATCH(9.99E+307,'Returns (Calc)'!$A:$A)+1)-'Price History'!G3)*(ROW()-3)/(MATCH(9.99E+307,'Returns (Calc)'!$A:$A)-3),"")</f>
        <v>205.86126582278479</v>
      </c>
      <c r="AC160" s="144">
        <f>IFERROR('Price History'!H3+(INDEX('Price History'!H:H,MATCH(9.99E+307,'Returns (Calc)'!$A:$A)+1)-'Price History'!H3)*(ROW()-3)/(MATCH(9.99E+307,'Returns (Calc)'!$A:$A)-3),"")</f>
        <v>1068.5243037974685</v>
      </c>
      <c r="AD160" s="144">
        <f>IFERROR('Price History'!I3+(INDEX('Price History'!I:I,MATCH(9.99E+307,'Returns (Calc)'!$A:$A)+1)-'Price History'!I3)*(ROW()-3)/(MATCH(9.99E+307,'Returns (Calc)'!$A:$A)-3),"")</f>
        <v>232.74632911392405</v>
      </c>
      <c r="AE160" s="144">
        <f>IFERROR('Price History'!J3+(INDEX('Price History'!J:J,MATCH(9.99E+307,'Returns (Calc)'!$A:$A)+1)-'Price History'!J3)*(ROW()-3)/(MATCH(9.99E+307,'Returns (Calc)'!$A:$A)-3),"")</f>
        <v>128.80196202531644</v>
      </c>
      <c r="AF160" s="144">
        <f>IFERROR('Price History'!K3+(INDEX('Price History'!K:K,MATCH(9.99E+307,'Returns (Calc)'!$A:$A)+1)-'Price History'!K3)*(ROW()-3)/(MATCH(9.99E+307,'Returns (Calc)'!$A:$A)-3),"")</f>
        <v>187.65240506329116</v>
      </c>
      <c r="AG160" s="144">
        <f>IFERROR('Price History'!L3+(INDEX('Price History'!L:L,MATCH(9.99E+307,'Returns (Calc)'!$A:$A)+1)-'Price History'!L3)*(ROW()-3)/(MATCH(9.99E+307,'Returns (Calc)'!$A:$A)-3),"")</f>
        <v>470.3304430379747</v>
      </c>
      <c r="AH160" s="144">
        <f>IFERROR('Price History'!M3+(INDEX('Price History'!M:M,MATCH(9.99E+307,'Returns (Calc)'!$A:$A)+1)-'Price History'!M3)*(ROW()-3)/(MATCH(9.99E+307,'Returns (Calc)'!$A:$A)-3),"")</f>
        <v>250.82455696202535</v>
      </c>
      <c r="AI160" s="144">
        <f>IFERROR('Price History'!N3+(INDEX('Price History'!N:N,MATCH(9.99E+307,'Returns (Calc)'!$A:$A)+1)-'Price History'!N3)*(ROW()-3)/(MATCH(9.99E+307,'Returns (Calc)'!$A:$A)-3),"")</f>
        <v>503.74373417721517</v>
      </c>
      <c r="AJ160" s="144">
        <f>IFERROR('Price History'!O3+(INDEX('Price History'!O:O,MATCH(9.99E+307,'Returns (Calc)'!$A:$A)+1)-'Price History'!O3)*(ROW()-3)/(MATCH(9.99E+307,'Returns (Calc)'!$A:$A)-3),"")</f>
        <v>119.74696202531646</v>
      </c>
      <c r="AK160" s="144">
        <f>IFERROR('Price History'!Q3+(INDEX('Price History'!Q:Q,MATCH(9.99E+307,'Returns (Calc)'!$A:$A)+1)-'Price History'!Q3)*(ROW()-3)/(MATCH(9.99E+307,'Returns (Calc)'!$A:$A)-3),"")</f>
        <v>68.980632911392405</v>
      </c>
      <c r="AL160" s="144">
        <f>IFERROR('Price History'!R3+(INDEX('Price History'!R:R,MATCH(9.99E+307,'Returns (Calc)'!$A:$A)+1)-'Price History'!R3)*(ROW()-3)/(MATCH(9.99E+307,'Returns (Calc)'!$A:$A)-3),"")</f>
        <v>60.871898734177208</v>
      </c>
      <c r="AM160" s="144">
        <f>IFERROR('Price History'!S3+(INDEX('Price History'!S:S,MATCH(9.99E+307,'Returns (Calc)'!$A:$A)+1)-'Price History'!S3)*(ROW()-3)/(MATCH(9.99E+307,'Returns (Calc)'!$A:$A)-3),"")</f>
        <v>152.62493670886076</v>
      </c>
      <c r="AN160" s="144">
        <f>IFERROR('Price History'!T3+(INDEX('Price History'!T:T,MATCH(9.99E+307,'Returns (Calc)'!$A:$A)+1)-'Price History'!T3)*(ROW()-3)/(MATCH(9.99E+307,'Returns (Calc)'!$A:$A)-3),"")</f>
        <v>51.65177215189874</v>
      </c>
      <c r="AO160" s="144">
        <f>IFERROR('Price History'!V3+(INDEX('Price History'!V:V,MATCH(9.99E+307,'Returns (Calc)'!$A:$A)+1)-'Price History'!V3)*(ROW()-3)/(MATCH(9.99E+307,'Returns (Calc)'!$A:$A)-3),"")</f>
        <v>359.86867088607596</v>
      </c>
      <c r="AP160" s="142">
        <f>IFERROR(IF(OR(NOT(ISNUMBER('Price History'!W161)),NOT(ISNUMBER('Price History'!W160)),'Price History'!W160=0),"",'Price History'!W161/'Price History'!W160-1),"")</f>
        <v>-9.9208840889111194E-3</v>
      </c>
      <c r="AQ160" s="142">
        <f>IFERROR(IF(OR(NOT(ISNUMBER('Price History'!X161)),NOT(ISNUMBER('Price History'!X160)),'Price History'!X160=0),"",'Price History'!X161/'Price History'!X160-1),"")</f>
        <v>-3.2380231016852834E-2</v>
      </c>
      <c r="AR160" s="142">
        <f>IFERROR(IF(OR(NOT(ISNUMBER('Price History'!Y161)),NOT(ISNUMBER('Price History'!Y160)),'Price History'!Y160=0),"",'Price History'!Y161/'Price History'!Y160-1),"")</f>
        <v>9.302325581395321E-3</v>
      </c>
      <c r="AS160" s="142">
        <f>IFERROR(IF(OR(NOT(ISNUMBER('Price History'!Z161)),NOT(ISNUMBER('Price History'!Z160)),'Price History'!Z160=0),"",'Price History'!Z161/'Price History'!Z160-1),"")</f>
        <v>4.0792948738346047E-2</v>
      </c>
      <c r="AT160" s="142">
        <f>IFERROR(IF(OR(NOT(ISNUMBER('Price History'!AA161)),NOT(ISNUMBER('Price History'!AA160)),'Price History'!AA160=0),"",'Price History'!AA161/'Price History'!AA160-1),"")</f>
        <v>-8.9148906532943162E-3</v>
      </c>
    </row>
    <row r="161" spans="1:46" ht="15" customHeight="1" x14ac:dyDescent="0.35">
      <c r="A161" s="140">
        <f>IF('Price History'!A162="","",'Price History'!A162)</f>
        <v>46297</v>
      </c>
      <c r="B161" s="141">
        <f>IFERROR(IF(OR(NOT(ISNUMBER('Price History'!B162)),NOT(ISNUMBER('Price History'!B161)),'Price History'!B161=0),"",'Price History'!B162/'Price History'!B161-1),"")</f>
        <v>9.4279526054275031E-3</v>
      </c>
      <c r="C161" s="141">
        <f>IFERROR(IF(OR(NOT(ISNUMBER('Price History'!C162)),NOT(ISNUMBER('Price History'!C161)),'Price History'!C161=0),"",'Price History'!C162/'Price History'!C161-1),"")</f>
        <v>3.8731541999514896E-3</v>
      </c>
      <c r="D161" s="141">
        <f>IFERROR(IF(OR(NOT(ISNUMBER('Price History'!D162)),NOT(ISNUMBER('Price History'!D161)),'Price History'!D161=0),"",'Price History'!D162/'Price History'!D161-1),"")</f>
        <v>7.0742112687363079E-2</v>
      </c>
      <c r="E161" s="141">
        <f>IFERROR(IF(OR(NOT(ISNUMBER('Price History'!E162)),NOT(ISNUMBER('Price History'!E161)),'Price History'!E161=0),"",'Price History'!E162/'Price History'!E161-1),"")</f>
        <v>6.6041211983787207E-3</v>
      </c>
      <c r="F161" s="141">
        <f>IFERROR(IF(OR(NOT(ISNUMBER('Price History'!F162)),NOT(ISNUMBER('Price History'!F161)),'Price History'!F161=0),"",'Price History'!F162/'Price History'!F161-1),"")</f>
        <v>7.103478364335869E-2</v>
      </c>
      <c r="G161" s="141">
        <f>IFERROR(IF(OR(NOT(ISNUMBER('Price History'!G162)),NOT(ISNUMBER('Price History'!G161)),'Price History'!G161=0),"",'Price History'!G162/'Price History'!G161-1),"")</f>
        <v>0.10094721157939546</v>
      </c>
      <c r="H161" s="141">
        <f>IFERROR(IF(OR(NOT(ISNUMBER('Price History'!H162)),NOT(ISNUMBER('Price History'!H161)),'Price History'!H161=0),"",'Price History'!H162/'Price History'!H161-1),"")</f>
        <v>-6.828177551095771E-3</v>
      </c>
      <c r="I161" s="141">
        <f>IFERROR(IF(OR(NOT(ISNUMBER('Price History'!I162)),NOT(ISNUMBER('Price History'!I161)),'Price History'!I161=0),"",'Price History'!I162/'Price History'!I161-1),"")</f>
        <v>3.9454391966943669E-2</v>
      </c>
      <c r="J161" s="141">
        <f>IFERROR(IF(OR(NOT(ISNUMBER('Price History'!J162)),NOT(ISNUMBER('Price History'!J161)),'Price History'!J161=0),"",'Price History'!J162/'Price History'!J161-1),"")</f>
        <v>-3.1116121758737458E-2</v>
      </c>
      <c r="K161" s="141">
        <f>IFERROR(IF(OR(NOT(ISNUMBER('Price History'!K162)),NOT(ISNUMBER('Price History'!K161)),'Price History'!K161=0),"",'Price History'!K162/'Price History'!K161-1),"")</f>
        <v>-4.8505298676648767E-3</v>
      </c>
      <c r="L161" s="141">
        <f>IFERROR(IF(OR(NOT(ISNUMBER('Price History'!L162)),NOT(ISNUMBER('Price History'!L161)),'Price History'!L161=0),"",'Price History'!L162/'Price History'!L161-1),"")</f>
        <v>4.9199973369432382E-2</v>
      </c>
      <c r="M161" s="141">
        <f>IFERROR(IF(OR(NOT(ISNUMBER('Price History'!M162)),NOT(ISNUMBER('Price History'!M161)),'Price History'!M161=0),"",'Price History'!M162/'Price History'!M161-1),"")</f>
        <v>-4.3430195830701512E-3</v>
      </c>
      <c r="N161" s="141">
        <f>IFERROR(IF(OR(NOT(ISNUMBER('Price History'!N162)),NOT(ISNUMBER('Price History'!N161)),'Price History'!N161=0),"",'Price History'!N162/'Price History'!N161-1),"")</f>
        <v>-4.0783747315608521E-2</v>
      </c>
      <c r="O161" s="141">
        <f>IFERROR(IF(OR(NOT(ISNUMBER('Price History'!O162)),NOT(ISNUMBER('Price History'!O161)),'Price History'!O161=0),"",'Price History'!O162/'Price History'!O161-1),"")</f>
        <v>-3.1558840627854412E-3</v>
      </c>
      <c r="P161" s="141">
        <f>IFERROR(IF(OR(NOT(ISNUMBER('Price History'!P162)),NOT(ISNUMBER('Price History'!P161)),'Price History'!P161=0),"",'Price History'!P162/'Price History'!P161-1),"")</f>
        <v>-1.0857622956116919E-2</v>
      </c>
      <c r="Q161" s="141">
        <f>IFERROR(IF(OR(NOT(ISNUMBER('Price History'!Q162)),NOT(ISNUMBER('Price History'!Q161)),'Price History'!Q161=0),"",'Price History'!Q162/'Price History'!Q161-1),"")</f>
        <v>-2.2995113538372136E-3</v>
      </c>
      <c r="R161" s="141">
        <f>IFERROR(IF(OR(NOT(ISNUMBER('Price History'!R162)),NOT(ISNUMBER('Price History'!R161)),'Price History'!R161=0),"",'Price History'!R162/'Price History'!R161-1),"")</f>
        <v>6.0985660128562991E-3</v>
      </c>
      <c r="S161" s="141">
        <f>IFERROR(IF(OR(NOT(ISNUMBER('Price History'!S162)),NOT(ISNUMBER('Price History'!S161)),'Price History'!S161=0),"",'Price History'!S162/'Price History'!S161-1),"")</f>
        <v>2.0272037666753118E-3</v>
      </c>
      <c r="T161" s="141">
        <f>IFERROR(IF(OR(NOT(ISNUMBER('Price History'!T162)),NOT(ISNUMBER('Price History'!T161)),'Price History'!T161=0),"",'Price History'!T162/'Price History'!T161-1),"")</f>
        <v>4.2635658914729202E-3</v>
      </c>
      <c r="U161" s="141">
        <f>IFERROR(IF(OR(NOT(ISNUMBER('Price History'!U162)),NOT(ISNUMBER('Price History'!U161)),'Price History'!U161=0),"",'Price History'!U162/'Price History'!U161-1),"")</f>
        <v>-1.4754591990364441E-2</v>
      </c>
      <c r="V161" s="142">
        <f>IFERROR(IF(OR(NOT(ISNUMBER('Price History'!V162)),NOT(ISNUMBER('Price History'!V161)),'Price History'!V161=0),"",'Price History'!V162/'Price History'!V161-1),"")</f>
        <v>-1.8291687081495867E-2</v>
      </c>
      <c r="W161" s="144">
        <f>IFERROR('Price History'!B3+(INDEX('Price History'!B:B,MATCH(9.99E+307,'Returns (Calc)'!$A:$A)+1)-'Price History'!B3)*(ROW()-3)/(MATCH(9.99E+307,'Returns (Calc)'!$A:$A)-3),"")</f>
        <v>237.69</v>
      </c>
      <c r="X161" s="144">
        <f>IFERROR('Price History'!C3+(INDEX('Price History'!C:C,MATCH(9.99E+307,'Returns (Calc)'!$A:$A)+1)-'Price History'!C3)*(ROW()-3)/(MATCH(9.99E+307,'Returns (Calc)'!$A:$A)-3),"")</f>
        <v>207.35</v>
      </c>
      <c r="Y161" s="144">
        <f>IFERROR('Price History'!D3+(INDEX('Price History'!D:D,MATCH(9.99E+307,'Returns (Calc)'!$A:$A)+1)-'Price History'!D3)*(ROW()-3)/(MATCH(9.99E+307,'Returns (Calc)'!$A:$A)-3),"")</f>
        <v>1867.31</v>
      </c>
      <c r="Z161" s="144">
        <f>IFERROR('Price History'!E3+(INDEX('Price History'!E:E,MATCH(9.99E+307,'Returns (Calc)'!$A:$A)+1)-'Price History'!E3)*(ROW()-3)/(MATCH(9.99E+307,'Returns (Calc)'!$A:$A)-3),"")</f>
        <v>355.14</v>
      </c>
      <c r="AA161" s="144">
        <f>IFERROR('Price History'!F3+(INDEX('Price History'!F:F,MATCH(9.99E+307,'Returns (Calc)'!$A:$A)+1)-'Price History'!F3)*(ROW()-3)/(MATCH(9.99E+307,'Returns (Calc)'!$A:$A)-3),"")</f>
        <v>270.04000000000002</v>
      </c>
      <c r="AB161" s="144">
        <f>IFERROR('Price History'!G3+(INDEX('Price History'!G:G,MATCH(9.99E+307,'Returns (Calc)'!$A:$A)+1)-'Price History'!G3)*(ROW()-3)/(MATCH(9.99E+307,'Returns (Calc)'!$A:$A)-3),"")</f>
        <v>206.89</v>
      </c>
      <c r="AC161" s="144">
        <f>IFERROR('Price History'!H3+(INDEX('Price History'!H:H,MATCH(9.99E+307,'Returns (Calc)'!$A:$A)+1)-'Price History'!H3)*(ROW()-3)/(MATCH(9.99E+307,'Returns (Calc)'!$A:$A)-3),"")</f>
        <v>1074.8900000000001</v>
      </c>
      <c r="AD161" s="144">
        <f>IFERROR('Price History'!I3+(INDEX('Price History'!I:I,MATCH(9.99E+307,'Returns (Calc)'!$A:$A)+1)-'Price History'!I3)*(ROW()-3)/(MATCH(9.99E+307,'Returns (Calc)'!$A:$A)-3),"")</f>
        <v>233.95</v>
      </c>
      <c r="AE161" s="144">
        <f>IFERROR('Price History'!J3+(INDEX('Price History'!J:J,MATCH(9.99E+307,'Returns (Calc)'!$A:$A)+1)-'Price History'!J3)*(ROW()-3)/(MATCH(9.99E+307,'Returns (Calc)'!$A:$A)-3),"")</f>
        <v>128.91</v>
      </c>
      <c r="AF161" s="144">
        <f>IFERROR('Price History'!K3+(INDEX('Price History'!K:K,MATCH(9.99E+307,'Returns (Calc)'!$A:$A)+1)-'Price History'!K3)*(ROW()-3)/(MATCH(9.99E+307,'Returns (Calc)'!$A:$A)-3),"")</f>
        <v>188.75</v>
      </c>
      <c r="AG161" s="144">
        <f>IFERROR('Price History'!L3+(INDEX('Price History'!L:L,MATCH(9.99E+307,'Returns (Calc)'!$A:$A)+1)-'Price History'!L3)*(ROW()-3)/(MATCH(9.99E+307,'Returns (Calc)'!$A:$A)-3),"")</f>
        <v>472.78</v>
      </c>
      <c r="AH161" s="144">
        <f>IFERROR('Price History'!M3+(INDEX('Price History'!M:M,MATCH(9.99E+307,'Returns (Calc)'!$A:$A)+1)-'Price History'!M3)*(ROW()-3)/(MATCH(9.99E+307,'Returns (Calc)'!$A:$A)-3),"")</f>
        <v>252.18</v>
      </c>
      <c r="AI161" s="144">
        <f>IFERROR('Price History'!N3+(INDEX('Price History'!N:N,MATCH(9.99E+307,'Returns (Calc)'!$A:$A)+1)-'Price History'!N3)*(ROW()-3)/(MATCH(9.99E+307,'Returns (Calc)'!$A:$A)-3),"")</f>
        <v>504.73</v>
      </c>
      <c r="AJ161" s="144">
        <f>IFERROR('Price History'!O3+(INDEX('Price History'!O:O,MATCH(9.99E+307,'Returns (Calc)'!$A:$A)+1)-'Price History'!O3)*(ROW()-3)/(MATCH(9.99E+307,'Returns (Calc)'!$A:$A)-3),"")</f>
        <v>120.03</v>
      </c>
      <c r="AK161" s="144">
        <f>IFERROR('Price History'!Q3+(INDEX('Price History'!Q:Q,MATCH(9.99E+307,'Returns (Calc)'!$A:$A)+1)-'Price History'!Q3)*(ROW()-3)/(MATCH(9.99E+307,'Returns (Calc)'!$A:$A)-3),"")</f>
        <v>69.42</v>
      </c>
      <c r="AL161" s="144">
        <f>IFERROR('Price History'!R3+(INDEX('Price History'!R:R,MATCH(9.99E+307,'Returns (Calc)'!$A:$A)+1)-'Price History'!R3)*(ROW()-3)/(MATCH(9.99E+307,'Returns (Calc)'!$A:$A)-3),"")</f>
        <v>61.04</v>
      </c>
      <c r="AM161" s="144">
        <f>IFERROR('Price History'!S3+(INDEX('Price History'!S:S,MATCH(9.99E+307,'Returns (Calc)'!$A:$A)+1)-'Price History'!S3)*(ROW()-3)/(MATCH(9.99E+307,'Returns (Calc)'!$A:$A)-3),"")</f>
        <v>153.22999999999999</v>
      </c>
      <c r="AN161" s="144">
        <f>IFERROR('Price History'!T3+(INDEX('Price History'!T:T,MATCH(9.99E+307,'Returns (Calc)'!$A:$A)+1)-'Price History'!T3)*(ROW()-3)/(MATCH(9.99E+307,'Returns (Calc)'!$A:$A)-3),"")</f>
        <v>51.82</v>
      </c>
      <c r="AO161" s="144">
        <f>IFERROR('Price History'!V3+(INDEX('Price History'!V:V,MATCH(9.99E+307,'Returns (Calc)'!$A:$A)+1)-'Price History'!V3)*(ROW()-3)/(MATCH(9.99E+307,'Returns (Calc)'!$A:$A)-3),"")</f>
        <v>360.66</v>
      </c>
      <c r="AP161" s="142">
        <f>IFERROR(IF(OR(NOT(ISNUMBER('Price History'!W162)),NOT(ISNUMBER('Price History'!W161)),'Price History'!W161=0),"",'Price History'!W162/'Price History'!W161-1),"")</f>
        <v>-7.7371892440385448E-3</v>
      </c>
      <c r="AQ161" s="142">
        <f>IFERROR(IF(OR(NOT(ISNUMBER('Price History'!X162)),NOT(ISNUMBER('Price History'!X161)),'Price History'!X161=0),"",'Price History'!X162/'Price History'!X161-1),"")</f>
        <v>1.36986301369868E-3</v>
      </c>
      <c r="AR161" s="142">
        <f>IFERROR(IF(OR(NOT(ISNUMBER('Price History'!Y162)),NOT(ISNUMBER('Price History'!Y161)),'Price History'!Y161=0),"",'Price History'!Y162/'Price History'!Y161-1),"")</f>
        <v>-5.6717476072314366E-3</v>
      </c>
      <c r="AS161" s="142">
        <f>IFERROR(IF(OR(NOT(ISNUMBER('Price History'!Z162)),NOT(ISNUMBER('Price History'!Z161)),'Price History'!Z161=0),"",'Price History'!Z162/'Price History'!Z161-1),"")</f>
        <v>-5.3593812100644955E-2</v>
      </c>
      <c r="AT161" s="142">
        <f>IFERROR(IF(OR(NOT(ISNUMBER('Price History'!AA162)),NOT(ISNUMBER('Price History'!AA161)),'Price History'!AA161=0),"",'Price History'!AA162/'Price History'!AA161-1),"")</f>
        <v>-5.7484188334504638E-2</v>
      </c>
    </row>
    <row r="162" spans="1:46" ht="15" customHeight="1" x14ac:dyDescent="0.35">
      <c r="A162" s="140" t="str">
        <f>IF('Price History'!A163="","",'Price History'!A163)</f>
        <v/>
      </c>
      <c r="B162" s="141" t="str">
        <f>IFERROR(IF(OR(NOT(ISNUMBER('Price History'!B163)),NOT(ISNUMBER('Price History'!B162)),'Price History'!B162=0),"",'Price History'!B163/'Price History'!B162-1),"")</f>
        <v/>
      </c>
      <c r="C162" s="141" t="str">
        <f>IFERROR(IF(OR(NOT(ISNUMBER('Price History'!C163)),NOT(ISNUMBER('Price History'!C162)),'Price History'!C162=0),"",'Price History'!C163/'Price History'!C162-1),"")</f>
        <v/>
      </c>
      <c r="D162" s="141" t="str">
        <f>IFERROR(IF(OR(NOT(ISNUMBER('Price History'!D163)),NOT(ISNUMBER('Price History'!D162)),'Price History'!D162=0),"",'Price History'!D163/'Price History'!D162-1),"")</f>
        <v/>
      </c>
      <c r="E162" s="141" t="str">
        <f>IFERROR(IF(OR(NOT(ISNUMBER('Price History'!E163)),NOT(ISNUMBER('Price History'!E162)),'Price History'!E162=0),"",'Price History'!E163/'Price History'!E162-1),"")</f>
        <v/>
      </c>
      <c r="F162" s="141" t="str">
        <f>IFERROR(IF(OR(NOT(ISNUMBER('Price History'!F163)),NOT(ISNUMBER('Price History'!F162)),'Price History'!F162=0),"",'Price History'!F163/'Price History'!F162-1),"")</f>
        <v/>
      </c>
      <c r="G162" s="141" t="str">
        <f>IFERROR(IF(OR(NOT(ISNUMBER('Price History'!G163)),NOT(ISNUMBER('Price History'!G162)),'Price History'!G162=0),"",'Price History'!G163/'Price History'!G162-1),"")</f>
        <v/>
      </c>
      <c r="H162" s="141" t="str">
        <f>IFERROR(IF(OR(NOT(ISNUMBER('Price History'!H163)),NOT(ISNUMBER('Price History'!H162)),'Price History'!H162=0),"",'Price History'!H163/'Price History'!H162-1),"")</f>
        <v/>
      </c>
      <c r="I162" s="141" t="str">
        <f>IFERROR(IF(OR(NOT(ISNUMBER('Price History'!I163)),NOT(ISNUMBER('Price History'!I162)),'Price History'!I162=0),"",'Price History'!I163/'Price History'!I162-1),"")</f>
        <v/>
      </c>
      <c r="J162" s="141" t="str">
        <f>IFERROR(IF(OR(NOT(ISNUMBER('Price History'!J163)),NOT(ISNUMBER('Price History'!J162)),'Price History'!J162=0),"",'Price History'!J163/'Price History'!J162-1),"")</f>
        <v/>
      </c>
      <c r="K162" s="141" t="str">
        <f>IFERROR(IF(OR(NOT(ISNUMBER('Price History'!K163)),NOT(ISNUMBER('Price History'!K162)),'Price History'!K162=0),"",'Price History'!K163/'Price History'!K162-1),"")</f>
        <v/>
      </c>
      <c r="L162" s="141" t="str">
        <f>IFERROR(IF(OR(NOT(ISNUMBER('Price History'!L163)),NOT(ISNUMBER('Price History'!L162)),'Price History'!L162=0),"",'Price History'!L163/'Price History'!L162-1),"")</f>
        <v/>
      </c>
      <c r="M162" s="141" t="str">
        <f>IFERROR(IF(OR(NOT(ISNUMBER('Price History'!M163)),NOT(ISNUMBER('Price History'!M162)),'Price History'!M162=0),"",'Price History'!M163/'Price History'!M162-1),"")</f>
        <v/>
      </c>
      <c r="N162" s="141" t="str">
        <f>IFERROR(IF(OR(NOT(ISNUMBER('Price History'!N163)),NOT(ISNUMBER('Price History'!N162)),'Price History'!N162=0),"",'Price History'!N163/'Price History'!N162-1),"")</f>
        <v/>
      </c>
      <c r="O162" s="141" t="str">
        <f>IFERROR(IF(OR(NOT(ISNUMBER('Price History'!O163)),NOT(ISNUMBER('Price History'!O162)),'Price History'!O162=0),"",'Price History'!O163/'Price History'!O162-1),"")</f>
        <v/>
      </c>
      <c r="P162" s="141" t="str">
        <f>IFERROR(IF(OR(NOT(ISNUMBER('Price History'!P163)),NOT(ISNUMBER('Price History'!P162)),'Price History'!P162=0),"",'Price History'!P163/'Price History'!P162-1),"")</f>
        <v/>
      </c>
      <c r="Q162" s="141" t="str">
        <f>IFERROR(IF(OR(NOT(ISNUMBER('Price History'!Q163)),NOT(ISNUMBER('Price History'!Q162)),'Price History'!Q162=0),"",'Price History'!Q163/'Price History'!Q162-1),"")</f>
        <v/>
      </c>
      <c r="R162" s="141" t="str">
        <f>IFERROR(IF(OR(NOT(ISNUMBER('Price History'!R163)),NOT(ISNUMBER('Price History'!R162)),'Price History'!R162=0),"",'Price History'!R163/'Price History'!R162-1),"")</f>
        <v/>
      </c>
      <c r="S162" s="141" t="str">
        <f>IFERROR(IF(OR(NOT(ISNUMBER('Price History'!S163)),NOT(ISNUMBER('Price History'!S162)),'Price History'!S162=0),"",'Price History'!S163/'Price History'!S162-1),"")</f>
        <v/>
      </c>
      <c r="T162" s="141" t="str">
        <f>IFERROR(IF(OR(NOT(ISNUMBER('Price History'!T163)),NOT(ISNUMBER('Price History'!T162)),'Price History'!T162=0),"",'Price History'!T163/'Price History'!T162-1),"")</f>
        <v/>
      </c>
      <c r="U162" s="141" t="str">
        <f>IFERROR(IF(OR(NOT(ISNUMBER('Price History'!U163)),NOT(ISNUMBER('Price History'!U162)),'Price History'!U162=0),"",'Price History'!U163/'Price History'!U162-1),"")</f>
        <v/>
      </c>
      <c r="V162" s="142" t="str">
        <f>IFERROR(IF(OR(NOT(ISNUMBER('Price History'!V163)),NOT(ISNUMBER('Price History'!V162)),'Price History'!V162=0),"",'Price History'!V163/'Price History'!V162-1),"")</f>
        <v/>
      </c>
      <c r="W162" s="144">
        <f>IFERROR('Price History'!B3+(INDEX('Price History'!B:B,MATCH(9.99E+307,'Returns (Calc)'!$A:$A)+1)-'Price History'!B3)*(ROW()-3)/(MATCH(9.99E+307,'Returns (Calc)'!$A:$A)-3),"")</f>
        <v>235.84696202531649</v>
      </c>
      <c r="X162" s="144">
        <f>IFERROR('Price History'!C3+(INDEX('Price History'!C:C,MATCH(9.99E+307,'Returns (Calc)'!$A:$A)+1)-'Price History'!C3)*(ROW()-3)/(MATCH(9.99E+307,'Returns (Calc)'!$A:$A)-3),"")</f>
        <v>208.37006329113925</v>
      </c>
      <c r="Y162" s="144">
        <f>IFERROR('Price History'!D3+(INDEX('Price History'!D:D,MATCH(9.99E+307,'Returns (Calc)'!$A:$A)+1)-'Price History'!D3)*(ROW()-3)/(MATCH(9.99E+307,'Returns (Calc)'!$A:$A)-3),"")</f>
        <v>1875.4448101265821</v>
      </c>
      <c r="Z162" s="144">
        <f>IFERROR('Price History'!E3+(INDEX('Price History'!E:E,MATCH(9.99E+307,'Returns (Calc)'!$A:$A)+1)-'Price History'!E3)*(ROW()-3)/(MATCH(9.99E+307,'Returns (Calc)'!$A:$A)-3),"")</f>
        <v>356.86873417721517</v>
      </c>
      <c r="AA162" s="144">
        <f>IFERROR('Price History'!F3+(INDEX('Price History'!F:F,MATCH(9.99E+307,'Returns (Calc)'!$A:$A)+1)-'Price History'!F3)*(ROW()-3)/(MATCH(9.99E+307,'Returns (Calc)'!$A:$A)-3),"")</f>
        <v>271.48734177215192</v>
      </c>
      <c r="AB162" s="144">
        <f>IFERROR('Price History'!G3+(INDEX('Price History'!G:G,MATCH(9.99E+307,'Returns (Calc)'!$A:$A)+1)-'Price History'!G3)*(ROW()-3)/(MATCH(9.99E+307,'Returns (Calc)'!$A:$A)-3),"")</f>
        <v>207.91873417721516</v>
      </c>
      <c r="AC162" s="144">
        <f>IFERROR('Price History'!H3+(INDEX('Price History'!H:H,MATCH(9.99E+307,'Returns (Calc)'!$A:$A)+1)-'Price History'!H3)*(ROW()-3)/(MATCH(9.99E+307,'Returns (Calc)'!$A:$A)-3),"")</f>
        <v>1081.2556962025317</v>
      </c>
      <c r="AD162" s="144">
        <f>IFERROR('Price History'!I3+(INDEX('Price History'!I:I,MATCH(9.99E+307,'Returns (Calc)'!$A:$A)+1)-'Price History'!I3)*(ROW()-3)/(MATCH(9.99E+307,'Returns (Calc)'!$A:$A)-3),"")</f>
        <v>235.15367088607593</v>
      </c>
      <c r="AE162" s="144">
        <f>IFERROR('Price History'!J3+(INDEX('Price History'!J:J,MATCH(9.99E+307,'Returns (Calc)'!$A:$A)+1)-'Price History'!J3)*(ROW()-3)/(MATCH(9.99E+307,'Returns (Calc)'!$A:$A)-3),"")</f>
        <v>129.01803797468355</v>
      </c>
      <c r="AF162" s="144">
        <f>IFERROR('Price History'!K3+(INDEX('Price History'!K:K,MATCH(9.99E+307,'Returns (Calc)'!$A:$A)+1)-'Price History'!K3)*(ROW()-3)/(MATCH(9.99E+307,'Returns (Calc)'!$A:$A)-3),"")</f>
        <v>189.84759493670887</v>
      </c>
      <c r="AG162" s="144">
        <f>IFERROR('Price History'!L3+(INDEX('Price History'!L:L,MATCH(9.99E+307,'Returns (Calc)'!$A:$A)+1)-'Price History'!L3)*(ROW()-3)/(MATCH(9.99E+307,'Returns (Calc)'!$A:$A)-3),"")</f>
        <v>475.2295569620253</v>
      </c>
      <c r="AH162" s="144">
        <f>IFERROR('Price History'!M3+(INDEX('Price History'!M:M,MATCH(9.99E+307,'Returns (Calc)'!$A:$A)+1)-'Price History'!M3)*(ROW()-3)/(MATCH(9.99E+307,'Returns (Calc)'!$A:$A)-3),"")</f>
        <v>253.53544303797472</v>
      </c>
      <c r="AI162" s="144">
        <f>IFERROR('Price History'!N3+(INDEX('Price History'!N:N,MATCH(9.99E+307,'Returns (Calc)'!$A:$A)+1)-'Price History'!N3)*(ROW()-3)/(MATCH(9.99E+307,'Returns (Calc)'!$A:$A)-3),"")</f>
        <v>505.71626582278481</v>
      </c>
      <c r="AJ162" s="144">
        <f>IFERROR('Price History'!O3+(INDEX('Price History'!O:O,MATCH(9.99E+307,'Returns (Calc)'!$A:$A)+1)-'Price History'!O3)*(ROW()-3)/(MATCH(9.99E+307,'Returns (Calc)'!$A:$A)-3),"")</f>
        <v>120.31303797468354</v>
      </c>
      <c r="AK162" s="144">
        <f>IFERROR('Price History'!Q3+(INDEX('Price History'!Q:Q,MATCH(9.99E+307,'Returns (Calc)'!$A:$A)+1)-'Price History'!Q3)*(ROW()-3)/(MATCH(9.99E+307,'Returns (Calc)'!$A:$A)-3),"")</f>
        <v>69.859367088607598</v>
      </c>
      <c r="AL162" s="144">
        <f>IFERROR('Price History'!R3+(INDEX('Price History'!R:R,MATCH(9.99E+307,'Returns (Calc)'!$A:$A)+1)-'Price History'!R3)*(ROW()-3)/(MATCH(9.99E+307,'Returns (Calc)'!$A:$A)-3),"")</f>
        <v>61.208101265822776</v>
      </c>
      <c r="AM162" s="144">
        <f>IFERROR('Price History'!S3+(INDEX('Price History'!S:S,MATCH(9.99E+307,'Returns (Calc)'!$A:$A)+1)-'Price History'!S3)*(ROW()-3)/(MATCH(9.99E+307,'Returns (Calc)'!$A:$A)-3),"")</f>
        <v>153.83506329113925</v>
      </c>
      <c r="AN162" s="144">
        <f>IFERROR('Price History'!T3+(INDEX('Price History'!T:T,MATCH(9.99E+307,'Returns (Calc)'!$A:$A)+1)-'Price History'!T3)*(ROW()-3)/(MATCH(9.99E+307,'Returns (Calc)'!$A:$A)-3),"")</f>
        <v>51.988227848101268</v>
      </c>
      <c r="AO162" s="144">
        <f>IFERROR('Price History'!V3+(INDEX('Price History'!V:V,MATCH(9.99E+307,'Returns (Calc)'!$A:$A)+1)-'Price History'!V3)*(ROW()-3)/(MATCH(9.99E+307,'Returns (Calc)'!$A:$A)-3),"")</f>
        <v>361.45132911392409</v>
      </c>
      <c r="AP162" s="142" t="str">
        <f>IFERROR(IF(OR(NOT(ISNUMBER('Price History'!W163)),NOT(ISNUMBER('Price History'!W162)),'Price History'!W162=0),"",'Price History'!W163/'Price History'!W162-1),"")</f>
        <v/>
      </c>
      <c r="AQ162" s="142" t="str">
        <f>IFERROR(IF(OR(NOT(ISNUMBER('Price History'!X163)),NOT(ISNUMBER('Price History'!X162)),'Price History'!X162=0),"",'Price History'!X163/'Price History'!X162-1),"")</f>
        <v/>
      </c>
      <c r="AR162" s="142" t="str">
        <f>IFERROR(IF(OR(NOT(ISNUMBER('Price History'!Y163)),NOT(ISNUMBER('Price History'!Y162)),'Price History'!Y162=0),"",'Price History'!Y163/'Price History'!Y162-1),"")</f>
        <v/>
      </c>
      <c r="AS162" s="142" t="str">
        <f>IFERROR(IF(OR(NOT(ISNUMBER('Price History'!Z163)),NOT(ISNUMBER('Price History'!Z162)),'Price History'!Z162=0),"",'Price History'!Z163/'Price History'!Z162-1),"")</f>
        <v/>
      </c>
      <c r="AT162" s="142" t="str">
        <f>IFERROR(IF(OR(NOT(ISNUMBER('Price History'!AA163)),NOT(ISNUMBER('Price History'!AA162)),'Price History'!AA162=0),"",'Price History'!AA163/'Price History'!AA162-1),"")</f>
        <v/>
      </c>
    </row>
  </sheetData>
  <mergeCells count="1">
    <mergeCell ref="A1:U1"/>
  </mergeCell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31"/>
  <sheetViews>
    <sheetView showGridLines="0" zoomScaleNormal="100" workbookViewId="0">
      <pane xSplit="1" ySplit="5" topLeftCell="B17" activePane="bottomRight" state="frozen"/>
      <selection pane="topRight" activeCell="B1" sqref="B1"/>
      <selection pane="bottomLeft" activeCell="A17" sqref="A17"/>
      <selection pane="bottomRight" activeCell="S33" sqref="S33"/>
    </sheetView>
  </sheetViews>
  <sheetFormatPr defaultColWidth="8.6328125" defaultRowHeight="14.5" x14ac:dyDescent="0.35"/>
  <cols>
    <col min="1" max="1" width="10" customWidth="1"/>
    <col min="2" max="2" width="6.81640625" style="27" customWidth="1"/>
    <col min="3" max="21" width="8.6328125" style="27"/>
    <col min="22" max="22" width="9" style="27" customWidth="1"/>
  </cols>
  <sheetData>
    <row r="1" spans="1:33" ht="15" customHeight="1" x14ac:dyDescent="0.35">
      <c r="A1" s="224" t="s">
        <v>459</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row>
    <row r="2" spans="1:33" ht="15" customHeight="1" x14ac:dyDescent="0.35">
      <c r="A2" s="145" t="s">
        <v>460</v>
      </c>
      <c r="J2" s="146">
        <f>COUNTIF(AG6:AG31,"&gt;1")</f>
        <v>11</v>
      </c>
    </row>
    <row r="3" spans="1:33" ht="15" customHeight="1" x14ac:dyDescent="0.35">
      <c r="A3" s="145" t="s">
        <v>461</v>
      </c>
      <c r="J3" s="146" t="str">
        <f>IF(J2&gt;0,"REVIEW REQUIRED","OK")</f>
        <v>REVIEW REQUIRED</v>
      </c>
    </row>
    <row r="5" spans="1:33" ht="27.75" customHeight="1" x14ac:dyDescent="0.35">
      <c r="A5" s="147" t="s">
        <v>82</v>
      </c>
      <c r="B5" s="147" t="str">
        <f>'Returns (Calc)'!B2</f>
        <v>ADBE</v>
      </c>
      <c r="C5" s="147" t="str">
        <f>'Returns (Calc)'!C2</f>
        <v>ANET</v>
      </c>
      <c r="D5" s="147" t="str">
        <f>'Returns (Calc)'!D2</f>
        <v>ASML</v>
      </c>
      <c r="E5" s="147" t="str">
        <f>'Returns (Calc)'!E2</f>
        <v>AVGO</v>
      </c>
      <c r="F5" s="147" t="str">
        <f>'Returns (Calc)'!F2</f>
        <v>CRWD</v>
      </c>
      <c r="G5" s="147" t="str">
        <f>'Returns (Calc)'!G2</f>
        <v>KLAC</v>
      </c>
      <c r="H5" s="147" t="str">
        <f>'Returns (Calc)'!H2</f>
        <v>MU</v>
      </c>
      <c r="I5" s="147" t="str">
        <f>'Returns (Calc)'!I2</f>
        <v>NVDA</v>
      </c>
      <c r="J5" s="147" t="str">
        <f>'Returns (Calc)'!J2</f>
        <v>PLD</v>
      </c>
      <c r="K5" s="147" t="str">
        <f>'Returns (Calc)'!K2</f>
        <v>PLTR</v>
      </c>
      <c r="L5" s="147" t="str">
        <f>'Returns (Calc)'!L2</f>
        <v>TSM</v>
      </c>
      <c r="M5" s="147" t="str">
        <f>'Returns (Calc)'!M2</f>
        <v>VRT</v>
      </c>
      <c r="N5" s="147" t="str">
        <f>'Returns (Calc)'!N2</f>
        <v>VRTX</v>
      </c>
      <c r="O5" s="147" t="str">
        <f>'Returns (Calc)'!O2</f>
        <v>AVUV</v>
      </c>
      <c r="P5" s="147" t="str">
        <f>'Returns (Calc)'!P2</f>
        <v>DVY</v>
      </c>
      <c r="Q5" s="147" t="str">
        <f>'Returns (Calc)'!Q2</f>
        <v>HELO</v>
      </c>
      <c r="R5" s="147" t="str">
        <f>'Returns (Calc)'!R2</f>
        <v>JEPQ</v>
      </c>
      <c r="S5" s="147" t="str">
        <f>'Returns (Calc)'!S2</f>
        <v>SPMO</v>
      </c>
      <c r="T5" s="147" t="str">
        <f>'Returns (Calc)'!T2</f>
        <v>VFLO</v>
      </c>
      <c r="U5" s="147" t="str">
        <f>'Returns (Calc)'!U2</f>
        <v>SCHD</v>
      </c>
      <c r="V5" s="147" t="str">
        <f>'Returns (Calc)'!V2</f>
        <v>V</v>
      </c>
      <c r="W5" s="147" t="str">
        <f>'Returns (Calc)'!AP2</f>
        <v>VYM</v>
      </c>
      <c r="X5" s="147" t="str">
        <f>'Returns (Calc)'!AQ2</f>
        <v>MLPI</v>
      </c>
      <c r="Y5" s="147" t="str">
        <f>'Returns (Calc)'!AR2</f>
        <v>JEPI</v>
      </c>
      <c r="Z5" s="147" t="str">
        <f>'Returns (Calc)'!AS2</f>
        <v>GE</v>
      </c>
      <c r="AA5" s="147" t="str">
        <f>'Returns (Calc)'!AT2</f>
        <v>NFLX</v>
      </c>
      <c r="AB5" s="148"/>
      <c r="AC5" s="148"/>
      <c r="AD5" s="148"/>
      <c r="AE5" s="148"/>
      <c r="AF5" s="148"/>
      <c r="AG5" s="147" t="s">
        <v>462</v>
      </c>
    </row>
    <row r="6" spans="1:33" ht="15" customHeight="1" x14ac:dyDescent="0.35">
      <c r="A6" s="149" t="str">
        <f>'Returns (Calc)'!B2</f>
        <v>ADBE</v>
      </c>
      <c r="B6" s="150">
        <v>1</v>
      </c>
      <c r="C6" s="150">
        <f>IFERROR(ROUND(CORREL('Returns (Calc)'!$B$3:$B$500,'Returns (Calc)'!$C$3:$C$500),2),"")</f>
        <v>0.2</v>
      </c>
      <c r="D6" s="150">
        <f>IFERROR(ROUND(CORREL('Returns (Calc)'!$B$3:$B$500,'Returns (Calc)'!$D$3:$D$500),2),"")</f>
        <v>0.01</v>
      </c>
      <c r="E6" s="150">
        <f>IFERROR(ROUND(CORREL('Returns (Calc)'!$B$3:$B$500,'Returns (Calc)'!$E$3:$E$500),2),"")</f>
        <v>0.16</v>
      </c>
      <c r="F6" s="150">
        <f>IFERROR(ROUND(CORREL('Returns (Calc)'!$B$3:$B$500,'Returns (Calc)'!$F$3:$F$500),2),"")</f>
        <v>0.4</v>
      </c>
      <c r="G6" s="150">
        <f>IFERROR(ROUND(CORREL('Returns (Calc)'!$B$3:$B$500,'Returns (Calc)'!$G$3:$G$500),2),"")</f>
        <v>-0.06</v>
      </c>
      <c r="H6" s="150">
        <f>IFERROR(ROUND(CORREL('Returns (Calc)'!$B$3:$B$500,'Returns (Calc)'!$H$3:$H$500),2),"")</f>
        <v>0.04</v>
      </c>
      <c r="I6" s="150">
        <f>IFERROR(ROUND(CORREL('Returns (Calc)'!$B$3:$B$500,'Returns (Calc)'!$I$3:$I$500),2),"")</f>
        <v>0.21</v>
      </c>
      <c r="J6" s="150">
        <f>IFERROR(ROUND(CORREL('Returns (Calc)'!$B$3:$B$500,'Returns (Calc)'!$J$3:$J$500),2),"")</f>
        <v>0.17</v>
      </c>
      <c r="K6" s="150">
        <f>IFERROR(ROUND(CORREL('Returns (Calc)'!$B$3:$B$500,'Returns (Calc)'!$K$3:$K$500),2),"")</f>
        <v>0.37</v>
      </c>
      <c r="L6" s="150">
        <f>IFERROR(ROUND(CORREL('Returns (Calc)'!$B$3:$B$500,'Returns (Calc)'!$L$3:$L$500),2),"")</f>
        <v>0.15</v>
      </c>
      <c r="M6" s="150">
        <f>IFERROR(ROUND(CORREL('Returns (Calc)'!$B$3:$B$500,'Returns (Calc)'!$M$3:$M$500),2),"")</f>
        <v>0.06</v>
      </c>
      <c r="N6" s="150">
        <f>IFERROR(ROUND(CORREL('Returns (Calc)'!$B$3:$B$500,'Returns (Calc)'!$N$3:$N$500),2),"")</f>
        <v>0.14000000000000001</v>
      </c>
      <c r="O6" s="150">
        <f>IFERROR(ROUND(CORREL('Returns (Calc)'!$B$3:$B$500,'Returns (Calc)'!$O$3:$O$500),2),"")</f>
        <v>0.16</v>
      </c>
      <c r="P6" s="150">
        <f>IFERROR(ROUND(CORREL('Returns (Calc)'!$B$3:$B$500,'Returns (Calc)'!$P$3:$P$500),2),"")</f>
        <v>0.14000000000000001</v>
      </c>
      <c r="Q6" s="150">
        <f>IFERROR(ROUND(CORREL('Returns (Calc)'!$B$3:$B$500,'Returns (Calc)'!$Q$3:$Q$500),2),"")</f>
        <v>0.44</v>
      </c>
      <c r="R6" s="150">
        <f>IFERROR(ROUND(CORREL('Returns (Calc)'!$B$3:$B$500,'Returns (Calc)'!$R$3:$R$500),2),"")</f>
        <v>0.34</v>
      </c>
      <c r="S6" s="150">
        <f>IFERROR(ROUND(CORREL('Returns (Calc)'!$B$3:$B$500,'Returns (Calc)'!$S$3:$S$500),2),"")</f>
        <v>0.23</v>
      </c>
      <c r="T6" s="150">
        <f>IFERROR(ROUND(CORREL('Returns (Calc)'!$B$3:$B$500,'Returns (Calc)'!$T$3:$T$500),2),"")</f>
        <v>0.42</v>
      </c>
      <c r="U6" s="150">
        <f>IFERROR(ROUND(CORREL('Returns (Calc)'!$B$3:$B$500,'Returns (Calc)'!$U$3:$U$500),2),"")</f>
        <v>0.22</v>
      </c>
      <c r="V6" s="150">
        <f>IFERROR(ROUND(CORREL('Returns (Calc)'!$B$3:$B$500,'Returns (Calc)'!$V$3:$V$500),2),"")</f>
        <v>0.4</v>
      </c>
      <c r="W6" s="150">
        <f>IFERROR(ROUND(CORREL('Returns (Calc)'!$B$3:$B$500,'Returns (Calc)'!$AP$3:$AP$500),2),"")</f>
        <v>0.22</v>
      </c>
      <c r="X6" s="150">
        <f>IFERROR(ROUND(CORREL('Returns (Calc)'!$B$3:$B$500,'Returns (Calc)'!$AQ$3:$AQ$500),2),"")</f>
        <v>-0.24</v>
      </c>
      <c r="Y6" s="150">
        <f>IFERROR(ROUND(CORREL('Returns (Calc)'!$B$3:$B$500,'Returns (Calc)'!$AR$3:$AR$500),2),"")</f>
        <v>0.33</v>
      </c>
      <c r="Z6" s="150">
        <f>IFERROR(ROUND(CORREL('Returns (Calc)'!$B$3:$B$500,'Returns (Calc)'!$AS$3:$AS$500),2),"")</f>
        <v>0.09</v>
      </c>
      <c r="AA6" s="150">
        <f>IFERROR(ROUND(CORREL('Returns (Calc)'!$B$3:$B$500,'Returns (Calc)'!$AT$3:$AT$500),2),"")</f>
        <v>0.21</v>
      </c>
      <c r="AG6" s="151">
        <f t="shared" ref="AG6:AG31" si="0">COUNTIF(B6:AA6,"&gt;0.7")-1</f>
        <v>0</v>
      </c>
    </row>
    <row r="7" spans="1:33" ht="15" customHeight="1" x14ac:dyDescent="0.35">
      <c r="A7" s="149" t="str">
        <f>'Returns (Calc)'!C2</f>
        <v>ANET</v>
      </c>
      <c r="B7" s="150">
        <f>IFERROR(ROUND(CORREL('Returns (Calc)'!$C$3:$C$500,'Returns (Calc)'!$B$3:$B$500),2),"")</f>
        <v>0.2</v>
      </c>
      <c r="C7" s="150">
        <v>1</v>
      </c>
      <c r="D7" s="150">
        <f>IFERROR(ROUND(CORREL('Returns (Calc)'!$C$3:$C$500,'Returns (Calc)'!$D$3:$D$500),2),"")</f>
        <v>0.39</v>
      </c>
      <c r="E7" s="150">
        <f>IFERROR(ROUND(CORREL('Returns (Calc)'!$C$3:$C$500,'Returns (Calc)'!$E$3:$E$500),2),"")</f>
        <v>0.59</v>
      </c>
      <c r="F7" s="150">
        <f>IFERROR(ROUND(CORREL('Returns (Calc)'!$C$3:$C$500,'Returns (Calc)'!$F$3:$F$500),2),"")</f>
        <v>0.37</v>
      </c>
      <c r="G7" s="150">
        <f>IFERROR(ROUND(CORREL('Returns (Calc)'!$C$3:$C$500,'Returns (Calc)'!$G$3:$G$500),2),"")</f>
        <v>0.43</v>
      </c>
      <c r="H7" s="150">
        <f>IFERROR(ROUND(CORREL('Returns (Calc)'!$C$3:$C$500,'Returns (Calc)'!$H$3:$H$500),2),"")</f>
        <v>0.34</v>
      </c>
      <c r="I7" s="150">
        <f>IFERROR(ROUND(CORREL('Returns (Calc)'!$C$3:$C$500,'Returns (Calc)'!$I$3:$I$500),2),"")</f>
        <v>0.52</v>
      </c>
      <c r="J7" s="150">
        <f>IFERROR(ROUND(CORREL('Returns (Calc)'!$C$3:$C$500,'Returns (Calc)'!$J$3:$J$500),2),"")</f>
        <v>0.18</v>
      </c>
      <c r="K7" s="150">
        <f>IFERROR(ROUND(CORREL('Returns (Calc)'!$C$3:$C$500,'Returns (Calc)'!$K$3:$K$500),2),"")</f>
        <v>0.34</v>
      </c>
      <c r="L7" s="150">
        <f>IFERROR(ROUND(CORREL('Returns (Calc)'!$C$3:$C$500,'Returns (Calc)'!$L$3:$L$500),2),"")</f>
        <v>0.55000000000000004</v>
      </c>
      <c r="M7" s="150">
        <f>IFERROR(ROUND(CORREL('Returns (Calc)'!$C$3:$C$500,'Returns (Calc)'!$M$3:$M$500),2),"")</f>
        <v>0.57999999999999996</v>
      </c>
      <c r="N7" s="150">
        <f>IFERROR(ROUND(CORREL('Returns (Calc)'!$C$3:$C$500,'Returns (Calc)'!$N$3:$N$500),2),"")</f>
        <v>0.05</v>
      </c>
      <c r="O7" s="150">
        <f>IFERROR(ROUND(CORREL('Returns (Calc)'!$C$3:$C$500,'Returns (Calc)'!$O$3:$O$500),2),"")</f>
        <v>0.35</v>
      </c>
      <c r="P7" s="150">
        <f>IFERROR(ROUND(CORREL('Returns (Calc)'!$C$3:$C$500,'Returns (Calc)'!$P$3:$P$500),2),"")</f>
        <v>0.24</v>
      </c>
      <c r="Q7" s="150">
        <f>IFERROR(ROUND(CORREL('Returns (Calc)'!$C$3:$C$500,'Returns (Calc)'!$Q$3:$Q$500),2),"")</f>
        <v>0.65</v>
      </c>
      <c r="R7" s="150">
        <f>IFERROR(ROUND(CORREL('Returns (Calc)'!$C$3:$C$500,'Returns (Calc)'!$R$3:$R$500),2),"")</f>
        <v>0.67</v>
      </c>
      <c r="S7" s="150">
        <f>IFERROR(ROUND(CORREL('Returns (Calc)'!$C$3:$C$500,'Returns (Calc)'!$S$3:$S$500),2),"")</f>
        <v>0.64</v>
      </c>
      <c r="T7" s="150">
        <f>IFERROR(ROUND(CORREL('Returns (Calc)'!$C$3:$C$500,'Returns (Calc)'!$T$3:$T$500),2),"")</f>
        <v>0.33</v>
      </c>
      <c r="U7" s="150">
        <f>IFERROR(ROUND(CORREL('Returns (Calc)'!$C$3:$C$500,'Returns (Calc)'!$U$3:$U$500),2),"")</f>
        <v>0.27</v>
      </c>
      <c r="V7" s="150">
        <f>IFERROR(ROUND(CORREL('Returns (Calc)'!$C$3:$C$500,'Returns (Calc)'!$V$3:$V$500),2),"")</f>
        <v>0.25</v>
      </c>
      <c r="W7" s="150">
        <f>IFERROR(ROUND(CORREL('Returns (Calc)'!$C$3:$C$500,'Returns (Calc)'!$AP$3:$AP$500),2),"")</f>
        <v>0.46</v>
      </c>
      <c r="X7" s="150">
        <f>IFERROR(ROUND(CORREL('Returns (Calc)'!$C$3:$C$500,'Returns (Calc)'!$AQ$3:$AQ$500),2),"")</f>
        <v>-0.04</v>
      </c>
      <c r="Y7" s="150">
        <f>IFERROR(ROUND(CORREL('Returns (Calc)'!$C$3:$C$500,'Returns (Calc)'!$AR$3:$AR$500),2),"")</f>
        <v>0.51</v>
      </c>
      <c r="Z7" s="150">
        <f>IFERROR(ROUND(CORREL('Returns (Calc)'!$C$3:$C$500,'Returns (Calc)'!$AS$3:$AS$500),2),"")</f>
        <v>0.34</v>
      </c>
      <c r="AA7" s="150">
        <f>IFERROR(ROUND(CORREL('Returns (Calc)'!$C$3:$C$500,'Returns (Calc)'!$AT$3:$AT$500),2),"")</f>
        <v>0.39</v>
      </c>
      <c r="AG7" s="151">
        <f t="shared" si="0"/>
        <v>0</v>
      </c>
    </row>
    <row r="8" spans="1:33" ht="15" customHeight="1" x14ac:dyDescent="0.35">
      <c r="A8" s="149" t="str">
        <f>'Returns (Calc)'!D2</f>
        <v>ASML</v>
      </c>
      <c r="B8" s="150">
        <f>IFERROR(ROUND(CORREL('Returns (Calc)'!$D$3:$D$500,'Returns (Calc)'!$B$3:$B$500),2),"")</f>
        <v>0.01</v>
      </c>
      <c r="C8" s="150">
        <f>IFERROR(ROUND(CORREL('Returns (Calc)'!$D$3:$D$500,'Returns (Calc)'!$C$3:$C$500),2),"")</f>
        <v>0.39</v>
      </c>
      <c r="D8" s="150">
        <v>1</v>
      </c>
      <c r="E8" s="150">
        <f>IFERROR(ROUND(CORREL('Returns (Calc)'!$D$3:$D$500,'Returns (Calc)'!$E$3:$E$500),2),"")</f>
        <v>0.49</v>
      </c>
      <c r="F8" s="150">
        <f>IFERROR(ROUND(CORREL('Returns (Calc)'!$D$3:$D$500,'Returns (Calc)'!$F$3:$F$500),2),"")</f>
        <v>0.33</v>
      </c>
      <c r="G8" s="150">
        <f>IFERROR(ROUND(CORREL('Returns (Calc)'!$D$3:$D$500,'Returns (Calc)'!$G$3:$G$500),2),"")</f>
        <v>0.77</v>
      </c>
      <c r="H8" s="150">
        <f>IFERROR(ROUND(CORREL('Returns (Calc)'!$D$3:$D$500,'Returns (Calc)'!$H$3:$H$500),2),"")</f>
        <v>0.6</v>
      </c>
      <c r="I8" s="150">
        <f>IFERROR(ROUND(CORREL('Returns (Calc)'!$D$3:$D$500,'Returns (Calc)'!$I$3:$I$500),2),"")</f>
        <v>0.49</v>
      </c>
      <c r="J8" s="150">
        <f>IFERROR(ROUND(CORREL('Returns (Calc)'!$D$3:$D$500,'Returns (Calc)'!$J$3:$J$500),2),"")</f>
        <v>0.27</v>
      </c>
      <c r="K8" s="150">
        <f>IFERROR(ROUND(CORREL('Returns (Calc)'!$D$3:$D$500,'Returns (Calc)'!$K$3:$K$500),2),"")</f>
        <v>0.21</v>
      </c>
      <c r="L8" s="150">
        <f>IFERROR(ROUND(CORREL('Returns (Calc)'!$D$3:$D$500,'Returns (Calc)'!$L$3:$L$500),2),"")</f>
        <v>0.64</v>
      </c>
      <c r="M8" s="150">
        <f>IFERROR(ROUND(CORREL('Returns (Calc)'!$D$3:$D$500,'Returns (Calc)'!$M$3:$M$500),2),"")</f>
        <v>0.43</v>
      </c>
      <c r="N8" s="150">
        <f>IFERROR(ROUND(CORREL('Returns (Calc)'!$D$3:$D$500,'Returns (Calc)'!$N$3:$N$500),2),"")</f>
        <v>0.11</v>
      </c>
      <c r="O8" s="150">
        <f>IFERROR(ROUND(CORREL('Returns (Calc)'!$D$3:$D$500,'Returns (Calc)'!$O$3:$O$500),2),"")</f>
        <v>0.38</v>
      </c>
      <c r="P8" s="150">
        <f>IFERROR(ROUND(CORREL('Returns (Calc)'!$D$3:$D$500,'Returns (Calc)'!$P$3:$P$500),2),"")</f>
        <v>0.23</v>
      </c>
      <c r="Q8" s="150">
        <f>IFERROR(ROUND(CORREL('Returns (Calc)'!$D$3:$D$500,'Returns (Calc)'!$Q$3:$Q$500),2),"")</f>
        <v>0.51</v>
      </c>
      <c r="R8" s="150">
        <f>IFERROR(ROUND(CORREL('Returns (Calc)'!$D$3:$D$500,'Returns (Calc)'!$R$3:$R$500),2),"")</f>
        <v>0.61</v>
      </c>
      <c r="S8" s="150">
        <f>IFERROR(ROUND(CORREL('Returns (Calc)'!$D$3:$D$500,'Returns (Calc)'!$S$3:$S$500),2),"")</f>
        <v>0.61</v>
      </c>
      <c r="T8" s="150">
        <f>IFERROR(ROUND(CORREL('Returns (Calc)'!$D$3:$D$500,'Returns (Calc)'!$T$3:$T$500),2),"")</f>
        <v>0.3</v>
      </c>
      <c r="U8" s="150">
        <f>IFERROR(ROUND(CORREL('Returns (Calc)'!$D$3:$D$500,'Returns (Calc)'!$U$3:$U$500),2),"")</f>
        <v>0.26</v>
      </c>
      <c r="V8" s="150">
        <f>IFERROR(ROUND(CORREL('Returns (Calc)'!$D$3:$D$500,'Returns (Calc)'!$V$3:$V$500),2),"")</f>
        <v>0.04</v>
      </c>
      <c r="W8" s="150">
        <f>IFERROR(ROUND(CORREL('Returns (Calc)'!$D$3:$D$500,'Returns (Calc)'!$AP$3:$AP$500),2),"")</f>
        <v>0.42</v>
      </c>
      <c r="X8" s="150">
        <f>IFERROR(ROUND(CORREL('Returns (Calc)'!$D$3:$D$500,'Returns (Calc)'!$AQ$3:$AQ$500),2),"")</f>
        <v>-0.18</v>
      </c>
      <c r="Y8" s="150">
        <f>IFERROR(ROUND(CORREL('Returns (Calc)'!$D$3:$D$500,'Returns (Calc)'!$AR$3:$AR$500),2),"")</f>
        <v>0.43</v>
      </c>
      <c r="Z8" s="150">
        <f>IFERROR(ROUND(CORREL('Returns (Calc)'!$D$3:$D$500,'Returns (Calc)'!$AS$3:$AS$500),2),"")</f>
        <v>0.39</v>
      </c>
      <c r="AA8" s="150">
        <f>IFERROR(ROUND(CORREL('Returns (Calc)'!$D$3:$D$500,'Returns (Calc)'!$AT$3:$AT$500),2),"")</f>
        <v>0.21</v>
      </c>
      <c r="AG8" s="151">
        <f t="shared" si="0"/>
        <v>1</v>
      </c>
    </row>
    <row r="9" spans="1:33" ht="15" customHeight="1" x14ac:dyDescent="0.35">
      <c r="A9" s="149" t="str">
        <f>'Returns (Calc)'!E2</f>
        <v>AVGO</v>
      </c>
      <c r="B9" s="150">
        <f>IFERROR(ROUND(CORREL('Returns (Calc)'!$E$3:$E$500,'Returns (Calc)'!$B$3:$B$500),2),"")</f>
        <v>0.16</v>
      </c>
      <c r="C9" s="150">
        <f>IFERROR(ROUND(CORREL('Returns (Calc)'!$E$3:$E$500,'Returns (Calc)'!$C$3:$C$500),2),"")</f>
        <v>0.59</v>
      </c>
      <c r="D9" s="150">
        <f>IFERROR(ROUND(CORREL('Returns (Calc)'!$E$3:$E$500,'Returns (Calc)'!$D$3:$D$500),2),"")</f>
        <v>0.49</v>
      </c>
      <c r="E9" s="150">
        <v>1</v>
      </c>
      <c r="F9" s="150">
        <f>IFERROR(ROUND(CORREL('Returns (Calc)'!$E$3:$E$500,'Returns (Calc)'!$F$3:$F$500),2),"")</f>
        <v>0.4</v>
      </c>
      <c r="G9" s="150">
        <f>IFERROR(ROUND(CORREL('Returns (Calc)'!$E$3:$E$500,'Returns (Calc)'!$G$3:$G$500),2),"")</f>
        <v>0.53</v>
      </c>
      <c r="H9" s="150">
        <f>IFERROR(ROUND(CORREL('Returns (Calc)'!$E$3:$E$500,'Returns (Calc)'!$H$3:$H$500),2),"")</f>
        <v>0.48</v>
      </c>
      <c r="I9" s="150">
        <f>IFERROR(ROUND(CORREL('Returns (Calc)'!$E$3:$E$500,'Returns (Calc)'!$I$3:$I$500),2),"")</f>
        <v>0.62</v>
      </c>
      <c r="J9" s="150">
        <f>IFERROR(ROUND(CORREL('Returns (Calc)'!$E$3:$E$500,'Returns (Calc)'!$J$3:$J$500),2),"")</f>
        <v>0.22</v>
      </c>
      <c r="K9" s="150">
        <f>IFERROR(ROUND(CORREL('Returns (Calc)'!$E$3:$E$500,'Returns (Calc)'!$K$3:$K$500),2),"")</f>
        <v>0.38</v>
      </c>
      <c r="L9" s="150">
        <f>IFERROR(ROUND(CORREL('Returns (Calc)'!$E$3:$E$500,'Returns (Calc)'!$L$3:$L$500),2),"")</f>
        <v>0.63</v>
      </c>
      <c r="M9" s="150">
        <f>IFERROR(ROUND(CORREL('Returns (Calc)'!$E$3:$E$500,'Returns (Calc)'!$M$3:$M$500),2),"")</f>
        <v>0.52</v>
      </c>
      <c r="N9" s="150">
        <f>IFERROR(ROUND(CORREL('Returns (Calc)'!$E$3:$E$500,'Returns (Calc)'!$N$3:$N$500),2),"")</f>
        <v>0.14000000000000001</v>
      </c>
      <c r="O9" s="150">
        <f>IFERROR(ROUND(CORREL('Returns (Calc)'!$E$3:$E$500,'Returns (Calc)'!$O$3:$O$500),2),"")</f>
        <v>0.28999999999999998</v>
      </c>
      <c r="P9" s="150">
        <f>IFERROR(ROUND(CORREL('Returns (Calc)'!$E$3:$E$500,'Returns (Calc)'!$P$3:$P$500),2),"")</f>
        <v>0.11</v>
      </c>
      <c r="Q9" s="150">
        <f>IFERROR(ROUND(CORREL('Returns (Calc)'!$E$3:$E$500,'Returns (Calc)'!$Q$3:$Q$500),2),"")</f>
        <v>0.67</v>
      </c>
      <c r="R9" s="150">
        <f>IFERROR(ROUND(CORREL('Returns (Calc)'!$E$3:$E$500,'Returns (Calc)'!$R$3:$R$500),2),"")</f>
        <v>0.73</v>
      </c>
      <c r="S9" s="150">
        <f>IFERROR(ROUND(CORREL('Returns (Calc)'!$E$3:$E$500,'Returns (Calc)'!$S$3:$S$500),2),"")</f>
        <v>0.73</v>
      </c>
      <c r="T9" s="150">
        <f>IFERROR(ROUND(CORREL('Returns (Calc)'!$E$3:$E$500,'Returns (Calc)'!$T$3:$T$500),2),"")</f>
        <v>0.27</v>
      </c>
      <c r="U9" s="150">
        <f>IFERROR(ROUND(CORREL('Returns (Calc)'!$E$3:$E$500,'Returns (Calc)'!$U$3:$U$500),2),"")</f>
        <v>0.16</v>
      </c>
      <c r="V9" s="150">
        <f>IFERROR(ROUND(CORREL('Returns (Calc)'!$E$3:$E$500,'Returns (Calc)'!$V$3:$V$500),2),"")</f>
        <v>0.2</v>
      </c>
      <c r="W9" s="150">
        <f>IFERROR(ROUND(CORREL('Returns (Calc)'!$E$3:$E$500,'Returns (Calc)'!$AP$3:$AP$500),2),"")</f>
        <v>0.45</v>
      </c>
      <c r="X9" s="150">
        <f>IFERROR(ROUND(CORREL('Returns (Calc)'!$E$3:$E$500,'Returns (Calc)'!$AQ$3:$AQ$500),2),"")</f>
        <v>-0.45</v>
      </c>
      <c r="Y9" s="150">
        <f>IFERROR(ROUND(CORREL('Returns (Calc)'!$E$3:$E$500,'Returns (Calc)'!$AR$3:$AR$500),2),"")</f>
        <v>0.44</v>
      </c>
      <c r="Z9" s="150">
        <f>IFERROR(ROUND(CORREL('Returns (Calc)'!$E$3:$E$500,'Returns (Calc)'!$AS$3:$AS$500),2),"")</f>
        <v>0.36</v>
      </c>
      <c r="AA9" s="150">
        <f>IFERROR(ROUND(CORREL('Returns (Calc)'!$E$3:$E$500,'Returns (Calc)'!$AT$3:$AT$500),2),"")</f>
        <v>0.3</v>
      </c>
      <c r="AG9" s="151">
        <f t="shared" si="0"/>
        <v>2</v>
      </c>
    </row>
    <row r="10" spans="1:33" ht="15" customHeight="1" x14ac:dyDescent="0.35">
      <c r="A10" s="149" t="str">
        <f>'Returns (Calc)'!F2</f>
        <v>CRWD</v>
      </c>
      <c r="B10" s="150">
        <f>IFERROR(ROUND(CORREL('Returns (Calc)'!$F$3:$F$500,'Returns (Calc)'!$B$3:$B$500),2),"")</f>
        <v>0.4</v>
      </c>
      <c r="C10" s="150">
        <f>IFERROR(ROUND(CORREL('Returns (Calc)'!$F$3:$F$500,'Returns (Calc)'!$C$3:$C$500),2),"")</f>
        <v>0.37</v>
      </c>
      <c r="D10" s="150">
        <f>IFERROR(ROUND(CORREL('Returns (Calc)'!$F$3:$F$500,'Returns (Calc)'!$D$3:$D$500),2),"")</f>
        <v>0.33</v>
      </c>
      <c r="E10" s="150">
        <f>IFERROR(ROUND(CORREL('Returns (Calc)'!$F$3:$F$500,'Returns (Calc)'!$E$3:$E$500),2),"")</f>
        <v>0.4</v>
      </c>
      <c r="F10" s="150">
        <v>1</v>
      </c>
      <c r="G10" s="150">
        <f>IFERROR(ROUND(CORREL('Returns (Calc)'!$F$3:$F$500,'Returns (Calc)'!$G$3:$G$500),2),"")</f>
        <v>0.33</v>
      </c>
      <c r="H10" s="150">
        <f>IFERROR(ROUND(CORREL('Returns (Calc)'!$F$3:$F$500,'Returns (Calc)'!$H$3:$H$500),2),"")</f>
        <v>0.32</v>
      </c>
      <c r="I10" s="150">
        <f>IFERROR(ROUND(CORREL('Returns (Calc)'!$F$3:$F$500,'Returns (Calc)'!$I$3:$I$500),2),"")</f>
        <v>0.46</v>
      </c>
      <c r="J10" s="150">
        <f>IFERROR(ROUND(CORREL('Returns (Calc)'!$F$3:$F$500,'Returns (Calc)'!$J$3:$J$500),2),"")</f>
        <v>0.1</v>
      </c>
      <c r="K10" s="150">
        <f>IFERROR(ROUND(CORREL('Returns (Calc)'!$F$3:$F$500,'Returns (Calc)'!$K$3:$K$500),2),"")</f>
        <v>0.5</v>
      </c>
      <c r="L10" s="150">
        <f>IFERROR(ROUND(CORREL('Returns (Calc)'!$F$3:$F$500,'Returns (Calc)'!$L$3:$L$500),2),"")</f>
        <v>0.39</v>
      </c>
      <c r="M10" s="150">
        <f>IFERROR(ROUND(CORREL('Returns (Calc)'!$F$3:$F$500,'Returns (Calc)'!$M$3:$M$500),2),"")</f>
        <v>0.4</v>
      </c>
      <c r="N10" s="150">
        <f>IFERROR(ROUND(CORREL('Returns (Calc)'!$F$3:$F$500,'Returns (Calc)'!$N$3:$N$500),2),"")</f>
        <v>0.17</v>
      </c>
      <c r="O10" s="150">
        <f>IFERROR(ROUND(CORREL('Returns (Calc)'!$F$3:$F$500,'Returns (Calc)'!$O$3:$O$500),2),"")</f>
        <v>0.19</v>
      </c>
      <c r="P10" s="150">
        <f>IFERROR(ROUND(CORREL('Returns (Calc)'!$F$3:$F$500,'Returns (Calc)'!$P$3:$P$500),2),"")</f>
        <v>0.1</v>
      </c>
      <c r="Q10" s="150">
        <f>IFERROR(ROUND(CORREL('Returns (Calc)'!$F$3:$F$500,'Returns (Calc)'!$Q$3:$Q$500),2),"")</f>
        <v>0.47</v>
      </c>
      <c r="R10" s="150">
        <f>IFERROR(ROUND(CORREL('Returns (Calc)'!$F$3:$F$500,'Returns (Calc)'!$R$3:$R$500),2),"")</f>
        <v>0.55000000000000004</v>
      </c>
      <c r="S10" s="150">
        <f>IFERROR(ROUND(CORREL('Returns (Calc)'!$F$3:$F$500,'Returns (Calc)'!$S$3:$S$500),2),"")</f>
        <v>0.52</v>
      </c>
      <c r="T10" s="150">
        <f>IFERROR(ROUND(CORREL('Returns (Calc)'!$F$3:$F$500,'Returns (Calc)'!$T$3:$T$500),2),"")</f>
        <v>0.28999999999999998</v>
      </c>
      <c r="U10" s="150">
        <f>IFERROR(ROUND(CORREL('Returns (Calc)'!$F$3:$F$500,'Returns (Calc)'!$U$3:$U$500),2),"")</f>
        <v>0.11</v>
      </c>
      <c r="V10" s="150">
        <f>IFERROR(ROUND(CORREL('Returns (Calc)'!$F$3:$F$500,'Returns (Calc)'!$V$3:$V$500),2),"")</f>
        <v>0.27</v>
      </c>
      <c r="W10" s="150">
        <f>IFERROR(ROUND(CORREL('Returns (Calc)'!$F$3:$F$500,'Returns (Calc)'!$AP$3:$AP$500),2),"")</f>
        <v>0.24</v>
      </c>
      <c r="X10" s="150">
        <f>IFERROR(ROUND(CORREL('Returns (Calc)'!$F$3:$F$500,'Returns (Calc)'!$AQ$3:$AQ$500),2),"")</f>
        <v>-0.3</v>
      </c>
      <c r="Y10" s="150">
        <f>IFERROR(ROUND(CORREL('Returns (Calc)'!$F$3:$F$500,'Returns (Calc)'!$AR$3:$AR$500),2),"")</f>
        <v>0.28999999999999998</v>
      </c>
      <c r="Z10" s="150">
        <f>IFERROR(ROUND(CORREL('Returns (Calc)'!$F$3:$F$500,'Returns (Calc)'!$AS$3:$AS$500),2),"")</f>
        <v>0.24</v>
      </c>
      <c r="AA10" s="150">
        <f>IFERROR(ROUND(CORREL('Returns (Calc)'!$F$3:$F$500,'Returns (Calc)'!$AT$3:$AT$500),2),"")</f>
        <v>0.24</v>
      </c>
      <c r="AG10" s="151">
        <f t="shared" si="0"/>
        <v>0</v>
      </c>
    </row>
    <row r="11" spans="1:33" ht="15" customHeight="1" x14ac:dyDescent="0.35">
      <c r="A11" s="149" t="str">
        <f>'Returns (Calc)'!G2</f>
        <v>KLAC</v>
      </c>
      <c r="B11" s="150">
        <f>IFERROR(ROUND(CORREL('Returns (Calc)'!$G$3:$G$500,'Returns (Calc)'!$B$3:$B$500),2),"")</f>
        <v>-0.06</v>
      </c>
      <c r="C11" s="150">
        <f>IFERROR(ROUND(CORREL('Returns (Calc)'!$G$3:$G$500,'Returns (Calc)'!$C$3:$C$500),2),"")</f>
        <v>0.43</v>
      </c>
      <c r="D11" s="150">
        <f>IFERROR(ROUND(CORREL('Returns (Calc)'!$G$3:$G$500,'Returns (Calc)'!$D$3:$D$500),2),"")</f>
        <v>0.77</v>
      </c>
      <c r="E11" s="150">
        <f>IFERROR(ROUND(CORREL('Returns (Calc)'!$G$3:$G$500,'Returns (Calc)'!$E$3:$E$500),2),"")</f>
        <v>0.53</v>
      </c>
      <c r="F11" s="150">
        <f>IFERROR(ROUND(CORREL('Returns (Calc)'!$G$3:$G$500,'Returns (Calc)'!$F$3:$F$500),2),"")</f>
        <v>0.33</v>
      </c>
      <c r="G11" s="150">
        <v>1</v>
      </c>
      <c r="H11" s="150">
        <f>IFERROR(ROUND(CORREL('Returns (Calc)'!$G$3:$G$500,'Returns (Calc)'!$H$3:$H$500),2),"")</f>
        <v>0.59</v>
      </c>
      <c r="I11" s="150">
        <f>IFERROR(ROUND(CORREL('Returns (Calc)'!$G$3:$G$500,'Returns (Calc)'!$I$3:$I$500),2),"")</f>
        <v>0.52</v>
      </c>
      <c r="J11" s="150">
        <f>IFERROR(ROUND(CORREL('Returns (Calc)'!$G$3:$G$500,'Returns (Calc)'!$J$3:$J$500),2),"")</f>
        <v>0.27</v>
      </c>
      <c r="K11" s="150">
        <f>IFERROR(ROUND(CORREL('Returns (Calc)'!$G$3:$G$500,'Returns (Calc)'!$K$3:$K$500),2),"")</f>
        <v>0.25</v>
      </c>
      <c r="L11" s="150">
        <f>IFERROR(ROUND(CORREL('Returns (Calc)'!$G$3:$G$500,'Returns (Calc)'!$L$3:$L$500),2),"")</f>
        <v>0.62</v>
      </c>
      <c r="M11" s="150">
        <f>IFERROR(ROUND(CORREL('Returns (Calc)'!$G$3:$G$500,'Returns (Calc)'!$M$3:$M$500),2),"")</f>
        <v>0.5</v>
      </c>
      <c r="N11" s="150">
        <f>IFERROR(ROUND(CORREL('Returns (Calc)'!$G$3:$G$500,'Returns (Calc)'!$N$3:$N$500),2),"")</f>
        <v>0.16</v>
      </c>
      <c r="O11" s="150">
        <f>IFERROR(ROUND(CORREL('Returns (Calc)'!$G$3:$G$500,'Returns (Calc)'!$O$3:$O$500),2),"")</f>
        <v>0.43</v>
      </c>
      <c r="P11" s="150">
        <f>IFERROR(ROUND(CORREL('Returns (Calc)'!$G$3:$G$500,'Returns (Calc)'!$P$3:$P$500),2),"")</f>
        <v>0.25</v>
      </c>
      <c r="Q11" s="150">
        <f>IFERROR(ROUND(CORREL('Returns (Calc)'!$G$3:$G$500,'Returns (Calc)'!$Q$3:$Q$500),2),"")</f>
        <v>0.52</v>
      </c>
      <c r="R11" s="150">
        <f>IFERROR(ROUND(CORREL('Returns (Calc)'!$G$3:$G$500,'Returns (Calc)'!$R$3:$R$500),2),"")</f>
        <v>0.62</v>
      </c>
      <c r="S11" s="150">
        <f>IFERROR(ROUND(CORREL('Returns (Calc)'!$G$3:$G$500,'Returns (Calc)'!$S$3:$S$500),2),"")</f>
        <v>0.67</v>
      </c>
      <c r="T11" s="150">
        <f>IFERROR(ROUND(CORREL('Returns (Calc)'!$G$3:$G$500,'Returns (Calc)'!$T$3:$T$500),2),"")</f>
        <v>0.31</v>
      </c>
      <c r="U11" s="150">
        <f>IFERROR(ROUND(CORREL('Returns (Calc)'!$G$3:$G$500,'Returns (Calc)'!$U$3:$U$500),2),"")</f>
        <v>0.28000000000000003</v>
      </c>
      <c r="V11" s="150">
        <f>IFERROR(ROUND(CORREL('Returns (Calc)'!$G$3:$G$500,'Returns (Calc)'!$V$3:$V$500),2),"")</f>
        <v>0.02</v>
      </c>
      <c r="W11" s="150">
        <f>IFERROR(ROUND(CORREL('Returns (Calc)'!$G$3:$G$500,'Returns (Calc)'!$AP$3:$AP$500),2),"")</f>
        <v>0.45</v>
      </c>
      <c r="X11" s="150">
        <f>IFERROR(ROUND(CORREL('Returns (Calc)'!$G$3:$G$500,'Returns (Calc)'!$AQ$3:$AQ$500),2),"")</f>
        <v>-0.17</v>
      </c>
      <c r="Y11" s="150">
        <f>IFERROR(ROUND(CORREL('Returns (Calc)'!$G$3:$G$500,'Returns (Calc)'!$AR$3:$AR$500),2),"")</f>
        <v>0.45</v>
      </c>
      <c r="Z11" s="150">
        <f>IFERROR(ROUND(CORREL('Returns (Calc)'!$G$3:$G$500,'Returns (Calc)'!$AS$3:$AS$500),2),"")</f>
        <v>0.38</v>
      </c>
      <c r="AA11" s="150">
        <f>IFERROR(ROUND(CORREL('Returns (Calc)'!$G$3:$G$500,'Returns (Calc)'!$AT$3:$AT$500),2),"")</f>
        <v>0.11</v>
      </c>
      <c r="AG11" s="151">
        <f t="shared" si="0"/>
        <v>1</v>
      </c>
    </row>
    <row r="12" spans="1:33" ht="15" customHeight="1" x14ac:dyDescent="0.35">
      <c r="A12" s="149" t="str">
        <f>'Returns (Calc)'!H2</f>
        <v>MU</v>
      </c>
      <c r="B12" s="150">
        <f>IFERROR(ROUND(CORREL('Returns (Calc)'!$H$3:$H$500,'Returns (Calc)'!$B$3:$B$500),2),"")</f>
        <v>0.04</v>
      </c>
      <c r="C12" s="150">
        <f>IFERROR(ROUND(CORREL('Returns (Calc)'!$H$3:$H$500,'Returns (Calc)'!$C$3:$C$500),2),"")</f>
        <v>0.34</v>
      </c>
      <c r="D12" s="150">
        <f>IFERROR(ROUND(CORREL('Returns (Calc)'!$H$3:$H$500,'Returns (Calc)'!$D$3:$D$500),2),"")</f>
        <v>0.6</v>
      </c>
      <c r="E12" s="150">
        <f>IFERROR(ROUND(CORREL('Returns (Calc)'!$H$3:$H$500,'Returns (Calc)'!$E$3:$E$500),2),"")</f>
        <v>0.48</v>
      </c>
      <c r="F12" s="150">
        <f>IFERROR(ROUND(CORREL('Returns (Calc)'!$H$3:$H$500,'Returns (Calc)'!$F$3:$F$500),2),"")</f>
        <v>0.32</v>
      </c>
      <c r="G12" s="150">
        <f>IFERROR(ROUND(CORREL('Returns (Calc)'!$H$3:$H$500,'Returns (Calc)'!$G$3:$G$500),2),"")</f>
        <v>0.59</v>
      </c>
      <c r="H12" s="150">
        <v>1</v>
      </c>
      <c r="I12" s="150">
        <f>IFERROR(ROUND(CORREL('Returns (Calc)'!$H$3:$H$500,'Returns (Calc)'!$I$3:$I$500),2),"")</f>
        <v>0.5</v>
      </c>
      <c r="J12" s="150">
        <f>IFERROR(ROUND(CORREL('Returns (Calc)'!$H$3:$H$500,'Returns (Calc)'!$J$3:$J$500),2),"")</f>
        <v>0.2</v>
      </c>
      <c r="K12" s="150">
        <f>IFERROR(ROUND(CORREL('Returns (Calc)'!$H$3:$H$500,'Returns (Calc)'!$K$3:$K$500),2),"")</f>
        <v>0.17</v>
      </c>
      <c r="L12" s="150">
        <f>IFERROR(ROUND(CORREL('Returns (Calc)'!$H$3:$H$500,'Returns (Calc)'!$L$3:$L$500),2),"")</f>
        <v>0.56000000000000005</v>
      </c>
      <c r="M12" s="150">
        <f>IFERROR(ROUND(CORREL('Returns (Calc)'!$H$3:$H$500,'Returns (Calc)'!$M$3:$M$500),2),"")</f>
        <v>0.5</v>
      </c>
      <c r="N12" s="150">
        <f>IFERROR(ROUND(CORREL('Returns (Calc)'!$H$3:$H$500,'Returns (Calc)'!$N$3:$N$500),2),"")</f>
        <v>0.18</v>
      </c>
      <c r="O12" s="150">
        <f>IFERROR(ROUND(CORREL('Returns (Calc)'!$H$3:$H$500,'Returns (Calc)'!$O$3:$O$500),2),"")</f>
        <v>0.35</v>
      </c>
      <c r="P12" s="150">
        <f>IFERROR(ROUND(CORREL('Returns (Calc)'!$H$3:$H$500,'Returns (Calc)'!$P$3:$P$500),2),"")</f>
        <v>0.23</v>
      </c>
      <c r="Q12" s="150">
        <f>IFERROR(ROUND(CORREL('Returns (Calc)'!$H$3:$H$500,'Returns (Calc)'!$Q$3:$Q$500),2),"")</f>
        <v>0.51</v>
      </c>
      <c r="R12" s="150">
        <f>IFERROR(ROUND(CORREL('Returns (Calc)'!$H$3:$H$500,'Returns (Calc)'!$R$3:$R$500),2),"")</f>
        <v>0.61</v>
      </c>
      <c r="S12" s="150">
        <f>IFERROR(ROUND(CORREL('Returns (Calc)'!$H$3:$H$500,'Returns (Calc)'!$S$3:$S$500),2),"")</f>
        <v>0.66</v>
      </c>
      <c r="T12" s="150">
        <f>IFERROR(ROUND(CORREL('Returns (Calc)'!$H$3:$H$500,'Returns (Calc)'!$T$3:$T$500),2),"")</f>
        <v>0.42</v>
      </c>
      <c r="U12" s="150">
        <f>IFERROR(ROUND(CORREL('Returns (Calc)'!$H$3:$H$500,'Returns (Calc)'!$U$3:$U$500),2),"")</f>
        <v>0.26</v>
      </c>
      <c r="V12" s="150">
        <f>IFERROR(ROUND(CORREL('Returns (Calc)'!$H$3:$H$500,'Returns (Calc)'!$V$3:$V$500),2),"")</f>
        <v>0.02</v>
      </c>
      <c r="W12" s="150">
        <f>IFERROR(ROUND(CORREL('Returns (Calc)'!$H$3:$H$500,'Returns (Calc)'!$AP$3:$AP$500),2),"")</f>
        <v>0.39</v>
      </c>
      <c r="X12" s="150">
        <f>IFERROR(ROUND(CORREL('Returns (Calc)'!$H$3:$H$500,'Returns (Calc)'!$AQ$3:$AQ$500),2),"")</f>
        <v>-0.35</v>
      </c>
      <c r="Y12" s="150">
        <f>IFERROR(ROUND(CORREL('Returns (Calc)'!$H$3:$H$500,'Returns (Calc)'!$AR$3:$AR$500),2),"")</f>
        <v>0.35</v>
      </c>
      <c r="Z12" s="150">
        <f>IFERROR(ROUND(CORREL('Returns (Calc)'!$H$3:$H$500,'Returns (Calc)'!$AS$3:$AS$500),2),"")</f>
        <v>0.36</v>
      </c>
      <c r="AA12" s="150">
        <f>IFERROR(ROUND(CORREL('Returns (Calc)'!$H$3:$H$500,'Returns (Calc)'!$AT$3:$AT$500),2),"")</f>
        <v>0.1</v>
      </c>
      <c r="AG12" s="151">
        <f t="shared" si="0"/>
        <v>0</v>
      </c>
    </row>
    <row r="13" spans="1:33" ht="15" customHeight="1" x14ac:dyDescent="0.35">
      <c r="A13" s="149" t="str">
        <f>'Returns (Calc)'!I2</f>
        <v>NVDA</v>
      </c>
      <c r="B13" s="150">
        <f>IFERROR(ROUND(CORREL('Returns (Calc)'!$I$3:$I$500,'Returns (Calc)'!$B$3:$B$500),2),"")</f>
        <v>0.21</v>
      </c>
      <c r="C13" s="150">
        <f>IFERROR(ROUND(CORREL('Returns (Calc)'!$I$3:$I$500,'Returns (Calc)'!$C$3:$C$500),2),"")</f>
        <v>0.52</v>
      </c>
      <c r="D13" s="150">
        <f>IFERROR(ROUND(CORREL('Returns (Calc)'!$I$3:$I$500,'Returns (Calc)'!$D$3:$D$500),2),"")</f>
        <v>0.49</v>
      </c>
      <c r="E13" s="150">
        <f>IFERROR(ROUND(CORREL('Returns (Calc)'!$I$3:$I$500,'Returns (Calc)'!$E$3:$E$500),2),"")</f>
        <v>0.62</v>
      </c>
      <c r="F13" s="150">
        <f>IFERROR(ROUND(CORREL('Returns (Calc)'!$I$3:$I$500,'Returns (Calc)'!$F$3:$F$500),2),"")</f>
        <v>0.46</v>
      </c>
      <c r="G13" s="150">
        <f>IFERROR(ROUND(CORREL('Returns (Calc)'!$I$3:$I$500,'Returns (Calc)'!$G$3:$G$500),2),"")</f>
        <v>0.52</v>
      </c>
      <c r="H13" s="150">
        <f>IFERROR(ROUND(CORREL('Returns (Calc)'!$I$3:$I$500,'Returns (Calc)'!$H$3:$H$500),2),"")</f>
        <v>0.5</v>
      </c>
      <c r="I13" s="150">
        <v>1</v>
      </c>
      <c r="J13" s="150">
        <f>IFERROR(ROUND(CORREL('Returns (Calc)'!$I$3:$I$500,'Returns (Calc)'!$J$3:$J$500),2),"")</f>
        <v>0.16</v>
      </c>
      <c r="K13" s="150">
        <f>IFERROR(ROUND(CORREL('Returns (Calc)'!$I$3:$I$500,'Returns (Calc)'!$K$3:$K$500),2),"")</f>
        <v>0.46</v>
      </c>
      <c r="L13" s="150">
        <f>IFERROR(ROUND(CORREL('Returns (Calc)'!$I$3:$I$500,'Returns (Calc)'!$L$3:$L$500),2),"")</f>
        <v>0.64</v>
      </c>
      <c r="M13" s="150">
        <f>IFERROR(ROUND(CORREL('Returns (Calc)'!$I$3:$I$500,'Returns (Calc)'!$M$3:$M$500),2),"")</f>
        <v>0.65</v>
      </c>
      <c r="N13" s="150">
        <f>IFERROR(ROUND(CORREL('Returns (Calc)'!$I$3:$I$500,'Returns (Calc)'!$N$3:$N$500),2),"")</f>
        <v>0.14000000000000001</v>
      </c>
      <c r="O13" s="150">
        <f>IFERROR(ROUND(CORREL('Returns (Calc)'!$I$3:$I$500,'Returns (Calc)'!$O$3:$O$500),2),"")</f>
        <v>0.28000000000000003</v>
      </c>
      <c r="P13" s="150">
        <f>IFERROR(ROUND(CORREL('Returns (Calc)'!$I$3:$I$500,'Returns (Calc)'!$P$3:$P$500),2),"")</f>
        <v>0.14000000000000001</v>
      </c>
      <c r="Q13" s="150">
        <f>IFERROR(ROUND(CORREL('Returns (Calc)'!$I$3:$I$500,'Returns (Calc)'!$Q$3:$Q$500),2),"")</f>
        <v>0.7</v>
      </c>
      <c r="R13" s="150">
        <f>IFERROR(ROUND(CORREL('Returns (Calc)'!$I$3:$I$500,'Returns (Calc)'!$R$3:$R$500),2),"")</f>
        <v>0.74</v>
      </c>
      <c r="S13" s="150">
        <f>IFERROR(ROUND(CORREL('Returns (Calc)'!$I$3:$I$500,'Returns (Calc)'!$S$3:$S$500),2),"")</f>
        <v>0.75</v>
      </c>
      <c r="T13" s="150">
        <f>IFERROR(ROUND(CORREL('Returns (Calc)'!$I$3:$I$500,'Returns (Calc)'!$T$3:$T$500),2),"")</f>
        <v>0.3</v>
      </c>
      <c r="U13" s="150">
        <f>IFERROR(ROUND(CORREL('Returns (Calc)'!$I$3:$I$500,'Returns (Calc)'!$U$3:$U$500),2),"")</f>
        <v>0.18</v>
      </c>
      <c r="V13" s="150">
        <f>IFERROR(ROUND(CORREL('Returns (Calc)'!$I$3:$I$500,'Returns (Calc)'!$V$3:$V$500),2),"")</f>
        <v>0.2</v>
      </c>
      <c r="W13" s="150">
        <f>IFERROR(ROUND(CORREL('Returns (Calc)'!$I$3:$I$500,'Returns (Calc)'!$AP$3:$AP$500),2),"")</f>
        <v>0.38</v>
      </c>
      <c r="X13" s="150">
        <f>IFERROR(ROUND(CORREL('Returns (Calc)'!$I$3:$I$500,'Returns (Calc)'!$AQ$3:$AQ$500),2),"")</f>
        <v>-0.31</v>
      </c>
      <c r="Y13" s="150">
        <f>IFERROR(ROUND(CORREL('Returns (Calc)'!$I$3:$I$500,'Returns (Calc)'!$AR$3:$AR$500),2),"")</f>
        <v>0.44</v>
      </c>
      <c r="Z13" s="150">
        <f>IFERROR(ROUND(CORREL('Returns (Calc)'!$I$3:$I$500,'Returns (Calc)'!$AS$3:$AS$500),2),"")</f>
        <v>0.38</v>
      </c>
      <c r="AA13" s="150">
        <f>IFERROR(ROUND(CORREL('Returns (Calc)'!$I$3:$I$500,'Returns (Calc)'!$AT$3:$AT$500),2),"")</f>
        <v>0.27</v>
      </c>
      <c r="AG13" s="151">
        <f t="shared" si="0"/>
        <v>2</v>
      </c>
    </row>
    <row r="14" spans="1:33" ht="15" customHeight="1" x14ac:dyDescent="0.35">
      <c r="A14" s="149" t="str">
        <f>'Returns (Calc)'!J2</f>
        <v>PLD</v>
      </c>
      <c r="B14" s="150">
        <f>IFERROR(ROUND(CORREL('Returns (Calc)'!$J$3:$J$500,'Returns (Calc)'!$B$3:$B$500),2),"")</f>
        <v>0.17</v>
      </c>
      <c r="C14" s="150">
        <f>IFERROR(ROUND(CORREL('Returns (Calc)'!$J$3:$J$500,'Returns (Calc)'!$C$3:$C$500),2),"")</f>
        <v>0.18</v>
      </c>
      <c r="D14" s="150">
        <f>IFERROR(ROUND(CORREL('Returns (Calc)'!$J$3:$J$500,'Returns (Calc)'!$D$3:$D$500),2),"")</f>
        <v>0.27</v>
      </c>
      <c r="E14" s="150">
        <f>IFERROR(ROUND(CORREL('Returns (Calc)'!$J$3:$J$500,'Returns (Calc)'!$E$3:$E$500),2),"")</f>
        <v>0.22</v>
      </c>
      <c r="F14" s="150">
        <f>IFERROR(ROUND(CORREL('Returns (Calc)'!$J$3:$J$500,'Returns (Calc)'!$F$3:$F$500),2),"")</f>
        <v>0.1</v>
      </c>
      <c r="G14" s="150">
        <f>IFERROR(ROUND(CORREL('Returns (Calc)'!$J$3:$J$500,'Returns (Calc)'!$G$3:$G$500),2),"")</f>
        <v>0.27</v>
      </c>
      <c r="H14" s="150">
        <f>IFERROR(ROUND(CORREL('Returns (Calc)'!$J$3:$J$500,'Returns (Calc)'!$H$3:$H$500),2),"")</f>
        <v>0.2</v>
      </c>
      <c r="I14" s="150">
        <f>IFERROR(ROUND(CORREL('Returns (Calc)'!$J$3:$J$500,'Returns (Calc)'!$I$3:$I$500),2),"")</f>
        <v>0.16</v>
      </c>
      <c r="J14" s="150">
        <v>1</v>
      </c>
      <c r="K14" s="150">
        <f>IFERROR(ROUND(CORREL('Returns (Calc)'!$J$3:$J$500,'Returns (Calc)'!$K$3:$K$500),2),"")</f>
        <v>0.13</v>
      </c>
      <c r="L14" s="150">
        <f>IFERROR(ROUND(CORREL('Returns (Calc)'!$J$3:$J$500,'Returns (Calc)'!$L$3:$L$500),2),"")</f>
        <v>0.2</v>
      </c>
      <c r="M14" s="150">
        <f>IFERROR(ROUND(CORREL('Returns (Calc)'!$J$3:$J$500,'Returns (Calc)'!$M$3:$M$500),2),"")</f>
        <v>0.15</v>
      </c>
      <c r="N14" s="150">
        <f>IFERROR(ROUND(CORREL('Returns (Calc)'!$J$3:$J$500,'Returns (Calc)'!$N$3:$N$500),2),"")</f>
        <v>0.25</v>
      </c>
      <c r="O14" s="150">
        <f>IFERROR(ROUND(CORREL('Returns (Calc)'!$J$3:$J$500,'Returns (Calc)'!$O$3:$O$500),2),"")</f>
        <v>0.62</v>
      </c>
      <c r="P14" s="150">
        <f>IFERROR(ROUND(CORREL('Returns (Calc)'!$J$3:$J$500,'Returns (Calc)'!$P$3:$P$500),2),"")</f>
        <v>0.65</v>
      </c>
      <c r="Q14" s="150">
        <f>IFERROR(ROUND(CORREL('Returns (Calc)'!$J$3:$J$500,'Returns (Calc)'!$Q$3:$Q$500),2),"")</f>
        <v>0.48</v>
      </c>
      <c r="R14" s="150">
        <f>IFERROR(ROUND(CORREL('Returns (Calc)'!$J$3:$J$500,'Returns (Calc)'!$R$3:$R$500),2),"")</f>
        <v>0.36</v>
      </c>
      <c r="S14" s="150">
        <f>IFERROR(ROUND(CORREL('Returns (Calc)'!$J$3:$J$500,'Returns (Calc)'!$S$3:$S$500),2),"")</f>
        <v>0.34</v>
      </c>
      <c r="T14" s="150">
        <f>IFERROR(ROUND(CORREL('Returns (Calc)'!$J$3:$J$500,'Returns (Calc)'!$T$3:$T$500),2),"")</f>
        <v>0.52</v>
      </c>
      <c r="U14" s="150">
        <f>IFERROR(ROUND(CORREL('Returns (Calc)'!$J$3:$J$500,'Returns (Calc)'!$U$3:$U$500),2),"")</f>
        <v>0.66</v>
      </c>
      <c r="V14" s="150">
        <f>IFERROR(ROUND(CORREL('Returns (Calc)'!$J$3:$J$500,'Returns (Calc)'!$V$3:$V$500),2),"")</f>
        <v>0.37</v>
      </c>
      <c r="W14" s="150">
        <f>IFERROR(ROUND(CORREL('Returns (Calc)'!$J$3:$J$500,'Returns (Calc)'!$AP$3:$AP$500),2),"")</f>
        <v>0.65</v>
      </c>
      <c r="X14" s="150">
        <f>IFERROR(ROUND(CORREL('Returns (Calc)'!$J$3:$J$500,'Returns (Calc)'!$AQ$3:$AQ$500),2),"")</f>
        <v>0.09</v>
      </c>
      <c r="Y14" s="150">
        <f>IFERROR(ROUND(CORREL('Returns (Calc)'!$J$3:$J$500,'Returns (Calc)'!$AR$3:$AR$500),2),"")</f>
        <v>0.61</v>
      </c>
      <c r="Z14" s="150">
        <f>IFERROR(ROUND(CORREL('Returns (Calc)'!$J$3:$J$500,'Returns (Calc)'!$AS$3:$AS$500),2),"")</f>
        <v>0.3</v>
      </c>
      <c r="AA14" s="150">
        <f>IFERROR(ROUND(CORREL('Returns (Calc)'!$J$3:$J$500,'Returns (Calc)'!$AT$3:$AT$500),2),"")</f>
        <v>0.13</v>
      </c>
      <c r="AG14" s="151">
        <f t="shared" si="0"/>
        <v>0</v>
      </c>
    </row>
    <row r="15" spans="1:33" ht="15" customHeight="1" x14ac:dyDescent="0.35">
      <c r="A15" s="149" t="str">
        <f>'Returns (Calc)'!K2</f>
        <v>PLTR</v>
      </c>
      <c r="B15" s="150">
        <f>IFERROR(ROUND(CORREL('Returns (Calc)'!$K$3:$K$500,'Returns (Calc)'!$B$3:$B$500),2),"")</f>
        <v>0.37</v>
      </c>
      <c r="C15" s="150">
        <f>IFERROR(ROUND(CORREL('Returns (Calc)'!$K$3:$K$500,'Returns (Calc)'!$C$3:$C$500),2),"")</f>
        <v>0.34</v>
      </c>
      <c r="D15" s="150">
        <f>IFERROR(ROUND(CORREL('Returns (Calc)'!$K$3:$K$500,'Returns (Calc)'!$D$3:$D$500),2),"")</f>
        <v>0.21</v>
      </c>
      <c r="E15" s="150">
        <f>IFERROR(ROUND(CORREL('Returns (Calc)'!$K$3:$K$500,'Returns (Calc)'!$E$3:$E$500),2),"")</f>
        <v>0.38</v>
      </c>
      <c r="F15" s="150">
        <f>IFERROR(ROUND(CORREL('Returns (Calc)'!$K$3:$K$500,'Returns (Calc)'!$F$3:$F$500),2),"")</f>
        <v>0.5</v>
      </c>
      <c r="G15" s="150">
        <f>IFERROR(ROUND(CORREL('Returns (Calc)'!$K$3:$K$500,'Returns (Calc)'!$G$3:$G$500),2),"")</f>
        <v>0.25</v>
      </c>
      <c r="H15" s="150">
        <f>IFERROR(ROUND(CORREL('Returns (Calc)'!$K$3:$K$500,'Returns (Calc)'!$H$3:$H$500),2),"")</f>
        <v>0.17</v>
      </c>
      <c r="I15" s="150">
        <f>IFERROR(ROUND(CORREL('Returns (Calc)'!$K$3:$K$500,'Returns (Calc)'!$I$3:$I$500),2),"")</f>
        <v>0.46</v>
      </c>
      <c r="J15" s="150">
        <f>IFERROR(ROUND(CORREL('Returns (Calc)'!$K$3:$K$500,'Returns (Calc)'!$J$3:$J$500),2),"")</f>
        <v>0.13</v>
      </c>
      <c r="K15" s="150">
        <v>1</v>
      </c>
      <c r="L15" s="150">
        <f>IFERROR(ROUND(CORREL('Returns (Calc)'!$K$3:$K$500,'Returns (Calc)'!$L$3:$L$500),2),"")</f>
        <v>0.38</v>
      </c>
      <c r="M15" s="150">
        <f>IFERROR(ROUND(CORREL('Returns (Calc)'!$K$3:$K$500,'Returns (Calc)'!$M$3:$M$500),2),"")</f>
        <v>0.32</v>
      </c>
      <c r="N15" s="150">
        <f>IFERROR(ROUND(CORREL('Returns (Calc)'!$K$3:$K$500,'Returns (Calc)'!$N$3:$N$500),2),"")</f>
        <v>7.0000000000000007E-2</v>
      </c>
      <c r="O15" s="150">
        <f>IFERROR(ROUND(CORREL('Returns (Calc)'!$K$3:$K$500,'Returns (Calc)'!$O$3:$O$500),2),"")</f>
        <v>0.23</v>
      </c>
      <c r="P15" s="150">
        <f>IFERROR(ROUND(CORREL('Returns (Calc)'!$K$3:$K$500,'Returns (Calc)'!$P$3:$P$500),2),"")</f>
        <v>0.1</v>
      </c>
      <c r="Q15" s="150">
        <f>IFERROR(ROUND(CORREL('Returns (Calc)'!$K$3:$K$500,'Returns (Calc)'!$Q$3:$Q$500),2),"")</f>
        <v>0.48</v>
      </c>
      <c r="R15" s="150">
        <f>IFERROR(ROUND(CORREL('Returns (Calc)'!$K$3:$K$500,'Returns (Calc)'!$R$3:$R$500),2),"")</f>
        <v>0.52</v>
      </c>
      <c r="S15" s="150">
        <f>IFERROR(ROUND(CORREL('Returns (Calc)'!$K$3:$K$500,'Returns (Calc)'!$S$3:$S$500),2),"")</f>
        <v>0.44</v>
      </c>
      <c r="T15" s="150">
        <f>IFERROR(ROUND(CORREL('Returns (Calc)'!$K$3:$K$500,'Returns (Calc)'!$T$3:$T$500),2),"")</f>
        <v>0.34</v>
      </c>
      <c r="U15" s="150">
        <f>IFERROR(ROUND(CORREL('Returns (Calc)'!$K$3:$K$500,'Returns (Calc)'!$U$3:$U$500),2),"")</f>
        <v>0.14000000000000001</v>
      </c>
      <c r="V15" s="150">
        <f>IFERROR(ROUND(CORREL('Returns (Calc)'!$K$3:$K$500,'Returns (Calc)'!$V$3:$V$500),2),"")</f>
        <v>0.24</v>
      </c>
      <c r="W15" s="150">
        <f>IFERROR(ROUND(CORREL('Returns (Calc)'!$K$3:$K$500,'Returns (Calc)'!$AP$3:$AP$500),2),"")</f>
        <v>0.26</v>
      </c>
      <c r="X15" s="150">
        <f>IFERROR(ROUND(CORREL('Returns (Calc)'!$K$3:$K$500,'Returns (Calc)'!$AQ$3:$AQ$500),2),"")</f>
        <v>-0.48</v>
      </c>
      <c r="Y15" s="150">
        <f>IFERROR(ROUND(CORREL('Returns (Calc)'!$K$3:$K$500,'Returns (Calc)'!$AR$3:$AR$500),2),"")</f>
        <v>0.31</v>
      </c>
      <c r="Z15" s="150">
        <f>IFERROR(ROUND(CORREL('Returns (Calc)'!$K$3:$K$500,'Returns (Calc)'!$AS$3:$AS$500),2),"")</f>
        <v>0.26</v>
      </c>
      <c r="AA15" s="150">
        <f>IFERROR(ROUND(CORREL('Returns (Calc)'!$K$3:$K$500,'Returns (Calc)'!$AT$3:$AT$500),2),"")</f>
        <v>0.3</v>
      </c>
      <c r="AG15" s="151">
        <f t="shared" si="0"/>
        <v>0</v>
      </c>
    </row>
    <row r="16" spans="1:33" ht="15" customHeight="1" x14ac:dyDescent="0.35">
      <c r="A16" s="149" t="str">
        <f>'Returns (Calc)'!L2</f>
        <v>TSM</v>
      </c>
      <c r="B16" s="150">
        <f>IFERROR(ROUND(CORREL('Returns (Calc)'!$L$3:$L$500,'Returns (Calc)'!$B$3:$B$500),2),"")</f>
        <v>0.15</v>
      </c>
      <c r="C16" s="150">
        <f>IFERROR(ROUND(CORREL('Returns (Calc)'!$L$3:$L$500,'Returns (Calc)'!$C$3:$C$500),2),"")</f>
        <v>0.55000000000000004</v>
      </c>
      <c r="D16" s="150">
        <f>IFERROR(ROUND(CORREL('Returns (Calc)'!$L$3:$L$500,'Returns (Calc)'!$D$3:$D$500),2),"")</f>
        <v>0.64</v>
      </c>
      <c r="E16" s="150">
        <f>IFERROR(ROUND(CORREL('Returns (Calc)'!$L$3:$L$500,'Returns (Calc)'!$E$3:$E$500),2),"")</f>
        <v>0.63</v>
      </c>
      <c r="F16" s="150">
        <f>IFERROR(ROUND(CORREL('Returns (Calc)'!$L$3:$L$500,'Returns (Calc)'!$F$3:$F$500),2),"")</f>
        <v>0.39</v>
      </c>
      <c r="G16" s="150">
        <f>IFERROR(ROUND(CORREL('Returns (Calc)'!$L$3:$L$500,'Returns (Calc)'!$G$3:$G$500),2),"")</f>
        <v>0.62</v>
      </c>
      <c r="H16" s="150">
        <f>IFERROR(ROUND(CORREL('Returns (Calc)'!$L$3:$L$500,'Returns (Calc)'!$H$3:$H$500),2),"")</f>
        <v>0.56000000000000005</v>
      </c>
      <c r="I16" s="150">
        <f>IFERROR(ROUND(CORREL('Returns (Calc)'!$L$3:$L$500,'Returns (Calc)'!$I$3:$I$500),2),"")</f>
        <v>0.64</v>
      </c>
      <c r="J16" s="150">
        <f>IFERROR(ROUND(CORREL('Returns (Calc)'!$L$3:$L$500,'Returns (Calc)'!$J$3:$J$500),2),"")</f>
        <v>0.2</v>
      </c>
      <c r="K16" s="150">
        <f>IFERROR(ROUND(CORREL('Returns (Calc)'!$L$3:$L$500,'Returns (Calc)'!$K$3:$K$500),2),"")</f>
        <v>0.38</v>
      </c>
      <c r="L16" s="150">
        <v>1</v>
      </c>
      <c r="M16" s="150">
        <f>IFERROR(ROUND(CORREL('Returns (Calc)'!$L$3:$L$500,'Returns (Calc)'!$M$3:$M$500),2),"")</f>
        <v>0.6</v>
      </c>
      <c r="N16" s="150">
        <f>IFERROR(ROUND(CORREL('Returns (Calc)'!$L$3:$L$500,'Returns (Calc)'!$N$3:$N$500),2),"")</f>
        <v>0.15</v>
      </c>
      <c r="O16" s="150">
        <f>IFERROR(ROUND(CORREL('Returns (Calc)'!$L$3:$L$500,'Returns (Calc)'!$O$3:$O$500),2),"")</f>
        <v>0.33</v>
      </c>
      <c r="P16" s="150">
        <f>IFERROR(ROUND(CORREL('Returns (Calc)'!$L$3:$L$500,'Returns (Calc)'!$P$3:$P$500),2),"")</f>
        <v>0.16</v>
      </c>
      <c r="Q16" s="150">
        <f>IFERROR(ROUND(CORREL('Returns (Calc)'!$L$3:$L$500,'Returns (Calc)'!$Q$3:$Q$500),2),"")</f>
        <v>0.63</v>
      </c>
      <c r="R16" s="150">
        <f>IFERROR(ROUND(CORREL('Returns (Calc)'!$L$3:$L$500,'Returns (Calc)'!$R$3:$R$500),2),"")</f>
        <v>0.69</v>
      </c>
      <c r="S16" s="150">
        <f>IFERROR(ROUND(CORREL('Returns (Calc)'!$L$3:$L$500,'Returns (Calc)'!$S$3:$S$500),2),"")</f>
        <v>0.7</v>
      </c>
      <c r="T16" s="150">
        <f>IFERROR(ROUND(CORREL('Returns (Calc)'!$L$3:$L$500,'Returns (Calc)'!$T$3:$T$500),2),"")</f>
        <v>0.28000000000000003</v>
      </c>
      <c r="U16" s="150">
        <f>IFERROR(ROUND(CORREL('Returns (Calc)'!$L$3:$L$500,'Returns (Calc)'!$U$3:$U$500),2),"")</f>
        <v>0.21</v>
      </c>
      <c r="V16" s="150">
        <f>IFERROR(ROUND(CORREL('Returns (Calc)'!$L$3:$L$500,'Returns (Calc)'!$V$3:$V$500),2),"")</f>
        <v>0.13</v>
      </c>
      <c r="W16" s="150">
        <f>IFERROR(ROUND(CORREL('Returns (Calc)'!$L$3:$L$500,'Returns (Calc)'!$AP$3:$AP$500),2),"")</f>
        <v>0.42</v>
      </c>
      <c r="X16" s="150">
        <f>IFERROR(ROUND(CORREL('Returns (Calc)'!$L$3:$L$500,'Returns (Calc)'!$AQ$3:$AQ$500),2),"")</f>
        <v>-0.25</v>
      </c>
      <c r="Y16" s="150">
        <f>IFERROR(ROUND(CORREL('Returns (Calc)'!$L$3:$L$500,'Returns (Calc)'!$AR$3:$AR$500),2),"")</f>
        <v>0.48</v>
      </c>
      <c r="Z16" s="150">
        <f>IFERROR(ROUND(CORREL('Returns (Calc)'!$L$3:$L$500,'Returns (Calc)'!$AS$3:$AS$500),2),"")</f>
        <v>0.44</v>
      </c>
      <c r="AA16" s="150">
        <f>IFERROR(ROUND(CORREL('Returns (Calc)'!$L$3:$L$500,'Returns (Calc)'!$AT$3:$AT$500),2),"")</f>
        <v>0.3</v>
      </c>
      <c r="AG16" s="151">
        <f t="shared" si="0"/>
        <v>0</v>
      </c>
    </row>
    <row r="17" spans="1:33" ht="15" customHeight="1" x14ac:dyDescent="0.35">
      <c r="A17" s="149" t="str">
        <f>'Returns (Calc)'!M2</f>
        <v>VRT</v>
      </c>
      <c r="B17" s="150">
        <f>IFERROR(ROUND(CORREL('Returns (Calc)'!$M$3:$M$500,'Returns (Calc)'!$B$3:$B$500),2),"")</f>
        <v>0.06</v>
      </c>
      <c r="C17" s="150">
        <f>IFERROR(ROUND(CORREL('Returns (Calc)'!$M$3:$M$500,'Returns (Calc)'!$C$3:$C$500),2),"")</f>
        <v>0.57999999999999996</v>
      </c>
      <c r="D17" s="150">
        <f>IFERROR(ROUND(CORREL('Returns (Calc)'!$M$3:$M$500,'Returns (Calc)'!$D$3:$D$500),2),"")</f>
        <v>0.43</v>
      </c>
      <c r="E17" s="150">
        <f>IFERROR(ROUND(CORREL('Returns (Calc)'!$M$3:$M$500,'Returns (Calc)'!$E$3:$E$500),2),"")</f>
        <v>0.52</v>
      </c>
      <c r="F17" s="150">
        <f>IFERROR(ROUND(CORREL('Returns (Calc)'!$M$3:$M$500,'Returns (Calc)'!$F$3:$F$500),2),"")</f>
        <v>0.4</v>
      </c>
      <c r="G17" s="150">
        <f>IFERROR(ROUND(CORREL('Returns (Calc)'!$M$3:$M$500,'Returns (Calc)'!$G$3:$G$500),2),"")</f>
        <v>0.5</v>
      </c>
      <c r="H17" s="150">
        <f>IFERROR(ROUND(CORREL('Returns (Calc)'!$M$3:$M$500,'Returns (Calc)'!$H$3:$H$500),2),"")</f>
        <v>0.5</v>
      </c>
      <c r="I17" s="150">
        <f>IFERROR(ROUND(CORREL('Returns (Calc)'!$M$3:$M$500,'Returns (Calc)'!$I$3:$I$500),2),"")</f>
        <v>0.65</v>
      </c>
      <c r="J17" s="150">
        <f>IFERROR(ROUND(CORREL('Returns (Calc)'!$M$3:$M$500,'Returns (Calc)'!$J$3:$J$500),2),"")</f>
        <v>0.15</v>
      </c>
      <c r="K17" s="150">
        <f>IFERROR(ROUND(CORREL('Returns (Calc)'!$M$3:$M$500,'Returns (Calc)'!$K$3:$K$500),2),"")</f>
        <v>0.32</v>
      </c>
      <c r="L17" s="150">
        <f>IFERROR(ROUND(CORREL('Returns (Calc)'!$M$3:$M$500,'Returns (Calc)'!$L$3:$L$500),2),"")</f>
        <v>0.6</v>
      </c>
      <c r="M17" s="150">
        <v>1</v>
      </c>
      <c r="N17" s="150">
        <f>IFERROR(ROUND(CORREL('Returns (Calc)'!$M$3:$M$500,'Returns (Calc)'!$N$3:$N$500),2),"")</f>
        <v>0.12</v>
      </c>
      <c r="O17" s="150">
        <f>IFERROR(ROUND(CORREL('Returns (Calc)'!$M$3:$M$500,'Returns (Calc)'!$O$3:$O$500),2),"")</f>
        <v>0.35</v>
      </c>
      <c r="P17" s="150">
        <f>IFERROR(ROUND(CORREL('Returns (Calc)'!$M$3:$M$500,'Returns (Calc)'!$P$3:$P$500),2),"")</f>
        <v>0.21</v>
      </c>
      <c r="Q17" s="150">
        <f>IFERROR(ROUND(CORREL('Returns (Calc)'!$M$3:$M$500,'Returns (Calc)'!$Q$3:$Q$500),2),"")</f>
        <v>0.56999999999999995</v>
      </c>
      <c r="R17" s="150">
        <f>IFERROR(ROUND(CORREL('Returns (Calc)'!$M$3:$M$500,'Returns (Calc)'!$R$3:$R$500),2),"")</f>
        <v>0.63</v>
      </c>
      <c r="S17" s="150">
        <f>IFERROR(ROUND(CORREL('Returns (Calc)'!$M$3:$M$500,'Returns (Calc)'!$S$3:$S$500),2),"")</f>
        <v>0.66</v>
      </c>
      <c r="T17" s="150">
        <f>IFERROR(ROUND(CORREL('Returns (Calc)'!$M$3:$M$500,'Returns (Calc)'!$T$3:$T$500),2),"")</f>
        <v>0.3</v>
      </c>
      <c r="U17" s="150">
        <f>IFERROR(ROUND(CORREL('Returns (Calc)'!$M$3:$M$500,'Returns (Calc)'!$U$3:$U$500),2),"")</f>
        <v>0.21</v>
      </c>
      <c r="V17" s="150">
        <f>IFERROR(ROUND(CORREL('Returns (Calc)'!$M$3:$M$500,'Returns (Calc)'!$V$3:$V$500),2),"")</f>
        <v>0.14000000000000001</v>
      </c>
      <c r="W17" s="150">
        <f>IFERROR(ROUND(CORREL('Returns (Calc)'!$M$3:$M$500,'Returns (Calc)'!$AP$3:$AP$500),2),"")</f>
        <v>0.42</v>
      </c>
      <c r="X17" s="150">
        <f>IFERROR(ROUND(CORREL('Returns (Calc)'!$M$3:$M$500,'Returns (Calc)'!$AQ$3:$AQ$500),2),"")</f>
        <v>0.2</v>
      </c>
      <c r="Y17" s="150">
        <f>IFERROR(ROUND(CORREL('Returns (Calc)'!$M$3:$M$500,'Returns (Calc)'!$AR$3:$AR$500),2),"")</f>
        <v>0.44</v>
      </c>
      <c r="Z17" s="150">
        <f>IFERROR(ROUND(CORREL('Returns (Calc)'!$M$3:$M$500,'Returns (Calc)'!$AS$3:$AS$500),2),"")</f>
        <v>0.44</v>
      </c>
      <c r="AA17" s="150">
        <f>IFERROR(ROUND(CORREL('Returns (Calc)'!$M$3:$M$500,'Returns (Calc)'!$AT$3:$AT$500),2),"")</f>
        <v>0.32</v>
      </c>
      <c r="AG17" s="151">
        <f t="shared" si="0"/>
        <v>0</v>
      </c>
    </row>
    <row r="18" spans="1:33" ht="15" customHeight="1" x14ac:dyDescent="0.35">
      <c r="A18" s="149" t="str">
        <f>'Returns (Calc)'!N2</f>
        <v>VRTX</v>
      </c>
      <c r="B18" s="150">
        <f>IFERROR(ROUND(CORREL('Returns (Calc)'!$N$3:$N$500,'Returns (Calc)'!$B$3:$B$500),2),"")</f>
        <v>0.14000000000000001</v>
      </c>
      <c r="C18" s="150">
        <f>IFERROR(ROUND(CORREL('Returns (Calc)'!$N$3:$N$500,'Returns (Calc)'!$C$3:$C$500),2),"")</f>
        <v>0.05</v>
      </c>
      <c r="D18" s="150">
        <f>IFERROR(ROUND(CORREL('Returns (Calc)'!$N$3:$N$500,'Returns (Calc)'!$D$3:$D$500),2),"")</f>
        <v>0.11</v>
      </c>
      <c r="E18" s="150">
        <f>IFERROR(ROUND(CORREL('Returns (Calc)'!$N$3:$N$500,'Returns (Calc)'!$E$3:$E$500),2),"")</f>
        <v>0.14000000000000001</v>
      </c>
      <c r="F18" s="150">
        <f>IFERROR(ROUND(CORREL('Returns (Calc)'!$N$3:$N$500,'Returns (Calc)'!$F$3:$F$500),2),"")</f>
        <v>0.17</v>
      </c>
      <c r="G18" s="150">
        <f>IFERROR(ROUND(CORREL('Returns (Calc)'!$N$3:$N$500,'Returns (Calc)'!$G$3:$G$500),2),"")</f>
        <v>0.16</v>
      </c>
      <c r="H18" s="150">
        <f>IFERROR(ROUND(CORREL('Returns (Calc)'!$N$3:$N$500,'Returns (Calc)'!$H$3:$H$500),2),"")</f>
        <v>0.18</v>
      </c>
      <c r="I18" s="150">
        <f>IFERROR(ROUND(CORREL('Returns (Calc)'!$N$3:$N$500,'Returns (Calc)'!$I$3:$I$500),2),"")</f>
        <v>0.14000000000000001</v>
      </c>
      <c r="J18" s="150">
        <f>IFERROR(ROUND(CORREL('Returns (Calc)'!$N$3:$N$500,'Returns (Calc)'!$J$3:$J$500),2),"")</f>
        <v>0.25</v>
      </c>
      <c r="K18" s="150">
        <f>IFERROR(ROUND(CORREL('Returns (Calc)'!$N$3:$N$500,'Returns (Calc)'!$K$3:$K$500),2),"")</f>
        <v>7.0000000000000007E-2</v>
      </c>
      <c r="L18" s="150">
        <f>IFERROR(ROUND(CORREL('Returns (Calc)'!$N$3:$N$500,'Returns (Calc)'!$L$3:$L$500),2),"")</f>
        <v>0.15</v>
      </c>
      <c r="M18" s="150">
        <f>IFERROR(ROUND(CORREL('Returns (Calc)'!$N$3:$N$500,'Returns (Calc)'!$M$3:$M$500),2),"")</f>
        <v>0.12</v>
      </c>
      <c r="N18" s="150">
        <v>1</v>
      </c>
      <c r="O18" s="150">
        <f>IFERROR(ROUND(CORREL('Returns (Calc)'!$N$3:$N$500,'Returns (Calc)'!$O$3:$O$500),2),"")</f>
        <v>0.23</v>
      </c>
      <c r="P18" s="150">
        <f>IFERROR(ROUND(CORREL('Returns (Calc)'!$N$3:$N$500,'Returns (Calc)'!$P$3:$P$500),2),"")</f>
        <v>0.23</v>
      </c>
      <c r="Q18" s="150">
        <f>IFERROR(ROUND(CORREL('Returns (Calc)'!$N$3:$N$500,'Returns (Calc)'!$Q$3:$Q$500),2),"")</f>
        <v>0.27</v>
      </c>
      <c r="R18" s="150">
        <f>IFERROR(ROUND(CORREL('Returns (Calc)'!$N$3:$N$500,'Returns (Calc)'!$R$3:$R$500),2),"")</f>
        <v>0.2</v>
      </c>
      <c r="S18" s="150">
        <f>IFERROR(ROUND(CORREL('Returns (Calc)'!$N$3:$N$500,'Returns (Calc)'!$S$3:$S$500),2),"")</f>
        <v>0.17</v>
      </c>
      <c r="T18" s="150">
        <f>IFERROR(ROUND(CORREL('Returns (Calc)'!$N$3:$N$500,'Returns (Calc)'!$T$3:$T$500),2),"")</f>
        <v>0.32</v>
      </c>
      <c r="U18" s="150">
        <f>IFERROR(ROUND(CORREL('Returns (Calc)'!$N$3:$N$500,'Returns (Calc)'!$U$3:$U$500),2),"")</f>
        <v>0.35</v>
      </c>
      <c r="V18" s="150">
        <f>IFERROR(ROUND(CORREL('Returns (Calc)'!$N$3:$N$500,'Returns (Calc)'!$V$3:$V$500),2),"")</f>
        <v>0.26</v>
      </c>
      <c r="W18" s="150">
        <f>IFERROR(ROUND(CORREL('Returns (Calc)'!$N$3:$N$500,'Returns (Calc)'!$AP$3:$AP$500),2),"")</f>
        <v>0.28000000000000003</v>
      </c>
      <c r="X18" s="150">
        <f>IFERROR(ROUND(CORREL('Returns (Calc)'!$N$3:$N$500,'Returns (Calc)'!$AQ$3:$AQ$500),2),"")</f>
        <v>-0.16</v>
      </c>
      <c r="Y18" s="150">
        <f>IFERROR(ROUND(CORREL('Returns (Calc)'!$N$3:$N$500,'Returns (Calc)'!$AR$3:$AR$500),2),"")</f>
        <v>0.34</v>
      </c>
      <c r="Z18" s="150">
        <f>IFERROR(ROUND(CORREL('Returns (Calc)'!$N$3:$N$500,'Returns (Calc)'!$AS$3:$AS$500),2),"")</f>
        <v>0.08</v>
      </c>
      <c r="AA18" s="150">
        <f>IFERROR(ROUND(CORREL('Returns (Calc)'!$N$3:$N$500,'Returns (Calc)'!$AT$3:$AT$500),2),"")</f>
        <v>0.08</v>
      </c>
      <c r="AG18" s="151">
        <f t="shared" si="0"/>
        <v>0</v>
      </c>
    </row>
    <row r="19" spans="1:33" ht="15" customHeight="1" x14ac:dyDescent="0.35">
      <c r="A19" s="149" t="str">
        <f>'Returns (Calc)'!O2</f>
        <v>AVUV</v>
      </c>
      <c r="B19" s="150">
        <f>IFERROR(ROUND(CORREL('Returns (Calc)'!$O$3:$O$500,'Returns (Calc)'!$B$3:$B$500),2),"")</f>
        <v>0.16</v>
      </c>
      <c r="C19" s="150">
        <f>IFERROR(ROUND(CORREL('Returns (Calc)'!$O$3:$O$500,'Returns (Calc)'!$C$3:$C$500),2),"")</f>
        <v>0.35</v>
      </c>
      <c r="D19" s="150">
        <f>IFERROR(ROUND(CORREL('Returns (Calc)'!$O$3:$O$500,'Returns (Calc)'!$D$3:$D$500),2),"")</f>
        <v>0.38</v>
      </c>
      <c r="E19" s="150">
        <f>IFERROR(ROUND(CORREL('Returns (Calc)'!$O$3:$O$500,'Returns (Calc)'!$E$3:$E$500),2),"")</f>
        <v>0.28999999999999998</v>
      </c>
      <c r="F19" s="150">
        <f>IFERROR(ROUND(CORREL('Returns (Calc)'!$O$3:$O$500,'Returns (Calc)'!$F$3:$F$500),2),"")</f>
        <v>0.19</v>
      </c>
      <c r="G19" s="150">
        <f>IFERROR(ROUND(CORREL('Returns (Calc)'!$O$3:$O$500,'Returns (Calc)'!$G$3:$G$500),2),"")</f>
        <v>0.43</v>
      </c>
      <c r="H19" s="150">
        <f>IFERROR(ROUND(CORREL('Returns (Calc)'!$O$3:$O$500,'Returns (Calc)'!$H$3:$H$500),2),"")</f>
        <v>0.35</v>
      </c>
      <c r="I19" s="150">
        <f>IFERROR(ROUND(CORREL('Returns (Calc)'!$O$3:$O$500,'Returns (Calc)'!$I$3:$I$500),2),"")</f>
        <v>0.28000000000000003</v>
      </c>
      <c r="J19" s="150">
        <f>IFERROR(ROUND(CORREL('Returns (Calc)'!$O$3:$O$500,'Returns (Calc)'!$J$3:$J$500),2),"")</f>
        <v>0.62</v>
      </c>
      <c r="K19" s="150">
        <f>IFERROR(ROUND(CORREL('Returns (Calc)'!$O$3:$O$500,'Returns (Calc)'!$K$3:$K$500),2),"")</f>
        <v>0.23</v>
      </c>
      <c r="L19" s="150">
        <f>IFERROR(ROUND(CORREL('Returns (Calc)'!$O$3:$O$500,'Returns (Calc)'!$L$3:$L$500),2),"")</f>
        <v>0.33</v>
      </c>
      <c r="M19" s="150">
        <f>IFERROR(ROUND(CORREL('Returns (Calc)'!$O$3:$O$500,'Returns (Calc)'!$M$3:$M$500),2),"")</f>
        <v>0.35</v>
      </c>
      <c r="N19" s="150">
        <f>IFERROR(ROUND(CORREL('Returns (Calc)'!$O$3:$O$500,'Returns (Calc)'!$N$3:$N$500),2),"")</f>
        <v>0.23</v>
      </c>
      <c r="O19" s="150">
        <v>1</v>
      </c>
      <c r="P19" s="150">
        <f>IFERROR(ROUND(CORREL('Returns (Calc)'!$O$3:$O$500,'Returns (Calc)'!$P$3:$P$500),2),"")</f>
        <v>0.86</v>
      </c>
      <c r="Q19" s="150">
        <f>IFERROR(ROUND(CORREL('Returns (Calc)'!$O$3:$O$500,'Returns (Calc)'!$Q$3:$Q$500),2),"")</f>
        <v>0.64</v>
      </c>
      <c r="R19" s="150">
        <f>IFERROR(ROUND(CORREL('Returns (Calc)'!$O$3:$O$500,'Returns (Calc)'!$R$3:$R$500),2),"")</f>
        <v>0.52</v>
      </c>
      <c r="S19" s="150">
        <f>IFERROR(ROUND(CORREL('Returns (Calc)'!$O$3:$O$500,'Returns (Calc)'!$S$3:$S$500),2),"")</f>
        <v>0.5</v>
      </c>
      <c r="T19" s="150">
        <f>IFERROR(ROUND(CORREL('Returns (Calc)'!$O$3:$O$500,'Returns (Calc)'!$T$3:$T$500),2),"")</f>
        <v>0.78</v>
      </c>
      <c r="U19" s="150">
        <f>IFERROR(ROUND(CORREL('Returns (Calc)'!$O$3:$O$500,'Returns (Calc)'!$U$3:$U$500),2),"")</f>
        <v>0.83</v>
      </c>
      <c r="V19" s="150">
        <f>IFERROR(ROUND(CORREL('Returns (Calc)'!$O$3:$O$500,'Returns (Calc)'!$V$3:$V$500),2),"")</f>
        <v>0.36</v>
      </c>
      <c r="W19" s="150">
        <f>IFERROR(ROUND(CORREL('Returns (Calc)'!$O$3:$O$500,'Returns (Calc)'!$AP$3:$AP$500),2),"")</f>
        <v>0.87</v>
      </c>
      <c r="X19" s="150">
        <f>IFERROR(ROUND(CORREL('Returns (Calc)'!$O$3:$O$500,'Returns (Calc)'!$AQ$3:$AQ$500),2),"")</f>
        <v>0.11</v>
      </c>
      <c r="Y19" s="150">
        <f>IFERROR(ROUND(CORREL('Returns (Calc)'!$O$3:$O$500,'Returns (Calc)'!$AR$3:$AR$500),2),"")</f>
        <v>0.73</v>
      </c>
      <c r="Z19" s="150">
        <f>IFERROR(ROUND(CORREL('Returns (Calc)'!$O$3:$O$500,'Returns (Calc)'!$AS$3:$AS$500),2),"")</f>
        <v>0.46</v>
      </c>
      <c r="AA19" s="150">
        <f>IFERROR(ROUND(CORREL('Returns (Calc)'!$O$3:$O$500,'Returns (Calc)'!$AT$3:$AT$500),2),"")</f>
        <v>0.21</v>
      </c>
      <c r="AG19" s="151">
        <f t="shared" si="0"/>
        <v>5</v>
      </c>
    </row>
    <row r="20" spans="1:33" ht="15" customHeight="1" x14ac:dyDescent="0.35">
      <c r="A20" s="149" t="str">
        <f>'Returns (Calc)'!P2</f>
        <v>DVY</v>
      </c>
      <c r="B20" s="150">
        <f>IFERROR(ROUND(CORREL('Returns (Calc)'!$P$3:$P$500,'Returns (Calc)'!$B$3:$B$500),2),"")</f>
        <v>0.14000000000000001</v>
      </c>
      <c r="C20" s="150">
        <f>IFERROR(ROUND(CORREL('Returns (Calc)'!$P$3:$P$500,'Returns (Calc)'!$C$3:$C$500),2),"")</f>
        <v>0.24</v>
      </c>
      <c r="D20" s="150">
        <f>IFERROR(ROUND(CORREL('Returns (Calc)'!$P$3:$P$500,'Returns (Calc)'!$D$3:$D$500),2),"")</f>
        <v>0.23</v>
      </c>
      <c r="E20" s="150">
        <f>IFERROR(ROUND(CORREL('Returns (Calc)'!$P$3:$P$500,'Returns (Calc)'!$E$3:$E$500),2),"")</f>
        <v>0.11</v>
      </c>
      <c r="F20" s="150">
        <f>IFERROR(ROUND(CORREL('Returns (Calc)'!$P$3:$P$500,'Returns (Calc)'!$F$3:$F$500),2),"")</f>
        <v>0.1</v>
      </c>
      <c r="G20" s="150">
        <f>IFERROR(ROUND(CORREL('Returns (Calc)'!$P$3:$P$500,'Returns (Calc)'!$G$3:$G$500),2),"")</f>
        <v>0.25</v>
      </c>
      <c r="H20" s="150">
        <f>IFERROR(ROUND(CORREL('Returns (Calc)'!$P$3:$P$500,'Returns (Calc)'!$H$3:$H$500),2),"")</f>
        <v>0.23</v>
      </c>
      <c r="I20" s="150">
        <f>IFERROR(ROUND(CORREL('Returns (Calc)'!$P$3:$P$500,'Returns (Calc)'!$I$3:$I$500),2),"")</f>
        <v>0.14000000000000001</v>
      </c>
      <c r="J20" s="150">
        <f>IFERROR(ROUND(CORREL('Returns (Calc)'!$P$3:$P$500,'Returns (Calc)'!$J$3:$J$500),2),"")</f>
        <v>0.65</v>
      </c>
      <c r="K20" s="150">
        <f>IFERROR(ROUND(CORREL('Returns (Calc)'!$P$3:$P$500,'Returns (Calc)'!$K$3:$K$500),2),"")</f>
        <v>0.1</v>
      </c>
      <c r="L20" s="150">
        <f>IFERROR(ROUND(CORREL('Returns (Calc)'!$P$3:$P$500,'Returns (Calc)'!$L$3:$L$500),2),"")</f>
        <v>0.16</v>
      </c>
      <c r="M20" s="150">
        <f>IFERROR(ROUND(CORREL('Returns (Calc)'!$P$3:$P$500,'Returns (Calc)'!$M$3:$M$500),2),"")</f>
        <v>0.21</v>
      </c>
      <c r="N20" s="150">
        <f>IFERROR(ROUND(CORREL('Returns (Calc)'!$P$3:$P$500,'Returns (Calc)'!$N$3:$N$500),2),"")</f>
        <v>0.23</v>
      </c>
      <c r="O20" s="150">
        <f>IFERROR(ROUND(CORREL('Returns (Calc)'!$P$3:$P$500,'Returns (Calc)'!$O$3:$O$500),2),"")</f>
        <v>0.86</v>
      </c>
      <c r="P20" s="150">
        <v>1</v>
      </c>
      <c r="Q20" s="150">
        <f>IFERROR(ROUND(CORREL('Returns (Calc)'!$P$3:$P$500,'Returns (Calc)'!$Q$3:$Q$500),2),"")</f>
        <v>0.52</v>
      </c>
      <c r="R20" s="150">
        <f>IFERROR(ROUND(CORREL('Returns (Calc)'!$P$3:$P$500,'Returns (Calc)'!$R$3:$R$500),2),"")</f>
        <v>0.38</v>
      </c>
      <c r="S20" s="150">
        <f>IFERROR(ROUND(CORREL('Returns (Calc)'!$P$3:$P$500,'Returns (Calc)'!$S$3:$S$500),2),"")</f>
        <v>0.34</v>
      </c>
      <c r="T20" s="150">
        <f>IFERROR(ROUND(CORREL('Returns (Calc)'!$P$3:$P$500,'Returns (Calc)'!$T$3:$T$500),2),"")</f>
        <v>0.73</v>
      </c>
      <c r="U20" s="150">
        <f>IFERROR(ROUND(CORREL('Returns (Calc)'!$P$3:$P$500,'Returns (Calc)'!$U$3:$U$500),2),"")</f>
        <v>0.89</v>
      </c>
      <c r="V20" s="150">
        <f>IFERROR(ROUND(CORREL('Returns (Calc)'!$P$3:$P$500,'Returns (Calc)'!$V$3:$V$500),2),"")</f>
        <v>0.43</v>
      </c>
      <c r="W20" s="150">
        <f>IFERROR(ROUND(CORREL('Returns (Calc)'!$P$3:$P$500,'Returns (Calc)'!$AP$3:$AP$500),2),"")</f>
        <v>0.88</v>
      </c>
      <c r="X20" s="150">
        <f>IFERROR(ROUND(CORREL('Returns (Calc)'!$P$3:$P$500,'Returns (Calc)'!$AQ$3:$AQ$500),2),"")</f>
        <v>0.45</v>
      </c>
      <c r="Y20" s="150">
        <f>IFERROR(ROUND(CORREL('Returns (Calc)'!$P$3:$P$500,'Returns (Calc)'!$AR$3:$AR$500),2),"")</f>
        <v>0.76</v>
      </c>
      <c r="Z20" s="150">
        <f>IFERROR(ROUND(CORREL('Returns (Calc)'!$P$3:$P$500,'Returns (Calc)'!$AS$3:$AS$500),2),"")</f>
        <v>0.4</v>
      </c>
      <c r="AA20" s="150">
        <f>IFERROR(ROUND(CORREL('Returns (Calc)'!$P$3:$P$500,'Returns (Calc)'!$AT$3:$AT$500),2),"")</f>
        <v>0.18</v>
      </c>
      <c r="AG20" s="151">
        <f t="shared" si="0"/>
        <v>5</v>
      </c>
    </row>
    <row r="21" spans="1:33" ht="15" customHeight="1" x14ac:dyDescent="0.35">
      <c r="A21" s="149" t="str">
        <f>'Returns (Calc)'!Q2</f>
        <v>HELO</v>
      </c>
      <c r="B21" s="150">
        <f>IFERROR(ROUND(CORREL('Returns (Calc)'!$Q$3:$Q$500,'Returns (Calc)'!$B$3:$B$500),2),"")</f>
        <v>0.44</v>
      </c>
      <c r="C21" s="150">
        <f>IFERROR(ROUND(CORREL('Returns (Calc)'!$Q$3:$Q$500,'Returns (Calc)'!$C$3:$C$500),2),"")</f>
        <v>0.65</v>
      </c>
      <c r="D21" s="150">
        <f>IFERROR(ROUND(CORREL('Returns (Calc)'!$Q$3:$Q$500,'Returns (Calc)'!$D$3:$D$500),2),"")</f>
        <v>0.51</v>
      </c>
      <c r="E21" s="150">
        <f>IFERROR(ROUND(CORREL('Returns (Calc)'!$Q$3:$Q$500,'Returns (Calc)'!$E$3:$E$500),2),"")</f>
        <v>0.67</v>
      </c>
      <c r="F21" s="150">
        <f>IFERROR(ROUND(CORREL('Returns (Calc)'!$Q$3:$Q$500,'Returns (Calc)'!$F$3:$F$500),2),"")</f>
        <v>0.47</v>
      </c>
      <c r="G21" s="150">
        <f>IFERROR(ROUND(CORREL('Returns (Calc)'!$Q$3:$Q$500,'Returns (Calc)'!$G$3:$G$500),2),"")</f>
        <v>0.52</v>
      </c>
      <c r="H21" s="150">
        <f>IFERROR(ROUND(CORREL('Returns (Calc)'!$Q$3:$Q$500,'Returns (Calc)'!$H$3:$H$500),2),"")</f>
        <v>0.51</v>
      </c>
      <c r="I21" s="150">
        <f>IFERROR(ROUND(CORREL('Returns (Calc)'!$Q$3:$Q$500,'Returns (Calc)'!$I$3:$I$500),2),"")</f>
        <v>0.7</v>
      </c>
      <c r="J21" s="150">
        <f>IFERROR(ROUND(CORREL('Returns (Calc)'!$Q$3:$Q$500,'Returns (Calc)'!$J$3:$J$500),2),"")</f>
        <v>0.48</v>
      </c>
      <c r="K21" s="150">
        <f>IFERROR(ROUND(CORREL('Returns (Calc)'!$Q$3:$Q$500,'Returns (Calc)'!$K$3:$K$500),2),"")</f>
        <v>0.48</v>
      </c>
      <c r="L21" s="150">
        <f>IFERROR(ROUND(CORREL('Returns (Calc)'!$Q$3:$Q$500,'Returns (Calc)'!$L$3:$L$500),2),"")</f>
        <v>0.63</v>
      </c>
      <c r="M21" s="150">
        <f>IFERROR(ROUND(CORREL('Returns (Calc)'!$Q$3:$Q$500,'Returns (Calc)'!$M$3:$M$500),2),"")</f>
        <v>0.56999999999999995</v>
      </c>
      <c r="N21" s="150">
        <f>IFERROR(ROUND(CORREL('Returns (Calc)'!$Q$3:$Q$500,'Returns (Calc)'!$N$3:$N$500),2),"")</f>
        <v>0.27</v>
      </c>
      <c r="O21" s="150">
        <f>IFERROR(ROUND(CORREL('Returns (Calc)'!$Q$3:$Q$500,'Returns (Calc)'!$O$3:$O$500),2),"")</f>
        <v>0.64</v>
      </c>
      <c r="P21" s="150">
        <f>IFERROR(ROUND(CORREL('Returns (Calc)'!$Q$3:$Q$500,'Returns (Calc)'!$P$3:$P$500),2),"")</f>
        <v>0.52</v>
      </c>
      <c r="Q21" s="150">
        <v>1</v>
      </c>
      <c r="R21" s="150">
        <f>IFERROR(ROUND(CORREL('Returns (Calc)'!$Q$3:$Q$500,'Returns (Calc)'!$R$3:$R$500),2),"")</f>
        <v>0.9</v>
      </c>
      <c r="S21" s="150">
        <f>IFERROR(ROUND(CORREL('Returns (Calc)'!$Q$3:$Q$500,'Returns (Calc)'!$S$3:$S$500),2),"")</f>
        <v>0.84</v>
      </c>
      <c r="T21" s="150">
        <f>IFERROR(ROUND(CORREL('Returns (Calc)'!$Q$3:$Q$500,'Returns (Calc)'!$T$3:$T$500),2),"")</f>
        <v>0.66</v>
      </c>
      <c r="U21" s="150">
        <f>IFERROR(ROUND(CORREL('Returns (Calc)'!$Q$3:$Q$500,'Returns (Calc)'!$U$3:$U$500),2),"")</f>
        <v>0.57999999999999996</v>
      </c>
      <c r="V21" s="150">
        <f>IFERROR(ROUND(CORREL('Returns (Calc)'!$Q$3:$Q$500,'Returns (Calc)'!$V$3:$V$500),2),"")</f>
        <v>0.52</v>
      </c>
      <c r="W21" s="150">
        <f>IFERROR(ROUND(CORREL('Returns (Calc)'!$Q$3:$Q$500,'Returns (Calc)'!$AP$3:$AP$500),2),"")</f>
        <v>0.78</v>
      </c>
      <c r="X21" s="150">
        <f>IFERROR(ROUND(CORREL('Returns (Calc)'!$Q$3:$Q$500,'Returns (Calc)'!$AQ$3:$AQ$500),2),"")</f>
        <v>-0.43</v>
      </c>
      <c r="Y21" s="150">
        <f>IFERROR(ROUND(CORREL('Returns (Calc)'!$Q$3:$Q$500,'Returns (Calc)'!$AR$3:$AR$500),2),"")</f>
        <v>0.83</v>
      </c>
      <c r="Z21" s="150">
        <f>IFERROR(ROUND(CORREL('Returns (Calc)'!$Q$3:$Q$500,'Returns (Calc)'!$AS$3:$AS$500),2),"")</f>
        <v>0.53</v>
      </c>
      <c r="AA21" s="150">
        <f>IFERROR(ROUND(CORREL('Returns (Calc)'!$Q$3:$Q$500,'Returns (Calc)'!$AT$3:$AT$500),2),"")</f>
        <v>0.39</v>
      </c>
      <c r="AG21" s="151">
        <f t="shared" si="0"/>
        <v>4</v>
      </c>
    </row>
    <row r="22" spans="1:33" ht="15" customHeight="1" x14ac:dyDescent="0.35">
      <c r="A22" s="149" t="str">
        <f>'Returns (Calc)'!R2</f>
        <v>JEPQ</v>
      </c>
      <c r="B22" s="150">
        <f>IFERROR(ROUND(CORREL('Returns (Calc)'!$R$3:$R$500,'Returns (Calc)'!$B$3:$B$500),2),"")</f>
        <v>0.34</v>
      </c>
      <c r="C22" s="150">
        <f>IFERROR(ROUND(CORREL('Returns (Calc)'!$R$3:$R$500,'Returns (Calc)'!$C$3:$C$500),2),"")</f>
        <v>0.67</v>
      </c>
      <c r="D22" s="150">
        <f>IFERROR(ROUND(CORREL('Returns (Calc)'!$R$3:$R$500,'Returns (Calc)'!$D$3:$D$500),2),"")</f>
        <v>0.61</v>
      </c>
      <c r="E22" s="150">
        <f>IFERROR(ROUND(CORREL('Returns (Calc)'!$R$3:$R$500,'Returns (Calc)'!$E$3:$E$500),2),"")</f>
        <v>0.73</v>
      </c>
      <c r="F22" s="150">
        <f>IFERROR(ROUND(CORREL('Returns (Calc)'!$R$3:$R$500,'Returns (Calc)'!$F$3:$F$500),2),"")</f>
        <v>0.55000000000000004</v>
      </c>
      <c r="G22" s="150">
        <f>IFERROR(ROUND(CORREL('Returns (Calc)'!$R$3:$R$500,'Returns (Calc)'!$G$3:$G$500),2),"")</f>
        <v>0.62</v>
      </c>
      <c r="H22" s="150">
        <f>IFERROR(ROUND(CORREL('Returns (Calc)'!$R$3:$R$500,'Returns (Calc)'!$H$3:$H$500),2),"")</f>
        <v>0.61</v>
      </c>
      <c r="I22" s="150">
        <f>IFERROR(ROUND(CORREL('Returns (Calc)'!$R$3:$R$500,'Returns (Calc)'!$I$3:$I$500),2),"")</f>
        <v>0.74</v>
      </c>
      <c r="J22" s="150">
        <f>IFERROR(ROUND(CORREL('Returns (Calc)'!$R$3:$R$500,'Returns (Calc)'!$J$3:$J$500),2),"")</f>
        <v>0.36</v>
      </c>
      <c r="K22" s="150">
        <f>IFERROR(ROUND(CORREL('Returns (Calc)'!$R$3:$R$500,'Returns (Calc)'!$K$3:$K$500),2),"")</f>
        <v>0.52</v>
      </c>
      <c r="L22" s="150">
        <f>IFERROR(ROUND(CORREL('Returns (Calc)'!$R$3:$R$500,'Returns (Calc)'!$L$3:$L$500),2),"")</f>
        <v>0.69</v>
      </c>
      <c r="M22" s="150">
        <f>IFERROR(ROUND(CORREL('Returns (Calc)'!$R$3:$R$500,'Returns (Calc)'!$M$3:$M$500),2),"")</f>
        <v>0.63</v>
      </c>
      <c r="N22" s="150">
        <f>IFERROR(ROUND(CORREL('Returns (Calc)'!$R$3:$R$500,'Returns (Calc)'!$N$3:$N$500),2),"")</f>
        <v>0.2</v>
      </c>
      <c r="O22" s="150">
        <f>IFERROR(ROUND(CORREL('Returns (Calc)'!$R$3:$R$500,'Returns (Calc)'!$O$3:$O$500),2),"")</f>
        <v>0.52</v>
      </c>
      <c r="P22" s="150">
        <f>IFERROR(ROUND(CORREL('Returns (Calc)'!$R$3:$R$500,'Returns (Calc)'!$P$3:$P$500),2),"")</f>
        <v>0.38</v>
      </c>
      <c r="Q22" s="150">
        <f>IFERROR(ROUND(CORREL('Returns (Calc)'!$R$3:$R$500,'Returns (Calc)'!$Q$3:$Q$500),2),"")</f>
        <v>0.9</v>
      </c>
      <c r="R22" s="150">
        <v>1</v>
      </c>
      <c r="S22" s="150">
        <f>IFERROR(ROUND(CORREL('Returns (Calc)'!$R$3:$R$500,'Returns (Calc)'!$S$3:$S$500),2),"")</f>
        <v>0.89</v>
      </c>
      <c r="T22" s="150">
        <f>IFERROR(ROUND(CORREL('Returns (Calc)'!$R$3:$R$500,'Returns (Calc)'!$T$3:$T$500),2),"")</f>
        <v>0.55000000000000004</v>
      </c>
      <c r="U22" s="150">
        <f>IFERROR(ROUND(CORREL('Returns (Calc)'!$R$3:$R$500,'Returns (Calc)'!$U$3:$U$500),2),"")</f>
        <v>0.41</v>
      </c>
      <c r="V22" s="150">
        <f>IFERROR(ROUND(CORREL('Returns (Calc)'!$R$3:$R$500,'Returns (Calc)'!$V$3:$V$500),2),"")</f>
        <v>0.43</v>
      </c>
      <c r="W22" s="150">
        <f>IFERROR(ROUND(CORREL('Returns (Calc)'!$R$3:$R$500,'Returns (Calc)'!$AP$3:$AP$500),2),"")</f>
        <v>0.66</v>
      </c>
      <c r="X22" s="150">
        <f>IFERROR(ROUND(CORREL('Returns (Calc)'!$R$3:$R$500,'Returns (Calc)'!$AQ$3:$AQ$500),2),"")</f>
        <v>-0.49</v>
      </c>
      <c r="Y22" s="150">
        <f>IFERROR(ROUND(CORREL('Returns (Calc)'!$R$3:$R$500,'Returns (Calc)'!$AR$3:$AR$500),2),"")</f>
        <v>0.76</v>
      </c>
      <c r="Z22" s="150">
        <f>IFERROR(ROUND(CORREL('Returns (Calc)'!$R$3:$R$500,'Returns (Calc)'!$AS$3:$AS$500),2),"")</f>
        <v>0.52</v>
      </c>
      <c r="AA22" s="150">
        <f>IFERROR(ROUND(CORREL('Returns (Calc)'!$R$3:$R$500,'Returns (Calc)'!$AT$3:$AT$500),2),"")</f>
        <v>0.43</v>
      </c>
      <c r="AG22" s="151">
        <f t="shared" si="0"/>
        <v>5</v>
      </c>
    </row>
    <row r="23" spans="1:33" ht="15" customHeight="1" x14ac:dyDescent="0.35">
      <c r="A23" s="149" t="str">
        <f>'Returns (Calc)'!S2</f>
        <v>SPMO</v>
      </c>
      <c r="B23" s="150">
        <f>IFERROR(ROUND(CORREL('Returns (Calc)'!$S$3:$S$500,'Returns (Calc)'!$B$3:$B$500),2),"")</f>
        <v>0.23</v>
      </c>
      <c r="C23" s="150">
        <f>IFERROR(ROUND(CORREL('Returns (Calc)'!$S$3:$S$500,'Returns (Calc)'!$C$3:$C$500),2),"")</f>
        <v>0.64</v>
      </c>
      <c r="D23" s="150">
        <f>IFERROR(ROUND(CORREL('Returns (Calc)'!$S$3:$S$500,'Returns (Calc)'!$D$3:$D$500),2),"")</f>
        <v>0.61</v>
      </c>
      <c r="E23" s="150">
        <f>IFERROR(ROUND(CORREL('Returns (Calc)'!$S$3:$S$500,'Returns (Calc)'!$E$3:$E$500),2),"")</f>
        <v>0.73</v>
      </c>
      <c r="F23" s="150">
        <f>IFERROR(ROUND(CORREL('Returns (Calc)'!$S$3:$S$500,'Returns (Calc)'!$F$3:$F$500),2),"")</f>
        <v>0.52</v>
      </c>
      <c r="G23" s="150">
        <f>IFERROR(ROUND(CORREL('Returns (Calc)'!$S$3:$S$500,'Returns (Calc)'!$G$3:$G$500),2),"")</f>
        <v>0.67</v>
      </c>
      <c r="H23" s="150">
        <f>IFERROR(ROUND(CORREL('Returns (Calc)'!$S$3:$S$500,'Returns (Calc)'!$H$3:$H$500),2),"")</f>
        <v>0.66</v>
      </c>
      <c r="I23" s="150">
        <f>IFERROR(ROUND(CORREL('Returns (Calc)'!$S$3:$S$500,'Returns (Calc)'!$I$3:$I$500),2),"")</f>
        <v>0.75</v>
      </c>
      <c r="J23" s="150">
        <f>IFERROR(ROUND(CORREL('Returns (Calc)'!$S$3:$S$500,'Returns (Calc)'!$J$3:$J$500),2),"")</f>
        <v>0.34</v>
      </c>
      <c r="K23" s="150">
        <f>IFERROR(ROUND(CORREL('Returns (Calc)'!$S$3:$S$500,'Returns (Calc)'!$K$3:$K$500),2),"")</f>
        <v>0.44</v>
      </c>
      <c r="L23" s="150">
        <f>IFERROR(ROUND(CORREL('Returns (Calc)'!$S$3:$S$500,'Returns (Calc)'!$L$3:$L$500),2),"")</f>
        <v>0.7</v>
      </c>
      <c r="M23" s="150">
        <f>IFERROR(ROUND(CORREL('Returns (Calc)'!$S$3:$S$500,'Returns (Calc)'!$M$3:$M$500),2),"")</f>
        <v>0.66</v>
      </c>
      <c r="N23" s="150">
        <f>IFERROR(ROUND(CORREL('Returns (Calc)'!$S$3:$S$500,'Returns (Calc)'!$N$3:$N$500),2),"")</f>
        <v>0.17</v>
      </c>
      <c r="O23" s="150">
        <f>IFERROR(ROUND(CORREL('Returns (Calc)'!$S$3:$S$500,'Returns (Calc)'!$O$3:$O$500),2),"")</f>
        <v>0.5</v>
      </c>
      <c r="P23" s="150">
        <f>IFERROR(ROUND(CORREL('Returns (Calc)'!$S$3:$S$500,'Returns (Calc)'!$P$3:$P$500),2),"")</f>
        <v>0.34</v>
      </c>
      <c r="Q23" s="150">
        <f>IFERROR(ROUND(CORREL('Returns (Calc)'!$S$3:$S$500,'Returns (Calc)'!$Q$3:$Q$500),2),"")</f>
        <v>0.84</v>
      </c>
      <c r="R23" s="150">
        <f>IFERROR(ROUND(CORREL('Returns (Calc)'!$S$3:$S$500,'Returns (Calc)'!$R$3:$R$500),2),"")</f>
        <v>0.89</v>
      </c>
      <c r="S23" s="150">
        <v>1</v>
      </c>
      <c r="T23" s="150">
        <f>IFERROR(ROUND(CORREL('Returns (Calc)'!$S$3:$S$500,'Returns (Calc)'!$T$3:$T$500),2),"")</f>
        <v>0.51</v>
      </c>
      <c r="U23" s="150">
        <f>IFERROR(ROUND(CORREL('Returns (Calc)'!$S$3:$S$500,'Returns (Calc)'!$U$3:$U$500),2),"")</f>
        <v>0.36</v>
      </c>
      <c r="V23" s="150">
        <f>IFERROR(ROUND(CORREL('Returns (Calc)'!$S$3:$S$500,'Returns (Calc)'!$V$3:$V$500),2),"")</f>
        <v>0.37</v>
      </c>
      <c r="W23" s="150">
        <f>IFERROR(ROUND(CORREL('Returns (Calc)'!$S$3:$S$500,'Returns (Calc)'!$AP$3:$AP$500),2),"")</f>
        <v>0.64</v>
      </c>
      <c r="X23" s="150">
        <f>IFERROR(ROUND(CORREL('Returns (Calc)'!$S$3:$S$500,'Returns (Calc)'!$AQ$3:$AQ$500),2),"")</f>
        <v>-0.39</v>
      </c>
      <c r="Y23" s="150">
        <f>IFERROR(ROUND(CORREL('Returns (Calc)'!$S$3:$S$500,'Returns (Calc)'!$AR$3:$AR$500),2),"")</f>
        <v>0.67</v>
      </c>
      <c r="Z23" s="150">
        <f>IFERROR(ROUND(CORREL('Returns (Calc)'!$S$3:$S$500,'Returns (Calc)'!$AS$3:$AS$500),2),"")</f>
        <v>0.61</v>
      </c>
      <c r="AA23" s="150">
        <f>IFERROR(ROUND(CORREL('Returns (Calc)'!$S$3:$S$500,'Returns (Calc)'!$AT$3:$AT$500),2),"")</f>
        <v>0.41</v>
      </c>
      <c r="AG23" s="151">
        <f t="shared" si="0"/>
        <v>4</v>
      </c>
    </row>
    <row r="24" spans="1:33" ht="15" customHeight="1" x14ac:dyDescent="0.35">
      <c r="A24" s="149" t="str">
        <f>'Returns (Calc)'!T2</f>
        <v>VFLO</v>
      </c>
      <c r="B24" s="150">
        <f>IFERROR(ROUND(CORREL('Returns (Calc)'!$T$3:$T$500,'Returns (Calc)'!$B$3:$B$500),2),"")</f>
        <v>0.42</v>
      </c>
      <c r="C24" s="150">
        <f>IFERROR(ROUND(CORREL('Returns (Calc)'!$T$3:$T$500,'Returns (Calc)'!$C$3:$C$500),2),"")</f>
        <v>0.33</v>
      </c>
      <c r="D24" s="150">
        <f>IFERROR(ROUND(CORREL('Returns (Calc)'!$T$3:$T$500,'Returns (Calc)'!$D$3:$D$500),2),"")</f>
        <v>0.3</v>
      </c>
      <c r="E24" s="150">
        <f>IFERROR(ROUND(CORREL('Returns (Calc)'!$T$3:$T$500,'Returns (Calc)'!$E$3:$E$500),2),"")</f>
        <v>0.27</v>
      </c>
      <c r="F24" s="150">
        <f>IFERROR(ROUND(CORREL('Returns (Calc)'!$T$3:$T$500,'Returns (Calc)'!$F$3:$F$500),2),"")</f>
        <v>0.28999999999999998</v>
      </c>
      <c r="G24" s="150">
        <f>IFERROR(ROUND(CORREL('Returns (Calc)'!$T$3:$T$500,'Returns (Calc)'!$G$3:$G$500),2),"")</f>
        <v>0.31</v>
      </c>
      <c r="H24" s="150">
        <f>IFERROR(ROUND(CORREL('Returns (Calc)'!$T$3:$T$500,'Returns (Calc)'!$H$3:$H$500),2),"")</f>
        <v>0.42</v>
      </c>
      <c r="I24" s="150">
        <f>IFERROR(ROUND(CORREL('Returns (Calc)'!$T$3:$T$500,'Returns (Calc)'!$I$3:$I$500),2),"")</f>
        <v>0.3</v>
      </c>
      <c r="J24" s="150">
        <f>IFERROR(ROUND(CORREL('Returns (Calc)'!$T$3:$T$500,'Returns (Calc)'!$J$3:$J$500),2),"")</f>
        <v>0.52</v>
      </c>
      <c r="K24" s="150">
        <f>IFERROR(ROUND(CORREL('Returns (Calc)'!$T$3:$T$500,'Returns (Calc)'!$K$3:$K$500),2),"")</f>
        <v>0.34</v>
      </c>
      <c r="L24" s="150">
        <f>IFERROR(ROUND(CORREL('Returns (Calc)'!$T$3:$T$500,'Returns (Calc)'!$L$3:$L$500),2),"")</f>
        <v>0.28000000000000003</v>
      </c>
      <c r="M24" s="150">
        <f>IFERROR(ROUND(CORREL('Returns (Calc)'!$T$3:$T$500,'Returns (Calc)'!$M$3:$M$500),2),"")</f>
        <v>0.3</v>
      </c>
      <c r="N24" s="150">
        <f>IFERROR(ROUND(CORREL('Returns (Calc)'!$T$3:$T$500,'Returns (Calc)'!$N$3:$N$500),2),"")</f>
        <v>0.32</v>
      </c>
      <c r="O24" s="150">
        <f>IFERROR(ROUND(CORREL('Returns (Calc)'!$T$3:$T$500,'Returns (Calc)'!$O$3:$O$500),2),"")</f>
        <v>0.78</v>
      </c>
      <c r="P24" s="150">
        <f>IFERROR(ROUND(CORREL('Returns (Calc)'!$T$3:$T$500,'Returns (Calc)'!$P$3:$P$500),2),"")</f>
        <v>0.73</v>
      </c>
      <c r="Q24" s="150">
        <f>IFERROR(ROUND(CORREL('Returns (Calc)'!$T$3:$T$500,'Returns (Calc)'!$Q$3:$Q$500),2),"")</f>
        <v>0.66</v>
      </c>
      <c r="R24" s="150">
        <f>IFERROR(ROUND(CORREL('Returns (Calc)'!$T$3:$T$500,'Returns (Calc)'!$R$3:$R$500),2),"")</f>
        <v>0.55000000000000004</v>
      </c>
      <c r="S24" s="150">
        <f>IFERROR(ROUND(CORREL('Returns (Calc)'!$T$3:$T$500,'Returns (Calc)'!$S$3:$S$500),2),"")</f>
        <v>0.51</v>
      </c>
      <c r="T24" s="150">
        <v>1</v>
      </c>
      <c r="U24" s="150">
        <f>IFERROR(ROUND(CORREL('Returns (Calc)'!$T$3:$T$500,'Returns (Calc)'!$U$3:$U$500),2),"")</f>
        <v>0.78</v>
      </c>
      <c r="V24" s="150">
        <f>IFERROR(ROUND(CORREL('Returns (Calc)'!$T$3:$T$500,'Returns (Calc)'!$V$3:$V$500),2),"")</f>
        <v>0.45</v>
      </c>
      <c r="W24" s="150">
        <f>IFERROR(ROUND(CORREL('Returns (Calc)'!$T$3:$T$500,'Returns (Calc)'!$AP$3:$AP$500),2),"")</f>
        <v>0.79</v>
      </c>
      <c r="X24" s="150">
        <f>IFERROR(ROUND(CORREL('Returns (Calc)'!$T$3:$T$500,'Returns (Calc)'!$AQ$3:$AQ$500),2),"")</f>
        <v>-0.27</v>
      </c>
      <c r="Y24" s="150">
        <f>IFERROR(ROUND(CORREL('Returns (Calc)'!$T$3:$T$500,'Returns (Calc)'!$AR$3:$AR$500),2),"")</f>
        <v>0.72</v>
      </c>
      <c r="Z24" s="150">
        <f>IFERROR(ROUND(CORREL('Returns (Calc)'!$T$3:$T$500,'Returns (Calc)'!$AS$3:$AS$500),2),"")</f>
        <v>0.44</v>
      </c>
      <c r="AA24" s="150">
        <f>IFERROR(ROUND(CORREL('Returns (Calc)'!$T$3:$T$500,'Returns (Calc)'!$AT$3:$AT$500),2),"")</f>
        <v>0.25</v>
      </c>
      <c r="AG24" s="151">
        <f t="shared" si="0"/>
        <v>5</v>
      </c>
    </row>
    <row r="25" spans="1:33" ht="15" customHeight="1" x14ac:dyDescent="0.35">
      <c r="A25" s="149" t="str">
        <f>'Returns (Calc)'!U2</f>
        <v>SCHD</v>
      </c>
      <c r="B25" s="150">
        <f>IFERROR(ROUND(CORREL('Returns (Calc)'!$U$3:$U$500,'Returns (Calc)'!$B$3:$B$500),2),"")</f>
        <v>0.22</v>
      </c>
      <c r="C25" s="150">
        <f>IFERROR(ROUND(CORREL('Returns (Calc)'!$U$3:$U$500,'Returns (Calc)'!$C$3:$C$500),2),"")</f>
        <v>0.27</v>
      </c>
      <c r="D25" s="150">
        <f>IFERROR(ROUND(CORREL('Returns (Calc)'!$U$3:$U$500,'Returns (Calc)'!$D$3:$D$500),2),"")</f>
        <v>0.26</v>
      </c>
      <c r="E25" s="150">
        <f>IFERROR(ROUND(CORREL('Returns (Calc)'!$U$3:$U$500,'Returns (Calc)'!$E$3:$E$500),2),"")</f>
        <v>0.16</v>
      </c>
      <c r="F25" s="150">
        <f>IFERROR(ROUND(CORREL('Returns (Calc)'!$U$3:$U$500,'Returns (Calc)'!$F$3:$F$500),2),"")</f>
        <v>0.11</v>
      </c>
      <c r="G25" s="150">
        <f>IFERROR(ROUND(CORREL('Returns (Calc)'!$U$3:$U$500,'Returns (Calc)'!$G$3:$G$500),2),"")</f>
        <v>0.28000000000000003</v>
      </c>
      <c r="H25" s="150">
        <f>IFERROR(ROUND(CORREL('Returns (Calc)'!$U$3:$U$500,'Returns (Calc)'!$H$3:$H$500),2),"")</f>
        <v>0.26</v>
      </c>
      <c r="I25" s="150">
        <f>IFERROR(ROUND(CORREL('Returns (Calc)'!$U$3:$U$500,'Returns (Calc)'!$I$3:$I$500),2),"")</f>
        <v>0.18</v>
      </c>
      <c r="J25" s="150">
        <f>IFERROR(ROUND(CORREL('Returns (Calc)'!$U$3:$U$500,'Returns (Calc)'!$J$3:$J$500),2),"")</f>
        <v>0.66</v>
      </c>
      <c r="K25" s="150">
        <f>IFERROR(ROUND(CORREL('Returns (Calc)'!$U$3:$U$500,'Returns (Calc)'!$K$3:$K$500),2),"")</f>
        <v>0.14000000000000001</v>
      </c>
      <c r="L25" s="150">
        <f>IFERROR(ROUND(CORREL('Returns (Calc)'!$U$3:$U$500,'Returns (Calc)'!$L$3:$L$500),2),"")</f>
        <v>0.21</v>
      </c>
      <c r="M25" s="150">
        <f>IFERROR(ROUND(CORREL('Returns (Calc)'!$U$3:$U$500,'Returns (Calc)'!$M$3:$M$500),2),"")</f>
        <v>0.21</v>
      </c>
      <c r="N25" s="150">
        <f>IFERROR(ROUND(CORREL('Returns (Calc)'!$U$3:$U$500,'Returns (Calc)'!$N$3:$N$500),2),"")</f>
        <v>0.35</v>
      </c>
      <c r="O25" s="150">
        <f>IFERROR(ROUND(CORREL('Returns (Calc)'!$U$3:$U$500,'Returns (Calc)'!$O$3:$O$500),2),"")</f>
        <v>0.83</v>
      </c>
      <c r="P25" s="150">
        <f>IFERROR(ROUND(CORREL('Returns (Calc)'!$U$3:$U$500,'Returns (Calc)'!$P$3:$P$500),2),"")</f>
        <v>0.89</v>
      </c>
      <c r="Q25" s="150">
        <f>IFERROR(ROUND(CORREL('Returns (Calc)'!$U$3:$U$500,'Returns (Calc)'!$Q$3:$Q$500),2),"")</f>
        <v>0.57999999999999996</v>
      </c>
      <c r="R25" s="150">
        <f>IFERROR(ROUND(CORREL('Returns (Calc)'!$U$3:$U$500,'Returns (Calc)'!$R$3:$R$500),2),"")</f>
        <v>0.41</v>
      </c>
      <c r="S25" s="150">
        <f>IFERROR(ROUND(CORREL('Returns (Calc)'!$U$3:$U$500,'Returns (Calc)'!$S$3:$S$500),2),"")</f>
        <v>0.36</v>
      </c>
      <c r="T25" s="150">
        <f>IFERROR(ROUND(CORREL('Returns (Calc)'!$U$3:$U$500,'Returns (Calc)'!$T$3:$T$500),2),"")</f>
        <v>0.78</v>
      </c>
      <c r="U25" s="150">
        <v>1</v>
      </c>
      <c r="V25" s="150">
        <f>IFERROR(ROUND(CORREL('Returns (Calc)'!$U$3:$U$500,'Returns (Calc)'!$V$3:$V$500),2),"")</f>
        <v>0.44</v>
      </c>
      <c r="W25" s="150">
        <f>IFERROR(ROUND(CORREL('Returns (Calc)'!$U$3:$U$500,'Returns (Calc)'!$AP$3:$AP$500),2),"")</f>
        <v>0.88</v>
      </c>
      <c r="X25" s="150">
        <f>IFERROR(ROUND(CORREL('Returns (Calc)'!$U$3:$U$500,'Returns (Calc)'!$AQ$3:$AQ$500),2),"")</f>
        <v>0.31</v>
      </c>
      <c r="Y25" s="150">
        <f>IFERROR(ROUND(CORREL('Returns (Calc)'!$U$3:$U$500,'Returns (Calc)'!$AR$3:$AR$500),2),"")</f>
        <v>0.78</v>
      </c>
      <c r="Z25" s="150">
        <f>IFERROR(ROUND(CORREL('Returns (Calc)'!$U$3:$U$500,'Returns (Calc)'!$AS$3:$AS$500),2),"")</f>
        <v>0.34</v>
      </c>
      <c r="AA25" s="150">
        <f>IFERROR(ROUND(CORREL('Returns (Calc)'!$U$3:$U$500,'Returns (Calc)'!$AT$3:$AT$500),2),"")</f>
        <v>0.16</v>
      </c>
      <c r="AG25" s="151">
        <f t="shared" si="0"/>
        <v>5</v>
      </c>
    </row>
    <row r="26" spans="1:33" ht="15" customHeight="1" x14ac:dyDescent="0.35">
      <c r="A26" s="149" t="str">
        <f>'Returns (Calc)'!V2</f>
        <v>V</v>
      </c>
      <c r="B26" s="150">
        <f>IFERROR(ROUND(CORREL('Returns (Calc)'!$V$3:$V$500,'Returns (Calc)'!$B$3:$B$500),2),"")</f>
        <v>0.4</v>
      </c>
      <c r="C26" s="150">
        <f>IFERROR(ROUND(CORREL('Returns (Calc)'!$V$3:$V$500,'Returns (Calc)'!$C$3:$C$500),2),"")</f>
        <v>0.25</v>
      </c>
      <c r="D26" s="150">
        <f>IFERROR(ROUND(CORREL('Returns (Calc)'!$V$3:$V$500,'Returns (Calc)'!$D$3:$D$500),2),"")</f>
        <v>0.04</v>
      </c>
      <c r="E26" s="150">
        <f>IFERROR(ROUND(CORREL('Returns (Calc)'!$V$3:$V$500,'Returns (Calc)'!$E$3:$E$500),2),"")</f>
        <v>0.2</v>
      </c>
      <c r="F26" s="150">
        <f>IFERROR(ROUND(CORREL('Returns (Calc)'!$V$3:$V$500,'Returns (Calc)'!$F$3:$F$500),2),"")</f>
        <v>0.27</v>
      </c>
      <c r="G26" s="150">
        <f>IFERROR(ROUND(CORREL('Returns (Calc)'!$V$3:$V$500,'Returns (Calc)'!$G$3:$G$500),2),"")</f>
        <v>0.02</v>
      </c>
      <c r="H26" s="150">
        <f>IFERROR(ROUND(CORREL('Returns (Calc)'!$V$3:$V$500,'Returns (Calc)'!$H$3:$H$500),2),"")</f>
        <v>0.02</v>
      </c>
      <c r="I26" s="150">
        <f>IFERROR(ROUND(CORREL('Returns (Calc)'!$V$3:$V$500,'Returns (Calc)'!$I$3:$I$500),2),"")</f>
        <v>0.2</v>
      </c>
      <c r="J26" s="150">
        <f>IFERROR(ROUND(CORREL('Returns (Calc)'!$V$3:$V$500,'Returns (Calc)'!$J$3:$J$500),2),"")</f>
        <v>0.37</v>
      </c>
      <c r="K26" s="150">
        <f>IFERROR(ROUND(CORREL('Returns (Calc)'!$V$3:$V$500,'Returns (Calc)'!$K$3:$K$500),2),"")</f>
        <v>0.24</v>
      </c>
      <c r="L26" s="150">
        <f>IFERROR(ROUND(CORREL('Returns (Calc)'!$V$3:$V$500,'Returns (Calc)'!$L$3:$L$500),2),"")</f>
        <v>0.13</v>
      </c>
      <c r="M26" s="150">
        <f>IFERROR(ROUND(CORREL('Returns (Calc)'!$V$3:$V$500,'Returns (Calc)'!$M$3:$M$500),2),"")</f>
        <v>0.14000000000000001</v>
      </c>
      <c r="N26" s="150">
        <f>IFERROR(ROUND(CORREL('Returns (Calc)'!$V$3:$V$500,'Returns (Calc)'!$N$3:$N$500),2),"")</f>
        <v>0.26</v>
      </c>
      <c r="O26" s="150">
        <f>IFERROR(ROUND(CORREL('Returns (Calc)'!$V$3:$V$500,'Returns (Calc)'!$O$3:$O$500),2),"")</f>
        <v>0.36</v>
      </c>
      <c r="P26" s="150">
        <f>IFERROR(ROUND(CORREL('Returns (Calc)'!$V$3:$V$500,'Returns (Calc)'!$P$3:$P$500),2),"")</f>
        <v>0.43</v>
      </c>
      <c r="Q26" s="150">
        <f>IFERROR(ROUND(CORREL('Returns (Calc)'!$V$3:$V$500,'Returns (Calc)'!$Q$3:$Q$500),2),"")</f>
        <v>0.52</v>
      </c>
      <c r="R26" s="150">
        <f>IFERROR(ROUND(CORREL('Returns (Calc)'!$V$3:$V$500,'Returns (Calc)'!$R$3:$R$500),2),"")</f>
        <v>0.43</v>
      </c>
      <c r="S26" s="150">
        <f>IFERROR(ROUND(CORREL('Returns (Calc)'!$V$3:$V$500,'Returns (Calc)'!$S$3:$S$500),2),"")</f>
        <v>0.37</v>
      </c>
      <c r="T26" s="150">
        <f>IFERROR(ROUND(CORREL('Returns (Calc)'!$V$3:$V$500,'Returns (Calc)'!$T$3:$T$500),2),"")</f>
        <v>0.45</v>
      </c>
      <c r="U26" s="150">
        <f>IFERROR(ROUND(CORREL('Returns (Calc)'!$V$3:$V$500,'Returns (Calc)'!$U$3:$U$500),2),"")</f>
        <v>0.44</v>
      </c>
      <c r="V26" s="150">
        <v>1</v>
      </c>
      <c r="W26" s="150">
        <f>IFERROR(ROUND(CORREL('Returns (Calc)'!$V$3:$V$500,'Returns (Calc)'!$AP$3:$AP$500),2),"")</f>
        <v>0.51</v>
      </c>
      <c r="X26" s="150">
        <f>IFERROR(ROUND(CORREL('Returns (Calc)'!$V$3:$V$500,'Returns (Calc)'!$AQ$3:$AQ$500),2),"")</f>
        <v>-0.06</v>
      </c>
      <c r="Y26" s="150">
        <f>IFERROR(ROUND(CORREL('Returns (Calc)'!$V$3:$V$500,'Returns (Calc)'!$AR$3:$AR$500),2),"")</f>
        <v>0.63</v>
      </c>
      <c r="Z26" s="150">
        <f>IFERROR(ROUND(CORREL('Returns (Calc)'!$V$3:$V$500,'Returns (Calc)'!$AS$3:$AS$500),2),"")</f>
        <v>0.41</v>
      </c>
      <c r="AA26" s="150">
        <f>IFERROR(ROUND(CORREL('Returns (Calc)'!$V$3:$V$500,'Returns (Calc)'!$AT$3:$AT$500),2),"")</f>
        <v>0.28999999999999998</v>
      </c>
      <c r="AG26" s="151">
        <f t="shared" si="0"/>
        <v>0</v>
      </c>
    </row>
    <row r="27" spans="1:33" ht="15" customHeight="1" x14ac:dyDescent="0.35">
      <c r="A27" s="149" t="str">
        <f>'Returns (Calc)'!AP2</f>
        <v>VYM</v>
      </c>
      <c r="B27" s="150">
        <f>IFERROR(ROUND(CORREL('Returns (Calc)'!$AP$3:$AP$500,'Returns (Calc)'!$B$3:$B$500),2),"")</f>
        <v>0.22</v>
      </c>
      <c r="C27" s="150">
        <f>IFERROR(ROUND(CORREL('Returns (Calc)'!$AP$3:$AP$500,'Returns (Calc)'!$C$3:$C$500),2),"")</f>
        <v>0.46</v>
      </c>
      <c r="D27" s="150">
        <f>IFERROR(ROUND(CORREL('Returns (Calc)'!$AP$3:$AP$500,'Returns (Calc)'!$D$3:$D$500),2),"")</f>
        <v>0.42</v>
      </c>
      <c r="E27" s="150">
        <f>IFERROR(ROUND(CORREL('Returns (Calc)'!$AP$3:$AP$500,'Returns (Calc)'!$E$3:$E$500),2),"")</f>
        <v>0.45</v>
      </c>
      <c r="F27" s="150">
        <f>IFERROR(ROUND(CORREL('Returns (Calc)'!$AP$3:$AP$500,'Returns (Calc)'!$F$3:$F$500),2),"")</f>
        <v>0.24</v>
      </c>
      <c r="G27" s="150">
        <f>IFERROR(ROUND(CORREL('Returns (Calc)'!$AP$3:$AP$500,'Returns (Calc)'!$G$3:$G$500),2),"")</f>
        <v>0.45</v>
      </c>
      <c r="H27" s="150">
        <f>IFERROR(ROUND(CORREL('Returns (Calc)'!$AP$3:$AP$500,'Returns (Calc)'!$H$3:$H$500),2),"")</f>
        <v>0.39</v>
      </c>
      <c r="I27" s="150">
        <f>IFERROR(ROUND(CORREL('Returns (Calc)'!$AP$3:$AP$500,'Returns (Calc)'!$I$3:$I$500),2),"")</f>
        <v>0.38</v>
      </c>
      <c r="J27" s="150">
        <f>IFERROR(ROUND(CORREL('Returns (Calc)'!$AP$3:$AP$500,'Returns (Calc)'!$J$3:$J$500),2),"")</f>
        <v>0.65</v>
      </c>
      <c r="K27" s="150">
        <f>IFERROR(ROUND(CORREL('Returns (Calc)'!$AP$3:$AP$500,'Returns (Calc)'!$K$3:$K$500),2),"")</f>
        <v>0.26</v>
      </c>
      <c r="L27" s="150">
        <f>IFERROR(ROUND(CORREL('Returns (Calc)'!$AP$3:$AP$500,'Returns (Calc)'!$L$3:$L$500),2),"")</f>
        <v>0.42</v>
      </c>
      <c r="M27" s="150">
        <f>IFERROR(ROUND(CORREL('Returns (Calc)'!$AP$3:$AP$500,'Returns (Calc)'!$M$3:$M$500),2),"")</f>
        <v>0.42</v>
      </c>
      <c r="N27" s="150">
        <f>IFERROR(ROUND(CORREL('Returns (Calc)'!$AP$3:$AP$500,'Returns (Calc)'!$N$3:$N$500),2),"")</f>
        <v>0.28000000000000003</v>
      </c>
      <c r="O27" s="150">
        <f>IFERROR(ROUND(CORREL('Returns (Calc)'!$AP$3:$AP$500,'Returns (Calc)'!$O$3:$O$500),2),"")</f>
        <v>0.87</v>
      </c>
      <c r="P27" s="150">
        <f>IFERROR(ROUND(CORREL('Returns (Calc)'!$AP$3:$AP$500,'Returns (Calc)'!$P$3:$P$500),2),"")</f>
        <v>0.88</v>
      </c>
      <c r="Q27" s="150">
        <f>IFERROR(ROUND(CORREL('Returns (Calc)'!$AP$3:$AP$500,'Returns (Calc)'!$Q$3:$Q$500),2),"")</f>
        <v>0.78</v>
      </c>
      <c r="R27" s="150">
        <f>IFERROR(ROUND(CORREL('Returns (Calc)'!$AP$3:$AP$500,'Returns (Calc)'!$R$3:$R$500),2),"")</f>
        <v>0.66</v>
      </c>
      <c r="S27" s="150">
        <f>IFERROR(ROUND(CORREL('Returns (Calc)'!$AP$3:$AP$500,'Returns (Calc)'!$S$3:$S$500),2),"")</f>
        <v>0.64</v>
      </c>
      <c r="T27" s="150">
        <f>IFERROR(ROUND(CORREL('Returns (Calc)'!$AP$3:$AP$500,'Returns (Calc)'!$T$3:$T$500),2),"")</f>
        <v>0.79</v>
      </c>
      <c r="U27" s="150">
        <f>IFERROR(ROUND(CORREL('Returns (Calc)'!$AP$3:$AP$500,'Returns (Calc)'!$U$3:$U$500),2),"")</f>
        <v>0.88</v>
      </c>
      <c r="V27" s="150">
        <f>IFERROR(ROUND(CORREL('Returns (Calc)'!$AP$3:$AP$500,'Returns (Calc)'!$V$3:$V$500),2),"")</f>
        <v>0.51</v>
      </c>
      <c r="W27" s="150">
        <v>1</v>
      </c>
      <c r="X27" s="150">
        <f>IFERROR(ROUND(CORREL('Returns (Calc)'!$AP$3:$AP$500,'Returns (Calc)'!$AQ$3:$AQ$500),2),"")</f>
        <v>0.03</v>
      </c>
      <c r="Y27" s="150">
        <f>IFERROR(ROUND(CORREL('Returns (Calc)'!$AP$3:$AP$500,'Returns (Calc)'!$AR$3:$AR$500),2),"")</f>
        <v>0.9</v>
      </c>
      <c r="Z27" s="150">
        <f>IFERROR(ROUND(CORREL('Returns (Calc)'!$AP$3:$AP$500,'Returns (Calc)'!$AS$3:$AS$500),2),"")</f>
        <v>0.54</v>
      </c>
      <c r="AA27" s="150">
        <f>IFERROR(ROUND(CORREL('Returns (Calc)'!$AP$3:$AP$500,'Returns (Calc)'!$AT$3:$AT$500),2),"")</f>
        <v>0.3</v>
      </c>
      <c r="AG27" s="151">
        <f t="shared" si="0"/>
        <v>6</v>
      </c>
    </row>
    <row r="28" spans="1:33" ht="15" customHeight="1" x14ac:dyDescent="0.35">
      <c r="A28" s="149" t="str">
        <f>'Returns (Calc)'!AQ2</f>
        <v>MLPI</v>
      </c>
      <c r="B28" s="150">
        <f>IFERROR(ROUND(CORREL('Returns (Calc)'!$AQ$3:$AQ$500,'Returns (Calc)'!$B$3:$B$500),2),"")</f>
        <v>-0.24</v>
      </c>
      <c r="C28" s="150">
        <f>IFERROR(ROUND(CORREL('Returns (Calc)'!$AQ$3:$AQ$500,'Returns (Calc)'!$C$3:$C$500),2),"")</f>
        <v>-0.04</v>
      </c>
      <c r="D28" s="150">
        <f>IFERROR(ROUND(CORREL('Returns (Calc)'!$AQ$3:$AQ$500,'Returns (Calc)'!$D$3:$D$500),2),"")</f>
        <v>-0.18</v>
      </c>
      <c r="E28" s="150">
        <f>IFERROR(ROUND(CORREL('Returns (Calc)'!$AQ$3:$AQ$500,'Returns (Calc)'!$E$3:$E$500),2),"")</f>
        <v>-0.45</v>
      </c>
      <c r="F28" s="150">
        <f>IFERROR(ROUND(CORREL('Returns (Calc)'!$AQ$3:$AQ$500,'Returns (Calc)'!$F$3:$F$500),2),"")</f>
        <v>-0.3</v>
      </c>
      <c r="G28" s="150">
        <f>IFERROR(ROUND(CORREL('Returns (Calc)'!$AQ$3:$AQ$500,'Returns (Calc)'!$G$3:$G$500),2),"")</f>
        <v>-0.17</v>
      </c>
      <c r="H28" s="150">
        <f>IFERROR(ROUND(CORREL('Returns (Calc)'!$AQ$3:$AQ$500,'Returns (Calc)'!$H$3:$H$500),2),"")</f>
        <v>-0.35</v>
      </c>
      <c r="I28" s="150">
        <f>IFERROR(ROUND(CORREL('Returns (Calc)'!$AQ$3:$AQ$500,'Returns (Calc)'!$I$3:$I$500),2),"")</f>
        <v>-0.31</v>
      </c>
      <c r="J28" s="150">
        <f>IFERROR(ROUND(CORREL('Returns (Calc)'!$AQ$3:$AQ$500,'Returns (Calc)'!$J$3:$J$500),2),"")</f>
        <v>0.09</v>
      </c>
      <c r="K28" s="150">
        <f>IFERROR(ROUND(CORREL('Returns (Calc)'!$AQ$3:$AQ$500,'Returns (Calc)'!$K$3:$K$500),2),"")</f>
        <v>-0.48</v>
      </c>
      <c r="L28" s="150">
        <f>IFERROR(ROUND(CORREL('Returns (Calc)'!$AQ$3:$AQ$500,'Returns (Calc)'!$L$3:$L$500),2),"")</f>
        <v>-0.25</v>
      </c>
      <c r="M28" s="150">
        <f>IFERROR(ROUND(CORREL('Returns (Calc)'!$AQ$3:$AQ$500,'Returns (Calc)'!$M$3:$M$500),2),"")</f>
        <v>0.2</v>
      </c>
      <c r="N28" s="150">
        <f>IFERROR(ROUND(CORREL('Returns (Calc)'!$AQ$3:$AQ$500,'Returns (Calc)'!$N$3:$N$500),2),"")</f>
        <v>-0.16</v>
      </c>
      <c r="O28" s="150">
        <f>IFERROR(ROUND(CORREL('Returns (Calc)'!$AQ$3:$AQ$500,'Returns (Calc)'!$O$3:$O$500),2),"")</f>
        <v>0.11</v>
      </c>
      <c r="P28" s="150">
        <f>IFERROR(ROUND(CORREL('Returns (Calc)'!$AQ$3:$AQ$500,'Returns (Calc)'!$P$3:$P$500),2),"")</f>
        <v>0.45</v>
      </c>
      <c r="Q28" s="150">
        <f>IFERROR(ROUND(CORREL('Returns (Calc)'!$AQ$3:$AQ$500,'Returns (Calc)'!$Q$3:$Q$500),2),"")</f>
        <v>-0.43</v>
      </c>
      <c r="R28" s="150">
        <f>IFERROR(ROUND(CORREL('Returns (Calc)'!$AQ$3:$AQ$500,'Returns (Calc)'!$R$3:$R$500),2),"")</f>
        <v>-0.49</v>
      </c>
      <c r="S28" s="150">
        <f>IFERROR(ROUND(CORREL('Returns (Calc)'!$AQ$3:$AQ$500,'Returns (Calc)'!$S$3:$S$500),2),"")</f>
        <v>-0.39</v>
      </c>
      <c r="T28" s="150">
        <f>IFERROR(ROUND(CORREL('Returns (Calc)'!$AQ$3:$AQ$500,'Returns (Calc)'!$T$3:$T$500),2),"")</f>
        <v>-0.27</v>
      </c>
      <c r="U28" s="150">
        <f>IFERROR(ROUND(CORREL('Returns (Calc)'!$AQ$3:$AQ$500,'Returns (Calc)'!$U$3:$U$500),2),"")</f>
        <v>0.31</v>
      </c>
      <c r="V28" s="150">
        <f>IFERROR(ROUND(CORREL('Returns (Calc)'!$AQ$3:$AQ$500,'Returns (Calc)'!$V$3:$V$500),2),"")</f>
        <v>-0.06</v>
      </c>
      <c r="W28" s="150">
        <f>IFERROR(ROUND(CORREL('Returns (Calc)'!$AQ$3:$AQ$500,'Returns (Calc)'!$AP$3:$AP$500),2),"")</f>
        <v>0.03</v>
      </c>
      <c r="X28" s="150">
        <v>1</v>
      </c>
      <c r="Y28" s="150">
        <f>IFERROR(ROUND(CORREL('Returns (Calc)'!$AQ$3:$AQ$500,'Returns (Calc)'!$AR$3:$AR$500),2),"")</f>
        <v>-0.1</v>
      </c>
      <c r="Z28" s="150">
        <f>IFERROR(ROUND(CORREL('Returns (Calc)'!$AQ$3:$AQ$500,'Returns (Calc)'!$AS$3:$AS$500),2),"")</f>
        <v>-0.26</v>
      </c>
      <c r="AA28" s="150">
        <f>IFERROR(ROUND(CORREL('Returns (Calc)'!$AQ$3:$AQ$500,'Returns (Calc)'!$AT$3:$AT$500),2),"")</f>
        <v>-0.01</v>
      </c>
      <c r="AG28" s="151">
        <f t="shared" si="0"/>
        <v>0</v>
      </c>
    </row>
    <row r="29" spans="1:33" ht="15" customHeight="1" x14ac:dyDescent="0.35">
      <c r="A29" s="149" t="str">
        <f>'Returns (Calc)'!AR2</f>
        <v>JEPI</v>
      </c>
      <c r="B29" s="150">
        <f>IFERROR(ROUND(CORREL('Returns (Calc)'!$AR$3:$AR$500,'Returns (Calc)'!$B$3:$B$500),2),"")</f>
        <v>0.33</v>
      </c>
      <c r="C29" s="150">
        <f>IFERROR(ROUND(CORREL('Returns (Calc)'!$AR$3:$AR$500,'Returns (Calc)'!$C$3:$C$500),2),"")</f>
        <v>0.51</v>
      </c>
      <c r="D29" s="150">
        <f>IFERROR(ROUND(CORREL('Returns (Calc)'!$AR$3:$AR$500,'Returns (Calc)'!$D$3:$D$500),2),"")</f>
        <v>0.43</v>
      </c>
      <c r="E29" s="150">
        <f>IFERROR(ROUND(CORREL('Returns (Calc)'!$AR$3:$AR$500,'Returns (Calc)'!$E$3:$E$500),2),"")</f>
        <v>0.44</v>
      </c>
      <c r="F29" s="150">
        <f>IFERROR(ROUND(CORREL('Returns (Calc)'!$AR$3:$AR$500,'Returns (Calc)'!$F$3:$F$500),2),"")</f>
        <v>0.28999999999999998</v>
      </c>
      <c r="G29" s="150">
        <f>IFERROR(ROUND(CORREL('Returns (Calc)'!$AR$3:$AR$500,'Returns (Calc)'!$G$3:$G$500),2),"")</f>
        <v>0.45</v>
      </c>
      <c r="H29" s="150">
        <f>IFERROR(ROUND(CORREL('Returns (Calc)'!$AR$3:$AR$500,'Returns (Calc)'!$H$3:$H$500),2),"")</f>
        <v>0.35</v>
      </c>
      <c r="I29" s="150">
        <f>IFERROR(ROUND(CORREL('Returns (Calc)'!$AR$3:$AR$500,'Returns (Calc)'!$I$3:$I$500),2),"")</f>
        <v>0.44</v>
      </c>
      <c r="J29" s="150">
        <f>IFERROR(ROUND(CORREL('Returns (Calc)'!$AR$3:$AR$500,'Returns (Calc)'!$J$3:$J$500),2),"")</f>
        <v>0.61</v>
      </c>
      <c r="K29" s="150">
        <f>IFERROR(ROUND(CORREL('Returns (Calc)'!$AR$3:$AR$500,'Returns (Calc)'!$K$3:$K$500),2),"")</f>
        <v>0.31</v>
      </c>
      <c r="L29" s="150">
        <f>IFERROR(ROUND(CORREL('Returns (Calc)'!$AR$3:$AR$500,'Returns (Calc)'!$L$3:$L$500),2),"")</f>
        <v>0.48</v>
      </c>
      <c r="M29" s="150">
        <f>IFERROR(ROUND(CORREL('Returns (Calc)'!$AR$3:$AR$500,'Returns (Calc)'!$M$3:$M$500),2),"")</f>
        <v>0.44</v>
      </c>
      <c r="N29" s="150">
        <f>IFERROR(ROUND(CORREL('Returns (Calc)'!$AR$3:$AR$500,'Returns (Calc)'!$N$3:$N$500),2),"")</f>
        <v>0.34</v>
      </c>
      <c r="O29" s="150">
        <f>IFERROR(ROUND(CORREL('Returns (Calc)'!$AR$3:$AR$500,'Returns (Calc)'!$O$3:$O$500),2),"")</f>
        <v>0.73</v>
      </c>
      <c r="P29" s="150">
        <f>IFERROR(ROUND(CORREL('Returns (Calc)'!$AR$3:$AR$500,'Returns (Calc)'!$P$3:$P$500),2),"")</f>
        <v>0.76</v>
      </c>
      <c r="Q29" s="150">
        <f>IFERROR(ROUND(CORREL('Returns (Calc)'!$AR$3:$AR$500,'Returns (Calc)'!$Q$3:$Q$500),2),"")</f>
        <v>0.83</v>
      </c>
      <c r="R29" s="150">
        <f>IFERROR(ROUND(CORREL('Returns (Calc)'!$AR$3:$AR$500,'Returns (Calc)'!$R$3:$R$500),2),"")</f>
        <v>0.76</v>
      </c>
      <c r="S29" s="150">
        <f>IFERROR(ROUND(CORREL('Returns (Calc)'!$AR$3:$AR$500,'Returns (Calc)'!$S$3:$S$500),2),"")</f>
        <v>0.67</v>
      </c>
      <c r="T29" s="150">
        <f>IFERROR(ROUND(CORREL('Returns (Calc)'!$AR$3:$AR$500,'Returns (Calc)'!$T$3:$T$500),2),"")</f>
        <v>0.72</v>
      </c>
      <c r="U29" s="150">
        <f>IFERROR(ROUND(CORREL('Returns (Calc)'!$AR$3:$AR$500,'Returns (Calc)'!$U$3:$U$500),2),"")</f>
        <v>0.78</v>
      </c>
      <c r="V29" s="150">
        <f>IFERROR(ROUND(CORREL('Returns (Calc)'!$AR$3:$AR$500,'Returns (Calc)'!$V$3:$V$500),2),"")</f>
        <v>0.63</v>
      </c>
      <c r="W29" s="150">
        <f>IFERROR(ROUND(CORREL('Returns (Calc)'!$AR$3:$AR$500,'Returns (Calc)'!$AP$3:$AP$500),2),"")</f>
        <v>0.9</v>
      </c>
      <c r="X29" s="150">
        <f>IFERROR(ROUND(CORREL('Returns (Calc)'!$AR$3:$AR$500,'Returns (Calc)'!$AQ$3:$AQ$500),2),"")</f>
        <v>-0.1</v>
      </c>
      <c r="Y29" s="150">
        <v>1</v>
      </c>
      <c r="Z29" s="150">
        <f>IFERROR(ROUND(CORREL('Returns (Calc)'!$AR$3:$AR$500,'Returns (Calc)'!$AS$3:$AS$500),2),"")</f>
        <v>0.56999999999999995</v>
      </c>
      <c r="AA29" s="150">
        <f>IFERROR(ROUND(CORREL('Returns (Calc)'!$AR$3:$AR$500,'Returns (Calc)'!$AT$3:$AT$500),2),"")</f>
        <v>0.38</v>
      </c>
      <c r="AG29" s="151">
        <f t="shared" si="0"/>
        <v>7</v>
      </c>
    </row>
    <row r="30" spans="1:33" ht="15" customHeight="1" x14ac:dyDescent="0.35">
      <c r="A30" s="149" t="str">
        <f>'Returns (Calc)'!AS2</f>
        <v>GE</v>
      </c>
      <c r="B30" s="150">
        <f>IFERROR(ROUND(CORREL('Returns (Calc)'!$AS$3:$AS$500,'Returns (Calc)'!$B$3:$B$500),2),"")</f>
        <v>0.09</v>
      </c>
      <c r="C30" s="150">
        <f>IFERROR(ROUND(CORREL('Returns (Calc)'!$AS$3:$AS$500,'Returns (Calc)'!$C$3:$C$500),2),"")</f>
        <v>0.34</v>
      </c>
      <c r="D30" s="150">
        <f>IFERROR(ROUND(CORREL('Returns (Calc)'!$AS$3:$AS$500,'Returns (Calc)'!$D$3:$D$500),2),"")</f>
        <v>0.39</v>
      </c>
      <c r="E30" s="150">
        <f>IFERROR(ROUND(CORREL('Returns (Calc)'!$AS$3:$AS$500,'Returns (Calc)'!$E$3:$E$500),2),"")</f>
        <v>0.36</v>
      </c>
      <c r="F30" s="150">
        <f>IFERROR(ROUND(CORREL('Returns (Calc)'!$AS$3:$AS$500,'Returns (Calc)'!$F$3:$F$500),2),"")</f>
        <v>0.24</v>
      </c>
      <c r="G30" s="150">
        <f>IFERROR(ROUND(CORREL('Returns (Calc)'!$AS$3:$AS$500,'Returns (Calc)'!$G$3:$G$500),2),"")</f>
        <v>0.38</v>
      </c>
      <c r="H30" s="150">
        <f>IFERROR(ROUND(CORREL('Returns (Calc)'!$AS$3:$AS$500,'Returns (Calc)'!$H$3:$H$500),2),"")</f>
        <v>0.36</v>
      </c>
      <c r="I30" s="150">
        <f>IFERROR(ROUND(CORREL('Returns (Calc)'!$AS$3:$AS$500,'Returns (Calc)'!$I$3:$I$500),2),"")</f>
        <v>0.38</v>
      </c>
      <c r="J30" s="150">
        <f>IFERROR(ROUND(CORREL('Returns (Calc)'!$AS$3:$AS$500,'Returns (Calc)'!$J$3:$J$500),2),"")</f>
        <v>0.3</v>
      </c>
      <c r="K30" s="150">
        <f>IFERROR(ROUND(CORREL('Returns (Calc)'!$AS$3:$AS$500,'Returns (Calc)'!$K$3:$K$500),2),"")</f>
        <v>0.26</v>
      </c>
      <c r="L30" s="150">
        <f>IFERROR(ROUND(CORREL('Returns (Calc)'!$AS$3:$AS$500,'Returns (Calc)'!$L$3:$L$500),2),"")</f>
        <v>0.44</v>
      </c>
      <c r="M30" s="150">
        <f>IFERROR(ROUND(CORREL('Returns (Calc)'!$AS$3:$AS$500,'Returns (Calc)'!$M$3:$M$500),2),"")</f>
        <v>0.44</v>
      </c>
      <c r="N30" s="150">
        <f>IFERROR(ROUND(CORREL('Returns (Calc)'!$AS$3:$AS$500,'Returns (Calc)'!$N$3:$N$500),2),"")</f>
        <v>0.08</v>
      </c>
      <c r="O30" s="150">
        <f>IFERROR(ROUND(CORREL('Returns (Calc)'!$AS$3:$AS$500,'Returns (Calc)'!$O$3:$O$500),2),"")</f>
        <v>0.46</v>
      </c>
      <c r="P30" s="150">
        <f>IFERROR(ROUND(CORREL('Returns (Calc)'!$AS$3:$AS$500,'Returns (Calc)'!$P$3:$P$500),2),"")</f>
        <v>0.4</v>
      </c>
      <c r="Q30" s="150">
        <f>IFERROR(ROUND(CORREL('Returns (Calc)'!$AS$3:$AS$500,'Returns (Calc)'!$Q$3:$Q$500),2),"")</f>
        <v>0.53</v>
      </c>
      <c r="R30" s="150">
        <f>IFERROR(ROUND(CORREL('Returns (Calc)'!$AS$3:$AS$500,'Returns (Calc)'!$R$3:$R$500),2),"")</f>
        <v>0.52</v>
      </c>
      <c r="S30" s="150">
        <f>IFERROR(ROUND(CORREL('Returns (Calc)'!$AS$3:$AS$500,'Returns (Calc)'!$S$3:$S$500),2),"")</f>
        <v>0.61</v>
      </c>
      <c r="T30" s="150">
        <f>IFERROR(ROUND(CORREL('Returns (Calc)'!$AS$3:$AS$500,'Returns (Calc)'!$T$3:$T$500),2),"")</f>
        <v>0.44</v>
      </c>
      <c r="U30" s="150">
        <f>IFERROR(ROUND(CORREL('Returns (Calc)'!$AS$3:$AS$500,'Returns (Calc)'!$U$3:$U$500),2),"")</f>
        <v>0.34</v>
      </c>
      <c r="V30" s="150">
        <f>IFERROR(ROUND(CORREL('Returns (Calc)'!$AS$3:$AS$500,'Returns (Calc)'!$V$3:$V$500),2),"")</f>
        <v>0.41</v>
      </c>
      <c r="W30" s="150">
        <f>IFERROR(ROUND(CORREL('Returns (Calc)'!$AS$3:$AS$500,'Returns (Calc)'!$AP$3:$AP$500),2),"")</f>
        <v>0.54</v>
      </c>
      <c r="X30" s="150">
        <f>IFERROR(ROUND(CORREL('Returns (Calc)'!$AS$3:$AS$500,'Returns (Calc)'!$AQ$3:$AQ$500),2),"")</f>
        <v>-0.26</v>
      </c>
      <c r="Y30" s="150">
        <f>IFERROR(ROUND(CORREL('Returns (Calc)'!$AS$3:$AS$500,'Returns (Calc)'!$AR$3:$AR$500),2),"")</f>
        <v>0.56999999999999995</v>
      </c>
      <c r="Z30" s="150">
        <v>1</v>
      </c>
      <c r="AA30" s="150">
        <f>IFERROR(ROUND(CORREL('Returns (Calc)'!$AS$3:$AS$500,'Returns (Calc)'!$AT$3:$AT$500),2),"")</f>
        <v>0.39</v>
      </c>
      <c r="AG30" s="151">
        <f t="shared" si="0"/>
        <v>0</v>
      </c>
    </row>
    <row r="31" spans="1:33" ht="15" customHeight="1" x14ac:dyDescent="0.35">
      <c r="A31" s="149" t="str">
        <f>'Returns (Calc)'!AT2</f>
        <v>NFLX</v>
      </c>
      <c r="B31" s="150">
        <f>IFERROR(ROUND(CORREL('Returns (Calc)'!$AT$3:$AT$500,'Returns (Calc)'!$B$3:$B$500),2),"")</f>
        <v>0.21</v>
      </c>
      <c r="C31" s="150">
        <f>IFERROR(ROUND(CORREL('Returns (Calc)'!$AT$3:$AT$500,'Returns (Calc)'!$C$3:$C$500),2),"")</f>
        <v>0.39</v>
      </c>
      <c r="D31" s="150">
        <f>IFERROR(ROUND(CORREL('Returns (Calc)'!$AT$3:$AT$500,'Returns (Calc)'!$D$3:$D$500),2),"")</f>
        <v>0.21</v>
      </c>
      <c r="E31" s="150">
        <f>IFERROR(ROUND(CORREL('Returns (Calc)'!$AT$3:$AT$500,'Returns (Calc)'!$E$3:$E$500),2),"")</f>
        <v>0.3</v>
      </c>
      <c r="F31" s="150">
        <f>IFERROR(ROUND(CORREL('Returns (Calc)'!$AT$3:$AT$500,'Returns (Calc)'!$F$3:$F$500),2),"")</f>
        <v>0.24</v>
      </c>
      <c r="G31" s="150">
        <f>IFERROR(ROUND(CORREL('Returns (Calc)'!$AT$3:$AT$500,'Returns (Calc)'!$G$3:$G$500),2),"")</f>
        <v>0.11</v>
      </c>
      <c r="H31" s="150">
        <f>IFERROR(ROUND(CORREL('Returns (Calc)'!$AT$3:$AT$500,'Returns (Calc)'!$H$3:$H$500),2),"")</f>
        <v>0.1</v>
      </c>
      <c r="I31" s="150">
        <f>IFERROR(ROUND(CORREL('Returns (Calc)'!$AT$3:$AT$500,'Returns (Calc)'!$I$3:$I$500),2),"")</f>
        <v>0.27</v>
      </c>
      <c r="J31" s="150">
        <f>IFERROR(ROUND(CORREL('Returns (Calc)'!$AT$3:$AT$500,'Returns (Calc)'!$J$3:$J$500),2),"")</f>
        <v>0.13</v>
      </c>
      <c r="K31" s="150">
        <f>IFERROR(ROUND(CORREL('Returns (Calc)'!$AT$3:$AT$500,'Returns (Calc)'!$K$3:$K$500),2),"")</f>
        <v>0.3</v>
      </c>
      <c r="L31" s="150">
        <f>IFERROR(ROUND(CORREL('Returns (Calc)'!$AT$3:$AT$500,'Returns (Calc)'!$L$3:$L$500),2),"")</f>
        <v>0.3</v>
      </c>
      <c r="M31" s="150">
        <f>IFERROR(ROUND(CORREL('Returns (Calc)'!$AT$3:$AT$500,'Returns (Calc)'!$M$3:$M$500),2),"")</f>
        <v>0.32</v>
      </c>
      <c r="N31" s="150">
        <f>IFERROR(ROUND(CORREL('Returns (Calc)'!$AT$3:$AT$500,'Returns (Calc)'!$N$3:$N$500),2),"")</f>
        <v>0.08</v>
      </c>
      <c r="O31" s="150">
        <f>IFERROR(ROUND(CORREL('Returns (Calc)'!$AT$3:$AT$500,'Returns (Calc)'!$O$3:$O$500),2),"")</f>
        <v>0.21</v>
      </c>
      <c r="P31" s="150">
        <f>IFERROR(ROUND(CORREL('Returns (Calc)'!$AT$3:$AT$500,'Returns (Calc)'!$P$3:$P$500),2),"")</f>
        <v>0.18</v>
      </c>
      <c r="Q31" s="150">
        <f>IFERROR(ROUND(CORREL('Returns (Calc)'!$AT$3:$AT$500,'Returns (Calc)'!$Q$3:$Q$500),2),"")</f>
        <v>0.39</v>
      </c>
      <c r="R31" s="150">
        <f>IFERROR(ROUND(CORREL('Returns (Calc)'!$AT$3:$AT$500,'Returns (Calc)'!$R$3:$R$500),2),"")</f>
        <v>0.43</v>
      </c>
      <c r="S31" s="150">
        <f>IFERROR(ROUND(CORREL('Returns (Calc)'!$AT$3:$AT$500,'Returns (Calc)'!$S$3:$S$500),2),"")</f>
        <v>0.41</v>
      </c>
      <c r="T31" s="150">
        <f>IFERROR(ROUND(CORREL('Returns (Calc)'!$AT$3:$AT$500,'Returns (Calc)'!$T$3:$T$500),2),"")</f>
        <v>0.25</v>
      </c>
      <c r="U31" s="150">
        <f>IFERROR(ROUND(CORREL('Returns (Calc)'!$AT$3:$AT$500,'Returns (Calc)'!$U$3:$U$500),2),"")</f>
        <v>0.16</v>
      </c>
      <c r="V31" s="150">
        <f>IFERROR(ROUND(CORREL('Returns (Calc)'!$AT$3:$AT$500,'Returns (Calc)'!$V$3:$V$500),2),"")</f>
        <v>0.28999999999999998</v>
      </c>
      <c r="W31" s="150">
        <f>IFERROR(ROUND(CORREL('Returns (Calc)'!$AT$3:$AT$500,'Returns (Calc)'!$AP$3:$AP$500),2),"")</f>
        <v>0.3</v>
      </c>
      <c r="X31" s="150">
        <f>IFERROR(ROUND(CORREL('Returns (Calc)'!$AT$3:$AT$500,'Returns (Calc)'!$AQ$3:$AQ$500),2),"")</f>
        <v>-0.01</v>
      </c>
      <c r="Y31" s="150">
        <f>IFERROR(ROUND(CORREL('Returns (Calc)'!$AT$3:$AT$500,'Returns (Calc)'!$AR$3:$AR$500),2),"")</f>
        <v>0.38</v>
      </c>
      <c r="Z31" s="150">
        <f>IFERROR(ROUND(CORREL('Returns (Calc)'!$AT$3:$AT$500,'Returns (Calc)'!$AS$3:$AS$500),2),"")</f>
        <v>0.39</v>
      </c>
      <c r="AA31" s="150">
        <v>1</v>
      </c>
      <c r="AG31" s="151">
        <f t="shared" si="0"/>
        <v>0</v>
      </c>
    </row>
  </sheetData>
  <mergeCells count="1">
    <mergeCell ref="A1:AG1"/>
  </mergeCells>
  <conditionalFormatting sqref="B6:AA31">
    <cfRule type="expression" dxfId="93" priority="2">
      <formula>AND(B6&lt;&gt;1,ABS(B6)&gt;0.7)</formula>
    </cfRule>
  </conditionalFormatting>
  <conditionalFormatting sqref="J3">
    <cfRule type="cellIs" dxfId="92" priority="4" operator="equal">
      <formula>"REVIEW REQUIRED"</formula>
    </cfRule>
    <cfRule type="cellIs" dxfId="91" priority="5" operator="equal">
      <formula>"OK"</formula>
    </cfRule>
  </conditionalFormatting>
  <conditionalFormatting sqref="AG6:AG31">
    <cfRule type="cellIs" dxfId="90" priority="3" operator="greaterThan">
      <formula>1</formula>
    </cfRule>
  </conditionalFormatting>
  <pageMargins left="0.75" right="0.75" top="1" bottom="1" header="0.511811023622047" footer="0.511811023622047"/>
  <pageSetup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showGridLines="0" zoomScaleNormal="100" workbookViewId="0">
      <pane ySplit="2" topLeftCell="A3" activePane="bottomLeft" state="frozen"/>
      <selection pane="bottomLeft" activeCell="H12" sqref="H12"/>
    </sheetView>
  </sheetViews>
  <sheetFormatPr defaultColWidth="8.6328125" defaultRowHeight="14.5" x14ac:dyDescent="0.35"/>
  <cols>
    <col min="1" max="1" width="12" customWidth="1"/>
    <col min="2" max="3" width="15" customWidth="1"/>
    <col min="4" max="4" width="12" customWidth="1"/>
    <col min="5" max="6" width="13" customWidth="1"/>
    <col min="7" max="7" width="22" customWidth="1"/>
    <col min="8" max="8" width="30" style="133" customWidth="1"/>
  </cols>
  <sheetData>
    <row r="1" spans="1:8" ht="24" customHeight="1" x14ac:dyDescent="0.35">
      <c r="A1" s="225" t="s">
        <v>463</v>
      </c>
      <c r="B1" s="225"/>
      <c r="C1" s="225"/>
      <c r="D1" s="225"/>
      <c r="E1" s="225"/>
      <c r="F1" s="225"/>
      <c r="G1" s="225"/>
      <c r="H1" s="225"/>
    </row>
    <row r="2" spans="1:8" ht="27.75" customHeight="1" x14ac:dyDescent="0.35">
      <c r="A2" s="112" t="s">
        <v>464</v>
      </c>
      <c r="B2" s="112" t="s">
        <v>465</v>
      </c>
      <c r="C2" s="112" t="s">
        <v>466</v>
      </c>
      <c r="D2" s="112" t="s">
        <v>467</v>
      </c>
      <c r="E2" s="112" t="s">
        <v>468</v>
      </c>
      <c r="F2" s="112" t="s">
        <v>469</v>
      </c>
      <c r="G2" s="112" t="s">
        <v>470</v>
      </c>
      <c r="H2" s="112" t="s">
        <v>210</v>
      </c>
    </row>
    <row r="3" spans="1:8" ht="15" customHeight="1" x14ac:dyDescent="0.35">
      <c r="A3" s="115">
        <v>46245</v>
      </c>
      <c r="B3" s="135">
        <v>700739.19</v>
      </c>
      <c r="C3" s="152">
        <f>IF(B3="","",B3)</f>
        <v>700739.19</v>
      </c>
      <c r="D3" s="153">
        <f t="shared" ref="D3:D42" si="0">IF(OR(B3="",C3=""),"",B3/C3-1)</f>
        <v>0</v>
      </c>
      <c r="E3" s="92" t="str">
        <f t="shared" ref="E3:E42" si="1">IF(D3="","",IF(D3&gt;=-0.1,"Normal",IF(D3&gt;=-0.2,"Elevated",IF(D3&gt;=-0.3,"Severe","Critical"))))</f>
        <v>Normal</v>
      </c>
      <c r="F3" s="64" t="str">
        <f t="shared" ref="F3:F42" si="2">IF(E3="","",IF(E3="Normal","5-15%",IF(E3="Elevated","15%",IF(E3="Severe","20%","25%"))))</f>
        <v>5-15%</v>
      </c>
      <c r="G3" s="64" t="str">
        <f t="shared" ref="G3:G42" si="3">IF(E3="","",IF(E3="Normal","Standard (score &gt;=65)",IF(E3="Elevated","Restricted (score &gt;=80 only)","Suspended")))</f>
        <v>Standard (score &gt;=65)</v>
      </c>
      <c r="H3" s="114"/>
    </row>
    <row r="4" spans="1:8" ht="15" customHeight="1" x14ac:dyDescent="0.35">
      <c r="A4" s="115">
        <v>46269</v>
      </c>
      <c r="B4" s="135">
        <v>751223.12</v>
      </c>
      <c r="C4" s="152">
        <f t="shared" ref="C4:C42" si="4">IF(B4="","",MAX(C3,B4))</f>
        <v>751223.12</v>
      </c>
      <c r="D4" s="153">
        <f t="shared" si="0"/>
        <v>0</v>
      </c>
      <c r="E4" s="92" t="str">
        <f t="shared" si="1"/>
        <v>Normal</v>
      </c>
      <c r="F4" s="64" t="str">
        <f t="shared" si="2"/>
        <v>5-15%</v>
      </c>
      <c r="G4" s="64" t="str">
        <f t="shared" si="3"/>
        <v>Standard (score &gt;=65)</v>
      </c>
      <c r="H4" s="114" t="s">
        <v>471</v>
      </c>
    </row>
    <row r="5" spans="1:8" ht="15" customHeight="1" x14ac:dyDescent="0.35">
      <c r="A5" s="115">
        <v>46295</v>
      </c>
      <c r="B5" s="135">
        <v>741557.65</v>
      </c>
      <c r="C5" s="152">
        <f t="shared" si="4"/>
        <v>751223.12</v>
      </c>
      <c r="D5" s="153">
        <f t="shared" si="0"/>
        <v>-1.2866310610887499E-2</v>
      </c>
      <c r="E5" s="92" t="str">
        <f t="shared" si="1"/>
        <v>Normal</v>
      </c>
      <c r="F5" s="64" t="str">
        <f t="shared" si="2"/>
        <v>5-15%</v>
      </c>
      <c r="G5" s="64" t="str">
        <f t="shared" si="3"/>
        <v>Standard (score &gt;=65)</v>
      </c>
      <c r="H5" s="114" t="s">
        <v>472</v>
      </c>
    </row>
    <row r="6" spans="1:8" ht="15" customHeight="1" x14ac:dyDescent="0.35">
      <c r="A6" s="115"/>
      <c r="B6" s="135"/>
      <c r="C6" s="152" t="str">
        <f t="shared" si="4"/>
        <v/>
      </c>
      <c r="D6" s="153" t="str">
        <f t="shared" si="0"/>
        <v/>
      </c>
      <c r="E6" s="92" t="str">
        <f t="shared" si="1"/>
        <v/>
      </c>
      <c r="F6" s="64" t="str">
        <f t="shared" si="2"/>
        <v/>
      </c>
      <c r="G6" s="64" t="str">
        <f t="shared" si="3"/>
        <v/>
      </c>
      <c r="H6" s="114"/>
    </row>
    <row r="7" spans="1:8" ht="15" customHeight="1" x14ac:dyDescent="0.35">
      <c r="A7" s="115"/>
      <c r="B7" s="135"/>
      <c r="C7" s="152" t="str">
        <f t="shared" si="4"/>
        <v/>
      </c>
      <c r="D7" s="153" t="str">
        <f t="shared" si="0"/>
        <v/>
      </c>
      <c r="E7" s="92" t="str">
        <f t="shared" si="1"/>
        <v/>
      </c>
      <c r="F7" s="64" t="str">
        <f t="shared" si="2"/>
        <v/>
      </c>
      <c r="G7" s="64" t="str">
        <f t="shared" si="3"/>
        <v/>
      </c>
      <c r="H7" s="114"/>
    </row>
    <row r="8" spans="1:8" ht="15" customHeight="1" x14ac:dyDescent="0.35">
      <c r="A8" s="115"/>
      <c r="B8" s="135"/>
      <c r="C8" s="152" t="str">
        <f t="shared" si="4"/>
        <v/>
      </c>
      <c r="D8" s="153" t="str">
        <f t="shared" si="0"/>
        <v/>
      </c>
      <c r="E8" s="92" t="str">
        <f t="shared" si="1"/>
        <v/>
      </c>
      <c r="F8" s="64" t="str">
        <f t="shared" si="2"/>
        <v/>
      </c>
      <c r="G8" s="64" t="str">
        <f t="shared" si="3"/>
        <v/>
      </c>
      <c r="H8" s="114"/>
    </row>
    <row r="9" spans="1:8" ht="15" customHeight="1" x14ac:dyDescent="0.35">
      <c r="A9" s="115"/>
      <c r="B9" s="135"/>
      <c r="C9" s="152" t="str">
        <f t="shared" si="4"/>
        <v/>
      </c>
      <c r="D9" s="153" t="str">
        <f t="shared" si="0"/>
        <v/>
      </c>
      <c r="E9" s="92" t="str">
        <f t="shared" si="1"/>
        <v/>
      </c>
      <c r="F9" s="64" t="str">
        <f t="shared" si="2"/>
        <v/>
      </c>
      <c r="G9" s="64" t="str">
        <f t="shared" si="3"/>
        <v/>
      </c>
      <c r="H9" s="114"/>
    </row>
    <row r="10" spans="1:8" ht="15" customHeight="1" x14ac:dyDescent="0.35">
      <c r="A10" s="115"/>
      <c r="B10" s="135"/>
      <c r="C10" s="152" t="str">
        <f t="shared" si="4"/>
        <v/>
      </c>
      <c r="D10" s="153" t="str">
        <f t="shared" si="0"/>
        <v/>
      </c>
      <c r="E10" s="92" t="str">
        <f t="shared" si="1"/>
        <v/>
      </c>
      <c r="F10" s="64" t="str">
        <f t="shared" si="2"/>
        <v/>
      </c>
      <c r="G10" s="64" t="str">
        <f t="shared" si="3"/>
        <v/>
      </c>
      <c r="H10" s="114"/>
    </row>
    <row r="11" spans="1:8" ht="15" customHeight="1" x14ac:dyDescent="0.35">
      <c r="A11" s="115"/>
      <c r="B11" s="135"/>
      <c r="C11" s="152" t="str">
        <f t="shared" si="4"/>
        <v/>
      </c>
      <c r="D11" s="153" t="str">
        <f t="shared" si="0"/>
        <v/>
      </c>
      <c r="E11" s="92" t="str">
        <f t="shared" si="1"/>
        <v/>
      </c>
      <c r="F11" s="64" t="str">
        <f t="shared" si="2"/>
        <v/>
      </c>
      <c r="G11" s="64" t="str">
        <f t="shared" si="3"/>
        <v/>
      </c>
      <c r="H11" s="114"/>
    </row>
    <row r="12" spans="1:8" ht="15" customHeight="1" x14ac:dyDescent="0.35">
      <c r="A12" s="115"/>
      <c r="B12" s="135"/>
      <c r="C12" s="152" t="str">
        <f t="shared" si="4"/>
        <v/>
      </c>
      <c r="D12" s="153" t="str">
        <f t="shared" si="0"/>
        <v/>
      </c>
      <c r="E12" s="92" t="str">
        <f t="shared" si="1"/>
        <v/>
      </c>
      <c r="F12" s="64" t="str">
        <f t="shared" si="2"/>
        <v/>
      </c>
      <c r="G12" s="64" t="str">
        <f t="shared" si="3"/>
        <v/>
      </c>
      <c r="H12" s="114"/>
    </row>
    <row r="13" spans="1:8" ht="15" customHeight="1" x14ac:dyDescent="0.35">
      <c r="A13" s="115"/>
      <c r="B13" s="135"/>
      <c r="C13" s="152" t="str">
        <f t="shared" si="4"/>
        <v/>
      </c>
      <c r="D13" s="153" t="str">
        <f t="shared" si="0"/>
        <v/>
      </c>
      <c r="E13" s="92" t="str">
        <f t="shared" si="1"/>
        <v/>
      </c>
      <c r="F13" s="64" t="str">
        <f t="shared" si="2"/>
        <v/>
      </c>
      <c r="G13" s="64" t="str">
        <f t="shared" si="3"/>
        <v/>
      </c>
      <c r="H13" s="114"/>
    </row>
    <row r="14" spans="1:8" ht="15" customHeight="1" x14ac:dyDescent="0.35">
      <c r="A14" s="115"/>
      <c r="B14" s="135"/>
      <c r="C14" s="152" t="str">
        <f t="shared" si="4"/>
        <v/>
      </c>
      <c r="D14" s="153" t="str">
        <f t="shared" si="0"/>
        <v/>
      </c>
      <c r="E14" s="92" t="str">
        <f t="shared" si="1"/>
        <v/>
      </c>
      <c r="F14" s="64" t="str">
        <f t="shared" si="2"/>
        <v/>
      </c>
      <c r="G14" s="64" t="str">
        <f t="shared" si="3"/>
        <v/>
      </c>
      <c r="H14" s="114"/>
    </row>
    <row r="15" spans="1:8" ht="15" customHeight="1" x14ac:dyDescent="0.35">
      <c r="A15" s="115"/>
      <c r="B15" s="135"/>
      <c r="C15" s="152" t="str">
        <f t="shared" si="4"/>
        <v/>
      </c>
      <c r="D15" s="153" t="str">
        <f t="shared" si="0"/>
        <v/>
      </c>
      <c r="E15" s="92" t="str">
        <f t="shared" si="1"/>
        <v/>
      </c>
      <c r="F15" s="64" t="str">
        <f t="shared" si="2"/>
        <v/>
      </c>
      <c r="G15" s="64" t="str">
        <f t="shared" si="3"/>
        <v/>
      </c>
      <c r="H15" s="114"/>
    </row>
    <row r="16" spans="1:8" ht="15" customHeight="1" x14ac:dyDescent="0.35">
      <c r="A16" s="115"/>
      <c r="B16" s="135"/>
      <c r="C16" s="152" t="str">
        <f t="shared" si="4"/>
        <v/>
      </c>
      <c r="D16" s="153" t="str">
        <f t="shared" si="0"/>
        <v/>
      </c>
      <c r="E16" s="92" t="str">
        <f t="shared" si="1"/>
        <v/>
      </c>
      <c r="F16" s="64" t="str">
        <f t="shared" si="2"/>
        <v/>
      </c>
      <c r="G16" s="64" t="str">
        <f t="shared" si="3"/>
        <v/>
      </c>
      <c r="H16" s="114"/>
    </row>
    <row r="17" spans="1:8" ht="15" customHeight="1" x14ac:dyDescent="0.35">
      <c r="A17" s="115"/>
      <c r="B17" s="135"/>
      <c r="C17" s="152" t="str">
        <f t="shared" si="4"/>
        <v/>
      </c>
      <c r="D17" s="153" t="str">
        <f t="shared" si="0"/>
        <v/>
      </c>
      <c r="E17" s="92" t="str">
        <f t="shared" si="1"/>
        <v/>
      </c>
      <c r="F17" s="64" t="str">
        <f t="shared" si="2"/>
        <v/>
      </c>
      <c r="G17" s="64" t="str">
        <f t="shared" si="3"/>
        <v/>
      </c>
      <c r="H17" s="114"/>
    </row>
    <row r="18" spans="1:8" ht="15" customHeight="1" x14ac:dyDescent="0.35">
      <c r="A18" s="115"/>
      <c r="B18" s="135"/>
      <c r="C18" s="152" t="str">
        <f t="shared" si="4"/>
        <v/>
      </c>
      <c r="D18" s="153" t="str">
        <f t="shared" si="0"/>
        <v/>
      </c>
      <c r="E18" s="92" t="str">
        <f t="shared" si="1"/>
        <v/>
      </c>
      <c r="F18" s="64" t="str">
        <f t="shared" si="2"/>
        <v/>
      </c>
      <c r="G18" s="64" t="str">
        <f t="shared" si="3"/>
        <v/>
      </c>
      <c r="H18" s="114"/>
    </row>
    <row r="19" spans="1:8" ht="15" customHeight="1" x14ac:dyDescent="0.35">
      <c r="A19" s="115"/>
      <c r="B19" s="135"/>
      <c r="C19" s="152" t="str">
        <f t="shared" si="4"/>
        <v/>
      </c>
      <c r="D19" s="153" t="str">
        <f t="shared" si="0"/>
        <v/>
      </c>
      <c r="E19" s="92" t="str">
        <f t="shared" si="1"/>
        <v/>
      </c>
      <c r="F19" s="64" t="str">
        <f t="shared" si="2"/>
        <v/>
      </c>
      <c r="G19" s="64" t="str">
        <f t="shared" si="3"/>
        <v/>
      </c>
      <c r="H19" s="114"/>
    </row>
    <row r="20" spans="1:8" ht="15" customHeight="1" x14ac:dyDescent="0.35">
      <c r="A20" s="115"/>
      <c r="B20" s="135"/>
      <c r="C20" s="152" t="str">
        <f t="shared" si="4"/>
        <v/>
      </c>
      <c r="D20" s="153" t="str">
        <f t="shared" si="0"/>
        <v/>
      </c>
      <c r="E20" s="92" t="str">
        <f t="shared" si="1"/>
        <v/>
      </c>
      <c r="F20" s="64" t="str">
        <f t="shared" si="2"/>
        <v/>
      </c>
      <c r="G20" s="64" t="str">
        <f t="shared" si="3"/>
        <v/>
      </c>
      <c r="H20" s="114"/>
    </row>
    <row r="21" spans="1:8" ht="15" customHeight="1" x14ac:dyDescent="0.35">
      <c r="A21" s="115"/>
      <c r="B21" s="135"/>
      <c r="C21" s="152" t="str">
        <f t="shared" si="4"/>
        <v/>
      </c>
      <c r="D21" s="153" t="str">
        <f t="shared" si="0"/>
        <v/>
      </c>
      <c r="E21" s="92" t="str">
        <f t="shared" si="1"/>
        <v/>
      </c>
      <c r="F21" s="64" t="str">
        <f t="shared" si="2"/>
        <v/>
      </c>
      <c r="G21" s="64" t="str">
        <f t="shared" si="3"/>
        <v/>
      </c>
      <c r="H21" s="114"/>
    </row>
    <row r="22" spans="1:8" ht="15" customHeight="1" x14ac:dyDescent="0.35">
      <c r="A22" s="115"/>
      <c r="B22" s="135"/>
      <c r="C22" s="152" t="str">
        <f t="shared" si="4"/>
        <v/>
      </c>
      <c r="D22" s="153" t="str">
        <f t="shared" si="0"/>
        <v/>
      </c>
      <c r="E22" s="92" t="str">
        <f t="shared" si="1"/>
        <v/>
      </c>
      <c r="F22" s="64" t="str">
        <f t="shared" si="2"/>
        <v/>
      </c>
      <c r="G22" s="64" t="str">
        <f t="shared" si="3"/>
        <v/>
      </c>
      <c r="H22" s="114"/>
    </row>
    <row r="23" spans="1:8" ht="15" customHeight="1" x14ac:dyDescent="0.35">
      <c r="A23" s="115"/>
      <c r="B23" s="135"/>
      <c r="C23" s="152" t="str">
        <f t="shared" si="4"/>
        <v/>
      </c>
      <c r="D23" s="153" t="str">
        <f t="shared" si="0"/>
        <v/>
      </c>
      <c r="E23" s="92" t="str">
        <f t="shared" si="1"/>
        <v/>
      </c>
      <c r="F23" s="64" t="str">
        <f t="shared" si="2"/>
        <v/>
      </c>
      <c r="G23" s="64" t="str">
        <f t="shared" si="3"/>
        <v/>
      </c>
      <c r="H23" s="114"/>
    </row>
    <row r="24" spans="1:8" ht="15" customHeight="1" x14ac:dyDescent="0.35">
      <c r="A24" s="115"/>
      <c r="B24" s="135"/>
      <c r="C24" s="152" t="str">
        <f t="shared" si="4"/>
        <v/>
      </c>
      <c r="D24" s="153" t="str">
        <f t="shared" si="0"/>
        <v/>
      </c>
      <c r="E24" s="92" t="str">
        <f t="shared" si="1"/>
        <v/>
      </c>
      <c r="F24" s="64" t="str">
        <f t="shared" si="2"/>
        <v/>
      </c>
      <c r="G24" s="64" t="str">
        <f t="shared" si="3"/>
        <v/>
      </c>
      <c r="H24" s="114"/>
    </row>
    <row r="25" spans="1:8" ht="15" customHeight="1" x14ac:dyDescent="0.35">
      <c r="A25" s="115"/>
      <c r="B25" s="135"/>
      <c r="C25" s="152" t="str">
        <f t="shared" si="4"/>
        <v/>
      </c>
      <c r="D25" s="153" t="str">
        <f t="shared" si="0"/>
        <v/>
      </c>
      <c r="E25" s="92" t="str">
        <f t="shared" si="1"/>
        <v/>
      </c>
      <c r="F25" s="64" t="str">
        <f t="shared" si="2"/>
        <v/>
      </c>
      <c r="G25" s="64" t="str">
        <f t="shared" si="3"/>
        <v/>
      </c>
      <c r="H25" s="114"/>
    </row>
    <row r="26" spans="1:8" ht="15" customHeight="1" x14ac:dyDescent="0.35">
      <c r="A26" s="115"/>
      <c r="B26" s="135"/>
      <c r="C26" s="152" t="str">
        <f t="shared" si="4"/>
        <v/>
      </c>
      <c r="D26" s="153" t="str">
        <f t="shared" si="0"/>
        <v/>
      </c>
      <c r="E26" s="92" t="str">
        <f t="shared" si="1"/>
        <v/>
      </c>
      <c r="F26" s="64" t="str">
        <f t="shared" si="2"/>
        <v/>
      </c>
      <c r="G26" s="64" t="str">
        <f t="shared" si="3"/>
        <v/>
      </c>
      <c r="H26" s="114"/>
    </row>
    <row r="27" spans="1:8" ht="15" customHeight="1" x14ac:dyDescent="0.35">
      <c r="A27" s="115"/>
      <c r="B27" s="135"/>
      <c r="C27" s="152" t="str">
        <f t="shared" si="4"/>
        <v/>
      </c>
      <c r="D27" s="153" t="str">
        <f t="shared" si="0"/>
        <v/>
      </c>
      <c r="E27" s="92" t="str">
        <f t="shared" si="1"/>
        <v/>
      </c>
      <c r="F27" s="64" t="str">
        <f t="shared" si="2"/>
        <v/>
      </c>
      <c r="G27" s="64" t="str">
        <f t="shared" si="3"/>
        <v/>
      </c>
      <c r="H27" s="114"/>
    </row>
    <row r="28" spans="1:8" ht="15" customHeight="1" x14ac:dyDescent="0.35">
      <c r="A28" s="115"/>
      <c r="B28" s="135"/>
      <c r="C28" s="152" t="str">
        <f t="shared" si="4"/>
        <v/>
      </c>
      <c r="D28" s="153" t="str">
        <f t="shared" si="0"/>
        <v/>
      </c>
      <c r="E28" s="92" t="str">
        <f t="shared" si="1"/>
        <v/>
      </c>
      <c r="F28" s="64" t="str">
        <f t="shared" si="2"/>
        <v/>
      </c>
      <c r="G28" s="64" t="str">
        <f t="shared" si="3"/>
        <v/>
      </c>
      <c r="H28" s="114"/>
    </row>
    <row r="29" spans="1:8" ht="15" customHeight="1" x14ac:dyDescent="0.35">
      <c r="A29" s="115"/>
      <c r="B29" s="135"/>
      <c r="C29" s="152" t="str">
        <f t="shared" si="4"/>
        <v/>
      </c>
      <c r="D29" s="153" t="str">
        <f t="shared" si="0"/>
        <v/>
      </c>
      <c r="E29" s="92" t="str">
        <f t="shared" si="1"/>
        <v/>
      </c>
      <c r="F29" s="64" t="str">
        <f t="shared" si="2"/>
        <v/>
      </c>
      <c r="G29" s="64" t="str">
        <f t="shared" si="3"/>
        <v/>
      </c>
      <c r="H29" s="114"/>
    </row>
    <row r="30" spans="1:8" ht="15" customHeight="1" x14ac:dyDescent="0.35">
      <c r="A30" s="115"/>
      <c r="B30" s="135"/>
      <c r="C30" s="152" t="str">
        <f t="shared" si="4"/>
        <v/>
      </c>
      <c r="D30" s="153" t="str">
        <f t="shared" si="0"/>
        <v/>
      </c>
      <c r="E30" s="92" t="str">
        <f t="shared" si="1"/>
        <v/>
      </c>
      <c r="F30" s="64" t="str">
        <f t="shared" si="2"/>
        <v/>
      </c>
      <c r="G30" s="64" t="str">
        <f t="shared" si="3"/>
        <v/>
      </c>
      <c r="H30" s="114"/>
    </row>
    <row r="31" spans="1:8" ht="15" customHeight="1" x14ac:dyDescent="0.35">
      <c r="A31" s="115"/>
      <c r="B31" s="135"/>
      <c r="C31" s="152" t="str">
        <f t="shared" si="4"/>
        <v/>
      </c>
      <c r="D31" s="153" t="str">
        <f t="shared" si="0"/>
        <v/>
      </c>
      <c r="E31" s="92" t="str">
        <f t="shared" si="1"/>
        <v/>
      </c>
      <c r="F31" s="64" t="str">
        <f t="shared" si="2"/>
        <v/>
      </c>
      <c r="G31" s="64" t="str">
        <f t="shared" si="3"/>
        <v/>
      </c>
      <c r="H31" s="114"/>
    </row>
    <row r="32" spans="1:8" ht="15" customHeight="1" x14ac:dyDescent="0.35">
      <c r="A32" s="115"/>
      <c r="B32" s="135"/>
      <c r="C32" s="152" t="str">
        <f t="shared" si="4"/>
        <v/>
      </c>
      <c r="D32" s="153" t="str">
        <f t="shared" si="0"/>
        <v/>
      </c>
      <c r="E32" s="92" t="str">
        <f t="shared" si="1"/>
        <v/>
      </c>
      <c r="F32" s="64" t="str">
        <f t="shared" si="2"/>
        <v/>
      </c>
      <c r="G32" s="64" t="str">
        <f t="shared" si="3"/>
        <v/>
      </c>
      <c r="H32" s="114"/>
    </row>
    <row r="33" spans="1:8" ht="15" customHeight="1" x14ac:dyDescent="0.35">
      <c r="A33" s="115"/>
      <c r="B33" s="135"/>
      <c r="C33" s="152" t="str">
        <f t="shared" si="4"/>
        <v/>
      </c>
      <c r="D33" s="153" t="str">
        <f t="shared" si="0"/>
        <v/>
      </c>
      <c r="E33" s="92" t="str">
        <f t="shared" si="1"/>
        <v/>
      </c>
      <c r="F33" s="64" t="str">
        <f t="shared" si="2"/>
        <v/>
      </c>
      <c r="G33" s="64" t="str">
        <f t="shared" si="3"/>
        <v/>
      </c>
      <c r="H33" s="114"/>
    </row>
    <row r="34" spans="1:8" ht="15" customHeight="1" x14ac:dyDescent="0.35">
      <c r="A34" s="115"/>
      <c r="B34" s="135"/>
      <c r="C34" s="152" t="str">
        <f t="shared" si="4"/>
        <v/>
      </c>
      <c r="D34" s="153" t="str">
        <f t="shared" si="0"/>
        <v/>
      </c>
      <c r="E34" s="92" t="str">
        <f t="shared" si="1"/>
        <v/>
      </c>
      <c r="F34" s="64" t="str">
        <f t="shared" si="2"/>
        <v/>
      </c>
      <c r="G34" s="64" t="str">
        <f t="shared" si="3"/>
        <v/>
      </c>
      <c r="H34" s="114"/>
    </row>
    <row r="35" spans="1:8" ht="15" customHeight="1" x14ac:dyDescent="0.35">
      <c r="A35" s="115"/>
      <c r="B35" s="135"/>
      <c r="C35" s="152" t="str">
        <f t="shared" si="4"/>
        <v/>
      </c>
      <c r="D35" s="153" t="str">
        <f t="shared" si="0"/>
        <v/>
      </c>
      <c r="E35" s="92" t="str">
        <f t="shared" si="1"/>
        <v/>
      </c>
      <c r="F35" s="64" t="str">
        <f t="shared" si="2"/>
        <v/>
      </c>
      <c r="G35" s="64" t="str">
        <f t="shared" si="3"/>
        <v/>
      </c>
      <c r="H35" s="114"/>
    </row>
    <row r="36" spans="1:8" ht="15" customHeight="1" x14ac:dyDescent="0.35">
      <c r="A36" s="115"/>
      <c r="B36" s="135"/>
      <c r="C36" s="152" t="str">
        <f t="shared" si="4"/>
        <v/>
      </c>
      <c r="D36" s="153" t="str">
        <f t="shared" si="0"/>
        <v/>
      </c>
      <c r="E36" s="92" t="str">
        <f t="shared" si="1"/>
        <v/>
      </c>
      <c r="F36" s="64" t="str">
        <f t="shared" si="2"/>
        <v/>
      </c>
      <c r="G36" s="64" t="str">
        <f t="shared" si="3"/>
        <v/>
      </c>
      <c r="H36" s="114"/>
    </row>
    <row r="37" spans="1:8" ht="15" customHeight="1" x14ac:dyDescent="0.35">
      <c r="A37" s="115"/>
      <c r="B37" s="135"/>
      <c r="C37" s="152" t="str">
        <f t="shared" si="4"/>
        <v/>
      </c>
      <c r="D37" s="153" t="str">
        <f t="shared" si="0"/>
        <v/>
      </c>
      <c r="E37" s="92" t="str">
        <f t="shared" si="1"/>
        <v/>
      </c>
      <c r="F37" s="64" t="str">
        <f t="shared" si="2"/>
        <v/>
      </c>
      <c r="G37" s="64" t="str">
        <f t="shared" si="3"/>
        <v/>
      </c>
      <c r="H37" s="114"/>
    </row>
    <row r="38" spans="1:8" ht="15" customHeight="1" x14ac:dyDescent="0.35">
      <c r="A38" s="115"/>
      <c r="B38" s="135"/>
      <c r="C38" s="152" t="str">
        <f t="shared" si="4"/>
        <v/>
      </c>
      <c r="D38" s="153" t="str">
        <f t="shared" si="0"/>
        <v/>
      </c>
      <c r="E38" s="92" t="str">
        <f t="shared" si="1"/>
        <v/>
      </c>
      <c r="F38" s="64" t="str">
        <f t="shared" si="2"/>
        <v/>
      </c>
      <c r="G38" s="64" t="str">
        <f t="shared" si="3"/>
        <v/>
      </c>
      <c r="H38" s="114"/>
    </row>
    <row r="39" spans="1:8" ht="15" customHeight="1" x14ac:dyDescent="0.35">
      <c r="A39" s="115"/>
      <c r="B39" s="135"/>
      <c r="C39" s="152" t="str">
        <f t="shared" si="4"/>
        <v/>
      </c>
      <c r="D39" s="153" t="str">
        <f t="shared" si="0"/>
        <v/>
      </c>
      <c r="E39" s="92" t="str">
        <f t="shared" si="1"/>
        <v/>
      </c>
      <c r="F39" s="64" t="str">
        <f t="shared" si="2"/>
        <v/>
      </c>
      <c r="G39" s="64" t="str">
        <f t="shared" si="3"/>
        <v/>
      </c>
      <c r="H39" s="114"/>
    </row>
    <row r="40" spans="1:8" ht="15" customHeight="1" x14ac:dyDescent="0.35">
      <c r="A40" s="115"/>
      <c r="B40" s="135"/>
      <c r="C40" s="152" t="str">
        <f t="shared" si="4"/>
        <v/>
      </c>
      <c r="D40" s="153" t="str">
        <f t="shared" si="0"/>
        <v/>
      </c>
      <c r="E40" s="92" t="str">
        <f t="shared" si="1"/>
        <v/>
      </c>
      <c r="F40" s="64" t="str">
        <f t="shared" si="2"/>
        <v/>
      </c>
      <c r="G40" s="64" t="str">
        <f t="shared" si="3"/>
        <v/>
      </c>
      <c r="H40" s="114"/>
    </row>
    <row r="41" spans="1:8" ht="15" customHeight="1" x14ac:dyDescent="0.35">
      <c r="A41" s="115"/>
      <c r="B41" s="135"/>
      <c r="C41" s="152" t="str">
        <f t="shared" si="4"/>
        <v/>
      </c>
      <c r="D41" s="153" t="str">
        <f t="shared" si="0"/>
        <v/>
      </c>
      <c r="E41" s="92" t="str">
        <f t="shared" si="1"/>
        <v/>
      </c>
      <c r="F41" s="64" t="str">
        <f t="shared" si="2"/>
        <v/>
      </c>
      <c r="G41" s="64" t="str">
        <f t="shared" si="3"/>
        <v/>
      </c>
      <c r="H41" s="114"/>
    </row>
    <row r="42" spans="1:8" ht="15" customHeight="1" x14ac:dyDescent="0.35">
      <c r="A42" s="115"/>
      <c r="B42" s="135"/>
      <c r="C42" s="152" t="str">
        <f t="shared" si="4"/>
        <v/>
      </c>
      <c r="D42" s="153" t="str">
        <f t="shared" si="0"/>
        <v/>
      </c>
      <c r="E42" s="92" t="str">
        <f t="shared" si="1"/>
        <v/>
      </c>
      <c r="F42" s="64" t="str">
        <f t="shared" si="2"/>
        <v/>
      </c>
      <c r="G42" s="64" t="str">
        <f t="shared" si="3"/>
        <v/>
      </c>
      <c r="H42" s="114"/>
    </row>
  </sheetData>
  <mergeCells count="1">
    <mergeCell ref="A1:H1"/>
  </mergeCells>
  <conditionalFormatting sqref="E3:E42">
    <cfRule type="cellIs" dxfId="89" priority="2" operator="equal">
      <formula>"Normal"</formula>
    </cfRule>
    <cfRule type="cellIs" dxfId="88" priority="3" operator="equal">
      <formula>"Elevated"</formula>
    </cfRule>
    <cfRule type="cellIs" dxfId="87" priority="4" operator="equal">
      <formula>"Severe"</formula>
    </cfRule>
    <cfRule type="cellIs" dxfId="86" priority="5" operator="equal">
      <formula>"Critical"</formula>
    </cfRule>
  </conditionalFormatting>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2"/>
  <sheetViews>
    <sheetView showGridLines="0" zoomScaleNormal="100" workbookViewId="0">
      <pane xSplit="1" ySplit="2" topLeftCell="B3" activePane="bottomRight" state="frozen"/>
      <selection pane="topRight" activeCell="B1" sqref="B1"/>
      <selection pane="bottomLeft" activeCell="A3" sqref="A3"/>
      <selection pane="bottomRight" activeCell="L11" sqref="L11"/>
    </sheetView>
  </sheetViews>
  <sheetFormatPr defaultColWidth="8.6328125" defaultRowHeight="14.5" x14ac:dyDescent="0.35"/>
  <cols>
    <col min="1" max="1" width="9" customWidth="1"/>
    <col min="2" max="2" width="16" customWidth="1"/>
    <col min="3" max="3" width="13" customWidth="1"/>
    <col min="4" max="4" width="9" customWidth="1"/>
    <col min="5" max="6" width="8" customWidth="1"/>
    <col min="7" max="7" width="9.54296875" customWidth="1"/>
    <col min="8" max="8" width="12" customWidth="1"/>
    <col min="9" max="9" width="9.54296875" style="154" customWidth="1"/>
    <col min="10" max="10" width="9.36328125" customWidth="1"/>
    <col min="11" max="11" width="20" customWidth="1"/>
    <col min="12" max="12" width="90.1796875" customWidth="1"/>
    <col min="13" max="13" width="14" customWidth="1"/>
  </cols>
  <sheetData>
    <row r="1" spans="1:13" ht="21" customHeight="1" x14ac:dyDescent="0.35">
      <c r="A1" s="137" t="s">
        <v>473</v>
      </c>
      <c r="B1" s="137"/>
      <c r="C1" s="137"/>
      <c r="D1" s="137"/>
      <c r="E1" s="137"/>
      <c r="F1" s="137"/>
      <c r="G1" s="137"/>
      <c r="H1" s="137"/>
      <c r="I1" s="155"/>
      <c r="J1" s="137"/>
      <c r="K1" s="137"/>
      <c r="L1" s="137"/>
      <c r="M1" s="137"/>
    </row>
    <row r="2" spans="1:13" ht="45.75" customHeight="1" x14ac:dyDescent="0.35">
      <c r="A2" s="58" t="s">
        <v>82</v>
      </c>
      <c r="B2" s="58" t="s">
        <v>288</v>
      </c>
      <c r="C2" s="58" t="s">
        <v>474</v>
      </c>
      <c r="D2" s="58" t="s">
        <v>475</v>
      </c>
      <c r="E2" s="58" t="s">
        <v>476</v>
      </c>
      <c r="F2" s="58" t="s">
        <v>477</v>
      </c>
      <c r="G2" s="58" t="s">
        <v>478</v>
      </c>
      <c r="H2" s="58" t="s">
        <v>479</v>
      </c>
      <c r="I2" s="58" t="s">
        <v>480</v>
      </c>
      <c r="J2" s="58" t="s">
        <v>481</v>
      </c>
      <c r="K2" s="58" t="s">
        <v>482</v>
      </c>
      <c r="L2" s="58" t="s">
        <v>483</v>
      </c>
      <c r="M2" s="29" t="s">
        <v>484</v>
      </c>
    </row>
    <row r="3" spans="1:13" ht="81.75" customHeight="1" x14ac:dyDescent="0.35">
      <c r="A3" s="120" t="s">
        <v>103</v>
      </c>
      <c r="B3" s="120" t="s">
        <v>104</v>
      </c>
      <c r="C3" s="120" t="s">
        <v>485</v>
      </c>
      <c r="D3" s="156">
        <v>46299</v>
      </c>
      <c r="E3" s="120">
        <v>63.4</v>
      </c>
      <c r="F3" s="120">
        <v>63.4</v>
      </c>
      <c r="G3" s="156">
        <v>46278</v>
      </c>
      <c r="H3" s="120" t="s">
        <v>215</v>
      </c>
      <c r="I3" s="157">
        <f t="shared" ref="I3:I22" si="0">IF(D3="","",D3+90)</f>
        <v>46389</v>
      </c>
      <c r="J3" s="158">
        <f t="shared" ref="J3:J22" ca="1" si="1">IF(I3="","",I3-TODAY())</f>
        <v>88</v>
      </c>
      <c r="K3" s="159" t="str">
        <f>IF(OR(C3="",F3=""),"",IF(AND(C3="Exit Review",H3="N"),"NO CREDIBLE PLAN — SELL WITHIN 30 DAYS",IF(AND(C3="Probationary Hold",F3&gt;=65,IFERROR(INDEX(Scoring!$AJ$3:$AJ$62,MATCH($A3,Scoring!$A$3:$A$62,0)),"")&lt;&gt;"AVOID"),"RECOVERED — REMOVE FROM WATCH LIST",IF(AND(C3="Exit Review",F3&gt;=50,IFERROR(INDEX(Scoring!$AJ$3:$AJ$62,MATCH($A3,Scoring!$A$3:$A$62,0)),"")&lt;&gt;"AVOID"),"RECOVERED — MOVE TO PROBATIONARY HOLD",IF(J3&lt;0,"DEADLINE PASSED — SELL WITHIN 30 DAYS",IF(J3&lt;=14,"DEADLINE APPROACHING","ON TRACK"))))))</f>
        <v>NO CREDIBLE PLAN — SELL WITHIN 30 DAYS</v>
      </c>
      <c r="L3" s="160" t="s">
        <v>486</v>
      </c>
      <c r="M3" s="161">
        <v>0</v>
      </c>
    </row>
    <row r="4" spans="1:13" ht="51.75" customHeight="1" x14ac:dyDescent="0.35">
      <c r="A4" s="120"/>
      <c r="B4" s="120"/>
      <c r="C4" s="120"/>
      <c r="D4" s="156"/>
      <c r="E4" s="120"/>
      <c r="F4" s="120"/>
      <c r="G4" s="156"/>
      <c r="H4" s="120"/>
      <c r="I4" s="157" t="str">
        <f t="shared" si="0"/>
        <v/>
      </c>
      <c r="J4" s="158" t="str">
        <f t="shared" ca="1" si="1"/>
        <v/>
      </c>
      <c r="K4" s="159" t="str">
        <f>IF(OR(C4="",F4=""),"",IF(AND(C4="Exit Review",H4="N"),"NO CREDIBLE PLAN — SELL WITHIN 30 DAYS",IF(AND(C4="Probationary Hold",F4&gt;=65,IFERROR(INDEX(Scoring!$AJ$3:$AJ$62,MATCH($A4,Scoring!$A$3:$A$62,0)),"")&lt;&gt;"AVOID"),"RECOVERED — REMOVE FROM WATCH LIST",IF(AND(C4="Exit Review",F4&gt;=50,IFERROR(INDEX(Scoring!$AJ$3:$AJ$62,MATCH($A4,Scoring!$A$3:$A$62,0)),"")&lt;&gt;"AVOID"),"RECOVERED — MOVE TO PROBATIONARY HOLD",IF(J4&lt;0,"DEADLINE PASSED — SELL WITHIN 30 DAYS",IF(J4&lt;=14,"DEADLINE APPROACHING","ON TRACK"))))))</f>
        <v/>
      </c>
      <c r="L4" s="160"/>
      <c r="M4" s="162"/>
    </row>
    <row r="5" spans="1:13" ht="51.75" customHeight="1" x14ac:dyDescent="0.35">
      <c r="A5" s="120"/>
      <c r="B5" s="120"/>
      <c r="C5" s="120"/>
      <c r="D5" s="156"/>
      <c r="E5" s="120"/>
      <c r="F5" s="120"/>
      <c r="G5" s="156"/>
      <c r="H5" s="120"/>
      <c r="I5" s="157" t="str">
        <f t="shared" si="0"/>
        <v/>
      </c>
      <c r="J5" s="158" t="str">
        <f t="shared" ca="1" si="1"/>
        <v/>
      </c>
      <c r="K5" s="159" t="str">
        <f>IF(OR(C5="",F5=""),"",IF(AND(C5="Exit Review",H5="N"),"NO CREDIBLE PLAN — SELL WITHIN 30 DAYS",IF(AND(C5="Probationary Hold",F5&gt;=65,IFERROR(INDEX(Scoring!$AJ$3:$AJ$62,MATCH($A5,Scoring!$A$3:$A$62,0)),"")&lt;&gt;"AVOID"),"RECOVERED — REMOVE FROM WATCH LIST",IF(AND(C5="Exit Review",F5&gt;=50,IFERROR(INDEX(Scoring!$AJ$3:$AJ$62,MATCH($A5,Scoring!$A$3:$A$62,0)),"")&lt;&gt;"AVOID"),"RECOVERED — MOVE TO PROBATIONARY HOLD",IF(J5&lt;0,"DEADLINE PASSED — SELL WITHIN 30 DAYS",IF(J5&lt;=14,"DEADLINE APPROACHING","ON TRACK"))))))</f>
        <v/>
      </c>
      <c r="L5" s="160"/>
      <c r="M5" s="162"/>
    </row>
    <row r="6" spans="1:13" ht="15" customHeight="1" x14ac:dyDescent="0.35">
      <c r="A6" s="120"/>
      <c r="B6" s="120"/>
      <c r="C6" s="120"/>
      <c r="D6" s="156"/>
      <c r="E6" s="120"/>
      <c r="F6" s="120"/>
      <c r="G6" s="156"/>
      <c r="H6" s="120"/>
      <c r="I6" s="157" t="str">
        <f t="shared" si="0"/>
        <v/>
      </c>
      <c r="J6" s="158" t="str">
        <f t="shared" ca="1" si="1"/>
        <v/>
      </c>
      <c r="K6" s="159" t="str">
        <f>IF(OR(C6="",F6=""),"",IF(AND(C6="Exit Review",H6="N"),"NO CREDIBLE PLAN — SELL WITHIN 30 DAYS",IF(AND(C6="Probationary Hold",F6&gt;=65,IFERROR(INDEX(Scoring!$AJ$3:$AJ$62,MATCH($A6,Scoring!$A$3:$A$62,0)),"")&lt;&gt;"AVOID"),"RECOVERED — REMOVE FROM WATCH LIST",IF(AND(C6="Exit Review",F6&gt;=50,IFERROR(INDEX(Scoring!$AJ$3:$AJ$62,MATCH($A6,Scoring!$A$3:$A$62,0)),"")&lt;&gt;"AVOID"),"RECOVERED — MOVE TO PROBATIONARY HOLD",IF(J6&lt;0,"DEADLINE PASSED — SELL WITHIN 30 DAYS",IF(J6&lt;=14,"DEADLINE APPROACHING","ON TRACK"))))))</f>
        <v/>
      </c>
      <c r="L6" s="163"/>
      <c r="M6" s="162"/>
    </row>
    <row r="7" spans="1:13" ht="15" customHeight="1" x14ac:dyDescent="0.35">
      <c r="A7" s="120"/>
      <c r="B7" s="120"/>
      <c r="C7" s="120"/>
      <c r="D7" s="156"/>
      <c r="E7" s="120"/>
      <c r="F7" s="120"/>
      <c r="G7" s="156"/>
      <c r="H7" s="120"/>
      <c r="I7" s="157" t="str">
        <f t="shared" si="0"/>
        <v/>
      </c>
      <c r="J7" s="158" t="str">
        <f t="shared" ca="1" si="1"/>
        <v/>
      </c>
      <c r="K7" s="159" t="str">
        <f>IF(OR(C7="",F7=""),"",IF(AND(C7="Exit Review",H7="N"),"NO CREDIBLE PLAN — SELL WITHIN 30 DAYS",IF(AND(C7="Probationary Hold",F7&gt;=65,IFERROR(INDEX(Scoring!$AJ$3:$AJ$62,MATCH($A7,Scoring!$A$3:$A$62,0)),"")&lt;&gt;"AVOID"),"RECOVERED — REMOVE FROM WATCH LIST",IF(AND(C7="Exit Review",F7&gt;=50,IFERROR(INDEX(Scoring!$AJ$3:$AJ$62,MATCH($A7,Scoring!$A$3:$A$62,0)),"")&lt;&gt;"AVOID"),"RECOVERED — MOVE TO PROBATIONARY HOLD",IF(J7&lt;0,"DEADLINE PASSED — SELL WITHIN 30 DAYS",IF(J7&lt;=14,"DEADLINE APPROACHING","ON TRACK"))))))</f>
        <v/>
      </c>
      <c r="L7" s="163"/>
      <c r="M7" s="162"/>
    </row>
    <row r="8" spans="1:13" ht="15" customHeight="1" x14ac:dyDescent="0.35">
      <c r="A8" s="120"/>
      <c r="B8" s="120"/>
      <c r="C8" s="120"/>
      <c r="D8" s="156"/>
      <c r="E8" s="120"/>
      <c r="F8" s="120"/>
      <c r="G8" s="156"/>
      <c r="H8" s="120"/>
      <c r="I8" s="157" t="str">
        <f t="shared" si="0"/>
        <v/>
      </c>
      <c r="J8" s="158" t="str">
        <f t="shared" ca="1" si="1"/>
        <v/>
      </c>
      <c r="K8" s="159" t="str">
        <f>IF(OR(C8="",F8=""),"",IF(AND(C8="Exit Review",H8="N"),"NO CREDIBLE PLAN — SELL WITHIN 30 DAYS",IF(AND(C8="Probationary Hold",F8&gt;=65,IFERROR(INDEX(Scoring!$AJ$3:$AJ$62,MATCH($A8,Scoring!$A$3:$A$62,0)),"")&lt;&gt;"AVOID"),"RECOVERED — REMOVE FROM WATCH LIST",IF(AND(C8="Exit Review",F8&gt;=50,IFERROR(INDEX(Scoring!$AJ$3:$AJ$62,MATCH($A8,Scoring!$A$3:$A$62,0)),"")&lt;&gt;"AVOID"),"RECOVERED — MOVE TO PROBATIONARY HOLD",IF(J8&lt;0,"DEADLINE PASSED — SELL WITHIN 30 DAYS",IF(J8&lt;=14,"DEADLINE APPROACHING","ON TRACK"))))))</f>
        <v/>
      </c>
      <c r="L8" s="163"/>
      <c r="M8" s="162"/>
    </row>
    <row r="9" spans="1:13" ht="15" customHeight="1" x14ac:dyDescent="0.35">
      <c r="A9" s="120"/>
      <c r="B9" s="120"/>
      <c r="C9" s="120"/>
      <c r="D9" s="156"/>
      <c r="E9" s="120"/>
      <c r="F9" s="120"/>
      <c r="G9" s="156"/>
      <c r="H9" s="120"/>
      <c r="I9" s="157" t="str">
        <f t="shared" si="0"/>
        <v/>
      </c>
      <c r="J9" s="158" t="str">
        <f t="shared" ca="1" si="1"/>
        <v/>
      </c>
      <c r="K9" s="159" t="str">
        <f>IF(OR(C9="",F9=""),"",IF(AND(C9="Exit Review",H9="N"),"NO CREDIBLE PLAN — SELL WITHIN 30 DAYS",IF(AND(C9="Probationary Hold",F9&gt;=65,IFERROR(INDEX(Scoring!$AJ$3:$AJ$62,MATCH($A9,Scoring!$A$3:$A$62,0)),"")&lt;&gt;"AVOID"),"RECOVERED — REMOVE FROM WATCH LIST",IF(AND(C9="Exit Review",F9&gt;=50,IFERROR(INDEX(Scoring!$AJ$3:$AJ$62,MATCH($A9,Scoring!$A$3:$A$62,0)),"")&lt;&gt;"AVOID"),"RECOVERED — MOVE TO PROBATIONARY HOLD",IF(J9&lt;0,"DEADLINE PASSED — SELL WITHIN 30 DAYS",IF(J9&lt;=14,"DEADLINE APPROACHING","ON TRACK"))))))</f>
        <v/>
      </c>
      <c r="L9" s="163"/>
      <c r="M9" s="162"/>
    </row>
    <row r="10" spans="1:13" ht="15" customHeight="1" x14ac:dyDescent="0.35">
      <c r="A10" s="120"/>
      <c r="B10" s="120"/>
      <c r="C10" s="120"/>
      <c r="D10" s="156"/>
      <c r="E10" s="120"/>
      <c r="F10" s="120"/>
      <c r="G10" s="156"/>
      <c r="H10" s="120"/>
      <c r="I10" s="157" t="str">
        <f t="shared" si="0"/>
        <v/>
      </c>
      <c r="J10" s="158" t="str">
        <f t="shared" ca="1" si="1"/>
        <v/>
      </c>
      <c r="K10" s="159" t="str">
        <f>IF(OR(C10="",F10=""),"",IF(AND(C10="Exit Review",H10="N"),"NO CREDIBLE PLAN — SELL WITHIN 30 DAYS",IF(AND(C10="Probationary Hold",F10&gt;=65,IFERROR(INDEX(Scoring!$AJ$3:$AJ$62,MATCH($A10,Scoring!$A$3:$A$62,0)),"")&lt;&gt;"AVOID"),"RECOVERED — REMOVE FROM WATCH LIST",IF(AND(C10="Exit Review",F10&gt;=50,IFERROR(INDEX(Scoring!$AJ$3:$AJ$62,MATCH($A10,Scoring!$A$3:$A$62,0)),"")&lt;&gt;"AVOID"),"RECOVERED — MOVE TO PROBATIONARY HOLD",IF(J10&lt;0,"DEADLINE PASSED — SELL WITHIN 30 DAYS",IF(J10&lt;=14,"DEADLINE APPROACHING","ON TRACK"))))))</f>
        <v/>
      </c>
      <c r="L10" s="163"/>
      <c r="M10" s="162"/>
    </row>
    <row r="11" spans="1:13" ht="15" customHeight="1" x14ac:dyDescent="0.35">
      <c r="A11" s="120"/>
      <c r="B11" s="120"/>
      <c r="C11" s="120"/>
      <c r="D11" s="156"/>
      <c r="E11" s="120"/>
      <c r="F11" s="120"/>
      <c r="G11" s="156"/>
      <c r="H11" s="120"/>
      <c r="I11" s="157" t="str">
        <f t="shared" si="0"/>
        <v/>
      </c>
      <c r="J11" s="158" t="str">
        <f t="shared" ca="1" si="1"/>
        <v/>
      </c>
      <c r="K11" s="159" t="str">
        <f>IF(OR(C11="",F11=""),"",IF(AND(C11="Exit Review",H11="N"),"NO CREDIBLE PLAN — SELL WITHIN 30 DAYS",IF(AND(C11="Probationary Hold",F11&gt;=65,IFERROR(INDEX(Scoring!$AJ$3:$AJ$62,MATCH($A11,Scoring!$A$3:$A$62,0)),"")&lt;&gt;"AVOID"),"RECOVERED — REMOVE FROM WATCH LIST",IF(AND(C11="Exit Review",F11&gt;=50,IFERROR(INDEX(Scoring!$AJ$3:$AJ$62,MATCH($A11,Scoring!$A$3:$A$62,0)),"")&lt;&gt;"AVOID"),"RECOVERED — MOVE TO PROBATIONARY HOLD",IF(J11&lt;0,"DEADLINE PASSED — SELL WITHIN 30 DAYS",IF(J11&lt;=14,"DEADLINE APPROACHING","ON TRACK"))))))</f>
        <v/>
      </c>
      <c r="L11" s="163"/>
      <c r="M11" s="162"/>
    </row>
    <row r="12" spans="1:13" ht="15" customHeight="1" x14ac:dyDescent="0.35">
      <c r="A12" s="120"/>
      <c r="B12" s="120"/>
      <c r="C12" s="120"/>
      <c r="D12" s="156"/>
      <c r="E12" s="120"/>
      <c r="F12" s="120"/>
      <c r="G12" s="156"/>
      <c r="H12" s="120"/>
      <c r="I12" s="157" t="str">
        <f t="shared" si="0"/>
        <v/>
      </c>
      <c r="J12" s="158" t="str">
        <f t="shared" ca="1" si="1"/>
        <v/>
      </c>
      <c r="K12" s="159" t="str">
        <f>IF(OR(C12="",F12=""),"",IF(AND(C12="Exit Review",H12="N"),"NO CREDIBLE PLAN — SELL WITHIN 30 DAYS",IF(AND(C12="Probationary Hold",F12&gt;=65,IFERROR(INDEX(Scoring!$AJ$3:$AJ$62,MATCH($A12,Scoring!$A$3:$A$62,0)),"")&lt;&gt;"AVOID"),"RECOVERED — REMOVE FROM WATCH LIST",IF(AND(C12="Exit Review",F12&gt;=50,IFERROR(INDEX(Scoring!$AJ$3:$AJ$62,MATCH($A12,Scoring!$A$3:$A$62,0)),"")&lt;&gt;"AVOID"),"RECOVERED — MOVE TO PROBATIONARY HOLD",IF(J12&lt;0,"DEADLINE PASSED — SELL WITHIN 30 DAYS",IF(J12&lt;=14,"DEADLINE APPROACHING","ON TRACK"))))))</f>
        <v/>
      </c>
      <c r="L12" s="163"/>
      <c r="M12" s="162"/>
    </row>
    <row r="13" spans="1:13" ht="15" customHeight="1" x14ac:dyDescent="0.35">
      <c r="A13" s="120"/>
      <c r="B13" s="120"/>
      <c r="C13" s="120"/>
      <c r="D13" s="156"/>
      <c r="E13" s="120"/>
      <c r="F13" s="120"/>
      <c r="G13" s="156"/>
      <c r="H13" s="120"/>
      <c r="I13" s="157" t="str">
        <f t="shared" si="0"/>
        <v/>
      </c>
      <c r="J13" s="158" t="str">
        <f t="shared" ca="1" si="1"/>
        <v/>
      </c>
      <c r="K13" s="159" t="str">
        <f>IF(OR(C13="",F13=""),"",IF(AND(C13="Exit Review",H13="N"),"NO CREDIBLE PLAN — SELL WITHIN 30 DAYS",IF(AND(C13="Probationary Hold",F13&gt;=65,IFERROR(INDEX(Scoring!$AJ$3:$AJ$62,MATCH($A13,Scoring!$A$3:$A$62,0)),"")&lt;&gt;"AVOID"),"RECOVERED — REMOVE FROM WATCH LIST",IF(AND(C13="Exit Review",F13&gt;=50,IFERROR(INDEX(Scoring!$AJ$3:$AJ$62,MATCH($A13,Scoring!$A$3:$A$62,0)),"")&lt;&gt;"AVOID"),"RECOVERED — MOVE TO PROBATIONARY HOLD",IF(J13&lt;0,"DEADLINE PASSED — SELL WITHIN 30 DAYS",IF(J13&lt;=14,"DEADLINE APPROACHING","ON TRACK"))))))</f>
        <v/>
      </c>
      <c r="L13" s="163"/>
      <c r="M13" s="162"/>
    </row>
    <row r="14" spans="1:13" ht="15" customHeight="1" x14ac:dyDescent="0.35">
      <c r="A14" s="120"/>
      <c r="B14" s="120"/>
      <c r="C14" s="120"/>
      <c r="D14" s="156"/>
      <c r="E14" s="120"/>
      <c r="F14" s="120"/>
      <c r="G14" s="156"/>
      <c r="H14" s="120"/>
      <c r="I14" s="157" t="str">
        <f t="shared" si="0"/>
        <v/>
      </c>
      <c r="J14" s="158" t="str">
        <f t="shared" ca="1" si="1"/>
        <v/>
      </c>
      <c r="K14" s="159" t="str">
        <f>IF(OR(C14="",F14=""),"",IF(AND(C14="Exit Review",H14="N"),"NO CREDIBLE PLAN — SELL WITHIN 30 DAYS",IF(AND(C14="Probationary Hold",F14&gt;=65,IFERROR(INDEX(Scoring!$AJ$3:$AJ$62,MATCH($A14,Scoring!$A$3:$A$62,0)),"")&lt;&gt;"AVOID"),"RECOVERED — REMOVE FROM WATCH LIST",IF(AND(C14="Exit Review",F14&gt;=50,IFERROR(INDEX(Scoring!$AJ$3:$AJ$62,MATCH($A14,Scoring!$A$3:$A$62,0)),"")&lt;&gt;"AVOID"),"RECOVERED — MOVE TO PROBATIONARY HOLD",IF(J14&lt;0,"DEADLINE PASSED — SELL WITHIN 30 DAYS",IF(J14&lt;=14,"DEADLINE APPROACHING","ON TRACK"))))))</f>
        <v/>
      </c>
      <c r="L14" s="163"/>
      <c r="M14" s="162"/>
    </row>
    <row r="15" spans="1:13" ht="15" customHeight="1" x14ac:dyDescent="0.35">
      <c r="A15" s="120"/>
      <c r="B15" s="120"/>
      <c r="C15" s="120"/>
      <c r="D15" s="156"/>
      <c r="E15" s="120"/>
      <c r="F15" s="120"/>
      <c r="G15" s="156"/>
      <c r="H15" s="120"/>
      <c r="I15" s="157" t="str">
        <f t="shared" si="0"/>
        <v/>
      </c>
      <c r="J15" s="158" t="str">
        <f t="shared" ca="1" si="1"/>
        <v/>
      </c>
      <c r="K15" s="159" t="str">
        <f>IF(OR(C15="",F15=""),"",IF(AND(C15="Exit Review",H15="N"),"NO CREDIBLE PLAN — SELL WITHIN 30 DAYS",IF(AND(C15="Probationary Hold",F15&gt;=65,IFERROR(INDEX(Scoring!$AJ$3:$AJ$62,MATCH($A15,Scoring!$A$3:$A$62,0)),"")&lt;&gt;"AVOID"),"RECOVERED — REMOVE FROM WATCH LIST",IF(AND(C15="Exit Review",F15&gt;=50,IFERROR(INDEX(Scoring!$AJ$3:$AJ$62,MATCH($A15,Scoring!$A$3:$A$62,0)),"")&lt;&gt;"AVOID"),"RECOVERED — MOVE TO PROBATIONARY HOLD",IF(J15&lt;0,"DEADLINE PASSED — SELL WITHIN 30 DAYS",IF(J15&lt;=14,"DEADLINE APPROACHING","ON TRACK"))))))</f>
        <v/>
      </c>
      <c r="L15" s="163"/>
      <c r="M15" s="162"/>
    </row>
    <row r="16" spans="1:13" ht="15" customHeight="1" x14ac:dyDescent="0.35">
      <c r="A16" s="120"/>
      <c r="B16" s="120"/>
      <c r="C16" s="120"/>
      <c r="D16" s="156"/>
      <c r="E16" s="120"/>
      <c r="F16" s="120"/>
      <c r="G16" s="156"/>
      <c r="H16" s="120"/>
      <c r="I16" s="157" t="str">
        <f t="shared" si="0"/>
        <v/>
      </c>
      <c r="J16" s="158" t="str">
        <f t="shared" ca="1" si="1"/>
        <v/>
      </c>
      <c r="K16" s="159" t="str">
        <f>IF(OR(C16="",F16=""),"",IF(AND(C16="Exit Review",H16="N"),"NO CREDIBLE PLAN — SELL WITHIN 30 DAYS",IF(AND(C16="Probationary Hold",F16&gt;=65,IFERROR(INDEX(Scoring!$AJ$3:$AJ$62,MATCH($A16,Scoring!$A$3:$A$62,0)),"")&lt;&gt;"AVOID"),"RECOVERED — REMOVE FROM WATCH LIST",IF(AND(C16="Exit Review",F16&gt;=50,IFERROR(INDEX(Scoring!$AJ$3:$AJ$62,MATCH($A16,Scoring!$A$3:$A$62,0)),"")&lt;&gt;"AVOID"),"RECOVERED — MOVE TO PROBATIONARY HOLD",IF(J16&lt;0,"DEADLINE PASSED — SELL WITHIN 30 DAYS",IF(J16&lt;=14,"DEADLINE APPROACHING","ON TRACK"))))))</f>
        <v/>
      </c>
      <c r="L16" s="163"/>
      <c r="M16" s="162"/>
    </row>
    <row r="17" spans="1:13" ht="15" customHeight="1" x14ac:dyDescent="0.35">
      <c r="A17" s="120"/>
      <c r="B17" s="120"/>
      <c r="C17" s="120"/>
      <c r="D17" s="156"/>
      <c r="E17" s="120"/>
      <c r="F17" s="120"/>
      <c r="G17" s="156"/>
      <c r="H17" s="120"/>
      <c r="I17" s="157" t="str">
        <f t="shared" si="0"/>
        <v/>
      </c>
      <c r="J17" s="158" t="str">
        <f t="shared" ca="1" si="1"/>
        <v/>
      </c>
      <c r="K17" s="159" t="str">
        <f>IF(OR(C17="",F17=""),"",IF(AND(C17="Exit Review",H17="N"),"NO CREDIBLE PLAN — SELL WITHIN 30 DAYS",IF(AND(C17="Probationary Hold",F17&gt;=65,IFERROR(INDEX(Scoring!$AJ$3:$AJ$62,MATCH($A17,Scoring!$A$3:$A$62,0)),"")&lt;&gt;"AVOID"),"RECOVERED — REMOVE FROM WATCH LIST",IF(AND(C17="Exit Review",F17&gt;=50,IFERROR(INDEX(Scoring!$AJ$3:$AJ$62,MATCH($A17,Scoring!$A$3:$A$62,0)),"")&lt;&gt;"AVOID"),"RECOVERED — MOVE TO PROBATIONARY HOLD",IF(J17&lt;0,"DEADLINE PASSED — SELL WITHIN 30 DAYS",IF(J17&lt;=14,"DEADLINE APPROACHING","ON TRACK"))))))</f>
        <v/>
      </c>
      <c r="L17" s="163"/>
      <c r="M17" s="162"/>
    </row>
    <row r="18" spans="1:13" ht="15" customHeight="1" x14ac:dyDescent="0.35">
      <c r="A18" s="120"/>
      <c r="B18" s="120"/>
      <c r="C18" s="120"/>
      <c r="D18" s="156"/>
      <c r="E18" s="120"/>
      <c r="F18" s="120"/>
      <c r="G18" s="156"/>
      <c r="H18" s="120"/>
      <c r="I18" s="157" t="str">
        <f t="shared" si="0"/>
        <v/>
      </c>
      <c r="J18" s="158" t="str">
        <f t="shared" ca="1" si="1"/>
        <v/>
      </c>
      <c r="K18" s="159" t="str">
        <f>IF(OR(C18="",F18=""),"",IF(AND(C18="Exit Review",H18="N"),"NO CREDIBLE PLAN — SELL WITHIN 30 DAYS",IF(AND(C18="Probationary Hold",F18&gt;=65,IFERROR(INDEX(Scoring!$AJ$3:$AJ$62,MATCH($A18,Scoring!$A$3:$A$62,0)),"")&lt;&gt;"AVOID"),"RECOVERED — REMOVE FROM WATCH LIST",IF(AND(C18="Exit Review",F18&gt;=50,IFERROR(INDEX(Scoring!$AJ$3:$AJ$62,MATCH($A18,Scoring!$A$3:$A$62,0)),"")&lt;&gt;"AVOID"),"RECOVERED — MOVE TO PROBATIONARY HOLD",IF(J18&lt;0,"DEADLINE PASSED — SELL WITHIN 30 DAYS",IF(J18&lt;=14,"DEADLINE APPROACHING","ON TRACK"))))))</f>
        <v/>
      </c>
      <c r="L18" s="163"/>
      <c r="M18" s="162"/>
    </row>
    <row r="19" spans="1:13" ht="15" customHeight="1" x14ac:dyDescent="0.35">
      <c r="A19" s="120"/>
      <c r="B19" s="120"/>
      <c r="C19" s="120"/>
      <c r="D19" s="156"/>
      <c r="E19" s="120"/>
      <c r="F19" s="120"/>
      <c r="G19" s="156"/>
      <c r="H19" s="120"/>
      <c r="I19" s="157" t="str">
        <f t="shared" si="0"/>
        <v/>
      </c>
      <c r="J19" s="158" t="str">
        <f t="shared" ca="1" si="1"/>
        <v/>
      </c>
      <c r="K19" s="159" t="str">
        <f>IF(OR(C19="",F19=""),"",IF(AND(C19="Exit Review",H19="N"),"NO CREDIBLE PLAN — SELL WITHIN 30 DAYS",IF(AND(C19="Probationary Hold",F19&gt;=65,IFERROR(INDEX(Scoring!$AJ$3:$AJ$62,MATCH($A19,Scoring!$A$3:$A$62,0)),"")&lt;&gt;"AVOID"),"RECOVERED — REMOVE FROM WATCH LIST",IF(AND(C19="Exit Review",F19&gt;=50,IFERROR(INDEX(Scoring!$AJ$3:$AJ$62,MATCH($A19,Scoring!$A$3:$A$62,0)),"")&lt;&gt;"AVOID"),"RECOVERED — MOVE TO PROBATIONARY HOLD",IF(J19&lt;0,"DEADLINE PASSED — SELL WITHIN 30 DAYS",IF(J19&lt;=14,"DEADLINE APPROACHING","ON TRACK"))))))</f>
        <v/>
      </c>
      <c r="L19" s="163"/>
      <c r="M19" s="162"/>
    </row>
    <row r="20" spans="1:13" ht="15" customHeight="1" x14ac:dyDescent="0.35">
      <c r="A20" s="120"/>
      <c r="B20" s="120"/>
      <c r="C20" s="120"/>
      <c r="D20" s="156"/>
      <c r="E20" s="120"/>
      <c r="F20" s="120"/>
      <c r="G20" s="156"/>
      <c r="H20" s="120"/>
      <c r="I20" s="157" t="str">
        <f t="shared" si="0"/>
        <v/>
      </c>
      <c r="J20" s="158" t="str">
        <f t="shared" ca="1" si="1"/>
        <v/>
      </c>
      <c r="K20" s="159" t="str">
        <f>IF(OR(C20="",F20=""),"",IF(AND(C20="Exit Review",H20="N"),"NO CREDIBLE PLAN — SELL WITHIN 30 DAYS",IF(AND(C20="Probationary Hold",F20&gt;=65,IFERROR(INDEX(Scoring!$AJ$3:$AJ$62,MATCH($A20,Scoring!$A$3:$A$62,0)),"")&lt;&gt;"AVOID"),"RECOVERED — REMOVE FROM WATCH LIST",IF(AND(C20="Exit Review",F20&gt;=50,IFERROR(INDEX(Scoring!$AJ$3:$AJ$62,MATCH($A20,Scoring!$A$3:$A$62,0)),"")&lt;&gt;"AVOID"),"RECOVERED — MOVE TO PROBATIONARY HOLD",IF(J20&lt;0,"DEADLINE PASSED — SELL WITHIN 30 DAYS",IF(J20&lt;=14,"DEADLINE APPROACHING","ON TRACK"))))))</f>
        <v/>
      </c>
      <c r="L20" s="163"/>
      <c r="M20" s="162"/>
    </row>
    <row r="21" spans="1:13" ht="15" customHeight="1" x14ac:dyDescent="0.35">
      <c r="A21" s="120"/>
      <c r="B21" s="120"/>
      <c r="C21" s="120"/>
      <c r="D21" s="156"/>
      <c r="E21" s="120"/>
      <c r="F21" s="120"/>
      <c r="G21" s="156"/>
      <c r="H21" s="120"/>
      <c r="I21" s="157" t="str">
        <f t="shared" si="0"/>
        <v/>
      </c>
      <c r="J21" s="158" t="str">
        <f t="shared" ca="1" si="1"/>
        <v/>
      </c>
      <c r="K21" s="159" t="str">
        <f>IF(OR(C21="",F21=""),"",IF(AND(C21="Exit Review",H21="N"),"NO CREDIBLE PLAN — SELL WITHIN 30 DAYS",IF(AND(C21="Probationary Hold",F21&gt;=65,IFERROR(INDEX(Scoring!$AJ$3:$AJ$62,MATCH($A21,Scoring!$A$3:$A$62,0)),"")&lt;&gt;"AVOID"),"RECOVERED — REMOVE FROM WATCH LIST",IF(AND(C21="Exit Review",F21&gt;=50,IFERROR(INDEX(Scoring!$AJ$3:$AJ$62,MATCH($A21,Scoring!$A$3:$A$62,0)),"")&lt;&gt;"AVOID"),"RECOVERED — MOVE TO PROBATIONARY HOLD",IF(J21&lt;0,"DEADLINE PASSED — SELL WITHIN 30 DAYS",IF(J21&lt;=14,"DEADLINE APPROACHING","ON TRACK"))))))</f>
        <v/>
      </c>
      <c r="L21" s="163"/>
      <c r="M21" s="162"/>
    </row>
    <row r="22" spans="1:13" ht="15" customHeight="1" x14ac:dyDescent="0.35">
      <c r="A22" s="120"/>
      <c r="B22" s="120"/>
      <c r="C22" s="120"/>
      <c r="D22" s="156"/>
      <c r="E22" s="120"/>
      <c r="F22" s="120"/>
      <c r="G22" s="156"/>
      <c r="H22" s="120"/>
      <c r="I22" s="157" t="str">
        <f t="shared" si="0"/>
        <v/>
      </c>
      <c r="J22" s="158" t="str">
        <f t="shared" ca="1" si="1"/>
        <v/>
      </c>
      <c r="K22" s="159" t="str">
        <f>IF(OR(C22="",F22=""),"",IF(AND(C22="Exit Review",H22="N"),"NO CREDIBLE PLAN — SELL WITHIN 30 DAYS",IF(AND(C22="Probationary Hold",F22&gt;=65,IFERROR(INDEX(Scoring!$AJ$3:$AJ$62,MATCH($A22,Scoring!$A$3:$A$62,0)),"")&lt;&gt;"AVOID"),"RECOVERED — REMOVE FROM WATCH LIST",IF(AND(C22="Exit Review",F22&gt;=50,IFERROR(INDEX(Scoring!$AJ$3:$AJ$62,MATCH($A22,Scoring!$A$3:$A$62,0)),"")&lt;&gt;"AVOID"),"RECOVERED — MOVE TO PROBATIONARY HOLD",IF(J22&lt;0,"DEADLINE PASSED — SELL WITHIN 30 DAYS",IF(J22&lt;=14,"DEADLINE APPROACHING","ON TRACK"))))))</f>
        <v/>
      </c>
      <c r="L22" s="163"/>
      <c r="M22" s="162"/>
    </row>
  </sheetData>
  <conditionalFormatting sqref="K3:K22">
    <cfRule type="expression" dxfId="85" priority="2">
      <formula>ISNUMBER(SEARCH("RECOVERED",K3))</formula>
    </cfRule>
    <cfRule type="expression" dxfId="84" priority="3">
      <formula>ISNUMBER(SEARCH("ON TRACK",K3))</formula>
    </cfRule>
    <cfRule type="expression" dxfId="83" priority="4">
      <formula>ISNUMBER(SEARCH("DEADLINE APPROACHING",K3))</formula>
    </cfRule>
    <cfRule type="expression" dxfId="82" priority="5">
      <formula>ISNUMBER(SEARCH("SELL WITHIN 30 DAYS",K3))</formula>
    </cfRule>
  </conditionalFormatting>
  <dataValidations count="2">
    <dataValidation type="list" allowBlank="1" sqref="C3:C22" xr:uid="{00000000-0002-0000-0C00-000000000000}">
      <formula1>"Probationary Hold,Exit Review"</formula1>
      <formula2>0</formula2>
    </dataValidation>
    <dataValidation type="list" allowBlank="1" sqref="H3:H22" xr:uid="{00000000-0002-0000-0C00-000001000000}">
      <formula1>"Y,N"</formula1>
      <formula2>0</formula2>
    </dataValidation>
  </dataValidation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50"/>
  <sheetViews>
    <sheetView showGridLines="0" zoomScaleNormal="100" workbookViewId="0">
      <pane xSplit="3" ySplit="3" topLeftCell="D4" activePane="bottomRight" state="frozen"/>
      <selection pane="topRight" activeCell="D1" sqref="D1"/>
      <selection pane="bottomLeft" activeCell="A4" sqref="A4"/>
      <selection pane="bottomRight" activeCell="R35" sqref="R35"/>
    </sheetView>
  </sheetViews>
  <sheetFormatPr defaultColWidth="8.6328125" defaultRowHeight="14.5" x14ac:dyDescent="0.35"/>
  <cols>
    <col min="1" max="1" width="8" style="154" customWidth="1"/>
    <col min="2" max="2" width="14" customWidth="1"/>
    <col min="3" max="21" width="9.54296875" customWidth="1"/>
  </cols>
  <sheetData>
    <row r="1" spans="1:21" ht="25.5" customHeight="1" x14ac:dyDescent="0.35">
      <c r="A1" s="155" t="s">
        <v>487</v>
      </c>
      <c r="B1" s="137"/>
      <c r="C1" s="137"/>
      <c r="D1" s="137"/>
      <c r="E1" s="137"/>
      <c r="F1" s="137"/>
      <c r="G1" s="137"/>
      <c r="H1" s="137"/>
      <c r="I1" s="137"/>
      <c r="J1" s="137"/>
      <c r="K1" s="137"/>
      <c r="L1" s="137"/>
      <c r="M1" s="137"/>
      <c r="N1" s="137"/>
      <c r="O1" s="137"/>
      <c r="P1" s="137"/>
      <c r="Q1" s="137"/>
      <c r="R1" s="137"/>
      <c r="S1" s="137"/>
      <c r="T1" s="137"/>
    </row>
    <row r="2" spans="1:21" ht="15.75" customHeight="1" x14ac:dyDescent="0.35">
      <c r="D2" s="226" t="s">
        <v>488</v>
      </c>
      <c r="E2" s="226"/>
      <c r="F2" s="226"/>
      <c r="G2" s="226"/>
      <c r="H2" s="226"/>
      <c r="I2" s="227" t="s">
        <v>489</v>
      </c>
      <c r="J2" s="227"/>
      <c r="K2" s="227"/>
      <c r="L2" s="227"/>
      <c r="M2" s="227"/>
      <c r="N2" s="228" t="s">
        <v>490</v>
      </c>
      <c r="O2" s="228"/>
      <c r="P2" s="228"/>
      <c r="Q2" s="228"/>
      <c r="R2" s="228"/>
      <c r="S2" s="229" t="s">
        <v>491</v>
      </c>
      <c r="T2" s="229"/>
      <c r="U2" s="229"/>
    </row>
    <row r="3" spans="1:21" ht="42.75" customHeight="1" x14ac:dyDescent="0.35">
      <c r="A3" s="112" t="s">
        <v>82</v>
      </c>
      <c r="B3" s="112" t="s">
        <v>288</v>
      </c>
      <c r="C3" s="112" t="s">
        <v>492</v>
      </c>
      <c r="D3" s="112" t="s">
        <v>493</v>
      </c>
      <c r="E3" s="112" t="s">
        <v>494</v>
      </c>
      <c r="F3" s="112" t="s">
        <v>495</v>
      </c>
      <c r="G3" s="112" t="s">
        <v>496</v>
      </c>
      <c r="H3" s="112" t="s">
        <v>497</v>
      </c>
      <c r="I3" s="112" t="s">
        <v>493</v>
      </c>
      <c r="J3" s="112" t="s">
        <v>494</v>
      </c>
      <c r="K3" s="112" t="s">
        <v>495</v>
      </c>
      <c r="L3" s="112" t="s">
        <v>496</v>
      </c>
      <c r="M3" s="112" t="s">
        <v>497</v>
      </c>
      <c r="N3" s="112" t="s">
        <v>493</v>
      </c>
      <c r="O3" s="112" t="s">
        <v>494</v>
      </c>
      <c r="P3" s="112" t="s">
        <v>495</v>
      </c>
      <c r="Q3" s="112" t="s">
        <v>496</v>
      </c>
      <c r="R3" s="112" t="s">
        <v>497</v>
      </c>
      <c r="S3" s="112" t="s">
        <v>498</v>
      </c>
      <c r="T3" s="112" t="s">
        <v>499</v>
      </c>
      <c r="U3" s="112" t="s">
        <v>500</v>
      </c>
    </row>
    <row r="4" spans="1:21" ht="15" customHeight="1" x14ac:dyDescent="0.35">
      <c r="A4" s="61"/>
      <c r="B4" s="62"/>
      <c r="C4" s="66"/>
      <c r="D4" s="66"/>
      <c r="E4" s="164"/>
      <c r="F4" s="66"/>
      <c r="G4" s="67" t="str">
        <f t="shared" ref="G4:G50" si="0">IF(OR(C4="",D4="",E4="",F4=""),"",IFERROR(((D4*E4+F4)/C4)^(1/5)-1,"n/a"))</f>
        <v/>
      </c>
      <c r="H4" s="62"/>
      <c r="I4" s="66"/>
      <c r="J4" s="164"/>
      <c r="K4" s="66"/>
      <c r="L4" s="67" t="str">
        <f t="shared" ref="L4:L50" si="1">IF(OR(C4="",I4="",J4="",K4=""),"",IFERROR(((I4*J4+K4)/C4)^(1/5)-1,"n/a"))</f>
        <v/>
      </c>
      <c r="M4" s="62"/>
      <c r="N4" s="66"/>
      <c r="O4" s="164"/>
      <c r="P4" s="66"/>
      <c r="Q4" s="67" t="str">
        <f t="shared" ref="Q4:Q50" si="2">IF(OR(C4="",N4="",O4="",P4=""),"",IFERROR(((N4*O4+P4)/C4)^(1/5)-1,"n/a"))</f>
        <v/>
      </c>
      <c r="R4" s="62"/>
      <c r="S4" s="71" t="str">
        <f t="shared" ref="S4:S50" si="3">IF(G4="","",IF(G4&gt;0.1,"PASS","FAIL"))</f>
        <v/>
      </c>
      <c r="T4" s="71" t="str">
        <f t="shared" ref="T4:T50" si="4">IF(L4="","",IF(L4&gt;=0,"PASS","FAIL"))</f>
        <v/>
      </c>
      <c r="U4" s="71" t="str">
        <f t="shared" ref="U4:U50" si="5">IF(COUNTA(H4,M4,R4)=0,"",IF((COUNTIF(H4,"Likely")+COUNTIF(M4,"Likely")+COUNTIF(R4,"Likely"))=1,"OK","CHECK TAGS"))</f>
        <v/>
      </c>
    </row>
    <row r="5" spans="1:21" ht="15" customHeight="1" x14ac:dyDescent="0.35">
      <c r="A5" s="61"/>
      <c r="B5" s="62"/>
      <c r="C5" s="66"/>
      <c r="D5" s="66"/>
      <c r="E5" s="164"/>
      <c r="F5" s="66"/>
      <c r="G5" s="67" t="str">
        <f t="shared" si="0"/>
        <v/>
      </c>
      <c r="H5" s="62"/>
      <c r="I5" s="66"/>
      <c r="J5" s="164"/>
      <c r="K5" s="66"/>
      <c r="L5" s="67" t="str">
        <f t="shared" si="1"/>
        <v/>
      </c>
      <c r="M5" s="62"/>
      <c r="N5" s="66"/>
      <c r="O5" s="164"/>
      <c r="P5" s="66"/>
      <c r="Q5" s="67" t="str">
        <f t="shared" si="2"/>
        <v/>
      </c>
      <c r="R5" s="62"/>
      <c r="S5" s="71" t="str">
        <f t="shared" si="3"/>
        <v/>
      </c>
      <c r="T5" s="71" t="str">
        <f t="shared" si="4"/>
        <v/>
      </c>
      <c r="U5" s="71" t="str">
        <f t="shared" si="5"/>
        <v/>
      </c>
    </row>
    <row r="6" spans="1:21" ht="15" customHeight="1" x14ac:dyDescent="0.35">
      <c r="A6" s="61"/>
      <c r="B6" s="62"/>
      <c r="C6" s="66"/>
      <c r="D6" s="66"/>
      <c r="E6" s="164"/>
      <c r="F6" s="66"/>
      <c r="G6" s="67" t="str">
        <f t="shared" si="0"/>
        <v/>
      </c>
      <c r="H6" s="62"/>
      <c r="I6" s="66"/>
      <c r="J6" s="164"/>
      <c r="K6" s="66"/>
      <c r="L6" s="67" t="str">
        <f t="shared" si="1"/>
        <v/>
      </c>
      <c r="M6" s="62"/>
      <c r="N6" s="66"/>
      <c r="O6" s="164"/>
      <c r="P6" s="66"/>
      <c r="Q6" s="67" t="str">
        <f t="shared" si="2"/>
        <v/>
      </c>
      <c r="R6" s="62"/>
      <c r="S6" s="71" t="str">
        <f t="shared" si="3"/>
        <v/>
      </c>
      <c r="T6" s="71" t="str">
        <f t="shared" si="4"/>
        <v/>
      </c>
      <c r="U6" s="71" t="str">
        <f t="shared" si="5"/>
        <v/>
      </c>
    </row>
    <row r="7" spans="1:21" ht="15" customHeight="1" x14ac:dyDescent="0.35">
      <c r="A7" s="61"/>
      <c r="B7" s="69"/>
      <c r="C7" s="66"/>
      <c r="D7" s="66"/>
      <c r="E7" s="164"/>
      <c r="F7" s="66"/>
      <c r="G7" s="67" t="str">
        <f t="shared" si="0"/>
        <v/>
      </c>
      <c r="H7" s="62"/>
      <c r="I7" s="66"/>
      <c r="J7" s="164"/>
      <c r="K7" s="66"/>
      <c r="L7" s="67" t="str">
        <f t="shared" si="1"/>
        <v/>
      </c>
      <c r="M7" s="62"/>
      <c r="N7" s="66"/>
      <c r="O7" s="164"/>
      <c r="P7" s="66"/>
      <c r="Q7" s="67" t="str">
        <f t="shared" si="2"/>
        <v/>
      </c>
      <c r="R7" s="62"/>
      <c r="S7" s="71" t="str">
        <f t="shared" si="3"/>
        <v/>
      </c>
      <c r="T7" s="71" t="str">
        <f t="shared" si="4"/>
        <v/>
      </c>
      <c r="U7" s="71" t="str">
        <f t="shared" si="5"/>
        <v/>
      </c>
    </row>
    <row r="8" spans="1:21" ht="15" customHeight="1" x14ac:dyDescent="0.35">
      <c r="A8" s="61"/>
      <c r="B8" s="69"/>
      <c r="C8" s="66"/>
      <c r="D8" s="66"/>
      <c r="E8" s="164"/>
      <c r="F8" s="66"/>
      <c r="G8" s="67" t="str">
        <f t="shared" si="0"/>
        <v/>
      </c>
      <c r="H8" s="62"/>
      <c r="I8" s="66"/>
      <c r="J8" s="164"/>
      <c r="K8" s="66"/>
      <c r="L8" s="67" t="str">
        <f t="shared" si="1"/>
        <v/>
      </c>
      <c r="M8" s="62"/>
      <c r="N8" s="66"/>
      <c r="O8" s="164"/>
      <c r="P8" s="66"/>
      <c r="Q8" s="67" t="str">
        <f t="shared" si="2"/>
        <v/>
      </c>
      <c r="R8" s="62"/>
      <c r="S8" s="71" t="str">
        <f t="shared" si="3"/>
        <v/>
      </c>
      <c r="T8" s="71" t="str">
        <f t="shared" si="4"/>
        <v/>
      </c>
      <c r="U8" s="71" t="str">
        <f t="shared" si="5"/>
        <v/>
      </c>
    </row>
    <row r="9" spans="1:21" ht="15" customHeight="1" x14ac:dyDescent="0.35">
      <c r="A9" s="61"/>
      <c r="B9" s="69"/>
      <c r="C9" s="66"/>
      <c r="D9" s="66"/>
      <c r="E9" s="164"/>
      <c r="F9" s="66"/>
      <c r="G9" s="67" t="str">
        <f t="shared" si="0"/>
        <v/>
      </c>
      <c r="H9" s="62"/>
      <c r="I9" s="66"/>
      <c r="J9" s="164"/>
      <c r="K9" s="66"/>
      <c r="L9" s="67" t="str">
        <f t="shared" si="1"/>
        <v/>
      </c>
      <c r="M9" s="62"/>
      <c r="N9" s="66"/>
      <c r="O9" s="164"/>
      <c r="P9" s="66"/>
      <c r="Q9" s="67" t="str">
        <f t="shared" si="2"/>
        <v/>
      </c>
      <c r="R9" s="62"/>
      <c r="S9" s="71" t="str">
        <f t="shared" si="3"/>
        <v/>
      </c>
      <c r="T9" s="71" t="str">
        <f t="shared" si="4"/>
        <v/>
      </c>
      <c r="U9" s="71" t="str">
        <f t="shared" si="5"/>
        <v/>
      </c>
    </row>
    <row r="10" spans="1:21" ht="15" customHeight="1" x14ac:dyDescent="0.35">
      <c r="A10" s="61"/>
      <c r="B10" s="69"/>
      <c r="C10" s="66"/>
      <c r="D10" s="66"/>
      <c r="E10" s="164"/>
      <c r="F10" s="66"/>
      <c r="G10" s="67" t="str">
        <f t="shared" si="0"/>
        <v/>
      </c>
      <c r="H10" s="62"/>
      <c r="I10" s="66"/>
      <c r="J10" s="164"/>
      <c r="K10" s="66"/>
      <c r="L10" s="67" t="str">
        <f t="shared" si="1"/>
        <v/>
      </c>
      <c r="M10" s="62"/>
      <c r="N10" s="66"/>
      <c r="O10" s="164"/>
      <c r="P10" s="66"/>
      <c r="Q10" s="67" t="str">
        <f t="shared" si="2"/>
        <v/>
      </c>
      <c r="R10" s="62"/>
      <c r="S10" s="71" t="str">
        <f t="shared" si="3"/>
        <v/>
      </c>
      <c r="T10" s="71" t="str">
        <f t="shared" si="4"/>
        <v/>
      </c>
      <c r="U10" s="71" t="str">
        <f t="shared" si="5"/>
        <v/>
      </c>
    </row>
    <row r="11" spans="1:21" ht="15" customHeight="1" x14ac:dyDescent="0.35">
      <c r="A11" s="61"/>
      <c r="B11" s="69"/>
      <c r="C11" s="66"/>
      <c r="D11" s="66"/>
      <c r="E11" s="164"/>
      <c r="F11" s="66"/>
      <c r="G11" s="67" t="str">
        <f t="shared" si="0"/>
        <v/>
      </c>
      <c r="H11" s="62"/>
      <c r="I11" s="66"/>
      <c r="J11" s="164"/>
      <c r="K11" s="66"/>
      <c r="L11" s="67" t="str">
        <f t="shared" si="1"/>
        <v/>
      </c>
      <c r="M11" s="62"/>
      <c r="N11" s="66"/>
      <c r="O11" s="164"/>
      <c r="P11" s="66"/>
      <c r="Q11" s="67" t="str">
        <f t="shared" si="2"/>
        <v/>
      </c>
      <c r="R11" s="62"/>
      <c r="S11" s="71" t="str">
        <f t="shared" si="3"/>
        <v/>
      </c>
      <c r="T11" s="71" t="str">
        <f t="shared" si="4"/>
        <v/>
      </c>
      <c r="U11" s="71" t="str">
        <f t="shared" si="5"/>
        <v/>
      </c>
    </row>
    <row r="12" spans="1:21" ht="15" customHeight="1" x14ac:dyDescent="0.35">
      <c r="A12" s="61"/>
      <c r="B12" s="69"/>
      <c r="C12" s="66"/>
      <c r="D12" s="66"/>
      <c r="E12" s="164"/>
      <c r="F12" s="66"/>
      <c r="G12" s="67" t="str">
        <f t="shared" si="0"/>
        <v/>
      </c>
      <c r="H12" s="62"/>
      <c r="I12" s="66"/>
      <c r="J12" s="164"/>
      <c r="K12" s="66"/>
      <c r="L12" s="67" t="str">
        <f t="shared" si="1"/>
        <v/>
      </c>
      <c r="M12" s="62"/>
      <c r="N12" s="66"/>
      <c r="O12" s="164"/>
      <c r="P12" s="66"/>
      <c r="Q12" s="67" t="str">
        <f t="shared" si="2"/>
        <v/>
      </c>
      <c r="R12" s="62"/>
      <c r="S12" s="71" t="str">
        <f t="shared" si="3"/>
        <v/>
      </c>
      <c r="T12" s="71" t="str">
        <f t="shared" si="4"/>
        <v/>
      </c>
      <c r="U12" s="71" t="str">
        <f t="shared" si="5"/>
        <v/>
      </c>
    </row>
    <row r="13" spans="1:21" ht="15" customHeight="1" x14ac:dyDescent="0.35">
      <c r="A13" s="61"/>
      <c r="B13" s="69"/>
      <c r="C13" s="66"/>
      <c r="D13" s="66"/>
      <c r="E13" s="164"/>
      <c r="F13" s="66"/>
      <c r="G13" s="67" t="str">
        <f t="shared" si="0"/>
        <v/>
      </c>
      <c r="H13" s="62"/>
      <c r="I13" s="66"/>
      <c r="J13" s="164"/>
      <c r="K13" s="66"/>
      <c r="L13" s="67" t="str">
        <f t="shared" si="1"/>
        <v/>
      </c>
      <c r="M13" s="62"/>
      <c r="N13" s="66"/>
      <c r="O13" s="164"/>
      <c r="P13" s="66"/>
      <c r="Q13" s="67" t="str">
        <f t="shared" si="2"/>
        <v/>
      </c>
      <c r="R13" s="62"/>
      <c r="S13" s="71" t="str">
        <f t="shared" si="3"/>
        <v/>
      </c>
      <c r="T13" s="71" t="str">
        <f t="shared" si="4"/>
        <v/>
      </c>
      <c r="U13" s="71" t="str">
        <f t="shared" si="5"/>
        <v/>
      </c>
    </row>
    <row r="14" spans="1:21" ht="15" customHeight="1" x14ac:dyDescent="0.35">
      <c r="A14" s="61"/>
      <c r="B14" s="69"/>
      <c r="C14" s="66"/>
      <c r="D14" s="66"/>
      <c r="E14" s="164"/>
      <c r="F14" s="66"/>
      <c r="G14" s="67" t="str">
        <f t="shared" si="0"/>
        <v/>
      </c>
      <c r="H14" s="62"/>
      <c r="I14" s="66"/>
      <c r="J14" s="164"/>
      <c r="K14" s="66"/>
      <c r="L14" s="67" t="str">
        <f t="shared" si="1"/>
        <v/>
      </c>
      <c r="M14" s="62"/>
      <c r="N14" s="66"/>
      <c r="O14" s="164"/>
      <c r="P14" s="66"/>
      <c r="Q14" s="67" t="str">
        <f t="shared" si="2"/>
        <v/>
      </c>
      <c r="R14" s="62"/>
      <c r="S14" s="71" t="str">
        <f t="shared" si="3"/>
        <v/>
      </c>
      <c r="T14" s="71" t="str">
        <f t="shared" si="4"/>
        <v/>
      </c>
      <c r="U14" s="71" t="str">
        <f t="shared" si="5"/>
        <v/>
      </c>
    </row>
    <row r="15" spans="1:21" ht="15" customHeight="1" x14ac:dyDescent="0.35">
      <c r="A15" s="61"/>
      <c r="B15" s="69"/>
      <c r="C15" s="66"/>
      <c r="D15" s="66"/>
      <c r="E15" s="164"/>
      <c r="F15" s="66"/>
      <c r="G15" s="67" t="str">
        <f t="shared" si="0"/>
        <v/>
      </c>
      <c r="H15" s="62"/>
      <c r="I15" s="66"/>
      <c r="J15" s="164"/>
      <c r="K15" s="66"/>
      <c r="L15" s="67" t="str">
        <f t="shared" si="1"/>
        <v/>
      </c>
      <c r="M15" s="62"/>
      <c r="N15" s="66"/>
      <c r="O15" s="164"/>
      <c r="P15" s="66"/>
      <c r="Q15" s="67" t="str">
        <f t="shared" si="2"/>
        <v/>
      </c>
      <c r="R15" s="62"/>
      <c r="S15" s="71" t="str">
        <f t="shared" si="3"/>
        <v/>
      </c>
      <c r="T15" s="71" t="str">
        <f t="shared" si="4"/>
        <v/>
      </c>
      <c r="U15" s="71" t="str">
        <f t="shared" si="5"/>
        <v/>
      </c>
    </row>
    <row r="16" spans="1:21" ht="15" customHeight="1" x14ac:dyDescent="0.35">
      <c r="A16" s="61"/>
      <c r="B16" s="69"/>
      <c r="C16" s="66"/>
      <c r="D16" s="66"/>
      <c r="E16" s="164"/>
      <c r="F16" s="66"/>
      <c r="G16" s="67" t="str">
        <f t="shared" si="0"/>
        <v/>
      </c>
      <c r="H16" s="62"/>
      <c r="I16" s="66"/>
      <c r="J16" s="164"/>
      <c r="K16" s="66"/>
      <c r="L16" s="67" t="str">
        <f t="shared" si="1"/>
        <v/>
      </c>
      <c r="M16" s="62"/>
      <c r="N16" s="66"/>
      <c r="O16" s="164"/>
      <c r="P16" s="66"/>
      <c r="Q16" s="67" t="str">
        <f t="shared" si="2"/>
        <v/>
      </c>
      <c r="R16" s="62"/>
      <c r="S16" s="71" t="str">
        <f t="shared" si="3"/>
        <v/>
      </c>
      <c r="T16" s="71" t="str">
        <f t="shared" si="4"/>
        <v/>
      </c>
      <c r="U16" s="71" t="str">
        <f t="shared" si="5"/>
        <v/>
      </c>
    </row>
    <row r="17" spans="1:21" ht="15" customHeight="1" x14ac:dyDescent="0.35">
      <c r="A17" s="61"/>
      <c r="B17" s="69"/>
      <c r="C17" s="66"/>
      <c r="D17" s="66"/>
      <c r="E17" s="164"/>
      <c r="F17" s="66"/>
      <c r="G17" s="67" t="str">
        <f t="shared" si="0"/>
        <v/>
      </c>
      <c r="H17" s="62"/>
      <c r="I17" s="66"/>
      <c r="J17" s="164"/>
      <c r="K17" s="66"/>
      <c r="L17" s="67" t="str">
        <f t="shared" si="1"/>
        <v/>
      </c>
      <c r="M17" s="62"/>
      <c r="N17" s="66"/>
      <c r="O17" s="164"/>
      <c r="P17" s="66"/>
      <c r="Q17" s="67" t="str">
        <f t="shared" si="2"/>
        <v/>
      </c>
      <c r="R17" s="62"/>
      <c r="S17" s="71" t="str">
        <f t="shared" si="3"/>
        <v/>
      </c>
      <c r="T17" s="71" t="str">
        <f t="shared" si="4"/>
        <v/>
      </c>
      <c r="U17" s="71" t="str">
        <f t="shared" si="5"/>
        <v/>
      </c>
    </row>
    <row r="18" spans="1:21" ht="15" customHeight="1" x14ac:dyDescent="0.35">
      <c r="A18" s="61"/>
      <c r="B18" s="69"/>
      <c r="C18" s="66"/>
      <c r="D18" s="66"/>
      <c r="E18" s="164"/>
      <c r="F18" s="66"/>
      <c r="G18" s="67" t="str">
        <f t="shared" si="0"/>
        <v/>
      </c>
      <c r="H18" s="62"/>
      <c r="I18" s="66"/>
      <c r="J18" s="164"/>
      <c r="K18" s="66"/>
      <c r="L18" s="67" t="str">
        <f t="shared" si="1"/>
        <v/>
      </c>
      <c r="M18" s="62"/>
      <c r="N18" s="66"/>
      <c r="O18" s="164"/>
      <c r="P18" s="66"/>
      <c r="Q18" s="67" t="str">
        <f t="shared" si="2"/>
        <v/>
      </c>
      <c r="R18" s="62"/>
      <c r="S18" s="71" t="str">
        <f t="shared" si="3"/>
        <v/>
      </c>
      <c r="T18" s="71" t="str">
        <f t="shared" si="4"/>
        <v/>
      </c>
      <c r="U18" s="71" t="str">
        <f t="shared" si="5"/>
        <v/>
      </c>
    </row>
    <row r="19" spans="1:21" ht="15" customHeight="1" x14ac:dyDescent="0.35">
      <c r="A19" s="61"/>
      <c r="B19" s="69"/>
      <c r="C19" s="66"/>
      <c r="D19" s="66"/>
      <c r="E19" s="164"/>
      <c r="F19" s="66"/>
      <c r="G19" s="67" t="str">
        <f t="shared" si="0"/>
        <v/>
      </c>
      <c r="H19" s="62"/>
      <c r="I19" s="66"/>
      <c r="J19" s="164"/>
      <c r="K19" s="66"/>
      <c r="L19" s="67" t="str">
        <f t="shared" si="1"/>
        <v/>
      </c>
      <c r="M19" s="62"/>
      <c r="N19" s="66"/>
      <c r="O19" s="164"/>
      <c r="P19" s="66"/>
      <c r="Q19" s="67" t="str">
        <f t="shared" si="2"/>
        <v/>
      </c>
      <c r="R19" s="62"/>
      <c r="S19" s="71" t="str">
        <f t="shared" si="3"/>
        <v/>
      </c>
      <c r="T19" s="71" t="str">
        <f t="shared" si="4"/>
        <v/>
      </c>
      <c r="U19" s="71" t="str">
        <f t="shared" si="5"/>
        <v/>
      </c>
    </row>
    <row r="20" spans="1:21" ht="15" customHeight="1" x14ac:dyDescent="0.35">
      <c r="A20" s="61" t="s">
        <v>235</v>
      </c>
      <c r="B20" s="69" t="s">
        <v>501</v>
      </c>
      <c r="C20" s="66">
        <v>967.17</v>
      </c>
      <c r="D20" s="66">
        <v>23.11</v>
      </c>
      <c r="E20" s="164">
        <v>61.48</v>
      </c>
      <c r="F20" s="66">
        <v>32</v>
      </c>
      <c r="G20" s="67">
        <f t="shared" si="0"/>
        <v>8.4777753732933281E-2</v>
      </c>
      <c r="H20" s="62" t="s">
        <v>502</v>
      </c>
      <c r="I20" s="66">
        <v>19.14</v>
      </c>
      <c r="J20" s="164">
        <v>50</v>
      </c>
      <c r="K20" s="66">
        <v>28</v>
      </c>
      <c r="L20" s="67">
        <f t="shared" si="1"/>
        <v>3.6601540081799833E-3</v>
      </c>
      <c r="M20" s="62" t="s">
        <v>502</v>
      </c>
      <c r="N20" s="66">
        <v>26.51</v>
      </c>
      <c r="O20" s="164">
        <v>61.48</v>
      </c>
      <c r="P20" s="66">
        <v>35</v>
      </c>
      <c r="Q20" s="67">
        <f t="shared" si="2"/>
        <v>0.11474020678495345</v>
      </c>
      <c r="R20" s="62" t="s">
        <v>503</v>
      </c>
      <c r="S20" s="71" t="str">
        <f t="shared" si="3"/>
        <v>FAIL</v>
      </c>
      <c r="T20" s="71" t="str">
        <f t="shared" si="4"/>
        <v>PASS</v>
      </c>
      <c r="U20" s="71" t="str">
        <f t="shared" si="5"/>
        <v>OK</v>
      </c>
    </row>
    <row r="21" spans="1:21" ht="15" customHeight="1" x14ac:dyDescent="0.35">
      <c r="A21" s="61" t="s">
        <v>117</v>
      </c>
      <c r="B21" s="69" t="s">
        <v>118</v>
      </c>
      <c r="C21" s="66">
        <v>380.63</v>
      </c>
      <c r="D21" s="66">
        <v>17.84</v>
      </c>
      <c r="E21" s="164">
        <v>34.36</v>
      </c>
      <c r="F21" s="66">
        <v>16</v>
      </c>
      <c r="G21" s="67">
        <f t="shared" si="0"/>
        <v>0.10567399598633798</v>
      </c>
      <c r="H21" s="62" t="s">
        <v>503</v>
      </c>
      <c r="I21" s="66">
        <v>14.14</v>
      </c>
      <c r="J21" s="164">
        <v>28</v>
      </c>
      <c r="K21" s="66">
        <v>14</v>
      </c>
      <c r="L21" s="67">
        <f t="shared" si="1"/>
        <v>1.4937311795212738E-2</v>
      </c>
      <c r="M21" s="62" t="s">
        <v>502</v>
      </c>
      <c r="N21" s="66">
        <v>21.33</v>
      </c>
      <c r="O21" s="164">
        <v>38</v>
      </c>
      <c r="P21" s="66">
        <v>18</v>
      </c>
      <c r="Q21" s="67">
        <f t="shared" si="2"/>
        <v>0.16832075792045109</v>
      </c>
      <c r="R21" s="62" t="s">
        <v>502</v>
      </c>
      <c r="S21" s="71" t="str">
        <f t="shared" si="3"/>
        <v>PASS</v>
      </c>
      <c r="T21" s="71" t="str">
        <f t="shared" si="4"/>
        <v>PASS</v>
      </c>
      <c r="U21" s="71" t="str">
        <f t="shared" si="5"/>
        <v>OK</v>
      </c>
    </row>
    <row r="22" spans="1:21" ht="15" customHeight="1" x14ac:dyDescent="0.35">
      <c r="A22" s="61"/>
      <c r="B22" s="69"/>
      <c r="C22" s="66"/>
      <c r="D22" s="66"/>
      <c r="E22" s="164"/>
      <c r="F22" s="66"/>
      <c r="G22" s="67" t="str">
        <f t="shared" si="0"/>
        <v/>
      </c>
      <c r="H22" s="62"/>
      <c r="I22" s="66"/>
      <c r="J22" s="164"/>
      <c r="K22" s="66"/>
      <c r="L22" s="67" t="str">
        <f t="shared" si="1"/>
        <v/>
      </c>
      <c r="M22" s="62"/>
      <c r="N22" s="66"/>
      <c r="O22" s="164"/>
      <c r="P22" s="66"/>
      <c r="Q22" s="67" t="str">
        <f t="shared" si="2"/>
        <v/>
      </c>
      <c r="R22" s="62"/>
      <c r="S22" s="71" t="str">
        <f t="shared" si="3"/>
        <v/>
      </c>
      <c r="T22" s="71" t="str">
        <f t="shared" si="4"/>
        <v/>
      </c>
      <c r="U22" s="71" t="str">
        <f t="shared" si="5"/>
        <v/>
      </c>
    </row>
    <row r="23" spans="1:21" ht="15" customHeight="1" x14ac:dyDescent="0.35">
      <c r="A23" s="61"/>
      <c r="B23" s="69"/>
      <c r="C23" s="66"/>
      <c r="D23" s="66"/>
      <c r="E23" s="164"/>
      <c r="F23" s="66"/>
      <c r="G23" s="67" t="str">
        <f t="shared" si="0"/>
        <v/>
      </c>
      <c r="H23" s="62"/>
      <c r="I23" s="66"/>
      <c r="J23" s="164"/>
      <c r="K23" s="66"/>
      <c r="L23" s="67" t="str">
        <f t="shared" si="1"/>
        <v/>
      </c>
      <c r="M23" s="62"/>
      <c r="N23" s="66"/>
      <c r="O23" s="164"/>
      <c r="P23" s="66"/>
      <c r="Q23" s="67" t="str">
        <f t="shared" si="2"/>
        <v/>
      </c>
      <c r="R23" s="62"/>
      <c r="S23" s="71" t="str">
        <f t="shared" si="3"/>
        <v/>
      </c>
      <c r="T23" s="71" t="str">
        <f t="shared" si="4"/>
        <v/>
      </c>
      <c r="U23" s="71" t="str">
        <f t="shared" si="5"/>
        <v/>
      </c>
    </row>
    <row r="24" spans="1:21" ht="15" customHeight="1" x14ac:dyDescent="0.35">
      <c r="A24" s="165"/>
      <c r="B24" s="166"/>
      <c r="C24" s="167"/>
      <c r="D24" s="167"/>
      <c r="E24" s="168"/>
      <c r="F24" s="167"/>
      <c r="G24" s="169" t="str">
        <f t="shared" si="0"/>
        <v/>
      </c>
      <c r="H24" s="170"/>
      <c r="I24" s="167"/>
      <c r="J24" s="168"/>
      <c r="K24" s="167"/>
      <c r="L24" s="169" t="str">
        <f t="shared" si="1"/>
        <v/>
      </c>
      <c r="M24" s="170"/>
      <c r="N24" s="167"/>
      <c r="O24" s="168"/>
      <c r="P24" s="167"/>
      <c r="Q24" s="169" t="str">
        <f t="shared" si="2"/>
        <v/>
      </c>
      <c r="R24" s="171"/>
      <c r="S24" s="71" t="str">
        <f t="shared" si="3"/>
        <v/>
      </c>
      <c r="T24" s="71" t="str">
        <f t="shared" si="4"/>
        <v/>
      </c>
      <c r="U24" s="71" t="str">
        <f t="shared" si="5"/>
        <v/>
      </c>
    </row>
    <row r="25" spans="1:21" ht="15" customHeight="1" x14ac:dyDescent="0.35">
      <c r="A25" s="165"/>
      <c r="B25" s="166"/>
      <c r="C25" s="167"/>
      <c r="D25" s="167"/>
      <c r="E25" s="168"/>
      <c r="F25" s="167"/>
      <c r="G25" s="169" t="str">
        <f t="shared" si="0"/>
        <v/>
      </c>
      <c r="H25" s="170"/>
      <c r="I25" s="167"/>
      <c r="J25" s="168"/>
      <c r="K25" s="167"/>
      <c r="L25" s="169" t="str">
        <f t="shared" si="1"/>
        <v/>
      </c>
      <c r="M25" s="170"/>
      <c r="N25" s="167"/>
      <c r="O25" s="168"/>
      <c r="P25" s="167"/>
      <c r="Q25" s="169" t="str">
        <f t="shared" si="2"/>
        <v/>
      </c>
      <c r="R25" s="171"/>
      <c r="S25" s="71" t="str">
        <f t="shared" si="3"/>
        <v/>
      </c>
      <c r="T25" s="71" t="str">
        <f t="shared" si="4"/>
        <v/>
      </c>
      <c r="U25" s="71" t="str">
        <f t="shared" si="5"/>
        <v/>
      </c>
    </row>
    <row r="26" spans="1:21" ht="15" customHeight="1" x14ac:dyDescent="0.35">
      <c r="A26" s="165"/>
      <c r="B26" s="166"/>
      <c r="C26" s="167"/>
      <c r="D26" s="167"/>
      <c r="E26" s="168"/>
      <c r="F26" s="167"/>
      <c r="G26" s="169" t="str">
        <f t="shared" si="0"/>
        <v/>
      </c>
      <c r="H26" s="170"/>
      <c r="I26" s="167"/>
      <c r="J26" s="168"/>
      <c r="K26" s="167"/>
      <c r="L26" s="169" t="str">
        <f t="shared" si="1"/>
        <v/>
      </c>
      <c r="M26" s="170"/>
      <c r="N26" s="167"/>
      <c r="O26" s="168"/>
      <c r="P26" s="167"/>
      <c r="Q26" s="169" t="str">
        <f t="shared" si="2"/>
        <v/>
      </c>
      <c r="R26" s="171"/>
      <c r="S26" s="71" t="str">
        <f t="shared" si="3"/>
        <v/>
      </c>
      <c r="T26" s="71" t="str">
        <f t="shared" si="4"/>
        <v/>
      </c>
      <c r="U26" s="71" t="str">
        <f t="shared" si="5"/>
        <v/>
      </c>
    </row>
    <row r="27" spans="1:21" ht="15" customHeight="1" x14ac:dyDescent="0.35">
      <c r="A27" s="165"/>
      <c r="B27" s="166"/>
      <c r="C27" s="167"/>
      <c r="D27" s="167"/>
      <c r="E27" s="168"/>
      <c r="F27" s="167"/>
      <c r="G27" s="169" t="str">
        <f t="shared" si="0"/>
        <v/>
      </c>
      <c r="H27" s="170"/>
      <c r="I27" s="167"/>
      <c r="J27" s="168"/>
      <c r="K27" s="167"/>
      <c r="L27" s="169" t="str">
        <f t="shared" si="1"/>
        <v/>
      </c>
      <c r="M27" s="170"/>
      <c r="N27" s="167"/>
      <c r="O27" s="168"/>
      <c r="P27" s="167"/>
      <c r="Q27" s="169" t="str">
        <f t="shared" si="2"/>
        <v/>
      </c>
      <c r="R27" s="171"/>
      <c r="S27" s="71" t="str">
        <f t="shared" si="3"/>
        <v/>
      </c>
      <c r="T27" s="71" t="str">
        <f t="shared" si="4"/>
        <v/>
      </c>
      <c r="U27" s="71" t="str">
        <f t="shared" si="5"/>
        <v/>
      </c>
    </row>
    <row r="28" spans="1:21" ht="15" customHeight="1" x14ac:dyDescent="0.35">
      <c r="A28" s="165"/>
      <c r="B28" s="166"/>
      <c r="C28" s="167"/>
      <c r="D28" s="167"/>
      <c r="E28" s="168"/>
      <c r="F28" s="167"/>
      <c r="G28" s="169" t="str">
        <f t="shared" si="0"/>
        <v/>
      </c>
      <c r="H28" s="170"/>
      <c r="I28" s="167"/>
      <c r="J28" s="168"/>
      <c r="K28" s="167"/>
      <c r="L28" s="169" t="str">
        <f t="shared" si="1"/>
        <v/>
      </c>
      <c r="M28" s="170"/>
      <c r="N28" s="167"/>
      <c r="O28" s="168"/>
      <c r="P28" s="167"/>
      <c r="Q28" s="169" t="str">
        <f t="shared" si="2"/>
        <v/>
      </c>
      <c r="R28" s="171"/>
      <c r="S28" s="71" t="str">
        <f t="shared" si="3"/>
        <v/>
      </c>
      <c r="T28" s="71" t="str">
        <f t="shared" si="4"/>
        <v/>
      </c>
      <c r="U28" s="71" t="str">
        <f t="shared" si="5"/>
        <v/>
      </c>
    </row>
    <row r="29" spans="1:21" ht="15" customHeight="1" x14ac:dyDescent="0.35">
      <c r="A29" s="165"/>
      <c r="B29" s="166"/>
      <c r="C29" s="167"/>
      <c r="D29" s="167"/>
      <c r="E29" s="168"/>
      <c r="F29" s="167"/>
      <c r="G29" s="169" t="str">
        <f t="shared" si="0"/>
        <v/>
      </c>
      <c r="H29" s="170"/>
      <c r="I29" s="167"/>
      <c r="J29" s="168"/>
      <c r="K29" s="167"/>
      <c r="L29" s="169" t="str">
        <f t="shared" si="1"/>
        <v/>
      </c>
      <c r="M29" s="170"/>
      <c r="N29" s="167"/>
      <c r="O29" s="168"/>
      <c r="P29" s="167"/>
      <c r="Q29" s="169" t="str">
        <f t="shared" si="2"/>
        <v/>
      </c>
      <c r="R29" s="171"/>
      <c r="S29" s="71" t="str">
        <f t="shared" si="3"/>
        <v/>
      </c>
      <c r="T29" s="71" t="str">
        <f t="shared" si="4"/>
        <v/>
      </c>
      <c r="U29" s="71" t="str">
        <f t="shared" si="5"/>
        <v/>
      </c>
    </row>
    <row r="30" spans="1:21" ht="15" customHeight="1" x14ac:dyDescent="0.35">
      <c r="A30" s="165"/>
      <c r="B30" s="166"/>
      <c r="C30" s="167"/>
      <c r="D30" s="167"/>
      <c r="E30" s="168"/>
      <c r="F30" s="167"/>
      <c r="G30" s="169" t="str">
        <f t="shared" si="0"/>
        <v/>
      </c>
      <c r="H30" s="170"/>
      <c r="I30" s="167"/>
      <c r="J30" s="168"/>
      <c r="K30" s="167"/>
      <c r="L30" s="169" t="str">
        <f t="shared" si="1"/>
        <v/>
      </c>
      <c r="M30" s="170"/>
      <c r="N30" s="167"/>
      <c r="O30" s="168"/>
      <c r="P30" s="167"/>
      <c r="Q30" s="169" t="str">
        <f t="shared" si="2"/>
        <v/>
      </c>
      <c r="R30" s="171"/>
      <c r="S30" s="71" t="str">
        <f t="shared" si="3"/>
        <v/>
      </c>
      <c r="T30" s="71" t="str">
        <f t="shared" si="4"/>
        <v/>
      </c>
      <c r="U30" s="71" t="str">
        <f t="shared" si="5"/>
        <v/>
      </c>
    </row>
    <row r="31" spans="1:21" ht="15" customHeight="1" x14ac:dyDescent="0.35">
      <c r="A31" s="165"/>
      <c r="B31" s="166"/>
      <c r="C31" s="167"/>
      <c r="D31" s="167"/>
      <c r="E31" s="168"/>
      <c r="F31" s="167"/>
      <c r="G31" s="169" t="str">
        <f t="shared" si="0"/>
        <v/>
      </c>
      <c r="H31" s="170"/>
      <c r="I31" s="167"/>
      <c r="J31" s="168"/>
      <c r="K31" s="167"/>
      <c r="L31" s="169" t="str">
        <f t="shared" si="1"/>
        <v/>
      </c>
      <c r="M31" s="170"/>
      <c r="N31" s="167"/>
      <c r="O31" s="168"/>
      <c r="P31" s="167"/>
      <c r="Q31" s="169" t="str">
        <f t="shared" si="2"/>
        <v/>
      </c>
      <c r="R31" s="171"/>
      <c r="S31" s="71" t="str">
        <f t="shared" si="3"/>
        <v/>
      </c>
      <c r="T31" s="71" t="str">
        <f t="shared" si="4"/>
        <v/>
      </c>
      <c r="U31" s="71" t="str">
        <f t="shared" si="5"/>
        <v/>
      </c>
    </row>
    <row r="32" spans="1:21" ht="15" customHeight="1" x14ac:dyDescent="0.35">
      <c r="A32" s="165"/>
      <c r="B32" s="166"/>
      <c r="C32" s="167"/>
      <c r="D32" s="167"/>
      <c r="E32" s="168"/>
      <c r="F32" s="167"/>
      <c r="G32" s="169" t="str">
        <f t="shared" si="0"/>
        <v/>
      </c>
      <c r="H32" s="170"/>
      <c r="I32" s="167"/>
      <c r="J32" s="168"/>
      <c r="K32" s="167"/>
      <c r="L32" s="169" t="str">
        <f t="shared" si="1"/>
        <v/>
      </c>
      <c r="M32" s="170"/>
      <c r="N32" s="167"/>
      <c r="O32" s="168"/>
      <c r="P32" s="167"/>
      <c r="Q32" s="169" t="str">
        <f t="shared" si="2"/>
        <v/>
      </c>
      <c r="R32" s="171"/>
      <c r="S32" s="71" t="str">
        <f t="shared" si="3"/>
        <v/>
      </c>
      <c r="T32" s="71" t="str">
        <f t="shared" si="4"/>
        <v/>
      </c>
      <c r="U32" s="71" t="str">
        <f t="shared" si="5"/>
        <v/>
      </c>
    </row>
    <row r="33" spans="1:21" ht="15" customHeight="1" x14ac:dyDescent="0.35">
      <c r="A33" s="165"/>
      <c r="B33" s="166"/>
      <c r="C33" s="167"/>
      <c r="D33" s="167"/>
      <c r="E33" s="168"/>
      <c r="F33" s="167"/>
      <c r="G33" s="169" t="str">
        <f t="shared" si="0"/>
        <v/>
      </c>
      <c r="H33" s="170"/>
      <c r="I33" s="167"/>
      <c r="J33" s="168"/>
      <c r="K33" s="167"/>
      <c r="L33" s="169" t="str">
        <f t="shared" si="1"/>
        <v/>
      </c>
      <c r="M33" s="170"/>
      <c r="N33" s="167"/>
      <c r="O33" s="168"/>
      <c r="P33" s="167"/>
      <c r="Q33" s="169" t="str">
        <f t="shared" si="2"/>
        <v/>
      </c>
      <c r="R33" s="171"/>
      <c r="S33" s="71" t="str">
        <f t="shared" si="3"/>
        <v/>
      </c>
      <c r="T33" s="71" t="str">
        <f t="shared" si="4"/>
        <v/>
      </c>
      <c r="U33" s="71" t="str">
        <f t="shared" si="5"/>
        <v/>
      </c>
    </row>
    <row r="34" spans="1:21" ht="15" customHeight="1" x14ac:dyDescent="0.35">
      <c r="A34" s="165"/>
      <c r="B34" s="166"/>
      <c r="C34" s="167"/>
      <c r="D34" s="167"/>
      <c r="E34" s="168"/>
      <c r="F34" s="167"/>
      <c r="G34" s="169" t="str">
        <f t="shared" si="0"/>
        <v/>
      </c>
      <c r="H34" s="170"/>
      <c r="I34" s="167"/>
      <c r="J34" s="168"/>
      <c r="K34" s="167"/>
      <c r="L34" s="169" t="str">
        <f t="shared" si="1"/>
        <v/>
      </c>
      <c r="M34" s="170"/>
      <c r="N34" s="167"/>
      <c r="O34" s="168"/>
      <c r="P34" s="167"/>
      <c r="Q34" s="169" t="str">
        <f t="shared" si="2"/>
        <v/>
      </c>
      <c r="R34" s="171"/>
      <c r="S34" s="71" t="str">
        <f t="shared" si="3"/>
        <v/>
      </c>
      <c r="T34" s="71" t="str">
        <f t="shared" si="4"/>
        <v/>
      </c>
      <c r="U34" s="71" t="str">
        <f t="shared" si="5"/>
        <v/>
      </c>
    </row>
    <row r="35" spans="1:21" ht="15" customHeight="1" x14ac:dyDescent="0.35">
      <c r="A35" s="165"/>
      <c r="B35" s="166"/>
      <c r="C35" s="167"/>
      <c r="D35" s="167"/>
      <c r="E35" s="168"/>
      <c r="F35" s="167"/>
      <c r="G35" s="169" t="str">
        <f t="shared" si="0"/>
        <v/>
      </c>
      <c r="H35" s="170"/>
      <c r="I35" s="167"/>
      <c r="J35" s="168"/>
      <c r="K35" s="167"/>
      <c r="L35" s="169" t="str">
        <f t="shared" si="1"/>
        <v/>
      </c>
      <c r="M35" s="170"/>
      <c r="N35" s="167"/>
      <c r="O35" s="168"/>
      <c r="P35" s="167"/>
      <c r="Q35" s="169" t="str">
        <f t="shared" si="2"/>
        <v/>
      </c>
      <c r="R35" s="171"/>
      <c r="S35" s="71" t="str">
        <f t="shared" si="3"/>
        <v/>
      </c>
      <c r="T35" s="71" t="str">
        <f t="shared" si="4"/>
        <v/>
      </c>
      <c r="U35" s="71" t="str">
        <f t="shared" si="5"/>
        <v/>
      </c>
    </row>
    <row r="36" spans="1:21" ht="15" customHeight="1" x14ac:dyDescent="0.35">
      <c r="A36" s="165"/>
      <c r="B36" s="166"/>
      <c r="C36" s="167"/>
      <c r="D36" s="167"/>
      <c r="E36" s="168"/>
      <c r="F36" s="167"/>
      <c r="G36" s="169" t="str">
        <f t="shared" si="0"/>
        <v/>
      </c>
      <c r="H36" s="170"/>
      <c r="I36" s="167"/>
      <c r="J36" s="168"/>
      <c r="K36" s="167"/>
      <c r="L36" s="169" t="str">
        <f t="shared" si="1"/>
        <v/>
      </c>
      <c r="M36" s="170"/>
      <c r="N36" s="167"/>
      <c r="O36" s="168"/>
      <c r="P36" s="167"/>
      <c r="Q36" s="169" t="str">
        <f t="shared" si="2"/>
        <v/>
      </c>
      <c r="R36" s="171"/>
      <c r="S36" s="71" t="str">
        <f t="shared" si="3"/>
        <v/>
      </c>
      <c r="T36" s="71" t="str">
        <f t="shared" si="4"/>
        <v/>
      </c>
      <c r="U36" s="71" t="str">
        <f t="shared" si="5"/>
        <v/>
      </c>
    </row>
    <row r="37" spans="1:21" ht="15" customHeight="1" x14ac:dyDescent="0.35">
      <c r="A37" s="165"/>
      <c r="B37" s="166"/>
      <c r="C37" s="167"/>
      <c r="D37" s="167"/>
      <c r="E37" s="168"/>
      <c r="F37" s="167"/>
      <c r="G37" s="169" t="str">
        <f t="shared" si="0"/>
        <v/>
      </c>
      <c r="H37" s="170"/>
      <c r="I37" s="167"/>
      <c r="J37" s="168"/>
      <c r="K37" s="167"/>
      <c r="L37" s="169" t="str">
        <f t="shared" si="1"/>
        <v/>
      </c>
      <c r="M37" s="170"/>
      <c r="N37" s="167"/>
      <c r="O37" s="168"/>
      <c r="P37" s="167"/>
      <c r="Q37" s="169" t="str">
        <f t="shared" si="2"/>
        <v/>
      </c>
      <c r="R37" s="171"/>
      <c r="S37" s="71" t="str">
        <f t="shared" si="3"/>
        <v/>
      </c>
      <c r="T37" s="71" t="str">
        <f t="shared" si="4"/>
        <v/>
      </c>
      <c r="U37" s="71" t="str">
        <f t="shared" si="5"/>
        <v/>
      </c>
    </row>
    <row r="38" spans="1:21" ht="15" customHeight="1" x14ac:dyDescent="0.35">
      <c r="A38" s="165"/>
      <c r="B38" s="166"/>
      <c r="C38" s="167"/>
      <c r="D38" s="167"/>
      <c r="E38" s="168"/>
      <c r="F38" s="167"/>
      <c r="G38" s="169" t="str">
        <f t="shared" si="0"/>
        <v/>
      </c>
      <c r="H38" s="170"/>
      <c r="I38" s="167"/>
      <c r="J38" s="168"/>
      <c r="K38" s="167"/>
      <c r="L38" s="169" t="str">
        <f t="shared" si="1"/>
        <v/>
      </c>
      <c r="M38" s="170"/>
      <c r="N38" s="167"/>
      <c r="O38" s="168"/>
      <c r="P38" s="167"/>
      <c r="Q38" s="169" t="str">
        <f t="shared" si="2"/>
        <v/>
      </c>
      <c r="R38" s="171"/>
      <c r="S38" s="71" t="str">
        <f t="shared" si="3"/>
        <v/>
      </c>
      <c r="T38" s="71" t="str">
        <f t="shared" si="4"/>
        <v/>
      </c>
      <c r="U38" s="71" t="str">
        <f t="shared" si="5"/>
        <v/>
      </c>
    </row>
    <row r="39" spans="1:21" ht="15" customHeight="1" x14ac:dyDescent="0.35">
      <c r="A39" s="165"/>
      <c r="B39" s="166"/>
      <c r="C39" s="167"/>
      <c r="D39" s="167"/>
      <c r="E39" s="168"/>
      <c r="F39" s="167"/>
      <c r="G39" s="169" t="str">
        <f t="shared" si="0"/>
        <v/>
      </c>
      <c r="H39" s="170"/>
      <c r="I39" s="167"/>
      <c r="J39" s="168"/>
      <c r="K39" s="167"/>
      <c r="L39" s="169" t="str">
        <f t="shared" si="1"/>
        <v/>
      </c>
      <c r="M39" s="170"/>
      <c r="N39" s="167"/>
      <c r="O39" s="168"/>
      <c r="P39" s="167"/>
      <c r="Q39" s="169" t="str">
        <f t="shared" si="2"/>
        <v/>
      </c>
      <c r="R39" s="171"/>
      <c r="S39" s="71" t="str">
        <f t="shared" si="3"/>
        <v/>
      </c>
      <c r="T39" s="71" t="str">
        <f t="shared" si="4"/>
        <v/>
      </c>
      <c r="U39" s="71" t="str">
        <f t="shared" si="5"/>
        <v/>
      </c>
    </row>
    <row r="40" spans="1:21" ht="15" customHeight="1" x14ac:dyDescent="0.35">
      <c r="A40" s="165"/>
      <c r="B40" s="166"/>
      <c r="C40" s="167"/>
      <c r="D40" s="167"/>
      <c r="E40" s="168"/>
      <c r="F40" s="167"/>
      <c r="G40" s="169" t="str">
        <f t="shared" si="0"/>
        <v/>
      </c>
      <c r="H40" s="170"/>
      <c r="I40" s="167"/>
      <c r="J40" s="168"/>
      <c r="K40" s="167"/>
      <c r="L40" s="169" t="str">
        <f t="shared" si="1"/>
        <v/>
      </c>
      <c r="M40" s="170"/>
      <c r="N40" s="167"/>
      <c r="O40" s="168"/>
      <c r="P40" s="167"/>
      <c r="Q40" s="169" t="str">
        <f t="shared" si="2"/>
        <v/>
      </c>
      <c r="R40" s="171"/>
      <c r="S40" s="71" t="str">
        <f t="shared" si="3"/>
        <v/>
      </c>
      <c r="T40" s="71" t="str">
        <f t="shared" si="4"/>
        <v/>
      </c>
      <c r="U40" s="71" t="str">
        <f t="shared" si="5"/>
        <v/>
      </c>
    </row>
    <row r="41" spans="1:21" ht="15" customHeight="1" x14ac:dyDescent="0.35">
      <c r="A41" s="165"/>
      <c r="B41" s="166"/>
      <c r="C41" s="167"/>
      <c r="D41" s="167"/>
      <c r="E41" s="168"/>
      <c r="F41" s="167"/>
      <c r="G41" s="169" t="str">
        <f t="shared" si="0"/>
        <v/>
      </c>
      <c r="H41" s="170"/>
      <c r="I41" s="167"/>
      <c r="J41" s="168"/>
      <c r="K41" s="167"/>
      <c r="L41" s="169" t="str">
        <f t="shared" si="1"/>
        <v/>
      </c>
      <c r="M41" s="170"/>
      <c r="N41" s="167"/>
      <c r="O41" s="168"/>
      <c r="P41" s="167"/>
      <c r="Q41" s="169" t="str">
        <f t="shared" si="2"/>
        <v/>
      </c>
      <c r="R41" s="171"/>
      <c r="S41" s="71" t="str">
        <f t="shared" si="3"/>
        <v/>
      </c>
      <c r="T41" s="71" t="str">
        <f t="shared" si="4"/>
        <v/>
      </c>
      <c r="U41" s="71" t="str">
        <f t="shared" si="5"/>
        <v/>
      </c>
    </row>
    <row r="42" spans="1:21" ht="15" customHeight="1" x14ac:dyDescent="0.35">
      <c r="A42" s="165"/>
      <c r="B42" s="166"/>
      <c r="C42" s="167"/>
      <c r="D42" s="167"/>
      <c r="E42" s="168"/>
      <c r="F42" s="167"/>
      <c r="G42" s="169" t="str">
        <f t="shared" si="0"/>
        <v/>
      </c>
      <c r="H42" s="170"/>
      <c r="I42" s="167"/>
      <c r="J42" s="168"/>
      <c r="K42" s="167"/>
      <c r="L42" s="169" t="str">
        <f t="shared" si="1"/>
        <v/>
      </c>
      <c r="M42" s="170"/>
      <c r="N42" s="167"/>
      <c r="O42" s="168"/>
      <c r="P42" s="167"/>
      <c r="Q42" s="169" t="str">
        <f t="shared" si="2"/>
        <v/>
      </c>
      <c r="R42" s="171"/>
      <c r="S42" s="71" t="str">
        <f t="shared" si="3"/>
        <v/>
      </c>
      <c r="T42" s="71" t="str">
        <f t="shared" si="4"/>
        <v/>
      </c>
      <c r="U42" s="71" t="str">
        <f t="shared" si="5"/>
        <v/>
      </c>
    </row>
    <row r="43" spans="1:21" ht="15" customHeight="1" x14ac:dyDescent="0.35">
      <c r="A43" s="165"/>
      <c r="B43" s="166"/>
      <c r="C43" s="167"/>
      <c r="D43" s="167"/>
      <c r="E43" s="168"/>
      <c r="F43" s="167"/>
      <c r="G43" s="169" t="str">
        <f t="shared" si="0"/>
        <v/>
      </c>
      <c r="H43" s="170"/>
      <c r="I43" s="167"/>
      <c r="J43" s="168"/>
      <c r="K43" s="167"/>
      <c r="L43" s="169" t="str">
        <f t="shared" si="1"/>
        <v/>
      </c>
      <c r="M43" s="170"/>
      <c r="N43" s="167"/>
      <c r="O43" s="168"/>
      <c r="P43" s="167"/>
      <c r="Q43" s="169" t="str">
        <f t="shared" si="2"/>
        <v/>
      </c>
      <c r="R43" s="171"/>
      <c r="S43" s="71" t="str">
        <f t="shared" si="3"/>
        <v/>
      </c>
      <c r="T43" s="71" t="str">
        <f t="shared" si="4"/>
        <v/>
      </c>
      <c r="U43" s="71" t="str">
        <f t="shared" si="5"/>
        <v/>
      </c>
    </row>
    <row r="44" spans="1:21" ht="15" customHeight="1" x14ac:dyDescent="0.35">
      <c r="A44" s="165"/>
      <c r="B44" s="166"/>
      <c r="C44" s="167"/>
      <c r="D44" s="167"/>
      <c r="E44" s="168"/>
      <c r="F44" s="167"/>
      <c r="G44" s="169" t="str">
        <f t="shared" si="0"/>
        <v/>
      </c>
      <c r="H44" s="170"/>
      <c r="I44" s="167"/>
      <c r="J44" s="168"/>
      <c r="K44" s="167"/>
      <c r="L44" s="169" t="str">
        <f t="shared" si="1"/>
        <v/>
      </c>
      <c r="M44" s="170"/>
      <c r="N44" s="167"/>
      <c r="O44" s="168"/>
      <c r="P44" s="167"/>
      <c r="Q44" s="169" t="str">
        <f t="shared" si="2"/>
        <v/>
      </c>
      <c r="R44" s="171"/>
      <c r="S44" s="71" t="str">
        <f t="shared" si="3"/>
        <v/>
      </c>
      <c r="T44" s="71" t="str">
        <f t="shared" si="4"/>
        <v/>
      </c>
      <c r="U44" s="71" t="str">
        <f t="shared" si="5"/>
        <v/>
      </c>
    </row>
    <row r="45" spans="1:21" ht="15" customHeight="1" x14ac:dyDescent="0.35">
      <c r="A45" s="165"/>
      <c r="B45" s="166"/>
      <c r="C45" s="167"/>
      <c r="D45" s="167"/>
      <c r="E45" s="168"/>
      <c r="F45" s="167"/>
      <c r="G45" s="169" t="str">
        <f t="shared" si="0"/>
        <v/>
      </c>
      <c r="H45" s="170"/>
      <c r="I45" s="167"/>
      <c r="J45" s="168"/>
      <c r="K45" s="167"/>
      <c r="L45" s="169" t="str">
        <f t="shared" si="1"/>
        <v/>
      </c>
      <c r="M45" s="170"/>
      <c r="N45" s="167"/>
      <c r="O45" s="168"/>
      <c r="P45" s="167"/>
      <c r="Q45" s="169" t="str">
        <f t="shared" si="2"/>
        <v/>
      </c>
      <c r="R45" s="171"/>
      <c r="S45" s="71" t="str">
        <f t="shared" si="3"/>
        <v/>
      </c>
      <c r="T45" s="71" t="str">
        <f t="shared" si="4"/>
        <v/>
      </c>
      <c r="U45" s="71" t="str">
        <f t="shared" si="5"/>
        <v/>
      </c>
    </row>
    <row r="46" spans="1:21" ht="15" customHeight="1" x14ac:dyDescent="0.35">
      <c r="A46" s="165"/>
      <c r="B46" s="166"/>
      <c r="C46" s="167"/>
      <c r="D46" s="167"/>
      <c r="E46" s="168"/>
      <c r="F46" s="167"/>
      <c r="G46" s="169" t="str">
        <f t="shared" si="0"/>
        <v/>
      </c>
      <c r="H46" s="170"/>
      <c r="I46" s="167"/>
      <c r="J46" s="168"/>
      <c r="K46" s="167"/>
      <c r="L46" s="169" t="str">
        <f t="shared" si="1"/>
        <v/>
      </c>
      <c r="M46" s="170"/>
      <c r="N46" s="167"/>
      <c r="O46" s="168"/>
      <c r="P46" s="167"/>
      <c r="Q46" s="169" t="str">
        <f t="shared" si="2"/>
        <v/>
      </c>
      <c r="R46" s="171"/>
      <c r="S46" s="71" t="str">
        <f t="shared" si="3"/>
        <v/>
      </c>
      <c r="T46" s="71" t="str">
        <f t="shared" si="4"/>
        <v/>
      </c>
      <c r="U46" s="71" t="str">
        <f t="shared" si="5"/>
        <v/>
      </c>
    </row>
    <row r="47" spans="1:21" ht="15" customHeight="1" x14ac:dyDescent="0.35">
      <c r="A47" s="165"/>
      <c r="B47" s="166"/>
      <c r="C47" s="167"/>
      <c r="D47" s="167"/>
      <c r="E47" s="168"/>
      <c r="F47" s="167"/>
      <c r="G47" s="169" t="str">
        <f t="shared" si="0"/>
        <v/>
      </c>
      <c r="H47" s="170"/>
      <c r="I47" s="167"/>
      <c r="J47" s="168"/>
      <c r="K47" s="167"/>
      <c r="L47" s="169" t="str">
        <f t="shared" si="1"/>
        <v/>
      </c>
      <c r="M47" s="170"/>
      <c r="N47" s="167"/>
      <c r="O47" s="168"/>
      <c r="P47" s="167"/>
      <c r="Q47" s="169" t="str">
        <f t="shared" si="2"/>
        <v/>
      </c>
      <c r="R47" s="171"/>
      <c r="S47" s="71" t="str">
        <f t="shared" si="3"/>
        <v/>
      </c>
      <c r="T47" s="71" t="str">
        <f t="shared" si="4"/>
        <v/>
      </c>
      <c r="U47" s="71" t="str">
        <f t="shared" si="5"/>
        <v/>
      </c>
    </row>
    <row r="48" spans="1:21" ht="15" customHeight="1" x14ac:dyDescent="0.35">
      <c r="A48" s="165"/>
      <c r="B48" s="166"/>
      <c r="C48" s="167"/>
      <c r="D48" s="167"/>
      <c r="E48" s="168"/>
      <c r="F48" s="167"/>
      <c r="G48" s="169" t="str">
        <f t="shared" si="0"/>
        <v/>
      </c>
      <c r="H48" s="170"/>
      <c r="I48" s="167"/>
      <c r="J48" s="168"/>
      <c r="K48" s="167"/>
      <c r="L48" s="169" t="str">
        <f t="shared" si="1"/>
        <v/>
      </c>
      <c r="M48" s="170"/>
      <c r="N48" s="167"/>
      <c r="O48" s="168"/>
      <c r="P48" s="167"/>
      <c r="Q48" s="169" t="str">
        <f t="shared" si="2"/>
        <v/>
      </c>
      <c r="R48" s="171"/>
      <c r="S48" s="71" t="str">
        <f t="shared" si="3"/>
        <v/>
      </c>
      <c r="T48" s="71" t="str">
        <f t="shared" si="4"/>
        <v/>
      </c>
      <c r="U48" s="71" t="str">
        <f t="shared" si="5"/>
        <v/>
      </c>
    </row>
    <row r="49" spans="1:21" ht="15" customHeight="1" x14ac:dyDescent="0.35">
      <c r="A49" s="165"/>
      <c r="B49" s="166"/>
      <c r="C49" s="167"/>
      <c r="D49" s="167"/>
      <c r="E49" s="168"/>
      <c r="F49" s="167"/>
      <c r="G49" s="169" t="str">
        <f t="shared" si="0"/>
        <v/>
      </c>
      <c r="H49" s="170"/>
      <c r="I49" s="167"/>
      <c r="J49" s="168"/>
      <c r="K49" s="167"/>
      <c r="L49" s="169" t="str">
        <f t="shared" si="1"/>
        <v/>
      </c>
      <c r="M49" s="170"/>
      <c r="N49" s="167"/>
      <c r="O49" s="168"/>
      <c r="P49" s="167"/>
      <c r="Q49" s="169" t="str">
        <f t="shared" si="2"/>
        <v/>
      </c>
      <c r="R49" s="171"/>
      <c r="S49" s="71" t="str">
        <f t="shared" si="3"/>
        <v/>
      </c>
      <c r="T49" s="71" t="str">
        <f t="shared" si="4"/>
        <v/>
      </c>
      <c r="U49" s="71" t="str">
        <f t="shared" si="5"/>
        <v/>
      </c>
    </row>
    <row r="50" spans="1:21" ht="15" customHeight="1" x14ac:dyDescent="0.35">
      <c r="A50" s="165"/>
      <c r="B50" s="166"/>
      <c r="C50" s="167"/>
      <c r="D50" s="167"/>
      <c r="E50" s="168"/>
      <c r="F50" s="167"/>
      <c r="G50" s="169" t="str">
        <f t="shared" si="0"/>
        <v/>
      </c>
      <c r="H50" s="170"/>
      <c r="I50" s="167"/>
      <c r="J50" s="168"/>
      <c r="K50" s="167"/>
      <c r="L50" s="169" t="str">
        <f t="shared" si="1"/>
        <v/>
      </c>
      <c r="M50" s="170"/>
      <c r="N50" s="167"/>
      <c r="O50" s="168"/>
      <c r="P50" s="167"/>
      <c r="Q50" s="169" t="str">
        <f t="shared" si="2"/>
        <v/>
      </c>
      <c r="R50" s="171"/>
      <c r="S50" s="71" t="str">
        <f t="shared" si="3"/>
        <v/>
      </c>
      <c r="T50" s="71" t="str">
        <f t="shared" si="4"/>
        <v/>
      </c>
      <c r="U50" s="71" t="str">
        <f t="shared" si="5"/>
        <v/>
      </c>
    </row>
  </sheetData>
  <mergeCells count="4">
    <mergeCell ref="D2:H2"/>
    <mergeCell ref="I2:M2"/>
    <mergeCell ref="N2:R2"/>
    <mergeCell ref="S2:U2"/>
  </mergeCells>
  <conditionalFormatting sqref="S4:T50">
    <cfRule type="cellIs" dxfId="81" priority="2" operator="equal">
      <formula>"PASS"</formula>
    </cfRule>
    <cfRule type="cellIs" dxfId="80" priority="3" operator="equal">
      <formula>"FAIL"</formula>
    </cfRule>
  </conditionalFormatting>
  <conditionalFormatting sqref="U4:U50">
    <cfRule type="cellIs" dxfId="79" priority="4" operator="equal">
      <formula>"OK"</formula>
    </cfRule>
    <cfRule type="cellIs" dxfId="78" priority="5" operator="equal">
      <formula>"CHECK TAGS"</formula>
    </cfRule>
  </conditionalFormatting>
  <dataValidations count="1">
    <dataValidation type="list" allowBlank="1" sqref="H4:H23 M4:M23 R4:R23" xr:uid="{00000000-0002-0000-0D00-000000000000}">
      <formula1>"Likely,Possible,Unlikely"</formula1>
      <formula2>0</formula2>
    </dataValidation>
  </dataValidation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23"/>
  <sheetViews>
    <sheetView showGridLines="0" zoomScaleNormal="100" workbookViewId="0">
      <pane xSplit="4" ySplit="3" topLeftCell="E4" activePane="bottomRight" state="frozen"/>
      <selection pane="topRight" activeCell="E1" sqref="E1"/>
      <selection pane="bottomLeft" activeCell="A4" sqref="A4"/>
      <selection pane="bottomRight" activeCell="E15" sqref="E15"/>
    </sheetView>
  </sheetViews>
  <sheetFormatPr defaultColWidth="8.6328125" defaultRowHeight="14.5" x14ac:dyDescent="0.35"/>
  <cols>
    <col min="1" max="1" width="8" customWidth="1"/>
    <col min="2" max="2" width="14" customWidth="1"/>
    <col min="3" max="25" width="9" customWidth="1"/>
    <col min="26" max="26" width="8" customWidth="1"/>
    <col min="27" max="27" width="9" customWidth="1"/>
    <col min="28" max="28" width="20" customWidth="1"/>
  </cols>
  <sheetData>
    <row r="1" spans="1:28" ht="30" customHeight="1" x14ac:dyDescent="0.35">
      <c r="A1" s="230" t="s">
        <v>504</v>
      </c>
      <c r="B1" s="230"/>
      <c r="C1" s="230"/>
      <c r="D1" s="230"/>
      <c r="E1" s="230"/>
      <c r="F1" s="230"/>
      <c r="G1" s="230"/>
      <c r="H1" s="230"/>
      <c r="I1" s="230"/>
      <c r="J1" s="230"/>
      <c r="K1" s="230"/>
      <c r="L1" s="230"/>
      <c r="M1" s="230"/>
      <c r="N1" s="230"/>
      <c r="O1" s="230"/>
      <c r="P1" s="230"/>
      <c r="Q1" s="230"/>
      <c r="R1" s="230"/>
      <c r="S1" s="230"/>
      <c r="T1" s="230"/>
      <c r="U1" s="55"/>
      <c r="V1" s="55"/>
    </row>
    <row r="2" spans="1:28" ht="25.5" customHeight="1" x14ac:dyDescent="0.35">
      <c r="E2" s="220" t="s">
        <v>505</v>
      </c>
      <c r="F2" s="220"/>
      <c r="G2" s="220"/>
      <c r="H2" s="220"/>
      <c r="I2" s="220"/>
      <c r="J2" s="220"/>
      <c r="K2" s="220"/>
      <c r="L2" s="220"/>
      <c r="M2" s="220"/>
      <c r="N2" s="220"/>
      <c r="O2" s="220"/>
      <c r="P2" s="220"/>
      <c r="Q2" s="220"/>
      <c r="R2" s="220"/>
      <c r="S2" s="220"/>
      <c r="T2" s="231" t="s">
        <v>506</v>
      </c>
      <c r="U2" s="231"/>
      <c r="V2" s="231"/>
      <c r="W2" s="231"/>
      <c r="X2" s="231"/>
      <c r="Y2" s="231"/>
      <c r="Z2" s="231"/>
    </row>
    <row r="3" spans="1:28" ht="54" customHeight="1" x14ac:dyDescent="0.35">
      <c r="A3" s="111" t="s">
        <v>82</v>
      </c>
      <c r="B3" s="111" t="s">
        <v>288</v>
      </c>
      <c r="C3" s="111" t="s">
        <v>507</v>
      </c>
      <c r="D3" s="111" t="s">
        <v>508</v>
      </c>
      <c r="E3" s="111" t="s">
        <v>509</v>
      </c>
      <c r="F3" s="111" t="s">
        <v>510</v>
      </c>
      <c r="G3" s="111" t="s">
        <v>511</v>
      </c>
      <c r="H3" s="111" t="s">
        <v>512</v>
      </c>
      <c r="I3" s="111" t="s">
        <v>513</v>
      </c>
      <c r="J3" s="111" t="s">
        <v>511</v>
      </c>
      <c r="K3" s="111" t="s">
        <v>514</v>
      </c>
      <c r="L3" s="111" t="s">
        <v>515</v>
      </c>
      <c r="M3" s="111" t="s">
        <v>511</v>
      </c>
      <c r="N3" s="111" t="s">
        <v>516</v>
      </c>
      <c r="O3" s="111" t="s">
        <v>517</v>
      </c>
      <c r="P3" s="111" t="s">
        <v>511</v>
      </c>
      <c r="Q3" s="111" t="s">
        <v>518</v>
      </c>
      <c r="R3" s="111" t="s">
        <v>519</v>
      </c>
      <c r="S3" s="111" t="s">
        <v>511</v>
      </c>
      <c r="T3" s="111" t="s">
        <v>520</v>
      </c>
      <c r="U3" s="111" t="s">
        <v>521</v>
      </c>
      <c r="V3" s="111" t="s">
        <v>522</v>
      </c>
      <c r="W3" s="111" t="s">
        <v>523</v>
      </c>
      <c r="X3" s="111" t="s">
        <v>524</v>
      </c>
      <c r="Y3" s="111" t="s">
        <v>525</v>
      </c>
      <c r="Z3" s="111" t="s">
        <v>526</v>
      </c>
      <c r="AA3" s="111" t="s">
        <v>527</v>
      </c>
      <c r="AB3" s="111" t="s">
        <v>482</v>
      </c>
    </row>
    <row r="4" spans="1:28" ht="15" customHeight="1" x14ac:dyDescent="0.35">
      <c r="A4" s="172"/>
      <c r="B4" s="119"/>
      <c r="C4" s="173"/>
      <c r="D4" s="173"/>
      <c r="E4" s="119"/>
      <c r="F4" s="119"/>
      <c r="G4" s="174" t="str">
        <f t="shared" ref="G4:G23" si="0">IF(OR(E4="",F4=""),"",IF(AND(E4&lt;=2,F4&lt;=2),"TRIGGER","OK"))</f>
        <v/>
      </c>
      <c r="H4" s="119"/>
      <c r="I4" s="119"/>
      <c r="J4" s="174" t="str">
        <f t="shared" ref="J4:J23" si="1">IF(OR(H4="",I4=""),"",IF(AND(H4&lt;=2,I4&lt;=2),"TRIGGER","OK"))</f>
        <v/>
      </c>
      <c r="K4" s="119"/>
      <c r="L4" s="119"/>
      <c r="M4" s="174" t="str">
        <f t="shared" ref="M4:M23" si="2">IF(OR(K4="",L4=""),"",IF(AND(K4&lt;=2,L4&lt;=2),"TRIGGER","OK"))</f>
        <v/>
      </c>
      <c r="N4" s="119"/>
      <c r="O4" s="119"/>
      <c r="P4" s="174" t="str">
        <f t="shared" ref="P4:P23" si="3">IF(OR(N4="",O4=""),"",IF(AND(N4&lt;=2,O4&lt;=2),"TRIGGER","OK"))</f>
        <v/>
      </c>
      <c r="Q4" s="119"/>
      <c r="R4" s="119"/>
      <c r="S4" s="174" t="str">
        <f t="shared" ref="S4:S23" si="4">IF(OR(Q4="",R4=""),"",IF(AND(Q4&lt;=2,R4&lt;=2),"TRIGGER","OK"))</f>
        <v/>
      </c>
      <c r="T4" s="175"/>
      <c r="U4" s="175"/>
      <c r="V4" s="173"/>
      <c r="W4" s="173"/>
      <c r="X4" s="119"/>
      <c r="Y4" s="119"/>
      <c r="Z4" s="174" t="str">
        <f t="shared" ref="Z4:Z23" si="5">IF(TRIM(IF(AND(T4&lt;&gt;"",T4&gt;6),"Debt/FCF&gt;6x; ","")&amp;IF(AND(U4&lt;&gt;"",V4&lt;&gt;"",U4&gt;50,V4&lt;0.15),"P/FCF&gt;50x+low growth; ","")&amp;IF(AND(W4&lt;&gt;"",W4&lt;0.07),"Implied return&lt;7%; ","")&amp;IF(AND(C4&lt;&gt;"",D4&lt;&gt;"",C4&gt;D4),"Position&gt;max; ","")&amp;IF(AND(X4&lt;&gt;"",Y4&lt;&gt;"",X4&lt;&gt;Y4,OR(Y4="Strong Buy",Y4="Buy")),"Tier downgraded; ",""))="","OK",TRIM(IF(AND(T4&lt;&gt;"",T4&gt;6),"Debt/FCF&gt;6x; ","")&amp;IF(AND(U4&lt;&gt;"",V4&lt;&gt;"",U4&gt;50,V4&lt;0.15),"P/FCF&gt;50x+low growth; ","")&amp;IF(AND(W4&lt;&gt;"",W4&lt;0.07),"Implied return&lt;7%; ","")&amp;IF(AND(C4&lt;&gt;"",D4&lt;&gt;"",C4&gt;D4),"Position&gt;max; ","")&amp;IF(AND(X4&lt;&gt;"",Y4&lt;&gt;"",X4&lt;&gt;Y4,OR(Y4="Strong Buy",Y4="Buy")),"Tier downgraded; ","")))</f>
        <v>OK</v>
      </c>
      <c r="AA4" s="119"/>
      <c r="AB4" s="124" t="str">
        <f t="shared" ref="AB4:AB23" si="6">IF(COUNTA(G4,J4,M4,P4,S4)=0,"",IF(AA4="Y","Hold Through applies — monitor only",IF(OR((COUNTIF(G4,"TRIGGER")+COUNTIF(J4,"TRIGGER")+COUNTIF(M4,"TRIGGER")+COUNTIF(P4,"TRIGGER")+COUNTIF(S4,"TRIGGER"))&gt;0,Z4&lt;&gt;"OK"),"ACTION REQUIRED WITHIN 30 DAYS","OK — no active trigger")))</f>
        <v>OK — no active trigger</v>
      </c>
    </row>
    <row r="5" spans="1:28" ht="15" customHeight="1" x14ac:dyDescent="0.35">
      <c r="A5" s="172"/>
      <c r="B5" s="119"/>
      <c r="C5" s="173"/>
      <c r="D5" s="173"/>
      <c r="E5" s="119"/>
      <c r="F5" s="119"/>
      <c r="G5" s="174" t="str">
        <f t="shared" si="0"/>
        <v/>
      </c>
      <c r="H5" s="119"/>
      <c r="I5" s="119"/>
      <c r="J5" s="174" t="str">
        <f t="shared" si="1"/>
        <v/>
      </c>
      <c r="K5" s="119"/>
      <c r="L5" s="119"/>
      <c r="M5" s="174" t="str">
        <f t="shared" si="2"/>
        <v/>
      </c>
      <c r="N5" s="119"/>
      <c r="O5" s="119"/>
      <c r="P5" s="174" t="str">
        <f t="shared" si="3"/>
        <v/>
      </c>
      <c r="Q5" s="119"/>
      <c r="R5" s="119"/>
      <c r="S5" s="174" t="str">
        <f t="shared" si="4"/>
        <v/>
      </c>
      <c r="T5" s="175"/>
      <c r="U5" s="175"/>
      <c r="V5" s="173"/>
      <c r="W5" s="173"/>
      <c r="X5" s="119"/>
      <c r="Y5" s="119"/>
      <c r="Z5" s="174" t="str">
        <f t="shared" si="5"/>
        <v>OK</v>
      </c>
      <c r="AA5" s="119"/>
      <c r="AB5" s="124" t="str">
        <f t="shared" si="6"/>
        <v>OK — no active trigger</v>
      </c>
    </row>
    <row r="6" spans="1:28" ht="15" customHeight="1" x14ac:dyDescent="0.35">
      <c r="A6" s="172"/>
      <c r="B6" s="119"/>
      <c r="C6" s="173"/>
      <c r="D6" s="173"/>
      <c r="E6" s="119"/>
      <c r="F6" s="119"/>
      <c r="G6" s="174" t="str">
        <f t="shared" si="0"/>
        <v/>
      </c>
      <c r="H6" s="119"/>
      <c r="I6" s="119"/>
      <c r="J6" s="174" t="str">
        <f t="shared" si="1"/>
        <v/>
      </c>
      <c r="K6" s="119"/>
      <c r="L6" s="119"/>
      <c r="M6" s="174" t="str">
        <f t="shared" si="2"/>
        <v/>
      </c>
      <c r="N6" s="119"/>
      <c r="O6" s="119"/>
      <c r="P6" s="174" t="str">
        <f t="shared" si="3"/>
        <v/>
      </c>
      <c r="Q6" s="119"/>
      <c r="R6" s="119"/>
      <c r="S6" s="174" t="str">
        <f t="shared" si="4"/>
        <v/>
      </c>
      <c r="T6" s="175"/>
      <c r="U6" s="175"/>
      <c r="V6" s="173"/>
      <c r="W6" s="173"/>
      <c r="X6" s="119"/>
      <c r="Y6" s="119"/>
      <c r="Z6" s="174" t="str">
        <f t="shared" si="5"/>
        <v>OK</v>
      </c>
      <c r="AA6" s="119"/>
      <c r="AB6" s="124" t="str">
        <f t="shared" si="6"/>
        <v>OK — no active trigger</v>
      </c>
    </row>
    <row r="7" spans="1:28" ht="15" customHeight="1" x14ac:dyDescent="0.35">
      <c r="A7" s="172"/>
      <c r="B7" s="119"/>
      <c r="C7" s="173"/>
      <c r="D7" s="173"/>
      <c r="E7" s="119"/>
      <c r="F7" s="119"/>
      <c r="G7" s="174" t="str">
        <f t="shared" si="0"/>
        <v/>
      </c>
      <c r="H7" s="119"/>
      <c r="I7" s="119"/>
      <c r="J7" s="174" t="str">
        <f t="shared" si="1"/>
        <v/>
      </c>
      <c r="K7" s="119"/>
      <c r="L7" s="119"/>
      <c r="M7" s="174" t="str">
        <f t="shared" si="2"/>
        <v/>
      </c>
      <c r="N7" s="119"/>
      <c r="O7" s="119"/>
      <c r="P7" s="174" t="str">
        <f t="shared" si="3"/>
        <v/>
      </c>
      <c r="Q7" s="119"/>
      <c r="R7" s="119"/>
      <c r="S7" s="174" t="str">
        <f t="shared" si="4"/>
        <v/>
      </c>
      <c r="T7" s="175"/>
      <c r="U7" s="175"/>
      <c r="V7" s="173"/>
      <c r="W7" s="173"/>
      <c r="X7" s="119"/>
      <c r="Y7" s="119"/>
      <c r="Z7" s="174" t="str">
        <f t="shared" si="5"/>
        <v>OK</v>
      </c>
      <c r="AA7" s="119"/>
      <c r="AB7" s="124" t="str">
        <f t="shared" si="6"/>
        <v>OK — no active trigger</v>
      </c>
    </row>
    <row r="8" spans="1:28" ht="15" customHeight="1" x14ac:dyDescent="0.35">
      <c r="A8" s="172"/>
      <c r="B8" s="119"/>
      <c r="C8" s="173"/>
      <c r="D8" s="173"/>
      <c r="E8" s="119"/>
      <c r="F8" s="119"/>
      <c r="G8" s="174" t="str">
        <f t="shared" si="0"/>
        <v/>
      </c>
      <c r="H8" s="119"/>
      <c r="I8" s="119"/>
      <c r="J8" s="174" t="str">
        <f t="shared" si="1"/>
        <v/>
      </c>
      <c r="K8" s="119"/>
      <c r="L8" s="119"/>
      <c r="M8" s="174" t="str">
        <f t="shared" si="2"/>
        <v/>
      </c>
      <c r="N8" s="119"/>
      <c r="O8" s="119"/>
      <c r="P8" s="174" t="str">
        <f t="shared" si="3"/>
        <v/>
      </c>
      <c r="Q8" s="119"/>
      <c r="R8" s="119"/>
      <c r="S8" s="174" t="str">
        <f t="shared" si="4"/>
        <v/>
      </c>
      <c r="T8" s="175"/>
      <c r="U8" s="175"/>
      <c r="V8" s="173"/>
      <c r="W8" s="173"/>
      <c r="X8" s="119"/>
      <c r="Y8" s="119"/>
      <c r="Z8" s="174" t="str">
        <f t="shared" si="5"/>
        <v>OK</v>
      </c>
      <c r="AA8" s="119"/>
      <c r="AB8" s="124" t="str">
        <f t="shared" si="6"/>
        <v>OK — no active trigger</v>
      </c>
    </row>
    <row r="9" spans="1:28" ht="15" customHeight="1" x14ac:dyDescent="0.35">
      <c r="A9" s="172"/>
      <c r="B9" s="119"/>
      <c r="C9" s="173"/>
      <c r="D9" s="173"/>
      <c r="E9" s="119"/>
      <c r="F9" s="119"/>
      <c r="G9" s="174" t="str">
        <f t="shared" si="0"/>
        <v/>
      </c>
      <c r="H9" s="119"/>
      <c r="I9" s="119"/>
      <c r="J9" s="174" t="str">
        <f t="shared" si="1"/>
        <v/>
      </c>
      <c r="K9" s="119"/>
      <c r="L9" s="119"/>
      <c r="M9" s="174" t="str">
        <f t="shared" si="2"/>
        <v/>
      </c>
      <c r="N9" s="119"/>
      <c r="O9" s="119"/>
      <c r="P9" s="174" t="str">
        <f t="shared" si="3"/>
        <v/>
      </c>
      <c r="Q9" s="119"/>
      <c r="R9" s="119"/>
      <c r="S9" s="174" t="str">
        <f t="shared" si="4"/>
        <v/>
      </c>
      <c r="T9" s="175"/>
      <c r="U9" s="175"/>
      <c r="V9" s="173"/>
      <c r="W9" s="173"/>
      <c r="X9" s="119"/>
      <c r="Y9" s="119"/>
      <c r="Z9" s="174" t="str">
        <f t="shared" si="5"/>
        <v>OK</v>
      </c>
      <c r="AA9" s="119"/>
      <c r="AB9" s="124" t="str">
        <f t="shared" si="6"/>
        <v>OK — no active trigger</v>
      </c>
    </row>
    <row r="10" spans="1:28" ht="15" customHeight="1" x14ac:dyDescent="0.35">
      <c r="A10" s="172"/>
      <c r="B10" s="119"/>
      <c r="C10" s="173"/>
      <c r="D10" s="173"/>
      <c r="E10" s="119"/>
      <c r="F10" s="119"/>
      <c r="G10" s="174" t="str">
        <f t="shared" si="0"/>
        <v/>
      </c>
      <c r="H10" s="119"/>
      <c r="I10" s="119"/>
      <c r="J10" s="174" t="str">
        <f t="shared" si="1"/>
        <v/>
      </c>
      <c r="K10" s="119"/>
      <c r="L10" s="119"/>
      <c r="M10" s="174" t="str">
        <f t="shared" si="2"/>
        <v/>
      </c>
      <c r="N10" s="119"/>
      <c r="O10" s="119"/>
      <c r="P10" s="174" t="str">
        <f t="shared" si="3"/>
        <v/>
      </c>
      <c r="Q10" s="119"/>
      <c r="R10" s="119"/>
      <c r="S10" s="174" t="str">
        <f t="shared" si="4"/>
        <v/>
      </c>
      <c r="T10" s="175"/>
      <c r="U10" s="175"/>
      <c r="V10" s="173"/>
      <c r="W10" s="173"/>
      <c r="X10" s="119"/>
      <c r="Y10" s="119"/>
      <c r="Z10" s="174" t="str">
        <f t="shared" si="5"/>
        <v>OK</v>
      </c>
      <c r="AA10" s="119"/>
      <c r="AB10" s="124" t="str">
        <f t="shared" si="6"/>
        <v>OK — no active trigger</v>
      </c>
    </row>
    <row r="11" spans="1:28" ht="15" customHeight="1" x14ac:dyDescent="0.35">
      <c r="A11" s="172"/>
      <c r="B11" s="119"/>
      <c r="C11" s="173"/>
      <c r="D11" s="173"/>
      <c r="E11" s="119"/>
      <c r="F11" s="119"/>
      <c r="G11" s="174" t="str">
        <f t="shared" si="0"/>
        <v/>
      </c>
      <c r="H11" s="119"/>
      <c r="I11" s="119"/>
      <c r="J11" s="174" t="str">
        <f t="shared" si="1"/>
        <v/>
      </c>
      <c r="K11" s="119"/>
      <c r="L11" s="119"/>
      <c r="M11" s="174" t="str">
        <f t="shared" si="2"/>
        <v/>
      </c>
      <c r="N11" s="119"/>
      <c r="O11" s="119"/>
      <c r="P11" s="174" t="str">
        <f t="shared" si="3"/>
        <v/>
      </c>
      <c r="Q11" s="119"/>
      <c r="R11" s="119"/>
      <c r="S11" s="174" t="str">
        <f t="shared" si="4"/>
        <v/>
      </c>
      <c r="T11" s="175"/>
      <c r="U11" s="175"/>
      <c r="V11" s="173"/>
      <c r="W11" s="173"/>
      <c r="X11" s="119"/>
      <c r="Y11" s="119"/>
      <c r="Z11" s="174" t="str">
        <f t="shared" si="5"/>
        <v>OK</v>
      </c>
      <c r="AA11" s="119"/>
      <c r="AB11" s="124" t="str">
        <f t="shared" si="6"/>
        <v>OK — no active trigger</v>
      </c>
    </row>
    <row r="12" spans="1:28" ht="15" customHeight="1" x14ac:dyDescent="0.35">
      <c r="A12" s="172"/>
      <c r="B12" s="119"/>
      <c r="C12" s="173"/>
      <c r="D12" s="173"/>
      <c r="E12" s="119"/>
      <c r="F12" s="119"/>
      <c r="G12" s="174" t="str">
        <f t="shared" si="0"/>
        <v/>
      </c>
      <c r="H12" s="119"/>
      <c r="I12" s="119"/>
      <c r="J12" s="174" t="str">
        <f t="shared" si="1"/>
        <v/>
      </c>
      <c r="K12" s="119"/>
      <c r="L12" s="119"/>
      <c r="M12" s="174" t="str">
        <f t="shared" si="2"/>
        <v/>
      </c>
      <c r="N12" s="119"/>
      <c r="O12" s="119"/>
      <c r="P12" s="174" t="str">
        <f t="shared" si="3"/>
        <v/>
      </c>
      <c r="Q12" s="119"/>
      <c r="R12" s="119"/>
      <c r="S12" s="174" t="str">
        <f t="shared" si="4"/>
        <v/>
      </c>
      <c r="T12" s="175"/>
      <c r="U12" s="175"/>
      <c r="V12" s="173"/>
      <c r="W12" s="173"/>
      <c r="X12" s="119"/>
      <c r="Y12" s="119"/>
      <c r="Z12" s="174" t="str">
        <f t="shared" si="5"/>
        <v>OK</v>
      </c>
      <c r="AA12" s="119"/>
      <c r="AB12" s="124" t="str">
        <f t="shared" si="6"/>
        <v>OK — no active trigger</v>
      </c>
    </row>
    <row r="13" spans="1:28" ht="15" customHeight="1" x14ac:dyDescent="0.35">
      <c r="A13" s="172"/>
      <c r="B13" s="119"/>
      <c r="C13" s="173"/>
      <c r="D13" s="173"/>
      <c r="E13" s="119"/>
      <c r="F13" s="119"/>
      <c r="G13" s="174" t="str">
        <f t="shared" si="0"/>
        <v/>
      </c>
      <c r="H13" s="119"/>
      <c r="I13" s="119"/>
      <c r="J13" s="174" t="str">
        <f t="shared" si="1"/>
        <v/>
      </c>
      <c r="K13" s="119"/>
      <c r="L13" s="119"/>
      <c r="M13" s="174" t="str">
        <f t="shared" si="2"/>
        <v/>
      </c>
      <c r="N13" s="119"/>
      <c r="O13" s="119"/>
      <c r="P13" s="174" t="str">
        <f t="shared" si="3"/>
        <v/>
      </c>
      <c r="Q13" s="119"/>
      <c r="R13" s="119"/>
      <c r="S13" s="174" t="str">
        <f t="shared" si="4"/>
        <v/>
      </c>
      <c r="T13" s="175"/>
      <c r="U13" s="175"/>
      <c r="V13" s="173"/>
      <c r="W13" s="173"/>
      <c r="X13" s="119"/>
      <c r="Y13" s="119"/>
      <c r="Z13" s="174" t="str">
        <f t="shared" si="5"/>
        <v>OK</v>
      </c>
      <c r="AA13" s="119"/>
      <c r="AB13" s="124" t="str">
        <f t="shared" si="6"/>
        <v>OK — no active trigger</v>
      </c>
    </row>
    <row r="14" spans="1:28" ht="15" customHeight="1" x14ac:dyDescent="0.35">
      <c r="A14" s="172"/>
      <c r="B14" s="119"/>
      <c r="C14" s="173"/>
      <c r="D14" s="173"/>
      <c r="E14" s="119"/>
      <c r="F14" s="119"/>
      <c r="G14" s="174" t="str">
        <f t="shared" si="0"/>
        <v/>
      </c>
      <c r="H14" s="119"/>
      <c r="I14" s="119"/>
      <c r="J14" s="174" t="str">
        <f t="shared" si="1"/>
        <v/>
      </c>
      <c r="K14" s="119"/>
      <c r="L14" s="119"/>
      <c r="M14" s="174" t="str">
        <f t="shared" si="2"/>
        <v/>
      </c>
      <c r="N14" s="119"/>
      <c r="O14" s="119"/>
      <c r="P14" s="174" t="str">
        <f t="shared" si="3"/>
        <v/>
      </c>
      <c r="Q14" s="119"/>
      <c r="R14" s="119"/>
      <c r="S14" s="174" t="str">
        <f t="shared" si="4"/>
        <v/>
      </c>
      <c r="T14" s="175"/>
      <c r="U14" s="175"/>
      <c r="V14" s="173"/>
      <c r="W14" s="173"/>
      <c r="X14" s="119"/>
      <c r="Y14" s="119"/>
      <c r="Z14" s="174" t="str">
        <f t="shared" si="5"/>
        <v>OK</v>
      </c>
      <c r="AA14" s="119"/>
      <c r="AB14" s="124" t="str">
        <f t="shared" si="6"/>
        <v>OK — no active trigger</v>
      </c>
    </row>
    <row r="15" spans="1:28" ht="15" customHeight="1" x14ac:dyDescent="0.35">
      <c r="A15" s="172"/>
      <c r="B15" s="119"/>
      <c r="C15" s="173"/>
      <c r="D15" s="173"/>
      <c r="E15" s="119"/>
      <c r="F15" s="119"/>
      <c r="G15" s="174" t="str">
        <f t="shared" si="0"/>
        <v/>
      </c>
      <c r="H15" s="119"/>
      <c r="I15" s="119"/>
      <c r="J15" s="174" t="str">
        <f t="shared" si="1"/>
        <v/>
      </c>
      <c r="K15" s="119"/>
      <c r="L15" s="119"/>
      <c r="M15" s="174" t="str">
        <f t="shared" si="2"/>
        <v/>
      </c>
      <c r="N15" s="119"/>
      <c r="O15" s="119"/>
      <c r="P15" s="174" t="str">
        <f t="shared" si="3"/>
        <v/>
      </c>
      <c r="Q15" s="119"/>
      <c r="R15" s="119"/>
      <c r="S15" s="174" t="str">
        <f t="shared" si="4"/>
        <v/>
      </c>
      <c r="T15" s="175"/>
      <c r="U15" s="175"/>
      <c r="V15" s="173"/>
      <c r="W15" s="173"/>
      <c r="X15" s="119"/>
      <c r="Y15" s="119"/>
      <c r="Z15" s="174" t="str">
        <f t="shared" si="5"/>
        <v>OK</v>
      </c>
      <c r="AA15" s="119"/>
      <c r="AB15" s="124" t="str">
        <f t="shared" si="6"/>
        <v>OK — no active trigger</v>
      </c>
    </row>
    <row r="16" spans="1:28" ht="15" customHeight="1" x14ac:dyDescent="0.35">
      <c r="A16" s="172"/>
      <c r="B16" s="119"/>
      <c r="C16" s="173"/>
      <c r="D16" s="173"/>
      <c r="E16" s="119"/>
      <c r="F16" s="119"/>
      <c r="G16" s="174" t="str">
        <f t="shared" si="0"/>
        <v/>
      </c>
      <c r="H16" s="119"/>
      <c r="I16" s="119"/>
      <c r="J16" s="174" t="str">
        <f t="shared" si="1"/>
        <v/>
      </c>
      <c r="K16" s="119"/>
      <c r="L16" s="119"/>
      <c r="M16" s="174" t="str">
        <f t="shared" si="2"/>
        <v/>
      </c>
      <c r="N16" s="119"/>
      <c r="O16" s="119"/>
      <c r="P16" s="174" t="str">
        <f t="shared" si="3"/>
        <v/>
      </c>
      <c r="Q16" s="119"/>
      <c r="R16" s="119"/>
      <c r="S16" s="174" t="str">
        <f t="shared" si="4"/>
        <v/>
      </c>
      <c r="T16" s="175"/>
      <c r="U16" s="175"/>
      <c r="V16" s="173"/>
      <c r="W16" s="173"/>
      <c r="X16" s="119"/>
      <c r="Y16" s="119"/>
      <c r="Z16" s="174" t="str">
        <f t="shared" si="5"/>
        <v>OK</v>
      </c>
      <c r="AA16" s="119"/>
      <c r="AB16" s="124" t="str">
        <f t="shared" si="6"/>
        <v>OK — no active trigger</v>
      </c>
    </row>
    <row r="17" spans="1:28" ht="15" customHeight="1" x14ac:dyDescent="0.35">
      <c r="A17" s="172"/>
      <c r="B17" s="119"/>
      <c r="C17" s="173"/>
      <c r="D17" s="173"/>
      <c r="E17" s="119"/>
      <c r="F17" s="119"/>
      <c r="G17" s="174" t="str">
        <f t="shared" si="0"/>
        <v/>
      </c>
      <c r="H17" s="119"/>
      <c r="I17" s="119"/>
      <c r="J17" s="174" t="str">
        <f t="shared" si="1"/>
        <v/>
      </c>
      <c r="K17" s="119"/>
      <c r="L17" s="119"/>
      <c r="M17" s="174" t="str">
        <f t="shared" si="2"/>
        <v/>
      </c>
      <c r="N17" s="119"/>
      <c r="O17" s="119"/>
      <c r="P17" s="174" t="str">
        <f t="shared" si="3"/>
        <v/>
      </c>
      <c r="Q17" s="119"/>
      <c r="R17" s="119"/>
      <c r="S17" s="174" t="str">
        <f t="shared" si="4"/>
        <v/>
      </c>
      <c r="T17" s="175"/>
      <c r="U17" s="175"/>
      <c r="V17" s="173"/>
      <c r="W17" s="173"/>
      <c r="X17" s="119"/>
      <c r="Y17" s="119"/>
      <c r="Z17" s="174" t="str">
        <f t="shared" si="5"/>
        <v>OK</v>
      </c>
      <c r="AA17" s="119"/>
      <c r="AB17" s="124" t="str">
        <f t="shared" si="6"/>
        <v>OK — no active trigger</v>
      </c>
    </row>
    <row r="18" spans="1:28" ht="15" customHeight="1" x14ac:dyDescent="0.35">
      <c r="A18" s="172"/>
      <c r="B18" s="119"/>
      <c r="C18" s="173"/>
      <c r="D18" s="173"/>
      <c r="E18" s="119"/>
      <c r="F18" s="119"/>
      <c r="G18" s="174" t="str">
        <f t="shared" si="0"/>
        <v/>
      </c>
      <c r="H18" s="119"/>
      <c r="I18" s="119"/>
      <c r="J18" s="174" t="str">
        <f t="shared" si="1"/>
        <v/>
      </c>
      <c r="K18" s="119"/>
      <c r="L18" s="119"/>
      <c r="M18" s="174" t="str">
        <f t="shared" si="2"/>
        <v/>
      </c>
      <c r="N18" s="119"/>
      <c r="O18" s="119"/>
      <c r="P18" s="174" t="str">
        <f t="shared" si="3"/>
        <v/>
      </c>
      <c r="Q18" s="119"/>
      <c r="R18" s="119"/>
      <c r="S18" s="174" t="str">
        <f t="shared" si="4"/>
        <v/>
      </c>
      <c r="T18" s="175"/>
      <c r="U18" s="175"/>
      <c r="V18" s="173"/>
      <c r="W18" s="173"/>
      <c r="X18" s="119"/>
      <c r="Y18" s="119"/>
      <c r="Z18" s="174" t="str">
        <f t="shared" si="5"/>
        <v>OK</v>
      </c>
      <c r="AA18" s="119"/>
      <c r="AB18" s="124" t="str">
        <f t="shared" si="6"/>
        <v>OK — no active trigger</v>
      </c>
    </row>
    <row r="19" spans="1:28" ht="15" customHeight="1" x14ac:dyDescent="0.35">
      <c r="A19" s="172"/>
      <c r="B19" s="119"/>
      <c r="C19" s="173"/>
      <c r="D19" s="173"/>
      <c r="E19" s="119"/>
      <c r="F19" s="119"/>
      <c r="G19" s="174" t="str">
        <f t="shared" si="0"/>
        <v/>
      </c>
      <c r="H19" s="119"/>
      <c r="I19" s="119"/>
      <c r="J19" s="174" t="str">
        <f t="shared" si="1"/>
        <v/>
      </c>
      <c r="K19" s="119"/>
      <c r="L19" s="119"/>
      <c r="M19" s="174" t="str">
        <f t="shared" si="2"/>
        <v/>
      </c>
      <c r="N19" s="119"/>
      <c r="O19" s="119"/>
      <c r="P19" s="174" t="str">
        <f t="shared" si="3"/>
        <v/>
      </c>
      <c r="Q19" s="119"/>
      <c r="R19" s="119"/>
      <c r="S19" s="174" t="str">
        <f t="shared" si="4"/>
        <v/>
      </c>
      <c r="T19" s="175"/>
      <c r="U19" s="175"/>
      <c r="V19" s="173"/>
      <c r="W19" s="173"/>
      <c r="X19" s="119"/>
      <c r="Y19" s="119"/>
      <c r="Z19" s="174" t="str">
        <f t="shared" si="5"/>
        <v>OK</v>
      </c>
      <c r="AA19" s="119"/>
      <c r="AB19" s="124" t="str">
        <f t="shared" si="6"/>
        <v>OK — no active trigger</v>
      </c>
    </row>
    <row r="20" spans="1:28" ht="15" customHeight="1" x14ac:dyDescent="0.35">
      <c r="A20" s="172"/>
      <c r="B20" s="119"/>
      <c r="C20" s="173"/>
      <c r="D20" s="173"/>
      <c r="E20" s="119"/>
      <c r="F20" s="119"/>
      <c r="G20" s="174" t="str">
        <f t="shared" si="0"/>
        <v/>
      </c>
      <c r="H20" s="119"/>
      <c r="I20" s="119"/>
      <c r="J20" s="174" t="str">
        <f t="shared" si="1"/>
        <v/>
      </c>
      <c r="K20" s="119"/>
      <c r="L20" s="119"/>
      <c r="M20" s="174" t="str">
        <f t="shared" si="2"/>
        <v/>
      </c>
      <c r="N20" s="119"/>
      <c r="O20" s="119"/>
      <c r="P20" s="174" t="str">
        <f t="shared" si="3"/>
        <v/>
      </c>
      <c r="Q20" s="119"/>
      <c r="R20" s="119"/>
      <c r="S20" s="174" t="str">
        <f t="shared" si="4"/>
        <v/>
      </c>
      <c r="T20" s="175"/>
      <c r="U20" s="175"/>
      <c r="V20" s="173"/>
      <c r="W20" s="173"/>
      <c r="X20" s="119"/>
      <c r="Y20" s="119"/>
      <c r="Z20" s="174" t="str">
        <f t="shared" si="5"/>
        <v>OK</v>
      </c>
      <c r="AA20" s="119"/>
      <c r="AB20" s="124" t="str">
        <f t="shared" si="6"/>
        <v>OK — no active trigger</v>
      </c>
    </row>
    <row r="21" spans="1:28" ht="15" customHeight="1" x14ac:dyDescent="0.35">
      <c r="A21" s="172"/>
      <c r="B21" s="119"/>
      <c r="C21" s="173"/>
      <c r="D21" s="173"/>
      <c r="E21" s="119"/>
      <c r="F21" s="119"/>
      <c r="G21" s="174" t="str">
        <f t="shared" si="0"/>
        <v/>
      </c>
      <c r="H21" s="119"/>
      <c r="I21" s="119"/>
      <c r="J21" s="174" t="str">
        <f t="shared" si="1"/>
        <v/>
      </c>
      <c r="K21" s="119"/>
      <c r="L21" s="119"/>
      <c r="M21" s="174" t="str">
        <f t="shared" si="2"/>
        <v/>
      </c>
      <c r="N21" s="119"/>
      <c r="O21" s="119"/>
      <c r="P21" s="174" t="str">
        <f t="shared" si="3"/>
        <v/>
      </c>
      <c r="Q21" s="119"/>
      <c r="R21" s="119"/>
      <c r="S21" s="174" t="str">
        <f t="shared" si="4"/>
        <v/>
      </c>
      <c r="T21" s="175"/>
      <c r="U21" s="175"/>
      <c r="V21" s="173"/>
      <c r="W21" s="173"/>
      <c r="X21" s="119"/>
      <c r="Y21" s="119"/>
      <c r="Z21" s="174" t="str">
        <f t="shared" si="5"/>
        <v>OK</v>
      </c>
      <c r="AA21" s="119"/>
      <c r="AB21" s="124" t="str">
        <f t="shared" si="6"/>
        <v>OK — no active trigger</v>
      </c>
    </row>
    <row r="22" spans="1:28" ht="15" customHeight="1" x14ac:dyDescent="0.35">
      <c r="A22" s="172"/>
      <c r="B22" s="119"/>
      <c r="C22" s="173"/>
      <c r="D22" s="173"/>
      <c r="E22" s="119"/>
      <c r="F22" s="119"/>
      <c r="G22" s="174" t="str">
        <f t="shared" si="0"/>
        <v/>
      </c>
      <c r="H22" s="119"/>
      <c r="I22" s="119"/>
      <c r="J22" s="174" t="str">
        <f t="shared" si="1"/>
        <v/>
      </c>
      <c r="K22" s="119"/>
      <c r="L22" s="119"/>
      <c r="M22" s="174" t="str">
        <f t="shared" si="2"/>
        <v/>
      </c>
      <c r="N22" s="119"/>
      <c r="O22" s="119"/>
      <c r="P22" s="174" t="str">
        <f t="shared" si="3"/>
        <v/>
      </c>
      <c r="Q22" s="119"/>
      <c r="R22" s="119"/>
      <c r="S22" s="174" t="str">
        <f t="shared" si="4"/>
        <v/>
      </c>
      <c r="T22" s="175"/>
      <c r="U22" s="175"/>
      <c r="V22" s="173"/>
      <c r="W22" s="173"/>
      <c r="X22" s="119"/>
      <c r="Y22" s="119"/>
      <c r="Z22" s="174" t="str">
        <f t="shared" si="5"/>
        <v>OK</v>
      </c>
      <c r="AA22" s="119"/>
      <c r="AB22" s="124" t="str">
        <f t="shared" si="6"/>
        <v>OK — no active trigger</v>
      </c>
    </row>
    <row r="23" spans="1:28" ht="15" customHeight="1" x14ac:dyDescent="0.35">
      <c r="A23" s="172"/>
      <c r="B23" s="119"/>
      <c r="C23" s="173"/>
      <c r="D23" s="173"/>
      <c r="E23" s="119"/>
      <c r="F23" s="119"/>
      <c r="G23" s="174" t="str">
        <f t="shared" si="0"/>
        <v/>
      </c>
      <c r="H23" s="119"/>
      <c r="I23" s="119"/>
      <c r="J23" s="174" t="str">
        <f t="shared" si="1"/>
        <v/>
      </c>
      <c r="K23" s="119"/>
      <c r="L23" s="119"/>
      <c r="M23" s="174" t="str">
        <f t="shared" si="2"/>
        <v/>
      </c>
      <c r="N23" s="119"/>
      <c r="O23" s="119"/>
      <c r="P23" s="174" t="str">
        <f t="shared" si="3"/>
        <v/>
      </c>
      <c r="Q23" s="119"/>
      <c r="R23" s="119"/>
      <c r="S23" s="174" t="str">
        <f t="shared" si="4"/>
        <v/>
      </c>
      <c r="T23" s="175"/>
      <c r="U23" s="175"/>
      <c r="V23" s="173"/>
      <c r="W23" s="173"/>
      <c r="X23" s="119"/>
      <c r="Y23" s="119"/>
      <c r="Z23" s="174" t="str">
        <f t="shared" si="5"/>
        <v>OK</v>
      </c>
      <c r="AA23" s="119"/>
      <c r="AB23" s="124" t="str">
        <f t="shared" si="6"/>
        <v>OK — no active trigger</v>
      </c>
    </row>
  </sheetData>
  <mergeCells count="3">
    <mergeCell ref="A1:T1"/>
    <mergeCell ref="E2:S2"/>
    <mergeCell ref="T2:Z2"/>
  </mergeCells>
  <conditionalFormatting sqref="G4:G23">
    <cfRule type="cellIs" dxfId="77" priority="2" operator="equal">
      <formula>"TRIGGER"</formula>
    </cfRule>
    <cfRule type="cellIs" dxfId="76" priority="3" operator="equal">
      <formula>"OK"</formula>
    </cfRule>
  </conditionalFormatting>
  <conditionalFormatting sqref="J4:J23">
    <cfRule type="cellIs" dxfId="75" priority="4" operator="equal">
      <formula>"TRIGGER"</formula>
    </cfRule>
    <cfRule type="cellIs" dxfId="74" priority="5" operator="equal">
      <formula>"OK"</formula>
    </cfRule>
  </conditionalFormatting>
  <conditionalFormatting sqref="M4:M23">
    <cfRule type="cellIs" dxfId="73" priority="6" operator="equal">
      <formula>"TRIGGER"</formula>
    </cfRule>
    <cfRule type="cellIs" dxfId="72" priority="7" operator="equal">
      <formula>"OK"</formula>
    </cfRule>
  </conditionalFormatting>
  <conditionalFormatting sqref="P4:P23">
    <cfRule type="cellIs" dxfId="71" priority="8" operator="equal">
      <formula>"TRIGGER"</formula>
    </cfRule>
    <cfRule type="cellIs" dxfId="70" priority="9" operator="equal">
      <formula>"OK"</formula>
    </cfRule>
  </conditionalFormatting>
  <conditionalFormatting sqref="S4:S23">
    <cfRule type="cellIs" dxfId="69" priority="10" operator="equal">
      <formula>"TRIGGER"</formula>
    </cfRule>
    <cfRule type="cellIs" dxfId="68" priority="11" operator="equal">
      <formula>"OK"</formula>
    </cfRule>
  </conditionalFormatting>
  <conditionalFormatting sqref="Z4:Z23">
    <cfRule type="expression" dxfId="67" priority="12">
      <formula>Z4&lt;&gt;"OK"</formula>
    </cfRule>
  </conditionalFormatting>
  <conditionalFormatting sqref="AB4:AB23">
    <cfRule type="expression" dxfId="66" priority="13">
      <formula>ISNUMBER(SEARCH("ACTION REQUIRED",AB4))</formula>
    </cfRule>
    <cfRule type="expression" dxfId="65" priority="14">
      <formula>ISNUMBER(SEARCH("OK",AB4))</formula>
    </cfRule>
    <cfRule type="expression" dxfId="64" priority="15">
      <formula>ISNUMBER(SEARCH("Hold Through",AB4))</formula>
    </cfRule>
  </conditionalFormatting>
  <dataValidations count="2">
    <dataValidation type="list" allowBlank="1" sqref="AA4:AA23" xr:uid="{00000000-0002-0000-0E00-000000000000}">
      <formula1>"Y,N"</formula1>
      <formula2>0</formula2>
    </dataValidation>
    <dataValidation type="list" allowBlank="1" sqref="X4:Y23" xr:uid="{00000000-0002-0000-0E00-000001000000}">
      <formula1>"Strong Buy,Buy,Watch List,Avoid,Pass"</formula1>
      <formula2>0</formula2>
    </dataValidation>
  </dataValidation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69"/>
  <sheetViews>
    <sheetView showGridLines="0" zoomScaleNormal="100" workbookViewId="0">
      <pane ySplit="2" topLeftCell="A3" activePane="bottomLeft" state="frozen"/>
      <selection pane="bottomLeft" activeCell="I23" sqref="I23"/>
    </sheetView>
  </sheetViews>
  <sheetFormatPr defaultColWidth="8.6328125" defaultRowHeight="14.5" x14ac:dyDescent="0.35"/>
  <cols>
    <col min="1" max="1" width="6.81640625" customWidth="1"/>
    <col min="2" max="2" width="15" customWidth="1"/>
    <col min="3" max="3" width="9.1796875" customWidth="1"/>
    <col min="4" max="4" width="9" customWidth="1"/>
    <col min="5" max="5" width="8" customWidth="1"/>
    <col min="6" max="6" width="9.6328125" customWidth="1"/>
    <col min="7" max="7" width="9.36328125" customWidth="1"/>
    <col min="8" max="8" width="8.453125" customWidth="1"/>
    <col min="9" max="9" width="8.1796875" customWidth="1"/>
    <col min="10" max="10" width="11" customWidth="1"/>
    <col min="11" max="11" width="9" customWidth="1"/>
    <col min="12" max="12" width="20" customWidth="1"/>
    <col min="13" max="13" width="7.81640625" customWidth="1"/>
    <col min="14" max="14" width="8.453125" customWidth="1"/>
    <col min="15" max="15" width="10" customWidth="1"/>
    <col min="16" max="16" width="9.6328125" customWidth="1"/>
    <col min="18" max="18" width="7.453125" customWidth="1"/>
    <col min="19" max="20" width="9.54296875" customWidth="1"/>
    <col min="21" max="21" width="10.54296875" customWidth="1"/>
    <col min="22" max="24" width="11.453125" customWidth="1"/>
    <col min="25" max="25" width="10.54296875" customWidth="1"/>
    <col min="26" max="27" width="11.453125" customWidth="1"/>
    <col min="28" max="28" width="9" customWidth="1"/>
    <col min="29" max="29" width="11" customWidth="1"/>
  </cols>
  <sheetData>
    <row r="1" spans="1:29" ht="141.75" customHeight="1" x14ac:dyDescent="0.35">
      <c r="A1" s="232" t="s">
        <v>528</v>
      </c>
      <c r="B1" s="232"/>
      <c r="C1" s="232"/>
      <c r="D1" s="232"/>
      <c r="E1" s="232"/>
      <c r="F1" s="232"/>
      <c r="G1" s="232"/>
      <c r="H1" s="232"/>
      <c r="I1" s="232"/>
      <c r="J1" s="232"/>
      <c r="K1" s="232"/>
      <c r="L1" s="232"/>
      <c r="M1" s="232"/>
      <c r="N1" s="232"/>
      <c r="O1" s="232"/>
      <c r="P1" s="232"/>
      <c r="Q1" s="55"/>
    </row>
    <row r="2" spans="1:29" ht="42.75" customHeight="1" x14ac:dyDescent="0.35">
      <c r="A2" s="58" t="s">
        <v>82</v>
      </c>
      <c r="B2" s="58" t="s">
        <v>288</v>
      </c>
      <c r="C2" s="58" t="s">
        <v>529</v>
      </c>
      <c r="D2" s="58" t="s">
        <v>530</v>
      </c>
      <c r="E2" s="58" t="s">
        <v>476</v>
      </c>
      <c r="F2" s="58" t="s">
        <v>531</v>
      </c>
      <c r="G2" s="58" t="s">
        <v>532</v>
      </c>
      <c r="H2" s="58" t="s">
        <v>533</v>
      </c>
      <c r="I2" s="58" t="s">
        <v>534</v>
      </c>
      <c r="J2" s="58" t="s">
        <v>535</v>
      </c>
      <c r="K2" s="58" t="s">
        <v>536</v>
      </c>
      <c r="L2" s="58" t="s">
        <v>537</v>
      </c>
      <c r="M2" s="58" t="s">
        <v>538</v>
      </c>
      <c r="N2" s="58" t="s">
        <v>539</v>
      </c>
      <c r="O2" s="58" t="s">
        <v>540</v>
      </c>
      <c r="P2" s="58" t="s">
        <v>541</v>
      </c>
      <c r="Q2" s="58" t="s">
        <v>542</v>
      </c>
      <c r="R2" s="58" t="s">
        <v>543</v>
      </c>
      <c r="S2" s="58" t="s">
        <v>544</v>
      </c>
      <c r="T2" s="58" t="s">
        <v>545</v>
      </c>
      <c r="U2" s="58" t="s">
        <v>546</v>
      </c>
      <c r="V2" s="58" t="s">
        <v>547</v>
      </c>
      <c r="W2" s="58" t="s">
        <v>548</v>
      </c>
      <c r="X2" s="58" t="s">
        <v>549</v>
      </c>
      <c r="Y2" s="58" t="s">
        <v>550</v>
      </c>
      <c r="Z2" s="58" t="s">
        <v>551</v>
      </c>
      <c r="AA2" s="58" t="s">
        <v>552</v>
      </c>
      <c r="AB2" s="58" t="s">
        <v>553</v>
      </c>
      <c r="AC2" s="58" t="s">
        <v>554</v>
      </c>
    </row>
    <row r="3" spans="1:29" ht="15" customHeight="1" x14ac:dyDescent="0.35">
      <c r="A3" s="172" t="s">
        <v>94</v>
      </c>
      <c r="B3" s="119" t="s">
        <v>95</v>
      </c>
      <c r="C3" s="176">
        <v>46241</v>
      </c>
      <c r="D3" s="177">
        <v>266.38</v>
      </c>
      <c r="E3" s="178">
        <v>85.8</v>
      </c>
      <c r="F3" s="119" t="s">
        <v>339</v>
      </c>
      <c r="G3" s="119" t="s">
        <v>555</v>
      </c>
      <c r="H3" s="177">
        <v>773.26</v>
      </c>
      <c r="I3" s="119" t="s">
        <v>556</v>
      </c>
      <c r="J3" s="176"/>
      <c r="K3" s="177"/>
      <c r="L3" s="119"/>
      <c r="M3" s="177">
        <f>IFERROR(INDEX('Market Data'!$C$3:$C$300,MATCH($A3,'Market Data'!$A$3:$A$300,0)),"")</f>
        <v>237.69</v>
      </c>
      <c r="N3" s="177">
        <f t="shared" ref="N3:N36" si="0">PT_SPY_Now</f>
        <v>769.64</v>
      </c>
      <c r="O3" s="179">
        <f t="shared" ref="O3:O44" si="1">IF(OR(D3="",M3=""),"",M3/D3-1)</f>
        <v>-0.10770328102710414</v>
      </c>
      <c r="P3" s="179">
        <f t="shared" ref="P3:P44" si="2">IF(OR(H3="",N3=""),"",N3/H3-1)</f>
        <v>-4.6814784160567058E-3</v>
      </c>
      <c r="Q3" s="179">
        <f t="shared" ref="Q3:Q44" si="3">IF(OR(O3="",P3=""),"",O3-P3)</f>
        <v>-0.10302180261104743</v>
      </c>
      <c r="R3" s="177" t="s">
        <v>557</v>
      </c>
      <c r="S3" s="177" t="s">
        <v>558</v>
      </c>
      <c r="T3" s="180">
        <v>20</v>
      </c>
      <c r="U3" s="181">
        <f>IF($A3="","",IF(OR($S3="System",$I3="Exited"),$T3,SUMIFS(CurrentPositionsTable[Quantity],CurrentPositionsTable[Ticker],$A3)-SUMIFS($T$3:$T$44,$A$3:$A$44,$A3,$S$3:$S$44,"System",$I$3:$I$44,"Held")))</f>
        <v>20</v>
      </c>
      <c r="V3" s="182">
        <f t="shared" ref="V3:V44" si="4">IF(OR($U3="",$D3=""),"",$U3*$D3)</f>
        <v>5327.6</v>
      </c>
      <c r="W3" s="182">
        <f t="shared" ref="W3:W44" si="5">IF(OR($U3="",$M3=""),"",$U3*$M3)</f>
        <v>4753.8</v>
      </c>
      <c r="X3" s="183">
        <f t="shared" ref="X3:X44" si="6">IF(OR($V3="",$W3=""),"",$W3-$V3)</f>
        <v>-573.80000000000018</v>
      </c>
      <c r="Y3" s="177">
        <f t="shared" ref="Y3:Y9" si="7">$D3</f>
        <v>266.38</v>
      </c>
      <c r="Z3" s="182">
        <f t="shared" ref="Z3:Z44" si="8">IF(OR($U3="",$Y3=""),"",$U3*$Y3)</f>
        <v>5327.6</v>
      </c>
      <c r="AA3" s="183">
        <f t="shared" ref="AA3:AA44" si="9">IF(OR($Z3="",$W3=""),"",$W3-$Z3)</f>
        <v>-573.80000000000018</v>
      </c>
      <c r="AB3" s="179">
        <f t="shared" ref="AB3:AB44" si="10">IF(OR($Z3="",$W3=""),"",IF($Z3=0,"",$W3/$Z3-1))</f>
        <v>-0.10770328102710414</v>
      </c>
      <c r="AC3" s="183">
        <f t="shared" ref="AC3:AC44" si="11">IF(OR($V3="",$P3=""),"",$V3*$P3)</f>
        <v>-24.941044409383707</v>
      </c>
    </row>
    <row r="4" spans="1:29" ht="15" customHeight="1" x14ac:dyDescent="0.35">
      <c r="A4" s="172" t="s">
        <v>166</v>
      </c>
      <c r="B4" s="119" t="s">
        <v>167</v>
      </c>
      <c r="C4" s="176">
        <v>46241</v>
      </c>
      <c r="D4" s="177">
        <v>488.77</v>
      </c>
      <c r="E4" s="178">
        <v>75.599999999999994</v>
      </c>
      <c r="F4" s="119" t="s">
        <v>339</v>
      </c>
      <c r="G4" s="119" t="s">
        <v>559</v>
      </c>
      <c r="H4" s="177">
        <v>773.26</v>
      </c>
      <c r="I4" s="119" t="s">
        <v>556</v>
      </c>
      <c r="J4" s="176"/>
      <c r="K4" s="177"/>
      <c r="L4" s="119"/>
      <c r="M4" s="177">
        <f>IFERROR(INDEX('Market Data'!$C$3:$C$300,MATCH($A4,'Market Data'!$A$3:$A$300,0)),"")</f>
        <v>504.73</v>
      </c>
      <c r="N4" s="177">
        <f t="shared" si="0"/>
        <v>769.64</v>
      </c>
      <c r="O4" s="179">
        <f t="shared" si="1"/>
        <v>3.2653395257483231E-2</v>
      </c>
      <c r="P4" s="179">
        <f t="shared" si="2"/>
        <v>-4.6814784160567058E-3</v>
      </c>
      <c r="Q4" s="179">
        <f t="shared" si="3"/>
        <v>3.7334873673539937E-2</v>
      </c>
      <c r="R4" s="177" t="s">
        <v>557</v>
      </c>
      <c r="S4" s="177" t="s">
        <v>558</v>
      </c>
      <c r="T4" s="180">
        <v>25</v>
      </c>
      <c r="U4" s="181">
        <f>IF($A4="","",IF(OR($S4="System",$I4="Exited"),$T4,SUMIFS(CurrentPositionsTable[Quantity],CurrentPositionsTable[Ticker],$A4)-SUMIFS($T$3:$T$44,$A$3:$A$44,$A4,$S$3:$S$44,"System",$I$3:$I$44,"Held")))</f>
        <v>25</v>
      </c>
      <c r="V4" s="182">
        <f t="shared" si="4"/>
        <v>12219.25</v>
      </c>
      <c r="W4" s="182">
        <f t="shared" si="5"/>
        <v>12618.25</v>
      </c>
      <c r="X4" s="183">
        <f t="shared" si="6"/>
        <v>399</v>
      </c>
      <c r="Y4" s="177">
        <f t="shared" si="7"/>
        <v>488.77</v>
      </c>
      <c r="Z4" s="182">
        <f t="shared" si="8"/>
        <v>12219.25</v>
      </c>
      <c r="AA4" s="183">
        <f t="shared" si="9"/>
        <v>399</v>
      </c>
      <c r="AB4" s="179">
        <f t="shared" si="10"/>
        <v>3.2653395257483009E-2</v>
      </c>
      <c r="AC4" s="183">
        <f t="shared" si="11"/>
        <v>-57.204155135400903</v>
      </c>
    </row>
    <row r="5" spans="1:29" ht="15" customHeight="1" x14ac:dyDescent="0.35">
      <c r="A5" s="172" t="s">
        <v>169</v>
      </c>
      <c r="B5" s="119" t="s">
        <v>345</v>
      </c>
      <c r="C5" s="176">
        <v>46241</v>
      </c>
      <c r="D5" s="177">
        <v>139.91999999999999</v>
      </c>
      <c r="E5" s="178">
        <v>82</v>
      </c>
      <c r="F5" s="119" t="s">
        <v>339</v>
      </c>
      <c r="G5" s="119" t="s">
        <v>555</v>
      </c>
      <c r="H5" s="177">
        <v>773.26</v>
      </c>
      <c r="I5" s="119" t="s">
        <v>556</v>
      </c>
      <c r="J5" s="176"/>
      <c r="K5" s="177"/>
      <c r="L5" s="119"/>
      <c r="M5" s="177">
        <f>IFERROR(INDEX('Market Data'!$C$3:$C$300,MATCH($A5,'Market Data'!$A$3:$A$300,0)),"")</f>
        <v>128.91</v>
      </c>
      <c r="N5" s="177">
        <f t="shared" si="0"/>
        <v>769.64</v>
      </c>
      <c r="O5" s="179">
        <f t="shared" si="1"/>
        <v>-7.8687821612349884E-2</v>
      </c>
      <c r="P5" s="179">
        <f t="shared" si="2"/>
        <v>-4.6814784160567058E-3</v>
      </c>
      <c r="Q5" s="179">
        <f t="shared" si="3"/>
        <v>-7.4006343196293178E-2</v>
      </c>
      <c r="R5" s="177" t="s">
        <v>557</v>
      </c>
      <c r="S5" s="177" t="s">
        <v>558</v>
      </c>
      <c r="T5" s="180">
        <v>64</v>
      </c>
      <c r="U5" s="181">
        <f>IF($A5="","",IF(OR($S5="System",$I5="Exited"),$T5,SUMIFS(CurrentPositionsTable[Quantity],CurrentPositionsTable[Ticker],$A5)-SUMIFS($T$3:$T$44,$A$3:$A$44,$A5,$S$3:$S$44,"System",$I$3:$I$44,"Held")))</f>
        <v>64</v>
      </c>
      <c r="V5" s="182">
        <f t="shared" si="4"/>
        <v>8954.8799999999992</v>
      </c>
      <c r="W5" s="182">
        <f t="shared" si="5"/>
        <v>8250.24</v>
      </c>
      <c r="X5" s="183">
        <f t="shared" si="6"/>
        <v>-704.63999999999942</v>
      </c>
      <c r="Y5" s="177">
        <f t="shared" si="7"/>
        <v>139.91999999999999</v>
      </c>
      <c r="Z5" s="182">
        <f t="shared" si="8"/>
        <v>8954.8799999999992</v>
      </c>
      <c r="AA5" s="183">
        <f t="shared" si="9"/>
        <v>-704.63999999999942</v>
      </c>
      <c r="AB5" s="179">
        <f t="shared" si="10"/>
        <v>-7.8687821612349884E-2</v>
      </c>
      <c r="AC5" s="183">
        <f t="shared" si="11"/>
        <v>-41.922077438377869</v>
      </c>
    </row>
    <row r="6" spans="1:29" ht="15" customHeight="1" x14ac:dyDescent="0.35">
      <c r="A6" s="172" t="s">
        <v>117</v>
      </c>
      <c r="B6" s="119" t="s">
        <v>118</v>
      </c>
      <c r="C6" s="176">
        <v>46273</v>
      </c>
      <c r="D6" s="177">
        <v>368.97</v>
      </c>
      <c r="E6" s="178">
        <v>86.4</v>
      </c>
      <c r="F6" s="119" t="s">
        <v>339</v>
      </c>
      <c r="G6" s="119" t="s">
        <v>555</v>
      </c>
      <c r="H6" s="177">
        <v>767.53</v>
      </c>
      <c r="I6" s="119" t="s">
        <v>556</v>
      </c>
      <c r="J6" s="176"/>
      <c r="K6" s="177"/>
      <c r="L6" s="119"/>
      <c r="M6" s="177">
        <f>IFERROR(INDEX('Market Data'!$C$3:$C$300,MATCH($A6,'Market Data'!$A$3:$A$300,0)),"")</f>
        <v>360.66</v>
      </c>
      <c r="N6" s="177">
        <f t="shared" si="0"/>
        <v>769.64</v>
      </c>
      <c r="O6" s="179">
        <f t="shared" si="1"/>
        <v>-2.2522156272867688E-2</v>
      </c>
      <c r="P6" s="179">
        <f t="shared" si="2"/>
        <v>2.7490782119266033E-3</v>
      </c>
      <c r="Q6" s="179">
        <f t="shared" si="3"/>
        <v>-2.5271234484794292E-2</v>
      </c>
      <c r="R6" s="177" t="s">
        <v>557</v>
      </c>
      <c r="S6" s="177" t="s">
        <v>558</v>
      </c>
      <c r="T6" s="180">
        <v>50</v>
      </c>
      <c r="U6" s="181">
        <f>IF($A6="","",IF(OR($S6="System",$I6="Exited"),$T6,SUMIFS(CurrentPositionsTable[Quantity],CurrentPositionsTable[Ticker],$A6)-SUMIFS($T$3:$T$44,$A$3:$A$44,$A6,$S$3:$S$44,"System",$I$3:$I$44,"Held")))</f>
        <v>50</v>
      </c>
      <c r="V6" s="182">
        <f t="shared" si="4"/>
        <v>18448.5</v>
      </c>
      <c r="W6" s="182">
        <f t="shared" si="5"/>
        <v>18033</v>
      </c>
      <c r="X6" s="183">
        <f t="shared" si="6"/>
        <v>-415.5</v>
      </c>
      <c r="Y6" s="177">
        <f t="shared" si="7"/>
        <v>368.97</v>
      </c>
      <c r="Z6" s="182">
        <f t="shared" si="8"/>
        <v>18448.5</v>
      </c>
      <c r="AA6" s="183">
        <f t="shared" si="9"/>
        <v>-415.5</v>
      </c>
      <c r="AB6" s="179">
        <f t="shared" si="10"/>
        <v>-2.2522156272867688E-2</v>
      </c>
      <c r="AC6" s="183">
        <f t="shared" si="11"/>
        <v>50.716369392727941</v>
      </c>
    </row>
    <row r="7" spans="1:29" ht="15" customHeight="1" x14ac:dyDescent="0.35">
      <c r="A7" s="172" t="s">
        <v>166</v>
      </c>
      <c r="B7" s="119" t="s">
        <v>560</v>
      </c>
      <c r="C7" s="176">
        <v>46273</v>
      </c>
      <c r="D7" s="177">
        <v>527.47</v>
      </c>
      <c r="E7" s="178"/>
      <c r="F7" s="119"/>
      <c r="G7" s="119"/>
      <c r="H7" s="177">
        <v>767.53</v>
      </c>
      <c r="I7" s="119" t="s">
        <v>556</v>
      </c>
      <c r="J7" s="176"/>
      <c r="K7" s="177"/>
      <c r="L7" s="119"/>
      <c r="M7" s="177">
        <f>IFERROR(INDEX('Market Data'!$C$3:$C$300,MATCH($A7,'Market Data'!$A$3:$A$300,0)),"")</f>
        <v>504.73</v>
      </c>
      <c r="N7" s="177">
        <f t="shared" si="0"/>
        <v>769.64</v>
      </c>
      <c r="O7" s="179">
        <f t="shared" si="1"/>
        <v>-4.3111456575729457E-2</v>
      </c>
      <c r="P7" s="179">
        <f t="shared" si="2"/>
        <v>2.7490782119266033E-3</v>
      </c>
      <c r="Q7" s="179">
        <f t="shared" si="3"/>
        <v>-4.586053478765606E-2</v>
      </c>
      <c r="R7" s="177" t="s">
        <v>557</v>
      </c>
      <c r="S7" s="177" t="s">
        <v>558</v>
      </c>
      <c r="T7" s="180">
        <v>15</v>
      </c>
      <c r="U7" s="181">
        <f>IF($A7="","",IF(OR($S7="System",$I7="Exited"),$T7,SUMIFS(CurrentPositionsTable[Quantity],CurrentPositionsTable[Ticker],$A7)-SUMIFS($T$3:$T$44,$A$3:$A$44,$A7,$S$3:$S$44,"System",$I$3:$I$44,"Held")))</f>
        <v>15</v>
      </c>
      <c r="V7" s="182">
        <f t="shared" si="4"/>
        <v>7912.05</v>
      </c>
      <c r="W7" s="182">
        <f t="shared" si="5"/>
        <v>7570.9500000000007</v>
      </c>
      <c r="X7" s="183">
        <f t="shared" si="6"/>
        <v>-341.09999999999945</v>
      </c>
      <c r="Y7" s="177">
        <f t="shared" si="7"/>
        <v>527.47</v>
      </c>
      <c r="Z7" s="182">
        <f t="shared" si="8"/>
        <v>7912.05</v>
      </c>
      <c r="AA7" s="183">
        <f t="shared" si="9"/>
        <v>-341.09999999999945</v>
      </c>
      <c r="AB7" s="179">
        <f t="shared" si="10"/>
        <v>-4.3111456575729346E-2</v>
      </c>
      <c r="AC7" s="183">
        <f t="shared" si="11"/>
        <v>21.750844266673884</v>
      </c>
    </row>
    <row r="8" spans="1:29" ht="15" customHeight="1" x14ac:dyDescent="0.35">
      <c r="A8" s="172" t="s">
        <v>139</v>
      </c>
      <c r="B8" s="119" t="s">
        <v>140</v>
      </c>
      <c r="C8" s="176">
        <v>46295</v>
      </c>
      <c r="D8" s="177">
        <v>314.70999999999998</v>
      </c>
      <c r="E8" s="178">
        <v>84.2</v>
      </c>
      <c r="F8" s="119" t="s">
        <v>339</v>
      </c>
      <c r="G8" s="119" t="s">
        <v>555</v>
      </c>
      <c r="H8" s="177">
        <v>766.29</v>
      </c>
      <c r="I8" s="119" t="s">
        <v>556</v>
      </c>
      <c r="J8" s="176"/>
      <c r="K8" s="177"/>
      <c r="L8" s="119"/>
      <c r="M8" s="177">
        <f>IFERROR(INDEX('Market Data'!$C$3:$C$300,MATCH($A8,'Market Data'!$A$3:$A$300,0)),"")</f>
        <v>309.56</v>
      </c>
      <c r="N8" s="177">
        <f t="shared" si="0"/>
        <v>769.64</v>
      </c>
      <c r="O8" s="179">
        <f t="shared" si="1"/>
        <v>-1.6364271869339975E-2</v>
      </c>
      <c r="P8" s="179">
        <f t="shared" si="2"/>
        <v>4.3717130590246178E-3</v>
      </c>
      <c r="Q8" s="179">
        <f t="shared" si="3"/>
        <v>-2.0735984928364593E-2</v>
      </c>
      <c r="R8" s="177" t="s">
        <v>557</v>
      </c>
      <c r="S8" s="177" t="s">
        <v>558</v>
      </c>
      <c r="T8" s="180">
        <v>75</v>
      </c>
      <c r="U8" s="181">
        <f>IF($A8="","",IF(OR($S8="System",$I8="Exited"),$T8,SUMIFS(CurrentPositionsTable[Quantity],CurrentPositionsTable[Ticker],$A8)-SUMIFS($T$3:$T$44,$A$3:$A$44,$A8,$S$3:$S$44,"System",$I$3:$I$44,"Held")))</f>
        <v>75</v>
      </c>
      <c r="V8" s="182">
        <f t="shared" si="4"/>
        <v>23603.25</v>
      </c>
      <c r="W8" s="182">
        <f t="shared" si="5"/>
        <v>23217</v>
      </c>
      <c r="X8" s="183">
        <f t="shared" si="6"/>
        <v>-386.25</v>
      </c>
      <c r="Y8" s="177">
        <f t="shared" si="7"/>
        <v>314.70999999999998</v>
      </c>
      <c r="Z8" s="182">
        <f t="shared" si="8"/>
        <v>23603.25</v>
      </c>
      <c r="AA8" s="183">
        <f t="shared" si="9"/>
        <v>-386.25</v>
      </c>
      <c r="AB8" s="179">
        <f t="shared" si="10"/>
        <v>-1.6364271869339975E-2</v>
      </c>
      <c r="AC8" s="183">
        <f t="shared" si="11"/>
        <v>103.18663626042282</v>
      </c>
    </row>
    <row r="9" spans="1:29" ht="15" customHeight="1" x14ac:dyDescent="0.35">
      <c r="A9" s="172" t="s">
        <v>142</v>
      </c>
      <c r="B9" s="119" t="s">
        <v>143</v>
      </c>
      <c r="C9" s="176">
        <v>46295</v>
      </c>
      <c r="D9" s="177">
        <v>69.795000000000002</v>
      </c>
      <c r="E9" s="178">
        <v>83.8</v>
      </c>
      <c r="F9" s="119" t="s">
        <v>339</v>
      </c>
      <c r="G9" s="119" t="s">
        <v>555</v>
      </c>
      <c r="H9" s="177">
        <v>766.29</v>
      </c>
      <c r="I9" s="119" t="s">
        <v>556</v>
      </c>
      <c r="J9" s="176"/>
      <c r="K9" s="177"/>
      <c r="L9" s="119"/>
      <c r="M9" s="177">
        <f>IFERROR(INDEX('Market Data'!$C$3:$C$300,MATCH($A9,'Market Data'!$A$3:$A$300,0)),"")</f>
        <v>67.06</v>
      </c>
      <c r="N9" s="177">
        <f t="shared" si="0"/>
        <v>769.64</v>
      </c>
      <c r="O9" s="179">
        <f t="shared" si="1"/>
        <v>-3.9186188122358301E-2</v>
      </c>
      <c r="P9" s="179">
        <f t="shared" si="2"/>
        <v>4.3717130590246178E-3</v>
      </c>
      <c r="Q9" s="179">
        <f t="shared" si="3"/>
        <v>-4.3557901181382919E-2</v>
      </c>
      <c r="R9" s="177" t="s">
        <v>557</v>
      </c>
      <c r="S9" s="177" t="s">
        <v>558</v>
      </c>
      <c r="T9" s="180">
        <v>300</v>
      </c>
      <c r="U9" s="181">
        <f>IF($A9="","",IF(OR($S9="System",$I9="Exited"),$T9,SUMIFS(CurrentPositionsTable[Quantity],CurrentPositionsTable[Ticker],$A9)-SUMIFS($T$3:$T$44,$A$3:$A$44,$A9,$S$3:$S$44,"System",$I$3:$I$44,"Held")))</f>
        <v>300</v>
      </c>
      <c r="V9" s="182">
        <f t="shared" si="4"/>
        <v>20938.5</v>
      </c>
      <c r="W9" s="182">
        <f t="shared" si="5"/>
        <v>20118</v>
      </c>
      <c r="X9" s="183">
        <f t="shared" si="6"/>
        <v>-820.5</v>
      </c>
      <c r="Y9" s="177">
        <f t="shared" si="7"/>
        <v>69.795000000000002</v>
      </c>
      <c r="Z9" s="182">
        <f t="shared" si="8"/>
        <v>20938.5</v>
      </c>
      <c r="AA9" s="183">
        <f t="shared" si="9"/>
        <v>-820.5</v>
      </c>
      <c r="AB9" s="179">
        <f t="shared" si="10"/>
        <v>-3.9186188122358301E-2</v>
      </c>
      <c r="AC9" s="183">
        <f t="shared" si="11"/>
        <v>91.537113886386962</v>
      </c>
    </row>
    <row r="10" spans="1:29" ht="15" customHeight="1" x14ac:dyDescent="0.35">
      <c r="A10" s="172" t="s">
        <v>94</v>
      </c>
      <c r="B10" s="119" t="s">
        <v>561</v>
      </c>
      <c r="C10" s="176">
        <v>46239</v>
      </c>
      <c r="D10" s="177">
        <v>259.32</v>
      </c>
      <c r="E10" s="178"/>
      <c r="F10" s="119"/>
      <c r="G10" s="119"/>
      <c r="H10" s="177">
        <f t="shared" ref="H10:H41" si="12">PT_SPY_0805</f>
        <v>769.79</v>
      </c>
      <c r="I10" s="119" t="s">
        <v>556</v>
      </c>
      <c r="J10" s="176"/>
      <c r="K10" s="177"/>
      <c r="L10" s="119"/>
      <c r="M10" s="177">
        <f>IFERROR(INDEX('Market Data'!$C$3:$C$300,MATCH($A10,'Market Data'!$A$3:$A$300,0)),"")</f>
        <v>237.69</v>
      </c>
      <c r="N10" s="177">
        <f t="shared" si="0"/>
        <v>769.64</v>
      </c>
      <c r="O10" s="179">
        <f t="shared" si="1"/>
        <v>-8.341045812124015E-2</v>
      </c>
      <c r="P10" s="179">
        <f t="shared" si="2"/>
        <v>-1.9485833798826846E-4</v>
      </c>
      <c r="Q10" s="179">
        <f t="shared" si="3"/>
        <v>-8.3215599783251881E-2</v>
      </c>
      <c r="R10" s="177" t="s">
        <v>557</v>
      </c>
      <c r="S10" s="177" t="s">
        <v>562</v>
      </c>
      <c r="T10" s="180">
        <v>45</v>
      </c>
      <c r="U10" s="181">
        <f>IF($A10="","",IF(OR($S10="System",$I10="Exited"),$T10,SUMIFS(CurrentPositionsTable[Quantity],CurrentPositionsTable[Ticker],$A10)-SUMIFS($T$3:$T$44,$A$3:$A$44,$A10,$S$3:$S$44,"System",$I$3:$I$44,"Held")))</f>
        <v>45</v>
      </c>
      <c r="V10" s="182">
        <f t="shared" si="4"/>
        <v>11669.4</v>
      </c>
      <c r="W10" s="182">
        <f t="shared" si="5"/>
        <v>10696.05</v>
      </c>
      <c r="X10" s="183">
        <f t="shared" si="6"/>
        <v>-973.35000000000036</v>
      </c>
      <c r="Y10" s="177">
        <v>349.99</v>
      </c>
      <c r="Z10" s="182">
        <f t="shared" si="8"/>
        <v>15749.550000000001</v>
      </c>
      <c r="AA10" s="183">
        <f t="shared" si="9"/>
        <v>-5053.5000000000018</v>
      </c>
      <c r="AB10" s="179">
        <f t="shared" si="10"/>
        <v>-0.32086631046601344</v>
      </c>
      <c r="AC10" s="183">
        <f t="shared" si="11"/>
        <v>-2.2738798893203001</v>
      </c>
    </row>
    <row r="11" spans="1:29" ht="15" customHeight="1" x14ac:dyDescent="0.35">
      <c r="A11" s="172" t="s">
        <v>166</v>
      </c>
      <c r="B11" s="119" t="s">
        <v>563</v>
      </c>
      <c r="C11" s="176">
        <v>46239</v>
      </c>
      <c r="D11" s="177">
        <v>484.83</v>
      </c>
      <c r="E11" s="178"/>
      <c r="F11" s="119"/>
      <c r="G11" s="119"/>
      <c r="H11" s="177">
        <f t="shared" si="12"/>
        <v>769.79</v>
      </c>
      <c r="I11" s="119" t="s">
        <v>556</v>
      </c>
      <c r="J11" s="176"/>
      <c r="K11" s="177"/>
      <c r="L11" s="119"/>
      <c r="M11" s="177">
        <f>IFERROR(INDEX('Market Data'!$C$3:$C$300,MATCH($A11,'Market Data'!$A$3:$A$300,0)),"")</f>
        <v>504.73</v>
      </c>
      <c r="N11" s="177">
        <f t="shared" si="0"/>
        <v>769.64</v>
      </c>
      <c r="O11" s="179">
        <f t="shared" si="1"/>
        <v>4.1045314852628856E-2</v>
      </c>
      <c r="P11" s="179">
        <f t="shared" si="2"/>
        <v>-1.9485833798826846E-4</v>
      </c>
      <c r="Q11" s="179">
        <f t="shared" si="3"/>
        <v>4.1240173190617124E-2</v>
      </c>
      <c r="R11" s="177" t="s">
        <v>557</v>
      </c>
      <c r="S11" s="177" t="s">
        <v>562</v>
      </c>
      <c r="T11" s="180">
        <v>25</v>
      </c>
      <c r="U11" s="181">
        <f>IF($A11="","",IF(OR($S11="System",$I11="Exited"),$T11,SUMIFS(CurrentPositionsTable[Quantity],CurrentPositionsTable[Ticker],$A11)-SUMIFS($T$3:$T$44,$A$3:$A$44,$A11,$S$3:$S$44,"System",$I$3:$I$44,"Held")))</f>
        <v>25</v>
      </c>
      <c r="V11" s="182">
        <f t="shared" si="4"/>
        <v>12120.75</v>
      </c>
      <c r="W11" s="182">
        <f t="shared" si="5"/>
        <v>12618.25</v>
      </c>
      <c r="X11" s="183">
        <f t="shared" si="6"/>
        <v>497.5</v>
      </c>
      <c r="Y11" s="177">
        <v>453.36</v>
      </c>
      <c r="Z11" s="182">
        <f t="shared" si="8"/>
        <v>11334</v>
      </c>
      <c r="AA11" s="183">
        <f t="shared" si="9"/>
        <v>1284.25</v>
      </c>
      <c r="AB11" s="179">
        <f t="shared" si="10"/>
        <v>0.11330951120522315</v>
      </c>
      <c r="AC11" s="183">
        <f t="shared" si="11"/>
        <v>-2.361829200171305</v>
      </c>
    </row>
    <row r="12" spans="1:29" ht="15" customHeight="1" x14ac:dyDescent="0.35">
      <c r="A12" s="172" t="s">
        <v>169</v>
      </c>
      <c r="B12" s="119" t="s">
        <v>564</v>
      </c>
      <c r="C12" s="176">
        <v>46239</v>
      </c>
      <c r="D12" s="177">
        <v>140.76</v>
      </c>
      <c r="E12" s="178"/>
      <c r="F12" s="119"/>
      <c r="G12" s="119"/>
      <c r="H12" s="177">
        <f t="shared" si="12"/>
        <v>769.79</v>
      </c>
      <c r="I12" s="119" t="s">
        <v>556</v>
      </c>
      <c r="J12" s="176"/>
      <c r="K12" s="177"/>
      <c r="L12" s="119"/>
      <c r="M12" s="177">
        <f>IFERROR(INDEX('Market Data'!$C$3:$C$300,MATCH($A12,'Market Data'!$A$3:$A$300,0)),"")</f>
        <v>128.91</v>
      </c>
      <c r="N12" s="177">
        <f t="shared" si="0"/>
        <v>769.64</v>
      </c>
      <c r="O12" s="179">
        <f t="shared" si="1"/>
        <v>-8.4185848252344431E-2</v>
      </c>
      <c r="P12" s="179">
        <f t="shared" si="2"/>
        <v>-1.9485833798826846E-4</v>
      </c>
      <c r="Q12" s="179">
        <f t="shared" si="3"/>
        <v>-8.3990989914356162E-2</v>
      </c>
      <c r="R12" s="177" t="s">
        <v>557</v>
      </c>
      <c r="S12" s="177" t="s">
        <v>562</v>
      </c>
      <c r="T12" s="180">
        <v>61.448369999999997</v>
      </c>
      <c r="U12" s="181">
        <f>IF($A12="","",IF(OR($S12="System",$I12="Exited"),$T12,SUMIFS(CurrentPositionsTable[Quantity],CurrentPositionsTable[Ticker],$A12)-SUMIFS($T$3:$T$44,$A$3:$A$44,$A12,$S$3:$S$44,"System",$I$3:$I$44,"Held")))</f>
        <v>61.448369999999997</v>
      </c>
      <c r="V12" s="182">
        <f t="shared" si="4"/>
        <v>8649.4725611999984</v>
      </c>
      <c r="W12" s="182">
        <f t="shared" si="5"/>
        <v>7921.3093766999991</v>
      </c>
      <c r="X12" s="183">
        <f t="shared" si="6"/>
        <v>-728.16318449999926</v>
      </c>
      <c r="Y12" s="177">
        <v>127.66</v>
      </c>
      <c r="Z12" s="182">
        <f t="shared" si="8"/>
        <v>7844.4989141999995</v>
      </c>
      <c r="AA12" s="183">
        <f t="shared" si="9"/>
        <v>76.81046249999963</v>
      </c>
      <c r="AB12" s="179">
        <f t="shared" si="10"/>
        <v>9.7916340278865199E-3</v>
      </c>
      <c r="AC12" s="183">
        <f t="shared" si="11"/>
        <v>-1.6854218477505634</v>
      </c>
    </row>
    <row r="13" spans="1:29" ht="15" customHeight="1" x14ac:dyDescent="0.35">
      <c r="A13" s="172" t="s">
        <v>99</v>
      </c>
      <c r="B13" s="119" t="s">
        <v>100</v>
      </c>
      <c r="C13" s="176">
        <v>46239</v>
      </c>
      <c r="D13" s="177">
        <v>197.31</v>
      </c>
      <c r="E13" s="178"/>
      <c r="F13" s="119"/>
      <c r="G13" s="119"/>
      <c r="H13" s="177">
        <f t="shared" si="12"/>
        <v>769.79</v>
      </c>
      <c r="I13" s="119" t="s">
        <v>556</v>
      </c>
      <c r="J13" s="176"/>
      <c r="K13" s="177"/>
      <c r="L13" s="119"/>
      <c r="M13" s="177">
        <f>IFERROR(INDEX('Market Data'!$C$3:$C$300,MATCH($A13,'Market Data'!$A$3:$A$300,0)),"")</f>
        <v>207.35</v>
      </c>
      <c r="N13" s="177">
        <f t="shared" si="0"/>
        <v>769.64</v>
      </c>
      <c r="O13" s="179">
        <f t="shared" si="1"/>
        <v>5.0884395114287218E-2</v>
      </c>
      <c r="P13" s="179">
        <f t="shared" si="2"/>
        <v>-1.9485833798826846E-4</v>
      </c>
      <c r="Q13" s="179">
        <f t="shared" si="3"/>
        <v>5.1079253452275486E-2</v>
      </c>
      <c r="R13" s="177" t="s">
        <v>557</v>
      </c>
      <c r="S13" s="177" t="s">
        <v>562</v>
      </c>
      <c r="T13" s="180">
        <v>120</v>
      </c>
      <c r="U13" s="181">
        <f>IF($A13="","",IF(OR($S13="System",$I13="Exited"),$T13,SUMIFS(CurrentPositionsTable[Quantity],CurrentPositionsTable[Ticker],$A13)-SUMIFS($T$3:$T$44,$A$3:$A$44,$A13,$S$3:$S$44,"System",$I$3:$I$44,"Held")))</f>
        <v>120</v>
      </c>
      <c r="V13" s="182">
        <f t="shared" si="4"/>
        <v>23677.200000000001</v>
      </c>
      <c r="W13" s="182">
        <f t="shared" si="5"/>
        <v>24882</v>
      </c>
      <c r="X13" s="183">
        <f t="shared" si="6"/>
        <v>1204.7999999999993</v>
      </c>
      <c r="Y13" s="177">
        <v>131.03</v>
      </c>
      <c r="Z13" s="182">
        <f t="shared" si="8"/>
        <v>15723.6</v>
      </c>
      <c r="AA13" s="183">
        <f t="shared" si="9"/>
        <v>9158.4</v>
      </c>
      <c r="AB13" s="179">
        <f t="shared" si="10"/>
        <v>0.58246203159581778</v>
      </c>
      <c r="AC13" s="183">
        <f t="shared" si="11"/>
        <v>-4.6136998402158298</v>
      </c>
    </row>
    <row r="14" spans="1:29" ht="15" customHeight="1" x14ac:dyDescent="0.35">
      <c r="A14" s="172" t="s">
        <v>101</v>
      </c>
      <c r="B14" s="119" t="s">
        <v>102</v>
      </c>
      <c r="C14" s="176">
        <v>46239</v>
      </c>
      <c r="D14" s="177">
        <v>1678.22</v>
      </c>
      <c r="E14" s="178"/>
      <c r="F14" s="119"/>
      <c r="G14" s="119"/>
      <c r="H14" s="177">
        <f t="shared" si="12"/>
        <v>769.79</v>
      </c>
      <c r="I14" s="119" t="s">
        <v>556</v>
      </c>
      <c r="J14" s="176"/>
      <c r="K14" s="177"/>
      <c r="L14" s="119"/>
      <c r="M14" s="177">
        <f>IFERROR(INDEX('Market Data'!$C$3:$C$300,MATCH($A14,'Market Data'!$A$3:$A$300,0)),"")</f>
        <v>1867.31</v>
      </c>
      <c r="N14" s="177">
        <f t="shared" si="0"/>
        <v>769.64</v>
      </c>
      <c r="O14" s="179">
        <f t="shared" si="1"/>
        <v>0.11267295110295428</v>
      </c>
      <c r="P14" s="179">
        <f t="shared" si="2"/>
        <v>-1.9485833798826846E-4</v>
      </c>
      <c r="Q14" s="179">
        <f t="shared" si="3"/>
        <v>0.11286780944094255</v>
      </c>
      <c r="R14" s="177" t="s">
        <v>557</v>
      </c>
      <c r="S14" s="177" t="s">
        <v>562</v>
      </c>
      <c r="T14" s="180">
        <v>7</v>
      </c>
      <c r="U14" s="181">
        <f>IF($A14="","",IF(OR($S14="System",$I14="Exited"),$T14,SUMIFS(CurrentPositionsTable[Quantity],CurrentPositionsTable[Ticker],$A14)-SUMIFS($T$3:$T$44,$A$3:$A$44,$A14,$S$3:$S$44,"System",$I$3:$I$44,"Held")))</f>
        <v>7</v>
      </c>
      <c r="V14" s="182">
        <f t="shared" si="4"/>
        <v>11747.54</v>
      </c>
      <c r="W14" s="182">
        <f t="shared" si="5"/>
        <v>13071.17</v>
      </c>
      <c r="X14" s="183">
        <f t="shared" si="6"/>
        <v>1323.6299999999992</v>
      </c>
      <c r="Y14" s="177">
        <v>1069.8599999999999</v>
      </c>
      <c r="Z14" s="182">
        <f t="shared" si="8"/>
        <v>7489.0199999999995</v>
      </c>
      <c r="AA14" s="183">
        <f t="shared" si="9"/>
        <v>5582.1500000000005</v>
      </c>
      <c r="AB14" s="179">
        <f t="shared" si="10"/>
        <v>0.7453778999121381</v>
      </c>
      <c r="AC14" s="183">
        <f t="shared" si="11"/>
        <v>-2.2891061198507034</v>
      </c>
    </row>
    <row r="15" spans="1:29" ht="15" customHeight="1" x14ac:dyDescent="0.35">
      <c r="A15" s="172" t="s">
        <v>164</v>
      </c>
      <c r="B15" s="119" t="s">
        <v>165</v>
      </c>
      <c r="C15" s="176">
        <v>46239</v>
      </c>
      <c r="D15" s="177">
        <v>418.28</v>
      </c>
      <c r="E15" s="178"/>
      <c r="F15" s="119"/>
      <c r="G15" s="119"/>
      <c r="H15" s="177">
        <f t="shared" si="12"/>
        <v>769.79</v>
      </c>
      <c r="I15" s="119" t="s">
        <v>556</v>
      </c>
      <c r="J15" s="176"/>
      <c r="K15" s="177"/>
      <c r="L15" s="119"/>
      <c r="M15" s="177">
        <f>IFERROR(INDEX('Market Data'!$C$3:$C$300,MATCH($A15,'Market Data'!$A$3:$A$300,0)),"")</f>
        <v>355.14</v>
      </c>
      <c r="N15" s="177">
        <f t="shared" si="0"/>
        <v>769.64</v>
      </c>
      <c r="O15" s="179">
        <f t="shared" si="1"/>
        <v>-0.15095151573108923</v>
      </c>
      <c r="P15" s="179">
        <f t="shared" si="2"/>
        <v>-1.9485833798826846E-4</v>
      </c>
      <c r="Q15" s="179">
        <f t="shared" si="3"/>
        <v>-0.15075665739310096</v>
      </c>
      <c r="R15" s="177" t="s">
        <v>557</v>
      </c>
      <c r="S15" s="177" t="s">
        <v>562</v>
      </c>
      <c r="T15" s="180">
        <v>35.075870000000002</v>
      </c>
      <c r="U15" s="181">
        <f>IF($A15="","",IF(OR($S15="System",$I15="Exited"),$T15,SUMIFS(CurrentPositionsTable[Quantity],CurrentPositionsTable[Ticker],$A15)-SUMIFS($T$3:$T$44,$A$3:$A$44,$A15,$S$3:$S$44,"System",$I$3:$I$44,"Held")))</f>
        <v>35.075870000000002</v>
      </c>
      <c r="V15" s="182">
        <f t="shared" si="4"/>
        <v>14671.534903600001</v>
      </c>
      <c r="W15" s="182">
        <f t="shared" si="5"/>
        <v>12456.844471800001</v>
      </c>
      <c r="X15" s="183">
        <f t="shared" si="6"/>
        <v>-2214.6904317999997</v>
      </c>
      <c r="Y15" s="177">
        <v>346.1</v>
      </c>
      <c r="Z15" s="182">
        <f t="shared" si="8"/>
        <v>12139.758607000002</v>
      </c>
      <c r="AA15" s="183">
        <f t="shared" si="9"/>
        <v>317.0858647999994</v>
      </c>
      <c r="AB15" s="179">
        <f t="shared" si="10"/>
        <v>2.6119618607338912E-2</v>
      </c>
      <c r="AC15" s="183">
        <f t="shared" si="11"/>
        <v>-2.8588709070523666</v>
      </c>
    </row>
    <row r="16" spans="1:29" ht="15" customHeight="1" x14ac:dyDescent="0.35">
      <c r="A16" s="172" t="s">
        <v>103</v>
      </c>
      <c r="B16" s="119" t="s">
        <v>104</v>
      </c>
      <c r="C16" s="176">
        <v>46239</v>
      </c>
      <c r="D16" s="177">
        <v>209.86</v>
      </c>
      <c r="E16" s="178"/>
      <c r="F16" s="119"/>
      <c r="G16" s="119"/>
      <c r="H16" s="177">
        <f t="shared" si="12"/>
        <v>769.79</v>
      </c>
      <c r="I16" s="119" t="s">
        <v>556</v>
      </c>
      <c r="J16" s="176"/>
      <c r="K16" s="177"/>
      <c r="L16" s="119"/>
      <c r="M16" s="177">
        <f>IFERROR(INDEX('Market Data'!$C$3:$C$300,MATCH($A16,'Market Data'!$A$3:$A$300,0)),"")</f>
        <v>270.04000000000002</v>
      </c>
      <c r="N16" s="177">
        <f t="shared" si="0"/>
        <v>769.64</v>
      </c>
      <c r="O16" s="179">
        <f t="shared" si="1"/>
        <v>0.2867626036405222</v>
      </c>
      <c r="P16" s="179">
        <f t="shared" si="2"/>
        <v>-1.9485833798826846E-4</v>
      </c>
      <c r="Q16" s="179">
        <f t="shared" si="3"/>
        <v>0.28695746197851046</v>
      </c>
      <c r="R16" s="177" t="s">
        <v>557</v>
      </c>
      <c r="S16" s="177" t="s">
        <v>562</v>
      </c>
      <c r="T16" s="180">
        <v>85</v>
      </c>
      <c r="U16" s="181">
        <f>IF($A16="","",IF(OR($S16="System",$I16="Exited"),$T16,SUMIFS(CurrentPositionsTable[Quantity],CurrentPositionsTable[Ticker],$A16)-SUMIFS($T$3:$T$44,$A$3:$A$44,$A16,$S$3:$S$44,"System",$I$3:$I$44,"Held")))</f>
        <v>85</v>
      </c>
      <c r="V16" s="182">
        <f t="shared" si="4"/>
        <v>17838.100000000002</v>
      </c>
      <c r="W16" s="182">
        <f t="shared" si="5"/>
        <v>22953.4</v>
      </c>
      <c r="X16" s="183">
        <f t="shared" si="6"/>
        <v>5115.2999999999993</v>
      </c>
      <c r="Y16" s="177">
        <v>117.19</v>
      </c>
      <c r="Z16" s="182">
        <f t="shared" si="8"/>
        <v>9961.15</v>
      </c>
      <c r="AA16" s="183">
        <f t="shared" si="9"/>
        <v>12992.250000000002</v>
      </c>
      <c r="AB16" s="179">
        <f t="shared" si="10"/>
        <v>1.3042921751002647</v>
      </c>
      <c r="AC16" s="183">
        <f t="shared" si="11"/>
        <v>-3.4759025188685322</v>
      </c>
    </row>
    <row r="17" spans="1:29" ht="15" customHeight="1" x14ac:dyDescent="0.35">
      <c r="A17" s="172" t="s">
        <v>105</v>
      </c>
      <c r="B17" s="119" t="s">
        <v>106</v>
      </c>
      <c r="C17" s="176">
        <v>46239</v>
      </c>
      <c r="D17" s="177">
        <v>192.8</v>
      </c>
      <c r="E17" s="178"/>
      <c r="F17" s="119"/>
      <c r="G17" s="119"/>
      <c r="H17" s="177">
        <f t="shared" si="12"/>
        <v>769.79</v>
      </c>
      <c r="I17" s="119" t="s">
        <v>556</v>
      </c>
      <c r="J17" s="176"/>
      <c r="K17" s="177"/>
      <c r="L17" s="119"/>
      <c r="M17" s="177">
        <f>IFERROR(INDEX('Market Data'!$C$3:$C$300,MATCH($A17,'Market Data'!$A$3:$A$300,0)),"")</f>
        <v>206.89</v>
      </c>
      <c r="N17" s="177">
        <f t="shared" si="0"/>
        <v>769.64</v>
      </c>
      <c r="O17" s="179">
        <f t="shared" si="1"/>
        <v>7.3080912863070502E-2</v>
      </c>
      <c r="P17" s="179">
        <f t="shared" si="2"/>
        <v>-1.9485833798826846E-4</v>
      </c>
      <c r="Q17" s="179">
        <f t="shared" si="3"/>
        <v>7.327577120105877E-2</v>
      </c>
      <c r="R17" s="177" t="s">
        <v>557</v>
      </c>
      <c r="S17" s="177" t="s">
        <v>562</v>
      </c>
      <c r="T17" s="180">
        <v>100</v>
      </c>
      <c r="U17" s="181">
        <f>IF($A17="","",IF(OR($S17="System",$I17="Exited"),$T17,SUMIFS(CurrentPositionsTable[Quantity],CurrentPositionsTable[Ticker],$A17)-SUMIFS($T$3:$T$44,$A$3:$A$44,$A17,$S$3:$S$44,"System",$I$3:$I$44,"Held")))</f>
        <v>100</v>
      </c>
      <c r="V17" s="182">
        <f t="shared" si="4"/>
        <v>19280</v>
      </c>
      <c r="W17" s="182">
        <f t="shared" si="5"/>
        <v>20689</v>
      </c>
      <c r="X17" s="183">
        <f t="shared" si="6"/>
        <v>1409</v>
      </c>
      <c r="Y17" s="177">
        <v>121.508</v>
      </c>
      <c r="Z17" s="182">
        <f t="shared" si="8"/>
        <v>12150.8</v>
      </c>
      <c r="AA17" s="183">
        <f t="shared" si="9"/>
        <v>8538.2000000000007</v>
      </c>
      <c r="AB17" s="179">
        <f t="shared" si="10"/>
        <v>0.70268624288112735</v>
      </c>
      <c r="AC17" s="183">
        <f t="shared" si="11"/>
        <v>-3.7568687564138159</v>
      </c>
    </row>
    <row r="18" spans="1:29" ht="15" customHeight="1" x14ac:dyDescent="0.35">
      <c r="A18" s="172" t="s">
        <v>107</v>
      </c>
      <c r="B18" s="119" t="s">
        <v>108</v>
      </c>
      <c r="C18" s="176">
        <v>46239</v>
      </c>
      <c r="D18" s="177">
        <v>893.19</v>
      </c>
      <c r="E18" s="178"/>
      <c r="F18" s="119"/>
      <c r="G18" s="119"/>
      <c r="H18" s="177">
        <f t="shared" si="12"/>
        <v>769.79</v>
      </c>
      <c r="I18" s="119" t="s">
        <v>556</v>
      </c>
      <c r="J18" s="176"/>
      <c r="K18" s="177"/>
      <c r="L18" s="119"/>
      <c r="M18" s="177">
        <f>IFERROR(INDEX('Market Data'!$C$3:$C$300,MATCH($A18,'Market Data'!$A$3:$A$300,0)),"")</f>
        <v>1074.8900000000001</v>
      </c>
      <c r="N18" s="177">
        <f t="shared" si="0"/>
        <v>769.64</v>
      </c>
      <c r="O18" s="179">
        <f t="shared" si="1"/>
        <v>0.2034281619812135</v>
      </c>
      <c r="P18" s="179">
        <f t="shared" si="2"/>
        <v>-1.9485833798826846E-4</v>
      </c>
      <c r="Q18" s="179">
        <f t="shared" si="3"/>
        <v>0.20362302031920176</v>
      </c>
      <c r="R18" s="177" t="s">
        <v>557</v>
      </c>
      <c r="S18" s="177" t="s">
        <v>562</v>
      </c>
      <c r="T18" s="180">
        <v>7</v>
      </c>
      <c r="U18" s="181">
        <f>IF($A18="","",IF(OR($S18="System",$I18="Exited"),$T18,SUMIFS(CurrentPositionsTable[Quantity],CurrentPositionsTable[Ticker],$A18)-SUMIFS($T$3:$T$44,$A$3:$A$44,$A18,$S$3:$S$44,"System",$I$3:$I$44,"Held")))</f>
        <v>7</v>
      </c>
      <c r="V18" s="182">
        <f t="shared" si="4"/>
        <v>6252.33</v>
      </c>
      <c r="W18" s="182">
        <f t="shared" si="5"/>
        <v>7524.2300000000005</v>
      </c>
      <c r="X18" s="183">
        <f t="shared" si="6"/>
        <v>1271.9000000000005</v>
      </c>
      <c r="Y18" s="177">
        <v>285.41000000000003</v>
      </c>
      <c r="Z18" s="182">
        <f t="shared" si="8"/>
        <v>1997.8700000000001</v>
      </c>
      <c r="AA18" s="183">
        <f t="shared" si="9"/>
        <v>5526.3600000000006</v>
      </c>
      <c r="AB18" s="179">
        <f t="shared" si="10"/>
        <v>2.7661259241091765</v>
      </c>
      <c r="AC18" s="183">
        <f t="shared" si="11"/>
        <v>-1.2183186323541906</v>
      </c>
    </row>
    <row r="19" spans="1:29" ht="15" customHeight="1" x14ac:dyDescent="0.35">
      <c r="A19" s="172" t="s">
        <v>109</v>
      </c>
      <c r="B19" s="119" t="s">
        <v>110</v>
      </c>
      <c r="C19" s="176">
        <v>46239</v>
      </c>
      <c r="D19" s="177">
        <v>219.22</v>
      </c>
      <c r="E19" s="178"/>
      <c r="F19" s="119"/>
      <c r="G19" s="119"/>
      <c r="H19" s="177">
        <f t="shared" si="12"/>
        <v>769.79</v>
      </c>
      <c r="I19" s="119" t="s">
        <v>556</v>
      </c>
      <c r="J19" s="176"/>
      <c r="K19" s="177"/>
      <c r="L19" s="119"/>
      <c r="M19" s="177">
        <f>IFERROR(INDEX('Market Data'!$C$3:$C$300,MATCH($A19,'Market Data'!$A$3:$A$300,0)),"")</f>
        <v>233.95</v>
      </c>
      <c r="N19" s="177">
        <f t="shared" si="0"/>
        <v>769.64</v>
      </c>
      <c r="O19" s="179">
        <f t="shared" si="1"/>
        <v>6.7192774381899412E-2</v>
      </c>
      <c r="P19" s="179">
        <f t="shared" si="2"/>
        <v>-1.9485833798826846E-4</v>
      </c>
      <c r="Q19" s="179">
        <f t="shared" si="3"/>
        <v>6.738763271988768E-2</v>
      </c>
      <c r="R19" s="177" t="s">
        <v>557</v>
      </c>
      <c r="S19" s="177" t="s">
        <v>562</v>
      </c>
      <c r="T19" s="180">
        <v>214.02188000000001</v>
      </c>
      <c r="U19" s="181">
        <f>IF($A19="","",IF(OR($S19="System",$I19="Exited"),$T19,SUMIFS(CurrentPositionsTable[Quantity],CurrentPositionsTable[Ticker],$A19)-SUMIFS($T$3:$T$44,$A$3:$A$44,$A19,$S$3:$S$44,"System",$I$3:$I$44,"Held")))</f>
        <v>214.02188000000001</v>
      </c>
      <c r="V19" s="182">
        <f t="shared" si="4"/>
        <v>46917.8765336</v>
      </c>
      <c r="W19" s="182">
        <f t="shared" si="5"/>
        <v>50070.418826000001</v>
      </c>
      <c r="X19" s="183">
        <f t="shared" si="6"/>
        <v>3152.5422924000013</v>
      </c>
      <c r="Y19" s="177">
        <v>186.5</v>
      </c>
      <c r="Z19" s="182">
        <f t="shared" si="8"/>
        <v>39915.080620000001</v>
      </c>
      <c r="AA19" s="183">
        <f t="shared" si="9"/>
        <v>10155.338206</v>
      </c>
      <c r="AB19" s="179">
        <f t="shared" si="10"/>
        <v>0.2544235924932976</v>
      </c>
      <c r="AC19" s="183">
        <f t="shared" si="11"/>
        <v>-9.1423394432760787</v>
      </c>
    </row>
    <row r="20" spans="1:29" ht="15" customHeight="1" x14ac:dyDescent="0.35">
      <c r="A20" s="172" t="s">
        <v>111</v>
      </c>
      <c r="B20" s="119" t="s">
        <v>112</v>
      </c>
      <c r="C20" s="176">
        <v>46239</v>
      </c>
      <c r="D20" s="177">
        <v>158.43</v>
      </c>
      <c r="E20" s="178"/>
      <c r="F20" s="119"/>
      <c r="G20" s="119"/>
      <c r="H20" s="177">
        <f t="shared" si="12"/>
        <v>769.79</v>
      </c>
      <c r="I20" s="119" t="s">
        <v>556</v>
      </c>
      <c r="J20" s="176"/>
      <c r="K20" s="177"/>
      <c r="L20" s="119"/>
      <c r="M20" s="177">
        <f>IFERROR(INDEX('Market Data'!$C$3:$C$300,MATCH($A20,'Market Data'!$A$3:$A$300,0)),"")</f>
        <v>188.75</v>
      </c>
      <c r="N20" s="177">
        <f t="shared" si="0"/>
        <v>769.64</v>
      </c>
      <c r="O20" s="179">
        <f t="shared" si="1"/>
        <v>0.19137789560058072</v>
      </c>
      <c r="P20" s="179">
        <f t="shared" si="2"/>
        <v>-1.9485833798826846E-4</v>
      </c>
      <c r="Q20" s="179">
        <f t="shared" si="3"/>
        <v>0.19157275393856898</v>
      </c>
      <c r="R20" s="177" t="s">
        <v>557</v>
      </c>
      <c r="S20" s="177" t="s">
        <v>562</v>
      </c>
      <c r="T20" s="180">
        <v>90</v>
      </c>
      <c r="U20" s="181">
        <f>IF($A20="","",IF(OR($S20="System",$I20="Exited"),$T20,SUMIFS(CurrentPositionsTable[Quantity],CurrentPositionsTable[Ticker],$A20)-SUMIFS($T$3:$T$44,$A$3:$A$44,$A20,$S$3:$S$44,"System",$I$3:$I$44,"Held")))</f>
        <v>90</v>
      </c>
      <c r="V20" s="182">
        <f t="shared" si="4"/>
        <v>14258.7</v>
      </c>
      <c r="W20" s="182">
        <f t="shared" si="5"/>
        <v>16987.5</v>
      </c>
      <c r="X20" s="183">
        <f t="shared" si="6"/>
        <v>2728.7999999999993</v>
      </c>
      <c r="Y20" s="177">
        <v>177.75</v>
      </c>
      <c r="Z20" s="182">
        <f t="shared" si="8"/>
        <v>15997.5</v>
      </c>
      <c r="AA20" s="183">
        <f t="shared" si="9"/>
        <v>990</v>
      </c>
      <c r="AB20" s="179">
        <f t="shared" si="10"/>
        <v>6.1884669479606247E-2</v>
      </c>
      <c r="AC20" s="183">
        <f t="shared" si="11"/>
        <v>-2.7784265838733235</v>
      </c>
    </row>
    <row r="21" spans="1:29" ht="15" customHeight="1" x14ac:dyDescent="0.35">
      <c r="A21" s="172" t="s">
        <v>113</v>
      </c>
      <c r="B21" s="119" t="s">
        <v>114</v>
      </c>
      <c r="C21" s="176">
        <v>46239</v>
      </c>
      <c r="D21" s="177">
        <v>414</v>
      </c>
      <c r="E21" s="178"/>
      <c r="F21" s="119"/>
      <c r="G21" s="119"/>
      <c r="H21" s="177">
        <f t="shared" si="12"/>
        <v>769.79</v>
      </c>
      <c r="I21" s="119" t="s">
        <v>556</v>
      </c>
      <c r="J21" s="176"/>
      <c r="K21" s="177"/>
      <c r="L21" s="119"/>
      <c r="M21" s="177">
        <f>IFERROR(INDEX('Market Data'!$C$3:$C$300,MATCH($A21,'Market Data'!$A$3:$A$300,0)),"")</f>
        <v>472.78</v>
      </c>
      <c r="N21" s="177">
        <f t="shared" si="0"/>
        <v>769.64</v>
      </c>
      <c r="O21" s="179">
        <f t="shared" si="1"/>
        <v>0.14198067632850231</v>
      </c>
      <c r="P21" s="179">
        <f t="shared" si="2"/>
        <v>-1.9485833798826846E-4</v>
      </c>
      <c r="Q21" s="179">
        <f t="shared" si="3"/>
        <v>0.14217553466649058</v>
      </c>
      <c r="R21" s="177" t="s">
        <v>557</v>
      </c>
      <c r="S21" s="177" t="s">
        <v>562</v>
      </c>
      <c r="T21" s="180">
        <v>25</v>
      </c>
      <c r="U21" s="181">
        <f>IF($A21="","",IF(OR($S21="System",$I21="Exited"),$T21,SUMIFS(CurrentPositionsTable[Quantity],CurrentPositionsTable[Ticker],$A21)-SUMIFS($T$3:$T$44,$A$3:$A$44,$A21,$S$3:$S$44,"System",$I$3:$I$44,"Held")))</f>
        <v>25</v>
      </c>
      <c r="V21" s="182">
        <f t="shared" si="4"/>
        <v>10350</v>
      </c>
      <c r="W21" s="182">
        <f t="shared" si="5"/>
        <v>11819.5</v>
      </c>
      <c r="X21" s="183">
        <f t="shared" si="6"/>
        <v>1469.5</v>
      </c>
      <c r="Y21" s="177">
        <v>303.89</v>
      </c>
      <c r="Z21" s="182">
        <f t="shared" si="8"/>
        <v>7597.25</v>
      </c>
      <c r="AA21" s="183">
        <f t="shared" si="9"/>
        <v>4222.25</v>
      </c>
      <c r="AB21" s="179">
        <f t="shared" si="10"/>
        <v>0.55576030800618637</v>
      </c>
      <c r="AC21" s="183">
        <f t="shared" si="11"/>
        <v>-2.0167837981785786</v>
      </c>
    </row>
    <row r="22" spans="1:29" ht="15" customHeight="1" x14ac:dyDescent="0.35">
      <c r="A22" s="172" t="s">
        <v>115</v>
      </c>
      <c r="B22" s="119" t="s">
        <v>116</v>
      </c>
      <c r="C22" s="176">
        <v>46239</v>
      </c>
      <c r="D22" s="177">
        <v>277.94</v>
      </c>
      <c r="E22" s="178"/>
      <c r="F22" s="119"/>
      <c r="G22" s="119"/>
      <c r="H22" s="177">
        <f t="shared" si="12"/>
        <v>769.79</v>
      </c>
      <c r="I22" s="119" t="s">
        <v>556</v>
      </c>
      <c r="J22" s="176"/>
      <c r="K22" s="177"/>
      <c r="L22" s="119"/>
      <c r="M22" s="177">
        <f>IFERROR(INDEX('Market Data'!$C$3:$C$300,MATCH($A22,'Market Data'!$A$3:$A$300,0)),"")</f>
        <v>252.18</v>
      </c>
      <c r="N22" s="177">
        <f t="shared" si="0"/>
        <v>769.64</v>
      </c>
      <c r="O22" s="179">
        <f t="shared" si="1"/>
        <v>-9.2681873785709135E-2</v>
      </c>
      <c r="P22" s="179">
        <f t="shared" si="2"/>
        <v>-1.9485833798826846E-4</v>
      </c>
      <c r="Q22" s="179">
        <f t="shared" si="3"/>
        <v>-9.2487015447720866E-2</v>
      </c>
      <c r="R22" s="177" t="s">
        <v>557</v>
      </c>
      <c r="S22" s="177" t="s">
        <v>562</v>
      </c>
      <c r="T22" s="180">
        <v>30</v>
      </c>
      <c r="U22" s="181">
        <f>IF($A22="","",IF(OR($S22="System",$I22="Exited"),$T22,SUMIFS(CurrentPositionsTable[Quantity],CurrentPositionsTable[Ticker],$A22)-SUMIFS($T$3:$T$44,$A$3:$A$44,$A22,$S$3:$S$44,"System",$I$3:$I$44,"Held")))</f>
        <v>30</v>
      </c>
      <c r="V22" s="182">
        <f t="shared" si="4"/>
        <v>8338.2000000000007</v>
      </c>
      <c r="W22" s="182">
        <f t="shared" si="5"/>
        <v>7565.4000000000005</v>
      </c>
      <c r="X22" s="183">
        <f t="shared" si="6"/>
        <v>-772.80000000000018</v>
      </c>
      <c r="Y22" s="177">
        <v>162.01</v>
      </c>
      <c r="Z22" s="182">
        <f t="shared" si="8"/>
        <v>4860.2999999999993</v>
      </c>
      <c r="AA22" s="183">
        <f t="shared" si="9"/>
        <v>2705.1000000000013</v>
      </c>
      <c r="AB22" s="179">
        <f t="shared" si="10"/>
        <v>0.55657058206283594</v>
      </c>
      <c r="AC22" s="183">
        <f t="shared" si="11"/>
        <v>-1.6247677938137801</v>
      </c>
    </row>
    <row r="23" spans="1:29" ht="15" customHeight="1" x14ac:dyDescent="0.35">
      <c r="A23" s="184" t="s">
        <v>155</v>
      </c>
      <c r="B23" s="119" t="s">
        <v>565</v>
      </c>
      <c r="C23" s="176">
        <v>46239</v>
      </c>
      <c r="D23" s="177">
        <v>127.24</v>
      </c>
      <c r="E23" s="178"/>
      <c r="F23" s="119"/>
      <c r="G23" s="119"/>
      <c r="H23" s="177">
        <f t="shared" si="12"/>
        <v>769.79</v>
      </c>
      <c r="I23" s="119" t="s">
        <v>556</v>
      </c>
      <c r="J23" s="176"/>
      <c r="K23" s="177"/>
      <c r="L23" s="119"/>
      <c r="M23" s="177">
        <f>IFERROR(INDEX('Market Data'!$C$3:$C$300,MATCH($A23,'Market Data'!$A$3:$A$300,0)),"")</f>
        <v>120.03</v>
      </c>
      <c r="N23" s="177">
        <f t="shared" si="0"/>
        <v>769.64</v>
      </c>
      <c r="O23" s="179">
        <f t="shared" si="1"/>
        <v>-5.6664570889657262E-2</v>
      </c>
      <c r="P23" s="179">
        <f t="shared" si="2"/>
        <v>-1.9485833798826846E-4</v>
      </c>
      <c r="Q23" s="179">
        <f t="shared" si="3"/>
        <v>-5.6469712551668994E-2</v>
      </c>
      <c r="R23" s="177" t="s">
        <v>566</v>
      </c>
      <c r="S23" s="177" t="s">
        <v>562</v>
      </c>
      <c r="T23" s="180">
        <v>400.00000999999997</v>
      </c>
      <c r="U23" s="181">
        <f>IF($A23="","",IF(OR($S23="System",$I23="Exited"),$T23,SUMIFS(CurrentPositionsTable[Quantity],CurrentPositionsTable[Ticker],$A23)-SUMIFS($T$3:$T$44,$A$3:$A$44,$A23,$S$3:$S$44,"System",$I$3:$I$44,"Held")))</f>
        <v>400.00000999999997</v>
      </c>
      <c r="V23" s="182">
        <f t="shared" si="4"/>
        <v>50896.001272399997</v>
      </c>
      <c r="W23" s="182">
        <f t="shared" si="5"/>
        <v>48012.001200299994</v>
      </c>
      <c r="X23" s="183">
        <f t="shared" si="6"/>
        <v>-2884.0000721000033</v>
      </c>
      <c r="Y23" s="177">
        <v>101.98</v>
      </c>
      <c r="Z23" s="182">
        <f t="shared" si="8"/>
        <v>40792.001019800002</v>
      </c>
      <c r="AA23" s="183">
        <f t="shared" si="9"/>
        <v>7220.000180499992</v>
      </c>
      <c r="AB23" s="179">
        <f t="shared" si="10"/>
        <v>0.17699548931162945</v>
      </c>
      <c r="AC23" s="183">
        <f t="shared" si="11"/>
        <v>-9.9175102181886601</v>
      </c>
    </row>
    <row r="24" spans="1:29" ht="15" customHeight="1" x14ac:dyDescent="0.35">
      <c r="A24" s="184" t="s">
        <v>125</v>
      </c>
      <c r="B24" s="119" t="s">
        <v>567</v>
      </c>
      <c r="C24" s="176">
        <v>46239</v>
      </c>
      <c r="D24" s="177">
        <v>161.66999999999999</v>
      </c>
      <c r="E24" s="178"/>
      <c r="F24" s="119"/>
      <c r="G24" s="119"/>
      <c r="H24" s="177">
        <f t="shared" si="12"/>
        <v>769.79</v>
      </c>
      <c r="I24" s="119" t="s">
        <v>556</v>
      </c>
      <c r="J24" s="176"/>
      <c r="K24" s="177"/>
      <c r="L24" s="119"/>
      <c r="M24" s="177">
        <f>IFERROR(INDEX('Market Data'!$C$3:$C$300,MATCH($A24,'Market Data'!$A$3:$A$300,0)),"")</f>
        <v>153.05000000000001</v>
      </c>
      <c r="N24" s="177">
        <f t="shared" si="0"/>
        <v>769.64</v>
      </c>
      <c r="O24" s="179">
        <f t="shared" si="1"/>
        <v>-5.3318488278592091E-2</v>
      </c>
      <c r="P24" s="179">
        <f t="shared" si="2"/>
        <v>-1.9485833798826846E-4</v>
      </c>
      <c r="Q24" s="179">
        <f t="shared" si="3"/>
        <v>-5.3123629940603823E-2</v>
      </c>
      <c r="R24" s="177" t="s">
        <v>566</v>
      </c>
      <c r="S24" s="177" t="s">
        <v>562</v>
      </c>
      <c r="T24" s="180">
        <v>150</v>
      </c>
      <c r="U24" s="181">
        <f>IF($A24="","",IF(OR($S24="System",$I24="Exited"),$T24,SUMIFS(CurrentPositionsTable[Quantity],CurrentPositionsTable[Ticker],$A24)-SUMIFS($T$3:$T$44,$A$3:$A$44,$A24,$S$3:$S$44,"System",$I$3:$I$44,"Held")))</f>
        <v>150</v>
      </c>
      <c r="V24" s="182">
        <f t="shared" si="4"/>
        <v>24250.499999999996</v>
      </c>
      <c r="W24" s="182">
        <f t="shared" si="5"/>
        <v>22957.5</v>
      </c>
      <c r="X24" s="183">
        <f t="shared" si="6"/>
        <v>-1292.9999999999964</v>
      </c>
      <c r="Y24" s="177">
        <v>141.13999999999999</v>
      </c>
      <c r="Z24" s="182">
        <f t="shared" si="8"/>
        <v>21170.999999999996</v>
      </c>
      <c r="AA24" s="183">
        <f t="shared" si="9"/>
        <v>1786.5000000000036</v>
      </c>
      <c r="AB24" s="179">
        <f t="shared" si="10"/>
        <v>8.438429927731339E-2</v>
      </c>
      <c r="AC24" s="183">
        <f t="shared" si="11"/>
        <v>-4.7254121253845032</v>
      </c>
    </row>
    <row r="25" spans="1:29" ht="15" customHeight="1" x14ac:dyDescent="0.35">
      <c r="A25" s="184" t="s">
        <v>161</v>
      </c>
      <c r="B25" s="119" t="s">
        <v>568</v>
      </c>
      <c r="C25" s="176">
        <v>46239</v>
      </c>
      <c r="D25" s="177">
        <v>69.61</v>
      </c>
      <c r="E25" s="178"/>
      <c r="F25" s="119"/>
      <c r="G25" s="119"/>
      <c r="H25" s="177">
        <f t="shared" si="12"/>
        <v>769.79</v>
      </c>
      <c r="I25" s="119" t="s">
        <v>556</v>
      </c>
      <c r="J25" s="176"/>
      <c r="K25" s="177"/>
      <c r="L25" s="119"/>
      <c r="M25" s="177">
        <f>IFERROR(INDEX('Market Data'!$C$3:$C$300,MATCH($A25,'Market Data'!$A$3:$A$300,0)),"")</f>
        <v>69.42</v>
      </c>
      <c r="N25" s="177">
        <f t="shared" si="0"/>
        <v>769.64</v>
      </c>
      <c r="O25" s="179">
        <f t="shared" si="1"/>
        <v>-2.7294928889527448E-3</v>
      </c>
      <c r="P25" s="179">
        <f t="shared" si="2"/>
        <v>-1.9485833798826846E-4</v>
      </c>
      <c r="Q25" s="179">
        <f t="shared" si="3"/>
        <v>-2.5346345509644763E-3</v>
      </c>
      <c r="R25" s="177" t="s">
        <v>566</v>
      </c>
      <c r="S25" s="177" t="s">
        <v>562</v>
      </c>
      <c r="T25" s="180">
        <v>500</v>
      </c>
      <c r="U25" s="181">
        <f>IF($A25="","",IF(OR($S25="System",$I25="Exited"),$T25,SUMIFS(CurrentPositionsTable[Quantity],CurrentPositionsTable[Ticker],$A25)-SUMIFS($T$3:$T$44,$A$3:$A$44,$A25,$S$3:$S$44,"System",$I$3:$I$44,"Held")))</f>
        <v>500</v>
      </c>
      <c r="V25" s="182">
        <f t="shared" si="4"/>
        <v>34805</v>
      </c>
      <c r="W25" s="182">
        <f t="shared" si="5"/>
        <v>34710</v>
      </c>
      <c r="X25" s="183">
        <f t="shared" si="6"/>
        <v>-95</v>
      </c>
      <c r="Y25" s="177">
        <v>66.430000000000007</v>
      </c>
      <c r="Z25" s="182">
        <f t="shared" si="8"/>
        <v>33215</v>
      </c>
      <c r="AA25" s="183">
        <f t="shared" si="9"/>
        <v>1495</v>
      </c>
      <c r="AB25" s="179">
        <f t="shared" si="10"/>
        <v>4.5009784735812186E-2</v>
      </c>
      <c r="AC25" s="183">
        <f t="shared" si="11"/>
        <v>-6.7820444536816833</v>
      </c>
    </row>
    <row r="26" spans="1:29" ht="15" customHeight="1" x14ac:dyDescent="0.35">
      <c r="A26" s="184" t="s">
        <v>186</v>
      </c>
      <c r="B26" s="119" t="s">
        <v>569</v>
      </c>
      <c r="C26" s="176">
        <v>46239</v>
      </c>
      <c r="D26" s="177">
        <v>57.51</v>
      </c>
      <c r="E26" s="178"/>
      <c r="F26" s="119"/>
      <c r="G26" s="119"/>
      <c r="H26" s="177">
        <f t="shared" si="12"/>
        <v>769.79</v>
      </c>
      <c r="I26" s="119" t="s">
        <v>556</v>
      </c>
      <c r="J26" s="176"/>
      <c r="K26" s="177"/>
      <c r="L26" s="119"/>
      <c r="M26" s="177">
        <f>IFERROR(INDEX('Market Data'!$C$3:$C$300,MATCH($A26,'Market Data'!$A$3:$A$300,0)),"")</f>
        <v>56.1</v>
      </c>
      <c r="N26" s="177">
        <f t="shared" si="0"/>
        <v>769.64</v>
      </c>
      <c r="O26" s="179">
        <f t="shared" si="1"/>
        <v>-2.4517475221700558E-2</v>
      </c>
      <c r="P26" s="179">
        <f t="shared" si="2"/>
        <v>-1.9485833798826846E-4</v>
      </c>
      <c r="Q26" s="179">
        <f t="shared" si="3"/>
        <v>-2.4322616883712289E-2</v>
      </c>
      <c r="R26" s="177" t="s">
        <v>566</v>
      </c>
      <c r="S26" s="177" t="s">
        <v>562</v>
      </c>
      <c r="T26" s="180">
        <v>180</v>
      </c>
      <c r="U26" s="181">
        <f>IF($A26="","",IF(OR($S26="System",$I26="Exited"),$T26,SUMIFS(CurrentPositionsTable[Quantity],CurrentPositionsTable[Ticker],$A26)-SUMIFS($T$3:$T$44,$A$3:$A$44,$A26,$S$3:$S$44,"System",$I$3:$I$44,"Held")))</f>
        <v>180</v>
      </c>
      <c r="V26" s="182">
        <f t="shared" si="4"/>
        <v>10351.799999999999</v>
      </c>
      <c r="W26" s="182">
        <f t="shared" si="5"/>
        <v>10098</v>
      </c>
      <c r="X26" s="183">
        <f t="shared" si="6"/>
        <v>-253.79999999999927</v>
      </c>
      <c r="Y26" s="177">
        <v>57.24</v>
      </c>
      <c r="Z26" s="182">
        <f t="shared" si="8"/>
        <v>10303.200000000001</v>
      </c>
      <c r="AA26" s="183">
        <f t="shared" si="9"/>
        <v>-205.20000000000073</v>
      </c>
      <c r="AB26" s="179">
        <f t="shared" si="10"/>
        <v>-1.9916142557652061E-2</v>
      </c>
      <c r="AC26" s="183">
        <f t="shared" si="11"/>
        <v>-2.0171345431869572</v>
      </c>
    </row>
    <row r="27" spans="1:29" ht="15" customHeight="1" x14ac:dyDescent="0.35">
      <c r="A27" s="184" t="s">
        <v>151</v>
      </c>
      <c r="B27" s="119" t="s">
        <v>570</v>
      </c>
      <c r="C27" s="176">
        <v>46239</v>
      </c>
      <c r="D27" s="177">
        <v>59.38</v>
      </c>
      <c r="E27" s="178"/>
      <c r="F27" s="119"/>
      <c r="G27" s="119"/>
      <c r="H27" s="177">
        <f t="shared" si="12"/>
        <v>769.79</v>
      </c>
      <c r="I27" s="119" t="s">
        <v>556</v>
      </c>
      <c r="J27" s="176"/>
      <c r="K27" s="177"/>
      <c r="L27" s="119"/>
      <c r="M27" s="177">
        <f>IFERROR(INDEX('Market Data'!$C$3:$C$300,MATCH($A27,'Market Data'!$A$3:$A$300,0)),"")</f>
        <v>61.04</v>
      </c>
      <c r="N27" s="177">
        <f t="shared" si="0"/>
        <v>769.64</v>
      </c>
      <c r="O27" s="179">
        <f t="shared" si="1"/>
        <v>2.7955540586055871E-2</v>
      </c>
      <c r="P27" s="179">
        <f t="shared" si="2"/>
        <v>-1.9485833798826846E-4</v>
      </c>
      <c r="Q27" s="179">
        <f t="shared" si="3"/>
        <v>2.815039892404414E-2</v>
      </c>
      <c r="R27" s="177" t="s">
        <v>566</v>
      </c>
      <c r="S27" s="177" t="s">
        <v>562</v>
      </c>
      <c r="T27" s="180">
        <v>850.35693000000003</v>
      </c>
      <c r="U27" s="181">
        <f>IF($A27="","",IF(OR($S27="System",$I27="Exited"),$T27,SUMIFS(CurrentPositionsTable[Quantity],CurrentPositionsTable[Ticker],$A27)-SUMIFS($T$3:$T$44,$A$3:$A$44,$A27,$S$3:$S$44,"System",$I$3:$I$44,"Held")))</f>
        <v>850.35693000000003</v>
      </c>
      <c r="V27" s="182">
        <f t="shared" si="4"/>
        <v>50494.194503400002</v>
      </c>
      <c r="W27" s="182">
        <f t="shared" si="5"/>
        <v>51905.787007200001</v>
      </c>
      <c r="X27" s="183">
        <f t="shared" si="6"/>
        <v>1411.5925037999987</v>
      </c>
      <c r="Y27" s="177">
        <v>58.12</v>
      </c>
      <c r="Z27" s="182">
        <f t="shared" si="8"/>
        <v>49422.744771600002</v>
      </c>
      <c r="AA27" s="183">
        <f t="shared" si="9"/>
        <v>2483.0422355999981</v>
      </c>
      <c r="AB27" s="179">
        <f t="shared" si="10"/>
        <v>5.0240880935994436E-2</v>
      </c>
      <c r="AC27" s="183">
        <f t="shared" si="11"/>
        <v>-9.8392148189888857</v>
      </c>
    </row>
    <row r="28" spans="1:29" ht="15" customHeight="1" x14ac:dyDescent="0.35">
      <c r="A28" s="184" t="s">
        <v>135</v>
      </c>
      <c r="B28" s="119" t="s">
        <v>571</v>
      </c>
      <c r="C28" s="176">
        <v>46239</v>
      </c>
      <c r="D28" s="177">
        <v>52.9</v>
      </c>
      <c r="E28" s="178"/>
      <c r="F28" s="119"/>
      <c r="G28" s="119"/>
      <c r="H28" s="177">
        <f t="shared" si="12"/>
        <v>769.79</v>
      </c>
      <c r="I28" s="119" t="s">
        <v>556</v>
      </c>
      <c r="J28" s="176"/>
      <c r="K28" s="177"/>
      <c r="L28" s="119"/>
      <c r="M28" s="177">
        <f>IFERROR(INDEX('Market Data'!$C$3:$C$300,MATCH($A28,'Market Data'!$A$3:$A$300,0)),"")</f>
        <v>51.17</v>
      </c>
      <c r="N28" s="177">
        <f t="shared" si="0"/>
        <v>769.64</v>
      </c>
      <c r="O28" s="179">
        <f t="shared" si="1"/>
        <v>-3.2703213610585924E-2</v>
      </c>
      <c r="P28" s="179">
        <f t="shared" si="2"/>
        <v>-1.9485833798826846E-4</v>
      </c>
      <c r="Q28" s="179">
        <f t="shared" si="3"/>
        <v>-3.2508355272597655E-2</v>
      </c>
      <c r="R28" s="177" t="s">
        <v>566</v>
      </c>
      <c r="S28" s="177" t="s">
        <v>562</v>
      </c>
      <c r="T28" s="180">
        <v>1000</v>
      </c>
      <c r="U28" s="181">
        <f>IF($A28="","",IF(OR($S28="System",$I28="Exited"),$T28,SUMIFS(CurrentPositionsTable[Quantity],CurrentPositionsTable[Ticker],$A28)-SUMIFS($T$3:$T$44,$A$3:$A$44,$A28,$S$3:$S$44,"System",$I$3:$I$44,"Held")))</f>
        <v>1000</v>
      </c>
      <c r="V28" s="182">
        <f t="shared" si="4"/>
        <v>52900</v>
      </c>
      <c r="W28" s="182">
        <f t="shared" si="5"/>
        <v>51170</v>
      </c>
      <c r="X28" s="183">
        <f t="shared" si="6"/>
        <v>-1730</v>
      </c>
      <c r="Y28" s="177">
        <v>50.11</v>
      </c>
      <c r="Z28" s="182">
        <f t="shared" si="8"/>
        <v>50110</v>
      </c>
      <c r="AA28" s="183">
        <f t="shared" si="9"/>
        <v>1060</v>
      </c>
      <c r="AB28" s="179">
        <f t="shared" si="10"/>
        <v>2.1153462382757837E-2</v>
      </c>
      <c r="AC28" s="183">
        <f t="shared" si="11"/>
        <v>-10.308006079579402</v>
      </c>
    </row>
    <row r="29" spans="1:29" ht="15" customHeight="1" x14ac:dyDescent="0.35">
      <c r="A29" s="184" t="s">
        <v>131</v>
      </c>
      <c r="B29" s="119" t="s">
        <v>572</v>
      </c>
      <c r="C29" s="176">
        <v>46239</v>
      </c>
      <c r="D29" s="177">
        <v>33.64</v>
      </c>
      <c r="E29" s="178"/>
      <c r="F29" s="119"/>
      <c r="G29" s="119"/>
      <c r="H29" s="177">
        <f t="shared" si="12"/>
        <v>769.79</v>
      </c>
      <c r="I29" s="119" t="s">
        <v>556</v>
      </c>
      <c r="J29" s="176"/>
      <c r="K29" s="177"/>
      <c r="L29" s="119"/>
      <c r="M29" s="177">
        <f>IFERROR(INDEX('Market Data'!$C$3:$C$300,MATCH($A29,'Market Data'!$A$3:$A$300,0)),"")</f>
        <v>32.72</v>
      </c>
      <c r="N29" s="177">
        <f t="shared" si="0"/>
        <v>769.64</v>
      </c>
      <c r="O29" s="179">
        <f t="shared" si="1"/>
        <v>-2.7348394768133222E-2</v>
      </c>
      <c r="P29" s="179">
        <f t="shared" si="2"/>
        <v>-1.9485833798826846E-4</v>
      </c>
      <c r="Q29" s="179">
        <f t="shared" si="3"/>
        <v>-2.7153536430144953E-2</v>
      </c>
      <c r="R29" s="177" t="s">
        <v>566</v>
      </c>
      <c r="S29" s="177" t="s">
        <v>562</v>
      </c>
      <c r="T29" s="180">
        <v>700</v>
      </c>
      <c r="U29" s="181">
        <f>IF($A29="","",IF(OR($S29="System",$I29="Exited"),$T29,SUMIFS(CurrentPositionsTable[Quantity],CurrentPositionsTable[Ticker],$A29)-SUMIFS($T$3:$T$44,$A$3:$A$44,$A29,$S$3:$S$44,"System",$I$3:$I$44,"Held")))</f>
        <v>700</v>
      </c>
      <c r="V29" s="182">
        <f t="shared" si="4"/>
        <v>23548</v>
      </c>
      <c r="W29" s="182">
        <f t="shared" si="5"/>
        <v>22904</v>
      </c>
      <c r="X29" s="183">
        <f t="shared" si="6"/>
        <v>-644</v>
      </c>
      <c r="Y29" s="177">
        <v>27.43</v>
      </c>
      <c r="Z29" s="182">
        <f t="shared" si="8"/>
        <v>19201</v>
      </c>
      <c r="AA29" s="183">
        <f t="shared" si="9"/>
        <v>3703</v>
      </c>
      <c r="AB29" s="179">
        <f t="shared" si="10"/>
        <v>0.19285453882610271</v>
      </c>
      <c r="AC29" s="183">
        <f t="shared" si="11"/>
        <v>-4.5885241429477457</v>
      </c>
    </row>
    <row r="30" spans="1:29" ht="15" customHeight="1" x14ac:dyDescent="0.35">
      <c r="A30" s="184" t="s">
        <v>137</v>
      </c>
      <c r="B30" s="119" t="s">
        <v>573</v>
      </c>
      <c r="C30" s="176">
        <v>46239</v>
      </c>
      <c r="D30" s="177">
        <v>150.27000000000001</v>
      </c>
      <c r="E30" s="178"/>
      <c r="F30" s="119"/>
      <c r="G30" s="119"/>
      <c r="H30" s="177">
        <f t="shared" si="12"/>
        <v>769.79</v>
      </c>
      <c r="I30" s="119" t="s">
        <v>556</v>
      </c>
      <c r="J30" s="176"/>
      <c r="K30" s="177"/>
      <c r="L30" s="119"/>
      <c r="M30" s="177">
        <f>IFERROR(INDEX('Market Data'!$C$3:$C$300,MATCH($A30,'Market Data'!$A$3:$A$300,0)),"")</f>
        <v>153.22999999999999</v>
      </c>
      <c r="N30" s="177">
        <f t="shared" si="0"/>
        <v>769.64</v>
      </c>
      <c r="O30" s="179">
        <f t="shared" si="1"/>
        <v>1.9697877154455146E-2</v>
      </c>
      <c r="P30" s="179">
        <f t="shared" si="2"/>
        <v>-1.9485833798826846E-4</v>
      </c>
      <c r="Q30" s="179">
        <f t="shared" si="3"/>
        <v>1.9892735492443414E-2</v>
      </c>
      <c r="R30" s="177" t="s">
        <v>566</v>
      </c>
      <c r="S30" s="177" t="s">
        <v>562</v>
      </c>
      <c r="T30" s="180">
        <v>176.93745000000001</v>
      </c>
      <c r="U30" s="181">
        <f>IF($A30="","",IF(OR($S30="System",$I30="Exited"),$T30,SUMIFS(CurrentPositionsTable[Quantity],CurrentPositionsTable[Ticker],$A30)-SUMIFS($T$3:$T$44,$A$3:$A$44,$A30,$S$3:$S$44,"System",$I$3:$I$44,"Held")))</f>
        <v>176.93745000000001</v>
      </c>
      <c r="V30" s="182">
        <f t="shared" si="4"/>
        <v>26588.390611500003</v>
      </c>
      <c r="W30" s="182">
        <f t="shared" si="5"/>
        <v>27112.1254635</v>
      </c>
      <c r="X30" s="183">
        <f t="shared" si="6"/>
        <v>523.73485199999777</v>
      </c>
      <c r="Y30" s="177">
        <v>119.32</v>
      </c>
      <c r="Z30" s="182">
        <f t="shared" si="8"/>
        <v>21112.176534000002</v>
      </c>
      <c r="AA30" s="183">
        <f t="shared" si="9"/>
        <v>5999.9489294999985</v>
      </c>
      <c r="AB30" s="179">
        <f t="shared" si="10"/>
        <v>0.28419376466644297</v>
      </c>
      <c r="AC30" s="183">
        <f t="shared" si="11"/>
        <v>-5.1809696043397713</v>
      </c>
    </row>
    <row r="31" spans="1:29" ht="15" customHeight="1" x14ac:dyDescent="0.35">
      <c r="A31" s="184" t="s">
        <v>128</v>
      </c>
      <c r="B31" s="119" t="s">
        <v>574</v>
      </c>
      <c r="C31" s="176">
        <v>46239</v>
      </c>
      <c r="D31" s="177">
        <v>50.42</v>
      </c>
      <c r="E31" s="178"/>
      <c r="F31" s="119"/>
      <c r="G31" s="119"/>
      <c r="H31" s="177">
        <f t="shared" si="12"/>
        <v>769.79</v>
      </c>
      <c r="I31" s="119" t="s">
        <v>556</v>
      </c>
      <c r="J31" s="176"/>
      <c r="K31" s="177"/>
      <c r="L31" s="119"/>
      <c r="M31" s="177">
        <f>IFERROR(INDEX('Market Data'!$C$3:$C$300,MATCH($A31,'Market Data'!$A$3:$A$300,0)),"")</f>
        <v>51.82</v>
      </c>
      <c r="N31" s="177">
        <f t="shared" si="0"/>
        <v>769.64</v>
      </c>
      <c r="O31" s="179">
        <f t="shared" si="1"/>
        <v>2.7766759222530801E-2</v>
      </c>
      <c r="P31" s="179">
        <f t="shared" si="2"/>
        <v>-1.9485833798826846E-4</v>
      </c>
      <c r="Q31" s="179">
        <f t="shared" si="3"/>
        <v>2.796161756051907E-2</v>
      </c>
      <c r="R31" s="177" t="s">
        <v>566</v>
      </c>
      <c r="S31" s="177" t="s">
        <v>562</v>
      </c>
      <c r="T31" s="180">
        <v>651.30399999999997</v>
      </c>
      <c r="U31" s="181">
        <f>IF($A31="","",IF(OR($S31="System",$I31="Exited"),$T31,SUMIFS(CurrentPositionsTable[Quantity],CurrentPositionsTable[Ticker],$A31)-SUMIFS($T$3:$T$44,$A$3:$A$44,$A31,$S$3:$S$44,"System",$I$3:$I$44,"Held")))</f>
        <v>651.30399999999997</v>
      </c>
      <c r="V31" s="182">
        <f t="shared" si="4"/>
        <v>32838.74768</v>
      </c>
      <c r="W31" s="182">
        <f t="shared" si="5"/>
        <v>33750.573279999997</v>
      </c>
      <c r="X31" s="183">
        <f t="shared" si="6"/>
        <v>911.82559999999648</v>
      </c>
      <c r="Y31" s="177">
        <v>39.380000000000003</v>
      </c>
      <c r="Z31" s="182">
        <f t="shared" si="8"/>
        <v>25648.35152</v>
      </c>
      <c r="AA31" s="183">
        <f t="shared" si="9"/>
        <v>8102.2217599999967</v>
      </c>
      <c r="AB31" s="179">
        <f t="shared" si="10"/>
        <v>0.31589639410868453</v>
      </c>
      <c r="AC31" s="183">
        <f t="shared" si="11"/>
        <v>-6.3989037945409066</v>
      </c>
    </row>
    <row r="32" spans="1:29" ht="15" customHeight="1" x14ac:dyDescent="0.35">
      <c r="A32" s="184" t="s">
        <v>133</v>
      </c>
      <c r="B32" s="119" t="s">
        <v>575</v>
      </c>
      <c r="C32" s="176">
        <v>46239</v>
      </c>
      <c r="D32" s="177">
        <v>165.13</v>
      </c>
      <c r="E32" s="178"/>
      <c r="F32" s="119"/>
      <c r="G32" s="119"/>
      <c r="H32" s="177">
        <f t="shared" si="12"/>
        <v>769.79</v>
      </c>
      <c r="I32" s="119" t="s">
        <v>556</v>
      </c>
      <c r="J32" s="176"/>
      <c r="K32" s="177"/>
      <c r="L32" s="119"/>
      <c r="M32" s="177">
        <f>IFERROR(INDEX('Market Data'!$C$3:$C$300,MATCH($A32,'Market Data'!$A$3:$A$300,0)),"")</f>
        <v>156.46</v>
      </c>
      <c r="N32" s="177">
        <f t="shared" si="0"/>
        <v>769.64</v>
      </c>
      <c r="O32" s="179">
        <f t="shared" si="1"/>
        <v>-5.2504087688487799E-2</v>
      </c>
      <c r="P32" s="179">
        <f t="shared" si="2"/>
        <v>-1.9485833798826846E-4</v>
      </c>
      <c r="Q32" s="179">
        <f t="shared" si="3"/>
        <v>-5.2309229350499531E-2</v>
      </c>
      <c r="R32" s="177" t="s">
        <v>566</v>
      </c>
      <c r="S32" s="177" t="s">
        <v>562</v>
      </c>
      <c r="T32" s="180">
        <v>150</v>
      </c>
      <c r="U32" s="181">
        <f>IF($A32="","",IF(OR($S32="System",$I32="Exited"),$T32,SUMIFS(CurrentPositionsTable[Quantity],CurrentPositionsTable[Ticker],$A32)-SUMIFS($T$3:$T$44,$A$3:$A$44,$A32,$S$3:$S$44,"System",$I$3:$I$44,"Held")))</f>
        <v>150</v>
      </c>
      <c r="V32" s="182">
        <f t="shared" si="4"/>
        <v>24769.5</v>
      </c>
      <c r="W32" s="182">
        <f t="shared" si="5"/>
        <v>23469</v>
      </c>
      <c r="X32" s="183">
        <f t="shared" si="6"/>
        <v>-1300.5</v>
      </c>
      <c r="Y32" s="177">
        <v>143.52000000000001</v>
      </c>
      <c r="Z32" s="182">
        <f t="shared" si="8"/>
        <v>21528</v>
      </c>
      <c r="AA32" s="183">
        <f t="shared" si="9"/>
        <v>1941</v>
      </c>
      <c r="AB32" s="179">
        <f t="shared" si="10"/>
        <v>9.0161649944258571E-2</v>
      </c>
      <c r="AC32" s="183">
        <f t="shared" si="11"/>
        <v>-4.8265436028004158</v>
      </c>
    </row>
    <row r="33" spans="1:29" ht="15" customHeight="1" x14ac:dyDescent="0.35">
      <c r="A33" s="184" t="s">
        <v>120</v>
      </c>
      <c r="B33" s="119" t="s">
        <v>576</v>
      </c>
      <c r="C33" s="176">
        <v>46239</v>
      </c>
      <c r="D33" s="177">
        <v>1</v>
      </c>
      <c r="E33" s="178"/>
      <c r="F33" s="119"/>
      <c r="G33" s="119"/>
      <c r="H33" s="177">
        <f t="shared" si="12"/>
        <v>769.79</v>
      </c>
      <c r="I33" s="119" t="s">
        <v>556</v>
      </c>
      <c r="J33" s="176"/>
      <c r="K33" s="177"/>
      <c r="L33" s="119"/>
      <c r="M33" s="177">
        <v>1</v>
      </c>
      <c r="N33" s="177">
        <f t="shared" si="0"/>
        <v>769.64</v>
      </c>
      <c r="O33" s="179">
        <f t="shared" si="1"/>
        <v>0</v>
      </c>
      <c r="P33" s="179">
        <f t="shared" si="2"/>
        <v>-1.9485833798826846E-4</v>
      </c>
      <c r="Q33" s="179">
        <f t="shared" si="3"/>
        <v>1.9485833798826846E-4</v>
      </c>
      <c r="R33" s="177" t="s">
        <v>122</v>
      </c>
      <c r="S33" s="177" t="s">
        <v>562</v>
      </c>
      <c r="T33" s="180"/>
      <c r="U33" s="181">
        <f>IF($A33="","",IF(OR($S33="System",$I33="Exited"),$T33,SUMIFS(CurrentPositionsTable[Quantity],CurrentPositionsTable[Ticker],$A33)-SUMIFS($T$3:$T$44,$A$3:$A$44,$A33,$S$3:$S$44,"System",$I$3:$I$44,"Held")))</f>
        <v>38154.18</v>
      </c>
      <c r="V33" s="182">
        <f t="shared" si="4"/>
        <v>38154.18</v>
      </c>
      <c r="W33" s="182">
        <f t="shared" si="5"/>
        <v>38154.18</v>
      </c>
      <c r="X33" s="183">
        <f t="shared" si="6"/>
        <v>0</v>
      </c>
      <c r="Y33" s="177">
        <v>1</v>
      </c>
      <c r="Z33" s="182">
        <f t="shared" si="8"/>
        <v>38154.18</v>
      </c>
      <c r="AA33" s="183">
        <f t="shared" si="9"/>
        <v>0</v>
      </c>
      <c r="AB33" s="179">
        <f t="shared" si="10"/>
        <v>0</v>
      </c>
      <c r="AC33" s="183">
        <f t="shared" si="11"/>
        <v>-7.4346601021052328</v>
      </c>
    </row>
    <row r="34" spans="1:29" ht="15" customHeight="1" x14ac:dyDescent="0.35">
      <c r="A34" s="184" t="s">
        <v>123</v>
      </c>
      <c r="B34" s="119" t="s">
        <v>577</v>
      </c>
      <c r="C34" s="176">
        <v>46239</v>
      </c>
      <c r="D34" s="177">
        <v>1</v>
      </c>
      <c r="E34" s="178"/>
      <c r="F34" s="119"/>
      <c r="G34" s="119"/>
      <c r="H34" s="177">
        <f t="shared" si="12"/>
        <v>769.79</v>
      </c>
      <c r="I34" s="119" t="s">
        <v>556</v>
      </c>
      <c r="J34" s="176"/>
      <c r="K34" s="177"/>
      <c r="L34" s="119"/>
      <c r="M34" s="177">
        <v>1</v>
      </c>
      <c r="N34" s="177">
        <f t="shared" si="0"/>
        <v>769.64</v>
      </c>
      <c r="O34" s="179">
        <f t="shared" si="1"/>
        <v>0</v>
      </c>
      <c r="P34" s="179">
        <f t="shared" si="2"/>
        <v>-1.9485833798826846E-4</v>
      </c>
      <c r="Q34" s="179">
        <f t="shared" si="3"/>
        <v>1.9485833798826846E-4</v>
      </c>
      <c r="R34" s="177" t="s">
        <v>122</v>
      </c>
      <c r="S34" s="177" t="s">
        <v>562</v>
      </c>
      <c r="T34" s="180"/>
      <c r="U34" s="181">
        <f>IF($A34="","",IF(OR($S34="System",$I34="Exited"),$T34,SUMIFS(CurrentPositionsTable[Quantity],CurrentPositionsTable[Ticker],$A34)-SUMIFS($T$3:$T$44,$A$3:$A$44,$A34,$S$3:$S$44,"System",$I$3:$I$44,"Held")))</f>
        <v>1174.01</v>
      </c>
      <c r="V34" s="182">
        <f t="shared" si="4"/>
        <v>1174.01</v>
      </c>
      <c r="W34" s="182">
        <f t="shared" si="5"/>
        <v>1174.01</v>
      </c>
      <c r="X34" s="183">
        <f t="shared" si="6"/>
        <v>0</v>
      </c>
      <c r="Y34" s="177">
        <v>1</v>
      </c>
      <c r="Z34" s="182">
        <f t="shared" si="8"/>
        <v>1174.01</v>
      </c>
      <c r="AA34" s="183">
        <f t="shared" si="9"/>
        <v>0</v>
      </c>
      <c r="AB34" s="179">
        <f t="shared" si="10"/>
        <v>0</v>
      </c>
      <c r="AC34" s="183">
        <f t="shared" si="11"/>
        <v>-0.22876563738160705</v>
      </c>
    </row>
    <row r="35" spans="1:29" ht="15" customHeight="1" x14ac:dyDescent="0.35">
      <c r="A35" s="184" t="s">
        <v>181</v>
      </c>
      <c r="B35" s="119" t="s">
        <v>578</v>
      </c>
      <c r="C35" s="176">
        <v>46239</v>
      </c>
      <c r="D35" s="177">
        <v>1</v>
      </c>
      <c r="E35" s="178"/>
      <c r="F35" s="119"/>
      <c r="G35" s="119"/>
      <c r="H35" s="177">
        <f t="shared" si="12"/>
        <v>769.79</v>
      </c>
      <c r="I35" s="119" t="s">
        <v>556</v>
      </c>
      <c r="J35" s="176"/>
      <c r="K35" s="177"/>
      <c r="L35" s="119"/>
      <c r="M35" s="177">
        <v>1</v>
      </c>
      <c r="N35" s="177">
        <f t="shared" si="0"/>
        <v>769.64</v>
      </c>
      <c r="O35" s="179">
        <f t="shared" si="1"/>
        <v>0</v>
      </c>
      <c r="P35" s="179">
        <f t="shared" si="2"/>
        <v>-1.9485833798826846E-4</v>
      </c>
      <c r="Q35" s="179">
        <f t="shared" si="3"/>
        <v>1.9485833798826846E-4</v>
      </c>
      <c r="R35" s="177" t="s">
        <v>122</v>
      </c>
      <c r="S35" s="177" t="s">
        <v>562</v>
      </c>
      <c r="T35" s="180"/>
      <c r="U35" s="181">
        <f>IF($A35="","",IF(OR($S35="System",$I35="Exited"),$T35,SUMIFS(CurrentPositionsTable[Quantity],CurrentPositionsTable[Ticker],$A35)-SUMIFS($T$3:$T$44,$A$3:$A$44,$A35,$S$3:$S$44,"System",$I$3:$I$44,"Held")))</f>
        <v>10849.71</v>
      </c>
      <c r="V35" s="182">
        <f t="shared" si="4"/>
        <v>10849.71</v>
      </c>
      <c r="W35" s="182">
        <f t="shared" si="5"/>
        <v>10849.71</v>
      </c>
      <c r="X35" s="183">
        <f t="shared" si="6"/>
        <v>0</v>
      </c>
      <c r="Y35" s="177">
        <v>1</v>
      </c>
      <c r="Z35" s="182">
        <f t="shared" si="8"/>
        <v>10849.71</v>
      </c>
      <c r="AA35" s="183">
        <f t="shared" si="9"/>
        <v>0</v>
      </c>
      <c r="AB35" s="179">
        <f t="shared" si="10"/>
        <v>0</v>
      </c>
      <c r="AC35" s="183">
        <f t="shared" si="11"/>
        <v>-2.1141564582546959</v>
      </c>
    </row>
    <row r="36" spans="1:29" ht="15" customHeight="1" x14ac:dyDescent="0.35">
      <c r="A36" s="184" t="s">
        <v>149</v>
      </c>
      <c r="B36" s="119" t="s">
        <v>579</v>
      </c>
      <c r="C36" s="176">
        <v>46239</v>
      </c>
      <c r="D36" s="177">
        <v>1</v>
      </c>
      <c r="E36" s="178"/>
      <c r="F36" s="119"/>
      <c r="G36" s="119"/>
      <c r="H36" s="177">
        <f t="shared" si="12"/>
        <v>769.79</v>
      </c>
      <c r="I36" s="119" t="s">
        <v>556</v>
      </c>
      <c r="J36" s="176"/>
      <c r="K36" s="177"/>
      <c r="L36" s="119"/>
      <c r="M36" s="177">
        <v>1</v>
      </c>
      <c r="N36" s="177">
        <f t="shared" si="0"/>
        <v>769.64</v>
      </c>
      <c r="O36" s="179">
        <f t="shared" si="1"/>
        <v>0</v>
      </c>
      <c r="P36" s="179">
        <f t="shared" si="2"/>
        <v>-1.9485833798826846E-4</v>
      </c>
      <c r="Q36" s="179">
        <f t="shared" si="3"/>
        <v>1.9485833798826846E-4</v>
      </c>
      <c r="R36" s="177" t="s">
        <v>122</v>
      </c>
      <c r="S36" s="177" t="s">
        <v>562</v>
      </c>
      <c r="T36" s="180"/>
      <c r="U36" s="181">
        <f>IF($A36="","",IF(OR($S36="System",$I36="Exited"),$T36,SUMIFS(CurrentPositionsTable[Quantity],CurrentPositionsTable[Ticker],$A36)-SUMIFS($T$3:$T$44,$A$3:$A$44,$A36,$S$3:$S$44,"System",$I$3:$I$44,"Held")))</f>
        <v>36854.47</v>
      </c>
      <c r="V36" s="182">
        <f t="shared" si="4"/>
        <v>36854.47</v>
      </c>
      <c r="W36" s="182">
        <f t="shared" si="5"/>
        <v>36854.47</v>
      </c>
      <c r="X36" s="183">
        <f t="shared" si="6"/>
        <v>0</v>
      </c>
      <c r="Y36" s="177">
        <v>1</v>
      </c>
      <c r="Z36" s="182">
        <f t="shared" si="8"/>
        <v>36854.47</v>
      </c>
      <c r="AA36" s="183">
        <f t="shared" si="9"/>
        <v>0</v>
      </c>
      <c r="AB36" s="179">
        <f t="shared" si="10"/>
        <v>0</v>
      </c>
      <c r="AC36" s="183">
        <f t="shared" si="11"/>
        <v>-7.1814007716385007</v>
      </c>
    </row>
    <row r="37" spans="1:29" ht="15" customHeight="1" x14ac:dyDescent="0.35">
      <c r="A37" s="172" t="s">
        <v>158</v>
      </c>
      <c r="B37" s="119" t="s">
        <v>580</v>
      </c>
      <c r="C37" s="176">
        <v>46239</v>
      </c>
      <c r="D37" s="177">
        <v>55.61</v>
      </c>
      <c r="E37" s="178"/>
      <c r="F37" s="119"/>
      <c r="G37" s="119"/>
      <c r="H37" s="177">
        <f t="shared" si="12"/>
        <v>769.79</v>
      </c>
      <c r="I37" s="119" t="s">
        <v>581</v>
      </c>
      <c r="J37" s="176">
        <v>46241</v>
      </c>
      <c r="K37" s="177">
        <v>56.1995</v>
      </c>
      <c r="L37" s="119" t="s">
        <v>582</v>
      </c>
      <c r="M37" s="177">
        <v>56.1995</v>
      </c>
      <c r="N37" s="177">
        <v>773.26</v>
      </c>
      <c r="O37" s="179">
        <f t="shared" si="1"/>
        <v>1.0600611400827242E-2</v>
      </c>
      <c r="P37" s="179">
        <f t="shared" si="2"/>
        <v>4.5077228854621954E-3</v>
      </c>
      <c r="Q37" s="179">
        <f t="shared" si="3"/>
        <v>6.0928885153650469E-3</v>
      </c>
      <c r="R37" s="177" t="s">
        <v>566</v>
      </c>
      <c r="S37" s="177" t="s">
        <v>562</v>
      </c>
      <c r="T37" s="180">
        <v>409.55</v>
      </c>
      <c r="U37" s="181">
        <f>IF($A37="","",IF(OR($S37="System",$I37="Exited"),$T37,SUMIFS(CurrentPositionsTable[Quantity],CurrentPositionsTable[Ticker],$A37)-SUMIFS($T$3:$T$44,$A$3:$A$44,$A37,$S$3:$S$44,"System",$I$3:$I$44,"Held")))</f>
        <v>409.55</v>
      </c>
      <c r="V37" s="182">
        <f t="shared" si="4"/>
        <v>22775.075499999999</v>
      </c>
      <c r="W37" s="182">
        <f t="shared" si="5"/>
        <v>23016.505225000001</v>
      </c>
      <c r="X37" s="183">
        <f t="shared" si="6"/>
        <v>241.42972500000178</v>
      </c>
      <c r="Y37" s="177">
        <v>44.37</v>
      </c>
      <c r="Z37" s="182">
        <f t="shared" si="8"/>
        <v>18171.733499999998</v>
      </c>
      <c r="AA37" s="183">
        <f t="shared" si="9"/>
        <v>4844.7717250000023</v>
      </c>
      <c r="AB37" s="179">
        <f t="shared" si="10"/>
        <v>0.26661032228983572</v>
      </c>
      <c r="AC37" s="183">
        <f t="shared" si="11"/>
        <v>102.66372904947934</v>
      </c>
    </row>
    <row r="38" spans="1:29" ht="15" customHeight="1" x14ac:dyDescent="0.35">
      <c r="A38" s="172" t="s">
        <v>183</v>
      </c>
      <c r="B38" s="119" t="s">
        <v>184</v>
      </c>
      <c r="C38" s="176">
        <v>46239</v>
      </c>
      <c r="D38" s="177">
        <v>38.19</v>
      </c>
      <c r="E38" s="178"/>
      <c r="F38" s="119"/>
      <c r="G38" s="119"/>
      <c r="H38" s="177">
        <f t="shared" si="12"/>
        <v>769.79</v>
      </c>
      <c r="I38" s="119" t="s">
        <v>581</v>
      </c>
      <c r="J38" s="176">
        <v>46241</v>
      </c>
      <c r="K38" s="177">
        <v>37.6492</v>
      </c>
      <c r="L38" s="119" t="s">
        <v>583</v>
      </c>
      <c r="M38" s="177">
        <v>37.6492</v>
      </c>
      <c r="N38" s="177">
        <v>773.26</v>
      </c>
      <c r="O38" s="179">
        <f t="shared" si="1"/>
        <v>-1.4160775072008303E-2</v>
      </c>
      <c r="P38" s="179">
        <f t="shared" si="2"/>
        <v>4.5077228854621954E-3</v>
      </c>
      <c r="Q38" s="179">
        <f t="shared" si="3"/>
        <v>-1.8668497957470498E-2</v>
      </c>
      <c r="R38" s="177" t="s">
        <v>557</v>
      </c>
      <c r="S38" s="177" t="s">
        <v>562</v>
      </c>
      <c r="T38" s="180">
        <v>100</v>
      </c>
      <c r="U38" s="181">
        <f>IF($A38="","",IF(OR($S38="System",$I38="Exited"),$T38,SUMIFS(CurrentPositionsTable[Quantity],CurrentPositionsTable[Ticker],$A38)-SUMIFS($T$3:$T$44,$A$3:$A$44,$A38,$S$3:$S$44,"System",$I$3:$I$44,"Held")))</f>
        <v>100</v>
      </c>
      <c r="V38" s="182">
        <f t="shared" si="4"/>
        <v>3819</v>
      </c>
      <c r="W38" s="182">
        <f t="shared" si="5"/>
        <v>3764.92</v>
      </c>
      <c r="X38" s="183">
        <f t="shared" si="6"/>
        <v>-54.079999999999927</v>
      </c>
      <c r="Y38" s="177">
        <v>46.48</v>
      </c>
      <c r="Z38" s="182">
        <f t="shared" si="8"/>
        <v>4648</v>
      </c>
      <c r="AA38" s="183">
        <f t="shared" si="9"/>
        <v>-883.07999999999993</v>
      </c>
      <c r="AB38" s="179">
        <f t="shared" si="10"/>
        <v>-0.18999139414802069</v>
      </c>
      <c r="AC38" s="183">
        <f t="shared" si="11"/>
        <v>17.214993699580123</v>
      </c>
    </row>
    <row r="39" spans="1:29" ht="15" customHeight="1" x14ac:dyDescent="0.35">
      <c r="A39" s="172" t="s">
        <v>172</v>
      </c>
      <c r="B39" s="119" t="s">
        <v>173</v>
      </c>
      <c r="C39" s="176">
        <v>46239</v>
      </c>
      <c r="D39" s="177">
        <v>85.12</v>
      </c>
      <c r="E39" s="178"/>
      <c r="F39" s="119"/>
      <c r="G39" s="119"/>
      <c r="H39" s="177">
        <f t="shared" si="12"/>
        <v>769.79</v>
      </c>
      <c r="I39" s="119" t="s">
        <v>581</v>
      </c>
      <c r="J39" s="176">
        <v>46241</v>
      </c>
      <c r="K39" s="177">
        <v>86.178200000000004</v>
      </c>
      <c r="L39" s="119" t="s">
        <v>583</v>
      </c>
      <c r="M39" s="177">
        <v>86.178200000000004</v>
      </c>
      <c r="N39" s="177">
        <v>773.26</v>
      </c>
      <c r="O39" s="179">
        <f t="shared" si="1"/>
        <v>1.2431860902255565E-2</v>
      </c>
      <c r="P39" s="179">
        <f t="shared" si="2"/>
        <v>4.5077228854621954E-3</v>
      </c>
      <c r="Q39" s="179">
        <f t="shared" si="3"/>
        <v>7.9241380167933695E-3</v>
      </c>
      <c r="R39" s="177" t="s">
        <v>557</v>
      </c>
      <c r="S39" s="177" t="s">
        <v>562</v>
      </c>
      <c r="T39" s="180">
        <v>65</v>
      </c>
      <c r="U39" s="181">
        <f>IF($A39="","",IF(OR($S39="System",$I39="Exited"),$T39,SUMIFS(CurrentPositionsTable[Quantity],CurrentPositionsTable[Ticker],$A39)-SUMIFS($T$3:$T$44,$A$3:$A$44,$A39,$S$3:$S$44,"System",$I$3:$I$44,"Held")))</f>
        <v>65</v>
      </c>
      <c r="V39" s="182">
        <f t="shared" si="4"/>
        <v>5532.8</v>
      </c>
      <c r="W39" s="182">
        <f t="shared" si="5"/>
        <v>5601.5830000000005</v>
      </c>
      <c r="X39" s="183">
        <f t="shared" si="6"/>
        <v>68.783000000000357</v>
      </c>
      <c r="Y39" s="177">
        <v>79.67</v>
      </c>
      <c r="Z39" s="182">
        <f t="shared" si="8"/>
        <v>5178.55</v>
      </c>
      <c r="AA39" s="183">
        <f t="shared" si="9"/>
        <v>423.03300000000036</v>
      </c>
      <c r="AB39" s="179">
        <f t="shared" si="10"/>
        <v>8.1689469059871955E-2</v>
      </c>
      <c r="AC39" s="183">
        <f t="shared" si="11"/>
        <v>24.940329180685236</v>
      </c>
    </row>
    <row r="40" spans="1:29" ht="15" customHeight="1" x14ac:dyDescent="0.35">
      <c r="A40" s="172" t="s">
        <v>175</v>
      </c>
      <c r="B40" s="119" t="s">
        <v>176</v>
      </c>
      <c r="C40" s="176">
        <v>46239</v>
      </c>
      <c r="D40" s="177">
        <v>321.55</v>
      </c>
      <c r="E40" s="178"/>
      <c r="F40" s="119"/>
      <c r="G40" s="119"/>
      <c r="H40" s="177">
        <f t="shared" si="12"/>
        <v>769.79</v>
      </c>
      <c r="I40" s="119" t="s">
        <v>581</v>
      </c>
      <c r="J40" s="176">
        <v>46241</v>
      </c>
      <c r="K40" s="177">
        <v>318.88330000000002</v>
      </c>
      <c r="L40" s="119" t="s">
        <v>584</v>
      </c>
      <c r="M40" s="177">
        <v>318.88330000000002</v>
      </c>
      <c r="N40" s="177">
        <v>773.26</v>
      </c>
      <c r="O40" s="179">
        <f t="shared" si="1"/>
        <v>-8.2932669880266818E-3</v>
      </c>
      <c r="P40" s="179">
        <f t="shared" si="2"/>
        <v>4.5077228854621954E-3</v>
      </c>
      <c r="Q40" s="179">
        <f t="shared" si="3"/>
        <v>-1.2800989873488877E-2</v>
      </c>
      <c r="R40" s="177" t="s">
        <v>557</v>
      </c>
      <c r="S40" s="177" t="s">
        <v>562</v>
      </c>
      <c r="T40" s="180">
        <v>15</v>
      </c>
      <c r="U40" s="181">
        <f>IF($A40="","",IF(OR($S40="System",$I40="Exited"),$T40,SUMIFS(CurrentPositionsTable[Quantity],CurrentPositionsTable[Ticker],$A40)-SUMIFS($T$3:$T$44,$A$3:$A$44,$A40,$S$3:$S$44,"System",$I$3:$I$44,"Held")))</f>
        <v>15</v>
      </c>
      <c r="V40" s="182">
        <f t="shared" si="4"/>
        <v>4823.25</v>
      </c>
      <c r="W40" s="182">
        <f t="shared" si="5"/>
        <v>4783.2494999999999</v>
      </c>
      <c r="X40" s="183">
        <f t="shared" si="6"/>
        <v>-40.000500000000102</v>
      </c>
      <c r="Y40" s="177">
        <v>449.72</v>
      </c>
      <c r="Z40" s="182">
        <f t="shared" si="8"/>
        <v>6745.8</v>
      </c>
      <c r="AA40" s="183">
        <f t="shared" si="9"/>
        <v>-1962.5505000000003</v>
      </c>
      <c r="AB40" s="179">
        <f t="shared" si="10"/>
        <v>-0.2909292448634706</v>
      </c>
      <c r="AC40" s="183">
        <f t="shared" si="11"/>
        <v>21.741874407305534</v>
      </c>
    </row>
    <row r="41" spans="1:29" ht="15" customHeight="1" x14ac:dyDescent="0.35">
      <c r="A41" s="172" t="s">
        <v>178</v>
      </c>
      <c r="B41" s="119" t="s">
        <v>585</v>
      </c>
      <c r="C41" s="176">
        <v>46239</v>
      </c>
      <c r="D41" s="177">
        <v>119.72</v>
      </c>
      <c r="E41" s="178"/>
      <c r="F41" s="119"/>
      <c r="G41" s="119"/>
      <c r="H41" s="177">
        <f t="shared" si="12"/>
        <v>769.79</v>
      </c>
      <c r="I41" s="119" t="s">
        <v>581</v>
      </c>
      <c r="J41" s="176">
        <v>46241</v>
      </c>
      <c r="K41" s="177">
        <v>120.7437</v>
      </c>
      <c r="L41" s="119" t="s">
        <v>586</v>
      </c>
      <c r="M41" s="177">
        <v>120.7437</v>
      </c>
      <c r="N41" s="177">
        <v>773.26</v>
      </c>
      <c r="O41" s="179">
        <f t="shared" si="1"/>
        <v>8.5507851653858769E-3</v>
      </c>
      <c r="P41" s="179">
        <f t="shared" si="2"/>
        <v>4.5077228854621954E-3</v>
      </c>
      <c r="Q41" s="179">
        <f t="shared" si="3"/>
        <v>4.0430622799236815E-3</v>
      </c>
      <c r="R41" s="177" t="s">
        <v>566</v>
      </c>
      <c r="S41" s="177" t="s">
        <v>562</v>
      </c>
      <c r="T41" s="180">
        <v>40.18</v>
      </c>
      <c r="U41" s="181">
        <f>IF($A41="","",IF(OR($S41="System",$I41="Exited"),$T41,SUMIFS(CurrentPositionsTable[Quantity],CurrentPositionsTable[Ticker],$A41)-SUMIFS($T$3:$T$44,$A$3:$A$44,$A41,$S$3:$S$44,"System",$I$3:$I$44,"Held")))</f>
        <v>40.18</v>
      </c>
      <c r="V41" s="182">
        <f t="shared" si="4"/>
        <v>4810.3495999999996</v>
      </c>
      <c r="W41" s="182">
        <f t="shared" si="5"/>
        <v>4851.4818660000001</v>
      </c>
      <c r="X41" s="183">
        <f t="shared" si="6"/>
        <v>41.132266000000527</v>
      </c>
      <c r="Y41" s="177">
        <v>94.222499999999997</v>
      </c>
      <c r="Z41" s="182">
        <f t="shared" si="8"/>
        <v>3785.8600499999998</v>
      </c>
      <c r="AA41" s="183">
        <f t="shared" si="9"/>
        <v>1065.6218160000003</v>
      </c>
      <c r="AB41" s="179">
        <f t="shared" si="10"/>
        <v>0.28147417018228138</v>
      </c>
      <c r="AC41" s="183">
        <f t="shared" si="11"/>
        <v>21.683722978993917</v>
      </c>
    </row>
    <row r="42" spans="1:29" ht="15" customHeight="1" x14ac:dyDescent="0.35">
      <c r="A42" s="172"/>
      <c r="B42" s="119"/>
      <c r="C42" s="176"/>
      <c r="D42" s="177"/>
      <c r="E42" s="178"/>
      <c r="F42" s="119"/>
      <c r="G42" s="119"/>
      <c r="H42" s="177"/>
      <c r="I42" s="119"/>
      <c r="J42" s="176"/>
      <c r="K42" s="177"/>
      <c r="L42" s="119"/>
      <c r="M42" s="177"/>
      <c r="N42" s="177"/>
      <c r="O42" s="179" t="str">
        <f t="shared" si="1"/>
        <v/>
      </c>
      <c r="P42" s="179" t="str">
        <f t="shared" si="2"/>
        <v/>
      </c>
      <c r="Q42" s="179" t="str">
        <f t="shared" si="3"/>
        <v/>
      </c>
      <c r="R42" s="177"/>
      <c r="S42" s="177"/>
      <c r="T42" s="180"/>
      <c r="U42" s="181" t="str">
        <f>IF($A42="","",IF(OR($S42="System",$I42="Exited"),$T42,SUMIFS(CurrentPositionsTable[Quantity],CurrentPositionsTable[Ticker],$A42)-SUMIFS($T$3:$T$44,$A$3:$A$44,$A42,$S$3:$S$44,"System",$I$3:$I$44,"Held")))</f>
        <v/>
      </c>
      <c r="V42" s="182" t="str">
        <f t="shared" si="4"/>
        <v/>
      </c>
      <c r="W42" s="182" t="str">
        <f t="shared" si="5"/>
        <v/>
      </c>
      <c r="X42" s="183" t="str">
        <f t="shared" si="6"/>
        <v/>
      </c>
      <c r="Y42" s="177"/>
      <c r="Z42" s="182" t="str">
        <f t="shared" si="8"/>
        <v/>
      </c>
      <c r="AA42" s="183" t="str">
        <f t="shared" si="9"/>
        <v/>
      </c>
      <c r="AB42" s="179" t="str">
        <f t="shared" si="10"/>
        <v/>
      </c>
      <c r="AC42" s="183" t="str">
        <f t="shared" si="11"/>
        <v/>
      </c>
    </row>
    <row r="43" spans="1:29" ht="15" customHeight="1" x14ac:dyDescent="0.35">
      <c r="A43" s="172"/>
      <c r="B43" s="119"/>
      <c r="C43" s="176"/>
      <c r="D43" s="177"/>
      <c r="E43" s="178"/>
      <c r="F43" s="119"/>
      <c r="G43" s="119"/>
      <c r="H43" s="177"/>
      <c r="I43" s="119"/>
      <c r="J43" s="176"/>
      <c r="K43" s="177"/>
      <c r="L43" s="119"/>
      <c r="M43" s="177"/>
      <c r="N43" s="177"/>
      <c r="O43" s="179" t="str">
        <f t="shared" si="1"/>
        <v/>
      </c>
      <c r="P43" s="179" t="str">
        <f t="shared" si="2"/>
        <v/>
      </c>
      <c r="Q43" s="179" t="str">
        <f t="shared" si="3"/>
        <v/>
      </c>
      <c r="R43" s="177"/>
      <c r="S43" s="177"/>
      <c r="T43" s="180"/>
      <c r="U43" s="181" t="str">
        <f>IF($A43="","",IF(OR($S43="System",$I43="Exited"),$T43,SUMIFS(CurrentPositionsTable[Quantity],CurrentPositionsTable[Ticker],$A43)-SUMIFS($T$3:$T$44,$A$3:$A$44,$A43,$S$3:$S$44,"System",$I$3:$I$44,"Held")))</f>
        <v/>
      </c>
      <c r="V43" s="182" t="str">
        <f t="shared" si="4"/>
        <v/>
      </c>
      <c r="W43" s="182" t="str">
        <f t="shared" si="5"/>
        <v/>
      </c>
      <c r="X43" s="183" t="str">
        <f t="shared" si="6"/>
        <v/>
      </c>
      <c r="Y43" s="177"/>
      <c r="Z43" s="182" t="str">
        <f t="shared" si="8"/>
        <v/>
      </c>
      <c r="AA43" s="183" t="str">
        <f t="shared" si="9"/>
        <v/>
      </c>
      <c r="AB43" s="179" t="str">
        <f t="shared" si="10"/>
        <v/>
      </c>
      <c r="AC43" s="183" t="str">
        <f t="shared" si="11"/>
        <v/>
      </c>
    </row>
    <row r="44" spans="1:29" ht="15" customHeight="1" x14ac:dyDescent="0.35">
      <c r="A44" s="172"/>
      <c r="B44" s="119"/>
      <c r="C44" s="176"/>
      <c r="D44" s="177"/>
      <c r="E44" s="178"/>
      <c r="F44" s="119"/>
      <c r="G44" s="119"/>
      <c r="H44" s="177"/>
      <c r="I44" s="119"/>
      <c r="J44" s="176"/>
      <c r="K44" s="177"/>
      <c r="L44" s="119"/>
      <c r="M44" s="177"/>
      <c r="N44" s="177"/>
      <c r="O44" s="179" t="str">
        <f t="shared" si="1"/>
        <v/>
      </c>
      <c r="P44" s="179" t="str">
        <f t="shared" si="2"/>
        <v/>
      </c>
      <c r="Q44" s="179" t="str">
        <f t="shared" si="3"/>
        <v/>
      </c>
      <c r="R44" s="177"/>
      <c r="S44" s="177"/>
      <c r="T44" s="180"/>
      <c r="U44" s="181" t="str">
        <f>IF($A44="","",IF(OR($S44="System",$I44="Exited"),$T44,SUMIFS(CurrentPositionsTable[Quantity],CurrentPositionsTable[Ticker],$A44)-SUMIFS($T$3:$T$44,$A$3:$A$44,$A44,$S$3:$S$44,"System",$I$3:$I$44,"Held")))</f>
        <v/>
      </c>
      <c r="V44" s="182" t="str">
        <f t="shared" si="4"/>
        <v/>
      </c>
      <c r="W44" s="182" t="str">
        <f t="shared" si="5"/>
        <v/>
      </c>
      <c r="X44" s="183" t="str">
        <f t="shared" si="6"/>
        <v/>
      </c>
      <c r="Y44" s="177"/>
      <c r="Z44" s="182" t="str">
        <f t="shared" si="8"/>
        <v/>
      </c>
      <c r="AA44" s="183" t="str">
        <f t="shared" si="9"/>
        <v/>
      </c>
      <c r="AB44" s="179" t="str">
        <f t="shared" si="10"/>
        <v/>
      </c>
      <c r="AC44" s="183" t="str">
        <f t="shared" si="11"/>
        <v/>
      </c>
    </row>
    <row r="46" spans="1:29" ht="18" customHeight="1" x14ac:dyDescent="0.35">
      <c r="A46" s="185" t="s">
        <v>587</v>
      </c>
      <c r="B46" s="186"/>
      <c r="C46" s="186"/>
      <c r="D46" s="186" t="s">
        <v>588</v>
      </c>
      <c r="E46" s="186" t="s">
        <v>589</v>
      </c>
      <c r="F46" s="186" t="s">
        <v>590</v>
      </c>
      <c r="G46" s="186" t="s">
        <v>591</v>
      </c>
      <c r="H46" s="186" t="s">
        <v>592</v>
      </c>
      <c r="I46" s="186" t="s">
        <v>593</v>
      </c>
      <c r="J46" s="185" t="s">
        <v>594</v>
      </c>
      <c r="K46" s="186"/>
      <c r="L46" s="186"/>
      <c r="M46" s="186"/>
      <c r="N46" s="186"/>
      <c r="O46" s="186"/>
      <c r="P46" s="186"/>
      <c r="Q46" s="186"/>
      <c r="R46" s="187"/>
      <c r="S46" s="187"/>
      <c r="T46" s="187"/>
      <c r="U46" s="187"/>
      <c r="V46" s="187"/>
      <c r="W46" s="187"/>
      <c r="X46" s="187"/>
      <c r="Y46" s="187"/>
      <c r="Z46" s="187"/>
      <c r="AA46" s="187"/>
      <c r="AB46" s="187"/>
      <c r="AC46" s="187"/>
    </row>
    <row r="47" spans="1:29" ht="15" customHeight="1" x14ac:dyDescent="0.35">
      <c r="A47" s="233" t="s">
        <v>595</v>
      </c>
      <c r="B47" s="233"/>
      <c r="C47" s="233"/>
      <c r="D47" s="188">
        <f>SUMIFS($V$3:$V$44,$R$3:$R$44,"Stock",$I$3:$I$44,"Held")</f>
        <v>303175.13399840001</v>
      </c>
      <c r="E47" s="188">
        <f>SUMIFS($W$3:$W$44,$R$3:$R$44,"Stock",$I$3:$I$44,"Held")</f>
        <v>313816.31267450005</v>
      </c>
      <c r="F47" s="188">
        <f t="shared" ref="F47:F52" si="13">E47-D47</f>
        <v>10641.17867610004</v>
      </c>
      <c r="G47" s="189">
        <f t="shared" ref="G47:G52" si="14">IF(D47=0,"",F47/D47)</f>
        <v>3.5099114283416791E-2</v>
      </c>
      <c r="H47" s="189">
        <f>IF(D47=0,"",SUMIFS($AC$3:$AC$44,$R$3:$R$44,"Stock",$I$3:$I$44,"Held")/D47)</f>
        <v>3.3982823766956233E-4</v>
      </c>
      <c r="I47" s="189">
        <f t="shared" ref="I47:I53" si="15">IF(OR(G47="",H47=""),"",G47-H47)</f>
        <v>3.4759286045747226E-2</v>
      </c>
      <c r="J47" s="190" t="s">
        <v>596</v>
      </c>
      <c r="K47" s="187"/>
      <c r="L47" s="187"/>
      <c r="M47" s="187"/>
      <c r="N47" s="187"/>
      <c r="O47" s="187"/>
      <c r="P47" s="187"/>
      <c r="Q47" s="187"/>
      <c r="R47" s="187"/>
      <c r="S47" s="187"/>
      <c r="T47" s="187"/>
      <c r="U47" s="187"/>
      <c r="V47" s="187"/>
      <c r="W47" s="187"/>
      <c r="X47" s="187"/>
      <c r="Y47" s="187"/>
      <c r="Z47" s="187"/>
      <c r="AA47" s="187"/>
      <c r="AB47" s="187"/>
      <c r="AC47" s="187"/>
    </row>
    <row r="48" spans="1:29" ht="15" customHeight="1" x14ac:dyDescent="0.35">
      <c r="A48" s="234" t="s">
        <v>597</v>
      </c>
      <c r="B48" s="234"/>
      <c r="C48" s="234"/>
      <c r="D48" s="191">
        <f>SUMIFS($V$3:$V$44,$I$3:$I$44,"Held")</f>
        <v>721649.63806570007</v>
      </c>
      <c r="E48" s="191">
        <f>SUMIFS($W$3:$W$44,$I$3:$I$44,"Held")</f>
        <v>726937.6696255001</v>
      </c>
      <c r="F48" s="191">
        <f t="shared" si="13"/>
        <v>5288.0315598000307</v>
      </c>
      <c r="G48" s="192">
        <f t="shared" si="14"/>
        <v>7.3276993167681742E-3</v>
      </c>
      <c r="H48" s="192">
        <f>IF(D48=0,"",SUMIFS($AC$3:$AC$44,$I$3:$I$44,"Held")/D48)</f>
        <v>2.9770991358738527E-5</v>
      </c>
      <c r="I48" s="192">
        <f t="shared" si="15"/>
        <v>7.2979283254094359E-3</v>
      </c>
      <c r="J48" s="190" t="s">
        <v>598</v>
      </c>
      <c r="K48" s="187"/>
      <c r="L48" s="187"/>
      <c r="M48" s="187"/>
      <c r="N48" s="187"/>
      <c r="O48" s="187"/>
      <c r="P48" s="187"/>
      <c r="Q48" s="187"/>
      <c r="R48" s="187"/>
      <c r="S48" s="187"/>
      <c r="T48" s="187"/>
      <c r="U48" s="187"/>
      <c r="V48" s="187"/>
      <c r="W48" s="187"/>
      <c r="X48" s="187"/>
      <c r="Y48" s="187"/>
      <c r="Z48" s="187"/>
      <c r="AA48" s="187"/>
      <c r="AB48" s="187"/>
      <c r="AC48" s="187"/>
    </row>
    <row r="49" spans="1:29" ht="15" customHeight="1" x14ac:dyDescent="0.35">
      <c r="A49" s="233" t="s">
        <v>599</v>
      </c>
      <c r="B49" s="233"/>
      <c r="C49" s="233"/>
      <c r="D49" s="188">
        <f>SUMIFS($Z$3:$Z$44,$R$3:$R$44,"Stock")</f>
        <v>276736.75814119994</v>
      </c>
      <c r="E49" s="188">
        <f>SUMIFS($W$3:$W$44,$R$3:$R$44,"Stock")</f>
        <v>327966.06517449999</v>
      </c>
      <c r="F49" s="188">
        <f t="shared" si="13"/>
        <v>51229.307033300051</v>
      </c>
      <c r="G49" s="189">
        <f t="shared" si="14"/>
        <v>0.18511927138772516</v>
      </c>
      <c r="H49" s="189">
        <f>PT_SPY_Now/PT_SPY_1231-1</f>
        <v>0.12863679023932439</v>
      </c>
      <c r="I49" s="189">
        <f t="shared" si="15"/>
        <v>5.6482481148400765E-2</v>
      </c>
      <c r="J49" s="190" t="s">
        <v>600</v>
      </c>
      <c r="K49" s="187"/>
      <c r="L49" s="187"/>
      <c r="M49" s="187"/>
      <c r="N49" s="187"/>
      <c r="O49" s="187"/>
      <c r="P49" s="187"/>
      <c r="Q49" s="187"/>
      <c r="R49" s="187"/>
      <c r="S49" s="187"/>
      <c r="T49" s="187"/>
      <c r="U49" s="187"/>
      <c r="V49" s="187"/>
      <c r="W49" s="187"/>
      <c r="X49" s="187"/>
      <c r="Y49" s="187"/>
      <c r="Z49" s="187"/>
      <c r="AA49" s="187"/>
      <c r="AB49" s="187"/>
      <c r="AC49" s="187"/>
    </row>
    <row r="50" spans="1:29" ht="15" customHeight="1" x14ac:dyDescent="0.35">
      <c r="A50" s="234" t="s">
        <v>601</v>
      </c>
      <c r="B50" s="234"/>
      <c r="C50" s="234"/>
      <c r="D50" s="191">
        <f>SUM($Z$3:$Z$44)</f>
        <v>678230.19553660008</v>
      </c>
      <c r="E50" s="191">
        <f>SUM($W$3:$W$44)</f>
        <v>768955.40921650012</v>
      </c>
      <c r="F50" s="191">
        <f t="shared" si="13"/>
        <v>90725.213679900044</v>
      </c>
      <c r="G50" s="192">
        <f t="shared" si="14"/>
        <v>0.13376758256556293</v>
      </c>
      <c r="H50" s="192">
        <f>PT_SPY_Now/PT_SPY_1231-1</f>
        <v>0.12863679023932439</v>
      </c>
      <c r="I50" s="192">
        <f t="shared" si="15"/>
        <v>5.1307923262385313E-3</v>
      </c>
      <c r="J50" s="190" t="s">
        <v>602</v>
      </c>
      <c r="K50" s="187"/>
      <c r="L50" s="187"/>
      <c r="M50" s="187"/>
      <c r="N50" s="187"/>
      <c r="O50" s="187"/>
      <c r="P50" s="187"/>
      <c r="Q50" s="187"/>
      <c r="R50" s="187"/>
      <c r="S50" s="187"/>
      <c r="T50" s="187"/>
      <c r="U50" s="187"/>
      <c r="V50" s="187"/>
      <c r="W50" s="187"/>
      <c r="X50" s="187"/>
      <c r="Y50" s="187"/>
      <c r="Z50" s="187"/>
      <c r="AA50" s="187"/>
      <c r="AB50" s="187"/>
      <c r="AC50" s="187"/>
    </row>
    <row r="51" spans="1:29" ht="15" customHeight="1" x14ac:dyDescent="0.35">
      <c r="A51" s="233" t="s">
        <v>603</v>
      </c>
      <c r="B51" s="233"/>
      <c r="C51" s="233"/>
      <c r="D51" s="188">
        <f>SUMIFS($V$3:$V$44,$R$3:$R$44,"Stock")</f>
        <v>317350.1839984</v>
      </c>
      <c r="E51" s="188">
        <f>SUMIFS($W$3:$W$44,$R$3:$R$44,"Stock")</f>
        <v>327966.06517449999</v>
      </c>
      <c r="F51" s="188">
        <f t="shared" si="13"/>
        <v>10615.881176099996</v>
      </c>
      <c r="G51" s="189">
        <f t="shared" si="14"/>
        <v>3.3451630758006806E-2</v>
      </c>
      <c r="H51" s="189">
        <f>PT_SPY_Now/PT_SPY_0805-1</f>
        <v>-1.9485833798826846E-4</v>
      </c>
      <c r="I51" s="189">
        <f t="shared" si="15"/>
        <v>3.3646489095995075E-2</v>
      </c>
      <c r="J51" s="190" t="s">
        <v>604</v>
      </c>
      <c r="K51" s="187"/>
      <c r="L51" s="187"/>
      <c r="M51" s="187"/>
      <c r="N51" s="187"/>
      <c r="O51" s="187"/>
      <c r="P51" s="187"/>
      <c r="Q51" s="187"/>
      <c r="R51" s="187"/>
      <c r="S51" s="187"/>
      <c r="T51" s="187"/>
      <c r="U51" s="187"/>
      <c r="V51" s="187"/>
      <c r="W51" s="187"/>
      <c r="X51" s="187"/>
      <c r="Y51" s="187"/>
      <c r="Z51" s="187"/>
      <c r="AA51" s="187"/>
      <c r="AB51" s="187"/>
      <c r="AC51" s="187"/>
    </row>
    <row r="52" spans="1:29" ht="15" customHeight="1" x14ac:dyDescent="0.35">
      <c r="A52" s="234" t="s">
        <v>605</v>
      </c>
      <c r="B52" s="234"/>
      <c r="C52" s="234"/>
      <c r="D52" s="191">
        <f>SUM($V$3:$V$44)</f>
        <v>763410.11316570011</v>
      </c>
      <c r="E52" s="191">
        <f>SUM($W$3:$W$44)</f>
        <v>768955.40921650012</v>
      </c>
      <c r="F52" s="191">
        <f t="shared" si="13"/>
        <v>5545.2960508000106</v>
      </c>
      <c r="G52" s="192">
        <f t="shared" si="14"/>
        <v>7.2638493454125755E-3</v>
      </c>
      <c r="H52" s="192">
        <f>PT_SPY_Now/PT_SPY_0805-1</f>
        <v>-1.9485833798826846E-4</v>
      </c>
      <c r="I52" s="192">
        <f t="shared" si="15"/>
        <v>7.4587076834008439E-3</v>
      </c>
      <c r="J52" s="190" t="s">
        <v>606</v>
      </c>
      <c r="K52" s="187"/>
      <c r="L52" s="187"/>
      <c r="M52" s="187"/>
      <c r="N52" s="187"/>
      <c r="O52" s="187"/>
      <c r="P52" s="187"/>
      <c r="Q52" s="187"/>
      <c r="R52" s="187"/>
      <c r="S52" s="187"/>
      <c r="T52" s="187"/>
      <c r="U52" s="187"/>
      <c r="V52" s="187"/>
      <c r="W52" s="187"/>
      <c r="X52" s="187"/>
      <c r="Y52" s="187"/>
      <c r="Z52" s="187"/>
      <c r="AA52" s="187"/>
      <c r="AB52" s="187"/>
      <c r="AC52" s="187"/>
    </row>
    <row r="53" spans="1:29" ht="15" customHeight="1" x14ac:dyDescent="0.35">
      <c r="A53" s="234" t="s">
        <v>607</v>
      </c>
      <c r="B53" s="234"/>
      <c r="C53" s="234"/>
      <c r="D53" s="191"/>
      <c r="E53" s="191"/>
      <c r="F53" s="191">
        <f>IF((PT_AsOf-PT_Inception)/365&gt;0,F52/((PT_AsOf-PT_Inception)/365),"")</f>
        <v>34897.121699000061</v>
      </c>
      <c r="G53" s="192">
        <f>IF((PT_AsOf-PT_Inception)/365&gt;0,G52/((PT_AsOf-PT_Inception)/365),"")</f>
        <v>4.5712155363372239E-2</v>
      </c>
      <c r="H53" s="192">
        <f>IF((PT_AsOf-PT_Inception)/365&gt;0,H52/((PT_AsOf-PT_Inception)/365),"")</f>
        <v>-1.2262636787192754E-3</v>
      </c>
      <c r="I53" s="192">
        <f t="shared" si="15"/>
        <v>4.6938419042091513E-2</v>
      </c>
      <c r="J53" s="190" t="s">
        <v>608</v>
      </c>
      <c r="K53" s="187"/>
      <c r="L53" s="187"/>
      <c r="M53" s="187"/>
      <c r="N53" s="187"/>
      <c r="O53" s="187"/>
      <c r="P53" s="187"/>
      <c r="Q53" s="187"/>
      <c r="R53" s="187"/>
      <c r="S53" s="187"/>
      <c r="T53" s="187"/>
      <c r="U53" s="187"/>
      <c r="V53" s="187"/>
      <c r="W53" s="187"/>
      <c r="X53" s="187"/>
      <c r="Y53" s="187"/>
      <c r="Z53" s="187"/>
      <c r="AA53" s="187"/>
      <c r="AB53" s="187"/>
      <c r="AC53" s="187"/>
    </row>
    <row r="54" spans="1:29" ht="15" customHeight="1" x14ac:dyDescent="0.35">
      <c r="A54" s="187"/>
      <c r="B54" s="187"/>
      <c r="C54" s="187"/>
      <c r="D54" s="187"/>
      <c r="E54" s="187"/>
      <c r="F54" s="187"/>
      <c r="G54" s="187"/>
      <c r="H54" s="187"/>
      <c r="I54" s="187"/>
      <c r="J54" s="187"/>
      <c r="K54" s="187"/>
      <c r="L54" s="187"/>
      <c r="M54" s="187"/>
      <c r="N54" s="187"/>
      <c r="O54" s="187"/>
      <c r="P54" s="187"/>
      <c r="Q54" s="187"/>
      <c r="R54" s="187"/>
      <c r="S54" s="187"/>
      <c r="T54" s="187"/>
      <c r="U54" s="187"/>
      <c r="V54" s="187"/>
      <c r="W54" s="187"/>
      <c r="X54" s="187"/>
      <c r="Y54" s="187"/>
      <c r="Z54" s="187"/>
      <c r="AA54" s="187"/>
      <c r="AB54" s="187"/>
      <c r="AC54" s="187"/>
    </row>
    <row r="55" spans="1:29" ht="18" customHeight="1" x14ac:dyDescent="0.35">
      <c r="A55" s="185" t="s">
        <v>609</v>
      </c>
      <c r="B55" s="186"/>
      <c r="C55" s="186"/>
      <c r="D55" s="186" t="s">
        <v>588</v>
      </c>
      <c r="E55" s="186" t="s">
        <v>589</v>
      </c>
      <c r="F55" s="186" t="s">
        <v>590</v>
      </c>
      <c r="G55" s="186" t="s">
        <v>591</v>
      </c>
      <c r="H55" s="186" t="s">
        <v>592</v>
      </c>
      <c r="I55" s="186" t="s">
        <v>593</v>
      </c>
      <c r="J55" s="185" t="s">
        <v>594</v>
      </c>
      <c r="K55" s="186"/>
      <c r="L55" s="186"/>
      <c r="M55" s="186"/>
      <c r="N55" s="186"/>
      <c r="O55" s="186"/>
      <c r="P55" s="186"/>
      <c r="Q55" s="186"/>
      <c r="R55" s="187"/>
      <c r="S55" s="187"/>
      <c r="T55" s="187"/>
      <c r="U55" s="187"/>
      <c r="V55" s="187"/>
      <c r="W55" s="187"/>
      <c r="X55" s="187"/>
      <c r="Y55" s="187"/>
      <c r="Z55" s="187"/>
      <c r="AA55" s="187"/>
      <c r="AB55" s="187"/>
      <c r="AC55" s="187"/>
    </row>
    <row r="56" spans="1:29" ht="15" customHeight="1" x14ac:dyDescent="0.35">
      <c r="A56" s="233" t="s">
        <v>610</v>
      </c>
      <c r="B56" s="233"/>
      <c r="C56" s="233"/>
      <c r="D56" s="188">
        <f>SUMIFS($V$3:$V$44,$S$3:$S$44,"System")</f>
        <v>97404.03</v>
      </c>
      <c r="E56" s="188">
        <f>SUMIFS($W$3:$W$44,$S$3:$S$44,"System")</f>
        <v>94561.24</v>
      </c>
      <c r="F56" s="188">
        <f>E56-D56</f>
        <v>-2842.7899999999936</v>
      </c>
      <c r="G56" s="189">
        <f>IF(D56=0,"",F56/D56)</f>
        <v>-2.9185548072292219E-2</v>
      </c>
      <c r="H56" s="189">
        <f>IF(D56=0,"",SUMIFS($AC$3:$AC$44,$S$3:$S$44,"System")/D56)</f>
        <v>1.4693815730524612E-3</v>
      </c>
      <c r="I56" s="189">
        <f>IF(OR(G56="",H56=""),"",G56-H56)</f>
        <v>-3.0654929645344681E-2</v>
      </c>
      <c r="J56" s="190" t="s">
        <v>611</v>
      </c>
      <c r="K56" s="187"/>
      <c r="L56" s="187"/>
      <c r="M56" s="187"/>
      <c r="N56" s="187"/>
      <c r="O56" s="187"/>
      <c r="P56" s="187"/>
      <c r="Q56" s="187"/>
      <c r="R56" s="187"/>
      <c r="S56" s="187"/>
      <c r="T56" s="187"/>
      <c r="U56" s="187"/>
      <c r="V56" s="187"/>
      <c r="W56" s="187"/>
      <c r="X56" s="187"/>
      <c r="Y56" s="187"/>
      <c r="Z56" s="187"/>
      <c r="AA56" s="187"/>
      <c r="AB56" s="187"/>
      <c r="AC56" s="187"/>
    </row>
    <row r="57" spans="1:29" ht="15" customHeight="1" x14ac:dyDescent="0.35">
      <c r="A57" s="233" t="s">
        <v>612</v>
      </c>
      <c r="B57" s="233"/>
      <c r="C57" s="233"/>
      <c r="D57" s="188">
        <f>SUMIFS($V$3:$V$44,$S$3:$S$44,"Baseline",$R$3:$R$44,"Stock")</f>
        <v>219946.1539984</v>
      </c>
      <c r="E57" s="188">
        <f>SUMIFS($W$3:$W$44,$S$3:$S$44,"Baseline",$R$3:$R$44,"Stock")</f>
        <v>233404.82517450003</v>
      </c>
      <c r="F57" s="188">
        <f>E57-D57</f>
        <v>13458.671176100033</v>
      </c>
      <c r="G57" s="189">
        <f>IF(D57=0,"",F57/D57)</f>
        <v>6.1190754789001399E-2</v>
      </c>
      <c r="H57" s="189">
        <f>IF(D57=0,"",SUMIFS($AC$3:$AC$44,$S$3:$S$44,"Baseline",$R$3:$R$44,"Stock")/D57)</f>
        <v>1.0821276718757567E-4</v>
      </c>
      <c r="I57" s="189">
        <f>IF(OR(G57="",H57=""),"",G57-H57)</f>
        <v>6.1082542021813825E-2</v>
      </c>
      <c r="J57" s="190" t="s">
        <v>613</v>
      </c>
      <c r="K57" s="187"/>
      <c r="L57" s="187"/>
      <c r="M57" s="187"/>
      <c r="N57" s="187"/>
      <c r="O57" s="187"/>
      <c r="P57" s="187"/>
      <c r="Q57" s="187"/>
      <c r="R57" s="187"/>
      <c r="S57" s="187"/>
      <c r="T57" s="187"/>
      <c r="U57" s="187"/>
      <c r="V57" s="187"/>
      <c r="W57" s="187"/>
      <c r="X57" s="187"/>
      <c r="Y57" s="187"/>
      <c r="Z57" s="187"/>
      <c r="AA57" s="187"/>
      <c r="AB57" s="187"/>
      <c r="AC57" s="187"/>
    </row>
    <row r="58" spans="1:29" ht="15" customHeight="1" x14ac:dyDescent="0.35">
      <c r="A58" s="233" t="s">
        <v>614</v>
      </c>
      <c r="B58" s="233"/>
      <c r="C58" s="233"/>
      <c r="D58" s="188">
        <f>SUMIFS($V$3:$V$44,$S$3:$S$44,"Baseline",$R$3:$R$44,"ETF")</f>
        <v>359027.5591673</v>
      </c>
      <c r="E58" s="188">
        <f>SUMIFS($W$3:$W$44,$S$3:$S$44,"Baseline",$R$3:$R$44,"ETF")</f>
        <v>353956.97404200002</v>
      </c>
      <c r="F58" s="188">
        <f>E58-D58</f>
        <v>-5070.5851252999855</v>
      </c>
      <c r="G58" s="189">
        <f>IF(D58=0,"",F58/D58)</f>
        <v>-1.4123108368227492E-2</v>
      </c>
      <c r="H58" s="189">
        <f>IF(D58=0,"",SUMIFS($AC$3:$AC$44,$S$3:$S$44,"Baseline",$R$3:$R$44,"ETF")/D58)</f>
        <v>1.6645849912871402E-4</v>
      </c>
      <c r="I58" s="189">
        <f>IF(OR(G58="",H58=""),"",G58-H58)</f>
        <v>-1.4289566867356206E-2</v>
      </c>
      <c r="J58" s="190" t="s">
        <v>615</v>
      </c>
      <c r="K58" s="187"/>
      <c r="L58" s="187"/>
      <c r="M58" s="187"/>
      <c r="N58" s="187"/>
      <c r="O58" s="187"/>
      <c r="P58" s="187"/>
      <c r="Q58" s="187"/>
      <c r="R58" s="187"/>
      <c r="S58" s="187"/>
      <c r="T58" s="187"/>
      <c r="U58" s="187"/>
      <c r="V58" s="187"/>
      <c r="W58" s="187"/>
      <c r="X58" s="187"/>
      <c r="Y58" s="187"/>
      <c r="Z58" s="187"/>
      <c r="AA58" s="187"/>
      <c r="AB58" s="187"/>
      <c r="AC58" s="187"/>
    </row>
    <row r="59" spans="1:29" ht="15" customHeight="1" x14ac:dyDescent="0.35">
      <c r="A59" s="233" t="s">
        <v>616</v>
      </c>
      <c r="B59" s="233"/>
      <c r="C59" s="233"/>
      <c r="D59" s="188">
        <f>SUMIFS($V$3:$V$44,$S$3:$S$44,"Baseline",$R$3:$R$44,"Cash")</f>
        <v>87032.37</v>
      </c>
      <c r="E59" s="188">
        <f>SUMIFS($W$3:$W$44,$S$3:$S$44,"Baseline",$R$3:$R$44,"Cash")</f>
        <v>87032.37</v>
      </c>
      <c r="F59" s="188">
        <f>E59-D59</f>
        <v>0</v>
      </c>
      <c r="G59" s="189">
        <f>IF(D59=0,"",F59/D59)</f>
        <v>0</v>
      </c>
      <c r="H59" s="189">
        <f>IF(D59=0,"",SUMIFS($AC$3:$AC$44,$S$3:$S$44,"Baseline",$R$3:$R$44,"Cash")/D59)</f>
        <v>-1.9485833798826849E-4</v>
      </c>
      <c r="I59" s="189">
        <f>IF(OR(G59="",H59=""),"",G59-H59)</f>
        <v>1.9485833798826849E-4</v>
      </c>
      <c r="J59" s="190" t="s">
        <v>617</v>
      </c>
      <c r="K59" s="187"/>
      <c r="L59" s="187"/>
      <c r="M59" s="187"/>
      <c r="N59" s="187"/>
      <c r="O59" s="187"/>
      <c r="P59" s="187"/>
      <c r="Q59" s="187"/>
      <c r="R59" s="187"/>
      <c r="S59" s="187"/>
      <c r="T59" s="187"/>
      <c r="U59" s="187"/>
      <c r="V59" s="187"/>
      <c r="W59" s="187"/>
      <c r="X59" s="187"/>
      <c r="Y59" s="187"/>
      <c r="Z59" s="187"/>
      <c r="AA59" s="187"/>
      <c r="AB59" s="187"/>
      <c r="AC59" s="187"/>
    </row>
    <row r="60" spans="1:29" ht="15" customHeight="1" x14ac:dyDescent="0.35">
      <c r="A60" s="234" t="s">
        <v>618</v>
      </c>
      <c r="B60" s="234"/>
      <c r="C60" s="234"/>
      <c r="D60" s="191">
        <f>D56+D57+D58+D59</f>
        <v>763410.11316569999</v>
      </c>
      <c r="E60" s="191">
        <f>E56+E57+E58+E59</f>
        <v>768955.4092165</v>
      </c>
      <c r="F60" s="191">
        <f>E60-D60</f>
        <v>5545.2960508000106</v>
      </c>
      <c r="G60" s="192">
        <f>IF(D60=0,"",F60/D60)</f>
        <v>7.2638493454125763E-3</v>
      </c>
      <c r="H60" s="192">
        <f>IF(D60=0,"",(SUMIFS($AC$3:$AC$44,$S$3:$S$44,"System")+SUMIFS($AC$3:$AC$44,$S$3:$S$44,"Baseline",$R$3:$R$44,"Stock")+SUMIFS($AC$3:$AC$44,$S$3:$S$44,"Baseline",$R$3:$R$44,"ETF")+SUMIFS($AC$3:$AC$44,$S$3:$S$44,"Baseline",$R$3:$R$44,"Cash"))/D60)</f>
        <v>2.7472635067045907E-4</v>
      </c>
      <c r="I60" s="192">
        <f>IF(OR(G60="",H60=""),"",G60-H60)</f>
        <v>6.9891229947421172E-3</v>
      </c>
      <c r="J60" s="190" t="str">
        <f>IF(AND(ABS(D60-D52)&lt;0.5,ABS(E60-E52)&lt;0.5),"adds up to the Cumulative TOTAL line above (SPY here is each lot's own period, so it can differ a little from that line's 8/5 -&gt; now)","DOES NOT add up to the Cumulative TOTAL -- a lot has no Basis or no Type")</f>
        <v>adds up to the Cumulative TOTAL line above (SPY here is each lot's own period, so it can differ a little from that line's 8/5 -&gt; now)</v>
      </c>
      <c r="K60" s="187"/>
      <c r="L60" s="187"/>
      <c r="M60" s="187"/>
      <c r="N60" s="187"/>
      <c r="O60" s="187"/>
      <c r="P60" s="187"/>
      <c r="Q60" s="187"/>
      <c r="R60" s="187"/>
      <c r="S60" s="187"/>
      <c r="T60" s="187"/>
      <c r="U60" s="187"/>
      <c r="V60" s="187"/>
      <c r="W60" s="187"/>
      <c r="X60" s="187"/>
      <c r="Y60" s="187"/>
      <c r="Z60" s="187"/>
      <c r="AA60" s="187"/>
      <c r="AB60" s="187"/>
      <c r="AC60" s="187"/>
    </row>
    <row r="61" spans="1:29" ht="15" customHeight="1" x14ac:dyDescent="0.35">
      <c r="A61" s="187"/>
      <c r="B61" s="187"/>
      <c r="C61" s="187"/>
      <c r="D61" s="187"/>
      <c r="E61" s="187"/>
      <c r="F61" s="187"/>
      <c r="G61" s="187"/>
      <c r="H61" s="187"/>
      <c r="I61" s="187"/>
      <c r="J61" s="187"/>
      <c r="K61" s="187"/>
      <c r="L61" s="187"/>
      <c r="M61" s="187"/>
      <c r="N61" s="187"/>
      <c r="O61" s="187"/>
      <c r="P61" s="187"/>
      <c r="Q61" s="187"/>
      <c r="R61" s="187"/>
      <c r="S61" s="187"/>
      <c r="T61" s="187"/>
      <c r="U61" s="187"/>
      <c r="V61" s="187"/>
      <c r="W61" s="187"/>
      <c r="X61" s="187"/>
      <c r="Y61" s="187"/>
      <c r="Z61" s="187"/>
      <c r="AA61" s="187"/>
      <c r="AB61" s="187"/>
      <c r="AC61" s="187"/>
    </row>
    <row r="62" spans="1:29" ht="18" customHeight="1" x14ac:dyDescent="0.35">
      <c r="A62" s="185" t="s">
        <v>619</v>
      </c>
      <c r="B62" s="185"/>
      <c r="C62" s="185"/>
      <c r="D62" s="185"/>
      <c r="E62" s="185"/>
      <c r="F62" s="185"/>
      <c r="G62" s="185"/>
      <c r="H62" s="185"/>
      <c r="I62" s="185"/>
      <c r="J62" s="185"/>
      <c r="K62" s="185"/>
      <c r="L62" s="185"/>
      <c r="M62" s="185"/>
      <c r="N62" s="185"/>
      <c r="O62" s="185"/>
      <c r="P62" s="185"/>
      <c r="Q62" s="185"/>
      <c r="R62" s="187"/>
      <c r="S62" s="187"/>
      <c r="T62" s="187"/>
      <c r="U62" s="187"/>
      <c r="V62" s="187"/>
      <c r="W62" s="187"/>
      <c r="X62" s="187"/>
      <c r="Y62" s="187"/>
      <c r="Z62" s="187"/>
      <c r="AA62" s="187"/>
      <c r="AB62" s="187"/>
      <c r="AC62" s="187"/>
    </row>
    <row r="63" spans="1:29" ht="15" customHeight="1" x14ac:dyDescent="0.35">
      <c r="A63" s="235" t="s">
        <v>620</v>
      </c>
      <c r="B63" s="235"/>
      <c r="C63" s="235"/>
      <c r="D63" s="193">
        <v>46297</v>
      </c>
      <c r="E63" s="190" t="s">
        <v>621</v>
      </c>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row>
    <row r="64" spans="1:29" ht="15" customHeight="1" x14ac:dyDescent="0.35">
      <c r="A64" s="235" t="s">
        <v>622</v>
      </c>
      <c r="B64" s="235"/>
      <c r="C64" s="235"/>
      <c r="D64" s="194">
        <v>769.64</v>
      </c>
      <c r="E64" s="190" t="s">
        <v>623</v>
      </c>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row>
    <row r="65" spans="1:29" ht="15" customHeight="1" x14ac:dyDescent="0.35">
      <c r="A65" s="235" t="s">
        <v>624</v>
      </c>
      <c r="B65" s="235"/>
      <c r="C65" s="235"/>
      <c r="D65" s="194">
        <v>769.79</v>
      </c>
      <c r="E65" s="190" t="s">
        <v>625</v>
      </c>
      <c r="F65" s="187"/>
      <c r="G65" s="187"/>
      <c r="H65" s="187"/>
      <c r="I65" s="187"/>
      <c r="J65" s="187"/>
      <c r="K65" s="187"/>
      <c r="L65" s="187"/>
      <c r="M65" s="187"/>
      <c r="N65" s="187"/>
      <c r="O65" s="187"/>
      <c r="P65" s="187"/>
      <c r="Q65" s="187"/>
      <c r="R65" s="187"/>
      <c r="S65" s="187"/>
      <c r="T65" s="187"/>
      <c r="U65" s="187"/>
      <c r="V65" s="187"/>
      <c r="W65" s="187"/>
      <c r="X65" s="187"/>
      <c r="Y65" s="187"/>
      <c r="Z65" s="187"/>
      <c r="AA65" s="187"/>
      <c r="AB65" s="187"/>
      <c r="AC65" s="187"/>
    </row>
    <row r="66" spans="1:29" ht="15" customHeight="1" x14ac:dyDescent="0.35">
      <c r="A66" s="235" t="s">
        <v>626</v>
      </c>
      <c r="B66" s="235"/>
      <c r="C66" s="235"/>
      <c r="D66" s="194">
        <v>681.92</v>
      </c>
      <c r="E66" s="190" t="s">
        <v>627</v>
      </c>
      <c r="F66" s="187"/>
      <c r="G66" s="187"/>
      <c r="H66" s="187"/>
      <c r="I66" s="187"/>
      <c r="J66" s="187"/>
      <c r="K66" s="187"/>
      <c r="L66" s="187"/>
      <c r="M66" s="187"/>
      <c r="N66" s="187"/>
      <c r="O66" s="187"/>
      <c r="P66" s="187"/>
      <c r="Q66" s="187"/>
      <c r="R66" s="187"/>
      <c r="S66" s="187"/>
      <c r="T66" s="187"/>
      <c r="U66" s="187"/>
      <c r="V66" s="187"/>
      <c r="W66" s="187"/>
      <c r="X66" s="187"/>
      <c r="Y66" s="187"/>
      <c r="Z66" s="187"/>
      <c r="AA66" s="187"/>
      <c r="AB66" s="187"/>
      <c r="AC66" s="187"/>
    </row>
    <row r="67" spans="1:29" ht="15" customHeight="1" x14ac:dyDescent="0.35">
      <c r="A67" s="235" t="s">
        <v>628</v>
      </c>
      <c r="B67" s="235"/>
      <c r="C67" s="235"/>
      <c r="D67" s="193">
        <v>46239</v>
      </c>
      <c r="E67" s="190" t="s">
        <v>629</v>
      </c>
      <c r="F67" s="187"/>
      <c r="G67" s="187"/>
      <c r="H67" s="187"/>
      <c r="I67" s="187"/>
      <c r="J67" s="187"/>
      <c r="K67" s="187"/>
      <c r="L67" s="187"/>
      <c r="M67" s="187"/>
      <c r="N67" s="187"/>
      <c r="O67" s="187"/>
      <c r="P67" s="187"/>
      <c r="Q67" s="187"/>
      <c r="R67" s="187"/>
      <c r="S67" s="187"/>
      <c r="T67" s="187"/>
      <c r="U67" s="187"/>
      <c r="V67" s="187"/>
      <c r="W67" s="187"/>
      <c r="X67" s="187"/>
      <c r="Y67" s="187"/>
      <c r="Z67" s="187"/>
      <c r="AA67" s="187"/>
      <c r="AB67" s="187"/>
      <c r="AC67" s="187"/>
    </row>
    <row r="68" spans="1:29" ht="15" customHeight="1" x14ac:dyDescent="0.35">
      <c r="A68" s="187"/>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row>
    <row r="69" spans="1:29" ht="72" customHeight="1" x14ac:dyDescent="0.35">
      <c r="A69" s="236" t="s">
        <v>630</v>
      </c>
      <c r="B69" s="236"/>
      <c r="C69" s="236"/>
      <c r="D69" s="236"/>
      <c r="E69" s="236"/>
      <c r="F69" s="236"/>
      <c r="G69" s="236"/>
      <c r="H69" s="236"/>
      <c r="I69" s="236"/>
      <c r="J69" s="236"/>
      <c r="K69" s="236"/>
      <c r="L69" s="236"/>
      <c r="M69" s="236"/>
      <c r="N69" s="236"/>
      <c r="O69" s="236"/>
      <c r="P69" s="236"/>
      <c r="Q69" s="236"/>
      <c r="R69" s="187"/>
      <c r="S69" s="187"/>
      <c r="T69" s="187"/>
      <c r="U69" s="187"/>
      <c r="V69" s="187"/>
      <c r="W69" s="187"/>
      <c r="X69" s="187"/>
      <c r="Y69" s="187"/>
      <c r="Z69" s="187"/>
      <c r="AA69" s="187"/>
      <c r="AB69" s="187"/>
      <c r="AC69" s="187"/>
    </row>
  </sheetData>
  <mergeCells count="19">
    <mergeCell ref="A65:C65"/>
    <mergeCell ref="A66:C66"/>
    <mergeCell ref="A67:C67"/>
    <mergeCell ref="A69:Q69"/>
    <mergeCell ref="A58:C58"/>
    <mergeCell ref="A59:C59"/>
    <mergeCell ref="A60:C60"/>
    <mergeCell ref="A63:C63"/>
    <mergeCell ref="A64:C64"/>
    <mergeCell ref="A51:C51"/>
    <mergeCell ref="A52:C52"/>
    <mergeCell ref="A53:C53"/>
    <mergeCell ref="A56:C56"/>
    <mergeCell ref="A57:C57"/>
    <mergeCell ref="A1:P1"/>
    <mergeCell ref="A47:C47"/>
    <mergeCell ref="A48:C48"/>
    <mergeCell ref="A49:C49"/>
    <mergeCell ref="A50:C50"/>
  </mergeCells>
  <conditionalFormatting sqref="F47:I53">
    <cfRule type="cellIs" dxfId="63" priority="16" operator="greaterThan">
      <formula>0</formula>
    </cfRule>
    <cfRule type="cellIs" dxfId="62" priority="17" operator="lessThan">
      <formula>0</formula>
    </cfRule>
  </conditionalFormatting>
  <conditionalFormatting sqref="F56:I60">
    <cfRule type="cellIs" dxfId="61" priority="30" operator="greaterThan">
      <formula>0</formula>
    </cfRule>
    <cfRule type="cellIs" dxfId="60" priority="31" operator="lessThan">
      <formula>0</formula>
    </cfRule>
  </conditionalFormatting>
  <conditionalFormatting sqref="O3:O44">
    <cfRule type="cellIs" dxfId="59" priority="2" operator="greaterThan">
      <formula>0</formula>
    </cfRule>
    <cfRule type="cellIs" dxfId="58" priority="3" operator="lessThan">
      <formula>0</formula>
    </cfRule>
  </conditionalFormatting>
  <conditionalFormatting sqref="P3:P44">
    <cfRule type="cellIs" dxfId="57" priority="4" operator="greaterThan">
      <formula>0</formula>
    </cfRule>
    <cfRule type="cellIs" dxfId="56" priority="5" operator="lessThan">
      <formula>0</formula>
    </cfRule>
  </conditionalFormatting>
  <conditionalFormatting sqref="Q3:Q44">
    <cfRule type="cellIs" dxfId="55" priority="6" operator="greaterThan">
      <formula>0</formula>
    </cfRule>
    <cfRule type="cellIs" dxfId="54" priority="7" operator="lessThan">
      <formula>0</formula>
    </cfRule>
  </conditionalFormatting>
  <conditionalFormatting sqref="X3:X44">
    <cfRule type="cellIs" dxfId="53" priority="8" operator="greaterThan">
      <formula>0</formula>
    </cfRule>
    <cfRule type="cellIs" dxfId="52" priority="9" operator="lessThan">
      <formula>0</formula>
    </cfRule>
  </conditionalFormatting>
  <conditionalFormatting sqref="AA3:AA44">
    <cfRule type="cellIs" dxfId="51" priority="10" operator="greaterThan">
      <formula>0</formula>
    </cfRule>
    <cfRule type="cellIs" dxfId="50" priority="11" operator="lessThan">
      <formula>0</formula>
    </cfRule>
  </conditionalFormatting>
  <conditionalFormatting sqref="AB3:AB44">
    <cfRule type="cellIs" dxfId="49" priority="12" operator="greaterThan">
      <formula>0</formula>
    </cfRule>
    <cfRule type="cellIs" dxfId="48" priority="13" operator="lessThan">
      <formula>0</formula>
    </cfRule>
  </conditionalFormatting>
  <conditionalFormatting sqref="AC3:AC44">
    <cfRule type="cellIs" dxfId="47" priority="14" operator="greaterThan">
      <formula>0</formula>
    </cfRule>
    <cfRule type="cellIs" dxfId="46" priority="15" operator="lessThan">
      <formula>0</formula>
    </cfRule>
  </conditionalFormatting>
  <dataValidations count="4">
    <dataValidation type="list" allowBlank="1" sqref="I3:I44" xr:uid="{00000000-0002-0000-0F00-000000000000}">
      <formula1>"Held,Exited"</formula1>
      <formula2>0</formula2>
    </dataValidation>
    <dataValidation type="list" allowBlank="1" sqref="G3:G44" xr:uid="{00000000-0002-0000-0F00-000001000000}">
      <formula1>"Strong Buy,Buy"</formula1>
      <formula2>0</formula2>
    </dataValidation>
    <dataValidation type="list" allowBlank="1" sqref="R3:R44" xr:uid="{00000000-0002-0000-0F00-000002000000}">
      <formula1>"Stock,ETF,Cash"</formula1>
      <formula2>0</formula2>
    </dataValidation>
    <dataValidation type="list" allowBlank="1" sqref="S3:S44" xr:uid="{00000000-0002-0000-0F00-000003000000}">
      <formula1>"System,Baseline"</formula1>
      <formula2>0</formula2>
    </dataValidation>
  </dataValidation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302"/>
  <sheetViews>
    <sheetView showGridLines="0" zoomScaleNormal="100" workbookViewId="0">
      <pane ySplit="2" topLeftCell="A858" activePane="bottomLeft" state="frozen"/>
      <selection pane="bottomLeft" activeCell="C53" sqref="C53"/>
    </sheetView>
  </sheetViews>
  <sheetFormatPr defaultColWidth="8.6328125" defaultRowHeight="14.5" x14ac:dyDescent="0.35"/>
  <cols>
    <col min="1" max="1" width="8.81640625" style="195" customWidth="1"/>
    <col min="2" max="2" width="15.36328125" style="195" customWidth="1"/>
    <col min="3" max="3" width="98.453125" customWidth="1"/>
  </cols>
  <sheetData>
    <row r="1" spans="1:3" ht="27.75" customHeight="1" x14ac:dyDescent="0.35">
      <c r="A1" s="237" t="s">
        <v>631</v>
      </c>
      <c r="B1" s="237"/>
      <c r="C1" s="237"/>
    </row>
    <row r="2" spans="1:3" ht="18" customHeight="1" x14ac:dyDescent="0.35">
      <c r="A2" s="139" t="s">
        <v>464</v>
      </c>
      <c r="B2" s="139" t="s">
        <v>82</v>
      </c>
      <c r="C2" s="139" t="s">
        <v>210</v>
      </c>
    </row>
    <row r="3" spans="1:3" ht="27.75" customHeight="1" x14ac:dyDescent="0.35">
      <c r="A3" s="196">
        <v>46241</v>
      </c>
      <c r="B3" s="197" t="s">
        <v>172</v>
      </c>
      <c r="C3" s="198" t="s">
        <v>632</v>
      </c>
    </row>
    <row r="4" spans="1:3" ht="27.75" customHeight="1" x14ac:dyDescent="0.35">
      <c r="A4" s="196">
        <v>46241</v>
      </c>
      <c r="B4" s="197" t="s">
        <v>175</v>
      </c>
      <c r="C4" s="198" t="s">
        <v>633</v>
      </c>
    </row>
    <row r="5" spans="1:3" ht="15" customHeight="1" x14ac:dyDescent="0.35">
      <c r="A5" s="196">
        <v>46241</v>
      </c>
      <c r="B5" s="197" t="s">
        <v>183</v>
      </c>
      <c r="C5" s="198" t="s">
        <v>634</v>
      </c>
    </row>
    <row r="6" spans="1:3" ht="40.5" customHeight="1" x14ac:dyDescent="0.35">
      <c r="A6" s="196">
        <v>46241</v>
      </c>
      <c r="B6" s="197" t="s">
        <v>166</v>
      </c>
      <c r="C6" s="198" t="s">
        <v>635</v>
      </c>
    </row>
    <row r="7" spans="1:3" ht="27.75" customHeight="1" x14ac:dyDescent="0.35">
      <c r="A7" s="196">
        <v>46241</v>
      </c>
      <c r="B7" s="197" t="s">
        <v>636</v>
      </c>
      <c r="C7" s="198" t="s">
        <v>637</v>
      </c>
    </row>
    <row r="8" spans="1:3" ht="27.75" customHeight="1" x14ac:dyDescent="0.35">
      <c r="A8" s="196">
        <v>46241</v>
      </c>
      <c r="B8" s="197" t="s">
        <v>636</v>
      </c>
      <c r="C8" s="198" t="s">
        <v>638</v>
      </c>
    </row>
    <row r="9" spans="1:3" ht="27.75" customHeight="1" x14ac:dyDescent="0.35">
      <c r="A9" s="196">
        <v>46241</v>
      </c>
      <c r="B9" s="197" t="s">
        <v>639</v>
      </c>
      <c r="C9" s="198" t="s">
        <v>640</v>
      </c>
    </row>
    <row r="10" spans="1:3" ht="27.75" customHeight="1" x14ac:dyDescent="0.35">
      <c r="A10" s="196">
        <v>46241</v>
      </c>
      <c r="B10" s="197" t="s">
        <v>641</v>
      </c>
      <c r="C10" s="198" t="s">
        <v>642</v>
      </c>
    </row>
    <row r="11" spans="1:3" ht="27.75" customHeight="1" x14ac:dyDescent="0.35">
      <c r="A11" s="196">
        <v>46241</v>
      </c>
      <c r="B11" s="197" t="s">
        <v>128</v>
      </c>
      <c r="C11" s="198" t="s">
        <v>643</v>
      </c>
    </row>
    <row r="12" spans="1:3" ht="78.75" customHeight="1" x14ac:dyDescent="0.35">
      <c r="A12" s="196">
        <v>46273</v>
      </c>
      <c r="B12" s="197" t="s">
        <v>644</v>
      </c>
      <c r="C12" s="198" t="s">
        <v>645</v>
      </c>
    </row>
    <row r="13" spans="1:3" ht="53.25" customHeight="1" x14ac:dyDescent="0.35">
      <c r="A13" s="196">
        <v>46295</v>
      </c>
      <c r="B13" s="197" t="s">
        <v>646</v>
      </c>
      <c r="C13" s="198" t="s">
        <v>647</v>
      </c>
    </row>
    <row r="14" spans="1:3" ht="66" customHeight="1" x14ac:dyDescent="0.35">
      <c r="A14" s="196">
        <v>46302</v>
      </c>
      <c r="B14" s="197" t="s">
        <v>648</v>
      </c>
      <c r="C14" s="198" t="s">
        <v>649</v>
      </c>
    </row>
    <row r="15" spans="1:3" ht="91.5" customHeight="1" x14ac:dyDescent="0.35">
      <c r="A15" s="196">
        <v>46320</v>
      </c>
      <c r="B15" s="197" t="s">
        <v>650</v>
      </c>
      <c r="C15" s="198" t="s">
        <v>651</v>
      </c>
    </row>
    <row r="16" spans="1:3" ht="53.25" customHeight="1" x14ac:dyDescent="0.35">
      <c r="A16" s="196">
        <v>46335</v>
      </c>
      <c r="B16" s="197" t="s">
        <v>652</v>
      </c>
      <c r="C16" s="198" t="s">
        <v>653</v>
      </c>
    </row>
    <row r="17" spans="1:3" ht="27.75" customHeight="1" x14ac:dyDescent="0.35">
      <c r="A17" s="196">
        <v>46387</v>
      </c>
      <c r="B17" s="197" t="s">
        <v>654</v>
      </c>
      <c r="C17" s="198" t="s">
        <v>655</v>
      </c>
    </row>
    <row r="18" spans="1:3" ht="66" customHeight="1" x14ac:dyDescent="0.35">
      <c r="A18" s="196">
        <v>46412</v>
      </c>
      <c r="B18" s="197" t="s">
        <v>656</v>
      </c>
      <c r="C18" s="198" t="s">
        <v>657</v>
      </c>
    </row>
    <row r="19" spans="1:3" ht="91.5" customHeight="1" x14ac:dyDescent="0.35">
      <c r="A19" s="196">
        <v>46252</v>
      </c>
      <c r="B19" s="197" t="s">
        <v>658</v>
      </c>
      <c r="C19" s="198" t="s">
        <v>659</v>
      </c>
    </row>
    <row r="20" spans="1:3" ht="66" customHeight="1" x14ac:dyDescent="0.35">
      <c r="A20" s="196">
        <v>46258</v>
      </c>
      <c r="B20" s="197" t="s">
        <v>660</v>
      </c>
      <c r="C20" s="198" t="s">
        <v>661</v>
      </c>
    </row>
    <row r="21" spans="1:3" ht="104.25" customHeight="1" x14ac:dyDescent="0.35">
      <c r="A21" s="196">
        <v>46260</v>
      </c>
      <c r="B21" s="197" t="s">
        <v>662</v>
      </c>
      <c r="C21" s="198" t="s">
        <v>663</v>
      </c>
    </row>
    <row r="22" spans="1:3" ht="155.25" customHeight="1" x14ac:dyDescent="0.35">
      <c r="A22" s="196">
        <v>46272</v>
      </c>
      <c r="B22" s="197" t="s">
        <v>664</v>
      </c>
      <c r="C22" s="198" t="s">
        <v>665</v>
      </c>
    </row>
    <row r="23" spans="1:3" ht="53.25" customHeight="1" x14ac:dyDescent="0.35">
      <c r="A23" s="196">
        <v>46302</v>
      </c>
      <c r="B23" s="197" t="s">
        <v>666</v>
      </c>
      <c r="C23" s="198" t="s">
        <v>667</v>
      </c>
    </row>
    <row r="24" spans="1:3" ht="53.25" customHeight="1" x14ac:dyDescent="0.35">
      <c r="A24" s="196">
        <v>46310</v>
      </c>
      <c r="B24" s="197" t="s">
        <v>668</v>
      </c>
      <c r="C24" s="198" t="s">
        <v>667</v>
      </c>
    </row>
    <row r="25" spans="1:3" ht="53.25" customHeight="1" x14ac:dyDescent="0.35">
      <c r="A25" s="196">
        <v>46335</v>
      </c>
      <c r="B25" s="197" t="s">
        <v>669</v>
      </c>
      <c r="C25" s="198" t="s">
        <v>667</v>
      </c>
    </row>
    <row r="26" spans="1:3" ht="53.25" customHeight="1" x14ac:dyDescent="0.35">
      <c r="A26" s="196">
        <v>46342</v>
      </c>
      <c r="B26" s="197" t="s">
        <v>670</v>
      </c>
      <c r="C26" s="198" t="s">
        <v>667</v>
      </c>
    </row>
    <row r="27" spans="1:3" ht="53.25" customHeight="1" x14ac:dyDescent="0.35">
      <c r="A27" s="196">
        <v>46363</v>
      </c>
      <c r="B27" s="197" t="s">
        <v>671</v>
      </c>
      <c r="C27" s="198" t="s">
        <v>667</v>
      </c>
    </row>
    <row r="28" spans="1:3" ht="53.25" customHeight="1" x14ac:dyDescent="0.35">
      <c r="A28" s="196">
        <v>46371</v>
      </c>
      <c r="B28" s="197" t="s">
        <v>672</v>
      </c>
      <c r="C28" s="198" t="s">
        <v>667</v>
      </c>
    </row>
    <row r="29" spans="1:3" ht="53.25" customHeight="1" x14ac:dyDescent="0.35">
      <c r="A29" s="196">
        <v>46394</v>
      </c>
      <c r="B29" s="197" t="s">
        <v>673</v>
      </c>
      <c r="C29" s="198" t="s">
        <v>667</v>
      </c>
    </row>
    <row r="30" spans="1:3" ht="53.25" customHeight="1" x14ac:dyDescent="0.35">
      <c r="A30" s="196">
        <v>46402</v>
      </c>
      <c r="B30" s="197" t="s">
        <v>674</v>
      </c>
      <c r="C30" s="198" t="s">
        <v>667</v>
      </c>
    </row>
    <row r="31" spans="1:3" ht="53.25" customHeight="1" x14ac:dyDescent="0.35">
      <c r="A31" s="196">
        <v>46426</v>
      </c>
      <c r="B31" s="197" t="s">
        <v>675</v>
      </c>
      <c r="C31" s="198" t="s">
        <v>667</v>
      </c>
    </row>
    <row r="32" spans="1:3" ht="53.25" customHeight="1" x14ac:dyDescent="0.35">
      <c r="A32" s="196">
        <v>46434</v>
      </c>
      <c r="B32" s="197" t="s">
        <v>676</v>
      </c>
      <c r="C32" s="198" t="s">
        <v>667</v>
      </c>
    </row>
    <row r="33" spans="1:3" ht="53.25" customHeight="1" x14ac:dyDescent="0.35">
      <c r="A33" s="196">
        <v>46454</v>
      </c>
      <c r="B33" s="197" t="s">
        <v>677</v>
      </c>
      <c r="C33" s="198" t="s">
        <v>667</v>
      </c>
    </row>
    <row r="34" spans="1:3" ht="53.25" customHeight="1" x14ac:dyDescent="0.35">
      <c r="A34" s="196">
        <v>46461</v>
      </c>
      <c r="B34" s="197" t="s">
        <v>678</v>
      </c>
      <c r="C34" s="198" t="s">
        <v>679</v>
      </c>
    </row>
    <row r="35" spans="1:3" ht="117" customHeight="1" x14ac:dyDescent="0.35">
      <c r="A35" s="196">
        <v>46273</v>
      </c>
      <c r="B35" s="197" t="s">
        <v>680</v>
      </c>
      <c r="C35" s="198" t="s">
        <v>681</v>
      </c>
    </row>
    <row r="36" spans="1:3" ht="155.25" customHeight="1" x14ac:dyDescent="0.35">
      <c r="A36" s="196">
        <v>46276</v>
      </c>
      <c r="B36" s="197" t="s">
        <v>682</v>
      </c>
      <c r="C36" s="198" t="s">
        <v>683</v>
      </c>
    </row>
    <row r="37" spans="1:3" ht="91.5" customHeight="1" x14ac:dyDescent="0.35">
      <c r="A37" s="196">
        <v>46276</v>
      </c>
      <c r="B37" s="197" t="s">
        <v>684</v>
      </c>
      <c r="C37" s="198" t="s">
        <v>685</v>
      </c>
    </row>
    <row r="38" spans="1:3" ht="78.75" customHeight="1" x14ac:dyDescent="0.35">
      <c r="A38" s="196">
        <v>46276</v>
      </c>
      <c r="B38" s="197" t="s">
        <v>686</v>
      </c>
      <c r="C38" s="198" t="s">
        <v>687</v>
      </c>
    </row>
    <row r="39" spans="1:3" ht="168" customHeight="1" x14ac:dyDescent="0.35">
      <c r="A39" s="196">
        <v>46276</v>
      </c>
      <c r="B39" s="197" t="s">
        <v>688</v>
      </c>
      <c r="C39" s="198" t="s">
        <v>689</v>
      </c>
    </row>
    <row r="40" spans="1:3" ht="129.75" customHeight="1" x14ac:dyDescent="0.35">
      <c r="A40" s="196">
        <v>46276</v>
      </c>
      <c r="B40" s="197" t="s">
        <v>688</v>
      </c>
      <c r="C40" s="198" t="s">
        <v>690</v>
      </c>
    </row>
    <row r="41" spans="1:3" ht="129.75" customHeight="1" x14ac:dyDescent="0.35">
      <c r="A41" s="196">
        <v>46276</v>
      </c>
      <c r="B41" s="197" t="s">
        <v>166</v>
      </c>
      <c r="C41" s="198" t="s">
        <v>691</v>
      </c>
    </row>
    <row r="42" spans="1:3" ht="155.25" customHeight="1" x14ac:dyDescent="0.35">
      <c r="A42" s="196">
        <v>46276</v>
      </c>
      <c r="B42" s="197" t="s">
        <v>688</v>
      </c>
      <c r="C42" s="198" t="s">
        <v>692</v>
      </c>
    </row>
    <row r="43" spans="1:3" ht="168" customHeight="1" x14ac:dyDescent="0.35">
      <c r="A43" s="196">
        <v>46276</v>
      </c>
      <c r="B43" s="197" t="s">
        <v>693</v>
      </c>
      <c r="C43" s="198" t="s">
        <v>694</v>
      </c>
    </row>
    <row r="44" spans="1:3" ht="155.25" customHeight="1" x14ac:dyDescent="0.35">
      <c r="A44" s="196">
        <v>46276</v>
      </c>
      <c r="B44" s="197" t="s">
        <v>695</v>
      </c>
      <c r="C44" s="198" t="s">
        <v>696</v>
      </c>
    </row>
    <row r="45" spans="1:3" ht="27.75" customHeight="1" x14ac:dyDescent="0.35">
      <c r="A45" s="196">
        <v>46295</v>
      </c>
      <c r="B45" s="197" t="s">
        <v>697</v>
      </c>
      <c r="C45" s="198" t="s">
        <v>698</v>
      </c>
    </row>
    <row r="46" spans="1:3" ht="40.5" customHeight="1" x14ac:dyDescent="0.35">
      <c r="A46" s="196">
        <v>46302</v>
      </c>
      <c r="B46" s="197" t="s">
        <v>699</v>
      </c>
      <c r="C46" s="198" t="s">
        <v>700</v>
      </c>
    </row>
    <row r="47" spans="1:3" ht="15" customHeight="1" x14ac:dyDescent="0.35">
      <c r="A47" s="196">
        <v>46317</v>
      </c>
      <c r="B47" s="197" t="s">
        <v>701</v>
      </c>
      <c r="C47" s="198" t="s">
        <v>702</v>
      </c>
    </row>
    <row r="48" spans="1:3" ht="27.75" customHeight="1" x14ac:dyDescent="0.35">
      <c r="A48" s="196">
        <v>46335</v>
      </c>
      <c r="B48" s="197" t="s">
        <v>703</v>
      </c>
      <c r="C48" s="198" t="s">
        <v>704</v>
      </c>
    </row>
    <row r="49" spans="1:3" ht="27.75" customHeight="1" x14ac:dyDescent="0.35">
      <c r="A49" s="196">
        <v>46349</v>
      </c>
      <c r="B49" s="197" t="s">
        <v>705</v>
      </c>
      <c r="C49" s="198" t="s">
        <v>706</v>
      </c>
    </row>
    <row r="50" spans="1:3" ht="15" customHeight="1" x14ac:dyDescent="0.35">
      <c r="A50" s="196">
        <v>46363</v>
      </c>
      <c r="B50" s="197" t="s">
        <v>707</v>
      </c>
      <c r="C50" s="198" t="s">
        <v>702</v>
      </c>
    </row>
    <row r="51" spans="1:3" ht="15" customHeight="1" x14ac:dyDescent="0.35">
      <c r="A51" s="196">
        <v>46378</v>
      </c>
      <c r="B51" s="197" t="s">
        <v>708</v>
      </c>
      <c r="C51" s="198" t="s">
        <v>702</v>
      </c>
    </row>
    <row r="52" spans="1:3" ht="27.75" customHeight="1" x14ac:dyDescent="0.35">
      <c r="A52" s="196">
        <v>46394</v>
      </c>
      <c r="B52" s="197" t="s">
        <v>709</v>
      </c>
      <c r="C52" s="198" t="s">
        <v>710</v>
      </c>
    </row>
    <row r="53" spans="1:3" ht="295.5" customHeight="1" x14ac:dyDescent="0.35">
      <c r="A53" s="196">
        <v>46276</v>
      </c>
      <c r="B53" s="197" t="s">
        <v>711</v>
      </c>
      <c r="C53" s="198" t="s">
        <v>712</v>
      </c>
    </row>
    <row r="54" spans="1:3" ht="359.25" customHeight="1" x14ac:dyDescent="0.35">
      <c r="A54" s="196">
        <v>46278</v>
      </c>
      <c r="B54" s="197" t="s">
        <v>713</v>
      </c>
      <c r="C54" s="198" t="s">
        <v>714</v>
      </c>
    </row>
    <row r="55" spans="1:3" ht="270" customHeight="1" x14ac:dyDescent="0.35">
      <c r="A55" s="196">
        <v>46278</v>
      </c>
      <c r="B55" s="197" t="s">
        <v>715</v>
      </c>
      <c r="C55" s="198" t="s">
        <v>716</v>
      </c>
    </row>
    <row r="56" spans="1:3" ht="409.5" customHeight="1" x14ac:dyDescent="0.35">
      <c r="A56" s="196">
        <v>46278</v>
      </c>
      <c r="B56" s="197" t="s">
        <v>717</v>
      </c>
      <c r="C56" s="198" t="s">
        <v>718</v>
      </c>
    </row>
    <row r="57" spans="1:3" ht="193.5" customHeight="1" x14ac:dyDescent="0.35">
      <c r="A57" s="196">
        <v>46278</v>
      </c>
      <c r="B57" s="197" t="s">
        <v>719</v>
      </c>
      <c r="C57" s="198" t="s">
        <v>720</v>
      </c>
    </row>
    <row r="58" spans="1:3" ht="384.75" customHeight="1" x14ac:dyDescent="0.35">
      <c r="A58" s="196">
        <v>46278</v>
      </c>
      <c r="B58" s="197" t="s">
        <v>721</v>
      </c>
      <c r="C58" s="198" t="s">
        <v>722</v>
      </c>
    </row>
    <row r="59" spans="1:3" ht="409.5" customHeight="1" x14ac:dyDescent="0.35">
      <c r="A59" s="196">
        <v>46278</v>
      </c>
      <c r="B59" s="197" t="s">
        <v>723</v>
      </c>
      <c r="C59" s="198" t="s">
        <v>724</v>
      </c>
    </row>
    <row r="60" spans="1:3" ht="397.5" customHeight="1" x14ac:dyDescent="0.35">
      <c r="A60" s="196">
        <v>46278</v>
      </c>
      <c r="B60" s="197" t="s">
        <v>725</v>
      </c>
      <c r="C60" s="198" t="s">
        <v>726</v>
      </c>
    </row>
    <row r="61" spans="1:3" ht="409.5" customHeight="1" x14ac:dyDescent="0.35">
      <c r="A61" s="196">
        <v>46278</v>
      </c>
      <c r="B61" s="197" t="s">
        <v>727</v>
      </c>
      <c r="C61" s="198" t="s">
        <v>728</v>
      </c>
    </row>
    <row r="62" spans="1:3" ht="409.5" customHeight="1" x14ac:dyDescent="0.35">
      <c r="A62" s="196">
        <v>46294</v>
      </c>
      <c r="B62" s="197" t="s">
        <v>729</v>
      </c>
      <c r="C62" s="198" t="s">
        <v>730</v>
      </c>
    </row>
    <row r="63" spans="1:3" ht="129.75" customHeight="1" x14ac:dyDescent="0.35">
      <c r="A63" s="196">
        <v>46294</v>
      </c>
      <c r="B63" s="197" t="s">
        <v>731</v>
      </c>
      <c r="C63" s="198" t="s">
        <v>732</v>
      </c>
    </row>
    <row r="64" spans="1:3" ht="155.25" customHeight="1" x14ac:dyDescent="0.35">
      <c r="A64" s="196">
        <v>46295</v>
      </c>
      <c r="B64" s="197" t="s">
        <v>697</v>
      </c>
      <c r="C64" s="198" t="s">
        <v>733</v>
      </c>
    </row>
    <row r="65" spans="1:3" ht="104.25" customHeight="1" x14ac:dyDescent="0.35">
      <c r="A65" s="196">
        <v>46295</v>
      </c>
      <c r="B65" s="197" t="s">
        <v>734</v>
      </c>
      <c r="C65" s="198" t="s">
        <v>735</v>
      </c>
    </row>
    <row r="66" spans="1:3" ht="282.75" customHeight="1" x14ac:dyDescent="0.35">
      <c r="A66" s="196">
        <v>46295</v>
      </c>
      <c r="B66" s="197" t="s">
        <v>94</v>
      </c>
      <c r="C66" s="198" t="s">
        <v>736</v>
      </c>
    </row>
    <row r="67" spans="1:3" ht="155.25" customHeight="1" x14ac:dyDescent="0.35">
      <c r="A67" s="196">
        <v>46295</v>
      </c>
      <c r="B67" s="197"/>
      <c r="C67" s="198" t="s">
        <v>737</v>
      </c>
    </row>
    <row r="68" spans="1:3" ht="155.25" customHeight="1" x14ac:dyDescent="0.35">
      <c r="A68" s="196">
        <v>46295</v>
      </c>
      <c r="B68" s="197"/>
      <c r="C68" s="198" t="s">
        <v>738</v>
      </c>
    </row>
    <row r="69" spans="1:3" ht="219" customHeight="1" x14ac:dyDescent="0.35">
      <c r="A69" s="196">
        <v>46295</v>
      </c>
      <c r="B69" s="197" t="s">
        <v>739</v>
      </c>
      <c r="C69" s="198" t="s">
        <v>740</v>
      </c>
    </row>
    <row r="70" spans="1:3" ht="206.25" customHeight="1" x14ac:dyDescent="0.35">
      <c r="A70" s="196">
        <v>46295</v>
      </c>
      <c r="B70" s="197" t="s">
        <v>741</v>
      </c>
      <c r="C70" s="198" t="s">
        <v>742</v>
      </c>
    </row>
    <row r="71" spans="1:3" ht="409.5" customHeight="1" x14ac:dyDescent="0.35">
      <c r="A71" s="196">
        <v>46296</v>
      </c>
      <c r="B71" s="197" t="s">
        <v>142</v>
      </c>
      <c r="C71" s="198" t="s">
        <v>743</v>
      </c>
    </row>
    <row r="72" spans="1:3" ht="295.5" customHeight="1" x14ac:dyDescent="0.35">
      <c r="A72" s="196">
        <v>46296</v>
      </c>
      <c r="B72" s="197"/>
      <c r="C72" s="198" t="s">
        <v>744</v>
      </c>
    </row>
    <row r="73" spans="1:3" ht="282.75" customHeight="1" x14ac:dyDescent="0.35">
      <c r="A73" s="196">
        <v>46296</v>
      </c>
      <c r="B73" s="197" t="s">
        <v>745</v>
      </c>
      <c r="C73" s="198" t="s">
        <v>746</v>
      </c>
    </row>
    <row r="74" spans="1:3" ht="142.5" customHeight="1" x14ac:dyDescent="0.35">
      <c r="A74" s="196">
        <v>46296</v>
      </c>
      <c r="B74" s="197" t="s">
        <v>747</v>
      </c>
      <c r="C74" s="198" t="s">
        <v>748</v>
      </c>
    </row>
    <row r="75" spans="1:3" ht="117" customHeight="1" x14ac:dyDescent="0.35">
      <c r="A75" s="196">
        <v>46297</v>
      </c>
      <c r="B75" s="197" t="s">
        <v>749</v>
      </c>
      <c r="C75" s="198" t="s">
        <v>750</v>
      </c>
    </row>
    <row r="76" spans="1:3" ht="53.25" customHeight="1" x14ac:dyDescent="0.35">
      <c r="A76" s="196">
        <v>46297</v>
      </c>
      <c r="B76" s="197" t="s">
        <v>142</v>
      </c>
      <c r="C76" s="198" t="s">
        <v>751</v>
      </c>
    </row>
    <row r="77" spans="1:3" ht="155.25" customHeight="1" x14ac:dyDescent="0.35">
      <c r="A77" s="196">
        <v>46297</v>
      </c>
      <c r="B77" s="197" t="s">
        <v>752</v>
      </c>
      <c r="C77" s="198" t="s">
        <v>753</v>
      </c>
    </row>
    <row r="78" spans="1:3" ht="295.5" customHeight="1" x14ac:dyDescent="0.35">
      <c r="A78" s="196">
        <v>46297</v>
      </c>
      <c r="B78" s="197" t="s">
        <v>754</v>
      </c>
      <c r="C78" s="198" t="s">
        <v>755</v>
      </c>
    </row>
    <row r="79" spans="1:3" ht="282.75" customHeight="1" x14ac:dyDescent="0.35">
      <c r="A79" s="196">
        <v>46297</v>
      </c>
      <c r="B79" s="197" t="s">
        <v>756</v>
      </c>
      <c r="C79" s="198" t="s">
        <v>757</v>
      </c>
    </row>
    <row r="80" spans="1:3" ht="257.25" customHeight="1" x14ac:dyDescent="0.35">
      <c r="A80" s="196">
        <v>46297</v>
      </c>
      <c r="B80" s="197" t="s">
        <v>282</v>
      </c>
      <c r="C80" s="198" t="s">
        <v>758</v>
      </c>
    </row>
    <row r="81" spans="1:3" ht="282.75" customHeight="1" x14ac:dyDescent="0.35">
      <c r="A81" s="196">
        <v>46299</v>
      </c>
      <c r="B81" s="197" t="s">
        <v>759</v>
      </c>
      <c r="C81" s="198" t="s">
        <v>760</v>
      </c>
    </row>
    <row r="82" spans="1:3" ht="321" customHeight="1" x14ac:dyDescent="0.35">
      <c r="A82" s="196">
        <v>46299</v>
      </c>
      <c r="B82" s="197" t="s">
        <v>761</v>
      </c>
      <c r="C82" s="198" t="s">
        <v>762</v>
      </c>
    </row>
    <row r="83" spans="1:3" ht="129.75" customHeight="1" x14ac:dyDescent="0.35">
      <c r="A83" s="196">
        <v>46299</v>
      </c>
      <c r="B83" s="197" t="s">
        <v>761</v>
      </c>
      <c r="C83" s="198" t="s">
        <v>763</v>
      </c>
    </row>
    <row r="84" spans="1:3" ht="346.5" customHeight="1" x14ac:dyDescent="0.35">
      <c r="A84" s="196">
        <v>46299</v>
      </c>
      <c r="B84" s="197" t="s">
        <v>764</v>
      </c>
      <c r="C84" s="198" t="s">
        <v>765</v>
      </c>
    </row>
    <row r="85" spans="1:3" ht="168" customHeight="1" x14ac:dyDescent="0.35">
      <c r="A85" s="196">
        <v>46299</v>
      </c>
      <c r="B85" s="197" t="s">
        <v>766</v>
      </c>
      <c r="C85" s="198" t="s">
        <v>767</v>
      </c>
    </row>
    <row r="86" spans="1:3" ht="257.25" customHeight="1" x14ac:dyDescent="0.35">
      <c r="A86" s="196">
        <v>46299</v>
      </c>
      <c r="B86" s="197" t="s">
        <v>768</v>
      </c>
      <c r="C86" s="198" t="s">
        <v>769</v>
      </c>
    </row>
    <row r="87" spans="1:3" ht="155.25" customHeight="1" x14ac:dyDescent="0.35">
      <c r="A87" s="196">
        <v>46299</v>
      </c>
      <c r="B87" s="197" t="s">
        <v>770</v>
      </c>
      <c r="C87" s="198" t="s">
        <v>771</v>
      </c>
    </row>
    <row r="88" spans="1:3" ht="206.25" customHeight="1" x14ac:dyDescent="0.35">
      <c r="A88" s="196">
        <v>46299</v>
      </c>
      <c r="B88" s="197" t="s">
        <v>772</v>
      </c>
      <c r="C88" s="198" t="s">
        <v>773</v>
      </c>
    </row>
    <row r="89" spans="1:3" ht="270" customHeight="1" x14ac:dyDescent="0.35">
      <c r="A89" s="196">
        <v>46299</v>
      </c>
      <c r="B89" s="197" t="s">
        <v>774</v>
      </c>
      <c r="C89" s="198" t="s">
        <v>775</v>
      </c>
    </row>
    <row r="90" spans="1:3" ht="219" customHeight="1" x14ac:dyDescent="0.35">
      <c r="A90" s="196">
        <v>46300</v>
      </c>
      <c r="B90" s="197" t="s">
        <v>776</v>
      </c>
      <c r="C90" s="198" t="s">
        <v>777</v>
      </c>
    </row>
    <row r="91" spans="1:3" ht="244.5" customHeight="1" x14ac:dyDescent="0.35">
      <c r="A91" s="196">
        <v>46300</v>
      </c>
      <c r="B91" s="197" t="s">
        <v>778</v>
      </c>
      <c r="C91" s="198" t="s">
        <v>779</v>
      </c>
    </row>
    <row r="92" spans="1:3" ht="308.25" customHeight="1" x14ac:dyDescent="0.35">
      <c r="A92" s="196">
        <v>46300</v>
      </c>
      <c r="B92" s="197" t="s">
        <v>780</v>
      </c>
      <c r="C92" s="198" t="s">
        <v>781</v>
      </c>
    </row>
    <row r="93" spans="1:3" ht="244.5" customHeight="1" x14ac:dyDescent="0.35">
      <c r="A93" s="196">
        <v>46300</v>
      </c>
      <c r="B93" s="197" t="s">
        <v>782</v>
      </c>
      <c r="C93" s="198" t="s">
        <v>783</v>
      </c>
    </row>
    <row r="94" spans="1:3" ht="270" customHeight="1" x14ac:dyDescent="0.35">
      <c r="A94" s="196">
        <v>46300</v>
      </c>
      <c r="B94" s="197" t="s">
        <v>784</v>
      </c>
      <c r="C94" s="198" t="s">
        <v>785</v>
      </c>
    </row>
    <row r="95" spans="1:3" ht="359.25" customHeight="1" x14ac:dyDescent="0.35">
      <c r="A95" s="196">
        <v>46300</v>
      </c>
      <c r="B95" s="197" t="s">
        <v>786</v>
      </c>
      <c r="C95" s="198" t="s">
        <v>787</v>
      </c>
    </row>
    <row r="96" spans="1:3" ht="384.75" customHeight="1" x14ac:dyDescent="0.35">
      <c r="A96" s="196">
        <v>46300</v>
      </c>
      <c r="B96" s="197" t="s">
        <v>788</v>
      </c>
      <c r="C96" s="198" t="s">
        <v>789</v>
      </c>
    </row>
    <row r="97" spans="1:3" ht="142.5" customHeight="1" x14ac:dyDescent="0.35">
      <c r="A97" s="196">
        <v>46300</v>
      </c>
      <c r="B97" s="197" t="s">
        <v>790</v>
      </c>
      <c r="C97" s="198" t="s">
        <v>791</v>
      </c>
    </row>
    <row r="98" spans="1:3" ht="308.25" customHeight="1" x14ac:dyDescent="0.35">
      <c r="A98" s="196">
        <v>46300</v>
      </c>
      <c r="B98" s="197" t="s">
        <v>792</v>
      </c>
      <c r="C98" s="198" t="s">
        <v>793</v>
      </c>
    </row>
    <row r="99" spans="1:3" ht="384.75" customHeight="1" x14ac:dyDescent="0.35">
      <c r="A99" s="196">
        <v>46300</v>
      </c>
      <c r="B99" s="197" t="s">
        <v>794</v>
      </c>
      <c r="C99" s="198" t="s">
        <v>795</v>
      </c>
    </row>
    <row r="100" spans="1:3" ht="14.25" customHeight="1" x14ac:dyDescent="0.35">
      <c r="A100" s="196"/>
      <c r="B100" s="197"/>
      <c r="C100" s="198"/>
    </row>
    <row r="101" spans="1:3" ht="14.25" customHeight="1" x14ac:dyDescent="0.35">
      <c r="A101" s="196"/>
      <c r="B101" s="197"/>
      <c r="C101" s="198"/>
    </row>
    <row r="102" spans="1:3" ht="14.25" customHeight="1" x14ac:dyDescent="0.35">
      <c r="A102" s="196"/>
      <c r="B102" s="197"/>
      <c r="C102" s="198"/>
    </row>
    <row r="103" spans="1:3" ht="14.25" customHeight="1" x14ac:dyDescent="0.35">
      <c r="A103" s="196"/>
      <c r="B103" s="197"/>
      <c r="C103" s="198"/>
    </row>
    <row r="104" spans="1:3" ht="14.25" customHeight="1" x14ac:dyDescent="0.35">
      <c r="A104" s="196"/>
      <c r="B104" s="197"/>
      <c r="C104" s="198"/>
    </row>
    <row r="105" spans="1:3" ht="14.25" customHeight="1" x14ac:dyDescent="0.35">
      <c r="A105" s="196"/>
      <c r="B105" s="197"/>
      <c r="C105" s="198"/>
    </row>
    <row r="106" spans="1:3" ht="14.25" customHeight="1" x14ac:dyDescent="0.35">
      <c r="A106" s="196"/>
      <c r="B106" s="197"/>
      <c r="C106" s="198"/>
    </row>
    <row r="107" spans="1:3" ht="14.25" customHeight="1" x14ac:dyDescent="0.35">
      <c r="A107" s="196"/>
      <c r="B107" s="197"/>
      <c r="C107" s="198"/>
    </row>
    <row r="108" spans="1:3" ht="14.25" customHeight="1" x14ac:dyDescent="0.35">
      <c r="A108" s="196"/>
      <c r="B108" s="197"/>
      <c r="C108" s="198"/>
    </row>
    <row r="109" spans="1:3" ht="14.25" customHeight="1" x14ac:dyDescent="0.35">
      <c r="A109" s="196"/>
      <c r="B109" s="197"/>
      <c r="C109" s="198"/>
    </row>
    <row r="110" spans="1:3" ht="14.25" customHeight="1" x14ac:dyDescent="0.35">
      <c r="A110" s="196"/>
      <c r="B110" s="197"/>
      <c r="C110" s="198"/>
    </row>
    <row r="111" spans="1:3" ht="14.25" customHeight="1" x14ac:dyDescent="0.35">
      <c r="A111" s="196"/>
      <c r="B111" s="197"/>
      <c r="C111" s="198"/>
    </row>
    <row r="112" spans="1:3" ht="14.25" customHeight="1" x14ac:dyDescent="0.35">
      <c r="A112" s="196"/>
      <c r="B112" s="197"/>
      <c r="C112" s="198"/>
    </row>
    <row r="113" spans="1:3" ht="14.25" customHeight="1" x14ac:dyDescent="0.35">
      <c r="A113" s="196"/>
      <c r="B113" s="197"/>
      <c r="C113" s="198"/>
    </row>
    <row r="114" spans="1:3" ht="14.25" customHeight="1" x14ac:dyDescent="0.35">
      <c r="A114" s="196"/>
      <c r="B114" s="197"/>
      <c r="C114" s="198"/>
    </row>
    <row r="115" spans="1:3" ht="14.25" customHeight="1" x14ac:dyDescent="0.35">
      <c r="A115" s="196"/>
      <c r="B115" s="197"/>
      <c r="C115" s="198"/>
    </row>
    <row r="116" spans="1:3" ht="14.25" customHeight="1" x14ac:dyDescent="0.35">
      <c r="A116" s="196"/>
      <c r="B116" s="197"/>
      <c r="C116" s="198"/>
    </row>
    <row r="117" spans="1:3" ht="14.25" customHeight="1" x14ac:dyDescent="0.35">
      <c r="A117" s="196"/>
      <c r="B117" s="197"/>
      <c r="C117" s="198"/>
    </row>
    <row r="118" spans="1:3" ht="14.25" customHeight="1" x14ac:dyDescent="0.35">
      <c r="A118" s="196"/>
      <c r="B118" s="197"/>
      <c r="C118" s="198"/>
    </row>
    <row r="119" spans="1:3" ht="14.25" customHeight="1" x14ac:dyDescent="0.35">
      <c r="A119" s="196"/>
      <c r="B119" s="197"/>
      <c r="C119" s="198"/>
    </row>
    <row r="120" spans="1:3" ht="14.25" customHeight="1" x14ac:dyDescent="0.35">
      <c r="A120" s="196"/>
      <c r="B120" s="197"/>
      <c r="C120" s="198"/>
    </row>
    <row r="121" spans="1:3" ht="14.25" customHeight="1" x14ac:dyDescent="0.35">
      <c r="A121" s="196"/>
      <c r="B121" s="197"/>
      <c r="C121" s="198"/>
    </row>
    <row r="122" spans="1:3" ht="14.25" customHeight="1" x14ac:dyDescent="0.35">
      <c r="A122" s="196"/>
      <c r="B122" s="197"/>
      <c r="C122" s="198"/>
    </row>
    <row r="123" spans="1:3" ht="14.25" customHeight="1" x14ac:dyDescent="0.35">
      <c r="A123" s="196"/>
      <c r="B123" s="197"/>
      <c r="C123" s="198"/>
    </row>
    <row r="124" spans="1:3" ht="14.25" customHeight="1" x14ac:dyDescent="0.35">
      <c r="A124" s="196"/>
      <c r="B124" s="197"/>
      <c r="C124" s="198"/>
    </row>
    <row r="125" spans="1:3" ht="14.25" customHeight="1" x14ac:dyDescent="0.35">
      <c r="A125" s="196"/>
      <c r="B125" s="197"/>
      <c r="C125" s="198"/>
    </row>
    <row r="126" spans="1:3" ht="14.25" customHeight="1" x14ac:dyDescent="0.35">
      <c r="A126" s="196"/>
      <c r="B126" s="197"/>
      <c r="C126" s="198"/>
    </row>
    <row r="127" spans="1:3" ht="14.25" customHeight="1" x14ac:dyDescent="0.35">
      <c r="A127" s="196"/>
      <c r="B127" s="197"/>
      <c r="C127" s="198"/>
    </row>
    <row r="128" spans="1:3" ht="14.25" customHeight="1" x14ac:dyDescent="0.35">
      <c r="A128" s="196"/>
      <c r="B128" s="197"/>
      <c r="C128" s="198"/>
    </row>
    <row r="129" spans="1:3" ht="14.25" customHeight="1" x14ac:dyDescent="0.35">
      <c r="A129" s="196"/>
      <c r="B129" s="197"/>
      <c r="C129" s="198"/>
    </row>
    <row r="130" spans="1:3" ht="14.25" customHeight="1" x14ac:dyDescent="0.35">
      <c r="A130" s="196"/>
      <c r="B130" s="197"/>
      <c r="C130" s="198"/>
    </row>
    <row r="131" spans="1:3" ht="14.25" customHeight="1" x14ac:dyDescent="0.35">
      <c r="A131" s="196"/>
      <c r="B131" s="197"/>
      <c r="C131" s="198"/>
    </row>
    <row r="132" spans="1:3" ht="14.25" customHeight="1" x14ac:dyDescent="0.35">
      <c r="A132" s="196"/>
      <c r="B132" s="197"/>
      <c r="C132" s="198"/>
    </row>
    <row r="133" spans="1:3" ht="14.25" customHeight="1" x14ac:dyDescent="0.35">
      <c r="A133" s="196"/>
      <c r="B133" s="197"/>
      <c r="C133" s="198"/>
    </row>
    <row r="134" spans="1:3" ht="14.25" customHeight="1" x14ac:dyDescent="0.35">
      <c r="A134" s="196"/>
      <c r="B134" s="197"/>
      <c r="C134" s="198"/>
    </row>
    <row r="135" spans="1:3" ht="14.25" customHeight="1" x14ac:dyDescent="0.35">
      <c r="A135" s="196"/>
      <c r="B135" s="197"/>
      <c r="C135" s="198"/>
    </row>
    <row r="136" spans="1:3" ht="14.25" customHeight="1" x14ac:dyDescent="0.35">
      <c r="A136" s="196"/>
      <c r="B136" s="197"/>
      <c r="C136" s="198"/>
    </row>
    <row r="137" spans="1:3" ht="14.25" customHeight="1" x14ac:dyDescent="0.35">
      <c r="A137" s="196"/>
      <c r="B137" s="197"/>
      <c r="C137" s="198"/>
    </row>
    <row r="138" spans="1:3" ht="14.25" customHeight="1" x14ac:dyDescent="0.35">
      <c r="A138" s="196"/>
      <c r="B138" s="197"/>
      <c r="C138" s="198"/>
    </row>
    <row r="139" spans="1:3" ht="14.25" customHeight="1" x14ac:dyDescent="0.35">
      <c r="A139" s="196"/>
      <c r="B139" s="197"/>
      <c r="C139" s="198"/>
    </row>
    <row r="140" spans="1:3" ht="14.25" customHeight="1" x14ac:dyDescent="0.35">
      <c r="A140" s="196"/>
      <c r="B140" s="197"/>
      <c r="C140" s="198"/>
    </row>
    <row r="141" spans="1:3" ht="14.25" customHeight="1" x14ac:dyDescent="0.35">
      <c r="A141" s="196"/>
      <c r="B141" s="197"/>
      <c r="C141" s="198"/>
    </row>
    <row r="142" spans="1:3" ht="14.25" customHeight="1" x14ac:dyDescent="0.35">
      <c r="A142" s="196"/>
      <c r="B142" s="197"/>
      <c r="C142" s="198"/>
    </row>
    <row r="143" spans="1:3" ht="14.25" customHeight="1" x14ac:dyDescent="0.35">
      <c r="A143" s="196"/>
      <c r="B143" s="197"/>
      <c r="C143" s="198"/>
    </row>
    <row r="144" spans="1:3" ht="14.25" customHeight="1" x14ac:dyDescent="0.35">
      <c r="A144" s="196"/>
      <c r="B144" s="197"/>
      <c r="C144" s="198"/>
    </row>
    <row r="145" spans="1:3" ht="14.25" customHeight="1" x14ac:dyDescent="0.35">
      <c r="A145" s="196"/>
      <c r="B145" s="197"/>
      <c r="C145" s="198"/>
    </row>
    <row r="146" spans="1:3" ht="14.25" customHeight="1" x14ac:dyDescent="0.35">
      <c r="A146" s="196"/>
      <c r="B146" s="197"/>
      <c r="C146" s="198"/>
    </row>
    <row r="147" spans="1:3" ht="14.25" customHeight="1" x14ac:dyDescent="0.35">
      <c r="A147" s="196"/>
      <c r="B147" s="197"/>
      <c r="C147" s="198"/>
    </row>
    <row r="148" spans="1:3" ht="14.25" customHeight="1" x14ac:dyDescent="0.35">
      <c r="A148" s="196"/>
      <c r="B148" s="197"/>
      <c r="C148" s="198"/>
    </row>
    <row r="149" spans="1:3" ht="14.25" customHeight="1" x14ac:dyDescent="0.35">
      <c r="A149" s="196"/>
      <c r="B149" s="197"/>
      <c r="C149" s="198"/>
    </row>
    <row r="150" spans="1:3" ht="14.25" customHeight="1" x14ac:dyDescent="0.35">
      <c r="A150" s="196"/>
      <c r="B150" s="197"/>
      <c r="C150" s="198"/>
    </row>
    <row r="151" spans="1:3" ht="14.25" customHeight="1" x14ac:dyDescent="0.35">
      <c r="A151" s="196"/>
      <c r="B151" s="197"/>
      <c r="C151" s="198"/>
    </row>
    <row r="152" spans="1:3" ht="14.25" customHeight="1" x14ac:dyDescent="0.35">
      <c r="A152" s="196"/>
      <c r="B152" s="197"/>
      <c r="C152" s="198"/>
    </row>
    <row r="153" spans="1:3" ht="14.25" customHeight="1" x14ac:dyDescent="0.35">
      <c r="A153" s="196"/>
      <c r="B153" s="197"/>
      <c r="C153" s="198"/>
    </row>
    <row r="154" spans="1:3" ht="14.25" customHeight="1" x14ac:dyDescent="0.35">
      <c r="A154" s="196"/>
      <c r="B154" s="197"/>
      <c r="C154" s="198"/>
    </row>
    <row r="155" spans="1:3" ht="14.25" customHeight="1" x14ac:dyDescent="0.35">
      <c r="A155" s="196"/>
      <c r="B155" s="197"/>
      <c r="C155" s="198"/>
    </row>
    <row r="156" spans="1:3" ht="14.25" customHeight="1" x14ac:dyDescent="0.35">
      <c r="A156" s="196"/>
      <c r="B156" s="197"/>
      <c r="C156" s="198"/>
    </row>
    <row r="157" spans="1:3" ht="14.25" customHeight="1" x14ac:dyDescent="0.35">
      <c r="A157" s="196"/>
      <c r="B157" s="197"/>
      <c r="C157" s="198"/>
    </row>
    <row r="158" spans="1:3" ht="14.25" customHeight="1" x14ac:dyDescent="0.35">
      <c r="A158" s="196"/>
      <c r="B158" s="197"/>
      <c r="C158" s="198"/>
    </row>
    <row r="159" spans="1:3" ht="14.25" customHeight="1" x14ac:dyDescent="0.35">
      <c r="A159" s="196"/>
      <c r="B159" s="197"/>
      <c r="C159" s="198"/>
    </row>
    <row r="160" spans="1:3" ht="14.25" customHeight="1" x14ac:dyDescent="0.35">
      <c r="A160" s="196"/>
      <c r="B160" s="197"/>
      <c r="C160" s="198"/>
    </row>
    <row r="161" spans="1:3" ht="14.25" customHeight="1" x14ac:dyDescent="0.35">
      <c r="A161" s="196"/>
      <c r="B161" s="197"/>
      <c r="C161" s="198"/>
    </row>
    <row r="162" spans="1:3" ht="14.25" customHeight="1" x14ac:dyDescent="0.35">
      <c r="A162" s="196"/>
      <c r="B162" s="197"/>
      <c r="C162" s="198"/>
    </row>
    <row r="163" spans="1:3" ht="14.25" customHeight="1" x14ac:dyDescent="0.35">
      <c r="A163" s="196"/>
      <c r="B163" s="197"/>
      <c r="C163" s="198"/>
    </row>
    <row r="164" spans="1:3" ht="14.25" customHeight="1" x14ac:dyDescent="0.35">
      <c r="A164" s="196"/>
      <c r="B164" s="197"/>
      <c r="C164" s="198"/>
    </row>
    <row r="165" spans="1:3" ht="14.25" customHeight="1" x14ac:dyDescent="0.35">
      <c r="A165" s="196"/>
      <c r="B165" s="197"/>
      <c r="C165" s="198"/>
    </row>
    <row r="166" spans="1:3" ht="14.25" customHeight="1" x14ac:dyDescent="0.35">
      <c r="A166" s="196"/>
      <c r="B166" s="197"/>
      <c r="C166" s="198"/>
    </row>
    <row r="167" spans="1:3" ht="14.25" customHeight="1" x14ac:dyDescent="0.35">
      <c r="A167" s="196"/>
      <c r="B167" s="197"/>
      <c r="C167" s="198"/>
    </row>
    <row r="168" spans="1:3" ht="14.25" customHeight="1" x14ac:dyDescent="0.35">
      <c r="A168" s="196"/>
      <c r="B168" s="197"/>
      <c r="C168" s="198"/>
    </row>
    <row r="169" spans="1:3" ht="14.25" customHeight="1" x14ac:dyDescent="0.35">
      <c r="A169" s="196"/>
      <c r="B169" s="197"/>
      <c r="C169" s="198"/>
    </row>
    <row r="170" spans="1:3" ht="14.25" customHeight="1" x14ac:dyDescent="0.35">
      <c r="A170" s="196"/>
      <c r="B170" s="197"/>
      <c r="C170" s="198"/>
    </row>
    <row r="171" spans="1:3" ht="14.25" customHeight="1" x14ac:dyDescent="0.35">
      <c r="A171" s="196"/>
      <c r="B171" s="197"/>
      <c r="C171" s="198"/>
    </row>
    <row r="172" spans="1:3" ht="14.25" customHeight="1" x14ac:dyDescent="0.35">
      <c r="A172" s="196"/>
      <c r="B172" s="197"/>
      <c r="C172" s="198"/>
    </row>
    <row r="173" spans="1:3" ht="14.25" customHeight="1" x14ac:dyDescent="0.35">
      <c r="A173" s="196"/>
      <c r="B173" s="197"/>
      <c r="C173" s="198"/>
    </row>
    <row r="174" spans="1:3" ht="14.25" customHeight="1" x14ac:dyDescent="0.35">
      <c r="A174" s="196"/>
      <c r="B174" s="197"/>
      <c r="C174" s="198"/>
    </row>
    <row r="175" spans="1:3" ht="14.25" customHeight="1" x14ac:dyDescent="0.35">
      <c r="A175" s="196"/>
      <c r="B175" s="197"/>
      <c r="C175" s="198"/>
    </row>
    <row r="176" spans="1:3" ht="14.25" customHeight="1" x14ac:dyDescent="0.35">
      <c r="A176" s="196"/>
      <c r="B176" s="197"/>
      <c r="C176" s="198"/>
    </row>
    <row r="177" spans="1:3" ht="14.25" customHeight="1" x14ac:dyDescent="0.35">
      <c r="A177" s="196"/>
      <c r="B177" s="197"/>
      <c r="C177" s="198"/>
    </row>
    <row r="178" spans="1:3" ht="14.25" customHeight="1" x14ac:dyDescent="0.35">
      <c r="A178" s="196"/>
      <c r="B178" s="197"/>
      <c r="C178" s="198"/>
    </row>
    <row r="179" spans="1:3" ht="14.25" customHeight="1" x14ac:dyDescent="0.35">
      <c r="A179" s="196"/>
      <c r="B179" s="197"/>
      <c r="C179" s="198"/>
    </row>
    <row r="180" spans="1:3" ht="14.25" customHeight="1" x14ac:dyDescent="0.35">
      <c r="A180" s="196"/>
      <c r="B180" s="197"/>
      <c r="C180" s="198"/>
    </row>
    <row r="181" spans="1:3" ht="14.25" customHeight="1" x14ac:dyDescent="0.35">
      <c r="A181" s="196"/>
      <c r="B181" s="197"/>
      <c r="C181" s="198"/>
    </row>
    <row r="182" spans="1:3" ht="14.25" customHeight="1" x14ac:dyDescent="0.35">
      <c r="A182" s="196"/>
      <c r="B182" s="197"/>
      <c r="C182" s="198"/>
    </row>
    <row r="183" spans="1:3" ht="14.25" customHeight="1" x14ac:dyDescent="0.35">
      <c r="A183" s="196"/>
      <c r="B183" s="197"/>
      <c r="C183" s="198"/>
    </row>
    <row r="184" spans="1:3" ht="14.25" customHeight="1" x14ac:dyDescent="0.35">
      <c r="A184" s="196"/>
      <c r="B184" s="197"/>
      <c r="C184" s="198"/>
    </row>
    <row r="185" spans="1:3" ht="14.25" customHeight="1" x14ac:dyDescent="0.35">
      <c r="A185" s="196"/>
      <c r="B185" s="197"/>
      <c r="C185" s="198"/>
    </row>
    <row r="186" spans="1:3" ht="14.25" customHeight="1" x14ac:dyDescent="0.35">
      <c r="A186" s="196"/>
      <c r="B186" s="197"/>
      <c r="C186" s="198"/>
    </row>
    <row r="187" spans="1:3" ht="14.25" customHeight="1" x14ac:dyDescent="0.35">
      <c r="A187" s="196"/>
      <c r="B187" s="197"/>
      <c r="C187" s="198"/>
    </row>
    <row r="188" spans="1:3" ht="14.25" customHeight="1" x14ac:dyDescent="0.35">
      <c r="A188" s="196"/>
      <c r="B188" s="197"/>
      <c r="C188" s="198"/>
    </row>
    <row r="189" spans="1:3" ht="14.25" customHeight="1" x14ac:dyDescent="0.35">
      <c r="A189" s="196"/>
      <c r="B189" s="197"/>
      <c r="C189" s="198"/>
    </row>
    <row r="190" spans="1:3" ht="14.25" customHeight="1" x14ac:dyDescent="0.35">
      <c r="A190" s="196"/>
      <c r="B190" s="197"/>
      <c r="C190" s="198"/>
    </row>
    <row r="191" spans="1:3" ht="14.25" customHeight="1" x14ac:dyDescent="0.35">
      <c r="A191" s="196"/>
      <c r="B191" s="197"/>
      <c r="C191" s="198"/>
    </row>
    <row r="192" spans="1:3" ht="14.25" customHeight="1" x14ac:dyDescent="0.35">
      <c r="A192" s="196"/>
      <c r="B192" s="197"/>
      <c r="C192" s="198"/>
    </row>
    <row r="193" spans="1:3" ht="14.25" customHeight="1" x14ac:dyDescent="0.35">
      <c r="A193" s="196"/>
      <c r="B193" s="197"/>
      <c r="C193" s="198"/>
    </row>
    <row r="194" spans="1:3" ht="14.25" customHeight="1" x14ac:dyDescent="0.35">
      <c r="A194" s="196"/>
      <c r="B194" s="197"/>
      <c r="C194" s="198"/>
    </row>
    <row r="195" spans="1:3" ht="14.25" customHeight="1" x14ac:dyDescent="0.35">
      <c r="A195" s="196"/>
      <c r="B195" s="197"/>
      <c r="C195" s="198"/>
    </row>
    <row r="196" spans="1:3" ht="14.25" customHeight="1" x14ac:dyDescent="0.35">
      <c r="A196" s="196"/>
      <c r="B196" s="197"/>
      <c r="C196" s="198"/>
    </row>
    <row r="197" spans="1:3" ht="14.25" customHeight="1" x14ac:dyDescent="0.35">
      <c r="A197" s="196"/>
      <c r="B197" s="197"/>
      <c r="C197" s="198"/>
    </row>
    <row r="198" spans="1:3" ht="14.25" customHeight="1" x14ac:dyDescent="0.35">
      <c r="A198" s="196"/>
      <c r="B198" s="197"/>
      <c r="C198" s="198"/>
    </row>
    <row r="199" spans="1:3" ht="14.25" customHeight="1" x14ac:dyDescent="0.35">
      <c r="A199" s="196"/>
      <c r="B199" s="197"/>
      <c r="C199" s="198"/>
    </row>
    <row r="200" spans="1:3" ht="14.25" customHeight="1" x14ac:dyDescent="0.35">
      <c r="A200" s="196"/>
      <c r="B200" s="197"/>
      <c r="C200" s="198"/>
    </row>
    <row r="201" spans="1:3" ht="14.25" customHeight="1" x14ac:dyDescent="0.35">
      <c r="A201" s="196"/>
      <c r="B201" s="197"/>
      <c r="C201" s="198"/>
    </row>
    <row r="202" spans="1:3" ht="14.25" customHeight="1" x14ac:dyDescent="0.35">
      <c r="A202" s="196"/>
      <c r="B202" s="197"/>
      <c r="C202" s="198"/>
    </row>
    <row r="203" spans="1:3" ht="14.25" customHeight="1" x14ac:dyDescent="0.35">
      <c r="A203" s="196"/>
      <c r="B203" s="197"/>
      <c r="C203" s="198"/>
    </row>
    <row r="204" spans="1:3" ht="14.25" customHeight="1" x14ac:dyDescent="0.35">
      <c r="A204" s="196"/>
      <c r="B204" s="197"/>
      <c r="C204" s="198"/>
    </row>
    <row r="205" spans="1:3" ht="14.25" customHeight="1" x14ac:dyDescent="0.35">
      <c r="A205" s="196"/>
      <c r="B205" s="197"/>
      <c r="C205" s="198"/>
    </row>
    <row r="206" spans="1:3" ht="14.25" customHeight="1" x14ac:dyDescent="0.35">
      <c r="A206" s="196"/>
      <c r="B206" s="197"/>
      <c r="C206" s="198"/>
    </row>
    <row r="207" spans="1:3" ht="14.25" customHeight="1" x14ac:dyDescent="0.35">
      <c r="A207" s="196"/>
      <c r="B207" s="197"/>
      <c r="C207" s="198"/>
    </row>
    <row r="208" spans="1:3" ht="14.25" customHeight="1" x14ac:dyDescent="0.35">
      <c r="A208" s="196"/>
      <c r="B208" s="197"/>
      <c r="C208" s="198"/>
    </row>
    <row r="209" spans="1:3" ht="14.25" customHeight="1" x14ac:dyDescent="0.35">
      <c r="A209" s="196"/>
      <c r="B209" s="197"/>
      <c r="C209" s="198"/>
    </row>
    <row r="210" spans="1:3" ht="14.25" customHeight="1" x14ac:dyDescent="0.35">
      <c r="A210" s="196"/>
      <c r="B210" s="197"/>
      <c r="C210" s="198"/>
    </row>
    <row r="211" spans="1:3" ht="14.25" customHeight="1" x14ac:dyDescent="0.35">
      <c r="A211" s="196"/>
      <c r="B211" s="197"/>
      <c r="C211" s="198"/>
    </row>
    <row r="212" spans="1:3" ht="14.25" customHeight="1" x14ac:dyDescent="0.35">
      <c r="A212" s="196"/>
      <c r="B212" s="197"/>
      <c r="C212" s="198"/>
    </row>
    <row r="213" spans="1:3" ht="14.25" customHeight="1" x14ac:dyDescent="0.35">
      <c r="A213" s="196"/>
      <c r="B213" s="197"/>
      <c r="C213" s="198"/>
    </row>
    <row r="214" spans="1:3" ht="14.25" customHeight="1" x14ac:dyDescent="0.35">
      <c r="A214" s="196"/>
      <c r="B214" s="197"/>
      <c r="C214" s="198"/>
    </row>
    <row r="215" spans="1:3" ht="14.25" customHeight="1" x14ac:dyDescent="0.35">
      <c r="A215" s="196"/>
      <c r="B215" s="197"/>
      <c r="C215" s="198"/>
    </row>
    <row r="216" spans="1:3" ht="14.25" customHeight="1" x14ac:dyDescent="0.35">
      <c r="A216" s="196"/>
      <c r="B216" s="197"/>
      <c r="C216" s="198"/>
    </row>
    <row r="217" spans="1:3" ht="14.25" customHeight="1" x14ac:dyDescent="0.35">
      <c r="A217" s="196"/>
      <c r="B217" s="197"/>
      <c r="C217" s="198"/>
    </row>
    <row r="218" spans="1:3" ht="14.25" customHeight="1" x14ac:dyDescent="0.35">
      <c r="A218" s="196"/>
      <c r="B218" s="197"/>
      <c r="C218" s="198"/>
    </row>
    <row r="219" spans="1:3" ht="14.25" customHeight="1" x14ac:dyDescent="0.35">
      <c r="A219" s="196"/>
      <c r="B219" s="197"/>
      <c r="C219" s="198"/>
    </row>
    <row r="220" spans="1:3" ht="14.25" customHeight="1" x14ac:dyDescent="0.35">
      <c r="A220" s="196"/>
      <c r="B220" s="197"/>
      <c r="C220" s="198"/>
    </row>
    <row r="221" spans="1:3" ht="14.25" customHeight="1" x14ac:dyDescent="0.35">
      <c r="A221" s="196"/>
      <c r="B221" s="197"/>
      <c r="C221" s="198"/>
    </row>
    <row r="222" spans="1:3" ht="14.25" customHeight="1" x14ac:dyDescent="0.35">
      <c r="A222" s="196"/>
      <c r="B222" s="197"/>
      <c r="C222" s="198"/>
    </row>
    <row r="223" spans="1:3" ht="14.25" customHeight="1" x14ac:dyDescent="0.35">
      <c r="A223" s="196"/>
      <c r="B223" s="197"/>
      <c r="C223" s="198"/>
    </row>
    <row r="224" spans="1:3" ht="14.25" customHeight="1" x14ac:dyDescent="0.35">
      <c r="A224" s="196"/>
      <c r="B224" s="197"/>
      <c r="C224" s="198"/>
    </row>
    <row r="225" spans="1:3" ht="14.25" customHeight="1" x14ac:dyDescent="0.35">
      <c r="A225" s="196"/>
      <c r="B225" s="197"/>
      <c r="C225" s="198"/>
    </row>
    <row r="226" spans="1:3" ht="14.25" customHeight="1" x14ac:dyDescent="0.35">
      <c r="A226" s="196"/>
      <c r="B226" s="197"/>
      <c r="C226" s="198"/>
    </row>
    <row r="227" spans="1:3" ht="14.25" customHeight="1" x14ac:dyDescent="0.35">
      <c r="A227" s="196"/>
      <c r="B227" s="197"/>
      <c r="C227" s="198"/>
    </row>
    <row r="228" spans="1:3" ht="14.25" customHeight="1" x14ac:dyDescent="0.35">
      <c r="A228" s="196"/>
      <c r="B228" s="197"/>
      <c r="C228" s="198"/>
    </row>
    <row r="229" spans="1:3" ht="14.25" customHeight="1" x14ac:dyDescent="0.35">
      <c r="A229" s="196"/>
      <c r="B229" s="197"/>
      <c r="C229" s="198"/>
    </row>
    <row r="230" spans="1:3" ht="14.25" customHeight="1" x14ac:dyDescent="0.35">
      <c r="A230" s="196"/>
      <c r="B230" s="197"/>
      <c r="C230" s="198"/>
    </row>
    <row r="231" spans="1:3" ht="14.25" customHeight="1" x14ac:dyDescent="0.35">
      <c r="A231" s="196"/>
      <c r="B231" s="197"/>
      <c r="C231" s="198"/>
    </row>
    <row r="232" spans="1:3" ht="14.25" customHeight="1" x14ac:dyDescent="0.35">
      <c r="A232" s="196"/>
      <c r="B232" s="197"/>
      <c r="C232" s="198"/>
    </row>
    <row r="233" spans="1:3" ht="14.25" customHeight="1" x14ac:dyDescent="0.35">
      <c r="A233" s="196"/>
      <c r="B233" s="197"/>
      <c r="C233" s="198"/>
    </row>
    <row r="234" spans="1:3" ht="14.25" customHeight="1" x14ac:dyDescent="0.35">
      <c r="A234" s="196"/>
      <c r="B234" s="197"/>
      <c r="C234" s="198"/>
    </row>
    <row r="235" spans="1:3" ht="14.25" customHeight="1" x14ac:dyDescent="0.35">
      <c r="A235" s="196"/>
      <c r="B235" s="197"/>
      <c r="C235" s="198"/>
    </row>
    <row r="236" spans="1:3" ht="14.25" customHeight="1" x14ac:dyDescent="0.35">
      <c r="A236" s="196"/>
      <c r="B236" s="197"/>
      <c r="C236" s="198"/>
    </row>
    <row r="237" spans="1:3" ht="14.25" customHeight="1" x14ac:dyDescent="0.35">
      <c r="A237" s="196"/>
      <c r="B237" s="197"/>
      <c r="C237" s="198"/>
    </row>
    <row r="238" spans="1:3" ht="14.25" customHeight="1" x14ac:dyDescent="0.35">
      <c r="A238" s="196"/>
      <c r="B238" s="197"/>
      <c r="C238" s="198"/>
    </row>
    <row r="239" spans="1:3" ht="14.25" customHeight="1" x14ac:dyDescent="0.35">
      <c r="A239" s="196"/>
      <c r="B239" s="197"/>
      <c r="C239" s="198"/>
    </row>
    <row r="240" spans="1:3" ht="14.25" customHeight="1" x14ac:dyDescent="0.35">
      <c r="A240" s="196"/>
      <c r="B240" s="197"/>
      <c r="C240" s="198"/>
    </row>
    <row r="241" spans="1:3" ht="14.25" customHeight="1" x14ac:dyDescent="0.35">
      <c r="A241" s="196"/>
      <c r="B241" s="197"/>
      <c r="C241" s="198"/>
    </row>
    <row r="242" spans="1:3" ht="14.25" customHeight="1" x14ac:dyDescent="0.35">
      <c r="A242" s="196"/>
      <c r="B242" s="197"/>
      <c r="C242" s="198"/>
    </row>
    <row r="243" spans="1:3" ht="14.25" customHeight="1" x14ac:dyDescent="0.35">
      <c r="A243" s="196"/>
      <c r="B243" s="197"/>
      <c r="C243" s="198"/>
    </row>
    <row r="244" spans="1:3" ht="14.25" customHeight="1" x14ac:dyDescent="0.35">
      <c r="A244" s="196"/>
      <c r="B244" s="197"/>
      <c r="C244" s="198"/>
    </row>
    <row r="245" spans="1:3" ht="14.25" customHeight="1" x14ac:dyDescent="0.35">
      <c r="A245" s="196"/>
      <c r="B245" s="197"/>
      <c r="C245" s="198"/>
    </row>
    <row r="246" spans="1:3" ht="14.25" customHeight="1" x14ac:dyDescent="0.35">
      <c r="A246" s="196"/>
      <c r="B246" s="197"/>
      <c r="C246" s="198"/>
    </row>
    <row r="247" spans="1:3" ht="14.25" customHeight="1" x14ac:dyDescent="0.35">
      <c r="A247" s="196"/>
      <c r="B247" s="197"/>
      <c r="C247" s="198"/>
    </row>
    <row r="248" spans="1:3" ht="14.25" customHeight="1" x14ac:dyDescent="0.35">
      <c r="A248" s="196"/>
      <c r="B248" s="197"/>
      <c r="C248" s="198"/>
    </row>
    <row r="249" spans="1:3" ht="14.25" customHeight="1" x14ac:dyDescent="0.35">
      <c r="A249" s="196"/>
      <c r="B249" s="197"/>
      <c r="C249" s="198"/>
    </row>
    <row r="250" spans="1:3" ht="14.25" customHeight="1" x14ac:dyDescent="0.35">
      <c r="A250" s="196"/>
      <c r="B250" s="197"/>
      <c r="C250" s="198"/>
    </row>
    <row r="251" spans="1:3" ht="14.25" customHeight="1" x14ac:dyDescent="0.35">
      <c r="A251" s="196"/>
      <c r="B251" s="197"/>
      <c r="C251" s="198"/>
    </row>
    <row r="252" spans="1:3" ht="14.25" customHeight="1" x14ac:dyDescent="0.35">
      <c r="A252" s="196"/>
      <c r="B252" s="197"/>
      <c r="C252" s="198"/>
    </row>
    <row r="253" spans="1:3" ht="14.25" customHeight="1" x14ac:dyDescent="0.35">
      <c r="A253" s="196"/>
      <c r="B253" s="197"/>
      <c r="C253" s="198"/>
    </row>
    <row r="254" spans="1:3" ht="14.25" customHeight="1" x14ac:dyDescent="0.35">
      <c r="A254" s="196"/>
      <c r="B254" s="197"/>
      <c r="C254" s="198"/>
    </row>
    <row r="255" spans="1:3" ht="14.25" customHeight="1" x14ac:dyDescent="0.35">
      <c r="A255" s="196"/>
      <c r="B255" s="197"/>
      <c r="C255" s="198"/>
    </row>
    <row r="256" spans="1:3" ht="14.25" customHeight="1" x14ac:dyDescent="0.35">
      <c r="A256" s="196"/>
      <c r="B256" s="197"/>
      <c r="C256" s="198"/>
    </row>
    <row r="257" spans="1:3" ht="14.25" customHeight="1" x14ac:dyDescent="0.35">
      <c r="A257" s="196"/>
      <c r="B257" s="197"/>
      <c r="C257" s="198"/>
    </row>
    <row r="258" spans="1:3" ht="14.25" customHeight="1" x14ac:dyDescent="0.35">
      <c r="A258" s="196"/>
      <c r="B258" s="197"/>
      <c r="C258" s="198"/>
    </row>
    <row r="259" spans="1:3" ht="14.25" customHeight="1" x14ac:dyDescent="0.35">
      <c r="A259" s="196"/>
      <c r="B259" s="197"/>
      <c r="C259" s="198"/>
    </row>
    <row r="260" spans="1:3" ht="14.25" customHeight="1" x14ac:dyDescent="0.35">
      <c r="A260" s="196"/>
      <c r="B260" s="197"/>
      <c r="C260" s="198"/>
    </row>
    <row r="261" spans="1:3" ht="14.25" customHeight="1" x14ac:dyDescent="0.35">
      <c r="A261" s="196"/>
      <c r="B261" s="197"/>
      <c r="C261" s="198"/>
    </row>
    <row r="262" spans="1:3" ht="14.25" customHeight="1" x14ac:dyDescent="0.35">
      <c r="A262" s="196"/>
      <c r="B262" s="197"/>
      <c r="C262" s="198"/>
    </row>
    <row r="263" spans="1:3" ht="14.25" customHeight="1" x14ac:dyDescent="0.35">
      <c r="A263" s="196"/>
      <c r="B263" s="197"/>
      <c r="C263" s="198"/>
    </row>
    <row r="264" spans="1:3" ht="14.25" customHeight="1" x14ac:dyDescent="0.35">
      <c r="A264" s="196"/>
      <c r="B264" s="197"/>
      <c r="C264" s="198"/>
    </row>
    <row r="265" spans="1:3" ht="14.25" customHeight="1" x14ac:dyDescent="0.35">
      <c r="A265" s="196"/>
      <c r="B265" s="197"/>
      <c r="C265" s="198"/>
    </row>
    <row r="266" spans="1:3" ht="14.25" customHeight="1" x14ac:dyDescent="0.35">
      <c r="A266" s="196"/>
      <c r="B266" s="197"/>
      <c r="C266" s="198"/>
    </row>
    <row r="267" spans="1:3" ht="14.25" customHeight="1" x14ac:dyDescent="0.35">
      <c r="A267" s="196"/>
      <c r="B267" s="197"/>
      <c r="C267" s="198"/>
    </row>
    <row r="268" spans="1:3" ht="14.25" customHeight="1" x14ac:dyDescent="0.35">
      <c r="A268" s="196"/>
      <c r="B268" s="197"/>
      <c r="C268" s="198"/>
    </row>
    <row r="269" spans="1:3" ht="14.25" customHeight="1" x14ac:dyDescent="0.35">
      <c r="A269" s="196"/>
      <c r="B269" s="197"/>
      <c r="C269" s="198"/>
    </row>
    <row r="270" spans="1:3" ht="14.25" customHeight="1" x14ac:dyDescent="0.35">
      <c r="A270" s="196"/>
      <c r="B270" s="197"/>
      <c r="C270" s="198"/>
    </row>
    <row r="271" spans="1:3" ht="14.25" customHeight="1" x14ac:dyDescent="0.35">
      <c r="A271" s="196"/>
      <c r="B271" s="197"/>
      <c r="C271" s="198"/>
    </row>
    <row r="272" spans="1:3" ht="14.25" customHeight="1" x14ac:dyDescent="0.35">
      <c r="A272" s="196"/>
      <c r="B272" s="197"/>
      <c r="C272" s="198"/>
    </row>
    <row r="273" spans="1:3" ht="14.25" customHeight="1" x14ac:dyDescent="0.35">
      <c r="A273" s="196"/>
      <c r="B273" s="197"/>
      <c r="C273" s="198"/>
    </row>
    <row r="274" spans="1:3" ht="14.25" customHeight="1" x14ac:dyDescent="0.35">
      <c r="A274" s="196"/>
      <c r="B274" s="197"/>
      <c r="C274" s="198"/>
    </row>
    <row r="275" spans="1:3" ht="14.25" customHeight="1" x14ac:dyDescent="0.35">
      <c r="A275" s="196"/>
      <c r="B275" s="197"/>
      <c r="C275" s="198"/>
    </row>
    <row r="276" spans="1:3" ht="14.25" customHeight="1" x14ac:dyDescent="0.35">
      <c r="A276" s="196"/>
      <c r="B276" s="197"/>
      <c r="C276" s="198"/>
    </row>
    <row r="277" spans="1:3" ht="14.25" customHeight="1" x14ac:dyDescent="0.35">
      <c r="A277" s="196"/>
      <c r="B277" s="197"/>
      <c r="C277" s="198"/>
    </row>
    <row r="278" spans="1:3" ht="14.25" customHeight="1" x14ac:dyDescent="0.35">
      <c r="A278" s="196"/>
      <c r="B278" s="197"/>
      <c r="C278" s="198"/>
    </row>
    <row r="279" spans="1:3" ht="14.25" customHeight="1" x14ac:dyDescent="0.35">
      <c r="A279" s="196"/>
      <c r="B279" s="197"/>
      <c r="C279" s="198"/>
    </row>
    <row r="280" spans="1:3" ht="14.25" customHeight="1" x14ac:dyDescent="0.35">
      <c r="A280" s="196"/>
      <c r="B280" s="197"/>
      <c r="C280" s="198"/>
    </row>
    <row r="281" spans="1:3" ht="14.25" customHeight="1" x14ac:dyDescent="0.35">
      <c r="A281" s="196"/>
      <c r="B281" s="197"/>
      <c r="C281" s="198"/>
    </row>
    <row r="282" spans="1:3" ht="14.25" customHeight="1" x14ac:dyDescent="0.35">
      <c r="A282" s="196"/>
      <c r="B282" s="197"/>
      <c r="C282" s="198"/>
    </row>
    <row r="283" spans="1:3" ht="14.25" customHeight="1" x14ac:dyDescent="0.35">
      <c r="A283" s="196"/>
      <c r="B283" s="197"/>
      <c r="C283" s="198"/>
    </row>
    <row r="284" spans="1:3" ht="14.25" customHeight="1" x14ac:dyDescent="0.35">
      <c r="A284" s="196"/>
      <c r="B284" s="197"/>
      <c r="C284" s="198"/>
    </row>
    <row r="285" spans="1:3" ht="14.25" customHeight="1" x14ac:dyDescent="0.35">
      <c r="A285" s="196"/>
      <c r="B285" s="197"/>
      <c r="C285" s="198"/>
    </row>
    <row r="286" spans="1:3" ht="14.25" customHeight="1" x14ac:dyDescent="0.35">
      <c r="A286" s="196"/>
      <c r="B286" s="197"/>
      <c r="C286" s="198"/>
    </row>
    <row r="287" spans="1:3" ht="14.25" customHeight="1" x14ac:dyDescent="0.35">
      <c r="A287" s="196"/>
      <c r="B287" s="197"/>
      <c r="C287" s="198"/>
    </row>
    <row r="288" spans="1:3" ht="14.25" customHeight="1" x14ac:dyDescent="0.35">
      <c r="A288" s="196"/>
      <c r="B288" s="197"/>
      <c r="C288" s="198"/>
    </row>
    <row r="289" spans="1:3" ht="14.25" customHeight="1" x14ac:dyDescent="0.35">
      <c r="A289" s="196"/>
      <c r="B289" s="197"/>
      <c r="C289" s="198"/>
    </row>
    <row r="290" spans="1:3" ht="14.25" customHeight="1" x14ac:dyDescent="0.35">
      <c r="A290" s="196"/>
      <c r="B290" s="197"/>
      <c r="C290" s="198"/>
    </row>
    <row r="291" spans="1:3" ht="14.25" customHeight="1" x14ac:dyDescent="0.35">
      <c r="A291" s="196"/>
      <c r="B291" s="197"/>
      <c r="C291" s="198"/>
    </row>
    <row r="292" spans="1:3" ht="14.25" customHeight="1" x14ac:dyDescent="0.35">
      <c r="A292" s="196"/>
      <c r="B292" s="197"/>
      <c r="C292" s="198"/>
    </row>
    <row r="293" spans="1:3" ht="14.25" customHeight="1" x14ac:dyDescent="0.35">
      <c r="A293" s="196"/>
      <c r="B293" s="197"/>
      <c r="C293" s="198"/>
    </row>
    <row r="294" spans="1:3" ht="14.25" customHeight="1" x14ac:dyDescent="0.35">
      <c r="A294" s="196"/>
      <c r="B294" s="197"/>
      <c r="C294" s="198"/>
    </row>
    <row r="295" spans="1:3" ht="14.25" customHeight="1" x14ac:dyDescent="0.35">
      <c r="A295" s="196"/>
      <c r="B295" s="197"/>
      <c r="C295" s="198"/>
    </row>
    <row r="296" spans="1:3" ht="14.25" customHeight="1" x14ac:dyDescent="0.35">
      <c r="A296" s="196"/>
      <c r="B296" s="197"/>
      <c r="C296" s="198"/>
    </row>
    <row r="297" spans="1:3" ht="14.25" customHeight="1" x14ac:dyDescent="0.35">
      <c r="A297" s="196"/>
      <c r="B297" s="197"/>
      <c r="C297" s="198"/>
    </row>
    <row r="298" spans="1:3" ht="14.25" customHeight="1" x14ac:dyDescent="0.35">
      <c r="A298" s="196"/>
      <c r="B298" s="197"/>
      <c r="C298" s="198"/>
    </row>
    <row r="299" spans="1:3" ht="14.25" customHeight="1" x14ac:dyDescent="0.35">
      <c r="A299" s="196"/>
      <c r="B299" s="197"/>
      <c r="C299" s="198"/>
    </row>
    <row r="300" spans="1:3" ht="14.25" customHeight="1" x14ac:dyDescent="0.35">
      <c r="A300" s="196"/>
      <c r="B300" s="197"/>
      <c r="C300" s="198"/>
    </row>
    <row r="301" spans="1:3" ht="14.25" customHeight="1" x14ac:dyDescent="0.35">
      <c r="A301" s="196"/>
      <c r="B301" s="197"/>
      <c r="C301" s="198"/>
    </row>
    <row r="302" spans="1:3" ht="14.25" customHeight="1" x14ac:dyDescent="0.35">
      <c r="A302" s="196"/>
      <c r="B302" s="197"/>
      <c r="C302" s="198"/>
    </row>
  </sheetData>
  <mergeCells count="1">
    <mergeCell ref="A1:C1"/>
  </mergeCells>
  <pageMargins left="0.25" right="0.25" top="0.3" bottom="0.4" header="0.511811023622047" footer="0.17013888888888901"/>
  <pageSetup fitToHeight="0"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21"/>
  <sheetViews>
    <sheetView showGridLines="0" zoomScaleNormal="100" workbookViewId="0">
      <selection activeCell="C101" sqref="C101"/>
    </sheetView>
  </sheetViews>
  <sheetFormatPr defaultColWidth="8.6328125" defaultRowHeight="14.5" x14ac:dyDescent="0.35"/>
  <cols>
    <col min="1" max="1" width="16" customWidth="1"/>
    <col min="2" max="2" width="95" customWidth="1"/>
    <col min="3" max="3" width="10" customWidth="1"/>
    <col min="4" max="4" width="15.54296875" customWidth="1"/>
    <col min="5" max="5" width="13" customWidth="1"/>
    <col min="6" max="6" width="11" customWidth="1"/>
  </cols>
  <sheetData>
    <row r="1" spans="1:6" ht="23.25" customHeight="1" x14ac:dyDescent="0.35">
      <c r="A1" s="238" t="s">
        <v>796</v>
      </c>
      <c r="B1" s="238"/>
      <c r="C1" s="238"/>
      <c r="D1" s="238"/>
      <c r="E1" s="238"/>
      <c r="F1" s="238"/>
    </row>
    <row r="2" spans="1:6" ht="15" customHeight="1" x14ac:dyDescent="0.35">
      <c r="A2" s="145" t="s">
        <v>797</v>
      </c>
      <c r="C2" s="199">
        <f ca="1">COUNTIF(F5:F500,"OVERDUE")</f>
        <v>7</v>
      </c>
    </row>
    <row r="4" spans="1:6" ht="27.75" customHeight="1" x14ac:dyDescent="0.35">
      <c r="A4" s="147" t="s">
        <v>798</v>
      </c>
      <c r="B4" s="147" t="s">
        <v>799</v>
      </c>
      <c r="C4" s="147" t="s">
        <v>800</v>
      </c>
      <c r="D4" s="147" t="s">
        <v>801</v>
      </c>
      <c r="E4" s="147" t="s">
        <v>802</v>
      </c>
      <c r="F4" s="147" t="s">
        <v>468</v>
      </c>
    </row>
    <row r="5" spans="1:6" ht="15" customHeight="1" x14ac:dyDescent="0.35">
      <c r="A5" s="151" t="s">
        <v>646</v>
      </c>
      <c r="B5" s="200" t="s">
        <v>803</v>
      </c>
      <c r="C5" s="151" t="s">
        <v>213</v>
      </c>
      <c r="D5" s="201">
        <v>46299</v>
      </c>
      <c r="E5" s="202">
        <f>IFERROR(INDEX(Journal!$A:$A,MATCH($A5,Journal!$B:$B,0)),"")</f>
        <v>46295</v>
      </c>
      <c r="F5" s="151" t="str">
        <f t="shared" ref="F5:F36" ca="1" si="0">IF(C5="Y","Done",IF(AND(E5&lt;&gt;"",TODAY()&gt;E5),"OVERDUE","Pending"))</f>
        <v>Done</v>
      </c>
    </row>
    <row r="6" spans="1:6" ht="15" customHeight="1" x14ac:dyDescent="0.35">
      <c r="A6" s="151" t="s">
        <v>646</v>
      </c>
      <c r="B6" s="200" t="s">
        <v>804</v>
      </c>
      <c r="C6" s="151"/>
      <c r="D6" s="151"/>
      <c r="E6" s="202">
        <f>IFERROR(INDEX(Journal!$A:$A,MATCH($A6,Journal!$B:$B,0)),"")</f>
        <v>46295</v>
      </c>
      <c r="F6" s="151" t="str">
        <f t="shared" ca="1" si="0"/>
        <v>OVERDUE</v>
      </c>
    </row>
    <row r="7" spans="1:6" ht="15" customHeight="1" x14ac:dyDescent="0.35">
      <c r="A7" s="151" t="s">
        <v>646</v>
      </c>
      <c r="B7" s="200" t="s">
        <v>805</v>
      </c>
      <c r="C7" s="151"/>
      <c r="D7" s="151"/>
      <c r="E7" s="202">
        <f>IFERROR(INDEX(Journal!$A:$A,MATCH($A7,Journal!$B:$B,0)),"")</f>
        <v>46295</v>
      </c>
      <c r="F7" s="151" t="str">
        <f t="shared" ca="1" si="0"/>
        <v>OVERDUE</v>
      </c>
    </row>
    <row r="8" spans="1:6" ht="34.5" customHeight="1" x14ac:dyDescent="0.35">
      <c r="A8" s="151" t="s">
        <v>646</v>
      </c>
      <c r="B8" s="200" t="s">
        <v>806</v>
      </c>
      <c r="C8" s="151"/>
      <c r="D8" s="151"/>
      <c r="E8" s="202">
        <f>IFERROR(INDEX(Journal!$A:$A,MATCH($A8,Journal!$B:$B,0)),"")</f>
        <v>46295</v>
      </c>
      <c r="F8" s="151" t="str">
        <f t="shared" ca="1" si="0"/>
        <v>OVERDUE</v>
      </c>
    </row>
    <row r="9" spans="1:6" ht="45.75" customHeight="1" x14ac:dyDescent="0.35">
      <c r="A9" s="151" t="s">
        <v>646</v>
      </c>
      <c r="B9" s="200" t="s">
        <v>807</v>
      </c>
      <c r="C9" s="151"/>
      <c r="D9" s="151"/>
      <c r="E9" s="202">
        <f>IFERROR(INDEX(Journal!$A:$A,MATCH($A9,Journal!$B:$B,0)),"")</f>
        <v>46295</v>
      </c>
      <c r="F9" s="151" t="str">
        <f t="shared" ca="1" si="0"/>
        <v>OVERDUE</v>
      </c>
    </row>
    <row r="10" spans="1:6" ht="15" customHeight="1" x14ac:dyDescent="0.35">
      <c r="A10" s="151" t="s">
        <v>646</v>
      </c>
      <c r="B10" s="200" t="s">
        <v>808</v>
      </c>
      <c r="C10" s="151"/>
      <c r="D10" s="151"/>
      <c r="E10" s="202">
        <f>IFERROR(INDEX(Journal!$A:$A,MATCH($A10,Journal!$B:$B,0)),"")</f>
        <v>46295</v>
      </c>
      <c r="F10" s="151" t="str">
        <f t="shared" ca="1" si="0"/>
        <v>OVERDUE</v>
      </c>
    </row>
    <row r="11" spans="1:6" ht="15" customHeight="1" x14ac:dyDescent="0.35">
      <c r="A11" s="151" t="s">
        <v>646</v>
      </c>
      <c r="B11" s="200" t="s">
        <v>809</v>
      </c>
      <c r="C11" s="151"/>
      <c r="D11" s="151"/>
      <c r="E11" s="202">
        <f>IFERROR(INDEX(Journal!$A:$A,MATCH($A11,Journal!$B:$B,0)),"")</f>
        <v>46295</v>
      </c>
      <c r="F11" s="151" t="str">
        <f t="shared" ca="1" si="0"/>
        <v>OVERDUE</v>
      </c>
    </row>
    <row r="12" spans="1:6" ht="15" customHeight="1" x14ac:dyDescent="0.35">
      <c r="A12" s="151" t="s">
        <v>646</v>
      </c>
      <c r="B12" s="200" t="s">
        <v>810</v>
      </c>
      <c r="C12" s="151"/>
      <c r="D12" s="151"/>
      <c r="E12" s="202">
        <f>IFERROR(INDEX(Journal!$A:$A,MATCH($A12,Journal!$B:$B,0)),"")</f>
        <v>46295</v>
      </c>
      <c r="F12" s="151" t="str">
        <f t="shared" ca="1" si="0"/>
        <v>OVERDUE</v>
      </c>
    </row>
    <row r="13" spans="1:6" ht="23.25" customHeight="1" x14ac:dyDescent="0.35">
      <c r="A13" s="151" t="s">
        <v>650</v>
      </c>
      <c r="B13" s="200" t="s">
        <v>811</v>
      </c>
      <c r="C13" s="151"/>
      <c r="D13" s="151"/>
      <c r="E13" s="202">
        <f>IFERROR(INDEX(Journal!$A:$A,MATCH($A13,Journal!$B:$B,0)),"")</f>
        <v>46320</v>
      </c>
      <c r="F13" s="151" t="str">
        <f t="shared" ca="1" si="0"/>
        <v>Pending</v>
      </c>
    </row>
    <row r="14" spans="1:6" ht="15" customHeight="1" x14ac:dyDescent="0.35">
      <c r="A14" s="151" t="s">
        <v>650</v>
      </c>
      <c r="B14" s="200" t="s">
        <v>812</v>
      </c>
      <c r="C14" s="151"/>
      <c r="D14" s="151"/>
      <c r="E14" s="202">
        <f>IFERROR(INDEX(Journal!$A:$A,MATCH($A14,Journal!$B:$B,0)),"")</f>
        <v>46320</v>
      </c>
      <c r="F14" s="151" t="str">
        <f t="shared" ca="1" si="0"/>
        <v>Pending</v>
      </c>
    </row>
    <row r="15" spans="1:6" ht="23.25" customHeight="1" x14ac:dyDescent="0.35">
      <c r="A15" s="151" t="s">
        <v>650</v>
      </c>
      <c r="B15" s="200" t="s">
        <v>813</v>
      </c>
      <c r="C15" s="151"/>
      <c r="D15" s="151"/>
      <c r="E15" s="202">
        <f>IFERROR(INDEX(Journal!$A:$A,MATCH($A15,Journal!$B:$B,0)),"")</f>
        <v>46320</v>
      </c>
      <c r="F15" s="151" t="str">
        <f t="shared" ca="1" si="0"/>
        <v>Pending</v>
      </c>
    </row>
    <row r="16" spans="1:6" ht="34.5" customHeight="1" x14ac:dyDescent="0.35">
      <c r="A16" s="151" t="s">
        <v>650</v>
      </c>
      <c r="B16" s="200" t="s">
        <v>806</v>
      </c>
      <c r="C16" s="151"/>
      <c r="D16" s="151"/>
      <c r="E16" s="202">
        <f>IFERROR(INDEX(Journal!$A:$A,MATCH($A16,Journal!$B:$B,0)),"")</f>
        <v>46320</v>
      </c>
      <c r="F16" s="151" t="str">
        <f t="shared" ca="1" si="0"/>
        <v>Pending</v>
      </c>
    </row>
    <row r="17" spans="1:6" ht="45.75" customHeight="1" x14ac:dyDescent="0.35">
      <c r="A17" s="151" t="s">
        <v>650</v>
      </c>
      <c r="B17" s="200" t="s">
        <v>814</v>
      </c>
      <c r="C17" s="151"/>
      <c r="D17" s="151"/>
      <c r="E17" s="202">
        <f>IFERROR(INDEX(Journal!$A:$A,MATCH($A17,Journal!$B:$B,0)),"")</f>
        <v>46320</v>
      </c>
      <c r="F17" s="151" t="str">
        <f t="shared" ca="1" si="0"/>
        <v>Pending</v>
      </c>
    </row>
    <row r="18" spans="1:6" ht="15" customHeight="1" x14ac:dyDescent="0.35">
      <c r="A18" s="151" t="s">
        <v>650</v>
      </c>
      <c r="B18" s="200" t="s">
        <v>808</v>
      </c>
      <c r="C18" s="151"/>
      <c r="D18" s="151"/>
      <c r="E18" s="202">
        <f>IFERROR(INDEX(Journal!$A:$A,MATCH($A18,Journal!$B:$B,0)),"")</f>
        <v>46320</v>
      </c>
      <c r="F18" s="151" t="str">
        <f t="shared" ca="1" si="0"/>
        <v>Pending</v>
      </c>
    </row>
    <row r="19" spans="1:6" ht="15" customHeight="1" x14ac:dyDescent="0.35">
      <c r="A19" s="151" t="s">
        <v>650</v>
      </c>
      <c r="B19" s="200" t="s">
        <v>809</v>
      </c>
      <c r="C19" s="151"/>
      <c r="D19" s="151"/>
      <c r="E19" s="202">
        <f>IFERROR(INDEX(Journal!$A:$A,MATCH($A19,Journal!$B:$B,0)),"")</f>
        <v>46320</v>
      </c>
      <c r="F19" s="151" t="str">
        <f t="shared" ca="1" si="0"/>
        <v>Pending</v>
      </c>
    </row>
    <row r="20" spans="1:6" ht="15" customHeight="1" x14ac:dyDescent="0.35">
      <c r="A20" s="151" t="s">
        <v>650</v>
      </c>
      <c r="B20" s="200" t="s">
        <v>810</v>
      </c>
      <c r="C20" s="151"/>
      <c r="D20" s="151"/>
      <c r="E20" s="202">
        <f>IFERROR(INDEX(Journal!$A:$A,MATCH($A20,Journal!$B:$B,0)),"")</f>
        <v>46320</v>
      </c>
      <c r="F20" s="151" t="str">
        <f t="shared" ca="1" si="0"/>
        <v>Pending</v>
      </c>
    </row>
    <row r="21" spans="1:6" ht="15" customHeight="1" x14ac:dyDescent="0.35">
      <c r="A21" s="151" t="s">
        <v>654</v>
      </c>
      <c r="B21" s="200" t="s">
        <v>803</v>
      </c>
      <c r="C21" s="151"/>
      <c r="D21" s="151"/>
      <c r="E21" s="202">
        <f>IFERROR(INDEX(Journal!$A:$A,MATCH($A21,Journal!$B:$B,0)),"")</f>
        <v>46387</v>
      </c>
      <c r="F21" s="151" t="str">
        <f t="shared" ca="1" si="0"/>
        <v>Pending</v>
      </c>
    </row>
    <row r="22" spans="1:6" ht="15" customHeight="1" x14ac:dyDescent="0.35">
      <c r="A22" s="151" t="s">
        <v>654</v>
      </c>
      <c r="B22" s="200" t="s">
        <v>804</v>
      </c>
      <c r="C22" s="151"/>
      <c r="D22" s="151"/>
      <c r="E22" s="202">
        <f>IFERROR(INDEX(Journal!$A:$A,MATCH($A22,Journal!$B:$B,0)),"")</f>
        <v>46387</v>
      </c>
      <c r="F22" s="151" t="str">
        <f t="shared" ca="1" si="0"/>
        <v>Pending</v>
      </c>
    </row>
    <row r="23" spans="1:6" ht="15" customHeight="1" x14ac:dyDescent="0.35">
      <c r="A23" s="151" t="s">
        <v>654</v>
      </c>
      <c r="B23" s="200" t="s">
        <v>805</v>
      </c>
      <c r="C23" s="151"/>
      <c r="D23" s="151"/>
      <c r="E23" s="202">
        <f>IFERROR(INDEX(Journal!$A:$A,MATCH($A23,Journal!$B:$B,0)),"")</f>
        <v>46387</v>
      </c>
      <c r="F23" s="151" t="str">
        <f t="shared" ca="1" si="0"/>
        <v>Pending</v>
      </c>
    </row>
    <row r="24" spans="1:6" ht="34.5" customHeight="1" x14ac:dyDescent="0.35">
      <c r="A24" s="151" t="s">
        <v>654</v>
      </c>
      <c r="B24" s="200" t="s">
        <v>806</v>
      </c>
      <c r="C24" s="151"/>
      <c r="D24" s="151"/>
      <c r="E24" s="202">
        <f>IFERROR(INDEX(Journal!$A:$A,MATCH($A24,Journal!$B:$B,0)),"")</f>
        <v>46387</v>
      </c>
      <c r="F24" s="151" t="str">
        <f t="shared" ca="1" si="0"/>
        <v>Pending</v>
      </c>
    </row>
    <row r="25" spans="1:6" ht="45.75" customHeight="1" x14ac:dyDescent="0.35">
      <c r="A25" s="151" t="s">
        <v>654</v>
      </c>
      <c r="B25" s="200" t="s">
        <v>807</v>
      </c>
      <c r="C25" s="151"/>
      <c r="D25" s="151"/>
      <c r="E25" s="202">
        <f>IFERROR(INDEX(Journal!$A:$A,MATCH($A25,Journal!$B:$B,0)),"")</f>
        <v>46387</v>
      </c>
      <c r="F25" s="151" t="str">
        <f t="shared" ca="1" si="0"/>
        <v>Pending</v>
      </c>
    </row>
    <row r="26" spans="1:6" ht="15" customHeight="1" x14ac:dyDescent="0.35">
      <c r="A26" s="151" t="s">
        <v>654</v>
      </c>
      <c r="B26" s="200" t="s">
        <v>808</v>
      </c>
      <c r="C26" s="151"/>
      <c r="D26" s="151"/>
      <c r="E26" s="202">
        <f>IFERROR(INDEX(Journal!$A:$A,MATCH($A26,Journal!$B:$B,0)),"")</f>
        <v>46387</v>
      </c>
      <c r="F26" s="151" t="str">
        <f t="shared" ca="1" si="0"/>
        <v>Pending</v>
      </c>
    </row>
    <row r="27" spans="1:6" ht="15" customHeight="1" x14ac:dyDescent="0.35">
      <c r="A27" s="151" t="s">
        <v>654</v>
      </c>
      <c r="B27" s="200" t="s">
        <v>809</v>
      </c>
      <c r="C27" s="151"/>
      <c r="D27" s="151"/>
      <c r="E27" s="202">
        <f>IFERROR(INDEX(Journal!$A:$A,MATCH($A27,Journal!$B:$B,0)),"")</f>
        <v>46387</v>
      </c>
      <c r="F27" s="151" t="str">
        <f t="shared" ca="1" si="0"/>
        <v>Pending</v>
      </c>
    </row>
    <row r="28" spans="1:6" ht="15" customHeight="1" x14ac:dyDescent="0.35">
      <c r="A28" s="151" t="s">
        <v>654</v>
      </c>
      <c r="B28" s="200" t="s">
        <v>810</v>
      </c>
      <c r="C28" s="151"/>
      <c r="D28" s="151"/>
      <c r="E28" s="202">
        <f>IFERROR(INDEX(Journal!$A:$A,MATCH($A28,Journal!$B:$B,0)),"")</f>
        <v>46387</v>
      </c>
      <c r="F28" s="151" t="str">
        <f t="shared" ca="1" si="0"/>
        <v>Pending</v>
      </c>
    </row>
    <row r="29" spans="1:6" ht="15" customHeight="1" x14ac:dyDescent="0.35">
      <c r="A29" s="151" t="s">
        <v>656</v>
      </c>
      <c r="B29" s="200" t="s">
        <v>815</v>
      </c>
      <c r="C29" s="151"/>
      <c r="D29" s="151"/>
      <c r="E29" s="202">
        <f>IFERROR(INDEX(Journal!$A:$A,MATCH($A29,Journal!$B:$B,0)),"")</f>
        <v>46412</v>
      </c>
      <c r="F29" s="151" t="str">
        <f t="shared" ca="1" si="0"/>
        <v>Pending</v>
      </c>
    </row>
    <row r="30" spans="1:6" ht="23.25" customHeight="1" x14ac:dyDescent="0.35">
      <c r="A30" s="151" t="s">
        <v>656</v>
      </c>
      <c r="B30" s="200" t="s">
        <v>816</v>
      </c>
      <c r="C30" s="151"/>
      <c r="D30" s="151"/>
      <c r="E30" s="202">
        <f>IFERROR(INDEX(Journal!$A:$A,MATCH($A30,Journal!$B:$B,0)),"")</f>
        <v>46412</v>
      </c>
      <c r="F30" s="151" t="str">
        <f t="shared" ca="1" si="0"/>
        <v>Pending</v>
      </c>
    </row>
    <row r="31" spans="1:6" ht="34.5" customHeight="1" x14ac:dyDescent="0.35">
      <c r="A31" s="151" t="s">
        <v>656</v>
      </c>
      <c r="B31" s="200" t="s">
        <v>806</v>
      </c>
      <c r="C31" s="151"/>
      <c r="D31" s="151"/>
      <c r="E31" s="202">
        <f>IFERROR(INDEX(Journal!$A:$A,MATCH($A31,Journal!$B:$B,0)),"")</f>
        <v>46412</v>
      </c>
      <c r="F31" s="151" t="str">
        <f t="shared" ca="1" si="0"/>
        <v>Pending</v>
      </c>
    </row>
    <row r="32" spans="1:6" ht="45.75" customHeight="1" x14ac:dyDescent="0.35">
      <c r="A32" s="151" t="s">
        <v>656</v>
      </c>
      <c r="B32" s="200" t="s">
        <v>814</v>
      </c>
      <c r="C32" s="151"/>
      <c r="D32" s="201"/>
      <c r="E32" s="202">
        <f>IFERROR(INDEX(Journal!$A:$A,MATCH($A32,Journal!$B:$B,0)),"")</f>
        <v>46412</v>
      </c>
      <c r="F32" s="151" t="str">
        <f t="shared" ca="1" si="0"/>
        <v>Pending</v>
      </c>
    </row>
    <row r="33" spans="1:6" ht="15" customHeight="1" x14ac:dyDescent="0.35">
      <c r="A33" s="151" t="s">
        <v>656</v>
      </c>
      <c r="B33" s="200" t="s">
        <v>808</v>
      </c>
      <c r="C33" s="151"/>
      <c r="D33" s="201"/>
      <c r="E33" s="202">
        <f>IFERROR(INDEX(Journal!$A:$A,MATCH($A33,Journal!$B:$B,0)),"")</f>
        <v>46412</v>
      </c>
      <c r="F33" s="151" t="str">
        <f t="shared" ca="1" si="0"/>
        <v>Pending</v>
      </c>
    </row>
    <row r="34" spans="1:6" ht="15" customHeight="1" x14ac:dyDescent="0.35">
      <c r="A34" s="151" t="s">
        <v>656</v>
      </c>
      <c r="B34" s="200" t="s">
        <v>809</v>
      </c>
      <c r="C34" s="151"/>
      <c r="D34" s="201"/>
      <c r="E34" s="202">
        <f>IFERROR(INDEX(Journal!$A:$A,MATCH($A34,Journal!$B:$B,0)),"")</f>
        <v>46412</v>
      </c>
      <c r="F34" s="151" t="str">
        <f t="shared" ca="1" si="0"/>
        <v>Pending</v>
      </c>
    </row>
    <row r="35" spans="1:6" ht="15" customHeight="1" x14ac:dyDescent="0.35">
      <c r="A35" s="151" t="s">
        <v>656</v>
      </c>
      <c r="B35" s="200" t="s">
        <v>810</v>
      </c>
      <c r="C35" s="151"/>
      <c r="D35" s="201"/>
      <c r="E35" s="202">
        <f>IFERROR(INDEX(Journal!$A:$A,MATCH($A35,Journal!$B:$B,0)),"")</f>
        <v>46412</v>
      </c>
      <c r="F35" s="151" t="str">
        <f t="shared" ca="1" si="0"/>
        <v>Pending</v>
      </c>
    </row>
    <row r="36" spans="1:6" ht="15" customHeight="1" x14ac:dyDescent="0.35">
      <c r="A36" s="151" t="s">
        <v>697</v>
      </c>
      <c r="B36" s="200" t="s">
        <v>817</v>
      </c>
      <c r="C36" s="151" t="s">
        <v>213</v>
      </c>
      <c r="D36" s="201">
        <v>46295</v>
      </c>
      <c r="E36" s="202">
        <f>IFERROR(INDEX(Journal!$A:$A,MATCH($A36,Journal!$B:$B,0)),"")</f>
        <v>46295</v>
      </c>
      <c r="F36" s="151" t="str">
        <f t="shared" ca="1" si="0"/>
        <v>Done</v>
      </c>
    </row>
    <row r="37" spans="1:6" ht="15" customHeight="1" x14ac:dyDescent="0.35">
      <c r="A37" s="151" t="s">
        <v>697</v>
      </c>
      <c r="B37" s="200" t="s">
        <v>818</v>
      </c>
      <c r="C37" s="151" t="s">
        <v>213</v>
      </c>
      <c r="D37" s="201">
        <v>46295</v>
      </c>
      <c r="E37" s="202">
        <f>IFERROR(INDEX(Journal!$A:$A,MATCH($A37,Journal!$B:$B,0)),"")</f>
        <v>46295</v>
      </c>
      <c r="F37" s="151" t="str">
        <f t="shared" ref="F37:F68" ca="1" si="1">IF(C37="Y","Done",IF(AND(E37&lt;&gt;"",TODAY()&gt;E37),"OVERDUE","Pending"))</f>
        <v>Done</v>
      </c>
    </row>
    <row r="38" spans="1:6" ht="45.75" customHeight="1" x14ac:dyDescent="0.35">
      <c r="A38" s="151" t="s">
        <v>697</v>
      </c>
      <c r="B38" s="200" t="s">
        <v>819</v>
      </c>
      <c r="C38" s="151" t="s">
        <v>213</v>
      </c>
      <c r="D38" s="201">
        <v>46295</v>
      </c>
      <c r="E38" s="202">
        <f>IFERROR(INDEX(Journal!$A:$A,MATCH($A38,Journal!$B:$B,0)),"")</f>
        <v>46295</v>
      </c>
      <c r="F38" s="151" t="str">
        <f t="shared" ca="1" si="1"/>
        <v>Done</v>
      </c>
    </row>
    <row r="39" spans="1:6" ht="15" customHeight="1" x14ac:dyDescent="0.35">
      <c r="A39" s="151" t="s">
        <v>697</v>
      </c>
      <c r="B39" s="200" t="s">
        <v>820</v>
      </c>
      <c r="C39" s="151" t="s">
        <v>213</v>
      </c>
      <c r="D39" s="201">
        <v>46295</v>
      </c>
      <c r="E39" s="202">
        <f>IFERROR(INDEX(Journal!$A:$A,MATCH($A39,Journal!$B:$B,0)),"")</f>
        <v>46295</v>
      </c>
      <c r="F39" s="151" t="str">
        <f t="shared" ca="1" si="1"/>
        <v>Done</v>
      </c>
    </row>
    <row r="40" spans="1:6" ht="34.5" customHeight="1" x14ac:dyDescent="0.35">
      <c r="A40" s="151" t="s">
        <v>697</v>
      </c>
      <c r="B40" s="200" t="s">
        <v>821</v>
      </c>
      <c r="C40" s="151" t="s">
        <v>213</v>
      </c>
      <c r="D40" s="201">
        <v>46295</v>
      </c>
      <c r="E40" s="202">
        <f>IFERROR(INDEX(Journal!$A:$A,MATCH($A40,Journal!$B:$B,0)),"")</f>
        <v>46295</v>
      </c>
      <c r="F40" s="151" t="str">
        <f t="shared" ca="1" si="1"/>
        <v>Done</v>
      </c>
    </row>
    <row r="41" spans="1:6" ht="15" customHeight="1" x14ac:dyDescent="0.35">
      <c r="A41" s="151" t="s">
        <v>697</v>
      </c>
      <c r="B41" s="200" t="s">
        <v>822</v>
      </c>
      <c r="C41" s="151" t="s">
        <v>213</v>
      </c>
      <c r="D41" s="201">
        <v>46295</v>
      </c>
      <c r="E41" s="202">
        <f>IFERROR(INDEX(Journal!$A:$A,MATCH($A41,Journal!$B:$B,0)),"")</f>
        <v>46295</v>
      </c>
      <c r="F41" s="151" t="str">
        <f t="shared" ca="1" si="1"/>
        <v>Done</v>
      </c>
    </row>
    <row r="42" spans="1:6" ht="15" customHeight="1" x14ac:dyDescent="0.35">
      <c r="A42" s="151" t="s">
        <v>697</v>
      </c>
      <c r="B42" s="200" t="s">
        <v>808</v>
      </c>
      <c r="C42" s="151" t="s">
        <v>213</v>
      </c>
      <c r="D42" s="201">
        <v>46295</v>
      </c>
      <c r="E42" s="202">
        <f>IFERROR(INDEX(Journal!$A:$A,MATCH($A42,Journal!$B:$B,0)),"")</f>
        <v>46295</v>
      </c>
      <c r="F42" s="151" t="str">
        <f t="shared" ca="1" si="1"/>
        <v>Done</v>
      </c>
    </row>
    <row r="43" spans="1:6" ht="15" customHeight="1" x14ac:dyDescent="0.35">
      <c r="A43" s="151" t="s">
        <v>697</v>
      </c>
      <c r="B43" s="200" t="s">
        <v>809</v>
      </c>
      <c r="C43" s="151" t="s">
        <v>213</v>
      </c>
      <c r="D43" s="201">
        <v>46295</v>
      </c>
      <c r="E43" s="202">
        <f>IFERROR(INDEX(Journal!$A:$A,MATCH($A43,Journal!$B:$B,0)),"")</f>
        <v>46295</v>
      </c>
      <c r="F43" s="151" t="str">
        <f t="shared" ca="1" si="1"/>
        <v>Done</v>
      </c>
    </row>
    <row r="44" spans="1:6" ht="15" customHeight="1" x14ac:dyDescent="0.35">
      <c r="A44" s="151" t="s">
        <v>697</v>
      </c>
      <c r="B44" s="200" t="s">
        <v>810</v>
      </c>
      <c r="C44" s="151" t="s">
        <v>213</v>
      </c>
      <c r="D44" s="201">
        <v>46295</v>
      </c>
      <c r="E44" s="202">
        <f>IFERROR(INDEX(Journal!$A:$A,MATCH($A44,Journal!$B:$B,0)),"")</f>
        <v>46295</v>
      </c>
      <c r="F44" s="151" t="str">
        <f t="shared" ca="1" si="1"/>
        <v>Done</v>
      </c>
    </row>
    <row r="45" spans="1:6" ht="15" customHeight="1" x14ac:dyDescent="0.35">
      <c r="A45" s="151" t="s">
        <v>699</v>
      </c>
      <c r="B45" s="200" t="s">
        <v>817</v>
      </c>
      <c r="C45" s="151"/>
      <c r="D45" s="151"/>
      <c r="E45" s="202">
        <f>IFERROR(INDEX(Journal!$A:$A,MATCH($A45,Journal!$B:$B,0)),"")</f>
        <v>46302</v>
      </c>
      <c r="F45" s="151" t="str">
        <f t="shared" ca="1" si="1"/>
        <v>Pending</v>
      </c>
    </row>
    <row r="46" spans="1:6" ht="15" customHeight="1" x14ac:dyDescent="0.35">
      <c r="A46" s="151" t="s">
        <v>699</v>
      </c>
      <c r="B46" s="200" t="s">
        <v>818</v>
      </c>
      <c r="C46" s="151"/>
      <c r="D46" s="151"/>
      <c r="E46" s="202">
        <f>IFERROR(INDEX(Journal!$A:$A,MATCH($A46,Journal!$B:$B,0)),"")</f>
        <v>46302</v>
      </c>
      <c r="F46" s="151" t="str">
        <f t="shared" ca="1" si="1"/>
        <v>Pending</v>
      </c>
    </row>
    <row r="47" spans="1:6" ht="45.75" customHeight="1" x14ac:dyDescent="0.35">
      <c r="A47" s="151" t="s">
        <v>699</v>
      </c>
      <c r="B47" s="200" t="s">
        <v>819</v>
      </c>
      <c r="C47" s="151"/>
      <c r="D47" s="151"/>
      <c r="E47" s="202">
        <f>IFERROR(INDEX(Journal!$A:$A,MATCH($A47,Journal!$B:$B,0)),"")</f>
        <v>46302</v>
      </c>
      <c r="F47" s="151" t="str">
        <f t="shared" ca="1" si="1"/>
        <v>Pending</v>
      </c>
    </row>
    <row r="48" spans="1:6" ht="15" customHeight="1" x14ac:dyDescent="0.35">
      <c r="A48" s="151" t="s">
        <v>699</v>
      </c>
      <c r="B48" s="200" t="s">
        <v>820</v>
      </c>
      <c r="C48" s="151"/>
      <c r="D48" s="151"/>
      <c r="E48" s="202">
        <f>IFERROR(INDEX(Journal!$A:$A,MATCH($A48,Journal!$B:$B,0)),"")</f>
        <v>46302</v>
      </c>
      <c r="F48" s="151" t="str">
        <f t="shared" ca="1" si="1"/>
        <v>Pending</v>
      </c>
    </row>
    <row r="49" spans="1:6" ht="34.5" customHeight="1" x14ac:dyDescent="0.35">
      <c r="A49" s="151" t="s">
        <v>699</v>
      </c>
      <c r="B49" s="200" t="s">
        <v>821</v>
      </c>
      <c r="C49" s="151"/>
      <c r="D49" s="151"/>
      <c r="E49" s="202">
        <f>IFERROR(INDEX(Journal!$A:$A,MATCH($A49,Journal!$B:$B,0)),"")</f>
        <v>46302</v>
      </c>
      <c r="F49" s="151" t="str">
        <f t="shared" ca="1" si="1"/>
        <v>Pending</v>
      </c>
    </row>
    <row r="50" spans="1:6" ht="34.5" customHeight="1" x14ac:dyDescent="0.35">
      <c r="A50" s="151" t="s">
        <v>699</v>
      </c>
      <c r="B50" s="200" t="s">
        <v>823</v>
      </c>
      <c r="C50" s="151"/>
      <c r="D50" s="151"/>
      <c r="E50" s="202">
        <f>IFERROR(INDEX(Journal!$A:$A,MATCH($A50,Journal!$B:$B,0)),"")</f>
        <v>46302</v>
      </c>
      <c r="F50" s="151" t="str">
        <f t="shared" ca="1" si="1"/>
        <v>Pending</v>
      </c>
    </row>
    <row r="51" spans="1:6" ht="34.5" customHeight="1" x14ac:dyDescent="0.35">
      <c r="A51" s="151" t="s">
        <v>699</v>
      </c>
      <c r="B51" s="200" t="s">
        <v>824</v>
      </c>
      <c r="C51" s="151"/>
      <c r="D51" s="151"/>
      <c r="E51" s="202">
        <f>IFERROR(INDEX(Journal!$A:$A,MATCH($A51,Journal!$B:$B,0)),"")</f>
        <v>46302</v>
      </c>
      <c r="F51" s="151" t="str">
        <f t="shared" ca="1" si="1"/>
        <v>Pending</v>
      </c>
    </row>
    <row r="52" spans="1:6" ht="15" customHeight="1" x14ac:dyDescent="0.35">
      <c r="A52" s="151" t="s">
        <v>699</v>
      </c>
      <c r="B52" s="200" t="s">
        <v>822</v>
      </c>
      <c r="C52" s="151"/>
      <c r="D52" s="151"/>
      <c r="E52" s="202">
        <f>IFERROR(INDEX(Journal!$A:$A,MATCH($A52,Journal!$B:$B,0)),"")</f>
        <v>46302</v>
      </c>
      <c r="F52" s="151" t="str">
        <f t="shared" ca="1" si="1"/>
        <v>Pending</v>
      </c>
    </row>
    <row r="53" spans="1:6" ht="15" customHeight="1" x14ac:dyDescent="0.35">
      <c r="A53" s="151" t="s">
        <v>699</v>
      </c>
      <c r="B53" s="200" t="s">
        <v>808</v>
      </c>
      <c r="C53" s="151"/>
      <c r="D53" s="151"/>
      <c r="E53" s="202">
        <f>IFERROR(INDEX(Journal!$A:$A,MATCH($A53,Journal!$B:$B,0)),"")</f>
        <v>46302</v>
      </c>
      <c r="F53" s="151" t="str">
        <f t="shared" ca="1" si="1"/>
        <v>Pending</v>
      </c>
    </row>
    <row r="54" spans="1:6" ht="15" customHeight="1" x14ac:dyDescent="0.35">
      <c r="A54" s="151" t="s">
        <v>699</v>
      </c>
      <c r="B54" s="200" t="s">
        <v>809</v>
      </c>
      <c r="C54" s="151"/>
      <c r="D54" s="151"/>
      <c r="E54" s="202">
        <f>IFERROR(INDEX(Journal!$A:$A,MATCH($A54,Journal!$B:$B,0)),"")</f>
        <v>46302</v>
      </c>
      <c r="F54" s="151" t="str">
        <f t="shared" ca="1" si="1"/>
        <v>Pending</v>
      </c>
    </row>
    <row r="55" spans="1:6" ht="15" customHeight="1" x14ac:dyDescent="0.35">
      <c r="A55" s="151" t="s">
        <v>699</v>
      </c>
      <c r="B55" s="200" t="s">
        <v>810</v>
      </c>
      <c r="C55" s="151"/>
      <c r="D55" s="151"/>
      <c r="E55" s="202">
        <f>IFERROR(INDEX(Journal!$A:$A,MATCH($A55,Journal!$B:$B,0)),"")</f>
        <v>46302</v>
      </c>
      <c r="F55" s="151" t="str">
        <f t="shared" ca="1" si="1"/>
        <v>Pending</v>
      </c>
    </row>
    <row r="56" spans="1:6" ht="15" customHeight="1" x14ac:dyDescent="0.35">
      <c r="A56" s="151" t="s">
        <v>701</v>
      </c>
      <c r="B56" s="200" t="s">
        <v>817</v>
      </c>
      <c r="C56" s="151"/>
      <c r="D56" s="151"/>
      <c r="E56" s="202">
        <f>IFERROR(INDEX(Journal!$A:$A,MATCH($A56,Journal!$B:$B,0)),"")</f>
        <v>46317</v>
      </c>
      <c r="F56" s="151" t="str">
        <f t="shared" ca="1" si="1"/>
        <v>Pending</v>
      </c>
    </row>
    <row r="57" spans="1:6" ht="15" customHeight="1" x14ac:dyDescent="0.35">
      <c r="A57" s="151" t="s">
        <v>701</v>
      </c>
      <c r="B57" s="200" t="s">
        <v>818</v>
      </c>
      <c r="C57" s="151"/>
      <c r="D57" s="151"/>
      <c r="E57" s="202">
        <f>IFERROR(INDEX(Journal!$A:$A,MATCH($A57,Journal!$B:$B,0)),"")</f>
        <v>46317</v>
      </c>
      <c r="F57" s="151" t="str">
        <f t="shared" ca="1" si="1"/>
        <v>Pending</v>
      </c>
    </row>
    <row r="58" spans="1:6" ht="45.75" customHeight="1" x14ac:dyDescent="0.35">
      <c r="A58" s="151" t="s">
        <v>701</v>
      </c>
      <c r="B58" s="200" t="s">
        <v>819</v>
      </c>
      <c r="C58" s="151"/>
      <c r="D58" s="151"/>
      <c r="E58" s="202">
        <f>IFERROR(INDEX(Journal!$A:$A,MATCH($A58,Journal!$B:$B,0)),"")</f>
        <v>46317</v>
      </c>
      <c r="F58" s="151" t="str">
        <f t="shared" ca="1" si="1"/>
        <v>Pending</v>
      </c>
    </row>
    <row r="59" spans="1:6" ht="15" customHeight="1" x14ac:dyDescent="0.35">
      <c r="A59" s="151" t="s">
        <v>701</v>
      </c>
      <c r="B59" s="200" t="s">
        <v>820</v>
      </c>
      <c r="C59" s="151"/>
      <c r="D59" s="151"/>
      <c r="E59" s="202">
        <f>IFERROR(INDEX(Journal!$A:$A,MATCH($A59,Journal!$B:$B,0)),"")</f>
        <v>46317</v>
      </c>
      <c r="F59" s="151" t="str">
        <f t="shared" ca="1" si="1"/>
        <v>Pending</v>
      </c>
    </row>
    <row r="60" spans="1:6" ht="34.5" customHeight="1" x14ac:dyDescent="0.35">
      <c r="A60" s="151" t="s">
        <v>701</v>
      </c>
      <c r="B60" s="200" t="s">
        <v>821</v>
      </c>
      <c r="C60" s="151"/>
      <c r="D60" s="151"/>
      <c r="E60" s="202">
        <f>IFERROR(INDEX(Journal!$A:$A,MATCH($A60,Journal!$B:$B,0)),"")</f>
        <v>46317</v>
      </c>
      <c r="F60" s="151" t="str">
        <f t="shared" ca="1" si="1"/>
        <v>Pending</v>
      </c>
    </row>
    <row r="61" spans="1:6" ht="34.5" customHeight="1" x14ac:dyDescent="0.35">
      <c r="A61" s="151" t="s">
        <v>701</v>
      </c>
      <c r="B61" s="200" t="s">
        <v>823</v>
      </c>
      <c r="C61" s="151"/>
      <c r="D61" s="151"/>
      <c r="E61" s="202">
        <f>IFERROR(INDEX(Journal!$A:$A,MATCH($A61,Journal!$B:$B,0)),"")</f>
        <v>46317</v>
      </c>
      <c r="F61" s="151" t="str">
        <f t="shared" ca="1" si="1"/>
        <v>Pending</v>
      </c>
    </row>
    <row r="62" spans="1:6" ht="34.5" customHeight="1" x14ac:dyDescent="0.35">
      <c r="A62" s="151" t="s">
        <v>701</v>
      </c>
      <c r="B62" s="200" t="s">
        <v>824</v>
      </c>
      <c r="C62" s="151"/>
      <c r="D62" s="151"/>
      <c r="E62" s="202">
        <f>IFERROR(INDEX(Journal!$A:$A,MATCH($A62,Journal!$B:$B,0)),"")</f>
        <v>46317</v>
      </c>
      <c r="F62" s="151" t="str">
        <f t="shared" ca="1" si="1"/>
        <v>Pending</v>
      </c>
    </row>
    <row r="63" spans="1:6" ht="15" customHeight="1" x14ac:dyDescent="0.35">
      <c r="A63" s="151" t="s">
        <v>701</v>
      </c>
      <c r="B63" s="200" t="s">
        <v>822</v>
      </c>
      <c r="C63" s="151"/>
      <c r="D63" s="151"/>
      <c r="E63" s="202">
        <f>IFERROR(INDEX(Journal!$A:$A,MATCH($A63,Journal!$B:$B,0)),"")</f>
        <v>46317</v>
      </c>
      <c r="F63" s="151" t="str">
        <f t="shared" ca="1" si="1"/>
        <v>Pending</v>
      </c>
    </row>
    <row r="64" spans="1:6" ht="15" customHeight="1" x14ac:dyDescent="0.35">
      <c r="A64" s="151" t="s">
        <v>701</v>
      </c>
      <c r="B64" s="200" t="s">
        <v>808</v>
      </c>
      <c r="C64" s="151"/>
      <c r="D64" s="151"/>
      <c r="E64" s="202">
        <f>IFERROR(INDEX(Journal!$A:$A,MATCH($A64,Journal!$B:$B,0)),"")</f>
        <v>46317</v>
      </c>
      <c r="F64" s="151" t="str">
        <f t="shared" ca="1" si="1"/>
        <v>Pending</v>
      </c>
    </row>
    <row r="65" spans="1:6" ht="15" customHeight="1" x14ac:dyDescent="0.35">
      <c r="A65" s="151" t="s">
        <v>701</v>
      </c>
      <c r="B65" s="200" t="s">
        <v>809</v>
      </c>
      <c r="C65" s="151"/>
      <c r="D65" s="151"/>
      <c r="E65" s="202">
        <f>IFERROR(INDEX(Journal!$A:$A,MATCH($A65,Journal!$B:$B,0)),"")</f>
        <v>46317</v>
      </c>
      <c r="F65" s="151" t="str">
        <f t="shared" ca="1" si="1"/>
        <v>Pending</v>
      </c>
    </row>
    <row r="66" spans="1:6" ht="15" customHeight="1" x14ac:dyDescent="0.35">
      <c r="A66" s="151" t="s">
        <v>701</v>
      </c>
      <c r="B66" s="200" t="s">
        <v>810</v>
      </c>
      <c r="C66" s="151"/>
      <c r="D66" s="151"/>
      <c r="E66" s="202">
        <f>IFERROR(INDEX(Journal!$A:$A,MATCH($A66,Journal!$B:$B,0)),"")</f>
        <v>46317</v>
      </c>
      <c r="F66" s="151" t="str">
        <f t="shared" ca="1" si="1"/>
        <v>Pending</v>
      </c>
    </row>
    <row r="67" spans="1:6" ht="15" customHeight="1" x14ac:dyDescent="0.35">
      <c r="A67" s="151" t="s">
        <v>703</v>
      </c>
      <c r="B67" s="200" t="s">
        <v>817</v>
      </c>
      <c r="C67" s="151"/>
      <c r="D67" s="151"/>
      <c r="E67" s="202">
        <f>IFERROR(INDEX(Journal!$A:$A,MATCH($A67,Journal!$B:$B,0)),"")</f>
        <v>46335</v>
      </c>
      <c r="F67" s="151" t="str">
        <f t="shared" ca="1" si="1"/>
        <v>Pending</v>
      </c>
    </row>
    <row r="68" spans="1:6" ht="15" customHeight="1" x14ac:dyDescent="0.35">
      <c r="A68" s="151" t="s">
        <v>703</v>
      </c>
      <c r="B68" s="200" t="s">
        <v>818</v>
      </c>
      <c r="C68" s="151"/>
      <c r="D68" s="151"/>
      <c r="E68" s="202">
        <f>IFERROR(INDEX(Journal!$A:$A,MATCH($A68,Journal!$B:$B,0)),"")</f>
        <v>46335</v>
      </c>
      <c r="F68" s="151" t="str">
        <f t="shared" ca="1" si="1"/>
        <v>Pending</v>
      </c>
    </row>
    <row r="69" spans="1:6" ht="45.75" customHeight="1" x14ac:dyDescent="0.35">
      <c r="A69" s="151" t="s">
        <v>703</v>
      </c>
      <c r="B69" s="200" t="s">
        <v>819</v>
      </c>
      <c r="C69" s="151"/>
      <c r="D69" s="151"/>
      <c r="E69" s="202">
        <f>IFERROR(INDEX(Journal!$A:$A,MATCH($A69,Journal!$B:$B,0)),"")</f>
        <v>46335</v>
      </c>
      <c r="F69" s="151" t="str">
        <f t="shared" ref="F69:F100" ca="1" si="2">IF(C69="Y","Done",IF(AND(E69&lt;&gt;"",TODAY()&gt;E69),"OVERDUE","Pending"))</f>
        <v>Pending</v>
      </c>
    </row>
    <row r="70" spans="1:6" ht="15" customHeight="1" x14ac:dyDescent="0.35">
      <c r="A70" s="151" t="s">
        <v>703</v>
      </c>
      <c r="B70" s="200" t="s">
        <v>820</v>
      </c>
      <c r="C70" s="151"/>
      <c r="D70" s="151"/>
      <c r="E70" s="202">
        <f>IFERROR(INDEX(Journal!$A:$A,MATCH($A70,Journal!$B:$B,0)),"")</f>
        <v>46335</v>
      </c>
      <c r="F70" s="151" t="str">
        <f t="shared" ca="1" si="2"/>
        <v>Pending</v>
      </c>
    </row>
    <row r="71" spans="1:6" ht="34.5" customHeight="1" x14ac:dyDescent="0.35">
      <c r="A71" s="151" t="s">
        <v>703</v>
      </c>
      <c r="B71" s="200" t="s">
        <v>821</v>
      </c>
      <c r="C71" s="151"/>
      <c r="D71" s="151"/>
      <c r="E71" s="202">
        <f>IFERROR(INDEX(Journal!$A:$A,MATCH($A71,Journal!$B:$B,0)),"")</f>
        <v>46335</v>
      </c>
      <c r="F71" s="151" t="str">
        <f t="shared" ca="1" si="2"/>
        <v>Pending</v>
      </c>
    </row>
    <row r="72" spans="1:6" ht="34.5" customHeight="1" x14ac:dyDescent="0.35">
      <c r="A72" s="151" t="s">
        <v>703</v>
      </c>
      <c r="B72" s="200" t="s">
        <v>823</v>
      </c>
      <c r="C72" s="151"/>
      <c r="D72" s="151"/>
      <c r="E72" s="202">
        <f>IFERROR(INDEX(Journal!$A:$A,MATCH($A72,Journal!$B:$B,0)),"")</f>
        <v>46335</v>
      </c>
      <c r="F72" s="151" t="str">
        <f t="shared" ca="1" si="2"/>
        <v>Pending</v>
      </c>
    </row>
    <row r="73" spans="1:6" ht="34.5" customHeight="1" x14ac:dyDescent="0.35">
      <c r="A73" s="151" t="s">
        <v>703</v>
      </c>
      <c r="B73" s="200" t="s">
        <v>824</v>
      </c>
      <c r="C73" s="151"/>
      <c r="D73" s="151"/>
      <c r="E73" s="202">
        <f>IFERROR(INDEX(Journal!$A:$A,MATCH($A73,Journal!$B:$B,0)),"")</f>
        <v>46335</v>
      </c>
      <c r="F73" s="151" t="str">
        <f t="shared" ca="1" si="2"/>
        <v>Pending</v>
      </c>
    </row>
    <row r="74" spans="1:6" ht="15" customHeight="1" x14ac:dyDescent="0.35">
      <c r="A74" s="151" t="s">
        <v>703</v>
      </c>
      <c r="B74" s="200" t="s">
        <v>822</v>
      </c>
      <c r="C74" s="151"/>
      <c r="D74" s="151"/>
      <c r="E74" s="202">
        <f>IFERROR(INDEX(Journal!$A:$A,MATCH($A74,Journal!$B:$B,0)),"")</f>
        <v>46335</v>
      </c>
      <c r="F74" s="151" t="str">
        <f t="shared" ca="1" si="2"/>
        <v>Pending</v>
      </c>
    </row>
    <row r="75" spans="1:6" ht="15" customHeight="1" x14ac:dyDescent="0.35">
      <c r="A75" s="151" t="s">
        <v>703</v>
      </c>
      <c r="B75" s="200" t="s">
        <v>808</v>
      </c>
      <c r="C75" s="151"/>
      <c r="D75" s="151"/>
      <c r="E75" s="202">
        <f>IFERROR(INDEX(Journal!$A:$A,MATCH($A75,Journal!$B:$B,0)),"")</f>
        <v>46335</v>
      </c>
      <c r="F75" s="151" t="str">
        <f t="shared" ca="1" si="2"/>
        <v>Pending</v>
      </c>
    </row>
    <row r="76" spans="1:6" ht="15" customHeight="1" x14ac:dyDescent="0.35">
      <c r="A76" s="151" t="s">
        <v>703</v>
      </c>
      <c r="B76" s="200" t="s">
        <v>809</v>
      </c>
      <c r="C76" s="151"/>
      <c r="D76" s="151"/>
      <c r="E76" s="202">
        <f>IFERROR(INDEX(Journal!$A:$A,MATCH($A76,Journal!$B:$B,0)),"")</f>
        <v>46335</v>
      </c>
      <c r="F76" s="151" t="str">
        <f t="shared" ca="1" si="2"/>
        <v>Pending</v>
      </c>
    </row>
    <row r="77" spans="1:6" ht="15" customHeight="1" x14ac:dyDescent="0.35">
      <c r="A77" s="151" t="s">
        <v>703</v>
      </c>
      <c r="B77" s="200" t="s">
        <v>810</v>
      </c>
      <c r="C77" s="151"/>
      <c r="D77" s="151"/>
      <c r="E77" s="202">
        <f>IFERROR(INDEX(Journal!$A:$A,MATCH($A77,Journal!$B:$B,0)),"")</f>
        <v>46335</v>
      </c>
      <c r="F77" s="151" t="str">
        <f t="shared" ca="1" si="2"/>
        <v>Pending</v>
      </c>
    </row>
    <row r="78" spans="1:6" ht="15" customHeight="1" x14ac:dyDescent="0.35">
      <c r="A78" s="151" t="s">
        <v>705</v>
      </c>
      <c r="B78" s="200" t="s">
        <v>817</v>
      </c>
      <c r="C78" s="151"/>
      <c r="D78" s="151"/>
      <c r="E78" s="202">
        <f>IFERROR(INDEX(Journal!$A:$A,MATCH($A78,Journal!$B:$B,0)),"")</f>
        <v>46349</v>
      </c>
      <c r="F78" s="151" t="str">
        <f t="shared" ca="1" si="2"/>
        <v>Pending</v>
      </c>
    </row>
    <row r="79" spans="1:6" ht="15" customHeight="1" x14ac:dyDescent="0.35">
      <c r="A79" s="151" t="s">
        <v>705</v>
      </c>
      <c r="B79" s="200" t="s">
        <v>818</v>
      </c>
      <c r="C79" s="151"/>
      <c r="D79" s="151"/>
      <c r="E79" s="202">
        <f>IFERROR(INDEX(Journal!$A:$A,MATCH($A79,Journal!$B:$B,0)),"")</f>
        <v>46349</v>
      </c>
      <c r="F79" s="151" t="str">
        <f t="shared" ca="1" si="2"/>
        <v>Pending</v>
      </c>
    </row>
    <row r="80" spans="1:6" ht="45.75" customHeight="1" x14ac:dyDescent="0.35">
      <c r="A80" s="151" t="s">
        <v>705</v>
      </c>
      <c r="B80" s="200" t="s">
        <v>819</v>
      </c>
      <c r="C80" s="151"/>
      <c r="D80" s="151"/>
      <c r="E80" s="202">
        <f>IFERROR(INDEX(Journal!$A:$A,MATCH($A80,Journal!$B:$B,0)),"")</f>
        <v>46349</v>
      </c>
      <c r="F80" s="151" t="str">
        <f t="shared" ca="1" si="2"/>
        <v>Pending</v>
      </c>
    </row>
    <row r="81" spans="1:6" ht="15" customHeight="1" x14ac:dyDescent="0.35">
      <c r="A81" s="151" t="s">
        <v>705</v>
      </c>
      <c r="B81" s="200" t="s">
        <v>820</v>
      </c>
      <c r="C81" s="151"/>
      <c r="D81" s="151"/>
      <c r="E81" s="202">
        <f>IFERROR(INDEX(Journal!$A:$A,MATCH($A81,Journal!$B:$B,0)),"")</f>
        <v>46349</v>
      </c>
      <c r="F81" s="151" t="str">
        <f t="shared" ca="1" si="2"/>
        <v>Pending</v>
      </c>
    </row>
    <row r="82" spans="1:6" ht="34.5" customHeight="1" x14ac:dyDescent="0.35">
      <c r="A82" s="151" t="s">
        <v>705</v>
      </c>
      <c r="B82" s="200" t="s">
        <v>821</v>
      </c>
      <c r="C82" s="151"/>
      <c r="D82" s="151"/>
      <c r="E82" s="202">
        <f>IFERROR(INDEX(Journal!$A:$A,MATCH($A82,Journal!$B:$B,0)),"")</f>
        <v>46349</v>
      </c>
      <c r="F82" s="151" t="str">
        <f t="shared" ca="1" si="2"/>
        <v>Pending</v>
      </c>
    </row>
    <row r="83" spans="1:6" ht="34.5" customHeight="1" x14ac:dyDescent="0.35">
      <c r="A83" s="151" t="s">
        <v>705</v>
      </c>
      <c r="B83" s="200" t="s">
        <v>823</v>
      </c>
      <c r="C83" s="151"/>
      <c r="D83" s="151"/>
      <c r="E83" s="202">
        <f>IFERROR(INDEX(Journal!$A:$A,MATCH($A83,Journal!$B:$B,0)),"")</f>
        <v>46349</v>
      </c>
      <c r="F83" s="151" t="str">
        <f t="shared" ca="1" si="2"/>
        <v>Pending</v>
      </c>
    </row>
    <row r="84" spans="1:6" ht="34.5" customHeight="1" x14ac:dyDescent="0.35">
      <c r="A84" s="151" t="s">
        <v>705</v>
      </c>
      <c r="B84" s="200" t="s">
        <v>824</v>
      </c>
      <c r="C84" s="151"/>
      <c r="D84" s="151"/>
      <c r="E84" s="202">
        <f>IFERROR(INDEX(Journal!$A:$A,MATCH($A84,Journal!$B:$B,0)),"")</f>
        <v>46349</v>
      </c>
      <c r="F84" s="151" t="str">
        <f t="shared" ca="1" si="2"/>
        <v>Pending</v>
      </c>
    </row>
    <row r="85" spans="1:6" ht="15" customHeight="1" x14ac:dyDescent="0.35">
      <c r="A85" s="151" t="s">
        <v>705</v>
      </c>
      <c r="B85" s="200" t="s">
        <v>822</v>
      </c>
      <c r="C85" s="151"/>
      <c r="D85" s="151"/>
      <c r="E85" s="202">
        <f>IFERROR(INDEX(Journal!$A:$A,MATCH($A85,Journal!$B:$B,0)),"")</f>
        <v>46349</v>
      </c>
      <c r="F85" s="151" t="str">
        <f t="shared" ca="1" si="2"/>
        <v>Pending</v>
      </c>
    </row>
    <row r="86" spans="1:6" ht="15" customHeight="1" x14ac:dyDescent="0.35">
      <c r="A86" s="151" t="s">
        <v>705</v>
      </c>
      <c r="B86" s="200" t="s">
        <v>808</v>
      </c>
      <c r="C86" s="151"/>
      <c r="D86" s="151"/>
      <c r="E86" s="202">
        <f>IFERROR(INDEX(Journal!$A:$A,MATCH($A86,Journal!$B:$B,0)),"")</f>
        <v>46349</v>
      </c>
      <c r="F86" s="151" t="str">
        <f t="shared" ca="1" si="2"/>
        <v>Pending</v>
      </c>
    </row>
    <row r="87" spans="1:6" ht="15" customHeight="1" x14ac:dyDescent="0.35">
      <c r="A87" s="151" t="s">
        <v>705</v>
      </c>
      <c r="B87" s="200" t="s">
        <v>809</v>
      </c>
      <c r="C87" s="151"/>
      <c r="D87" s="151"/>
      <c r="E87" s="202">
        <f>IFERROR(INDEX(Journal!$A:$A,MATCH($A87,Journal!$B:$B,0)),"")</f>
        <v>46349</v>
      </c>
      <c r="F87" s="151" t="str">
        <f t="shared" ca="1" si="2"/>
        <v>Pending</v>
      </c>
    </row>
    <row r="88" spans="1:6" ht="15" customHeight="1" x14ac:dyDescent="0.35">
      <c r="A88" s="151" t="s">
        <v>705</v>
      </c>
      <c r="B88" s="200" t="s">
        <v>810</v>
      </c>
      <c r="C88" s="151"/>
      <c r="D88" s="151"/>
      <c r="E88" s="202">
        <f>IFERROR(INDEX(Journal!$A:$A,MATCH($A88,Journal!$B:$B,0)),"")</f>
        <v>46349</v>
      </c>
      <c r="F88" s="151" t="str">
        <f t="shared" ca="1" si="2"/>
        <v>Pending</v>
      </c>
    </row>
    <row r="89" spans="1:6" ht="15" customHeight="1" x14ac:dyDescent="0.35">
      <c r="A89" s="151" t="s">
        <v>707</v>
      </c>
      <c r="B89" s="200" t="s">
        <v>817</v>
      </c>
      <c r="C89" s="151"/>
      <c r="D89" s="151"/>
      <c r="E89" s="202">
        <f>IFERROR(INDEX(Journal!$A:$A,MATCH($A89,Journal!$B:$B,0)),"")</f>
        <v>46363</v>
      </c>
      <c r="F89" s="151" t="str">
        <f t="shared" ca="1" si="2"/>
        <v>Pending</v>
      </c>
    </row>
    <row r="90" spans="1:6" ht="15" customHeight="1" x14ac:dyDescent="0.35">
      <c r="A90" s="151" t="s">
        <v>707</v>
      </c>
      <c r="B90" s="200" t="s">
        <v>818</v>
      </c>
      <c r="C90" s="151"/>
      <c r="D90" s="151"/>
      <c r="E90" s="202">
        <f>IFERROR(INDEX(Journal!$A:$A,MATCH($A90,Journal!$B:$B,0)),"")</f>
        <v>46363</v>
      </c>
      <c r="F90" s="151" t="str">
        <f t="shared" ca="1" si="2"/>
        <v>Pending</v>
      </c>
    </row>
    <row r="91" spans="1:6" ht="45.75" customHeight="1" x14ac:dyDescent="0.35">
      <c r="A91" s="151" t="s">
        <v>707</v>
      </c>
      <c r="B91" s="200" t="s">
        <v>819</v>
      </c>
      <c r="C91" s="151"/>
      <c r="D91" s="151"/>
      <c r="E91" s="202">
        <f>IFERROR(INDEX(Journal!$A:$A,MATCH($A91,Journal!$B:$B,0)),"")</f>
        <v>46363</v>
      </c>
      <c r="F91" s="151" t="str">
        <f t="shared" ca="1" si="2"/>
        <v>Pending</v>
      </c>
    </row>
    <row r="92" spans="1:6" ht="15" customHeight="1" x14ac:dyDescent="0.35">
      <c r="A92" s="151" t="s">
        <v>707</v>
      </c>
      <c r="B92" s="200" t="s">
        <v>820</v>
      </c>
      <c r="C92" s="151"/>
      <c r="D92" s="151"/>
      <c r="E92" s="202">
        <f>IFERROR(INDEX(Journal!$A:$A,MATCH($A92,Journal!$B:$B,0)),"")</f>
        <v>46363</v>
      </c>
      <c r="F92" s="151" t="str">
        <f t="shared" ca="1" si="2"/>
        <v>Pending</v>
      </c>
    </row>
    <row r="93" spans="1:6" ht="34.5" customHeight="1" x14ac:dyDescent="0.35">
      <c r="A93" s="151" t="s">
        <v>707</v>
      </c>
      <c r="B93" s="200" t="s">
        <v>821</v>
      </c>
      <c r="C93" s="151"/>
      <c r="D93" s="151"/>
      <c r="E93" s="202">
        <f>IFERROR(INDEX(Journal!$A:$A,MATCH($A93,Journal!$B:$B,0)),"")</f>
        <v>46363</v>
      </c>
      <c r="F93" s="151" t="str">
        <f t="shared" ca="1" si="2"/>
        <v>Pending</v>
      </c>
    </row>
    <row r="94" spans="1:6" ht="34.5" customHeight="1" x14ac:dyDescent="0.35">
      <c r="A94" s="151" t="s">
        <v>707</v>
      </c>
      <c r="B94" s="200" t="s">
        <v>823</v>
      </c>
      <c r="C94" s="151"/>
      <c r="D94" s="151"/>
      <c r="E94" s="202">
        <f>IFERROR(INDEX(Journal!$A:$A,MATCH($A94,Journal!$B:$B,0)),"")</f>
        <v>46363</v>
      </c>
      <c r="F94" s="151" t="str">
        <f t="shared" ca="1" si="2"/>
        <v>Pending</v>
      </c>
    </row>
    <row r="95" spans="1:6" ht="34.5" customHeight="1" x14ac:dyDescent="0.35">
      <c r="A95" s="151" t="s">
        <v>707</v>
      </c>
      <c r="B95" s="200" t="s">
        <v>824</v>
      </c>
      <c r="C95" s="151"/>
      <c r="D95" s="151"/>
      <c r="E95" s="202">
        <f>IFERROR(INDEX(Journal!$A:$A,MATCH($A95,Journal!$B:$B,0)),"")</f>
        <v>46363</v>
      </c>
      <c r="F95" s="151" t="str">
        <f t="shared" ca="1" si="2"/>
        <v>Pending</v>
      </c>
    </row>
    <row r="96" spans="1:6" ht="15" customHeight="1" x14ac:dyDescent="0.35">
      <c r="A96" s="151" t="s">
        <v>707</v>
      </c>
      <c r="B96" s="200" t="s">
        <v>822</v>
      </c>
      <c r="C96" s="151"/>
      <c r="D96" s="151"/>
      <c r="E96" s="202">
        <f>IFERROR(INDEX(Journal!$A:$A,MATCH($A96,Journal!$B:$B,0)),"")</f>
        <v>46363</v>
      </c>
      <c r="F96" s="151" t="str">
        <f t="shared" ca="1" si="2"/>
        <v>Pending</v>
      </c>
    </row>
    <row r="97" spans="1:6" ht="15" customHeight="1" x14ac:dyDescent="0.35">
      <c r="A97" s="151" t="s">
        <v>707</v>
      </c>
      <c r="B97" s="200" t="s">
        <v>808</v>
      </c>
      <c r="C97" s="151"/>
      <c r="D97" s="151"/>
      <c r="E97" s="202">
        <f>IFERROR(INDEX(Journal!$A:$A,MATCH($A97,Journal!$B:$B,0)),"")</f>
        <v>46363</v>
      </c>
      <c r="F97" s="151" t="str">
        <f t="shared" ca="1" si="2"/>
        <v>Pending</v>
      </c>
    </row>
    <row r="98" spans="1:6" ht="15" customHeight="1" x14ac:dyDescent="0.35">
      <c r="A98" s="151" t="s">
        <v>707</v>
      </c>
      <c r="B98" s="200" t="s">
        <v>809</v>
      </c>
      <c r="C98" s="151"/>
      <c r="D98" s="151"/>
      <c r="E98" s="202">
        <f>IFERROR(INDEX(Journal!$A:$A,MATCH($A98,Journal!$B:$B,0)),"")</f>
        <v>46363</v>
      </c>
      <c r="F98" s="151" t="str">
        <f t="shared" ca="1" si="2"/>
        <v>Pending</v>
      </c>
    </row>
    <row r="99" spans="1:6" ht="15" customHeight="1" x14ac:dyDescent="0.35">
      <c r="A99" s="151" t="s">
        <v>707</v>
      </c>
      <c r="B99" s="200" t="s">
        <v>810</v>
      </c>
      <c r="C99" s="151"/>
      <c r="D99" s="151"/>
      <c r="E99" s="202">
        <f>IFERROR(INDEX(Journal!$A:$A,MATCH($A99,Journal!$B:$B,0)),"")</f>
        <v>46363</v>
      </c>
      <c r="F99" s="151" t="str">
        <f t="shared" ca="1" si="2"/>
        <v>Pending</v>
      </c>
    </row>
    <row r="100" spans="1:6" ht="15" customHeight="1" x14ac:dyDescent="0.35">
      <c r="A100" s="151" t="s">
        <v>708</v>
      </c>
      <c r="B100" s="200" t="s">
        <v>817</v>
      </c>
      <c r="C100" s="151"/>
      <c r="D100" s="151"/>
      <c r="E100" s="202">
        <f>IFERROR(INDEX(Journal!$A:$A,MATCH($A100,Journal!$B:$B,0)),"")</f>
        <v>46378</v>
      </c>
      <c r="F100" s="151" t="str">
        <f t="shared" ca="1" si="2"/>
        <v>Pending</v>
      </c>
    </row>
    <row r="101" spans="1:6" ht="15" customHeight="1" x14ac:dyDescent="0.35">
      <c r="A101" s="151" t="s">
        <v>708</v>
      </c>
      <c r="B101" s="200" t="s">
        <v>818</v>
      </c>
      <c r="C101" s="151"/>
      <c r="D101" s="151"/>
      <c r="E101" s="202">
        <f>IFERROR(INDEX(Journal!$A:$A,MATCH($A101,Journal!$B:$B,0)),"")</f>
        <v>46378</v>
      </c>
      <c r="F101" s="151" t="str">
        <f t="shared" ref="F101:F132" ca="1" si="3">IF(C101="Y","Done",IF(AND(E101&lt;&gt;"",TODAY()&gt;E101),"OVERDUE","Pending"))</f>
        <v>Pending</v>
      </c>
    </row>
    <row r="102" spans="1:6" ht="45.75" customHeight="1" x14ac:dyDescent="0.35">
      <c r="A102" s="151" t="s">
        <v>708</v>
      </c>
      <c r="B102" s="200" t="s">
        <v>819</v>
      </c>
      <c r="C102" s="151"/>
      <c r="D102" s="151"/>
      <c r="E102" s="202">
        <f>IFERROR(INDEX(Journal!$A:$A,MATCH($A102,Journal!$B:$B,0)),"")</f>
        <v>46378</v>
      </c>
      <c r="F102" s="151" t="str">
        <f t="shared" ca="1" si="3"/>
        <v>Pending</v>
      </c>
    </row>
    <row r="103" spans="1:6" ht="15" customHeight="1" x14ac:dyDescent="0.35">
      <c r="A103" s="151" t="s">
        <v>708</v>
      </c>
      <c r="B103" s="200" t="s">
        <v>820</v>
      </c>
      <c r="C103" s="151"/>
      <c r="D103" s="151"/>
      <c r="E103" s="202">
        <f>IFERROR(INDEX(Journal!$A:$A,MATCH($A103,Journal!$B:$B,0)),"")</f>
        <v>46378</v>
      </c>
      <c r="F103" s="151" t="str">
        <f t="shared" ca="1" si="3"/>
        <v>Pending</v>
      </c>
    </row>
    <row r="104" spans="1:6" ht="34.5" customHeight="1" x14ac:dyDescent="0.35">
      <c r="A104" s="151" t="s">
        <v>708</v>
      </c>
      <c r="B104" s="200" t="s">
        <v>821</v>
      </c>
      <c r="C104" s="151"/>
      <c r="D104" s="151"/>
      <c r="E104" s="202">
        <f>IFERROR(INDEX(Journal!$A:$A,MATCH($A104,Journal!$B:$B,0)),"")</f>
        <v>46378</v>
      </c>
      <c r="F104" s="151" t="str">
        <f t="shared" ca="1" si="3"/>
        <v>Pending</v>
      </c>
    </row>
    <row r="105" spans="1:6" ht="34.5" customHeight="1" x14ac:dyDescent="0.35">
      <c r="A105" s="151" t="s">
        <v>708</v>
      </c>
      <c r="B105" s="200" t="s">
        <v>823</v>
      </c>
      <c r="C105" s="151"/>
      <c r="D105" s="151"/>
      <c r="E105" s="202">
        <f>IFERROR(INDEX(Journal!$A:$A,MATCH($A105,Journal!$B:$B,0)),"")</f>
        <v>46378</v>
      </c>
      <c r="F105" s="151" t="str">
        <f t="shared" ca="1" si="3"/>
        <v>Pending</v>
      </c>
    </row>
    <row r="106" spans="1:6" ht="34.5" customHeight="1" x14ac:dyDescent="0.35">
      <c r="A106" s="151" t="s">
        <v>708</v>
      </c>
      <c r="B106" s="200" t="s">
        <v>824</v>
      </c>
      <c r="C106" s="151"/>
      <c r="D106" s="151"/>
      <c r="E106" s="202">
        <f>IFERROR(INDEX(Journal!$A:$A,MATCH($A106,Journal!$B:$B,0)),"")</f>
        <v>46378</v>
      </c>
      <c r="F106" s="151" t="str">
        <f t="shared" ca="1" si="3"/>
        <v>Pending</v>
      </c>
    </row>
    <row r="107" spans="1:6" ht="15" customHeight="1" x14ac:dyDescent="0.35">
      <c r="A107" s="151" t="s">
        <v>708</v>
      </c>
      <c r="B107" s="200" t="s">
        <v>822</v>
      </c>
      <c r="C107" s="151"/>
      <c r="D107" s="151"/>
      <c r="E107" s="202">
        <f>IFERROR(INDEX(Journal!$A:$A,MATCH($A107,Journal!$B:$B,0)),"")</f>
        <v>46378</v>
      </c>
      <c r="F107" s="151" t="str">
        <f t="shared" ca="1" si="3"/>
        <v>Pending</v>
      </c>
    </row>
    <row r="108" spans="1:6" ht="15" customHeight="1" x14ac:dyDescent="0.35">
      <c r="A108" s="151" t="s">
        <v>708</v>
      </c>
      <c r="B108" s="200" t="s">
        <v>808</v>
      </c>
      <c r="C108" s="151"/>
      <c r="D108" s="151"/>
      <c r="E108" s="202">
        <f>IFERROR(INDEX(Journal!$A:$A,MATCH($A108,Journal!$B:$B,0)),"")</f>
        <v>46378</v>
      </c>
      <c r="F108" s="151" t="str">
        <f t="shared" ca="1" si="3"/>
        <v>Pending</v>
      </c>
    </row>
    <row r="109" spans="1:6" ht="15" customHeight="1" x14ac:dyDescent="0.35">
      <c r="A109" s="151" t="s">
        <v>708</v>
      </c>
      <c r="B109" s="200" t="s">
        <v>809</v>
      </c>
      <c r="C109" s="151"/>
      <c r="D109" s="151"/>
      <c r="E109" s="202">
        <f>IFERROR(INDEX(Journal!$A:$A,MATCH($A109,Journal!$B:$B,0)),"")</f>
        <v>46378</v>
      </c>
      <c r="F109" s="151" t="str">
        <f t="shared" ca="1" si="3"/>
        <v>Pending</v>
      </c>
    </row>
    <row r="110" spans="1:6" ht="15" customHeight="1" x14ac:dyDescent="0.35">
      <c r="A110" s="151" t="s">
        <v>708</v>
      </c>
      <c r="B110" s="200" t="s">
        <v>810</v>
      </c>
      <c r="C110" s="151"/>
      <c r="D110" s="151"/>
      <c r="E110" s="202">
        <f>IFERROR(INDEX(Journal!$A:$A,MATCH($A110,Journal!$B:$B,0)),"")</f>
        <v>46378</v>
      </c>
      <c r="F110" s="151" t="str">
        <f t="shared" ca="1" si="3"/>
        <v>Pending</v>
      </c>
    </row>
    <row r="111" spans="1:6" ht="15" customHeight="1" x14ac:dyDescent="0.35">
      <c r="A111" s="151" t="s">
        <v>709</v>
      </c>
      <c r="B111" s="200" t="s">
        <v>817</v>
      </c>
      <c r="C111" s="151"/>
      <c r="D111" s="151"/>
      <c r="E111" s="202">
        <f>IFERROR(INDEX(Journal!$A:$A,MATCH($A111,Journal!$B:$B,0)),"")</f>
        <v>46394</v>
      </c>
      <c r="F111" s="151" t="str">
        <f t="shared" ca="1" si="3"/>
        <v>Pending</v>
      </c>
    </row>
    <row r="112" spans="1:6" ht="15" customHeight="1" x14ac:dyDescent="0.35">
      <c r="A112" s="151" t="s">
        <v>709</v>
      </c>
      <c r="B112" s="200" t="s">
        <v>818</v>
      </c>
      <c r="C112" s="151"/>
      <c r="D112" s="151"/>
      <c r="E112" s="202">
        <f>IFERROR(INDEX(Journal!$A:$A,MATCH($A112,Journal!$B:$B,0)),"")</f>
        <v>46394</v>
      </c>
      <c r="F112" s="151" t="str">
        <f t="shared" ca="1" si="3"/>
        <v>Pending</v>
      </c>
    </row>
    <row r="113" spans="1:6" ht="45.75" customHeight="1" x14ac:dyDescent="0.35">
      <c r="A113" s="151" t="s">
        <v>709</v>
      </c>
      <c r="B113" s="200" t="s">
        <v>819</v>
      </c>
      <c r="C113" s="151"/>
      <c r="D113" s="151"/>
      <c r="E113" s="202">
        <f>IFERROR(INDEX(Journal!$A:$A,MATCH($A113,Journal!$B:$B,0)),"")</f>
        <v>46394</v>
      </c>
      <c r="F113" s="151" t="str">
        <f t="shared" ca="1" si="3"/>
        <v>Pending</v>
      </c>
    </row>
    <row r="114" spans="1:6" ht="15" customHeight="1" x14ac:dyDescent="0.35">
      <c r="A114" s="151" t="s">
        <v>709</v>
      </c>
      <c r="B114" s="200" t="s">
        <v>820</v>
      </c>
      <c r="C114" s="151"/>
      <c r="D114" s="151"/>
      <c r="E114" s="202">
        <f>IFERROR(INDEX(Journal!$A:$A,MATCH($A114,Journal!$B:$B,0)),"")</f>
        <v>46394</v>
      </c>
      <c r="F114" s="151" t="str">
        <f t="shared" ca="1" si="3"/>
        <v>Pending</v>
      </c>
    </row>
    <row r="115" spans="1:6" ht="34.5" customHeight="1" x14ac:dyDescent="0.35">
      <c r="A115" s="151" t="s">
        <v>709</v>
      </c>
      <c r="B115" s="200" t="s">
        <v>821</v>
      </c>
      <c r="C115" s="151"/>
      <c r="D115" s="151"/>
      <c r="E115" s="202">
        <f>IFERROR(INDEX(Journal!$A:$A,MATCH($A115,Journal!$B:$B,0)),"")</f>
        <v>46394</v>
      </c>
      <c r="F115" s="151" t="str">
        <f t="shared" ca="1" si="3"/>
        <v>Pending</v>
      </c>
    </row>
    <row r="116" spans="1:6" ht="34.5" customHeight="1" x14ac:dyDescent="0.35">
      <c r="A116" s="151" t="s">
        <v>709</v>
      </c>
      <c r="B116" s="200" t="s">
        <v>823</v>
      </c>
      <c r="C116" s="151"/>
      <c r="D116" s="151"/>
      <c r="E116" s="202">
        <f>IFERROR(INDEX(Journal!$A:$A,MATCH($A116,Journal!$B:$B,0)),"")</f>
        <v>46394</v>
      </c>
      <c r="F116" s="151" t="str">
        <f t="shared" ca="1" si="3"/>
        <v>Pending</v>
      </c>
    </row>
    <row r="117" spans="1:6" ht="34.5" customHeight="1" x14ac:dyDescent="0.35">
      <c r="A117" s="151" t="s">
        <v>709</v>
      </c>
      <c r="B117" s="200" t="s">
        <v>824</v>
      </c>
      <c r="C117" s="151"/>
      <c r="D117" s="151"/>
      <c r="E117" s="202">
        <f>IFERROR(INDEX(Journal!$A:$A,MATCH($A117,Journal!$B:$B,0)),"")</f>
        <v>46394</v>
      </c>
      <c r="F117" s="151" t="str">
        <f t="shared" ca="1" si="3"/>
        <v>Pending</v>
      </c>
    </row>
    <row r="118" spans="1:6" ht="15" customHeight="1" x14ac:dyDescent="0.35">
      <c r="A118" s="151" t="s">
        <v>709</v>
      </c>
      <c r="B118" s="200" t="s">
        <v>822</v>
      </c>
      <c r="C118" s="151"/>
      <c r="D118" s="151"/>
      <c r="E118" s="202">
        <f>IFERROR(INDEX(Journal!$A:$A,MATCH($A118,Journal!$B:$B,0)),"")</f>
        <v>46394</v>
      </c>
      <c r="F118" s="151" t="str">
        <f t="shared" ca="1" si="3"/>
        <v>Pending</v>
      </c>
    </row>
    <row r="119" spans="1:6" ht="15" customHeight="1" x14ac:dyDescent="0.35">
      <c r="A119" s="151" t="s">
        <v>709</v>
      </c>
      <c r="B119" s="200" t="s">
        <v>808</v>
      </c>
      <c r="C119" s="151"/>
      <c r="D119" s="151"/>
      <c r="E119" s="202">
        <f>IFERROR(INDEX(Journal!$A:$A,MATCH($A119,Journal!$B:$B,0)),"")</f>
        <v>46394</v>
      </c>
      <c r="F119" s="151" t="str">
        <f t="shared" ca="1" si="3"/>
        <v>Pending</v>
      </c>
    </row>
    <row r="120" spans="1:6" ht="15" customHeight="1" x14ac:dyDescent="0.35">
      <c r="A120" s="151" t="s">
        <v>709</v>
      </c>
      <c r="B120" s="200" t="s">
        <v>809</v>
      </c>
      <c r="C120" s="151"/>
      <c r="D120" s="151"/>
      <c r="E120" s="202">
        <f>IFERROR(INDEX(Journal!$A:$A,MATCH($A120,Journal!$B:$B,0)),"")</f>
        <v>46394</v>
      </c>
      <c r="F120" s="151" t="str">
        <f t="shared" ca="1" si="3"/>
        <v>Pending</v>
      </c>
    </row>
    <row r="121" spans="1:6" ht="15" customHeight="1" x14ac:dyDescent="0.35">
      <c r="A121" s="151" t="s">
        <v>709</v>
      </c>
      <c r="B121" s="200" t="s">
        <v>810</v>
      </c>
      <c r="C121" s="151"/>
      <c r="D121" s="151"/>
      <c r="E121" s="202">
        <f>IFERROR(INDEX(Journal!$A:$A,MATCH($A121,Journal!$B:$B,0)),"")</f>
        <v>46394</v>
      </c>
      <c r="F121" s="151" t="str">
        <f t="shared" ca="1" si="3"/>
        <v>Pending</v>
      </c>
    </row>
  </sheetData>
  <mergeCells count="1">
    <mergeCell ref="A1:F1"/>
  </mergeCells>
  <conditionalFormatting sqref="C2">
    <cfRule type="cellIs" dxfId="45" priority="4" operator="greaterThan">
      <formula>0</formula>
    </cfRule>
  </conditionalFormatting>
  <conditionalFormatting sqref="F5:F121">
    <cfRule type="cellIs" dxfId="44" priority="2" operator="equal">
      <formula>"OVERDUE"</formula>
    </cfRule>
    <cfRule type="cellIs" dxfId="43" priority="3" operator="equal">
      <formula>"Done"</formula>
    </cfRule>
  </conditionalFormatting>
  <pageMargins left="0.25" right="0.25" top="0.3" bottom="0.4" header="0.511811023622047" footer="0.17013888888888901"/>
  <pageSetup orientation="portrait" horizontalDpi="300" verticalDpi="300"/>
  <headerFooter>
    <oddFooter>&amp;L&amp;"Arial Narrow,Regular"&amp;8 &amp;F&amp;C&amp;"Arial Narrow,Regular"&amp;8 &amp;A - &amp;D &amp;T&amp;R&amp;"Arial,Regular" &amp;P / &amp;N</oddFooter>
  </headerFooter>
  <legacyDrawing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05"/>
  <sheetViews>
    <sheetView showGridLines="0" zoomScaleNormal="100" workbookViewId="0">
      <pane xSplit="1" ySplit="4" topLeftCell="B5" activePane="bottomRight" state="frozen"/>
      <selection pane="topRight" activeCell="B1" sqref="B1"/>
      <selection pane="bottomLeft" activeCell="A5" sqref="A5"/>
      <selection pane="bottomRight" activeCell="E2" sqref="E2"/>
    </sheetView>
  </sheetViews>
  <sheetFormatPr defaultColWidth="8.6328125" defaultRowHeight="14" x14ac:dyDescent="0.3"/>
  <cols>
    <col min="1" max="1" width="5" style="203" customWidth="1"/>
    <col min="2" max="2" width="80" style="28" customWidth="1"/>
    <col min="3" max="3" width="9" style="28" customWidth="1"/>
    <col min="4" max="4" width="12" style="28" customWidth="1"/>
    <col min="5" max="5" width="16.81640625" style="203" customWidth="1"/>
    <col min="6" max="6" width="75.81640625" style="204" customWidth="1"/>
    <col min="7" max="16384" width="8.6328125" style="28"/>
  </cols>
  <sheetData>
    <row r="1" spans="1:6" ht="23.25" customHeight="1" x14ac:dyDescent="0.3">
      <c r="A1" s="239" t="s">
        <v>825</v>
      </c>
      <c r="B1" s="239"/>
      <c r="C1" s="239"/>
      <c r="D1" s="239"/>
      <c r="E1" s="239"/>
      <c r="F1" s="239"/>
    </row>
    <row r="2" spans="1:6" ht="13.5" customHeight="1" x14ac:dyDescent="0.3">
      <c r="A2" s="205" t="s">
        <v>826</v>
      </c>
      <c r="B2" s="206"/>
      <c r="C2" s="207">
        <f>SUMPRODUCT(($A$5:$A$200&lt;&gt;"")*($C$5:$C$200&lt;&gt;"Y"))</f>
        <v>24</v>
      </c>
      <c r="D2" s="206"/>
      <c r="F2" s="208"/>
    </row>
    <row r="3" spans="1:6" ht="13.5" customHeight="1" x14ac:dyDescent="0.3">
      <c r="A3" s="206"/>
      <c r="B3" s="206"/>
      <c r="C3" s="206"/>
      <c r="D3" s="206"/>
      <c r="F3" s="208"/>
    </row>
    <row r="4" spans="1:6" ht="33.75" customHeight="1" x14ac:dyDescent="0.3">
      <c r="A4" s="147" t="s">
        <v>827</v>
      </c>
      <c r="B4" s="147" t="s">
        <v>828</v>
      </c>
      <c r="C4" s="147" t="s">
        <v>800</v>
      </c>
      <c r="D4" s="147" t="s">
        <v>829</v>
      </c>
      <c r="E4" s="147" t="s">
        <v>830</v>
      </c>
      <c r="F4" s="147" t="s">
        <v>210</v>
      </c>
    </row>
    <row r="5" spans="1:6" ht="27.75" customHeight="1" x14ac:dyDescent="0.3">
      <c r="A5" s="209">
        <v>1</v>
      </c>
      <c r="B5" s="210" t="s">
        <v>831</v>
      </c>
      <c r="C5" s="209" t="s">
        <v>213</v>
      </c>
      <c r="D5" s="211">
        <v>46276</v>
      </c>
      <c r="E5" s="211">
        <v>46276</v>
      </c>
      <c r="F5" s="210" t="s">
        <v>832</v>
      </c>
    </row>
    <row r="6" spans="1:6" ht="27.75" customHeight="1" x14ac:dyDescent="0.3">
      <c r="A6" s="209">
        <v>2</v>
      </c>
      <c r="B6" s="210" t="s">
        <v>833</v>
      </c>
      <c r="C6" s="209" t="s">
        <v>213</v>
      </c>
      <c r="D6" s="211">
        <v>46276</v>
      </c>
      <c r="E6" s="211">
        <v>46276</v>
      </c>
      <c r="F6" s="210" t="s">
        <v>834</v>
      </c>
    </row>
    <row r="7" spans="1:6" ht="27.75" customHeight="1" x14ac:dyDescent="0.3">
      <c r="A7" s="209">
        <v>3</v>
      </c>
      <c r="B7" s="210" t="s">
        <v>835</v>
      </c>
      <c r="C7" s="209" t="s">
        <v>213</v>
      </c>
      <c r="D7" s="211">
        <v>46260</v>
      </c>
      <c r="E7" s="211">
        <v>46278</v>
      </c>
      <c r="F7" s="210" t="s">
        <v>836</v>
      </c>
    </row>
    <row r="8" spans="1:6" ht="27.75" customHeight="1" x14ac:dyDescent="0.3">
      <c r="A8" s="209">
        <v>4</v>
      </c>
      <c r="B8" s="210" t="s">
        <v>837</v>
      </c>
      <c r="C8" s="209"/>
      <c r="D8" s="211">
        <v>46273</v>
      </c>
      <c r="E8" s="211"/>
      <c r="F8" s="210"/>
    </row>
    <row r="9" spans="1:6" ht="27.75" customHeight="1" x14ac:dyDescent="0.3">
      <c r="A9" s="209">
        <v>5</v>
      </c>
      <c r="B9" s="210" t="s">
        <v>838</v>
      </c>
      <c r="C9" s="209"/>
      <c r="D9" s="211">
        <v>46273</v>
      </c>
      <c r="E9" s="211"/>
      <c r="F9" s="210"/>
    </row>
    <row r="10" spans="1:6" ht="27.75" customHeight="1" x14ac:dyDescent="0.3">
      <c r="A10" s="209">
        <v>6</v>
      </c>
      <c r="B10" s="210" t="s">
        <v>839</v>
      </c>
      <c r="C10" s="209"/>
      <c r="D10" s="211">
        <v>46273</v>
      </c>
      <c r="E10" s="211"/>
      <c r="F10" s="210"/>
    </row>
    <row r="11" spans="1:6" ht="27.75" customHeight="1" x14ac:dyDescent="0.3">
      <c r="A11" s="209">
        <v>7</v>
      </c>
      <c r="B11" s="210" t="s">
        <v>840</v>
      </c>
      <c r="C11" s="209" t="s">
        <v>213</v>
      </c>
      <c r="D11" s="211">
        <v>46258</v>
      </c>
      <c r="E11" s="211">
        <v>46278</v>
      </c>
      <c r="F11" s="210" t="s">
        <v>841</v>
      </c>
    </row>
    <row r="12" spans="1:6" ht="27.75" customHeight="1" x14ac:dyDescent="0.3">
      <c r="A12" s="209">
        <v>8</v>
      </c>
      <c r="B12" s="210" t="s">
        <v>842</v>
      </c>
      <c r="C12" s="209"/>
      <c r="D12" s="211">
        <v>46252</v>
      </c>
      <c r="E12" s="211"/>
      <c r="F12" s="210"/>
    </row>
    <row r="13" spans="1:6" ht="42" customHeight="1" x14ac:dyDescent="0.3">
      <c r="A13" s="209">
        <v>9</v>
      </c>
      <c r="B13" s="210" t="s">
        <v>843</v>
      </c>
      <c r="C13" s="209"/>
      <c r="D13" s="211">
        <v>46276</v>
      </c>
      <c r="E13" s="211"/>
      <c r="F13" s="210" t="s">
        <v>844</v>
      </c>
    </row>
    <row r="14" spans="1:6" ht="27.75" customHeight="1" x14ac:dyDescent="0.3">
      <c r="A14" s="209">
        <v>10</v>
      </c>
      <c r="B14" s="210" t="s">
        <v>845</v>
      </c>
      <c r="C14" s="209"/>
      <c r="D14" s="211">
        <v>46260</v>
      </c>
      <c r="E14" s="211"/>
      <c r="F14" s="210"/>
    </row>
    <row r="15" spans="1:6" ht="55.5" customHeight="1" x14ac:dyDescent="0.3">
      <c r="A15" s="209">
        <v>11</v>
      </c>
      <c r="B15" s="210" t="s">
        <v>846</v>
      </c>
      <c r="C15" s="209"/>
      <c r="D15" s="211">
        <v>46276</v>
      </c>
      <c r="E15" s="209"/>
      <c r="F15" s="210" t="s">
        <v>847</v>
      </c>
    </row>
    <row r="16" spans="1:6" ht="45" customHeight="1" x14ac:dyDescent="0.3">
      <c r="A16" s="209">
        <v>12</v>
      </c>
      <c r="B16" s="210" t="s">
        <v>848</v>
      </c>
      <c r="C16" s="212" t="s">
        <v>213</v>
      </c>
      <c r="D16" s="213">
        <v>46278</v>
      </c>
      <c r="E16" s="214">
        <v>46278</v>
      </c>
      <c r="F16" s="215" t="s">
        <v>849</v>
      </c>
    </row>
    <row r="17" spans="1:6" ht="55.5" customHeight="1" x14ac:dyDescent="0.3">
      <c r="A17" s="209">
        <v>13</v>
      </c>
      <c r="B17" s="210" t="s">
        <v>850</v>
      </c>
      <c r="C17" s="212"/>
      <c r="D17" s="213">
        <v>46294</v>
      </c>
      <c r="E17" s="216"/>
      <c r="F17" s="215"/>
    </row>
    <row r="18" spans="1:6" ht="105" customHeight="1" x14ac:dyDescent="0.3">
      <c r="A18" s="209">
        <v>14</v>
      </c>
      <c r="B18" s="210" t="s">
        <v>851</v>
      </c>
      <c r="C18" s="212"/>
      <c r="D18" s="213">
        <v>46295</v>
      </c>
      <c r="E18" s="216"/>
      <c r="F18" s="215" t="s">
        <v>852</v>
      </c>
    </row>
    <row r="19" spans="1:6" ht="42" customHeight="1" x14ac:dyDescent="0.3">
      <c r="A19" s="209">
        <v>15</v>
      </c>
      <c r="B19" s="210" t="s">
        <v>853</v>
      </c>
      <c r="C19" s="212"/>
      <c r="D19" s="213">
        <v>46295</v>
      </c>
      <c r="E19" s="216"/>
      <c r="F19" s="215" t="s">
        <v>854</v>
      </c>
    </row>
    <row r="20" spans="1:6" ht="27.75" customHeight="1" x14ac:dyDescent="0.3">
      <c r="A20" s="209">
        <v>16</v>
      </c>
      <c r="B20" s="210" t="s">
        <v>855</v>
      </c>
      <c r="C20" s="212"/>
      <c r="D20" s="213">
        <v>46295</v>
      </c>
      <c r="E20" s="216"/>
      <c r="F20" s="215" t="s">
        <v>856</v>
      </c>
    </row>
    <row r="21" spans="1:6" ht="55.5" customHeight="1" x14ac:dyDescent="0.3">
      <c r="A21" s="209">
        <v>17</v>
      </c>
      <c r="B21" s="210" t="s">
        <v>857</v>
      </c>
      <c r="C21" s="212"/>
      <c r="D21" s="213">
        <v>46296</v>
      </c>
      <c r="E21" s="216"/>
      <c r="F21" s="215" t="s">
        <v>858</v>
      </c>
    </row>
    <row r="22" spans="1:6" ht="69.75" customHeight="1" x14ac:dyDescent="0.3">
      <c r="A22" s="209">
        <v>18</v>
      </c>
      <c r="B22" s="210" t="s">
        <v>859</v>
      </c>
      <c r="C22" s="212"/>
      <c r="D22" s="213">
        <v>46296</v>
      </c>
      <c r="E22" s="216"/>
      <c r="F22" s="215" t="s">
        <v>860</v>
      </c>
    </row>
    <row r="23" spans="1:6" ht="75" customHeight="1" x14ac:dyDescent="0.3">
      <c r="A23" s="209">
        <v>19</v>
      </c>
      <c r="B23" s="210" t="s">
        <v>861</v>
      </c>
      <c r="C23" s="212"/>
      <c r="D23" s="213">
        <v>46297</v>
      </c>
      <c r="E23" s="216"/>
      <c r="F23" s="215" t="s">
        <v>862</v>
      </c>
    </row>
    <row r="24" spans="1:6" ht="325.5" customHeight="1" x14ac:dyDescent="0.3">
      <c r="A24" s="209">
        <v>20</v>
      </c>
      <c r="B24" s="210" t="s">
        <v>863</v>
      </c>
      <c r="C24" s="212"/>
      <c r="D24" s="213">
        <v>46297</v>
      </c>
      <c r="E24" s="216"/>
      <c r="F24" s="215" t="s">
        <v>864</v>
      </c>
    </row>
    <row r="25" spans="1:6" ht="60" customHeight="1" x14ac:dyDescent="0.3">
      <c r="A25" s="209">
        <v>21</v>
      </c>
      <c r="B25" s="210" t="s">
        <v>865</v>
      </c>
      <c r="C25" s="212"/>
      <c r="D25" s="213">
        <v>46297</v>
      </c>
      <c r="E25" s="216"/>
      <c r="F25" s="215" t="s">
        <v>866</v>
      </c>
    </row>
    <row r="26" spans="1:6" ht="55.5" customHeight="1" x14ac:dyDescent="0.3">
      <c r="A26" s="209">
        <v>22</v>
      </c>
      <c r="B26" s="210" t="s">
        <v>867</v>
      </c>
      <c r="C26" s="212"/>
      <c r="D26" s="213">
        <v>46297</v>
      </c>
      <c r="E26" s="216"/>
      <c r="F26" s="215" t="s">
        <v>868</v>
      </c>
    </row>
    <row r="27" spans="1:6" ht="42" customHeight="1" x14ac:dyDescent="0.3">
      <c r="A27" s="209">
        <v>23</v>
      </c>
      <c r="B27" s="210" t="s">
        <v>869</v>
      </c>
      <c r="C27" s="212"/>
      <c r="D27" s="213">
        <v>46297</v>
      </c>
      <c r="E27" s="216"/>
      <c r="F27" s="215" t="s">
        <v>870</v>
      </c>
    </row>
    <row r="28" spans="1:6" ht="60" customHeight="1" x14ac:dyDescent="0.3">
      <c r="A28" s="209">
        <v>24</v>
      </c>
      <c r="B28" s="210" t="s">
        <v>871</v>
      </c>
      <c r="C28" s="212"/>
      <c r="D28" s="213">
        <v>46297</v>
      </c>
      <c r="E28" s="216"/>
      <c r="F28" s="215" t="s">
        <v>872</v>
      </c>
    </row>
    <row r="29" spans="1:6" ht="55.5" customHeight="1" x14ac:dyDescent="0.3">
      <c r="A29" s="209">
        <v>25</v>
      </c>
      <c r="B29" s="210" t="s">
        <v>873</v>
      </c>
      <c r="C29" s="212"/>
      <c r="D29" s="213">
        <v>46299</v>
      </c>
      <c r="E29" s="216"/>
      <c r="F29" s="215" t="s">
        <v>874</v>
      </c>
    </row>
    <row r="30" spans="1:6" ht="30" customHeight="1" x14ac:dyDescent="0.3">
      <c r="A30" s="209">
        <v>26</v>
      </c>
      <c r="B30" s="210" t="s">
        <v>875</v>
      </c>
      <c r="C30" s="212"/>
      <c r="D30" s="213">
        <v>46299</v>
      </c>
      <c r="E30" s="216"/>
      <c r="F30" s="215" t="s">
        <v>876</v>
      </c>
    </row>
    <row r="31" spans="1:6" ht="42" customHeight="1" x14ac:dyDescent="0.3">
      <c r="A31" s="209">
        <v>27</v>
      </c>
      <c r="B31" s="210" t="s">
        <v>877</v>
      </c>
      <c r="C31" s="212"/>
      <c r="D31" s="213">
        <v>46299</v>
      </c>
      <c r="E31" s="216"/>
      <c r="F31" s="215" t="s">
        <v>878</v>
      </c>
    </row>
    <row r="32" spans="1:6" ht="69.75" customHeight="1" x14ac:dyDescent="0.3">
      <c r="A32" s="209">
        <v>28</v>
      </c>
      <c r="B32" s="210" t="s">
        <v>879</v>
      </c>
      <c r="C32" s="212" t="s">
        <v>213</v>
      </c>
      <c r="D32" s="213">
        <v>46299</v>
      </c>
      <c r="E32" s="211">
        <v>46299</v>
      </c>
      <c r="F32" s="215" t="s">
        <v>880</v>
      </c>
    </row>
    <row r="33" spans="1:6" ht="181.5" customHeight="1" x14ac:dyDescent="0.3">
      <c r="A33" s="209">
        <v>29</v>
      </c>
      <c r="B33" s="210" t="s">
        <v>881</v>
      </c>
      <c r="C33" s="212" t="s">
        <v>213</v>
      </c>
      <c r="D33" s="213">
        <v>46299</v>
      </c>
      <c r="E33" s="211">
        <v>46299</v>
      </c>
      <c r="F33" s="215" t="s">
        <v>882</v>
      </c>
    </row>
    <row r="34" spans="1:6" ht="64.5" customHeight="1" x14ac:dyDescent="0.3">
      <c r="A34" s="209">
        <v>30</v>
      </c>
      <c r="B34" s="210" t="s">
        <v>883</v>
      </c>
      <c r="C34" s="212"/>
      <c r="D34" s="213">
        <v>46299</v>
      </c>
      <c r="E34" s="211"/>
      <c r="F34" s="215" t="s">
        <v>884</v>
      </c>
    </row>
    <row r="35" spans="1:6" ht="150" customHeight="1" x14ac:dyDescent="0.3">
      <c r="A35" s="209">
        <v>31</v>
      </c>
      <c r="B35" s="210" t="s">
        <v>885</v>
      </c>
      <c r="C35" s="212" t="s">
        <v>213</v>
      </c>
      <c r="D35" s="213">
        <v>46300</v>
      </c>
      <c r="E35" s="211">
        <v>46300</v>
      </c>
      <c r="F35" s="215" t="s">
        <v>886</v>
      </c>
    </row>
    <row r="36" spans="1:6" ht="94.5" customHeight="1" x14ac:dyDescent="0.3">
      <c r="A36" s="209">
        <v>32</v>
      </c>
      <c r="B36" s="210" t="s">
        <v>887</v>
      </c>
      <c r="C36" s="212"/>
      <c r="D36" s="213">
        <v>46300</v>
      </c>
      <c r="E36" s="211"/>
      <c r="F36" s="215" t="s">
        <v>888</v>
      </c>
    </row>
    <row r="37" spans="1:6" ht="13.5" customHeight="1" x14ac:dyDescent="0.3">
      <c r="A37" s="216"/>
      <c r="B37" s="212"/>
      <c r="C37" s="212"/>
      <c r="D37" s="212"/>
      <c r="E37" s="216"/>
      <c r="F37" s="215"/>
    </row>
    <row r="38" spans="1:6" ht="13.5" customHeight="1" x14ac:dyDescent="0.3">
      <c r="A38" s="216"/>
      <c r="B38" s="212"/>
      <c r="C38" s="212"/>
      <c r="D38" s="212"/>
      <c r="E38" s="216"/>
      <c r="F38" s="215"/>
    </row>
    <row r="39" spans="1:6" ht="13.5" customHeight="1" x14ac:dyDescent="0.3">
      <c r="A39" s="216"/>
      <c r="B39" s="212"/>
      <c r="C39" s="212"/>
      <c r="D39" s="212"/>
      <c r="E39" s="216"/>
      <c r="F39" s="215"/>
    </row>
    <row r="40" spans="1:6" ht="13.5" customHeight="1" x14ac:dyDescent="0.3">
      <c r="A40" s="216"/>
      <c r="B40" s="212"/>
      <c r="C40" s="212"/>
      <c r="D40" s="212"/>
      <c r="E40" s="216"/>
      <c r="F40" s="215"/>
    </row>
    <row r="41" spans="1:6" ht="13.5" customHeight="1" x14ac:dyDescent="0.3">
      <c r="A41" s="216"/>
      <c r="B41" s="212"/>
      <c r="C41" s="212"/>
      <c r="D41" s="212"/>
      <c r="E41" s="216"/>
      <c r="F41" s="215"/>
    </row>
    <row r="42" spans="1:6" ht="13.5" customHeight="1" x14ac:dyDescent="0.3">
      <c r="A42" s="216"/>
      <c r="B42" s="212"/>
      <c r="C42" s="212"/>
      <c r="D42" s="212"/>
      <c r="E42" s="216"/>
      <c r="F42" s="215"/>
    </row>
    <row r="43" spans="1:6" ht="13.5" customHeight="1" x14ac:dyDescent="0.3">
      <c r="A43" s="216"/>
      <c r="B43" s="212"/>
      <c r="C43" s="212"/>
      <c r="D43" s="212"/>
      <c r="E43" s="216"/>
      <c r="F43" s="215"/>
    </row>
    <row r="44" spans="1:6" ht="13.5" customHeight="1" x14ac:dyDescent="0.3">
      <c r="A44" s="216"/>
      <c r="B44" s="212"/>
      <c r="C44" s="212"/>
      <c r="D44" s="212"/>
      <c r="E44" s="216"/>
      <c r="F44" s="215"/>
    </row>
    <row r="45" spans="1:6" ht="13.5" customHeight="1" x14ac:dyDescent="0.3">
      <c r="A45" s="216"/>
      <c r="B45" s="212"/>
      <c r="C45" s="212"/>
      <c r="D45" s="212"/>
      <c r="E45" s="216"/>
      <c r="F45" s="215"/>
    </row>
    <row r="46" spans="1:6" ht="13.5" customHeight="1" x14ac:dyDescent="0.3">
      <c r="A46" s="216"/>
      <c r="B46" s="212"/>
      <c r="C46" s="212"/>
      <c r="D46" s="212"/>
      <c r="E46" s="216"/>
      <c r="F46" s="215"/>
    </row>
    <row r="47" spans="1:6" ht="13.5" customHeight="1" x14ac:dyDescent="0.3">
      <c r="A47" s="216"/>
      <c r="B47" s="212"/>
      <c r="C47" s="212"/>
      <c r="D47" s="212"/>
      <c r="E47" s="216"/>
      <c r="F47" s="215"/>
    </row>
    <row r="48" spans="1:6" ht="13.5" customHeight="1" x14ac:dyDescent="0.3">
      <c r="A48" s="216"/>
      <c r="B48" s="212"/>
      <c r="C48" s="212"/>
      <c r="D48" s="212"/>
      <c r="E48" s="216"/>
      <c r="F48" s="215"/>
    </row>
    <row r="49" spans="1:6" ht="13.5" customHeight="1" x14ac:dyDescent="0.3">
      <c r="A49" s="216"/>
      <c r="B49" s="212"/>
      <c r="C49" s="212"/>
      <c r="D49" s="212"/>
      <c r="E49" s="216"/>
      <c r="F49" s="215"/>
    </row>
    <row r="50" spans="1:6" ht="13.5" customHeight="1" x14ac:dyDescent="0.3">
      <c r="A50" s="216"/>
      <c r="B50" s="212"/>
      <c r="C50" s="212"/>
      <c r="D50" s="212"/>
      <c r="E50" s="216"/>
      <c r="F50" s="215"/>
    </row>
    <row r="51" spans="1:6" ht="13.5" customHeight="1" x14ac:dyDescent="0.3">
      <c r="A51" s="216"/>
      <c r="B51" s="212"/>
      <c r="C51" s="212"/>
      <c r="D51" s="212"/>
      <c r="E51" s="216"/>
      <c r="F51" s="215"/>
    </row>
    <row r="52" spans="1:6" ht="13.5" customHeight="1" x14ac:dyDescent="0.3">
      <c r="A52" s="216"/>
      <c r="B52" s="212"/>
      <c r="C52" s="212"/>
      <c r="D52" s="212"/>
      <c r="E52" s="216"/>
      <c r="F52" s="215"/>
    </row>
    <row r="53" spans="1:6" ht="13.5" customHeight="1" x14ac:dyDescent="0.3">
      <c r="A53" s="216"/>
      <c r="B53" s="212"/>
      <c r="C53" s="212"/>
      <c r="D53" s="212"/>
      <c r="E53" s="216"/>
      <c r="F53" s="215"/>
    </row>
    <row r="54" spans="1:6" ht="13.5" customHeight="1" x14ac:dyDescent="0.3">
      <c r="A54" s="216"/>
      <c r="B54" s="212"/>
      <c r="C54" s="212"/>
      <c r="D54" s="212"/>
      <c r="E54" s="216"/>
      <c r="F54" s="215"/>
    </row>
    <row r="55" spans="1:6" ht="13.5" customHeight="1" x14ac:dyDescent="0.3">
      <c r="A55" s="216"/>
      <c r="B55" s="212"/>
      <c r="C55" s="212"/>
      <c r="D55" s="212"/>
      <c r="E55" s="216"/>
      <c r="F55" s="215"/>
    </row>
    <row r="56" spans="1:6" ht="13.5" customHeight="1" x14ac:dyDescent="0.3">
      <c r="A56" s="216"/>
      <c r="B56" s="212"/>
      <c r="C56" s="212"/>
      <c r="D56" s="212"/>
      <c r="E56" s="216"/>
      <c r="F56" s="215"/>
    </row>
    <row r="57" spans="1:6" ht="13.5" customHeight="1" x14ac:dyDescent="0.3">
      <c r="A57" s="216"/>
      <c r="B57" s="212"/>
      <c r="C57" s="212"/>
      <c r="D57" s="212"/>
      <c r="E57" s="216"/>
      <c r="F57" s="215"/>
    </row>
    <row r="58" spans="1:6" ht="13.5" customHeight="1" x14ac:dyDescent="0.3">
      <c r="A58" s="216"/>
      <c r="B58" s="212"/>
      <c r="C58" s="212"/>
      <c r="D58" s="212"/>
      <c r="E58" s="216"/>
      <c r="F58" s="215"/>
    </row>
    <row r="59" spans="1:6" ht="13.5" customHeight="1" x14ac:dyDescent="0.3">
      <c r="A59" s="216"/>
      <c r="B59" s="212"/>
      <c r="C59" s="212"/>
      <c r="D59" s="212"/>
      <c r="E59" s="216"/>
      <c r="F59" s="215"/>
    </row>
    <row r="60" spans="1:6" ht="13.5" customHeight="1" x14ac:dyDescent="0.3">
      <c r="A60" s="216"/>
      <c r="B60" s="212"/>
      <c r="C60" s="212"/>
      <c r="D60" s="212"/>
      <c r="E60" s="216"/>
      <c r="F60" s="215"/>
    </row>
    <row r="61" spans="1:6" ht="13.5" customHeight="1" x14ac:dyDescent="0.3">
      <c r="A61" s="216"/>
      <c r="B61" s="212"/>
      <c r="C61" s="212"/>
      <c r="D61" s="212"/>
      <c r="E61" s="216"/>
      <c r="F61" s="215"/>
    </row>
    <row r="62" spans="1:6" ht="13.5" customHeight="1" x14ac:dyDescent="0.3">
      <c r="A62" s="216"/>
      <c r="B62" s="212"/>
      <c r="C62" s="212"/>
      <c r="D62" s="212"/>
      <c r="E62" s="216"/>
      <c r="F62" s="215"/>
    </row>
    <row r="63" spans="1:6" ht="13.5" customHeight="1" x14ac:dyDescent="0.3">
      <c r="A63" s="216"/>
      <c r="B63" s="212"/>
      <c r="C63" s="212"/>
      <c r="D63" s="212"/>
      <c r="E63" s="216"/>
      <c r="F63" s="215"/>
    </row>
    <row r="64" spans="1:6" ht="13.5" customHeight="1" x14ac:dyDescent="0.3">
      <c r="A64" s="216"/>
      <c r="B64" s="212"/>
      <c r="C64" s="212"/>
      <c r="D64" s="212"/>
      <c r="E64" s="216"/>
      <c r="F64" s="215"/>
    </row>
    <row r="65" spans="1:6" ht="13.5" customHeight="1" x14ac:dyDescent="0.3">
      <c r="A65" s="216"/>
      <c r="B65" s="212"/>
      <c r="C65" s="212"/>
      <c r="D65" s="212"/>
      <c r="E65" s="216"/>
      <c r="F65" s="215"/>
    </row>
    <row r="66" spans="1:6" ht="13.5" customHeight="1" x14ac:dyDescent="0.3">
      <c r="A66" s="216"/>
      <c r="B66" s="212"/>
      <c r="C66" s="212"/>
      <c r="D66" s="212"/>
      <c r="E66" s="216"/>
      <c r="F66" s="215"/>
    </row>
    <row r="67" spans="1:6" ht="13.5" customHeight="1" x14ac:dyDescent="0.3">
      <c r="A67" s="216"/>
      <c r="B67" s="212"/>
      <c r="C67" s="212"/>
      <c r="D67" s="212"/>
      <c r="E67" s="216"/>
      <c r="F67" s="215"/>
    </row>
    <row r="68" spans="1:6" ht="13.5" customHeight="1" x14ac:dyDescent="0.3">
      <c r="A68" s="216"/>
      <c r="B68" s="212"/>
      <c r="C68" s="212"/>
      <c r="D68" s="212"/>
      <c r="E68" s="216"/>
      <c r="F68" s="215"/>
    </row>
    <row r="69" spans="1:6" ht="13.5" customHeight="1" x14ac:dyDescent="0.3">
      <c r="A69" s="216"/>
      <c r="B69" s="212"/>
      <c r="C69" s="212"/>
      <c r="D69" s="212"/>
      <c r="E69" s="216"/>
      <c r="F69" s="215"/>
    </row>
    <row r="70" spans="1:6" ht="13.5" customHeight="1" x14ac:dyDescent="0.3">
      <c r="A70" s="216"/>
      <c r="B70" s="212"/>
      <c r="C70" s="212"/>
      <c r="D70" s="212"/>
      <c r="E70" s="216"/>
      <c r="F70" s="215"/>
    </row>
    <row r="71" spans="1:6" ht="13.5" customHeight="1" x14ac:dyDescent="0.3">
      <c r="A71" s="216"/>
      <c r="B71" s="212"/>
      <c r="C71" s="212"/>
      <c r="D71" s="212"/>
      <c r="E71" s="216"/>
      <c r="F71" s="215"/>
    </row>
    <row r="72" spans="1:6" ht="13.5" customHeight="1" x14ac:dyDescent="0.3">
      <c r="A72" s="216"/>
      <c r="B72" s="212"/>
      <c r="C72" s="212"/>
      <c r="D72" s="212"/>
      <c r="E72" s="216"/>
      <c r="F72" s="215"/>
    </row>
    <row r="73" spans="1:6" ht="13.5" customHeight="1" x14ac:dyDescent="0.3">
      <c r="A73" s="216"/>
      <c r="B73" s="212"/>
      <c r="C73" s="212"/>
      <c r="D73" s="212"/>
      <c r="E73" s="216"/>
      <c r="F73" s="215"/>
    </row>
    <row r="74" spans="1:6" ht="13.5" customHeight="1" x14ac:dyDescent="0.3">
      <c r="A74" s="216"/>
      <c r="B74" s="212"/>
      <c r="C74" s="212"/>
      <c r="D74" s="212"/>
      <c r="E74" s="216"/>
      <c r="F74" s="215"/>
    </row>
    <row r="75" spans="1:6" ht="13.5" customHeight="1" x14ac:dyDescent="0.3">
      <c r="A75" s="216"/>
      <c r="B75" s="212"/>
      <c r="C75" s="212"/>
      <c r="D75" s="212"/>
      <c r="E75" s="216"/>
      <c r="F75" s="215"/>
    </row>
    <row r="76" spans="1:6" ht="13.5" customHeight="1" x14ac:dyDescent="0.3">
      <c r="A76" s="216"/>
      <c r="B76" s="212"/>
      <c r="C76" s="212"/>
      <c r="D76" s="212"/>
      <c r="E76" s="216"/>
      <c r="F76" s="215"/>
    </row>
    <row r="77" spans="1:6" ht="13.5" customHeight="1" x14ac:dyDescent="0.3">
      <c r="A77" s="216"/>
      <c r="B77" s="212"/>
      <c r="C77" s="212"/>
      <c r="D77" s="212"/>
      <c r="E77" s="216"/>
      <c r="F77" s="215"/>
    </row>
    <row r="78" spans="1:6" ht="13.5" customHeight="1" x14ac:dyDescent="0.3">
      <c r="A78" s="216"/>
      <c r="B78" s="212"/>
      <c r="C78" s="212"/>
      <c r="D78" s="212"/>
      <c r="E78" s="216"/>
      <c r="F78" s="215"/>
    </row>
    <row r="79" spans="1:6" ht="13.5" customHeight="1" x14ac:dyDescent="0.3">
      <c r="A79" s="216"/>
      <c r="B79" s="212"/>
      <c r="C79" s="212"/>
      <c r="D79" s="212"/>
      <c r="E79" s="216"/>
      <c r="F79" s="215"/>
    </row>
    <row r="80" spans="1:6" ht="13.5" customHeight="1" x14ac:dyDescent="0.3">
      <c r="A80" s="216"/>
      <c r="B80" s="212"/>
      <c r="C80" s="212"/>
      <c r="D80" s="212"/>
      <c r="E80" s="216"/>
      <c r="F80" s="215"/>
    </row>
    <row r="81" spans="1:6" ht="13.5" customHeight="1" x14ac:dyDescent="0.3">
      <c r="A81" s="216"/>
      <c r="B81" s="212"/>
      <c r="C81" s="212"/>
      <c r="D81" s="212"/>
      <c r="E81" s="216"/>
      <c r="F81" s="215"/>
    </row>
    <row r="82" spans="1:6" ht="13.5" customHeight="1" x14ac:dyDescent="0.3">
      <c r="A82" s="216"/>
      <c r="B82" s="212"/>
      <c r="C82" s="212"/>
      <c r="D82" s="212"/>
      <c r="E82" s="216"/>
      <c r="F82" s="215"/>
    </row>
    <row r="83" spans="1:6" ht="13.5" customHeight="1" x14ac:dyDescent="0.3">
      <c r="A83" s="216"/>
      <c r="B83" s="212"/>
      <c r="C83" s="212"/>
      <c r="D83" s="212"/>
      <c r="E83" s="216"/>
      <c r="F83" s="215"/>
    </row>
    <row r="84" spans="1:6" ht="13.5" customHeight="1" x14ac:dyDescent="0.3">
      <c r="A84" s="216"/>
      <c r="B84" s="212"/>
      <c r="C84" s="212"/>
      <c r="D84" s="212"/>
      <c r="E84" s="216"/>
      <c r="F84" s="215"/>
    </row>
    <row r="85" spans="1:6" ht="13.5" customHeight="1" x14ac:dyDescent="0.3">
      <c r="A85" s="216"/>
      <c r="B85" s="212"/>
      <c r="C85" s="212"/>
      <c r="D85" s="212"/>
      <c r="E85" s="216"/>
      <c r="F85" s="215"/>
    </row>
    <row r="86" spans="1:6" ht="13.5" customHeight="1" x14ac:dyDescent="0.3">
      <c r="A86" s="216"/>
      <c r="B86" s="212"/>
      <c r="C86" s="212"/>
      <c r="D86" s="212"/>
      <c r="E86" s="216"/>
      <c r="F86" s="215"/>
    </row>
    <row r="87" spans="1:6" ht="13.5" customHeight="1" x14ac:dyDescent="0.3">
      <c r="A87" s="216"/>
      <c r="B87" s="212"/>
      <c r="C87" s="212"/>
      <c r="D87" s="212"/>
      <c r="E87" s="216"/>
      <c r="F87" s="215"/>
    </row>
    <row r="88" spans="1:6" ht="13.5" customHeight="1" x14ac:dyDescent="0.3">
      <c r="A88" s="216"/>
      <c r="B88" s="212"/>
      <c r="C88" s="212"/>
      <c r="D88" s="212"/>
      <c r="E88" s="216"/>
      <c r="F88" s="215"/>
    </row>
    <row r="89" spans="1:6" ht="13.5" customHeight="1" x14ac:dyDescent="0.3">
      <c r="A89" s="216"/>
      <c r="B89" s="212"/>
      <c r="C89" s="212"/>
      <c r="D89" s="212"/>
      <c r="E89" s="216"/>
      <c r="F89" s="215"/>
    </row>
    <row r="90" spans="1:6" ht="13.5" customHeight="1" x14ac:dyDescent="0.3">
      <c r="A90" s="216"/>
      <c r="B90" s="212"/>
      <c r="C90" s="212"/>
      <c r="D90" s="212"/>
      <c r="E90" s="216"/>
      <c r="F90" s="215"/>
    </row>
    <row r="91" spans="1:6" ht="13.5" customHeight="1" x14ac:dyDescent="0.3">
      <c r="A91" s="216"/>
      <c r="B91" s="212"/>
      <c r="C91" s="212"/>
      <c r="D91" s="212"/>
      <c r="E91" s="216"/>
      <c r="F91" s="215"/>
    </row>
    <row r="92" spans="1:6" ht="13.5" customHeight="1" x14ac:dyDescent="0.3">
      <c r="A92" s="216"/>
      <c r="B92" s="212"/>
      <c r="C92" s="212"/>
      <c r="D92" s="212"/>
      <c r="E92" s="216"/>
      <c r="F92" s="215"/>
    </row>
    <row r="93" spans="1:6" ht="13.5" customHeight="1" x14ac:dyDescent="0.3">
      <c r="A93" s="216"/>
      <c r="B93" s="212"/>
      <c r="C93" s="212"/>
      <c r="D93" s="212"/>
      <c r="E93" s="216"/>
      <c r="F93" s="215"/>
    </row>
    <row r="94" spans="1:6" ht="13.5" customHeight="1" x14ac:dyDescent="0.3">
      <c r="A94" s="216"/>
      <c r="B94" s="212"/>
      <c r="C94" s="212"/>
      <c r="D94" s="212"/>
      <c r="E94" s="216"/>
      <c r="F94" s="215"/>
    </row>
    <row r="95" spans="1:6" ht="13.5" customHeight="1" x14ac:dyDescent="0.3">
      <c r="A95" s="216"/>
      <c r="B95" s="212"/>
      <c r="C95" s="212"/>
      <c r="D95" s="212"/>
      <c r="E95" s="216"/>
      <c r="F95" s="215"/>
    </row>
    <row r="96" spans="1:6" ht="13.5" customHeight="1" x14ac:dyDescent="0.3">
      <c r="A96" s="216"/>
      <c r="B96" s="212"/>
      <c r="C96" s="212"/>
      <c r="D96" s="212"/>
      <c r="E96" s="216"/>
      <c r="F96" s="215"/>
    </row>
    <row r="97" spans="1:6" ht="13.5" customHeight="1" x14ac:dyDescent="0.3">
      <c r="A97" s="216"/>
      <c r="B97" s="212"/>
      <c r="C97" s="212"/>
      <c r="D97" s="212"/>
      <c r="E97" s="216"/>
      <c r="F97" s="215"/>
    </row>
    <row r="98" spans="1:6" ht="13.5" customHeight="1" x14ac:dyDescent="0.3">
      <c r="A98" s="216"/>
      <c r="B98" s="212"/>
      <c r="C98" s="212"/>
      <c r="D98" s="212"/>
      <c r="E98" s="216"/>
      <c r="F98" s="215"/>
    </row>
    <row r="99" spans="1:6" ht="13.5" customHeight="1" x14ac:dyDescent="0.3">
      <c r="A99" s="216"/>
      <c r="B99" s="212"/>
      <c r="C99" s="212"/>
      <c r="D99" s="212"/>
      <c r="E99" s="216"/>
      <c r="F99" s="215"/>
    </row>
    <row r="100" spans="1:6" ht="13.5" customHeight="1" x14ac:dyDescent="0.3">
      <c r="A100" s="216"/>
      <c r="B100" s="212"/>
      <c r="C100" s="212"/>
      <c r="D100" s="212"/>
      <c r="E100" s="216"/>
      <c r="F100" s="215"/>
    </row>
    <row r="101" spans="1:6" ht="13.5" customHeight="1" x14ac:dyDescent="0.3">
      <c r="A101" s="216"/>
      <c r="B101" s="212"/>
      <c r="C101" s="212"/>
      <c r="D101" s="212"/>
      <c r="E101" s="216"/>
      <c r="F101" s="215"/>
    </row>
    <row r="102" spans="1:6" ht="13.5" customHeight="1" x14ac:dyDescent="0.3">
      <c r="A102" s="216"/>
      <c r="B102" s="212"/>
      <c r="C102" s="212"/>
      <c r="D102" s="212"/>
      <c r="E102" s="216"/>
      <c r="F102" s="215"/>
    </row>
    <row r="103" spans="1:6" ht="13.5" customHeight="1" x14ac:dyDescent="0.3">
      <c r="A103" s="216"/>
      <c r="B103" s="212"/>
      <c r="C103" s="212"/>
      <c r="D103" s="212"/>
      <c r="E103" s="216"/>
      <c r="F103" s="215"/>
    </row>
    <row r="104" spans="1:6" ht="13.5" customHeight="1" x14ac:dyDescent="0.3">
      <c r="A104" s="216"/>
      <c r="B104" s="212"/>
      <c r="C104" s="212"/>
      <c r="D104" s="212"/>
      <c r="E104" s="216"/>
      <c r="F104" s="215"/>
    </row>
    <row r="105" spans="1:6" ht="13.5" customHeight="1" x14ac:dyDescent="0.3">
      <c r="A105" s="216"/>
      <c r="B105" s="212"/>
      <c r="C105" s="212"/>
      <c r="D105" s="212"/>
      <c r="E105" s="216"/>
      <c r="F105" s="215"/>
    </row>
    <row r="106" spans="1:6" ht="13.5" customHeight="1" x14ac:dyDescent="0.3">
      <c r="A106" s="216"/>
      <c r="B106" s="212"/>
      <c r="C106" s="212"/>
      <c r="D106" s="212"/>
      <c r="E106" s="216"/>
      <c r="F106" s="215"/>
    </row>
    <row r="107" spans="1:6" ht="13.5" customHeight="1" x14ac:dyDescent="0.3">
      <c r="A107" s="216"/>
      <c r="B107" s="212"/>
      <c r="C107" s="212"/>
      <c r="D107" s="212"/>
      <c r="E107" s="216"/>
      <c r="F107" s="215"/>
    </row>
    <row r="108" spans="1:6" ht="13.5" customHeight="1" x14ac:dyDescent="0.3">
      <c r="A108" s="216"/>
      <c r="B108" s="212"/>
      <c r="C108" s="212"/>
      <c r="D108" s="212"/>
      <c r="E108" s="216"/>
      <c r="F108" s="215"/>
    </row>
    <row r="109" spans="1:6" ht="13.5" customHeight="1" x14ac:dyDescent="0.3">
      <c r="A109" s="216"/>
      <c r="B109" s="212"/>
      <c r="C109" s="212"/>
      <c r="D109" s="212"/>
      <c r="E109" s="216"/>
      <c r="F109" s="215"/>
    </row>
    <row r="110" spans="1:6" ht="13.5" customHeight="1" x14ac:dyDescent="0.3">
      <c r="A110" s="216"/>
      <c r="B110" s="212"/>
      <c r="C110" s="212"/>
      <c r="D110" s="212"/>
      <c r="E110" s="216"/>
      <c r="F110" s="215"/>
    </row>
    <row r="111" spans="1:6" ht="13.5" customHeight="1" x14ac:dyDescent="0.3">
      <c r="A111" s="216"/>
      <c r="B111" s="212"/>
      <c r="C111" s="212"/>
      <c r="D111" s="212"/>
      <c r="E111" s="216"/>
      <c r="F111" s="215"/>
    </row>
    <row r="112" spans="1:6" ht="13.5" customHeight="1" x14ac:dyDescent="0.3">
      <c r="A112" s="216"/>
      <c r="B112" s="212"/>
      <c r="C112" s="212"/>
      <c r="D112" s="212"/>
      <c r="E112" s="216"/>
      <c r="F112" s="215"/>
    </row>
    <row r="113" spans="1:6" ht="13.5" customHeight="1" x14ac:dyDescent="0.3">
      <c r="A113" s="216"/>
      <c r="B113" s="212"/>
      <c r="C113" s="212"/>
      <c r="D113" s="212"/>
      <c r="E113" s="216"/>
      <c r="F113" s="215"/>
    </row>
    <row r="114" spans="1:6" ht="13.5" customHeight="1" x14ac:dyDescent="0.3">
      <c r="A114" s="216"/>
      <c r="B114" s="212"/>
      <c r="C114" s="212"/>
      <c r="D114" s="212"/>
      <c r="E114" s="216"/>
      <c r="F114" s="215"/>
    </row>
    <row r="115" spans="1:6" ht="13.5" customHeight="1" x14ac:dyDescent="0.3">
      <c r="A115" s="216"/>
      <c r="B115" s="212"/>
      <c r="C115" s="212"/>
      <c r="D115" s="212"/>
      <c r="E115" s="216"/>
      <c r="F115" s="215"/>
    </row>
    <row r="116" spans="1:6" ht="13.5" customHeight="1" x14ac:dyDescent="0.3">
      <c r="A116" s="216"/>
      <c r="B116" s="212"/>
      <c r="C116" s="212"/>
      <c r="D116" s="212"/>
      <c r="E116" s="216"/>
      <c r="F116" s="215"/>
    </row>
    <row r="117" spans="1:6" ht="13.5" customHeight="1" x14ac:dyDescent="0.3">
      <c r="A117" s="216"/>
      <c r="B117" s="212"/>
      <c r="C117" s="212"/>
      <c r="D117" s="212"/>
      <c r="E117" s="216"/>
      <c r="F117" s="215"/>
    </row>
    <row r="118" spans="1:6" ht="13.5" customHeight="1" x14ac:dyDescent="0.3">
      <c r="A118" s="216"/>
      <c r="B118" s="212"/>
      <c r="C118" s="212"/>
      <c r="D118" s="212"/>
      <c r="E118" s="216"/>
      <c r="F118" s="215"/>
    </row>
    <row r="119" spans="1:6" ht="13.5" customHeight="1" x14ac:dyDescent="0.3">
      <c r="A119" s="216"/>
      <c r="B119" s="212"/>
      <c r="C119" s="212"/>
      <c r="D119" s="212"/>
      <c r="E119" s="216"/>
      <c r="F119" s="215"/>
    </row>
    <row r="120" spans="1:6" ht="13.5" customHeight="1" x14ac:dyDescent="0.3">
      <c r="A120" s="216"/>
      <c r="B120" s="212"/>
      <c r="C120" s="212"/>
      <c r="D120" s="212"/>
      <c r="E120" s="216"/>
      <c r="F120" s="215"/>
    </row>
    <row r="121" spans="1:6" ht="13.5" customHeight="1" x14ac:dyDescent="0.3">
      <c r="A121" s="216"/>
      <c r="B121" s="212"/>
      <c r="C121" s="212"/>
      <c r="D121" s="212"/>
      <c r="E121" s="216"/>
      <c r="F121" s="215"/>
    </row>
    <row r="122" spans="1:6" ht="13.5" customHeight="1" x14ac:dyDescent="0.3">
      <c r="A122" s="216"/>
      <c r="B122" s="212"/>
      <c r="C122" s="212"/>
      <c r="D122" s="212"/>
      <c r="E122" s="216"/>
      <c r="F122" s="215"/>
    </row>
    <row r="123" spans="1:6" ht="13.5" customHeight="1" x14ac:dyDescent="0.3">
      <c r="A123" s="216"/>
      <c r="B123" s="212"/>
      <c r="C123" s="212"/>
      <c r="D123" s="212"/>
      <c r="E123" s="216"/>
      <c r="F123" s="215"/>
    </row>
    <row r="124" spans="1:6" ht="13.5" customHeight="1" x14ac:dyDescent="0.3">
      <c r="A124" s="216"/>
      <c r="B124" s="212"/>
      <c r="C124" s="212"/>
      <c r="D124" s="212"/>
      <c r="E124" s="216"/>
      <c r="F124" s="215"/>
    </row>
    <row r="125" spans="1:6" ht="13.5" customHeight="1" x14ac:dyDescent="0.3">
      <c r="A125" s="216"/>
      <c r="B125" s="212"/>
      <c r="C125" s="212"/>
      <c r="D125" s="212"/>
      <c r="E125" s="216"/>
      <c r="F125" s="215"/>
    </row>
    <row r="126" spans="1:6" ht="13.5" customHeight="1" x14ac:dyDescent="0.3">
      <c r="A126" s="216"/>
      <c r="B126" s="212"/>
      <c r="C126" s="212"/>
      <c r="D126" s="212"/>
      <c r="E126" s="216"/>
      <c r="F126" s="215"/>
    </row>
    <row r="127" spans="1:6" ht="13.5" customHeight="1" x14ac:dyDescent="0.3">
      <c r="A127" s="216"/>
      <c r="B127" s="212"/>
      <c r="C127" s="212"/>
      <c r="D127" s="212"/>
      <c r="E127" s="216"/>
      <c r="F127" s="215"/>
    </row>
    <row r="128" spans="1:6" ht="13.5" customHeight="1" x14ac:dyDescent="0.3">
      <c r="A128" s="216"/>
      <c r="B128" s="212"/>
      <c r="C128" s="212"/>
      <c r="D128" s="212"/>
      <c r="E128" s="216"/>
      <c r="F128" s="215"/>
    </row>
    <row r="129" spans="1:6" ht="13.5" customHeight="1" x14ac:dyDescent="0.3">
      <c r="A129" s="216"/>
      <c r="B129" s="212"/>
      <c r="C129" s="212"/>
      <c r="D129" s="212"/>
      <c r="E129" s="216"/>
      <c r="F129" s="215"/>
    </row>
    <row r="130" spans="1:6" ht="13.5" customHeight="1" x14ac:dyDescent="0.3">
      <c r="A130" s="216"/>
      <c r="B130" s="212"/>
      <c r="C130" s="212"/>
      <c r="D130" s="212"/>
      <c r="E130" s="216"/>
      <c r="F130" s="215"/>
    </row>
    <row r="131" spans="1:6" ht="13.5" customHeight="1" x14ac:dyDescent="0.3">
      <c r="A131" s="216"/>
      <c r="B131" s="212"/>
      <c r="C131" s="212"/>
      <c r="D131" s="212"/>
      <c r="E131" s="216"/>
      <c r="F131" s="215"/>
    </row>
    <row r="132" spans="1:6" ht="13.5" customHeight="1" x14ac:dyDescent="0.3">
      <c r="A132" s="216"/>
      <c r="B132" s="212"/>
      <c r="C132" s="212"/>
      <c r="D132" s="212"/>
      <c r="E132" s="216"/>
      <c r="F132" s="215"/>
    </row>
    <row r="133" spans="1:6" ht="13.5" customHeight="1" x14ac:dyDescent="0.3">
      <c r="A133" s="216"/>
      <c r="B133" s="212"/>
      <c r="C133" s="212"/>
      <c r="D133" s="212"/>
      <c r="E133" s="216"/>
      <c r="F133" s="215"/>
    </row>
    <row r="134" spans="1:6" ht="13.5" customHeight="1" x14ac:dyDescent="0.3">
      <c r="A134" s="216"/>
      <c r="B134" s="212"/>
      <c r="C134" s="212"/>
      <c r="D134" s="212"/>
      <c r="E134" s="216"/>
      <c r="F134" s="215"/>
    </row>
    <row r="135" spans="1:6" ht="13.5" customHeight="1" x14ac:dyDescent="0.3">
      <c r="A135" s="216"/>
      <c r="B135" s="212"/>
      <c r="C135" s="212"/>
      <c r="D135" s="212"/>
      <c r="E135" s="216"/>
      <c r="F135" s="215"/>
    </row>
    <row r="136" spans="1:6" ht="13.5" customHeight="1" x14ac:dyDescent="0.3">
      <c r="A136" s="216"/>
      <c r="B136" s="212"/>
      <c r="C136" s="212"/>
      <c r="D136" s="212"/>
      <c r="E136" s="216"/>
      <c r="F136" s="215"/>
    </row>
    <row r="137" spans="1:6" ht="13.5" customHeight="1" x14ac:dyDescent="0.3">
      <c r="A137" s="216"/>
      <c r="B137" s="212"/>
      <c r="C137" s="212"/>
      <c r="D137" s="212"/>
      <c r="E137" s="216"/>
      <c r="F137" s="215"/>
    </row>
    <row r="138" spans="1:6" ht="13.5" customHeight="1" x14ac:dyDescent="0.3">
      <c r="A138" s="216"/>
      <c r="B138" s="212"/>
      <c r="C138" s="212"/>
      <c r="D138" s="212"/>
      <c r="E138" s="216"/>
      <c r="F138" s="215"/>
    </row>
    <row r="139" spans="1:6" ht="13.5" customHeight="1" x14ac:dyDescent="0.3">
      <c r="A139" s="216"/>
      <c r="B139" s="212"/>
      <c r="C139" s="212"/>
      <c r="D139" s="212"/>
      <c r="E139" s="216"/>
      <c r="F139" s="215"/>
    </row>
    <row r="140" spans="1:6" ht="13.5" customHeight="1" x14ac:dyDescent="0.3">
      <c r="A140" s="216"/>
      <c r="B140" s="212"/>
      <c r="C140" s="212"/>
      <c r="D140" s="212"/>
      <c r="E140" s="216"/>
      <c r="F140" s="215"/>
    </row>
    <row r="141" spans="1:6" ht="13.5" customHeight="1" x14ac:dyDescent="0.3">
      <c r="A141" s="216"/>
      <c r="B141" s="212"/>
      <c r="C141" s="212"/>
      <c r="D141" s="212"/>
      <c r="E141" s="216"/>
      <c r="F141" s="215"/>
    </row>
    <row r="142" spans="1:6" ht="13.5" customHeight="1" x14ac:dyDescent="0.3">
      <c r="A142" s="216"/>
      <c r="B142" s="212"/>
      <c r="C142" s="212"/>
      <c r="D142" s="212"/>
      <c r="E142" s="216"/>
      <c r="F142" s="215"/>
    </row>
    <row r="143" spans="1:6" ht="13.5" customHeight="1" x14ac:dyDescent="0.3">
      <c r="A143" s="216"/>
      <c r="B143" s="212"/>
      <c r="C143" s="212"/>
      <c r="D143" s="212"/>
      <c r="E143" s="216"/>
      <c r="F143" s="215"/>
    </row>
    <row r="144" spans="1:6" ht="13.5" customHeight="1" x14ac:dyDescent="0.3">
      <c r="A144" s="216"/>
      <c r="B144" s="212"/>
      <c r="C144" s="212"/>
      <c r="D144" s="212"/>
      <c r="E144" s="216"/>
      <c r="F144" s="215"/>
    </row>
    <row r="145" spans="1:6" ht="13.5" customHeight="1" x14ac:dyDescent="0.3">
      <c r="A145" s="216"/>
      <c r="B145" s="212"/>
      <c r="C145" s="212"/>
      <c r="D145" s="212"/>
      <c r="E145" s="216"/>
      <c r="F145" s="215"/>
    </row>
    <row r="146" spans="1:6" ht="13.5" customHeight="1" x14ac:dyDescent="0.3">
      <c r="A146" s="216"/>
      <c r="B146" s="212"/>
      <c r="C146" s="212"/>
      <c r="D146" s="212"/>
      <c r="E146" s="216"/>
      <c r="F146" s="215"/>
    </row>
    <row r="147" spans="1:6" ht="13.5" customHeight="1" x14ac:dyDescent="0.3">
      <c r="A147" s="216"/>
      <c r="B147" s="212"/>
      <c r="C147" s="212"/>
      <c r="D147" s="212"/>
      <c r="E147" s="216"/>
      <c r="F147" s="215"/>
    </row>
    <row r="148" spans="1:6" ht="13.5" customHeight="1" x14ac:dyDescent="0.3">
      <c r="A148" s="216"/>
      <c r="B148" s="212"/>
      <c r="C148" s="212"/>
      <c r="D148" s="212"/>
      <c r="E148" s="216"/>
      <c r="F148" s="215"/>
    </row>
    <row r="149" spans="1:6" ht="13.5" customHeight="1" x14ac:dyDescent="0.3">
      <c r="A149" s="216"/>
      <c r="B149" s="212"/>
      <c r="C149" s="212"/>
      <c r="D149" s="212"/>
      <c r="E149" s="216"/>
      <c r="F149" s="215"/>
    </row>
    <row r="150" spans="1:6" ht="13.5" customHeight="1" x14ac:dyDescent="0.3">
      <c r="A150" s="216"/>
      <c r="B150" s="212"/>
      <c r="C150" s="212"/>
      <c r="D150" s="212"/>
      <c r="E150" s="216"/>
      <c r="F150" s="215"/>
    </row>
    <row r="151" spans="1:6" ht="13.5" customHeight="1" x14ac:dyDescent="0.3">
      <c r="A151" s="216"/>
      <c r="B151" s="212"/>
      <c r="C151" s="212"/>
      <c r="D151" s="212"/>
      <c r="E151" s="216"/>
      <c r="F151" s="215"/>
    </row>
    <row r="152" spans="1:6" ht="13.5" customHeight="1" x14ac:dyDescent="0.3">
      <c r="A152" s="216"/>
      <c r="B152" s="212"/>
      <c r="C152" s="212"/>
      <c r="D152" s="212"/>
      <c r="E152" s="216"/>
      <c r="F152" s="215"/>
    </row>
    <row r="153" spans="1:6" ht="13.5" customHeight="1" x14ac:dyDescent="0.3">
      <c r="A153" s="216"/>
      <c r="B153" s="212"/>
      <c r="C153" s="212"/>
      <c r="D153" s="212"/>
      <c r="E153" s="216"/>
      <c r="F153" s="215"/>
    </row>
    <row r="154" spans="1:6" ht="13.5" customHeight="1" x14ac:dyDescent="0.3">
      <c r="A154" s="216"/>
      <c r="B154" s="212"/>
      <c r="C154" s="212"/>
      <c r="D154" s="212"/>
      <c r="E154" s="216"/>
      <c r="F154" s="215"/>
    </row>
    <row r="155" spans="1:6" ht="13.5" customHeight="1" x14ac:dyDescent="0.3">
      <c r="A155" s="216"/>
      <c r="B155" s="212"/>
      <c r="C155" s="212"/>
      <c r="D155" s="212"/>
      <c r="E155" s="216"/>
      <c r="F155" s="215"/>
    </row>
    <row r="156" spans="1:6" ht="13.5" customHeight="1" x14ac:dyDescent="0.3">
      <c r="A156" s="216"/>
      <c r="B156" s="212"/>
      <c r="C156" s="212"/>
      <c r="D156" s="212"/>
      <c r="E156" s="216"/>
      <c r="F156" s="215"/>
    </row>
    <row r="157" spans="1:6" ht="13.5" customHeight="1" x14ac:dyDescent="0.3">
      <c r="A157" s="216"/>
      <c r="B157" s="212"/>
      <c r="C157" s="212"/>
      <c r="D157" s="212"/>
      <c r="E157" s="216"/>
      <c r="F157" s="215"/>
    </row>
    <row r="158" spans="1:6" ht="13.5" customHeight="1" x14ac:dyDescent="0.3">
      <c r="A158" s="216"/>
      <c r="B158" s="212"/>
      <c r="C158" s="212"/>
      <c r="D158" s="212"/>
      <c r="E158" s="216"/>
      <c r="F158" s="215"/>
    </row>
    <row r="159" spans="1:6" ht="13.5" customHeight="1" x14ac:dyDescent="0.3">
      <c r="A159" s="216"/>
      <c r="B159" s="212"/>
      <c r="C159" s="212"/>
      <c r="D159" s="212"/>
      <c r="E159" s="216"/>
      <c r="F159" s="215"/>
    </row>
    <row r="160" spans="1:6" ht="13.5" customHeight="1" x14ac:dyDescent="0.3">
      <c r="A160" s="216"/>
      <c r="B160" s="212"/>
      <c r="C160" s="212"/>
      <c r="D160" s="212"/>
      <c r="E160" s="216"/>
      <c r="F160" s="215"/>
    </row>
    <row r="161" spans="1:6" ht="13.5" customHeight="1" x14ac:dyDescent="0.3">
      <c r="A161" s="216"/>
      <c r="B161" s="212"/>
      <c r="C161" s="212"/>
      <c r="D161" s="212"/>
      <c r="E161" s="216"/>
      <c r="F161" s="215"/>
    </row>
    <row r="162" spans="1:6" ht="13.5" customHeight="1" x14ac:dyDescent="0.3">
      <c r="A162" s="216"/>
      <c r="B162" s="212"/>
      <c r="C162" s="212"/>
      <c r="D162" s="212"/>
      <c r="E162" s="216"/>
      <c r="F162" s="215"/>
    </row>
    <row r="163" spans="1:6" ht="13.5" customHeight="1" x14ac:dyDescent="0.3">
      <c r="A163" s="216"/>
      <c r="B163" s="212"/>
      <c r="C163" s="212"/>
      <c r="D163" s="212"/>
      <c r="E163" s="216"/>
      <c r="F163" s="215"/>
    </row>
    <row r="164" spans="1:6" ht="13.5" customHeight="1" x14ac:dyDescent="0.3">
      <c r="A164" s="216"/>
      <c r="B164" s="212"/>
      <c r="C164" s="212"/>
      <c r="D164" s="212"/>
      <c r="E164" s="216"/>
      <c r="F164" s="215"/>
    </row>
    <row r="165" spans="1:6" ht="13.5" customHeight="1" x14ac:dyDescent="0.3">
      <c r="A165" s="216"/>
      <c r="B165" s="212"/>
      <c r="C165" s="212"/>
      <c r="D165" s="212"/>
      <c r="E165" s="216"/>
      <c r="F165" s="215"/>
    </row>
    <row r="166" spans="1:6" ht="13.5" customHeight="1" x14ac:dyDescent="0.3">
      <c r="A166" s="216"/>
      <c r="B166" s="212"/>
      <c r="C166" s="212"/>
      <c r="D166" s="212"/>
      <c r="E166" s="216"/>
      <c r="F166" s="215"/>
    </row>
    <row r="167" spans="1:6" ht="13.5" customHeight="1" x14ac:dyDescent="0.3">
      <c r="A167" s="216"/>
      <c r="B167" s="212"/>
      <c r="C167" s="212"/>
      <c r="D167" s="212"/>
      <c r="E167" s="216"/>
      <c r="F167" s="215"/>
    </row>
    <row r="168" spans="1:6" ht="13.5" customHeight="1" x14ac:dyDescent="0.3">
      <c r="A168" s="216"/>
      <c r="B168" s="212"/>
      <c r="C168" s="212"/>
      <c r="D168" s="212"/>
      <c r="E168" s="216"/>
      <c r="F168" s="215"/>
    </row>
    <row r="169" spans="1:6" ht="13.5" customHeight="1" x14ac:dyDescent="0.3">
      <c r="A169" s="216"/>
      <c r="B169" s="212"/>
      <c r="C169" s="212"/>
      <c r="D169" s="212"/>
      <c r="E169" s="216"/>
      <c r="F169" s="215"/>
    </row>
    <row r="170" spans="1:6" ht="13.5" customHeight="1" x14ac:dyDescent="0.3">
      <c r="A170" s="216"/>
      <c r="B170" s="212"/>
      <c r="C170" s="212"/>
      <c r="D170" s="212"/>
      <c r="E170" s="216"/>
      <c r="F170" s="215"/>
    </row>
    <row r="171" spans="1:6" ht="13.5" customHeight="1" x14ac:dyDescent="0.3">
      <c r="A171" s="216"/>
      <c r="B171" s="212"/>
      <c r="C171" s="212"/>
      <c r="D171" s="212"/>
      <c r="E171" s="216"/>
      <c r="F171" s="215"/>
    </row>
    <row r="172" spans="1:6" ht="13.5" customHeight="1" x14ac:dyDescent="0.3">
      <c r="A172" s="216"/>
      <c r="B172" s="212"/>
      <c r="C172" s="212"/>
      <c r="D172" s="212"/>
      <c r="E172" s="216"/>
      <c r="F172" s="215"/>
    </row>
    <row r="173" spans="1:6" ht="13.5" customHeight="1" x14ac:dyDescent="0.3">
      <c r="A173" s="216"/>
      <c r="B173" s="212"/>
      <c r="C173" s="212"/>
      <c r="D173" s="212"/>
      <c r="E173" s="216"/>
      <c r="F173" s="215"/>
    </row>
    <row r="174" spans="1:6" ht="13.5" customHeight="1" x14ac:dyDescent="0.3">
      <c r="A174" s="216"/>
      <c r="B174" s="212"/>
      <c r="C174" s="212"/>
      <c r="D174" s="212"/>
      <c r="E174" s="216"/>
      <c r="F174" s="215"/>
    </row>
    <row r="175" spans="1:6" ht="13.5" customHeight="1" x14ac:dyDescent="0.3">
      <c r="A175" s="216"/>
      <c r="B175" s="212"/>
      <c r="C175" s="212"/>
      <c r="D175" s="212"/>
      <c r="E175" s="216"/>
      <c r="F175" s="215"/>
    </row>
    <row r="176" spans="1:6" ht="13.5" customHeight="1" x14ac:dyDescent="0.3">
      <c r="A176" s="216"/>
      <c r="B176" s="212"/>
      <c r="C176" s="212"/>
      <c r="D176" s="212"/>
      <c r="E176" s="216"/>
      <c r="F176" s="215"/>
    </row>
    <row r="177" spans="1:6" ht="13.5" customHeight="1" x14ac:dyDescent="0.3">
      <c r="A177" s="216"/>
      <c r="B177" s="212"/>
      <c r="C177" s="212"/>
      <c r="D177" s="212"/>
      <c r="E177" s="216"/>
      <c r="F177" s="215"/>
    </row>
    <row r="178" spans="1:6" ht="13.5" customHeight="1" x14ac:dyDescent="0.3">
      <c r="A178" s="216"/>
      <c r="B178" s="212"/>
      <c r="C178" s="212"/>
      <c r="D178" s="212"/>
      <c r="E178" s="216"/>
      <c r="F178" s="215"/>
    </row>
    <row r="179" spans="1:6" ht="13.5" customHeight="1" x14ac:dyDescent="0.3">
      <c r="A179" s="216"/>
      <c r="B179" s="212"/>
      <c r="C179" s="212"/>
      <c r="D179" s="212"/>
      <c r="E179" s="216"/>
      <c r="F179" s="215"/>
    </row>
    <row r="180" spans="1:6" ht="13.5" customHeight="1" x14ac:dyDescent="0.3">
      <c r="A180" s="216"/>
      <c r="B180" s="212"/>
      <c r="C180" s="212"/>
      <c r="D180" s="212"/>
      <c r="E180" s="216"/>
      <c r="F180" s="215"/>
    </row>
    <row r="181" spans="1:6" ht="13.5" customHeight="1" x14ac:dyDescent="0.3">
      <c r="A181" s="216"/>
      <c r="B181" s="212"/>
      <c r="C181" s="212"/>
      <c r="D181" s="212"/>
      <c r="E181" s="216"/>
      <c r="F181" s="215"/>
    </row>
    <row r="182" spans="1:6" ht="13.5" customHeight="1" x14ac:dyDescent="0.3">
      <c r="A182" s="216"/>
      <c r="B182" s="212"/>
      <c r="C182" s="212"/>
      <c r="D182" s="212"/>
      <c r="E182" s="216"/>
      <c r="F182" s="215"/>
    </row>
    <row r="183" spans="1:6" ht="13.5" customHeight="1" x14ac:dyDescent="0.3">
      <c r="A183" s="216"/>
      <c r="B183" s="212"/>
      <c r="C183" s="212"/>
      <c r="D183" s="212"/>
      <c r="E183" s="216"/>
      <c r="F183" s="215"/>
    </row>
    <row r="184" spans="1:6" ht="13.5" customHeight="1" x14ac:dyDescent="0.3">
      <c r="A184" s="216"/>
      <c r="B184" s="212"/>
      <c r="C184" s="212"/>
      <c r="D184" s="212"/>
      <c r="E184" s="216"/>
      <c r="F184" s="215"/>
    </row>
    <row r="185" spans="1:6" ht="13.5" customHeight="1" x14ac:dyDescent="0.3">
      <c r="A185" s="216"/>
      <c r="B185" s="212"/>
      <c r="C185" s="212"/>
      <c r="D185" s="212"/>
      <c r="E185" s="216"/>
      <c r="F185" s="215"/>
    </row>
    <row r="186" spans="1:6" ht="13.5" customHeight="1" x14ac:dyDescent="0.3">
      <c r="A186" s="216"/>
      <c r="B186" s="212"/>
      <c r="C186" s="212"/>
      <c r="D186" s="212"/>
      <c r="E186" s="216"/>
      <c r="F186" s="215"/>
    </row>
    <row r="187" spans="1:6" ht="13.5" customHeight="1" x14ac:dyDescent="0.3">
      <c r="A187" s="216"/>
      <c r="B187" s="212"/>
      <c r="C187" s="212"/>
      <c r="D187" s="212"/>
      <c r="E187" s="216"/>
      <c r="F187" s="215"/>
    </row>
    <row r="188" spans="1:6" ht="13.5" customHeight="1" x14ac:dyDescent="0.3">
      <c r="A188" s="216"/>
      <c r="B188" s="212"/>
      <c r="C188" s="212"/>
      <c r="D188" s="212"/>
      <c r="E188" s="216"/>
      <c r="F188" s="215"/>
    </row>
    <row r="189" spans="1:6" ht="13.5" customHeight="1" x14ac:dyDescent="0.3">
      <c r="A189" s="216"/>
      <c r="B189" s="212"/>
      <c r="C189" s="212"/>
      <c r="D189" s="212"/>
      <c r="E189" s="216"/>
      <c r="F189" s="215"/>
    </row>
    <row r="190" spans="1:6" ht="13.5" customHeight="1" x14ac:dyDescent="0.3">
      <c r="A190" s="216"/>
      <c r="B190" s="212"/>
      <c r="C190" s="212"/>
      <c r="D190" s="212"/>
      <c r="E190" s="216"/>
      <c r="F190" s="215"/>
    </row>
    <row r="191" spans="1:6" ht="13.5" customHeight="1" x14ac:dyDescent="0.3">
      <c r="A191" s="216"/>
      <c r="B191" s="212"/>
      <c r="C191" s="212"/>
      <c r="D191" s="212"/>
      <c r="E191" s="216"/>
      <c r="F191" s="215"/>
    </row>
    <row r="192" spans="1:6" ht="13.5" customHeight="1" x14ac:dyDescent="0.3">
      <c r="A192" s="216"/>
      <c r="B192" s="212"/>
      <c r="C192" s="212"/>
      <c r="D192" s="212"/>
      <c r="E192" s="216"/>
      <c r="F192" s="215"/>
    </row>
    <row r="193" spans="1:6" ht="13.5" customHeight="1" x14ac:dyDescent="0.3">
      <c r="A193" s="216"/>
      <c r="B193" s="212"/>
      <c r="C193" s="212"/>
      <c r="D193" s="212"/>
      <c r="E193" s="216"/>
      <c r="F193" s="215"/>
    </row>
    <row r="194" spans="1:6" ht="13.5" customHeight="1" x14ac:dyDescent="0.3">
      <c r="A194" s="216"/>
      <c r="B194" s="212"/>
      <c r="C194" s="212"/>
      <c r="D194" s="212"/>
      <c r="E194" s="216"/>
      <c r="F194" s="215"/>
    </row>
    <row r="195" spans="1:6" ht="13.5" customHeight="1" x14ac:dyDescent="0.3">
      <c r="A195" s="216"/>
      <c r="B195" s="212"/>
      <c r="C195" s="212"/>
      <c r="D195" s="212"/>
      <c r="E195" s="216"/>
      <c r="F195" s="215"/>
    </row>
    <row r="196" spans="1:6" ht="13.5" customHeight="1" x14ac:dyDescent="0.3">
      <c r="A196" s="216"/>
      <c r="B196" s="212"/>
      <c r="C196" s="212"/>
      <c r="D196" s="212"/>
      <c r="E196" s="216"/>
      <c r="F196" s="215"/>
    </row>
    <row r="197" spans="1:6" ht="13.5" customHeight="1" x14ac:dyDescent="0.3">
      <c r="A197" s="216"/>
      <c r="B197" s="212"/>
      <c r="C197" s="212"/>
      <c r="D197" s="212"/>
      <c r="E197" s="216"/>
      <c r="F197" s="215"/>
    </row>
    <row r="198" spans="1:6" ht="13.5" customHeight="1" x14ac:dyDescent="0.3">
      <c r="A198" s="216"/>
      <c r="B198" s="212"/>
      <c r="C198" s="212"/>
      <c r="D198" s="212"/>
      <c r="E198" s="216"/>
      <c r="F198" s="215"/>
    </row>
    <row r="199" spans="1:6" ht="13.5" customHeight="1" x14ac:dyDescent="0.3">
      <c r="A199" s="216"/>
      <c r="B199" s="212"/>
      <c r="C199" s="212"/>
      <c r="D199" s="212"/>
      <c r="E199" s="216"/>
      <c r="F199" s="215"/>
    </row>
    <row r="200" spans="1:6" ht="13.5" customHeight="1" x14ac:dyDescent="0.3">
      <c r="A200" s="216"/>
      <c r="B200" s="212"/>
      <c r="C200" s="212"/>
      <c r="D200" s="212"/>
      <c r="E200" s="216"/>
      <c r="F200" s="215"/>
    </row>
    <row r="201" spans="1:6" ht="13.5" customHeight="1" x14ac:dyDescent="0.3">
      <c r="A201" s="216"/>
      <c r="B201" s="212"/>
      <c r="C201" s="212"/>
      <c r="D201" s="212"/>
      <c r="E201" s="216"/>
      <c r="F201" s="215"/>
    </row>
    <row r="202" spans="1:6" ht="13.5" customHeight="1" x14ac:dyDescent="0.3">
      <c r="A202" s="216"/>
      <c r="B202" s="212"/>
      <c r="C202" s="212"/>
      <c r="D202" s="212"/>
      <c r="E202" s="216"/>
      <c r="F202" s="215"/>
    </row>
    <row r="203" spans="1:6" ht="13.5" customHeight="1" x14ac:dyDescent="0.3">
      <c r="A203" s="216"/>
      <c r="B203" s="212"/>
      <c r="C203" s="212"/>
      <c r="D203" s="212"/>
      <c r="E203" s="216"/>
      <c r="F203" s="215"/>
    </row>
    <row r="204" spans="1:6" ht="13.5" customHeight="1" x14ac:dyDescent="0.3">
      <c r="A204" s="216"/>
      <c r="B204" s="212"/>
      <c r="C204" s="212"/>
      <c r="D204" s="212"/>
      <c r="E204" s="216"/>
      <c r="F204" s="215"/>
    </row>
    <row r="205" spans="1:6" ht="13.5" customHeight="1" x14ac:dyDescent="0.3">
      <c r="A205" s="216"/>
      <c r="B205" s="212"/>
      <c r="C205" s="212"/>
      <c r="D205" s="212"/>
      <c r="E205" s="216"/>
      <c r="F205" s="215"/>
    </row>
    <row r="206" spans="1:6" ht="13.5" customHeight="1" x14ac:dyDescent="0.3">
      <c r="A206" s="216"/>
      <c r="B206" s="212"/>
      <c r="C206" s="212"/>
      <c r="D206" s="212"/>
      <c r="E206" s="216"/>
      <c r="F206" s="215"/>
    </row>
    <row r="207" spans="1:6" ht="13.5" customHeight="1" x14ac:dyDescent="0.3">
      <c r="A207" s="216"/>
      <c r="B207" s="212"/>
      <c r="C207" s="212"/>
      <c r="D207" s="212"/>
      <c r="E207" s="216"/>
      <c r="F207" s="215"/>
    </row>
    <row r="208" spans="1:6" ht="13.5" customHeight="1" x14ac:dyDescent="0.3">
      <c r="A208" s="216"/>
      <c r="B208" s="212"/>
      <c r="C208" s="212"/>
      <c r="D208" s="212"/>
      <c r="E208" s="216"/>
      <c r="F208" s="215"/>
    </row>
    <row r="209" spans="1:6" ht="13.5" customHeight="1" x14ac:dyDescent="0.3">
      <c r="A209" s="216"/>
      <c r="B209" s="212"/>
      <c r="C209" s="212"/>
      <c r="D209" s="212"/>
      <c r="E209" s="216"/>
      <c r="F209" s="215"/>
    </row>
    <row r="210" spans="1:6" ht="13.5" customHeight="1" x14ac:dyDescent="0.3">
      <c r="A210" s="216"/>
      <c r="B210" s="212"/>
      <c r="C210" s="212"/>
      <c r="D210" s="212"/>
      <c r="E210" s="216"/>
      <c r="F210" s="215"/>
    </row>
    <row r="211" spans="1:6" ht="13.5" customHeight="1" x14ac:dyDescent="0.3">
      <c r="A211" s="216"/>
      <c r="B211" s="212"/>
      <c r="C211" s="212"/>
      <c r="D211" s="212"/>
      <c r="E211" s="216"/>
      <c r="F211" s="215"/>
    </row>
    <row r="212" spans="1:6" ht="13.5" customHeight="1" x14ac:dyDescent="0.3">
      <c r="A212" s="216"/>
      <c r="B212" s="212"/>
      <c r="C212" s="212"/>
      <c r="D212" s="212"/>
      <c r="E212" s="216"/>
      <c r="F212" s="215"/>
    </row>
    <row r="213" spans="1:6" ht="13.5" customHeight="1" x14ac:dyDescent="0.3">
      <c r="A213" s="216"/>
      <c r="B213" s="212"/>
      <c r="C213" s="212"/>
      <c r="D213" s="212"/>
      <c r="E213" s="216"/>
      <c r="F213" s="215"/>
    </row>
    <row r="214" spans="1:6" ht="13.5" customHeight="1" x14ac:dyDescent="0.3">
      <c r="A214" s="216"/>
      <c r="B214" s="212"/>
      <c r="C214" s="212"/>
      <c r="D214" s="212"/>
      <c r="E214" s="216"/>
      <c r="F214" s="215"/>
    </row>
    <row r="215" spans="1:6" ht="13.5" customHeight="1" x14ac:dyDescent="0.3">
      <c r="A215" s="216"/>
      <c r="B215" s="212"/>
      <c r="C215" s="212"/>
      <c r="D215" s="212"/>
      <c r="E215" s="216"/>
      <c r="F215" s="215"/>
    </row>
    <row r="216" spans="1:6" ht="13.5" customHeight="1" x14ac:dyDescent="0.3">
      <c r="A216" s="216"/>
      <c r="B216" s="212"/>
      <c r="C216" s="212"/>
      <c r="D216" s="212"/>
      <c r="E216" s="216"/>
      <c r="F216" s="215"/>
    </row>
    <row r="217" spans="1:6" ht="13.5" customHeight="1" x14ac:dyDescent="0.3">
      <c r="A217" s="216"/>
      <c r="B217" s="212"/>
      <c r="C217" s="212"/>
      <c r="D217" s="212"/>
      <c r="E217" s="216"/>
      <c r="F217" s="215"/>
    </row>
    <row r="218" spans="1:6" ht="13.5" customHeight="1" x14ac:dyDescent="0.3">
      <c r="A218" s="216"/>
      <c r="B218" s="212"/>
      <c r="C218" s="212"/>
      <c r="D218" s="212"/>
      <c r="E218" s="216"/>
      <c r="F218" s="215"/>
    </row>
    <row r="219" spans="1:6" ht="13.5" customHeight="1" x14ac:dyDescent="0.3">
      <c r="A219" s="216"/>
      <c r="B219" s="212"/>
      <c r="C219" s="212"/>
      <c r="D219" s="212"/>
      <c r="E219" s="216"/>
      <c r="F219" s="215"/>
    </row>
    <row r="220" spans="1:6" ht="13.5" customHeight="1" x14ac:dyDescent="0.3">
      <c r="A220" s="216"/>
      <c r="B220" s="212"/>
      <c r="C220" s="212"/>
      <c r="D220" s="212"/>
      <c r="E220" s="216"/>
      <c r="F220" s="215"/>
    </row>
    <row r="221" spans="1:6" ht="13.5" customHeight="1" x14ac:dyDescent="0.3">
      <c r="A221" s="216"/>
      <c r="B221" s="212"/>
      <c r="C221" s="212"/>
      <c r="D221" s="212"/>
      <c r="E221" s="216"/>
      <c r="F221" s="215"/>
    </row>
    <row r="222" spans="1:6" ht="13.5" customHeight="1" x14ac:dyDescent="0.3">
      <c r="A222" s="216"/>
      <c r="B222" s="212"/>
      <c r="C222" s="212"/>
      <c r="D222" s="212"/>
      <c r="E222" s="216"/>
      <c r="F222" s="215"/>
    </row>
    <row r="223" spans="1:6" ht="13.5" customHeight="1" x14ac:dyDescent="0.3">
      <c r="A223" s="216"/>
      <c r="B223" s="212"/>
      <c r="C223" s="212"/>
      <c r="D223" s="212"/>
      <c r="E223" s="216"/>
      <c r="F223" s="215"/>
    </row>
    <row r="224" spans="1:6" ht="13.5" customHeight="1" x14ac:dyDescent="0.3">
      <c r="A224" s="216"/>
      <c r="B224" s="212"/>
      <c r="C224" s="212"/>
      <c r="D224" s="212"/>
      <c r="E224" s="216"/>
      <c r="F224" s="215"/>
    </row>
    <row r="225" spans="1:6" ht="13.5" customHeight="1" x14ac:dyDescent="0.3">
      <c r="A225" s="216"/>
      <c r="B225" s="212"/>
      <c r="C225" s="212"/>
      <c r="D225" s="212"/>
      <c r="E225" s="216"/>
      <c r="F225" s="215"/>
    </row>
    <row r="226" spans="1:6" ht="13.5" customHeight="1" x14ac:dyDescent="0.3">
      <c r="A226" s="216"/>
      <c r="B226" s="212"/>
      <c r="C226" s="212"/>
      <c r="D226" s="212"/>
      <c r="E226" s="216"/>
      <c r="F226" s="215"/>
    </row>
    <row r="227" spans="1:6" ht="13.5" customHeight="1" x14ac:dyDescent="0.3">
      <c r="A227" s="216"/>
      <c r="B227" s="212"/>
      <c r="C227" s="212"/>
      <c r="D227" s="212"/>
      <c r="E227" s="216"/>
      <c r="F227" s="215"/>
    </row>
    <row r="228" spans="1:6" ht="13.5" customHeight="1" x14ac:dyDescent="0.3">
      <c r="A228" s="216"/>
      <c r="B228" s="212"/>
      <c r="C228" s="212"/>
      <c r="D228" s="212"/>
      <c r="E228" s="216"/>
      <c r="F228" s="215"/>
    </row>
    <row r="229" spans="1:6" ht="13.5" customHeight="1" x14ac:dyDescent="0.3">
      <c r="A229" s="216"/>
      <c r="B229" s="212"/>
      <c r="C229" s="212"/>
      <c r="D229" s="212"/>
      <c r="E229" s="216"/>
      <c r="F229" s="215"/>
    </row>
    <row r="230" spans="1:6" ht="13.5" customHeight="1" x14ac:dyDescent="0.3">
      <c r="A230" s="216"/>
      <c r="B230" s="212"/>
      <c r="C230" s="212"/>
      <c r="D230" s="212"/>
      <c r="E230" s="216"/>
      <c r="F230" s="215"/>
    </row>
    <row r="231" spans="1:6" ht="13.5" customHeight="1" x14ac:dyDescent="0.3">
      <c r="A231" s="216"/>
      <c r="B231" s="212"/>
      <c r="C231" s="212"/>
      <c r="D231" s="212"/>
      <c r="E231" s="216"/>
      <c r="F231" s="215"/>
    </row>
    <row r="232" spans="1:6" ht="13.5" customHeight="1" x14ac:dyDescent="0.3">
      <c r="A232" s="216"/>
      <c r="B232" s="212"/>
      <c r="C232" s="212"/>
      <c r="D232" s="212"/>
      <c r="E232" s="216"/>
      <c r="F232" s="215"/>
    </row>
    <row r="233" spans="1:6" ht="13.5" customHeight="1" x14ac:dyDescent="0.3">
      <c r="A233" s="216"/>
      <c r="B233" s="212"/>
      <c r="C233" s="212"/>
      <c r="D233" s="212"/>
      <c r="E233" s="216"/>
      <c r="F233" s="215"/>
    </row>
    <row r="234" spans="1:6" ht="13.5" customHeight="1" x14ac:dyDescent="0.3">
      <c r="A234" s="216"/>
      <c r="B234" s="212"/>
      <c r="C234" s="212"/>
      <c r="D234" s="212"/>
      <c r="E234" s="216"/>
      <c r="F234" s="215"/>
    </row>
    <row r="235" spans="1:6" ht="13.5" customHeight="1" x14ac:dyDescent="0.3">
      <c r="A235" s="216"/>
      <c r="B235" s="212"/>
      <c r="C235" s="212"/>
      <c r="D235" s="212"/>
      <c r="E235" s="216"/>
      <c r="F235" s="215"/>
    </row>
    <row r="236" spans="1:6" ht="13.5" customHeight="1" x14ac:dyDescent="0.3">
      <c r="A236" s="216"/>
      <c r="B236" s="212"/>
      <c r="C236" s="212"/>
      <c r="D236" s="212"/>
      <c r="E236" s="216"/>
      <c r="F236" s="215"/>
    </row>
    <row r="237" spans="1:6" ht="13.5" customHeight="1" x14ac:dyDescent="0.3">
      <c r="A237" s="216"/>
      <c r="B237" s="212"/>
      <c r="C237" s="212"/>
      <c r="D237" s="212"/>
      <c r="E237" s="216"/>
      <c r="F237" s="215"/>
    </row>
    <row r="238" spans="1:6" ht="13.5" customHeight="1" x14ac:dyDescent="0.3">
      <c r="A238" s="216"/>
      <c r="B238" s="212"/>
      <c r="C238" s="212"/>
      <c r="D238" s="212"/>
      <c r="E238" s="216"/>
      <c r="F238" s="215"/>
    </row>
    <row r="239" spans="1:6" ht="13.5" customHeight="1" x14ac:dyDescent="0.3">
      <c r="A239" s="216"/>
      <c r="B239" s="212"/>
      <c r="C239" s="212"/>
      <c r="D239" s="212"/>
      <c r="E239" s="216"/>
      <c r="F239" s="215"/>
    </row>
    <row r="240" spans="1:6" ht="13.5" customHeight="1" x14ac:dyDescent="0.3">
      <c r="A240" s="216"/>
      <c r="B240" s="212"/>
      <c r="C240" s="212"/>
      <c r="D240" s="212"/>
      <c r="E240" s="216"/>
      <c r="F240" s="215"/>
    </row>
    <row r="241" spans="1:6" ht="13.5" customHeight="1" x14ac:dyDescent="0.3">
      <c r="A241" s="216"/>
      <c r="B241" s="212"/>
      <c r="C241" s="212"/>
      <c r="D241" s="212"/>
      <c r="E241" s="216"/>
      <c r="F241" s="215"/>
    </row>
    <row r="242" spans="1:6" ht="13.5" customHeight="1" x14ac:dyDescent="0.3">
      <c r="A242" s="216"/>
      <c r="B242" s="212"/>
      <c r="C242" s="212"/>
      <c r="D242" s="212"/>
      <c r="E242" s="216"/>
      <c r="F242" s="215"/>
    </row>
    <row r="243" spans="1:6" ht="13.5" customHeight="1" x14ac:dyDescent="0.3">
      <c r="A243" s="216"/>
      <c r="B243" s="212"/>
      <c r="C243" s="212"/>
      <c r="D243" s="212"/>
      <c r="E243" s="216"/>
      <c r="F243" s="215"/>
    </row>
    <row r="244" spans="1:6" ht="13.5" customHeight="1" x14ac:dyDescent="0.3">
      <c r="A244" s="216"/>
      <c r="B244" s="212"/>
      <c r="C244" s="212"/>
      <c r="D244" s="212"/>
      <c r="E244" s="216"/>
      <c r="F244" s="215"/>
    </row>
    <row r="245" spans="1:6" ht="13.5" customHeight="1" x14ac:dyDescent="0.3">
      <c r="A245" s="216"/>
      <c r="B245" s="212"/>
      <c r="C245" s="212"/>
      <c r="D245" s="212"/>
      <c r="E245" s="216"/>
      <c r="F245" s="215"/>
    </row>
    <row r="246" spans="1:6" ht="13.5" customHeight="1" x14ac:dyDescent="0.3">
      <c r="A246" s="216"/>
      <c r="B246" s="212"/>
      <c r="C246" s="212"/>
      <c r="D246" s="212"/>
      <c r="E246" s="216"/>
      <c r="F246" s="215"/>
    </row>
    <row r="247" spans="1:6" ht="13.5" customHeight="1" x14ac:dyDescent="0.3">
      <c r="A247" s="216"/>
      <c r="B247" s="212"/>
      <c r="C247" s="212"/>
      <c r="D247" s="212"/>
      <c r="E247" s="216"/>
      <c r="F247" s="215"/>
    </row>
    <row r="248" spans="1:6" ht="13.5" customHeight="1" x14ac:dyDescent="0.3">
      <c r="A248" s="216"/>
      <c r="B248" s="212"/>
      <c r="C248" s="212"/>
      <c r="D248" s="212"/>
      <c r="E248" s="216"/>
      <c r="F248" s="215"/>
    </row>
    <row r="249" spans="1:6" ht="13.5" customHeight="1" x14ac:dyDescent="0.3">
      <c r="A249" s="216"/>
      <c r="B249" s="212"/>
      <c r="C249" s="212"/>
      <c r="D249" s="212"/>
      <c r="E249" s="216"/>
      <c r="F249" s="215"/>
    </row>
    <row r="250" spans="1:6" ht="13.5" customHeight="1" x14ac:dyDescent="0.3">
      <c r="A250" s="216"/>
      <c r="B250" s="212"/>
      <c r="C250" s="212"/>
      <c r="D250" s="212"/>
      <c r="E250" s="216"/>
      <c r="F250" s="215"/>
    </row>
    <row r="251" spans="1:6" ht="13.5" customHeight="1" x14ac:dyDescent="0.3">
      <c r="A251" s="216"/>
      <c r="B251" s="212"/>
      <c r="C251" s="212"/>
      <c r="D251" s="212"/>
      <c r="E251" s="216"/>
      <c r="F251" s="215"/>
    </row>
    <row r="252" spans="1:6" ht="13.5" customHeight="1" x14ac:dyDescent="0.3">
      <c r="A252" s="216"/>
      <c r="B252" s="212"/>
      <c r="C252" s="212"/>
      <c r="D252" s="212"/>
      <c r="E252" s="216"/>
      <c r="F252" s="215"/>
    </row>
    <row r="253" spans="1:6" ht="13.5" customHeight="1" x14ac:dyDescent="0.3">
      <c r="A253" s="216"/>
      <c r="B253" s="212"/>
      <c r="C253" s="212"/>
      <c r="D253" s="212"/>
      <c r="E253" s="216"/>
      <c r="F253" s="215"/>
    </row>
    <row r="254" spans="1:6" ht="13.5" customHeight="1" x14ac:dyDescent="0.3">
      <c r="A254" s="216"/>
      <c r="B254" s="212"/>
      <c r="C254" s="212"/>
      <c r="D254" s="212"/>
      <c r="E254" s="216"/>
      <c r="F254" s="215"/>
    </row>
    <row r="255" spans="1:6" ht="13.5" customHeight="1" x14ac:dyDescent="0.3">
      <c r="A255" s="216"/>
      <c r="B255" s="212"/>
      <c r="C255" s="212"/>
      <c r="D255" s="212"/>
      <c r="E255" s="216"/>
      <c r="F255" s="215"/>
    </row>
    <row r="256" spans="1:6" ht="13.5" customHeight="1" x14ac:dyDescent="0.3">
      <c r="A256" s="216"/>
      <c r="B256" s="212"/>
      <c r="C256" s="212"/>
      <c r="D256" s="212"/>
      <c r="E256" s="216"/>
      <c r="F256" s="215"/>
    </row>
    <row r="257" spans="1:6" ht="13.5" customHeight="1" x14ac:dyDescent="0.3">
      <c r="A257" s="216"/>
      <c r="B257" s="212"/>
      <c r="C257" s="212"/>
      <c r="D257" s="212"/>
      <c r="E257" s="216"/>
      <c r="F257" s="215"/>
    </row>
    <row r="258" spans="1:6" ht="13.5" customHeight="1" x14ac:dyDescent="0.3">
      <c r="A258" s="216"/>
      <c r="B258" s="212"/>
      <c r="C258" s="212"/>
      <c r="D258" s="212"/>
      <c r="E258" s="216"/>
      <c r="F258" s="215"/>
    </row>
    <row r="259" spans="1:6" ht="13.5" customHeight="1" x14ac:dyDescent="0.3">
      <c r="A259" s="216"/>
      <c r="B259" s="212"/>
      <c r="C259" s="212"/>
      <c r="D259" s="212"/>
      <c r="E259" s="216"/>
      <c r="F259" s="215"/>
    </row>
    <row r="260" spans="1:6" ht="13.5" customHeight="1" x14ac:dyDescent="0.3">
      <c r="A260" s="216"/>
      <c r="B260" s="212"/>
      <c r="C260" s="212"/>
      <c r="D260" s="212"/>
      <c r="E260" s="216"/>
      <c r="F260" s="215"/>
    </row>
    <row r="261" spans="1:6" ht="13.5" customHeight="1" x14ac:dyDescent="0.3">
      <c r="A261" s="216"/>
      <c r="B261" s="212"/>
      <c r="C261" s="212"/>
      <c r="D261" s="212"/>
      <c r="E261" s="216"/>
      <c r="F261" s="215"/>
    </row>
    <row r="262" spans="1:6" ht="13.5" customHeight="1" x14ac:dyDescent="0.3">
      <c r="A262" s="216"/>
      <c r="B262" s="212"/>
      <c r="C262" s="212"/>
      <c r="D262" s="212"/>
      <c r="E262" s="216"/>
      <c r="F262" s="215"/>
    </row>
    <row r="263" spans="1:6" ht="13.5" customHeight="1" x14ac:dyDescent="0.3">
      <c r="A263" s="216"/>
      <c r="B263" s="212"/>
      <c r="C263" s="212"/>
      <c r="D263" s="212"/>
      <c r="E263" s="216"/>
      <c r="F263" s="215"/>
    </row>
    <row r="264" spans="1:6" ht="13.5" customHeight="1" x14ac:dyDescent="0.3">
      <c r="A264" s="216"/>
      <c r="B264" s="212"/>
      <c r="C264" s="212"/>
      <c r="D264" s="212"/>
      <c r="E264" s="216"/>
      <c r="F264" s="215"/>
    </row>
    <row r="265" spans="1:6" ht="13.5" customHeight="1" x14ac:dyDescent="0.3">
      <c r="A265" s="216"/>
      <c r="B265" s="212"/>
      <c r="C265" s="212"/>
      <c r="D265" s="212"/>
      <c r="E265" s="216"/>
      <c r="F265" s="215"/>
    </row>
    <row r="266" spans="1:6" ht="13.5" customHeight="1" x14ac:dyDescent="0.3">
      <c r="A266" s="216"/>
      <c r="B266" s="212"/>
      <c r="C266" s="212"/>
      <c r="D266" s="212"/>
      <c r="E266" s="216"/>
      <c r="F266" s="215"/>
    </row>
    <row r="267" spans="1:6" ht="13.5" customHeight="1" x14ac:dyDescent="0.3">
      <c r="A267" s="216"/>
      <c r="B267" s="212"/>
      <c r="C267" s="212"/>
      <c r="D267" s="212"/>
      <c r="E267" s="216"/>
      <c r="F267" s="215"/>
    </row>
    <row r="268" spans="1:6" ht="13.5" customHeight="1" x14ac:dyDescent="0.3">
      <c r="A268" s="216"/>
      <c r="B268" s="212"/>
      <c r="C268" s="212"/>
      <c r="D268" s="212"/>
      <c r="E268" s="216"/>
      <c r="F268" s="215"/>
    </row>
    <row r="269" spans="1:6" ht="13.5" customHeight="1" x14ac:dyDescent="0.3">
      <c r="A269" s="216"/>
      <c r="B269" s="212"/>
      <c r="C269" s="212"/>
      <c r="D269" s="212"/>
      <c r="E269" s="216"/>
      <c r="F269" s="215"/>
    </row>
    <row r="270" spans="1:6" ht="13.5" customHeight="1" x14ac:dyDescent="0.3">
      <c r="A270" s="216"/>
      <c r="B270" s="212"/>
      <c r="C270" s="212"/>
      <c r="D270" s="212"/>
      <c r="E270" s="216"/>
      <c r="F270" s="215"/>
    </row>
    <row r="271" spans="1:6" ht="13.5" customHeight="1" x14ac:dyDescent="0.3">
      <c r="A271" s="216"/>
      <c r="B271" s="212"/>
      <c r="C271" s="212"/>
      <c r="D271" s="212"/>
      <c r="E271" s="216"/>
      <c r="F271" s="215"/>
    </row>
    <row r="272" spans="1:6" ht="13.5" customHeight="1" x14ac:dyDescent="0.3">
      <c r="A272" s="216"/>
      <c r="B272" s="212"/>
      <c r="C272" s="212"/>
      <c r="D272" s="212"/>
      <c r="E272" s="216"/>
      <c r="F272" s="215"/>
    </row>
    <row r="273" spans="1:6" ht="13.5" customHeight="1" x14ac:dyDescent="0.3">
      <c r="A273" s="216"/>
      <c r="B273" s="212"/>
      <c r="C273" s="212"/>
      <c r="D273" s="212"/>
      <c r="E273" s="216"/>
      <c r="F273" s="215"/>
    </row>
    <row r="274" spans="1:6" ht="13.5" customHeight="1" x14ac:dyDescent="0.3">
      <c r="A274" s="216"/>
      <c r="B274" s="212"/>
      <c r="C274" s="212"/>
      <c r="D274" s="212"/>
      <c r="E274" s="216"/>
      <c r="F274" s="215"/>
    </row>
    <row r="275" spans="1:6" ht="13.5" customHeight="1" x14ac:dyDescent="0.3">
      <c r="A275" s="216"/>
      <c r="B275" s="212"/>
      <c r="C275" s="212"/>
      <c r="D275" s="212"/>
      <c r="E275" s="216"/>
      <c r="F275" s="215"/>
    </row>
    <row r="276" spans="1:6" ht="13.5" customHeight="1" x14ac:dyDescent="0.3">
      <c r="A276" s="216"/>
      <c r="B276" s="212"/>
      <c r="C276" s="212"/>
      <c r="D276" s="212"/>
      <c r="E276" s="216"/>
      <c r="F276" s="215"/>
    </row>
    <row r="277" spans="1:6" ht="13.5" customHeight="1" x14ac:dyDescent="0.3">
      <c r="A277" s="216"/>
      <c r="B277" s="212"/>
      <c r="C277" s="212"/>
      <c r="D277" s="212"/>
      <c r="E277" s="216"/>
      <c r="F277" s="215"/>
    </row>
    <row r="278" spans="1:6" ht="13.5" customHeight="1" x14ac:dyDescent="0.3">
      <c r="A278" s="216"/>
      <c r="B278" s="212"/>
      <c r="C278" s="212"/>
      <c r="D278" s="212"/>
      <c r="E278" s="216"/>
      <c r="F278" s="215"/>
    </row>
    <row r="279" spans="1:6" ht="13.5" customHeight="1" x14ac:dyDescent="0.3">
      <c r="A279" s="216"/>
      <c r="B279" s="212"/>
      <c r="C279" s="212"/>
      <c r="D279" s="212"/>
      <c r="E279" s="216"/>
      <c r="F279" s="215"/>
    </row>
    <row r="280" spans="1:6" ht="13.5" customHeight="1" x14ac:dyDescent="0.3">
      <c r="A280" s="216"/>
      <c r="B280" s="212"/>
      <c r="C280" s="212"/>
      <c r="D280" s="212"/>
      <c r="E280" s="216"/>
      <c r="F280" s="215"/>
    </row>
    <row r="281" spans="1:6" ht="13.5" customHeight="1" x14ac:dyDescent="0.3">
      <c r="A281" s="216"/>
      <c r="B281" s="212"/>
      <c r="C281" s="212"/>
      <c r="D281" s="212"/>
      <c r="E281" s="216"/>
      <c r="F281" s="215"/>
    </row>
    <row r="282" spans="1:6" ht="13.5" customHeight="1" x14ac:dyDescent="0.3">
      <c r="A282" s="216"/>
      <c r="B282" s="212"/>
      <c r="C282" s="212"/>
      <c r="D282" s="212"/>
      <c r="E282" s="216"/>
      <c r="F282" s="215"/>
    </row>
    <row r="283" spans="1:6" ht="13.5" customHeight="1" x14ac:dyDescent="0.3">
      <c r="A283" s="216"/>
      <c r="B283" s="212"/>
      <c r="C283" s="212"/>
      <c r="D283" s="212"/>
      <c r="E283" s="216"/>
      <c r="F283" s="215"/>
    </row>
    <row r="284" spans="1:6" ht="13.5" customHeight="1" x14ac:dyDescent="0.3">
      <c r="A284" s="216"/>
      <c r="B284" s="212"/>
      <c r="C284" s="212"/>
      <c r="D284" s="212"/>
      <c r="E284" s="216"/>
      <c r="F284" s="215"/>
    </row>
    <row r="285" spans="1:6" ht="13.5" customHeight="1" x14ac:dyDescent="0.3">
      <c r="A285" s="216"/>
      <c r="B285" s="212"/>
      <c r="C285" s="212"/>
      <c r="D285" s="212"/>
      <c r="E285" s="216"/>
      <c r="F285" s="215"/>
    </row>
    <row r="286" spans="1:6" ht="13.5" customHeight="1" x14ac:dyDescent="0.3">
      <c r="A286" s="216"/>
      <c r="B286" s="212"/>
      <c r="C286" s="212"/>
      <c r="D286" s="212"/>
      <c r="E286" s="216"/>
      <c r="F286" s="215"/>
    </row>
    <row r="287" spans="1:6" ht="13.5" customHeight="1" x14ac:dyDescent="0.3">
      <c r="A287" s="216"/>
      <c r="B287" s="212"/>
      <c r="C287" s="212"/>
      <c r="D287" s="212"/>
      <c r="E287" s="216"/>
      <c r="F287" s="215"/>
    </row>
    <row r="288" spans="1:6" ht="13.5" customHeight="1" x14ac:dyDescent="0.3">
      <c r="A288" s="216"/>
      <c r="B288" s="212"/>
      <c r="C288" s="212"/>
      <c r="D288" s="212"/>
      <c r="E288" s="216"/>
      <c r="F288" s="215"/>
    </row>
    <row r="289" spans="1:6" ht="13.5" customHeight="1" x14ac:dyDescent="0.3">
      <c r="A289" s="216"/>
      <c r="B289" s="212"/>
      <c r="C289" s="212"/>
      <c r="D289" s="212"/>
      <c r="E289" s="216"/>
      <c r="F289" s="215"/>
    </row>
    <row r="290" spans="1:6" ht="13.5" customHeight="1" x14ac:dyDescent="0.3">
      <c r="A290" s="216"/>
      <c r="B290" s="212"/>
      <c r="C290" s="212"/>
      <c r="D290" s="212"/>
      <c r="E290" s="216"/>
      <c r="F290" s="215"/>
    </row>
    <row r="291" spans="1:6" ht="13.5" customHeight="1" x14ac:dyDescent="0.3">
      <c r="A291" s="216"/>
      <c r="B291" s="212"/>
      <c r="C291" s="212"/>
      <c r="D291" s="212"/>
      <c r="E291" s="216"/>
      <c r="F291" s="215"/>
    </row>
    <row r="292" spans="1:6" ht="13.5" customHeight="1" x14ac:dyDescent="0.3">
      <c r="A292" s="216"/>
      <c r="B292" s="212"/>
      <c r="C292" s="212"/>
      <c r="D292" s="212"/>
      <c r="E292" s="216"/>
      <c r="F292" s="215"/>
    </row>
    <row r="293" spans="1:6" ht="13.5" customHeight="1" x14ac:dyDescent="0.3">
      <c r="A293" s="216"/>
      <c r="B293" s="212"/>
      <c r="C293" s="212"/>
      <c r="D293" s="212"/>
      <c r="E293" s="216"/>
      <c r="F293" s="215"/>
    </row>
    <row r="294" spans="1:6" ht="13.5" customHeight="1" x14ac:dyDescent="0.3">
      <c r="A294" s="216"/>
      <c r="B294" s="212"/>
      <c r="C294" s="212"/>
      <c r="D294" s="212"/>
      <c r="E294" s="216"/>
      <c r="F294" s="215"/>
    </row>
    <row r="295" spans="1:6" ht="13.5" customHeight="1" x14ac:dyDescent="0.3">
      <c r="A295" s="216"/>
      <c r="B295" s="212"/>
      <c r="C295" s="212"/>
      <c r="D295" s="212"/>
      <c r="E295" s="216"/>
      <c r="F295" s="215"/>
    </row>
    <row r="296" spans="1:6" ht="13.5" customHeight="1" x14ac:dyDescent="0.3">
      <c r="A296" s="216"/>
      <c r="B296" s="212"/>
      <c r="C296" s="212"/>
      <c r="D296" s="212"/>
      <c r="E296" s="216"/>
      <c r="F296" s="215"/>
    </row>
    <row r="297" spans="1:6" ht="13.5" customHeight="1" x14ac:dyDescent="0.3">
      <c r="A297" s="216"/>
      <c r="B297" s="212"/>
      <c r="C297" s="212"/>
      <c r="D297" s="212"/>
      <c r="E297" s="216"/>
      <c r="F297" s="215"/>
    </row>
    <row r="298" spans="1:6" ht="13.5" customHeight="1" x14ac:dyDescent="0.3">
      <c r="A298" s="216"/>
      <c r="B298" s="212"/>
      <c r="C298" s="212"/>
      <c r="D298" s="212"/>
      <c r="E298" s="216"/>
      <c r="F298" s="215"/>
    </row>
    <row r="299" spans="1:6" ht="13.5" customHeight="1" x14ac:dyDescent="0.3">
      <c r="A299" s="216"/>
      <c r="B299" s="212"/>
      <c r="C299" s="212"/>
      <c r="D299" s="212"/>
      <c r="E299" s="216"/>
      <c r="F299" s="215"/>
    </row>
    <row r="300" spans="1:6" ht="13.5" customHeight="1" x14ac:dyDescent="0.3">
      <c r="A300" s="216"/>
      <c r="B300" s="212"/>
      <c r="C300" s="212"/>
      <c r="D300" s="212"/>
      <c r="E300" s="216"/>
      <c r="F300" s="215"/>
    </row>
    <row r="301" spans="1:6" ht="13.5" customHeight="1" x14ac:dyDescent="0.3">
      <c r="A301" s="216"/>
      <c r="B301" s="212"/>
      <c r="C301" s="212"/>
      <c r="D301" s="212"/>
      <c r="E301" s="216"/>
      <c r="F301" s="215"/>
    </row>
    <row r="302" spans="1:6" ht="13.5" customHeight="1" x14ac:dyDescent="0.3">
      <c r="A302" s="216"/>
      <c r="B302" s="212"/>
      <c r="C302" s="212"/>
      <c r="D302" s="212"/>
      <c r="E302" s="216"/>
      <c r="F302" s="215"/>
    </row>
    <row r="303" spans="1:6" ht="13.5" customHeight="1" x14ac:dyDescent="0.3">
      <c r="A303" s="216"/>
      <c r="B303" s="212"/>
      <c r="C303" s="212"/>
      <c r="D303" s="212"/>
      <c r="E303" s="216"/>
      <c r="F303" s="215"/>
    </row>
    <row r="304" spans="1:6" ht="13.5" customHeight="1" x14ac:dyDescent="0.3">
      <c r="A304" s="216"/>
      <c r="B304" s="212"/>
      <c r="C304" s="212"/>
      <c r="D304" s="212"/>
      <c r="E304" s="216"/>
      <c r="F304" s="215"/>
    </row>
    <row r="305" spans="1:6" ht="13.5" customHeight="1" x14ac:dyDescent="0.3">
      <c r="A305" s="216"/>
      <c r="B305" s="212"/>
      <c r="C305" s="212"/>
      <c r="D305" s="212"/>
      <c r="E305" s="216"/>
      <c r="F305" s="215"/>
    </row>
  </sheetData>
  <mergeCells count="1">
    <mergeCell ref="A1:F1"/>
  </mergeCells>
  <conditionalFormatting sqref="C5:C14">
    <cfRule type="cellIs" dxfId="42" priority="2" operator="equal">
      <formula>"Y"</formula>
    </cfRule>
  </conditionalFormatting>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legacy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78"/>
  <sheetViews>
    <sheetView showGridLines="0" zoomScaleNormal="100" workbookViewId="0">
      <selection activeCell="A164" sqref="A164"/>
    </sheetView>
  </sheetViews>
  <sheetFormatPr defaultColWidth="8.6328125" defaultRowHeight="14.5" x14ac:dyDescent="0.35"/>
  <cols>
    <col min="1" max="1" width="26" customWidth="1"/>
    <col min="2" max="2" width="45" customWidth="1"/>
    <col min="3" max="3" width="59.81640625" customWidth="1"/>
    <col min="4" max="4" width="55" customWidth="1"/>
    <col min="5" max="5" width="1" customWidth="1"/>
  </cols>
  <sheetData>
    <row r="1" spans="1:6" ht="15.75" customHeight="1" x14ac:dyDescent="0.35">
      <c r="A1" s="240" t="s">
        <v>889</v>
      </c>
      <c r="B1" s="240"/>
      <c r="C1" s="240"/>
      <c r="D1" s="240"/>
      <c r="E1" s="240"/>
      <c r="F1" s="240"/>
    </row>
    <row r="2" spans="1:6" ht="15" customHeight="1" x14ac:dyDescent="0.35">
      <c r="A2" s="241" t="s">
        <v>890</v>
      </c>
      <c r="B2" s="241"/>
      <c r="C2" s="241"/>
      <c r="D2" s="241"/>
      <c r="E2" s="241"/>
      <c r="F2" s="241"/>
    </row>
    <row r="4" spans="1:6" ht="15" customHeight="1" x14ac:dyDescent="0.35">
      <c r="A4" s="242" t="s">
        <v>891</v>
      </c>
      <c r="B4" s="242"/>
      <c r="C4" s="242"/>
      <c r="D4" s="242"/>
      <c r="E4" s="242"/>
      <c r="F4" s="242"/>
    </row>
    <row r="5" spans="1:6" ht="15" customHeight="1" x14ac:dyDescent="0.35">
      <c r="A5" s="217" t="s">
        <v>892</v>
      </c>
      <c r="B5" s="217" t="s">
        <v>893</v>
      </c>
      <c r="C5" s="217" t="s">
        <v>894</v>
      </c>
      <c r="D5" s="217" t="s">
        <v>895</v>
      </c>
    </row>
    <row r="6" spans="1:6" ht="15" customHeight="1" x14ac:dyDescent="0.35">
      <c r="A6" s="218" t="s">
        <v>896</v>
      </c>
      <c r="B6" s="218" t="s">
        <v>897</v>
      </c>
      <c r="C6" s="218" t="s">
        <v>897</v>
      </c>
      <c r="D6" s="243" t="s">
        <v>898</v>
      </c>
      <c r="E6" s="243"/>
      <c r="F6" s="243"/>
    </row>
    <row r="8" spans="1:6" ht="15" customHeight="1" x14ac:dyDescent="0.35">
      <c r="A8" s="242" t="s">
        <v>899</v>
      </c>
      <c r="B8" s="242"/>
      <c r="C8" s="242"/>
      <c r="D8" s="242"/>
      <c r="E8" s="242"/>
      <c r="F8" s="242"/>
    </row>
    <row r="9" spans="1:6" ht="15" customHeight="1" x14ac:dyDescent="0.35">
      <c r="A9" s="217" t="s">
        <v>892</v>
      </c>
      <c r="B9" s="217" t="s">
        <v>893</v>
      </c>
      <c r="C9" s="217" t="s">
        <v>894</v>
      </c>
      <c r="D9" s="217" t="s">
        <v>895</v>
      </c>
    </row>
    <row r="10" spans="1:6" ht="15" customHeight="1" x14ac:dyDescent="0.35">
      <c r="A10" s="218" t="s">
        <v>900</v>
      </c>
      <c r="B10" s="218" t="s">
        <v>897</v>
      </c>
      <c r="C10" s="218" t="s">
        <v>901</v>
      </c>
      <c r="D10" s="243" t="s">
        <v>902</v>
      </c>
      <c r="E10" s="243"/>
      <c r="F10" s="243"/>
    </row>
    <row r="12" spans="1:6" ht="15" customHeight="1" x14ac:dyDescent="0.35">
      <c r="A12" s="242" t="s">
        <v>903</v>
      </c>
      <c r="B12" s="242"/>
      <c r="C12" s="242"/>
      <c r="D12" s="242"/>
      <c r="E12" s="242"/>
      <c r="F12" s="242"/>
    </row>
    <row r="13" spans="1:6" ht="15" customHeight="1" x14ac:dyDescent="0.35">
      <c r="A13" s="217" t="s">
        <v>892</v>
      </c>
      <c r="B13" s="217" t="s">
        <v>893</v>
      </c>
      <c r="C13" s="217" t="s">
        <v>894</v>
      </c>
      <c r="D13" s="217" t="s">
        <v>895</v>
      </c>
    </row>
    <row r="14" spans="1:6" ht="84" customHeight="1" x14ac:dyDescent="0.35">
      <c r="A14" s="218" t="s">
        <v>904</v>
      </c>
      <c r="B14" s="218" t="s">
        <v>905</v>
      </c>
      <c r="C14" s="218" t="s">
        <v>906</v>
      </c>
      <c r="D14" s="243" t="s">
        <v>907</v>
      </c>
      <c r="E14" s="243"/>
      <c r="F14" s="243"/>
    </row>
    <row r="16" spans="1:6" ht="15" customHeight="1" x14ac:dyDescent="0.35">
      <c r="A16" s="242" t="s">
        <v>908</v>
      </c>
      <c r="B16" s="242"/>
      <c r="C16" s="242"/>
      <c r="D16" s="242"/>
      <c r="E16" s="242"/>
      <c r="F16" s="242"/>
    </row>
    <row r="17" spans="1:6" ht="15" customHeight="1" x14ac:dyDescent="0.35">
      <c r="A17" s="217" t="s">
        <v>892</v>
      </c>
      <c r="B17" s="217" t="s">
        <v>893</v>
      </c>
      <c r="C17" s="217" t="s">
        <v>894</v>
      </c>
      <c r="D17" s="217" t="s">
        <v>895</v>
      </c>
    </row>
    <row r="18" spans="1:6" ht="79.5" customHeight="1" x14ac:dyDescent="0.35">
      <c r="A18" s="218" t="s">
        <v>904</v>
      </c>
      <c r="B18" s="218" t="s">
        <v>909</v>
      </c>
      <c r="C18" s="218" t="s">
        <v>910</v>
      </c>
      <c r="D18" s="243" t="s">
        <v>911</v>
      </c>
      <c r="E18" s="243"/>
      <c r="F18" s="243"/>
    </row>
    <row r="20" spans="1:6" ht="15" customHeight="1" x14ac:dyDescent="0.35">
      <c r="A20" s="242" t="s">
        <v>912</v>
      </c>
      <c r="B20" s="242"/>
      <c r="C20" s="242"/>
      <c r="D20" s="242"/>
      <c r="E20" s="242"/>
      <c r="F20" s="242"/>
    </row>
    <row r="21" spans="1:6" ht="15" customHeight="1" x14ac:dyDescent="0.35">
      <c r="A21" s="217" t="s">
        <v>892</v>
      </c>
      <c r="B21" s="217" t="s">
        <v>893</v>
      </c>
      <c r="C21" s="217" t="s">
        <v>894</v>
      </c>
      <c r="D21" s="217" t="s">
        <v>895</v>
      </c>
    </row>
    <row r="22" spans="1:6" ht="96" customHeight="1" x14ac:dyDescent="0.35">
      <c r="A22" s="218" t="s">
        <v>913</v>
      </c>
      <c r="B22" s="218" t="s">
        <v>897</v>
      </c>
      <c r="C22" s="218" t="s">
        <v>914</v>
      </c>
      <c r="D22" s="243" t="s">
        <v>915</v>
      </c>
      <c r="E22" s="243"/>
      <c r="F22" s="243"/>
    </row>
    <row r="24" spans="1:6" ht="15" customHeight="1" x14ac:dyDescent="0.35">
      <c r="A24" s="242" t="s">
        <v>916</v>
      </c>
      <c r="B24" s="242"/>
      <c r="C24" s="242"/>
      <c r="D24" s="242"/>
      <c r="E24" s="242"/>
      <c r="F24" s="242"/>
    </row>
    <row r="25" spans="1:6" ht="15" customHeight="1" x14ac:dyDescent="0.35">
      <c r="A25" s="217" t="s">
        <v>892</v>
      </c>
      <c r="B25" s="217" t="s">
        <v>893</v>
      </c>
      <c r="C25" s="217" t="s">
        <v>894</v>
      </c>
      <c r="D25" s="217" t="s">
        <v>895</v>
      </c>
    </row>
    <row r="26" spans="1:6" ht="45.75" customHeight="1" x14ac:dyDescent="0.35">
      <c r="A26" s="218" t="s">
        <v>904</v>
      </c>
      <c r="B26" s="218" t="s">
        <v>917</v>
      </c>
      <c r="C26" s="218" t="s">
        <v>918</v>
      </c>
      <c r="D26" s="243" t="s">
        <v>919</v>
      </c>
      <c r="E26" s="243"/>
      <c r="F26" s="243"/>
    </row>
    <row r="28" spans="1:6" ht="15" customHeight="1" x14ac:dyDescent="0.35">
      <c r="A28" s="242" t="s">
        <v>920</v>
      </c>
      <c r="B28" s="242"/>
      <c r="C28" s="242"/>
      <c r="D28" s="242"/>
      <c r="E28" s="242"/>
      <c r="F28" s="242"/>
    </row>
    <row r="29" spans="1:6" ht="15" customHeight="1" x14ac:dyDescent="0.35">
      <c r="A29" s="217" t="s">
        <v>892</v>
      </c>
      <c r="B29" s="217" t="s">
        <v>893</v>
      </c>
      <c r="C29" s="217" t="s">
        <v>894</v>
      </c>
      <c r="D29" s="217" t="s">
        <v>895</v>
      </c>
    </row>
    <row r="30" spans="1:6" ht="24" customHeight="1" x14ac:dyDescent="0.35">
      <c r="A30" s="218" t="s">
        <v>921</v>
      </c>
      <c r="B30" s="218" t="s">
        <v>922</v>
      </c>
      <c r="C30" s="218" t="s">
        <v>923</v>
      </c>
      <c r="D30" s="243" t="s">
        <v>924</v>
      </c>
      <c r="E30" s="243"/>
      <c r="F30" s="243"/>
    </row>
    <row r="32" spans="1:6" ht="15" customHeight="1" x14ac:dyDescent="0.35">
      <c r="A32" s="242" t="s">
        <v>925</v>
      </c>
      <c r="B32" s="242"/>
      <c r="C32" s="242"/>
      <c r="D32" s="242"/>
      <c r="E32" s="242"/>
      <c r="F32" s="242"/>
    </row>
    <row r="33" spans="1:6" ht="15" customHeight="1" x14ac:dyDescent="0.35">
      <c r="A33" s="217" t="s">
        <v>892</v>
      </c>
      <c r="B33" s="217" t="s">
        <v>893</v>
      </c>
      <c r="C33" s="217" t="s">
        <v>894</v>
      </c>
      <c r="D33" s="217" t="s">
        <v>895</v>
      </c>
    </row>
    <row r="34" spans="1:6" ht="99.75" customHeight="1" x14ac:dyDescent="0.35">
      <c r="A34" s="218" t="s">
        <v>904</v>
      </c>
      <c r="B34" s="218" t="s">
        <v>926</v>
      </c>
      <c r="C34" s="218" t="s">
        <v>927</v>
      </c>
      <c r="D34" s="243" t="s">
        <v>928</v>
      </c>
      <c r="E34" s="243"/>
      <c r="F34" s="243"/>
    </row>
    <row r="36" spans="1:6" ht="15" customHeight="1" x14ac:dyDescent="0.35">
      <c r="A36" s="242" t="s">
        <v>929</v>
      </c>
      <c r="B36" s="242"/>
      <c r="C36" s="242"/>
      <c r="D36" s="242"/>
      <c r="E36" s="242"/>
      <c r="F36" s="242"/>
    </row>
    <row r="37" spans="1:6" ht="15" customHeight="1" x14ac:dyDescent="0.35">
      <c r="A37" s="217" t="s">
        <v>892</v>
      </c>
      <c r="B37" s="217" t="s">
        <v>893</v>
      </c>
      <c r="C37" s="217" t="s">
        <v>894</v>
      </c>
      <c r="D37" s="217" t="s">
        <v>895</v>
      </c>
    </row>
    <row r="38" spans="1:6" ht="36" customHeight="1" x14ac:dyDescent="0.35">
      <c r="A38" s="218" t="s">
        <v>913</v>
      </c>
      <c r="B38" s="218" t="s">
        <v>897</v>
      </c>
      <c r="C38" s="218" t="s">
        <v>930</v>
      </c>
      <c r="D38" s="243" t="s">
        <v>931</v>
      </c>
      <c r="E38" s="243"/>
      <c r="F38" s="243"/>
    </row>
    <row r="40" spans="1:6" ht="15" customHeight="1" x14ac:dyDescent="0.35">
      <c r="A40" s="242" t="s">
        <v>932</v>
      </c>
      <c r="B40" s="242"/>
      <c r="C40" s="242"/>
      <c r="D40" s="242"/>
      <c r="E40" s="242"/>
      <c r="F40" s="242"/>
    </row>
    <row r="41" spans="1:6" ht="15" customHeight="1" x14ac:dyDescent="0.35">
      <c r="A41" s="217" t="s">
        <v>892</v>
      </c>
      <c r="B41" s="217" t="s">
        <v>893</v>
      </c>
      <c r="C41" s="217" t="s">
        <v>894</v>
      </c>
      <c r="D41" s="217" t="s">
        <v>895</v>
      </c>
    </row>
    <row r="42" spans="1:6" ht="180" customHeight="1" x14ac:dyDescent="0.35">
      <c r="A42" s="218" t="s">
        <v>933</v>
      </c>
      <c r="B42" s="218" t="s">
        <v>897</v>
      </c>
      <c r="C42" s="218" t="s">
        <v>934</v>
      </c>
      <c r="D42" s="243" t="s">
        <v>935</v>
      </c>
      <c r="E42" s="243"/>
      <c r="F42" s="243"/>
    </row>
    <row r="44" spans="1:6" ht="15" customHeight="1" x14ac:dyDescent="0.35">
      <c r="A44" s="242" t="s">
        <v>936</v>
      </c>
      <c r="B44" s="242"/>
      <c r="C44" s="242"/>
      <c r="D44" s="242"/>
      <c r="E44" s="242"/>
      <c r="F44" s="242"/>
    </row>
    <row r="45" spans="1:6" ht="15" customHeight="1" x14ac:dyDescent="0.35">
      <c r="A45" s="217" t="s">
        <v>892</v>
      </c>
      <c r="B45" s="217" t="s">
        <v>893</v>
      </c>
      <c r="C45" s="217" t="s">
        <v>894</v>
      </c>
      <c r="D45" s="217" t="s">
        <v>895</v>
      </c>
    </row>
    <row r="46" spans="1:6" ht="90.75" customHeight="1" x14ac:dyDescent="0.35">
      <c r="A46" s="218" t="s">
        <v>937</v>
      </c>
      <c r="B46" s="218" t="s">
        <v>897</v>
      </c>
      <c r="C46" s="218" t="s">
        <v>938</v>
      </c>
      <c r="D46" s="243" t="s">
        <v>939</v>
      </c>
      <c r="E46" s="243"/>
      <c r="F46" s="243"/>
    </row>
    <row r="48" spans="1:6" ht="15" customHeight="1" x14ac:dyDescent="0.35">
      <c r="A48" s="242" t="s">
        <v>940</v>
      </c>
      <c r="B48" s="242"/>
      <c r="C48" s="242"/>
      <c r="D48" s="242"/>
      <c r="E48" s="242"/>
      <c r="F48" s="242"/>
    </row>
    <row r="49" spans="1:6" ht="15" customHeight="1" x14ac:dyDescent="0.35">
      <c r="A49" s="217" t="s">
        <v>892</v>
      </c>
      <c r="B49" s="217" t="s">
        <v>893</v>
      </c>
      <c r="C49" s="217" t="s">
        <v>894</v>
      </c>
      <c r="D49" s="217" t="s">
        <v>895</v>
      </c>
    </row>
    <row r="50" spans="1:6" ht="27.75" customHeight="1" x14ac:dyDescent="0.35">
      <c r="A50" s="218" t="s">
        <v>904</v>
      </c>
      <c r="B50" s="218" t="s">
        <v>941</v>
      </c>
      <c r="C50" s="218" t="s">
        <v>942</v>
      </c>
      <c r="D50" s="243" t="s">
        <v>943</v>
      </c>
      <c r="E50" s="243"/>
      <c r="F50" s="243"/>
    </row>
    <row r="52" spans="1:6" ht="15" customHeight="1" x14ac:dyDescent="0.35">
      <c r="A52" s="242" t="s">
        <v>944</v>
      </c>
      <c r="B52" s="242"/>
      <c r="C52" s="242"/>
      <c r="D52" s="242"/>
      <c r="E52" s="242"/>
      <c r="F52" s="242"/>
    </row>
    <row r="53" spans="1:6" ht="15" customHeight="1" x14ac:dyDescent="0.35">
      <c r="A53" s="217" t="s">
        <v>892</v>
      </c>
      <c r="B53" s="217" t="s">
        <v>893</v>
      </c>
      <c r="C53" s="217" t="s">
        <v>894</v>
      </c>
      <c r="D53" s="217" t="s">
        <v>895</v>
      </c>
    </row>
    <row r="54" spans="1:6" ht="27.75" customHeight="1" x14ac:dyDescent="0.35">
      <c r="A54" s="218" t="s">
        <v>904</v>
      </c>
      <c r="B54" s="218" t="s">
        <v>945</v>
      </c>
      <c r="C54" s="218" t="s">
        <v>946</v>
      </c>
      <c r="D54" s="243" t="s">
        <v>947</v>
      </c>
      <c r="E54" s="243"/>
      <c r="F54" s="243"/>
    </row>
    <row r="56" spans="1:6" ht="15" customHeight="1" x14ac:dyDescent="0.35">
      <c r="A56" s="242" t="s">
        <v>948</v>
      </c>
      <c r="B56" s="242"/>
      <c r="C56" s="242"/>
      <c r="D56" s="242"/>
      <c r="E56" s="242"/>
      <c r="F56" s="242"/>
    </row>
    <row r="57" spans="1:6" ht="15" customHeight="1" x14ac:dyDescent="0.35">
      <c r="A57" s="217" t="s">
        <v>892</v>
      </c>
      <c r="B57" s="217" t="s">
        <v>893</v>
      </c>
      <c r="C57" s="217" t="s">
        <v>894</v>
      </c>
      <c r="D57" s="217" t="s">
        <v>895</v>
      </c>
    </row>
    <row r="58" spans="1:6" ht="60" customHeight="1" x14ac:dyDescent="0.35">
      <c r="A58" s="218" t="s">
        <v>921</v>
      </c>
      <c r="B58" s="218" t="s">
        <v>949</v>
      </c>
      <c r="C58" s="218" t="s">
        <v>950</v>
      </c>
      <c r="D58" s="243" t="s">
        <v>951</v>
      </c>
      <c r="E58" s="243"/>
      <c r="F58" s="243"/>
    </row>
    <row r="60" spans="1:6" ht="15" customHeight="1" x14ac:dyDescent="0.35">
      <c r="A60" s="242" t="s">
        <v>952</v>
      </c>
      <c r="B60" s="242"/>
      <c r="C60" s="242"/>
      <c r="D60" s="242"/>
      <c r="E60" s="242"/>
      <c r="F60" s="242"/>
    </row>
    <row r="61" spans="1:6" ht="15" customHeight="1" x14ac:dyDescent="0.35">
      <c r="A61" s="217" t="s">
        <v>892</v>
      </c>
      <c r="B61" s="217" t="s">
        <v>893</v>
      </c>
      <c r="C61" s="217" t="s">
        <v>894</v>
      </c>
      <c r="D61" s="217" t="s">
        <v>895</v>
      </c>
    </row>
    <row r="62" spans="1:6" ht="96" customHeight="1" x14ac:dyDescent="0.35">
      <c r="A62" s="218" t="s">
        <v>921</v>
      </c>
      <c r="B62" s="218" t="s">
        <v>953</v>
      </c>
      <c r="C62" s="218" t="s">
        <v>954</v>
      </c>
      <c r="D62" s="243" t="s">
        <v>955</v>
      </c>
      <c r="E62" s="243"/>
      <c r="F62" s="243"/>
    </row>
    <row r="64" spans="1:6" ht="15" customHeight="1" x14ac:dyDescent="0.35">
      <c r="A64" s="242" t="s">
        <v>956</v>
      </c>
      <c r="B64" s="242"/>
      <c r="C64" s="242"/>
      <c r="D64" s="242"/>
      <c r="E64" s="242"/>
      <c r="F64" s="242"/>
    </row>
    <row r="65" spans="1:6" ht="15" customHeight="1" x14ac:dyDescent="0.35">
      <c r="A65" s="217" t="s">
        <v>892</v>
      </c>
      <c r="B65" s="217" t="s">
        <v>893</v>
      </c>
      <c r="C65" s="217" t="s">
        <v>894</v>
      </c>
      <c r="D65" s="217" t="s">
        <v>895</v>
      </c>
    </row>
    <row r="66" spans="1:6" ht="177" customHeight="1" x14ac:dyDescent="0.35">
      <c r="A66" s="218" t="s">
        <v>904</v>
      </c>
      <c r="B66" s="218" t="s">
        <v>957</v>
      </c>
      <c r="C66" s="218" t="s">
        <v>958</v>
      </c>
      <c r="D66" s="243" t="s">
        <v>959</v>
      </c>
      <c r="E66" s="243"/>
      <c r="F66" s="243"/>
    </row>
    <row r="68" spans="1:6" ht="15" customHeight="1" x14ac:dyDescent="0.35">
      <c r="A68" s="242" t="s">
        <v>960</v>
      </c>
      <c r="B68" s="242"/>
      <c r="C68" s="242"/>
      <c r="D68" s="242"/>
      <c r="E68" s="242"/>
      <c r="F68" s="242"/>
    </row>
    <row r="69" spans="1:6" ht="15" customHeight="1" x14ac:dyDescent="0.35">
      <c r="A69" s="217" t="s">
        <v>892</v>
      </c>
      <c r="B69" s="217" t="s">
        <v>893</v>
      </c>
      <c r="C69" s="217" t="s">
        <v>894</v>
      </c>
      <c r="D69" s="217" t="s">
        <v>895</v>
      </c>
    </row>
    <row r="70" spans="1:6" ht="15" customHeight="1" x14ac:dyDescent="0.35">
      <c r="A70" s="218" t="s">
        <v>904</v>
      </c>
      <c r="B70" s="218" t="s">
        <v>961</v>
      </c>
      <c r="C70" s="218" t="s">
        <v>962</v>
      </c>
      <c r="D70" s="243" t="s">
        <v>963</v>
      </c>
      <c r="E70" s="243"/>
      <c r="F70" s="243"/>
    </row>
    <row r="72" spans="1:6" ht="15" customHeight="1" x14ac:dyDescent="0.35">
      <c r="A72" s="242" t="s">
        <v>964</v>
      </c>
      <c r="B72" s="242"/>
      <c r="C72" s="242"/>
      <c r="D72" s="242"/>
      <c r="E72" s="242"/>
      <c r="F72" s="242"/>
    </row>
    <row r="73" spans="1:6" ht="15" customHeight="1" x14ac:dyDescent="0.35">
      <c r="A73" s="217" t="s">
        <v>892</v>
      </c>
      <c r="B73" s="217" t="s">
        <v>893</v>
      </c>
      <c r="C73" s="217" t="s">
        <v>894</v>
      </c>
      <c r="D73" s="217" t="s">
        <v>895</v>
      </c>
    </row>
    <row r="74" spans="1:6" ht="60" customHeight="1" x14ac:dyDescent="0.35">
      <c r="A74" s="218" t="s">
        <v>904</v>
      </c>
      <c r="B74" s="218" t="s">
        <v>965</v>
      </c>
      <c r="C74" s="218" t="s">
        <v>966</v>
      </c>
      <c r="D74" s="243" t="s">
        <v>967</v>
      </c>
      <c r="E74" s="243"/>
      <c r="F74" s="243"/>
    </row>
    <row r="76" spans="1:6" ht="15" customHeight="1" x14ac:dyDescent="0.35">
      <c r="A76" s="242" t="s">
        <v>968</v>
      </c>
      <c r="B76" s="242"/>
      <c r="C76" s="242"/>
      <c r="D76" s="242"/>
      <c r="E76" s="242"/>
      <c r="F76" s="242"/>
    </row>
    <row r="77" spans="1:6" ht="15" customHeight="1" x14ac:dyDescent="0.35">
      <c r="A77" s="217" t="s">
        <v>892</v>
      </c>
      <c r="B77" s="217" t="s">
        <v>893</v>
      </c>
      <c r="C77" s="217" t="s">
        <v>894</v>
      </c>
      <c r="D77" s="217" t="s">
        <v>895</v>
      </c>
    </row>
    <row r="78" spans="1:6" ht="24" customHeight="1" x14ac:dyDescent="0.35">
      <c r="A78" s="218" t="s">
        <v>904</v>
      </c>
      <c r="B78" s="218" t="s">
        <v>969</v>
      </c>
      <c r="C78" s="218" t="s">
        <v>970</v>
      </c>
      <c r="D78" s="243" t="s">
        <v>971</v>
      </c>
      <c r="E78" s="243"/>
      <c r="F78" s="243"/>
    </row>
  </sheetData>
  <mergeCells count="40">
    <mergeCell ref="D70:F70"/>
    <mergeCell ref="A72:F72"/>
    <mergeCell ref="D74:F74"/>
    <mergeCell ref="A76:F76"/>
    <mergeCell ref="D78:F78"/>
    <mergeCell ref="A60:F60"/>
    <mergeCell ref="D62:F62"/>
    <mergeCell ref="A64:F64"/>
    <mergeCell ref="D66:F66"/>
    <mergeCell ref="A68:F68"/>
    <mergeCell ref="D50:F50"/>
    <mergeCell ref="A52:F52"/>
    <mergeCell ref="D54:F54"/>
    <mergeCell ref="A56:F56"/>
    <mergeCell ref="D58:F58"/>
    <mergeCell ref="A40:F40"/>
    <mergeCell ref="D42:F42"/>
    <mergeCell ref="A44:F44"/>
    <mergeCell ref="D46:F46"/>
    <mergeCell ref="A48:F48"/>
    <mergeCell ref="D30:F30"/>
    <mergeCell ref="A32:F32"/>
    <mergeCell ref="D34:F34"/>
    <mergeCell ref="A36:F36"/>
    <mergeCell ref="D38:F38"/>
    <mergeCell ref="A20:F20"/>
    <mergeCell ref="D22:F22"/>
    <mergeCell ref="A24:F24"/>
    <mergeCell ref="D26:F26"/>
    <mergeCell ref="A28:F28"/>
    <mergeCell ref="D10:F10"/>
    <mergeCell ref="A12:F12"/>
    <mergeCell ref="D14:F14"/>
    <mergeCell ref="A16:F16"/>
    <mergeCell ref="D18:F18"/>
    <mergeCell ref="A1:F1"/>
    <mergeCell ref="A2:F2"/>
    <mergeCell ref="A4:F4"/>
    <mergeCell ref="D6:F6"/>
    <mergeCell ref="A8:F8"/>
  </mergeCell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zoomScaleNormal="100" workbookViewId="0">
      <selection activeCell="F7" sqref="F7"/>
    </sheetView>
  </sheetViews>
  <sheetFormatPr defaultColWidth="10.6328125" defaultRowHeight="14.5" x14ac:dyDescent="0.35"/>
  <sheetData/>
  <pageMargins left="0.7" right="0.7" top="0.75" bottom="0.75" header="0.511811023622047" footer="0.51180555555555596"/>
  <pageSetup orientation="portrait" horizontalDpi="300" verticalDpi="300"/>
  <headerFooter>
    <oddFooter>&amp;L&amp;"Arial Narrow,Regular"&amp;8 &amp;F&amp;C&amp;"Arial Narrow,Regular"&amp;8 &amp;A - &amp;D &amp;T&amp;R&amp;"Arial,Regular" &amp;P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Instructions</vt:lpstr>
      <vt:lpstr>Action Items</vt:lpstr>
      <vt:lpstr>Current Positions</vt:lpstr>
      <vt:lpstr>Monitor &amp; Recheck Triggers</vt:lpstr>
      <vt:lpstr>Price History</vt:lpstr>
      <vt:lpstr>Dashboard</vt:lpstr>
      <vt:lpstr>Scoring</vt:lpstr>
      <vt:lpstr>Entry Checklist</vt:lpstr>
      <vt:lpstr>Market Data</vt:lpstr>
      <vt:lpstr>Returns (Calc)</vt:lpstr>
      <vt:lpstr>Correlation Matrix</vt:lpstr>
      <vt:lpstr>Portfolio Drawdown Log</vt:lpstr>
      <vt:lpstr>Watch List Tracker</vt:lpstr>
      <vt:lpstr>Implied-Return Calculator</vt:lpstr>
      <vt:lpstr>Holding Monitor</vt:lpstr>
      <vt:lpstr>Performance Tracking</vt:lpstr>
      <vt:lpstr>Journal</vt:lpstr>
      <vt:lpstr>Process Checklist</vt:lpstr>
      <vt:lpstr>Open Items</vt:lpstr>
      <vt:lpstr>Schema Reference</vt:lpstr>
      <vt:lpstr>Scratchpad (disregard)</vt:lpstr>
      <vt:lpstr>MON_SignalsAsOf</vt:lpstr>
      <vt:lpstr>Journal!Print_Area</vt:lpstr>
      <vt:lpstr>PT_AsOf</vt:lpstr>
      <vt:lpstr>PT_Inception</vt:lpstr>
      <vt:lpstr>PT_SPY_0805</vt:lpstr>
      <vt:lpstr>PT_SPY_1231</vt:lpstr>
      <vt:lpstr>PT_SPY_Now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Alan Landry</cp:lastModifiedBy>
  <cp:revision>273</cp:revision>
  <cp:lastPrinted>2026-09-13T01:05:49Z</cp:lastPrinted>
  <dcterms:created xsi:type="dcterms:W3CDTF">2026-08-05T19:31:08Z</dcterms:created>
  <dcterms:modified xsi:type="dcterms:W3CDTF">2026-10-06T13:26:26Z</dcterms:modified>
  <dc:language>en-US</dc:language>
</cp:coreProperties>
</file>