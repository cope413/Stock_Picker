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<sst xmlns="http://schemas.openxmlformats.org/spreadsheetml/2006/main" count="2151" uniqueCount="851">
  <si>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</si>
  <si>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</si>
  <si>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</si>
  <si>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</si>
  <si>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</si>
  <si>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</si>
  <si>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</si>
  <si>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</si>
  <si>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</si>
  <si>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</si>
  <si>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</si>
  <si>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</si>
  <si>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</si>
  <si>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</si>
  <si>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</si>
  <si>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</si>
  <si>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</si>
  <si>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</si>
  <si>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</si>
  <si>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38 (Part 7) — Correlation Cap: no position may carry pairwise correlation above 0.70 with more</t>
  </si>
  <si>
    <t xml:space="preserve">than one other holding at the same time.</t>
  </si>
  <si>
    <t xml:space="preserve">Rule 39 (Part 7) — Portfolio drawdown response levels apply automatically; only a documented Tier 1</t>
  </si>
  <si>
    <t xml:space="preserve">re-score restores normal sizing for an affected security.</t>
  </si>
  <si>
    <t xml:space="preserve">Rule 34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</si>
  <si>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</si>
  <si>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</si>
  <si>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</si>
  <si>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</si>
  <si>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</si>
  <si>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</si>
  <si>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</si>
  <si>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</si>
  <si>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</si>
  <si>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</si>
  <si>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</si>
  <si>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</si>
  <si>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</si>
  <si>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</si>
  <si>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</si>
  <si>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</si>
  <si>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</si>
  <si>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</si>
  <si>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each Saturday after the Friday close by `python -m landry weekly` (`landry market` on demand; the same run refreshes the Monitor tab's earnings dates, col J),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</si>
  <si>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</si>
  <si>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</si>
  <si>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</si>
  <si>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</si>
  <si>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</si>
  <si>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</si>
  <si>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</si>
  <si>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</si>
  <si>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</si>
  <si>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</si>
  <si>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32-36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</si>
  <si>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</si>
  <si>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</si>
  <si>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</si>
  <si>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22-31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</si>
  <si>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</si>
  <si>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</si>
  <si>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</si>
  <si>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</si>
  <si>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</si>
  <si>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</si>
  <si>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</si>
  <si>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</si>
  <si>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</si>
  <si>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</si>
  <si>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</si>
  <si>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</si>
  <si>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</si>
  <si>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</si>
  <si>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</si>
  <si>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</si>
  <si>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</si>
  <si>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</si>
  <si>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</si>
  <si>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</si>
  <si>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the 9/30/2026 statements (GE/NFLX bought 9/30, settled 10/1; prices refresh in Excel)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</si>
  <si>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</si>
  <si>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</si>
  <si>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</si>
  <si>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</si>
  <si>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</si>
  <si>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</si>
  <si>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</si>
  <si>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</si>
  <si>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</si>
  <si>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</si>
  <si>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</si>
  <si>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</si>
  <si>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</si>
  <si>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</si>
  <si>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</si>
  <si>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</si>
  <si>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</si>
  <si>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</si>
  <si>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</si>
  <si>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</si>
  <si>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</si>
  <si>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</si>
  <si>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</si>
  <si>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</si>
  <si>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</si>
  <si>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</si>
  <si>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</si>
  <si>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</si>
  <si>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</si>
  <si>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</si>
  <si>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</si>
  <si>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</si>
  <si>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</si>
  <si>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</si>
  <si>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</si>
  <si>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</si>
  <si>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</si>
  <si>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</si>
  <si>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</si>
  <si>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</si>
  <si>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</si>
  <si>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</si>
  <si>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</si>
  <si>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</si>
  <si>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</si>
  <si>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</si>
  <si>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</si>
  <si>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</si>
  <si>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</si>
  <si>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</si>
  <si>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</si>
  <si>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</si>
  <si>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</si>
  <si>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</si>
  <si>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</si>
  <si>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</si>
  <si>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</si>
  <si>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</si>
  <si>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</si>
  <si>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</si>
  <si>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</si>
  <si>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</si>
  <si>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</si>
  <si>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</si>
  <si>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</si>
  <si>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</si>
  <si>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</si>
  <si>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</si>
  <si>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</si>
  <si>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</si>
  <si>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</si>
  <si>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</si>
  <si>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</si>
  <si>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</si>
  <si>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</si>
  <si>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</si>
  <si>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</si>
  <si>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</si>
  <si>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</si>
  <si>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</si>
  <si>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</si>
  <si>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</si>
  <si>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</si>
  <si>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</si>
  <si>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</si>
  <si>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</si>
  <si>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</si>
  <si>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</si>
  <si>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</si>
  <si>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</si>
  <si>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</si>
  <si>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</si>
  <si>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</si>
  <si>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</si>
  <si>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</si>
  <si>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</si>
  <si>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</si>
  <si>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</si>
  <si>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</si>
  <si>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</si>
  <si>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</si>
  <si>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</si>
  <si>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</si>
  <si>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</si>
  <si>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</si>
  <si>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</si>
  <si>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</si>
  <si>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</si>
  <si>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</si>
  <si>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</si>
  <si>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</si>
  <si>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</si>
  <si>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</si>
  <si>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</si>
  <si>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
10/4/26: tied to the 9/30/26 statements (Fidelity X64-063711 $406,372.50; Chase 735-43693 $315,412.66). Every share count and cost basis already matched. Cash corrected: FZDXX 92,777.34 -&gt; 38,154.18 (statement 82,695.93 less the $44,541.75 GE/NFLX buy that settled 10/1), FZFXX 0 -&gt; 1,174.01, QACDS 1,853.89 -&gt; 10,849.71; cash cost basis set equal to value (cash has no gain/loss -- this also clears the understated combined unrealized G/L). The old FZDXX figure had ignored September's outflows ($36,519.99 withdrawn, $18,448.63 of Visa buys). Prices are still the workbook's own (refresh in Excel), which is why the combined total here still reads about $10.4K above the statements. See Journal row 81.</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</si>
  <si>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</si>
  <si>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</si>
  <si>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</si>
  <si>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</si>
  <si>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</si>
  <si>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</si>
  <si>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</si>
  <si>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</si>
  <si>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</si>
  <si>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</si>
  <si>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</si>
  <si>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</si>
  <si>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</si>
  <si>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</si>
  <si>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</si>
  <si>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</si>
  <si>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</si>
  <si>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</si>
  <si>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</si>
  <si>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</si>
  <si>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</si>
  <si>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</si>
  <si>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</si>
  <si>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</si>
  <si>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</si>
  <si>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</si>
  <si>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</si>
  <si>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</si>
  <si>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</si>
  <si>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</si>
  <si>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</si>
  <si>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</si>
  <si>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</si>
  <si>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</si>
  <si>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</si>
  <si>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</si>
  <si>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</si>
  <si>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</si>
  <si>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</si>
  <si>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</si>
  <si>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</si>
  <si>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</si>
  <si>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</si>
  <si>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</si>
  <si>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</si>
  <si>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</si>
  <si>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</si>
  <si>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</si>
  <si>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</si>
  <si>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</si>
  <si>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</si>
  <si>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</si>
  <si>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</si>
  <si>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</si>
  <si>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</si>
  <si>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</si>
  <si>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</si>
  <si>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</si>
  <si>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</si>
  <si>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</si>
  <si>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</si>
  <si>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</si>
  <si>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</si>
  <si>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</si>
  <si>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</si>
  <si>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</si>
  <si>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</si>
  <si>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</si>
  <si>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</si>
  <si>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</si>
  <si>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</si>
  <si>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</si>
  <si>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</si>
  <si>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</si>
  <si>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</si>
  <si>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</si>
  <si>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</si>
  <si>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</si>
  <si>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</si>
  <si>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</si>
  <si>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</si>
  <si>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</si>
  <si>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</si>
  <si>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Weekly closing price ($), week-ending Friday, dividend-adjusted so week-over-week changes are total returns (Rule 38: 24-month target, 12-month minimum, 36-month max). One column per held position (ex-cash sweeps): keep it current with `python -m landry prices` (status / append / rebuild / add TICKER).</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</si>
  <si>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</si>
  <si>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</si>
  <si>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</si>
  <si>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</si>
  <si>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</si>
  <si>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</si>
  <si>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</si>
  <si>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</si>
  <si>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</si>
  <si>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</si>
  <si>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</si>
  <si>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</si>
  <si>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</si>
  <si>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</si>
  <si>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</si>
  <si>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</si>
  <si>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</si>
  <si>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</si>
  <si>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</si>
  <si>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</si>
  <si>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</si>
  <si>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</si>
  <si>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</si>
  <si>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</si>
  <si>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</si>
  <si>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</si>
  <si>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</si>
  <si>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</si>
  <si>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</si>
  <si>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</si>
  <si>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</si>
  <si>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</si>
  <si>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</si>
  <si>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</si>
  <si>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</si>
  <si>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</si>
  <si>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</si>
  <si>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</si>
  <si>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</si>
  <si>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</si>
  <si>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</si>
  <si>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</si>
  <si>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</si>
  <si>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</si>
  <si>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</si>
  <si>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</si>
  <si>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</si>
  <si>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</si>
  <si>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</si>
  <si>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</si>
  <si>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</si>
  <si>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</si>
  <si>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</si>
  <si>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</si>
  <si>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</si>
  <si>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</si>
  <si>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</si>
  <si>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</si>
  <si>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</si>
  <si>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</si>
  <si>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</si>
  <si>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</si>
  <si>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</si>
  <si>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</si>
  <si>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</si>
  <si>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</si>
  <si>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</si>
  <si>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</si>
  <si>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</si>
  <si>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</si>
  <si>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</si>
  <si>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</si>
  <si>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</si>
  <si>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</si>
  <si>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</si>
  <si>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</si>
  <si>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</si>
  <si>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</si>
  <si>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</si>
  <si>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</si>
  <si>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</si>
  <si>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</si>
  <si>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</si>
  <si>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</si>
  <si>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</si>
  <si>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</si>
  <si>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</si>
  <si>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</si>
  <si>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</si>
  <si>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</si>
  <si>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</si>
  <si>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</si>
  <si>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</si>
  <si>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</si>
  <si>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</si>
  <si>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</si>
  <si>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</si>
  <si>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</si>
  <si>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</si>
  <si>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</si>
  <si>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</si>
  <si>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</si>
  <si>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</si>
  <si>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</si>
  <si>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</si>
  <si>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</si>
  <si>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</si>
  <si>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</si>
  <si>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</si>
  <si>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</si>
  <si>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</si>
  <si>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</si>
  <si>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</si>
  <si>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</si>
  <si>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</si>
  <si>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</si>
  <si>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</si>
  <si>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</si>
  <si>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</si>
  <si>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</si>
  <si>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</si>
  <si>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</si>
  <si>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</si>
  <si>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</si>
  <si>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ABT</t>
  </si>
  <si>
    <t xml:space="preserve">Abbott Laboratories</t>
  </si>
  <si>
    <t xml:space="preserve">Medical Devices</t>
  </si>
  <si>
    <t xml:space="preserve">SLB</t>
  </si>
  <si>
    <t xml:space="preserve">SLB N.V.</t>
  </si>
  <si>
    <t xml:space="preserve">VEEV</t>
  </si>
  <si>
    <t xml:space="preserve">Veeva Systems Inc.</t>
  </si>
  <si>
    <t xml:space="preserve">Health Information Services</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</si>
  <si>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</si>
  <si>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</si>
  <si>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</si>
  <si>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</si>
  <si>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</si>
  <si>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</si>
  <si>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8-9)</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</si>
  <si>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</si>
  <si>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</si>
  <si>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</si>
  <si>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</si>
  <si>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</si>
  <si>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</si>
  <si>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</si>
  <si>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</si>
  <si>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</si>
  <si>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</si>
  <si>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</si>
  <si>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each Saturday by `python -m landry weekly`,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</si>
  <si>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</si>
  <si>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</si>
  <si>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</si>
  <si>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</si>
  <si>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</si>
  <si>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</si>
  <si>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</si>
  <si>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</si>
  <si>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</si>
  <si>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</si>
  <si>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</si>
  <si>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</si>
  <si>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</si>
  <si>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</si>
  <si>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</si>
  <si>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</si>
  <si>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</si>
  <si>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</si>
  <si>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</si>
  <si>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</si>
  <si>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</si>
  <si>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</si>
  <si>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</si>
  <si>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</si>
  <si>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</si>
  <si>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</si>
  <si>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</si>
  <si>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</si>
  <si>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</si>
  <si>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</si>
  <si>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</si>
  <si>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38-39).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</si>
  <si>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</si>
  <si>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</si>
  <si>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</si>
  <si>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</si>
  <si>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</si>
  <si>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</si>
  <si>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</si>
  <si>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</si>
  <si>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Corrected 10/4/26 to the 9/30 statements, net of $20,019.99 external withdrawals (Part 7); was 776,662.72 -- see Journal row 81.</t>
  </si>
  <si>
    <t xml:space="preserve">Tracks every holding in Probationary Hold (50-64) or Exit Review (35-49) per Part 6. The 90-day deadline and its consequence are calculated automatically — this tab is what makes Rules 32-36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</si>
  <si>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</si>
  <si>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</si>
  <si>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</si>
  <si>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</si>
  <si>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</si>
  <si>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</si>
  <si>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</si>
  <si>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</si>
  <si>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</si>
  <si>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</si>
  <si>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</si>
  <si>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Probationary Hold</t>
  </si>
  <si>
    <t xml:space="preserve">Rule 34 (Early Partial Trim) now applies -- next reconfirmation of FCF Margin Trend/ROIC (via a new filing or scheduled re-score) before 12/12/26 with no improvement triggers a 1/3 trim. Not yet triggered; entry itself does not count. Alan: market already pricing this in (CRWD down 10-15% over prior 2 weeks) -- deserves watching, not an immediate action. Credible Remediation Plan not yet assessed.</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</si>
  <si>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</si>
  <si>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</si>
  <si>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</si>
  <si>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</si>
  <si>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</si>
  <si>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</si>
  <si>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</si>
  <si>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</si>
  <si>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</si>
  <si>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</si>
  <si>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</si>
  <si>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</si>
  <si>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</si>
  <si>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</si>
  <si>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</si>
  <si>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</si>
  <si>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</si>
  <si>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</si>
  <si>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22-26) — flags if declined 2 consecutive periods</t>
  </si>
  <si>
    <t xml:space="preserve">VALUATION / SIZING TRIGGERS (Rules 27-31)</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</si>
  <si>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</si>
  <si>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</si>
  <si>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</si>
  <si>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</si>
  <si>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</si>
  <si>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</si>
  <si>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</si>
  <si>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</si>
  <si>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</si>
  <si>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</si>
  <si>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</si>
  <si>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</si>
  <si>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</si>
  <si>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</si>
  <si>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</si>
  <si>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</si>
  <si>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</si>
  <si>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</si>
  <si>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</si>
  <si>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</si>
  <si>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</si>
  <si>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</si>
  <si>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</si>
  <si>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</si>
  <si>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</si>
  <si>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</si>
  <si>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</si>
  <si>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</si>
  <si>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</si>
  <si>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</si>
  <si>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</si>
  <si>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</si>
  <si>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</si>
  <si>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</si>
  <si>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</si>
  <si>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</si>
  <si>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</si>
  <si>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</si>
  <si>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</si>
  <si>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</si>
  <si>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</si>
  <si>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</si>
  <si>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</si>
  <si>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</si>
  <si>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</si>
  <si>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</si>
  <si>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</si>
  <si>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</si>
  <si>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</si>
  <si>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</si>
  <si>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</si>
  <si>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</si>
  <si>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</si>
  <si>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</si>
  <si>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</si>
  <si>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</si>
  <si>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</si>
  <si>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</si>
  <si>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</si>
  <si>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</si>
  <si>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</si>
  <si>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</si>
  <si>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</si>
  <si>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</si>
  <si>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</si>
  <si>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</si>
  <si>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</si>
  <si>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</si>
  <si>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</si>
  <si>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</si>
  <si>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</si>
  <si>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</si>
  <si>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</si>
  <si>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</si>
  <si>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</si>
  <si>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</si>
  <si>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</si>
  <si>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</si>
  <si>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</si>
  <si>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</si>
  <si>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</si>
  <si>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</si>
  <si>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</si>
  <si>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</si>
  <si>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</si>
  <si>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</si>
  <si>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</si>
  <si>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</si>
  <si>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</si>
  <si>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</si>
  <si>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</si>
  <si>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</si>
  <si>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</si>
  <si>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</si>
  <si>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</si>
  <si>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</si>
  <si>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</si>
  <si>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</si>
  <si>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</si>
  <si>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</si>
  <si>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</si>
  <si>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</si>
  <si>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</si>
  <si>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</si>
  <si>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</si>
  <si>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</si>
  <si>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</si>
  <si>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</si>
  <si>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</si>
  <si>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</si>
  <si>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</si>
  <si>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</si>
  <si>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</si>
  <si>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</si>
  <si>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</si>
  <si>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</si>
  <si>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</si>
  <si>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</si>
  <si>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</si>
  <si>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</si>
  <si>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</si>
  <si>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</si>
  <si>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</si>
  <si>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</si>
  <si>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</si>
  <si>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</si>
  <si>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</si>
  <si>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</si>
  <si>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</si>
  <si>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</si>
  <si>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</si>
  <si>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</si>
  <si>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</si>
  <si>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</si>
  <si>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</si>
  <si>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</si>
  <si>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</si>
  <si>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</si>
  <si>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</si>
  <si>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</si>
  <si>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</si>
  <si>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</si>
  <si>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</si>
  <si>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</si>
  <si>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</si>
  <si>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</si>
  <si>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</si>
  <si>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</si>
  <si>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</si>
  <si>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</si>
  <si>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</si>
  <si>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</si>
  <si>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</si>
  <si>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</si>
  <si>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 xml:space="preserve">AZN,OKE,INTU</t>
  </si>
  <si>
    <t xml:space="preserve">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</si>
  <si>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 xml:space="preserve">AZN,INTU</t>
  </si>
  <si>
    <t xml:space="preserve">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</si>
  <si>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 xml:space="preserve">CANDIDATE-SCREENING-PRIORITY</t>
  </si>
  <si>
    <t xml:space="preserve">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</si>
  <si>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 xml:space="preserve">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</si>
  <si>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 xml:space="preserve">DB-PHASE-C-SWITCH-ON</t>
  </si>
  <si>
    <t xml:space="preserve">Switched on (Alan, 10/2/26): the Journal and the Portfolio Drawdown Log are now generated from landry.db (LANDRY_DATABASE_DESIGN.md, Phase C steps 1-3). Entries for these two tabs are written ONLY with `python -m landry journal add|edit` and `drawdown add|edit` -- never by editing the tab. Each write refuses if Excel has the workbook open or if the database and the tab disagree (`python -m landry db status`; resolve with `db pull` when the workbook is right, `db regenerate` when the database is). Until Turso the committed workbook stays the source of truth and landry.db is a local, rebuildable cache.
This entry was the first write. Regenerating normalized the existing Journal rows: column-B wrap is on for every row and row heights are re-fit, so the compact one-line view on rows 54-74 is gone. The Drawdown Log's formulas, including the Part 7 band thresholds, now live in landry/generate.py -- change them there, not in the sheet. Every other tab is unchanged and is still edited directly.
Validated before switching on: a dry run on a scratch copy of the live workbook changed exactly the cells written (19 of 21 sheets identical, print setup identical on all 21) and the audit baseline did not move.</t>
  </si>
  <si>
    <t xml:space="preserve">BSX,MIR,SUNB</t>
  </si>
  <si>
    <t xml:space="preserve">Screened BSX, MIR, and SUNB off Darryl's list (14 remaining before this round, 11 after). Quant drafts first (pending in landry_scores.json, none approved), then the Fidelity info-tab scan on all three and a web check on why BSX and MIR fell. Dispositions were Claude's recommendation; Alan, shown the findings, asked for the write to go ahead and changed none of them.
BSX (Healthcare): quant-only Tier 1 ~4.33 (revenue CAGR 16.5%, FCF margin 15.5% and expanding, FCF yield 5.0%; max correlation +0.33 vs NFLX) but relative_strength=1 (-59.6% vs SPY) AND technical_trend=1 -- the second candidate after INTU to trip both Rule 5 indicators, and the first where the review found a concrete fundamental cause, not sentiment alone: U.S. electrophysiology stalled (+3% in Q2 vs +23% intl; Medtronic Sphere-9 taking share), Watchman stand-alone procedures fell low-teens after new clinical evidence, FY26 organic growth guide cut to 5-6% ('limited adjusted EPS growth in 2027'), and an 8/25/26 cyber incident disrupted manufacturing and shipping, after which Q3/FY26 guidance was reportedly pulled (hit unquantified). Secondary sources only (Yahoo Finance, TIKR, Motley Fool); Fidelity lists 8-Ks dated 8/26, 9/8 and 9/23, none read yet. Offsetting: Equity Summary Score Bullish 7.5/10 (mixed panel, not INTU's decisive 1.6), P/E 17.5 vs industry 39.8 (own 5-yr avg 64.9), TTM EPS +47% vs +10.5%, short interest 3.2%. Disposition: Watch - Pending Earnings -- Revenue Visibility can't be scored while guidance is withdrawn, so no judgment-indicator work until the 10/28/26 print (confirmed). Open Items #21.
MIR: quant-only ~3.44 (thin) with relative_strength=1 (-47.0% vs SPY, Rule 5) and roic_vs_wacc=1 (2.5% vs 9.7%). Fidelity confirms the weak price: independent-firm Equity Summary Score Bearish 1.4-1.6/10 against a 91% buy-equivalent sell-side; TTM EPS $0.10, last-quarter EPS growth 0.00% vs industry +86.5%; 1-yr -38% vs industry +63%; short interest 16.9% and rising. Growth is acquisition-led, ~$20M net insider selling. Rejected. SUNB: quant-only ~3.11, marginal (revenue flat $10.86B -&gt; $10.79B -&gt; $11.15B over FY24-26); Rule 5 couldn't be evaluated (NYSE-listed only since 3/2/26, ~150 price rows); Fidelity shows no sell-side coverage, a fair valuation (P/E 22.6 vs 23.5) and in-line EPS growth. Rejected; re-screen only if wanted after ~52 weeks of U.S. history (~Mar 2027) or via the AHT.L UK listing (GBP -- FX distorts relative strength).
CANDIDATES LIST.xlsx Screen_Candidates updated for all three; tab 2 rank/colors left for Alan. The quant drafts stay pending in landry_scores.json -- nothing approved or added to the Scoring tab.</t>
  </si>
  <si>
    <t xml:space="preserve">BAX,SWK,QXO,COLD,BE,SMR,CBRS,UBER,NTRA,VEEV,ICLR</t>
  </si>
  <si>
    <t xml:space="preserve">Finished the Darryl list: screened the last 11 names (BAX, SWK, QXO, COLD, BE, SMR, CBRS, UBER, NTRA, VEEV, ICLR) in one session. Quant drafts first (pending in landry_scores.json); Fidelity scan only for names clearing the floor. Dispositions approved by Alan 10/2 -- he downgraded ICLR from Ready to Rejected and decided UBER's sector. No Darryl names remain 'Needs Initial Screen'.
Tool bug found and fixed on the way: VEEV's draft silently lacked FCF yield, FCF margin and valuation (its yfinance cash-flow statement has a reported Free Cash Flow row but no Capital Expenditure row, and nothing warned). Now derives capex as CFO minus reported FCF, warns when no FCF series exists, and `landry draft` prints the warnings; 3 tests. Only PLD (a REIT) had the same gap among 46 scored tickers.
Rejected (8): BAX (Rule 3, three Tier 1 at 2, ~2.00); SWK (Rules 2+3, revenue CAGR -3.7%, ~2.56); QXO (Rule 3, revenue base reset by an acquisition, RS and trend both 1, ~2.44); COLD (three Tier 1 at 1, ~1.00; REIT with no AFFO adaptation, but revenue shrinking regardless); BE (~2.78, below the floor, FCF negative, RS +140% is momentum not fundamentals); SMR (pre-revenue, Rule 3, ~1.56); CBRS (~3.11 marginal, FCF margin -87%, no price history so Rule 5 untestable); ICLR (~3.89 only on a 6.1% FCF yield: revenue CAGR 2.1%, ROIC 3.3% vs 9.5% WACC, GAAP EPS -94%, a 60% Jan-Feb 2026 drop two-thirds retraced -- Alan: too weak).
Watch - Pending Earnings (2): UBER (~4.33, but relative_strength=1 at -33.9% vs SPY triggers Rule 5; Fidelity score Neutral, not bearish; robotaxi and driver-wage-litigation narrative; Q3 11/2). Alan ruled it counts as Industrials, not the Technology yfinance assigns, so headroom is +23.8% instead of -0.9%; if ever scored, set the Scoring tab's sector by hand. Open Items #22. NTRA (~3.44, +154% in a year, but independent-firm score Bearish 1.5, normalized FCF -$278M after SBC, no valuation anchor -- the INTU pattern; Q3 11/4). Open Items #23.
Ready for Tier 1 (1): VEEV (~4.22, no Rule 5 trigger, Fidelity score Bullish 8.2 with no bears, EPS growth ahead of industry; +0.51 correlation with ADBE despite the Healthcare bucket). Alan OK'd full Part 12 research. CANDIDATES LIST.xlsx updated for all 11, UBER's Sector/Industry corrected; tab 2 is Alan's. Darryl list totals: 33 Rejected, 15 Ready for Tier 1, 6 Watch - Pending Earnings, 1 Watch - Pending Litigation.</t>
  </si>
  <si>
    <t xml:space="preserve">VEEV fully scored (Part 12), the last Darryl name cleared for it: Composite 81.6, STRONG BUY, all hard rules OK. Judgment scores approved by Alan 10/2: Moat 4/M, Revenue Visibility 5/M, Management 4/M, plus the nine quant drafts (the three FCF-based ones carry an adaptation note: capex derived, since VEEV's statement has no capex row). Rationales with sources are in landry_scores.json.
Evidence in brief: subscription is 82.6% of Q2 FY27 revenue and 84.0% of FY26 (over the 80% line for a 5, narrowly); 12 of the top-20 biopharmas committed to Vault CRM, gross margin 75.5% and rising, top-10 customers a steady 28% of revenue; against that, Salesforce's competing life-sciences CRM has signed Novartis, AstraZeneca, Takeda, Pfizer and Chiesi, and management's own CRM share claim is 'over 70%'. Management: founder-CEO, no cash bonus, dual-class collapsed, independent chair, first buybacks ($170M FY26, $473M in H1 FY27), no named successor.
Alan leans conservative on Moat (3 -&gt; 78.6, BUY) and approved 4 on the explicit basis that it is re-evaluated at the purchase decision. The cross-check rule (2 of 4 evidenced) is only met if gross margin counts, which the rubric labels support-only; retention and pricing power aren't disclosed. STRONG BUY is knife-edge: it needs both Moat 4 and Visibility 5, and any single downgrade makes it BUY (all variants still clear the 65 entry floor). Open Items #24.
Mechanics: Scoring row 51 (pre-built formulas; company/sector/industry filled by hand, sector Healthcare per the candidates sheet), Dashboard mirror row 50, DashboardTable A1:J50, and the Dashboard colour rules carried from row 46 to row 50 (they had stopped at 46, so KGS/NFLX/ABT/SLB were uncoloured). Written with a VEEV-only call to export_workbook rather than `landry export --scores`, which would have re-stamped every approved ticker's Date Scored, rewritten other rows from the store, and overwritten Market Data from the 9/29 snapshot. The audit's bulk_import check was tightened to also require an empty or duplicated rationale (VEEV's three same-second manual approvals each have their own text and tripped the timestamp-only version; V's identical 'BACKFILLED' notes still flag). CANDIDATES LIST.xlsx updated.</t>
  </si>
  <si>
    <t xml:space="preserve">QTR-REVIEW-1,STATEMENTS</t>
  </si>
  <si>
    <t xml:space="preserve">Q3 month-end statements (9/30/26) reconciled against the workbook -- QTR-REVIEW-1 step 1. Fidelity X64-063711 $406,372.50 + Chase 735-43693 $315,412.66 = $721,785.16; the workbook and the 9/30 Drawdown Log entry said $776,662.72 (+$54,877.56).
Positions and cost basis: every share count and every cost basis matched the statements exactly (fractional-share rounding aside) -- no missing trades. The whole gap was cash and prices. Fidelity cash was never reduced for September's outflows ($36,519.99 of withdrawals, $18,448.63 of Visa buys, less income): the workbook carried $92.8K of FZDXX against $83.9K on the statement, which itself still held the $44,541.75 that paid for GE/NFLX (bought 9/30, settled 10/1, so not on the statement). Chase's sweep was $8,995.82 low (the 9/8 $16,500 deposit net of the VRTX buy). Prices were $10.4K stale against the 9/30 closes.
Why it mattered: the wrong 9/30 value had become the running peak in the Drawdown Log and would have overstated every later drawdown.
Decision (Alan, 10/4): Drawdown Log 9/30 = $741,557.65 = statements $721,785.16 - $247.50 (GE/NFLX closed 9/30 below their fills, unsettled) + $20,019.99 net external withdrawals added back, because Part 7 measures drawdown net of external deposits and withdrawals. External: $36,500 EFT'd from Fidelity to Chase bank ****7447 (9/9 $16,500, 9/14 $20,000) plus $19.99 PayPal; the $16,500 that came into Chase brokerage on 9/8 (ACH from the same bank) nets against them. Alan confirmed 7447 is outside the System. Result: -1.3% from the 9/4 peak of $751,223.12, regime Normal (the raw statement basis would have been -3.9%, also Normal). Whether the 8/11 and 9/4 entries handled flows the same way cannot be told from these two statements -- the August ones would be needed.
Current Positions: FZDXX 92,777.34 -&gt; 38,154.18, FZFXX 0 -&gt; 1,174.01, QACDS 1,853.89 -&gt; 10,849.71, cash cost basis set equal to value (also clears the understated combined unrealized G/L noted 10/2: now $59,880). Prices left as the workbook's own, so the combined total reads $732,209.39, about $10.4K above the statements until Excel refreshes them. QTR-REVIEW-1 step 1 ticked; steps 2-4 still wait on the Price History week-close update.</t>
  </si>
  <si>
    <t xml:space="preserve">PRICE-HISTORY-REPAIR</t>
  </si>
  <si>
    <t xml:space="preserve">Price History repaired and made one-command. Alan asked for the most efficient way to record week-end closes; looking at the tab showed it was itself broken.
Found: (1) the 10/2 row held interim prices up to 9% off the real Friday closes (KLAC +9.4%, VFLO -6.9%, ASML +5.4%). (2) Around 10/1, `landry export`'s Price History block -- which writes only the first 16 tickers alphabetically -- had rewritten the header: SPMO and V each appeared twice, VRT/VRTX/HELO lost their columns, JEPQ/VFLO and the duplicate SPMO/V columns were left five weeks out of alignment (their correlations with everything read ~0), eight held positions (GE, HELO, JEPI, MLPI, NFLX, VRT, VRTX, VYM) had no column at all, and the 19 charts on Returns (Calc) -- titled by ticker, reading columns by position -- plotted the wrong instruments (the CRWD chart showed AVUV). Rule 38's matrix was partly blind to the ETFs.
Repair: restored the documented layout (B-V = the original 19 tickers, with DVY and SCHD in the two free slots P and U), rebuilt every close from one dividend-adjusted pull (which also replaces the 10/2 row with the true closes), and added VYM, MLPI, JEPI, GE and NFLX at W-AA, extending Returns (Calc) (cols AP-AT, since its W-AO hold the chart trend block) and the Correlation Matrix to 26x26. Verified: Returns (Calc) matches an independent recomputation to 5e-16, all 676 matrix cells match a pandas CORREL, and all 19 charts title the ticker they plot again.
Tooling: new `python -m landry prices status|append|rebuild|add` (landry/prices.py, 24 tests). It appends only completed Fridays; refuses unfinished weeks, moves over 35% and provider gaps; extends Returns (Calc) one row ahead, moves the footer and the charts; never reorders or drops a column. Basis is dividend-adjusted (weekly total returns, per Rule 38): append weekly, `rebuild` each quarter to restate for dividends. `landry export`'s Price History block is retired. New audit check `price_history` (duplicate/missing header tickers, holdings with no column, a blank newest row, chart title vs the column it reads). fetch_daily takes min_bars (MLPI only listed 12/18/25).
Effect on Rule 38: the matrix now reports 11 positions over the 0.70 cap (4 on the broken one): NVDA and AVGO via SPMO/JEPQ (0.73-0.75), the ETF sleeve AVUV/DVY/SCHD/VFLO/VYM plus JEPI and HELO, and KLAC/ASML at 0.77 -- consistent with Open Items #13 and the SPMO-first funding rule, now visible in the workbook. Open Items #25-27. Not done: charts for the 7 tickers added since; the 160-week history exceeds the 36-month cap because the matrix ranges do not roll.</t>
  </si>
  <si>
    <t xml:space="preserve">Follow-up to row 82: the 19 chart trend lines were wrong long before the header was clobbered. Their formulas find Price History's last row with MATCH(9.99E+307, 'Price History'!A:A), but the 'NN Weeks' footer's COUNT in column A is the last number in that column, so they read the footer row: every trend line ran from its first price down to 0 at the end, and ADBE's was an error (the text 'Weeks' sits in the footer's column B). Fixed by finding the last row from Returns (Calc) column A (it has no footer) plus one; all 19 verified to start at the first price and end at the last (HELO starts at 0 only because it listed 9/29/23).
`prices append` copies the trend formulas verbatim -- they are identical in every row, anchored to Price History row 3 -- and translates only the row-relative return and date formulas. A rehearsal of the weekly append on a scratch copy of the live workbook (simulated 10/9 data, LibreOffice recalc) caught it shifting that anchor before it ever touched the real file; the rehearsal also confirmed the footer moves to row 166 with the right count, the charts move down a row, Returns (Calc) stays one row ahead, and the price_history audit stays green.</t>
  </si>
  <si>
    <t xml:space="preserve">WEEKLY-ROUTINE</t>
  </si>
  <si>
    <t xml:space="preserve">WEEKLY-ROUTINE (10/4/26). Alan approved ("yes to both"): Claude runs the Friday-close routine every Saturday, with the Market Data refresh folded in. Follows his "from now on you handle all price updating/tracking after Friday close" and Journal row 82 (the Price History repair and `landry prices`).
WHAT: `python -m landry weekly` -- (1) `prices append` any completed Friday not yet in Price History (Returns (Calc), footer and charts follow); (2) refresh Market Data C:I and the Monitor tab's Next/Last Earnings Date (col J) for every ticker already listed, in place, from yfinance; (3) one LibreOffice recalc; (4) read Rule 38's status back and run `landry audit`. `landry market` is the same minus Price History. Code: landry/market.py, landry/weekly.py, with tests.
WHEN AND HOW: scheduled Claude task landry-weekly-friday-close, Saturdays 8:00 local (the app staggers it to ~8:14); it runs only while the Claude app is open (else on next launch). It refuses to touch the workbook while Excel has it open (reports instead; any later run catches up every missed Friday). It NEVER commits or pushes: a modified workbook on a weekend is its output, committed only when Alan says so.
GUARDS: never adds, removes or reorders rows (what the tabs cover stays Alan's call); never blanks a cell the provider has no figure for (JEPQ/SPMO market caps came from another source); never replaces a future earnings date with a past one; checks each column's header before writing. It flags a quote &gt;3% from the Friday close just appended (weekend runs), a price &gt;30% from the prior entry, and a dividend-yield unit change. Audit findings from scoring_verification (the known provenance backlog: V's bulk import, 25 tickers with no landry_scores.json trail) are reported but do not make a run "need attention" -- this routine never touches Scoring; any other audit failure does.
FIRST RUN (10/4, after the 10/2 close): 36 of 36 tickers refreshed, 163 cells changed (NVDA 227.21 -&gt; 233.95; NFLX 76.77 -&gt; 67.06, a 12.6% fall from the 9/29 figures, matching Price History's 10/2 close). Nine stale earnings dates updated (ADBE -&gt; 12/9, MU -&gt; 12/23, AVGO -&gt; 12/9, COST -&gt; 12/10, NKE -&gt; 12/17, four small revisions). Four stale yields CLEARED -- ETSY 0.54, NFLX 0.79, PLTR 0.70, MLPI 0.47: the provider reports no dividend paid in 12 months for all four, and they had sat unchanged across six commits. `landry export` no longer fills Market Data (its only source, landry_snapshot.json, was five days stale).
NOT DONE (Open Items #28): ABT, SLB and VEEV are in neither Market Data nor Monitor, and KGS is in Monitor only; the Instructions' scope rule puts all four in both. Adding Monitor rows is Table surgery, so it waits for Alan.</t>
  </si>
  <si>
    <t xml:space="preserve">MARKET-DATA-MEMBERSHIP</t>
  </si>
  <si>
    <t xml:space="preserve">MARKET-DATA-MEMBERSHIP (10/4/26). Alan approved adding the four names flagged in Open Items #28 to Market Data: ABT, SLB and VEEV (scored, on the bench) and KGS (Watch List; already in Monitor). They went in at their alphabetical places (the tab is alphabetical, nothing references it by row, and its autofilter A2:I44 already covered the extra rows); company names come from the Scoring tab and the figures were filled by `landry market` from yfinance, so all four now join the Saturday refresh. Market Data is 40 tickers, rows 3-42 (Schema Reference C38 updated). Two other rows moved only because yfinance revised their trailing P/E over the weekend (AVGO 43.8 -&gt; 45.2, VRTX 29.5 -&gt; 29.4).
The audit's reader_bound check caught a stale hardcoded `max_row=38` in xlsx_io.read_market_data the moment the rows went in (the same bound class as the earlier 27 and the Scoring/Price History readers); it now reads every row whose column A holds a ticker-shaped string, with no row bound.
Still open under #28, now Monitor only: ABT, SLB and VEEV have no row in Monitor &amp; Recheck Triggers (its own header says it covers every name that has been scored). It is a Table with array formulas that Current Positions reads by ticker, so adding rows is structural and waits for a deliberate pass with Excel closed and a check in Excel afterwards.</t>
  </si>
  <si>
    <t xml:space="preserve">TEST-REPAIR</t>
  </si>
  <si>
    <t xml:space="preserve">TEST-REPAIR (10/4/26). Alan asked for the six failing tests to be fixed. Four were rot; two turned out to be a real finding.
ROT: test_fresh_cache_not_stale read this machine's real data_cache/ (SPY's meta sidecar says "built from 2020-10-02"), so it failed here and passed on a fresh checkout -- every test in that module now gets an empty cache directory. test_read_positions_from_workbook pinned equities at 25-60% of the portfolio (75% now that the cash is deployed) -- now 0 &lt; share &lt;= 1 plus a summed-across-accounts check, and a synthetic equity_weights test. test_import_seeds_store pinned NVDA's composite at 93.2 (89.2 today) -- now compared with the workbook's own composite. test_read_performance_tab_empty_is_ok read the live tab, which holds six entries now -- now a synthetic empty tab, a synthetic populated row, and structural checks on the live entries. None of the four pins a live workbook value any more.
FINDING (Open Items #29): the other two, the engine-versus-workbook round trip and the web dashboard cross-check, were failing on three HELD positions. Scoring!Decision is a plain composite-to-band lookup and does not apply the Tier 1 gate. AVGO, VRTX and CRWD each have FCF yield and FCF margin scored 2, so their Rule 3 column reads AVOID (Part 3: two or more Tier 1 indicators at 2.0 or below "shall automatically classify the stock as Avoid"), yet Decision reads BUY, BUY and WATCH LIST, while landry.scoring and the dashboard (which flags them as mismatches) say AVOID. Part 6 maps only composite bands to Probationary Hold / Exit Review for holdings, so the rulebook does not say what Rule 3 does to a position already held. The tests now NAME the gap (KNOWN_GATE_BYPASS = AVGO, VRTX, CRWD: their numbers and flags must still agree, and the set must not change) instead of staying red or being loosened; the decision -- fix the formula, amend the rule, or document the exception -- is Alan's.
Also found: both tests assumed every scored row is complete, but the workbook now holds several part-scored candidates; they handle those explicitly now.</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</si>
  <si>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</si>
  <si>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</si>
  <si>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</si>
  <si>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</si>
  <si>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</si>
  <si>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</si>
  <si>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</si>
  <si>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</si>
  <si>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`python -m landry prices rebuild` (restates every close for dividends; `prices status` first), then confirm Rule 38 status</t>
  </si>
  <si>
    <t xml:space="preserve">Watch List Tracker -- check all 90-day deadlines (Rule 34),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</si>
  <si>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</si>
  <si>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</si>
  <si>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</si>
  <si>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</si>
  <si>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</si>
  <si>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</si>
  <si>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</si>
  <si>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</si>
  <si>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</si>
  <si>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</si>
  <si>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</si>
  <si>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</si>
  <si>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</si>
  <si>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</si>
  <si>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</si>
  <si>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</si>
  <si>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</si>
  <si>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</si>
  <si>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</si>
  <si>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</si>
  <si>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</si>
  <si>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</si>
  <si>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</si>
  <si>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</si>
  <si>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</si>
  <si>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</si>
  <si>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</si>
  <si>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</si>
  <si>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</si>
  <si>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</si>
  <si>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</si>
  <si>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</si>
  <si>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</si>
  <si>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</si>
  <si>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</si>
  <si>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</si>
  <si>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</si>
  <si>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</si>
  <si>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</si>
  <si>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</si>
  <si>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</si>
  <si>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</si>
  <si>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</si>
  <si>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</si>
  <si>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</si>
  <si>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</si>
  <si>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</si>
  <si>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</si>
  <si>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</si>
  <si>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</si>
  <si>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 xml:space="preserve">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</si>
  <si>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 xml:space="preserve">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</si>
  <si>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 xml:space="preserve">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</si>
  <si>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 xml:space="preserve">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</si>
  <si>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 xml:space="preserve">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t>
  </si>
  <si>
    <t xml:space="preserve">Portfolio Performance snapshot (simple): track in detail ONLY the System-selected equities in the portfolio over time -- excluding cash and cash equivalents.</t>
  </si>
  <si>
    <t xml:space="preserve">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t>
  </si>
  <si>
    <t xml:space="preserve">BSX: quant screen strong (~4.33) but relative_strength=1 AND technical_trend=1 both sit at the floor, triggering Rule 5. Fidelity scan + web check found a concrete fundamental cause (U.S. electrophysiology and Watchman growth stall; 8/25/26 cyber incident with Q3/FY26 guidance reportedly pulled), not sentiment alone. Held at Watch - Pending Earnings; Revenue Visibility can't be scored while guidance is withdrawn.</t>
  </si>
  <si>
    <t xml:space="preserve">See Journal row 78. Revisit after Q3 earnings 10/28/26 (confirmed): read the 8-Ks first (Fidelity lists 8/26, 9/8, 9/23) for primary-source confirmation of the guidance status and cyber impact, run a fresh `landry draft BSX`, then score the judgment indicators with --evidence only if guidance is restored. Healthcare headroom 21.6%; max correlation +0.33 (NFLX).</t>
  </si>
  <si>
    <t xml:space="preserve">UBER: quant screen strong (~4.33) but relative_strength=1 (-33.9% vs SPY) triggers Rule 5. Fidelity scan: Equity Summary Score Neutral (not decisively bearish); weakness is narrative-driven (robotaxi disruption, driver-wage litigation) rather than a fundamental break so far. Alan ruled 10/2/26 that UBER counts as Industrials, not Technology. Held at Watch - Pending Earnings.</t>
  </si>
  <si>
    <t xml:space="preserve">See Journal row 79. Revisit after Q3 earnings 11/2/26 (unconfirmed): fresh `landry draft UBER`, then the judgment indicators (Moat vs AV disintermediation, Revenue Visibility) with --evidence if the print holds. When scored, set the Scoring tab's Sector to Industrials by hand (yfinance labels it Technology).</t>
  </si>
  <si>
    <t xml:space="preserve">NTRA: quant screen clears the floor (~3.44) with no Rule 5 trigger, but Fidelity shows the INTU pattern: independent-firm Equity Summary Score Bearish 1.5 vs a 91% buy sell-side, +154% in a year, normalized FCF negative after SBC, no valuation anchor. Held at Watch - Pending Earnings.</t>
  </si>
  <si>
    <t xml:space="preserve">See Journal row 79. Revisit after Q3 earnings 11/4/26 (unconfirmed): look for normalized FCF (CFO - capex - SBC) turning positive and whether the bearish score eases before any Part 12 spend.</t>
  </si>
  <si>
    <t xml:space="preserve">VEEV: fully scored 10/2/26 -- Composite 81.6, STRONG BUY (Moat 4/M, Revenue Visibility 5/M, Management 4/M). Alan leans conservative on Moat (3 -&gt; 78.6, BUY) and approved 4 only on the basis of re-evaluating at the purchase decision. Before any buy: re-check the Moat evidence, whether subscription share is still over the 80% Visibility line, the Implied-Return entry gates (Rules 11-13), and the +0.51 correlation with ADBE (Rule 38 cap is 0.70).</t>
  </si>
  <si>
    <t xml:space="preserve">See Journal row 80. Moat 3 would give 78.6 (BUY); Moat 4 with Visibility 4 gives 79.6 (BUY) -- STRONG BUY needs both. Natural checkpoint: Q3 earnings 11/18/26 (unconfirmed) -- subscription share, Vault CRM top-20 commitments (12 at Q2), further Salesforce Life Sciences Cloud wins, any retention/pricing disclosure. Scoring row 51; Dashboard row 50.</t>
  </si>
  <si>
    <t xml:space="preserve">Rule 38 after the Price History repair (10/4/26): the Correlation Matrix now sees all 26 holdings and reports 11 positions over the 0.70 cap (4 on the broken matrix). NVDA and AVGO exceed it via SPMO and JEPQ (0.73-0.75); the ETF sleeve AVUV/DVY/SCHD/VFLO/VYM plus JEPI and HELO form a cluster at 0.73-0.90; KLAC/ASML 0.77. Decide what, if anything, to do beyond the standing 'ETFs are dry powder' treatment.</t>
  </si>
  <si>
    <t xml:space="preserve">See Journal row 82. Extends #13 (the ETF cluster) and the SPMO-first funding rule. The matrix is the source of record from 10/4/26; detail is the Correlation Matrix tab's AG column.</t>
  </si>
  <si>
    <t xml:space="preserve">Charts and trend columns for the seven tickers added to Price History after the original 19 (DVY, SCHD, VYM, MLPI, JEPI, GE, NFLX): none exist, so those names appear on the Correlation Matrix but not in Returns (Calc)'s chart block. Optional.</t>
  </si>
  <si>
    <t xml:space="preserve">See Journal row 82 and Schema Reference (Returns (Calc)). Needs new trend columns plus charts keyed to the new tickers' columns; the existing 19 are correct again.</t>
  </si>
  <si>
    <t xml:space="preserve">Price History holds 160 weeks, over Rule 38's 36-month (~156-week) maximum, and the Correlation Matrix ranges (rows 3-500) never roll, so the window only grows (~52 rows a year). Decide: roll it (drop the oldest row or use OFFSET-based ranges) or accept 3 years plus growth.</t>
  </si>
  <si>
    <t xml:space="preserve">See Journal row 82. Low urgency; `landry prices append` never deletes a row.</t>
  </si>
  <si>
    <t xml:space="preserve">Monitor tab membership: ABT, SLB and VEEV (scored, on the bench) have no row in Monitor &amp; Recheck Triggers; KGS already does. The tab's own header says it covers every name that has been scored. Market Data got all four on 10/4 (Journal row 85). Monitor is a Table with array formulas that Current Positions reads by ticker, so adding rows there is structural -- do it with Excel closed and open the result in Excel once (CLAUDE.md, row surgery). Decide: add them, or leave Monitor as the narrower list.</t>
  </si>
  <si>
    <t xml:space="preserve">See Journal rows 84 and 85. Raised while building the weekly routine; ABT/SLB were scored 9/13 (score store, Journal row 61), VEEV 10/2.</t>
  </si>
  <si>
    <t xml:space="preserve">Scoring!Decision (col AG) ignores the Tier 1 gate: it is a plain composite-to-band lookup, so a stock whose gate fails still prints a band. AVGO (BUY, 67.8), VRTX (BUY, 66.6) and CRWD (WATCH LIST, 63.4) -- all three held -- each have FCF yield and FCF margin scored 2, so their own Rule 3 column reads AVOID (Part 3: two or more Tier 1 indicators scored at 2.0 or below "shall automatically classify the stock as Avoid"). landry.scoring and the web dashboard apply Rule 3 as an outright Avoid (the dashboard flags the three as mismatches). Part 6 maps only composite bands to Probationary Hold / Exit Review for holdings, so the rulebook does not say what Rule 3 does to a position already held. Decide: (a) make Decision apply Rules 1, 3 and 4 as the engine does, which shows those three as AVOID; (b) amend Rule 3 to say how it applies to holdings; or (c) leave the formula and document the exception. Rules 1 and 4 are missing from the formula too, but no current row trips them.</t>
  </si>
  <si>
    <t xml:space="preserve">See Journal row 86 and the KNOWN_GATE_BYPASS note in tests/test_landry_scoring.py. Found 10/4/26 repairing six stale tests; the tests now name the gap (AVGO, VRTX, CRWD) rather than hide it.</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</si>
  <si>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</si>
  <si>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</si>
  <si>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</si>
  <si>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</si>
  <si>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</si>
  <si>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</si>
  <si>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</si>
  <si>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</si>
  <si>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</si>
  <si>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</si>
  <si>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</si>
  <si>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</si>
  <si>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</si>
  <si>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</si>
  <si>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</si>
  <si>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</si>
  <si>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</si>
  <si>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A2:M51 as of 2026-09-30. JT ULTRA rows 3-23 (21 positions, incl. GE/NFLX added 9/30/26), subtotal row 24, 'Excluding Cash' % in J25. Self-Directed/Chase rows 27-46 (20 positions), subtotal row 47. No separate Combined-Total or Cash-Equivalents row currently exists within the table (an earlier version of this note described rows 48-49 that way -- stale by the time this was corrected, predating 9/30/26; the combined total is JT ULTRA G24 + Chase G47, not a dedicated row). Rows 48-51 blank padding.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</si>
  <si>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</si>
  <si>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</si>
  <si>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</si>
  <si>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A2:Q48 (col N=Analyst Shift Note, mirrors K/L; RecheckStatus now P, Notes now Q; row 48 added 2026-09-11 for KGS, a tracked non-owned candidate)</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</si>
  <si>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</si>
  <si>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</si>
  <si>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</si>
  <si>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(160 consecutive Fridays), cols A + B-AA (26 ticker columns: B-V the original 21-slot layout, W-AA appended 2026-10-04). One column per held position (ex-cash sweeps). Dividend-adjusted weekly closes, week-ending Friday (Rule 38). Maintained by `python -m landry prices` (append weekly, rebuild quarterly, add TICKER) -- not by hand, and NOT by `landry export`: its old Price History block rewrote A3:Q162 from the first 16 tickers alphabetically and destroyed this layout around 2026-10-01 (retired 10/4). The 'NN Weeks' footer sits two rows under the data and moves with each append. 24-month target ~104 rows, 12-month minimum ~52 rows, 36-month max ~156 rows (the tab holds 160; the Correlation Matrix ranges do not roll).</t>
  </si>
  <si>
    <t xml:space="preserve">A=Week Ending, B onward=one column per tracked ticker (order matches Returns (Calc) and Correlation Matrix): B-V = ADBE, ANET, ASML, AVGO, CRWD, KLAC, MU, NVDA, PLD, PLTR, TSM, VRT, VRTX, AVUV, DVY, HELO, JEPQ, SPMO, VFLO, SCHD, V (the 19 original tickers, with DVY and SCHD in the two former free slots P and U); W-AA = VYM, MLPI, JEPI, GE, NFLX. A ticker is never listed twice and a holding never goes without a column -- `landry prices status` checks both.</t>
  </si>
  <si>
    <t xml:space="preserve">Dashboard</t>
  </si>
  <si>
    <t xml:space="preserve">DashboardTable</t>
  </si>
  <si>
    <t xml:space="preserve">A1:J50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</si>
  <si>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</si>
  <si>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</si>
  <si>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</si>
  <si>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</si>
  <si>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</si>
  <si>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</si>
  <si>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</si>
  <si>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</si>
  <si>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</si>
  <si>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</si>
  <si>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</si>
  <si>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3-42 (40 tickers: held equities/ETFs ex-cash + Tier-1-passed bench candidates), cols A-I. Refreshed in place each Saturday by `python -m landry weekly` (landry/market.py) -- not a live formula.</t>
  </si>
  <si>
    <t xml:space="preserve">A=Ticker,B=Company,C=Price,D=Volume,E=MarketCap,F=P/E,G=52wkLow,H=52wkHigh,I=DivYield. The tool never adds or removes rows; a provider gap keeps the cell (ETF market caps), except a yield the provider reports as nothing paid, which is cleared.</t>
  </si>
  <si>
    <t xml:space="preserve">Returns (Calc)</t>
  </si>
  <si>
    <t xml:space="preserve">Fixed range, formula-derived</t>
  </si>
  <si>
    <t xml:space="preserve">Rows 3-161, cols A-V and W-AO</t>
  </si>
  <si>
    <t xml:space="preserve">Cols A-V mirror Price History B-V (same column order; the two former gap columns P and U now hold DVY and SCHD) -- every cell there is a formula computing week-over-week %% return off Price History; do not edit directly. Cols W-AO (23-41) are a SEPARATE block: one 'trend' column per ORIGINAL ticker (19, packed contiguously; DVY, SCHD and the five tickers added 2026-10-04 have no trend column or chart yet), each an IFERROR(...+INDEX/MATCH(9.99E+307,...)...) formula that finds Price History's actual last row (from Returns (Calc) column A's last date + 1 -- NOT from Price History column A, whose 'NN Weeks' footer holds the last number and sent every trend line to 0, and ADBE's to an error, until 2026-10-04)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 Cols AP-AT (42-46) hold the returns for Price History W-AA (VYM, MLPI, JEPI, GE, NFLX) -- they could not go in W-AA because the trend block sits there; the mapping is Price History column 23+n -&gt; Returns column 42+n (landry/prices.py returns_col). Returns (Calc) runs ONE ROW AHEAD of Price History (row n = the return of Price History row n+1 over row n), so `prices append` extends it, moves the charts below it and the Price History footer down, all in one pass. The 19 charts are keyed to the ORIGINAL tickers' columns B-V; from ~10/1 to 10/4/26, while the header was clobbered, they plotted the wrong tickers.</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</si>
  <si>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</si>
  <si>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</si>
  <si>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</si>
  <si>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B-AA=26 ticker columns (mirrors Price History's column order; W-AA read Returns (Calc) AP-AT). Rows6-31=26 ticker rows (same tickers, same order, as Price History). Cols AB-AF (28-32)=5 blank buffer columns (W-AA, formerly 5 of the 10, now hold tickers),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</si>
  <si>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</si>
  <si>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</si>
  <si>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</si>
  <si>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38-39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</si>
  <si>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</si>
  <si>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</si>
  <si>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</si>
  <si>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</si>
  <si>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</si>
  <si>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</si>
  <si>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</si>
  <si>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</si>
  <si>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</si>
  <si>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</si>
  <si>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</si>
  <si>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</si>
  <si>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</si>
  <si>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</si>
  <si>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</si>
  <si>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</si>
  <si>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</si>
  <si>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</si>
  <si>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</si>
  <si>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</si>
  <si>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</si>
  <si>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</si>
  <si>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A4:F117 as of 2026-09-30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</si>
  <si>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</si>
  <si>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</si>
  <si>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</si>
  <si>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A4:F33 as of 2026-10-04 (29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</si>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</sst>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_(* #,##0.00_);_(* \(#,##0.00\);_(* \-??_);_(@_)"/>
    <numFmt numFmtId="169" formatCode="\$#,##0.00"/>
    <numFmt numFmtId="170" formatCode="#,##0.00"/>
    <numFmt numFmtId="171" formatCode="yyyy\-mm\-dd"/>
    <numFmt numFmtId="172" formatCode="mm/dd/yyyy"/>
    <numFmt numFmtId="173" formatCode="0.0"/>
    <numFmt numFmtId="174" formatCode="0.000"/>
    <numFmt numFmtId="175" formatCode="#,##0"/>
    <numFmt numFmtId="176" formatCode="\$#,##0"/>
    <numFmt numFmtId="177" formatCode="0%"/>
    <numFmt numFmtId="178" formatCode="0.0\x"/>
    <numFmt numFmtId="179" formatCode="yyyy\-mm\-dd\ h:mm:ss"/>
  </numFmts>
  <fonts count="69">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sz val="11"/>
      <color rgb="FF002060"/>
      <name val="Arial Narrow"/>
      <family val="0"/>
      <charset val="1"/>
    </font>
    <font>
      <sz val="11"/>
      <color rgb="FF000000"/>
      <name val="Arial Narrow"/>
      <family val="0"/>
      <charset val="1"/>
    </font>
    <font>
      <b val="true"/>
      <sz val="11"/>
      <color rgb="FF000000"/>
      <name val="Arial Narrow"/>
      <family val="0"/>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sz val="10"/>
      <color rgb="FF002060"/>
      <name val="Arial Narrow"/>
      <family val="0"/>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9"/>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2"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9"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general"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8" fontId="22" fillId="0" borderId="2" xfId="0" applyFont="true" applyBorder="true" applyAlignment="true" applyProtection="false">
      <alignment horizontal="general" vertical="bottom" textRotation="0" wrapText="false" indent="0" shrinkToFit="false"/>
      <protection locked="true" hidden="false"/>
    </xf>
    <xf numFmtId="169" fontId="23"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9"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right" vertical="bottom" textRotation="0" wrapText="false" indent="0" shrinkToFit="false"/>
      <protection locked="true" hidden="false"/>
    </xf>
    <xf numFmtId="167" fontId="26" fillId="0" borderId="0" xfId="0" applyFont="true" applyBorder="false" applyAlignment="true" applyProtection="false">
      <alignment horizontal="center" vertical="bottom" textRotation="0" wrapText="false" indent="0" shrinkToFit="false"/>
      <protection locked="true" hidden="false"/>
    </xf>
    <xf numFmtId="164" fontId="27"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0"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9"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69"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3" xfId="0" applyFont="true" applyBorder="true" applyAlignment="true" applyProtection="false">
      <alignment horizontal="center" vertical="center" textRotation="0" wrapText="true" indent="0" shrinkToFit="false"/>
      <protection locked="true" hidden="false"/>
    </xf>
    <xf numFmtId="172" fontId="21" fillId="5" borderId="4" xfId="0" applyFont="true" applyBorder="true" applyAlignment="true" applyProtection="false">
      <alignment horizontal="center" vertical="center" textRotation="0" wrapText="false" indent="0" shrinkToFit="false"/>
      <protection locked="true" hidden="false"/>
    </xf>
    <xf numFmtId="170" fontId="21" fillId="5" borderId="4"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3" fontId="39" fillId="0" borderId="1" xfId="0" applyFont="true" applyBorder="true" applyAlignment="true" applyProtection="false">
      <alignment horizontal="center" vertical="center"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72" fontId="39" fillId="0" borderId="0" xfId="0" applyFont="true" applyBorder="false" applyAlignment="true" applyProtection="false">
      <alignment horizontal="general" vertical="bottom" textRotation="0" wrapText="false" indent="0" shrinkToFit="false"/>
      <protection locked="true" hidden="false"/>
    </xf>
    <xf numFmtId="174" fontId="39" fillId="0" borderId="0" xfId="0" applyFont="true" applyBorder="false" applyAlignment="true" applyProtection="false">
      <alignment horizontal="general" vertical="bottom" textRotation="0" wrapText="false" indent="0" shrinkToFit="false"/>
      <protection locked="true" hidden="false"/>
    </xf>
    <xf numFmtId="171" fontId="39" fillId="0" borderId="0" xfId="0" applyFont="true" applyBorder="false" applyAlignment="true" applyProtection="false">
      <alignment horizontal="general" vertical="bottom" textRotation="0" wrapText="false" indent="0" shrinkToFit="false"/>
      <protection locked="true" hidden="false"/>
    </xf>
    <xf numFmtId="164" fontId="39" fillId="0" borderId="2" xfId="0" applyFont="true" applyBorder="true" applyAlignment="true" applyProtection="false">
      <alignment horizontal="center" vertical="bottom" textRotation="0" wrapText="false" indent="0" shrinkToFit="false"/>
      <protection locked="true" hidden="false"/>
    </xf>
    <xf numFmtId="164" fontId="39" fillId="0" borderId="2" xfId="0" applyFont="true" applyBorder="tru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0"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1" fillId="0" borderId="5" xfId="0" applyFont="true" applyBorder="true" applyAlignment="true" applyProtection="false">
      <alignment horizontal="general" vertical="center" textRotation="0" wrapText="true" indent="0" shrinkToFit="false"/>
      <protection locked="true" hidden="false"/>
    </xf>
    <xf numFmtId="164" fontId="42"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left" vertical="center" textRotation="0" wrapText="false" indent="0" shrinkToFit="false"/>
      <protection locked="true" hidden="false"/>
    </xf>
    <xf numFmtId="172" fontId="44" fillId="5" borderId="1" xfId="0" applyFont="true" applyBorder="true" applyAlignment="true" applyProtection="false">
      <alignment horizontal="center" vertical="center" textRotation="0" wrapText="false" indent="0" shrinkToFit="false"/>
      <protection locked="true" hidden="false"/>
    </xf>
    <xf numFmtId="164" fontId="44" fillId="5" borderId="1" xfId="0" applyFont="true" applyBorder="true" applyAlignment="true" applyProtection="false">
      <alignment horizontal="center" vertical="center" textRotation="0" wrapText="false" indent="0" shrinkToFit="false"/>
      <protection locked="true" hidden="false"/>
    </xf>
    <xf numFmtId="174"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5" fontId="44" fillId="5" borderId="1" xfId="0" applyFont="true" applyBorder="true" applyAlignment="true" applyProtection="false">
      <alignment horizontal="center" vertical="center" textRotation="0" wrapText="false" indent="0" shrinkToFit="false"/>
      <protection locked="true" hidden="false"/>
    </xf>
    <xf numFmtId="175" fontId="39" fillId="0" borderId="1" xfId="0" applyFont="true" applyBorder="true" applyAlignment="true" applyProtection="false">
      <alignment horizontal="center" vertical="center" textRotation="0" wrapText="false" indent="0" shrinkToFit="false"/>
      <protection locked="true" hidden="false"/>
    </xf>
    <xf numFmtId="165" fontId="44" fillId="5"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xf numFmtId="171" fontId="44"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2"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9" fontId="44" fillId="5" borderId="1" xfId="0" applyFont="true" applyBorder="true" applyAlignment="true" applyProtection="false">
      <alignment horizontal="center" vertical="center" textRotation="0" wrapText="false" indent="0" shrinkToFit="false"/>
      <protection locked="true" hidden="false"/>
    </xf>
    <xf numFmtId="176" fontId="44" fillId="5" borderId="1" xfId="0" applyFont="true" applyBorder="true" applyAlignment="true" applyProtection="false">
      <alignment horizontal="center" vertical="center" textRotation="0" wrapText="false" indent="0" shrinkToFit="false"/>
      <protection locked="true" hidden="false"/>
    </xf>
    <xf numFmtId="173" fontId="44"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7" fontId="48" fillId="0" borderId="1" xfId="0" applyFont="true" applyBorder="true" applyAlignment="true" applyProtection="false">
      <alignment horizontal="center" vertical="center" textRotation="0" wrapText="false" indent="0" shrinkToFit="false"/>
      <protection locked="true" hidden="false"/>
    </xf>
    <xf numFmtId="167" fontId="48" fillId="0" borderId="0" xfId="0" applyFont="true" applyBorder="false" applyAlignment="true" applyProtection="false">
      <alignment horizontal="general" vertical="bottom" textRotation="0" wrapText="false" indent="0" shrinkToFit="false"/>
      <protection locked="true" hidden="false"/>
    </xf>
    <xf numFmtId="170" fontId="49" fillId="0" borderId="1" xfId="0" applyFont="true" applyBorder="true" applyAlignment="true" applyProtection="false">
      <alignment horizontal="center" vertical="center" textRotation="0" wrapText="false" indent="0" shrinkToFit="false"/>
      <protection locked="true" hidden="false"/>
    </xf>
    <xf numFmtId="170" fontId="49"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4"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2" fontId="55" fillId="5" borderId="1" xfId="0" applyFont="true" applyBorder="true" applyAlignment="true" applyProtection="false">
      <alignment horizontal="center" vertical="center" textRotation="0" wrapText="false" indent="0" shrinkToFit="false"/>
      <protection locked="true" hidden="false"/>
    </xf>
    <xf numFmtId="176" fontId="55" fillId="5" borderId="1" xfId="0" applyFont="true" applyBorder="true" applyAlignment="true" applyProtection="false">
      <alignment horizontal="center" vertical="center" textRotation="0" wrapText="false" indent="0" shrinkToFit="false"/>
      <protection locked="true" hidden="false"/>
    </xf>
    <xf numFmtId="176" fontId="56" fillId="0" borderId="1" xfId="0" applyFont="true" applyBorder="true" applyAlignment="true" applyProtection="false">
      <alignment horizontal="center" vertical="center" textRotation="0" wrapText="false" indent="0" shrinkToFit="false"/>
      <protection locked="true" hidden="false"/>
    </xf>
    <xf numFmtId="167" fontId="57" fillId="0" borderId="1" xfId="0" applyFont="true" applyBorder="true" applyAlignment="true" applyProtection="false">
      <alignment horizontal="center" vertical="center" textRotation="0" wrapText="false" indent="0" shrinkToFit="false"/>
      <protection locked="true" hidden="false"/>
    </xf>
    <xf numFmtId="164" fontId="57" fillId="0" borderId="1" xfId="0" applyFont="true" applyBorder="true" applyAlignment="true" applyProtection="false">
      <alignment horizontal="center" vertical="center" textRotation="0" wrapText="false" indent="0" shrinkToFit="false"/>
      <protection locked="true" hidden="false"/>
    </xf>
    <xf numFmtId="164" fontId="56" fillId="0" borderId="1" xfId="0" applyFont="true" applyBorder="true" applyAlignment="true" applyProtection="false">
      <alignment horizontal="center" vertical="center" textRotation="0" wrapText="false" indent="0" shrinkToFit="false"/>
      <protection locked="true" hidden="false"/>
    </xf>
    <xf numFmtId="164" fontId="55" fillId="5" borderId="1" xfId="0" applyFont="true" applyBorder="true" applyAlignment="true" applyProtection="false">
      <alignment horizontal="left"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6" fontId="48" fillId="0" borderId="1"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58" fillId="0" borderId="0" xfId="0" applyFont="true" applyBorder="false" applyAlignment="true" applyProtection="false">
      <alignment horizontal="general" vertical="center" textRotation="0" wrapText="false" indent="0" shrinkToFit="false"/>
      <protection locked="true" hidden="false"/>
    </xf>
    <xf numFmtId="164" fontId="42" fillId="2" borderId="1" xfId="0" applyFont="true" applyBorder="true" applyAlignment="true" applyProtection="false">
      <alignment horizontal="center" vertical="center" textRotation="0" wrapText="true" indent="0" shrinkToFit="false"/>
      <protection locked="true" hidden="false"/>
    </xf>
    <xf numFmtId="164" fontId="42" fillId="7" borderId="1" xfId="0" applyFont="true" applyBorder="true" applyAlignment="true" applyProtection="false">
      <alignment horizontal="center" vertical="center" textRotation="0" wrapText="true" indent="0" shrinkToFit="false"/>
      <protection locked="true" hidden="false"/>
    </xf>
    <xf numFmtId="164" fontId="42" fillId="9" borderId="1" xfId="0" applyFont="true" applyBorder="true" applyAlignment="true" applyProtection="false">
      <alignment horizontal="center" vertical="center" textRotation="0" wrapText="true" indent="0" shrinkToFit="false"/>
      <protection locked="true" hidden="false"/>
    </xf>
    <xf numFmtId="164" fontId="42" fillId="10" borderId="1" xfId="0" applyFont="true" applyBorder="true" applyAlignment="true" applyProtection="false">
      <alignment horizontal="center" vertical="center" textRotation="0" wrapText="true" indent="0" shrinkToFit="false"/>
      <protection locked="true" hidden="false"/>
    </xf>
    <xf numFmtId="178" fontId="21" fillId="5" borderId="1" xfId="0" applyFont="true" applyBorder="true" applyAlignment="true" applyProtection="false">
      <alignment horizontal="center" vertical="center" textRotation="0" wrapText="false" indent="0" shrinkToFit="false"/>
      <protection locked="true" hidden="false"/>
    </xf>
    <xf numFmtId="164" fontId="59" fillId="5" borderId="1" xfId="0" applyFont="true" applyBorder="true" applyAlignment="true" applyProtection="false">
      <alignment horizontal="center" vertical="center" textRotation="0" wrapText="false" indent="0" shrinkToFit="false"/>
      <protection locked="true" hidden="false"/>
    </xf>
    <xf numFmtId="164" fontId="60" fillId="5" borderId="1" xfId="0" applyFont="true" applyBorder="true" applyAlignment="true" applyProtection="false">
      <alignment horizontal="left" vertical="center" textRotation="0" wrapText="false" indent="0" shrinkToFit="false"/>
      <protection locked="true" hidden="false"/>
    </xf>
    <xf numFmtId="169" fontId="60" fillId="5" borderId="1" xfId="0" applyFont="true" applyBorder="true" applyAlignment="true" applyProtection="false">
      <alignment horizontal="center" vertical="center" textRotation="0" wrapText="false" indent="0" shrinkToFit="false"/>
      <protection locked="true" hidden="false"/>
    </xf>
    <xf numFmtId="178" fontId="60" fillId="5" borderId="1" xfId="0" applyFont="true" applyBorder="true" applyAlignment="true" applyProtection="false">
      <alignment horizontal="center" vertical="center" textRotation="0" wrapText="false" indent="0" shrinkToFit="false"/>
      <protection locked="true" hidden="false"/>
    </xf>
    <xf numFmtId="167" fontId="61" fillId="0" borderId="1" xfId="0" applyFont="true" applyBorder="true" applyAlignment="true" applyProtection="false">
      <alignment horizontal="center" vertical="center" textRotation="0" wrapText="false" indent="0" shrinkToFit="false"/>
      <protection locked="true" hidden="false"/>
    </xf>
    <xf numFmtId="164" fontId="60"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4" fontId="38" fillId="10" borderId="1" xfId="0" applyFont="true" applyBorder="true" applyAlignment="true" applyProtection="false">
      <alignment horizontal="center" vertical="center" textRotation="0" wrapText="true" indent="0" shrinkToFit="false"/>
      <protection locked="true" hidden="false"/>
    </xf>
    <xf numFmtId="164" fontId="62"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49" fillId="0" borderId="1" xfId="0" applyFont="true" applyBorder="true" applyAlignment="true" applyProtection="false">
      <alignment horizontal="center" vertical="center" textRotation="0" wrapText="false" indent="0" shrinkToFit="false"/>
      <protection locked="true" hidden="false"/>
    </xf>
    <xf numFmtId="178" fontId="19" fillId="5" borderId="1" xfId="0" applyFont="true" applyBorder="true" applyAlignment="true" applyProtection="false">
      <alignment horizontal="center" vertical="center" textRotation="0" wrapText="false" indent="0" shrinkToFit="false"/>
      <protection locked="true" hidden="false"/>
    </xf>
    <xf numFmtId="164" fontId="30" fillId="0" borderId="6"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4" fontId="63"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72" fontId="64" fillId="11" borderId="1" xfId="0" applyFont="true" applyBorder="true" applyAlignment="true" applyProtection="false">
      <alignment horizontal="center" vertical="center" textRotation="0" wrapText="false" indent="0" shrinkToFit="false"/>
      <protection locked="true" hidden="false"/>
    </xf>
    <xf numFmtId="164" fontId="55" fillId="11" borderId="1" xfId="0" applyFont="true" applyBorder="true" applyAlignment="true" applyProtection="false">
      <alignment horizontal="center" vertical="center" textRotation="0" wrapText="true" indent="0" shrinkToFit="false"/>
      <protection locked="true" hidden="false"/>
    </xf>
    <xf numFmtId="164" fontId="64" fillId="11" borderId="1" xfId="0" applyFont="true" applyBorder="true" applyAlignment="true" applyProtection="false">
      <alignment horizontal="left"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79" fontId="24" fillId="0" borderId="0" xfId="0" applyFont="true" applyBorder="false" applyAlignment="true" applyProtection="false">
      <alignment horizontal="general" vertical="bottom" textRotation="0" wrapText="fals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64"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true" indent="0" shrinkToFit="false"/>
      <protection locked="true" hidden="false"/>
    </xf>
    <xf numFmtId="172"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false" indent="0" shrinkToFit="false"/>
      <protection locked="true" hidden="false"/>
    </xf>
    <xf numFmtId="164" fontId="0" fillId="0" borderId="7" xfId="0" applyFont="true" applyBorder="true" applyAlignment="true" applyProtection="false">
      <alignment horizontal="general" vertical="center" textRotation="0" wrapText="false" indent="0" shrinkToFit="false"/>
      <protection locked="true" hidden="false"/>
    </xf>
    <xf numFmtId="172" fontId="24" fillId="0" borderId="7" xfId="0" applyFont="true" applyBorder="true" applyAlignment="true" applyProtection="false">
      <alignment horizontal="general" vertical="center" textRotation="0" wrapText="false" indent="0" shrinkToFit="false"/>
      <protection locked="true" hidden="false"/>
    </xf>
    <xf numFmtId="179" fontId="0" fillId="0" borderId="7" xfId="0" applyFont="fals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center" vertical="center" textRotation="0" wrapText="false" indent="0" shrinkToFit="false"/>
      <protection locked="true" hidden="false"/>
    </xf>
    <xf numFmtId="164" fontId="6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6" fillId="2" borderId="0" xfId="0" applyFont="true" applyBorder="true" applyAlignment="true" applyProtection="false">
      <alignment horizontal="general" vertical="bottom" textRotation="0" wrapText="false" indent="0" shrinkToFit="false"/>
      <protection locked="true" hidden="false"/>
    </xf>
    <xf numFmtId="164" fontId="67" fillId="3" borderId="0" xfId="0" applyFont="true" applyBorder="false" applyAlignment="true" applyProtection="false">
      <alignment horizontal="center" vertical="center" textRotation="0" wrapText="true" indent="0" shrinkToFit="false"/>
      <protection locked="true" hidden="false"/>
    </xf>
    <xf numFmtId="164" fontId="68" fillId="0" borderId="0" xfId="0" applyFont="true" applyBorder="false" applyAlignment="true" applyProtection="false">
      <alignment horizontal="left" vertical="top" textRotation="0" wrapText="true" indent="0" shrinkToFit="false"/>
      <protection locked="true" hidden="false"/>
    </xf>
    <xf numFmtId="164" fontId="68"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EB9C"/>
          <bgColor rgb="FF000000"/>
        </patternFill>
      </fill>
    </dxf>
    <dxf>
      <fill>
        <patternFill patternType="solid">
          <fgColor rgb="FF9C6500"/>
          <bgColor rgb="FF000000"/>
        </patternFill>
      </fill>
    </dxf>
    <dxf>
      <fill>
        <patternFill patternType="solid">
          <fgColor rgb="FFFFC7CE"/>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0.0094279526054275</c:v>
                </c:pt>
              </c:numCache>
            </c:numRef>
          </c:val>
        </c:ser>
        <c:gapWidth val="150"/>
        <c:overlap val="0"/>
        <c:axId val="95011030"/>
        <c:axId val="77093917"/>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(Calc)'!$W$3:$W$500</c:f>
              <c:numCache>
                <c:formatCode>#,##0.00</c:formatCode>
                <c:ptCount val="498"/>
                <c:pt idx="0">
                  <c:v>528.89</c:v>
                </c:pt>
                <c:pt idx="1">
                  <c:v>527.046962025317</c:v>
                </c:pt>
                <c:pt idx="2">
                  <c:v>525.203924050633</c:v>
                </c:pt>
                <c:pt idx="3">
                  <c:v>523.360886075949</c:v>
                </c:pt>
                <c:pt idx="4">
                  <c:v>521.517848101266</c:v>
                </c:pt>
                <c:pt idx="5">
                  <c:v>519.674810126582</c:v>
                </c:pt>
                <c:pt idx="6">
                  <c:v>517.831772151899</c:v>
                </c:pt>
                <c:pt idx="7">
                  <c:v>515.988734177215</c:v>
                </c:pt>
                <c:pt idx="8">
                  <c:v>514.145696202532</c:v>
                </c:pt>
                <c:pt idx="9">
                  <c:v>512.302658227848</c:v>
                </c:pt>
                <c:pt idx="10">
                  <c:v>510.459620253165</c:v>
                </c:pt>
                <c:pt idx="11">
                  <c:v>508.616582278481</c:v>
                </c:pt>
                <c:pt idx="12">
                  <c:v>506.773544303797</c:v>
                </c:pt>
                <c:pt idx="13">
                  <c:v>504.930506329114</c:v>
                </c:pt>
                <c:pt idx="14">
                  <c:v>503.08746835443</c:v>
                </c:pt>
                <c:pt idx="15">
                  <c:v>501.244430379747</c:v>
                </c:pt>
                <c:pt idx="16">
                  <c:v>499.401392405063</c:v>
                </c:pt>
                <c:pt idx="17">
                  <c:v>497.55835443038</c:v>
                </c:pt>
                <c:pt idx="18">
                  <c:v>495.715316455696</c:v>
                </c:pt>
                <c:pt idx="19">
                  <c:v>493.872278481013</c:v>
                </c:pt>
                <c:pt idx="20">
                  <c:v>492.029240506329</c:v>
                </c:pt>
                <c:pt idx="21">
                  <c:v>490.186202531646</c:v>
                </c:pt>
                <c:pt idx="22">
                  <c:v>488.343164556962</c:v>
                </c:pt>
                <c:pt idx="23">
                  <c:v>486.500126582279</c:v>
                </c:pt>
                <c:pt idx="24">
                  <c:v>484.657088607595</c:v>
                </c:pt>
                <c:pt idx="25">
                  <c:v>482.814050632911</c:v>
                </c:pt>
                <c:pt idx="26">
                  <c:v>480.971012658228</c:v>
                </c:pt>
                <c:pt idx="27">
                  <c:v>479.127974683544</c:v>
                </c:pt>
                <c:pt idx="28">
                  <c:v>477.284936708861</c:v>
                </c:pt>
                <c:pt idx="29">
                  <c:v>475.441898734177</c:v>
                </c:pt>
                <c:pt idx="30">
                  <c:v>473.598860759494</c:v>
                </c:pt>
                <c:pt idx="31">
                  <c:v>471.75582278481</c:v>
                </c:pt>
                <c:pt idx="32">
                  <c:v>469.912784810127</c:v>
                </c:pt>
                <c:pt idx="33">
                  <c:v>468.069746835443</c:v>
                </c:pt>
                <c:pt idx="34">
                  <c:v>466.226708860759</c:v>
                </c:pt>
                <c:pt idx="35">
                  <c:v>464.383670886076</c:v>
                </c:pt>
                <c:pt idx="36">
                  <c:v>462.540632911392</c:v>
                </c:pt>
                <c:pt idx="37">
                  <c:v>460.697594936709</c:v>
                </c:pt>
                <c:pt idx="38">
                  <c:v>458.854556962025</c:v>
                </c:pt>
                <c:pt idx="39">
                  <c:v>457.011518987342</c:v>
                </c:pt>
                <c:pt idx="40">
                  <c:v>455.168481012658</c:v>
                </c:pt>
                <c:pt idx="41">
                  <c:v>453.325443037975</c:v>
                </c:pt>
                <c:pt idx="42">
                  <c:v>451.482405063291</c:v>
                </c:pt>
                <c:pt idx="43">
                  <c:v>449.639367088608</c:v>
                </c:pt>
                <c:pt idx="44">
                  <c:v>447.796329113924</c:v>
                </c:pt>
                <c:pt idx="45">
                  <c:v>445.953291139241</c:v>
                </c:pt>
                <c:pt idx="46">
                  <c:v>444.110253164557</c:v>
                </c:pt>
                <c:pt idx="47">
                  <c:v>442.267215189873</c:v>
                </c:pt>
                <c:pt idx="48">
                  <c:v>440.42417721519</c:v>
                </c:pt>
                <c:pt idx="49">
                  <c:v>438.581139240506</c:v>
                </c:pt>
                <c:pt idx="50">
                  <c:v>436.738101265823</c:v>
                </c:pt>
                <c:pt idx="51">
                  <c:v>434.895063291139</c:v>
                </c:pt>
                <c:pt idx="52">
                  <c:v>433.052025316456</c:v>
                </c:pt>
                <c:pt idx="53">
                  <c:v>431.208987341772</c:v>
                </c:pt>
                <c:pt idx="54">
                  <c:v>429.365949367089</c:v>
                </c:pt>
                <c:pt idx="55">
                  <c:v>427.522911392405</c:v>
                </c:pt>
                <c:pt idx="56">
                  <c:v>425.679873417722</c:v>
                </c:pt>
                <c:pt idx="57">
                  <c:v>423.836835443038</c:v>
                </c:pt>
                <c:pt idx="58">
                  <c:v>421.993797468354</c:v>
                </c:pt>
                <c:pt idx="59">
                  <c:v>420.150759493671</c:v>
                </c:pt>
                <c:pt idx="60">
                  <c:v>418.307721518987</c:v>
                </c:pt>
                <c:pt idx="61">
                  <c:v>416.464683544304</c:v>
                </c:pt>
                <c:pt idx="62">
                  <c:v>414.62164556962</c:v>
                </c:pt>
                <c:pt idx="63">
                  <c:v>412.778607594937</c:v>
                </c:pt>
                <c:pt idx="64">
                  <c:v>410.935569620253</c:v>
                </c:pt>
                <c:pt idx="65">
                  <c:v>409.09253164557</c:v>
                </c:pt>
                <c:pt idx="66">
                  <c:v>407.249493670886</c:v>
                </c:pt>
                <c:pt idx="67">
                  <c:v>405.406455696203</c:v>
                </c:pt>
                <c:pt idx="68">
                  <c:v>403.563417721519</c:v>
                </c:pt>
                <c:pt idx="69">
                  <c:v>401.720379746835</c:v>
                </c:pt>
                <c:pt idx="70">
                  <c:v>399.877341772152</c:v>
                </c:pt>
                <c:pt idx="71">
                  <c:v>398.034303797468</c:v>
                </c:pt>
                <c:pt idx="72">
                  <c:v>396.191265822785</c:v>
                </c:pt>
                <c:pt idx="73">
                  <c:v>394.348227848101</c:v>
                </c:pt>
                <c:pt idx="74">
                  <c:v>392.505189873418</c:v>
                </c:pt>
                <c:pt idx="75">
                  <c:v>390.662151898734</c:v>
                </c:pt>
                <c:pt idx="76">
                  <c:v>388.819113924051</c:v>
                </c:pt>
                <c:pt idx="77">
                  <c:v>386.976075949367</c:v>
                </c:pt>
                <c:pt idx="78">
                  <c:v>385.133037974684</c:v>
                </c:pt>
                <c:pt idx="79">
                  <c:v>383.29</c:v>
                </c:pt>
                <c:pt idx="80">
                  <c:v>381.446962025316</c:v>
                </c:pt>
                <c:pt idx="81">
                  <c:v>379.603924050633</c:v>
                </c:pt>
                <c:pt idx="82">
                  <c:v>377.760886075949</c:v>
                </c:pt>
                <c:pt idx="83">
                  <c:v>375.917848101266</c:v>
                </c:pt>
                <c:pt idx="84">
                  <c:v>374.074810126582</c:v>
                </c:pt>
                <c:pt idx="85">
                  <c:v>372.231772151899</c:v>
                </c:pt>
                <c:pt idx="86">
                  <c:v>370.388734177215</c:v>
                </c:pt>
                <c:pt idx="87">
                  <c:v>368.545696202532</c:v>
                </c:pt>
                <c:pt idx="88">
                  <c:v>366.702658227848</c:v>
                </c:pt>
                <c:pt idx="89">
                  <c:v>364.859620253165</c:v>
                </c:pt>
                <c:pt idx="90">
                  <c:v>363.016582278481</c:v>
                </c:pt>
                <c:pt idx="91">
                  <c:v>361.173544303798</c:v>
                </c:pt>
                <c:pt idx="92">
                  <c:v>359.330506329114</c:v>
                </c:pt>
                <c:pt idx="93">
                  <c:v>357.48746835443</c:v>
                </c:pt>
                <c:pt idx="94">
                  <c:v>355.644430379747</c:v>
                </c:pt>
                <c:pt idx="95">
                  <c:v>353.801392405063</c:v>
                </c:pt>
                <c:pt idx="96">
                  <c:v>351.95835443038</c:v>
                </c:pt>
                <c:pt idx="97">
                  <c:v>350.115316455696</c:v>
                </c:pt>
                <c:pt idx="98">
                  <c:v>348.272278481013</c:v>
                </c:pt>
                <c:pt idx="99">
                  <c:v>346.429240506329</c:v>
                </c:pt>
                <c:pt idx="100">
                  <c:v>344.586202531646</c:v>
                </c:pt>
                <c:pt idx="101">
                  <c:v>342.743164556962</c:v>
                </c:pt>
                <c:pt idx="102">
                  <c:v>340.900126582279</c:v>
                </c:pt>
                <c:pt idx="103">
                  <c:v>339.057088607595</c:v>
                </c:pt>
                <c:pt idx="104">
                  <c:v>337.214050632911</c:v>
                </c:pt>
                <c:pt idx="105">
                  <c:v>335.371012658228</c:v>
                </c:pt>
                <c:pt idx="106">
                  <c:v>333.527974683544</c:v>
                </c:pt>
                <c:pt idx="107">
                  <c:v>331.684936708861</c:v>
                </c:pt>
                <c:pt idx="108">
                  <c:v>329.841898734177</c:v>
                </c:pt>
                <c:pt idx="109">
                  <c:v>327.998860759494</c:v>
                </c:pt>
                <c:pt idx="110">
                  <c:v>326.15582278481</c:v>
                </c:pt>
                <c:pt idx="111">
                  <c:v>324.312784810127</c:v>
                </c:pt>
                <c:pt idx="112">
                  <c:v>322.469746835443</c:v>
                </c:pt>
                <c:pt idx="113">
                  <c:v>320.62670886076</c:v>
                </c:pt>
                <c:pt idx="114">
                  <c:v>318.783670886076</c:v>
                </c:pt>
                <c:pt idx="115">
                  <c:v>316.940632911392</c:v>
                </c:pt>
                <c:pt idx="116">
                  <c:v>315.097594936709</c:v>
                </c:pt>
                <c:pt idx="117">
                  <c:v>313.254556962025</c:v>
                </c:pt>
                <c:pt idx="118">
                  <c:v>311.411518987342</c:v>
                </c:pt>
                <c:pt idx="119">
                  <c:v>309.568481012658</c:v>
                </c:pt>
                <c:pt idx="120">
                  <c:v>307.725443037975</c:v>
                </c:pt>
                <c:pt idx="121">
                  <c:v>305.882405063291</c:v>
                </c:pt>
                <c:pt idx="122">
                  <c:v>304.039367088608</c:v>
                </c:pt>
                <c:pt idx="123">
                  <c:v>302.196329113924</c:v>
                </c:pt>
                <c:pt idx="124">
                  <c:v>300.353291139241</c:v>
                </c:pt>
                <c:pt idx="125">
                  <c:v>298.510253164557</c:v>
                </c:pt>
                <c:pt idx="126">
                  <c:v>296.667215189873</c:v>
                </c:pt>
                <c:pt idx="127">
                  <c:v>294.82417721519</c:v>
                </c:pt>
                <c:pt idx="128">
                  <c:v>292.981139240506</c:v>
                </c:pt>
                <c:pt idx="129">
                  <c:v>291.138101265823</c:v>
                </c:pt>
                <c:pt idx="130">
                  <c:v>289.295063291139</c:v>
                </c:pt>
                <c:pt idx="131">
                  <c:v>287.452025316456</c:v>
                </c:pt>
                <c:pt idx="132">
                  <c:v>285.608987341772</c:v>
                </c:pt>
                <c:pt idx="133">
                  <c:v>283.765949367089</c:v>
                </c:pt>
                <c:pt idx="134">
                  <c:v>281.922911392405</c:v>
                </c:pt>
                <c:pt idx="135">
                  <c:v>280.079873417722</c:v>
                </c:pt>
                <c:pt idx="136">
                  <c:v>278.236835443038</c:v>
                </c:pt>
                <c:pt idx="137">
                  <c:v>276.393797468354</c:v>
                </c:pt>
                <c:pt idx="138">
                  <c:v>274.550759493671</c:v>
                </c:pt>
                <c:pt idx="139">
                  <c:v>272.707721518987</c:v>
                </c:pt>
                <c:pt idx="140">
                  <c:v>270.864683544304</c:v>
                </c:pt>
                <c:pt idx="141">
                  <c:v>269.02164556962</c:v>
                </c:pt>
                <c:pt idx="142">
                  <c:v>267.178607594937</c:v>
                </c:pt>
                <c:pt idx="143">
                  <c:v>265.335569620253</c:v>
                </c:pt>
                <c:pt idx="144">
                  <c:v>263.49253164557</c:v>
                </c:pt>
                <c:pt idx="145">
                  <c:v>261.649493670886</c:v>
                </c:pt>
                <c:pt idx="146">
                  <c:v>259.806455696203</c:v>
                </c:pt>
                <c:pt idx="147">
                  <c:v>257.963417721519</c:v>
                </c:pt>
                <c:pt idx="148">
                  <c:v>256.120379746835</c:v>
                </c:pt>
                <c:pt idx="149">
                  <c:v>254.277341772152</c:v>
                </c:pt>
                <c:pt idx="150">
                  <c:v>252.434303797468</c:v>
                </c:pt>
                <c:pt idx="151">
                  <c:v>250.591265822785</c:v>
                </c:pt>
                <c:pt idx="152">
                  <c:v>248.748227848101</c:v>
                </c:pt>
                <c:pt idx="153">
                  <c:v>246.905189873418</c:v>
                </c:pt>
                <c:pt idx="154">
                  <c:v>245.062151898734</c:v>
                </c:pt>
                <c:pt idx="155">
                  <c:v>243.219113924051</c:v>
                </c:pt>
                <c:pt idx="156">
                  <c:v>241.376075949367</c:v>
                </c:pt>
                <c:pt idx="157">
                  <c:v>239.533037974684</c:v>
                </c:pt>
                <c:pt idx="158">
                  <c:v>237.69</c:v>
                </c:pt>
                <c:pt idx="159">
                  <c:v>235.846962025317</c:v>
                </c:pt>
              </c:numCache>
            </c:numRef>
          </c:val>
          <c:smooth val="0"/>
        </c:ser>
        <c:hiLowLines>
          <c:spPr>
            <a:ln w="0">
              <a:noFill/>
            </a:ln>
          </c:spPr>
        </c:hiLowLines>
        <c:marker val="0"/>
        <c:axId val="45468159"/>
        <c:axId val="94090580"/>
      </c:lineChart>
      <c:dateAx>
        <c:axId val="9501103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093917"/>
        <c:auto val="1"/>
        <c:lblOffset val="100"/>
        <c:baseTimeUnit val="days"/>
      </c:dateAx>
      <c:valAx>
        <c:axId val="7709391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011030"/>
        <c:crosses val="autoZero"/>
        <c:crossBetween val="between"/>
      </c:valAx>
      <c:dateAx>
        <c:axId val="4546815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090580"/>
        <c:auto val="1"/>
        <c:lblOffset val="100"/>
        <c:baseTimeUnit val="days"/>
      </c:dateAx>
      <c:valAx>
        <c:axId val="9409058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46815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0.00387315419995149</c:v>
                </c:pt>
              </c:numCache>
            </c:numRef>
          </c:val>
        </c:ser>
        <c:gapWidth val="150"/>
        <c:overlap val="0"/>
        <c:axId val="13422472"/>
        <c:axId val="16135023"/>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(Calc)'!$X$3:$X$500</c:f>
              <c:numCache>
                <c:formatCode>#,##0.00</c:formatCode>
                <c:ptCount val="498"/>
                <c:pt idx="0">
                  <c:v>46.18</c:v>
                </c:pt>
                <c:pt idx="1">
                  <c:v>47.2000632911392</c:v>
                </c:pt>
                <c:pt idx="2">
                  <c:v>48.2201265822785</c:v>
                </c:pt>
                <c:pt idx="3">
                  <c:v>49.2401898734177</c:v>
                </c:pt>
                <c:pt idx="4">
                  <c:v>50.260253164557</c:v>
                </c:pt>
                <c:pt idx="5">
                  <c:v>51.2803164556962</c:v>
                </c:pt>
                <c:pt idx="6">
                  <c:v>52.3003797468354</c:v>
                </c:pt>
                <c:pt idx="7">
                  <c:v>53.3204430379747</c:v>
                </c:pt>
                <c:pt idx="8">
                  <c:v>54.3405063291139</c:v>
                </c:pt>
                <c:pt idx="9">
                  <c:v>55.3605696202532</c:v>
                </c:pt>
                <c:pt idx="10">
                  <c:v>56.3806329113924</c:v>
                </c:pt>
                <c:pt idx="11">
                  <c:v>57.4006962025317</c:v>
                </c:pt>
                <c:pt idx="12">
                  <c:v>58.4207594936709</c:v>
                </c:pt>
                <c:pt idx="13">
                  <c:v>59.4408227848101</c:v>
                </c:pt>
                <c:pt idx="14">
                  <c:v>60.4608860759494</c:v>
                </c:pt>
                <c:pt idx="15">
                  <c:v>61.4809493670886</c:v>
                </c:pt>
                <c:pt idx="16">
                  <c:v>62.5010126582279</c:v>
                </c:pt>
                <c:pt idx="17">
                  <c:v>63.5210759493671</c:v>
                </c:pt>
                <c:pt idx="18">
                  <c:v>64.5411392405063</c:v>
                </c:pt>
                <c:pt idx="19">
                  <c:v>65.5612025316456</c:v>
                </c:pt>
                <c:pt idx="20">
                  <c:v>66.5812658227848</c:v>
                </c:pt>
                <c:pt idx="21">
                  <c:v>67.6013291139241</c:v>
                </c:pt>
                <c:pt idx="22">
                  <c:v>68.6213924050633</c:v>
                </c:pt>
                <c:pt idx="23">
                  <c:v>69.6414556962025</c:v>
                </c:pt>
                <c:pt idx="24">
                  <c:v>70.6615189873418</c:v>
                </c:pt>
                <c:pt idx="25">
                  <c:v>71.681582278481</c:v>
                </c:pt>
                <c:pt idx="26">
                  <c:v>72.7016455696203</c:v>
                </c:pt>
                <c:pt idx="27">
                  <c:v>73.7217088607595</c:v>
                </c:pt>
                <c:pt idx="28">
                  <c:v>74.7417721518987</c:v>
                </c:pt>
                <c:pt idx="29">
                  <c:v>75.761835443038</c:v>
                </c:pt>
                <c:pt idx="30">
                  <c:v>76.7818987341772</c:v>
                </c:pt>
                <c:pt idx="31">
                  <c:v>77.8019620253165</c:v>
                </c:pt>
                <c:pt idx="32">
                  <c:v>78.8220253164557</c:v>
                </c:pt>
                <c:pt idx="33">
                  <c:v>79.8420886075949</c:v>
                </c:pt>
                <c:pt idx="34">
                  <c:v>80.8621518987342</c:v>
                </c:pt>
                <c:pt idx="35">
                  <c:v>81.8822151898734</c:v>
                </c:pt>
                <c:pt idx="36">
                  <c:v>82.9022784810127</c:v>
                </c:pt>
                <c:pt idx="37">
                  <c:v>83.9223417721519</c:v>
                </c:pt>
                <c:pt idx="38">
                  <c:v>84.9424050632911</c:v>
                </c:pt>
                <c:pt idx="39">
                  <c:v>85.9624683544304</c:v>
                </c:pt>
                <c:pt idx="40">
                  <c:v>86.9825316455696</c:v>
                </c:pt>
                <c:pt idx="41">
                  <c:v>88.0025949367089</c:v>
                </c:pt>
                <c:pt idx="42">
                  <c:v>89.0226582278481</c:v>
                </c:pt>
                <c:pt idx="43">
                  <c:v>90.0427215189873</c:v>
                </c:pt>
                <c:pt idx="44">
                  <c:v>91.0627848101266</c:v>
                </c:pt>
                <c:pt idx="45">
                  <c:v>92.0828481012658</c:v>
                </c:pt>
                <c:pt idx="46">
                  <c:v>93.1029113924051</c:v>
                </c:pt>
                <c:pt idx="47">
                  <c:v>94.1229746835443</c:v>
                </c:pt>
                <c:pt idx="48">
                  <c:v>95.1430379746836</c:v>
                </c:pt>
                <c:pt idx="49">
                  <c:v>96.1631012658228</c:v>
                </c:pt>
                <c:pt idx="50">
                  <c:v>97.183164556962</c:v>
                </c:pt>
                <c:pt idx="51">
                  <c:v>98.2032278481013</c:v>
                </c:pt>
                <c:pt idx="52">
                  <c:v>99.2232911392405</c:v>
                </c:pt>
                <c:pt idx="53">
                  <c:v>100.24335443038</c:v>
                </c:pt>
                <c:pt idx="54">
                  <c:v>101.263417721519</c:v>
                </c:pt>
                <c:pt idx="55">
                  <c:v>102.283481012658</c:v>
                </c:pt>
                <c:pt idx="56">
                  <c:v>103.303544303797</c:v>
                </c:pt>
                <c:pt idx="57">
                  <c:v>104.323607594937</c:v>
                </c:pt>
                <c:pt idx="58">
                  <c:v>105.343670886076</c:v>
                </c:pt>
                <c:pt idx="59">
                  <c:v>106.363734177215</c:v>
                </c:pt>
                <c:pt idx="60">
                  <c:v>107.383797468354</c:v>
                </c:pt>
                <c:pt idx="61">
                  <c:v>108.403860759494</c:v>
                </c:pt>
                <c:pt idx="62">
                  <c:v>109.423924050633</c:v>
                </c:pt>
                <c:pt idx="63">
                  <c:v>110.443987341772</c:v>
                </c:pt>
                <c:pt idx="64">
                  <c:v>111.464050632911</c:v>
                </c:pt>
                <c:pt idx="65">
                  <c:v>112.484113924051</c:v>
                </c:pt>
                <c:pt idx="66">
                  <c:v>113.50417721519</c:v>
                </c:pt>
                <c:pt idx="67">
                  <c:v>114.524240506329</c:v>
                </c:pt>
                <c:pt idx="68">
                  <c:v>115.544303797468</c:v>
                </c:pt>
                <c:pt idx="69">
                  <c:v>116.564367088608</c:v>
                </c:pt>
                <c:pt idx="70">
                  <c:v>117.584430379747</c:v>
                </c:pt>
                <c:pt idx="71">
                  <c:v>118.604493670886</c:v>
                </c:pt>
                <c:pt idx="72">
                  <c:v>119.624556962025</c:v>
                </c:pt>
                <c:pt idx="73">
                  <c:v>120.644620253165</c:v>
                </c:pt>
                <c:pt idx="74">
                  <c:v>121.664683544304</c:v>
                </c:pt>
                <c:pt idx="75">
                  <c:v>122.684746835443</c:v>
                </c:pt>
                <c:pt idx="76">
                  <c:v>123.704810126582</c:v>
                </c:pt>
                <c:pt idx="77">
                  <c:v>124.724873417722</c:v>
                </c:pt>
                <c:pt idx="78">
                  <c:v>125.744936708861</c:v>
                </c:pt>
                <c:pt idx="79">
                  <c:v>126.765</c:v>
                </c:pt>
                <c:pt idx="80">
                  <c:v>127.785063291139</c:v>
                </c:pt>
                <c:pt idx="81">
                  <c:v>128.805126582278</c:v>
                </c:pt>
                <c:pt idx="82">
                  <c:v>129.825189873418</c:v>
                </c:pt>
                <c:pt idx="83">
                  <c:v>130.845253164557</c:v>
                </c:pt>
                <c:pt idx="84">
                  <c:v>131.865316455696</c:v>
                </c:pt>
                <c:pt idx="85">
                  <c:v>132.885379746835</c:v>
                </c:pt>
                <c:pt idx="86">
                  <c:v>133.905443037975</c:v>
                </c:pt>
                <c:pt idx="87">
                  <c:v>134.925506329114</c:v>
                </c:pt>
                <c:pt idx="88">
                  <c:v>135.945569620253</c:v>
                </c:pt>
                <c:pt idx="89">
                  <c:v>136.965632911392</c:v>
                </c:pt>
                <c:pt idx="90">
                  <c:v>137.985696202532</c:v>
                </c:pt>
                <c:pt idx="91">
                  <c:v>139.005759493671</c:v>
                </c:pt>
                <c:pt idx="92">
                  <c:v>140.02582278481</c:v>
                </c:pt>
                <c:pt idx="93">
                  <c:v>141.045886075949</c:v>
                </c:pt>
                <c:pt idx="94">
                  <c:v>142.065949367089</c:v>
                </c:pt>
                <c:pt idx="95">
                  <c:v>143.086012658228</c:v>
                </c:pt>
                <c:pt idx="96">
                  <c:v>144.106075949367</c:v>
                </c:pt>
                <c:pt idx="97">
                  <c:v>145.126139240506</c:v>
                </c:pt>
                <c:pt idx="98">
                  <c:v>146.146202531646</c:v>
                </c:pt>
                <c:pt idx="99">
                  <c:v>147.166265822785</c:v>
                </c:pt>
                <c:pt idx="100">
                  <c:v>148.186329113924</c:v>
                </c:pt>
                <c:pt idx="101">
                  <c:v>149.206392405063</c:v>
                </c:pt>
                <c:pt idx="102">
                  <c:v>150.226455696203</c:v>
                </c:pt>
                <c:pt idx="103">
                  <c:v>151.246518987342</c:v>
                </c:pt>
                <c:pt idx="104">
                  <c:v>152.266582278481</c:v>
                </c:pt>
                <c:pt idx="105">
                  <c:v>153.28664556962</c:v>
                </c:pt>
                <c:pt idx="106">
                  <c:v>154.30670886076</c:v>
                </c:pt>
                <c:pt idx="107">
                  <c:v>155.326772151899</c:v>
                </c:pt>
                <c:pt idx="108">
                  <c:v>156.346835443038</c:v>
                </c:pt>
                <c:pt idx="109">
                  <c:v>157.366898734177</c:v>
                </c:pt>
                <c:pt idx="110">
                  <c:v>158.386962025316</c:v>
                </c:pt>
                <c:pt idx="111">
                  <c:v>159.407025316456</c:v>
                </c:pt>
                <c:pt idx="112">
                  <c:v>160.427088607595</c:v>
                </c:pt>
                <c:pt idx="113">
                  <c:v>161.447151898734</c:v>
                </c:pt>
                <c:pt idx="114">
                  <c:v>162.467215189873</c:v>
                </c:pt>
                <c:pt idx="115">
                  <c:v>163.487278481013</c:v>
                </c:pt>
                <c:pt idx="116">
                  <c:v>164.507341772152</c:v>
                </c:pt>
                <c:pt idx="117">
                  <c:v>165.527405063291</c:v>
                </c:pt>
                <c:pt idx="118">
                  <c:v>166.54746835443</c:v>
                </c:pt>
                <c:pt idx="119">
                  <c:v>167.56753164557</c:v>
                </c:pt>
                <c:pt idx="120">
                  <c:v>168.587594936709</c:v>
                </c:pt>
                <c:pt idx="121">
                  <c:v>169.607658227848</c:v>
                </c:pt>
                <c:pt idx="122">
                  <c:v>170.627721518987</c:v>
                </c:pt>
                <c:pt idx="123">
                  <c:v>171.647784810127</c:v>
                </c:pt>
                <c:pt idx="124">
                  <c:v>172.667848101266</c:v>
                </c:pt>
                <c:pt idx="125">
                  <c:v>173.687911392405</c:v>
                </c:pt>
                <c:pt idx="126">
                  <c:v>174.707974683544</c:v>
                </c:pt>
                <c:pt idx="127">
                  <c:v>175.728037974684</c:v>
                </c:pt>
                <c:pt idx="128">
                  <c:v>176.748101265823</c:v>
                </c:pt>
                <c:pt idx="129">
                  <c:v>177.768164556962</c:v>
                </c:pt>
                <c:pt idx="130">
                  <c:v>178.788227848101</c:v>
                </c:pt>
                <c:pt idx="131">
                  <c:v>179.80829113924</c:v>
                </c:pt>
                <c:pt idx="132">
                  <c:v>180.82835443038</c:v>
                </c:pt>
                <c:pt idx="133">
                  <c:v>181.848417721519</c:v>
                </c:pt>
                <c:pt idx="134">
                  <c:v>182.868481012658</c:v>
                </c:pt>
                <c:pt idx="135">
                  <c:v>183.888544303797</c:v>
                </c:pt>
                <c:pt idx="136">
                  <c:v>184.908607594937</c:v>
                </c:pt>
                <c:pt idx="137">
                  <c:v>185.928670886076</c:v>
                </c:pt>
                <c:pt idx="138">
                  <c:v>186.948734177215</c:v>
                </c:pt>
                <c:pt idx="139">
                  <c:v>187.968797468354</c:v>
                </c:pt>
                <c:pt idx="140">
                  <c:v>188.988860759494</c:v>
                </c:pt>
                <c:pt idx="141">
                  <c:v>190.008924050633</c:v>
                </c:pt>
                <c:pt idx="142">
                  <c:v>191.028987341772</c:v>
                </c:pt>
                <c:pt idx="143">
                  <c:v>192.049050632911</c:v>
                </c:pt>
                <c:pt idx="144">
                  <c:v>193.069113924051</c:v>
                </c:pt>
                <c:pt idx="145">
                  <c:v>194.08917721519</c:v>
                </c:pt>
                <c:pt idx="146">
                  <c:v>195.109240506329</c:v>
                </c:pt>
                <c:pt idx="147">
                  <c:v>196.129303797468</c:v>
                </c:pt>
                <c:pt idx="148">
                  <c:v>197.149367088608</c:v>
                </c:pt>
                <c:pt idx="149">
                  <c:v>198.169430379747</c:v>
                </c:pt>
                <c:pt idx="150">
                  <c:v>199.189493670886</c:v>
                </c:pt>
                <c:pt idx="151">
                  <c:v>200.209556962025</c:v>
                </c:pt>
                <c:pt idx="152">
                  <c:v>201.229620253165</c:v>
                </c:pt>
                <c:pt idx="153">
                  <c:v>202.249683544304</c:v>
                </c:pt>
                <c:pt idx="154">
                  <c:v>203.269746835443</c:v>
                </c:pt>
                <c:pt idx="155">
                  <c:v>204.289810126582</c:v>
                </c:pt>
                <c:pt idx="156">
                  <c:v>205.309873417722</c:v>
                </c:pt>
                <c:pt idx="157">
                  <c:v>206.329936708861</c:v>
                </c:pt>
                <c:pt idx="158">
                  <c:v>207.35</c:v>
                </c:pt>
                <c:pt idx="159">
                  <c:v>208.370063291139</c:v>
                </c:pt>
              </c:numCache>
            </c:numRef>
          </c:val>
          <c:smooth val="0"/>
        </c:ser>
        <c:hiLowLines>
          <c:spPr>
            <a:ln w="0">
              <a:noFill/>
            </a:ln>
          </c:spPr>
        </c:hiLowLines>
        <c:marker val="0"/>
        <c:axId val="48405090"/>
        <c:axId val="58054611"/>
      </c:lineChart>
      <c:dateAx>
        <c:axId val="1342247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135023"/>
        <c:auto val="1"/>
        <c:lblOffset val="100"/>
        <c:baseTimeUnit val="days"/>
      </c:dateAx>
      <c:valAx>
        <c:axId val="1613502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422472"/>
        <c:crosses val="autoZero"/>
        <c:crossBetween val="between"/>
      </c:valAx>
      <c:dateAx>
        <c:axId val="4840509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054611"/>
        <c:auto val="1"/>
        <c:lblOffset val="100"/>
        <c:baseTimeUnit val="days"/>
      </c:dateAx>
      <c:valAx>
        <c:axId val="5805461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40509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0.0680466579412642</c:v>
                </c:pt>
                <c:pt idx="21">
                  <c:v>-0.0217566565264595</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0.0707421126873631</c:v>
                </c:pt>
              </c:numCache>
            </c:numRef>
          </c:val>
        </c:ser>
        <c:gapWidth val="150"/>
        <c:overlap val="0"/>
        <c:axId val="20453677"/>
        <c:axId val="32741162"/>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(Calc)'!$Y$3:$Y$500</c:f>
              <c:numCache>
                <c:formatCode>#,##0.00</c:formatCode>
                <c:ptCount val="498"/>
                <c:pt idx="0">
                  <c:v>582.01</c:v>
                </c:pt>
                <c:pt idx="1">
                  <c:v>590.144810126582</c:v>
                </c:pt>
                <c:pt idx="2">
                  <c:v>598.279620253165</c:v>
                </c:pt>
                <c:pt idx="3">
                  <c:v>606.414430379747</c:v>
                </c:pt>
                <c:pt idx="4">
                  <c:v>614.549240506329</c:v>
                </c:pt>
                <c:pt idx="5">
                  <c:v>622.684050632911</c:v>
                </c:pt>
                <c:pt idx="6">
                  <c:v>630.818860759494</c:v>
                </c:pt>
                <c:pt idx="7">
                  <c:v>638.953670886076</c:v>
                </c:pt>
                <c:pt idx="8">
                  <c:v>647.088481012658</c:v>
                </c:pt>
                <c:pt idx="9">
                  <c:v>655.223291139241</c:v>
                </c:pt>
                <c:pt idx="10">
                  <c:v>663.358101265823</c:v>
                </c:pt>
                <c:pt idx="11">
                  <c:v>671.492911392405</c:v>
                </c:pt>
                <c:pt idx="12">
                  <c:v>679.627721518987</c:v>
                </c:pt>
                <c:pt idx="13">
                  <c:v>687.76253164557</c:v>
                </c:pt>
                <c:pt idx="14">
                  <c:v>695.897341772152</c:v>
                </c:pt>
                <c:pt idx="15">
                  <c:v>704.032151898734</c:v>
                </c:pt>
                <c:pt idx="16">
                  <c:v>712.166962025317</c:v>
                </c:pt>
                <c:pt idx="17">
                  <c:v>720.301772151899</c:v>
                </c:pt>
                <c:pt idx="18">
                  <c:v>728.436582278481</c:v>
                </c:pt>
                <c:pt idx="19">
                  <c:v>736.571392405063</c:v>
                </c:pt>
                <c:pt idx="20">
                  <c:v>744.706202531646</c:v>
                </c:pt>
                <c:pt idx="21">
                  <c:v>752.841012658228</c:v>
                </c:pt>
                <c:pt idx="22">
                  <c:v>760.97582278481</c:v>
                </c:pt>
                <c:pt idx="23">
                  <c:v>769.110632911392</c:v>
                </c:pt>
                <c:pt idx="24">
                  <c:v>777.245443037975</c:v>
                </c:pt>
                <c:pt idx="25">
                  <c:v>785.380253164557</c:v>
                </c:pt>
                <c:pt idx="26">
                  <c:v>793.515063291139</c:v>
                </c:pt>
                <c:pt idx="27">
                  <c:v>801.649873417721</c:v>
                </c:pt>
                <c:pt idx="28">
                  <c:v>809.784683544304</c:v>
                </c:pt>
                <c:pt idx="29">
                  <c:v>817.919493670886</c:v>
                </c:pt>
                <c:pt idx="30">
                  <c:v>826.054303797468</c:v>
                </c:pt>
                <c:pt idx="31">
                  <c:v>834.189113924051</c:v>
                </c:pt>
                <c:pt idx="32">
                  <c:v>842.323924050633</c:v>
                </c:pt>
                <c:pt idx="33">
                  <c:v>850.458734177215</c:v>
                </c:pt>
                <c:pt idx="34">
                  <c:v>858.593544303797</c:v>
                </c:pt>
                <c:pt idx="35">
                  <c:v>866.72835443038</c:v>
                </c:pt>
                <c:pt idx="36">
                  <c:v>874.863164556962</c:v>
                </c:pt>
                <c:pt idx="37">
                  <c:v>882.997974683544</c:v>
                </c:pt>
                <c:pt idx="38">
                  <c:v>891.132784810127</c:v>
                </c:pt>
                <c:pt idx="39">
                  <c:v>899.267594936709</c:v>
                </c:pt>
                <c:pt idx="40">
                  <c:v>907.402405063291</c:v>
                </c:pt>
                <c:pt idx="41">
                  <c:v>915.537215189874</c:v>
                </c:pt>
                <c:pt idx="42">
                  <c:v>923.672025316456</c:v>
                </c:pt>
                <c:pt idx="43">
                  <c:v>931.806835443038</c:v>
                </c:pt>
                <c:pt idx="44">
                  <c:v>939.94164556962</c:v>
                </c:pt>
                <c:pt idx="45">
                  <c:v>948.076455696203</c:v>
                </c:pt>
                <c:pt idx="46">
                  <c:v>956.211265822785</c:v>
                </c:pt>
                <c:pt idx="47">
                  <c:v>964.346075949367</c:v>
                </c:pt>
                <c:pt idx="48">
                  <c:v>972.480886075949</c:v>
                </c:pt>
                <c:pt idx="49">
                  <c:v>980.615696202532</c:v>
                </c:pt>
                <c:pt idx="50">
                  <c:v>988.750506329114</c:v>
                </c:pt>
                <c:pt idx="51">
                  <c:v>996.885316455696</c:v>
                </c:pt>
                <c:pt idx="52">
                  <c:v>1005.02012658228</c:v>
                </c:pt>
                <c:pt idx="53">
                  <c:v>1013.15493670886</c:v>
                </c:pt>
                <c:pt idx="54">
                  <c:v>1021.28974683544</c:v>
                </c:pt>
                <c:pt idx="55">
                  <c:v>1029.42455696203</c:v>
                </c:pt>
                <c:pt idx="56">
                  <c:v>1037.55936708861</c:v>
                </c:pt>
                <c:pt idx="57">
                  <c:v>1045.69417721519</c:v>
                </c:pt>
                <c:pt idx="58">
                  <c:v>1053.82898734177</c:v>
                </c:pt>
                <c:pt idx="59">
                  <c:v>1061.96379746835</c:v>
                </c:pt>
                <c:pt idx="60">
                  <c:v>1070.09860759494</c:v>
                </c:pt>
                <c:pt idx="61">
                  <c:v>1078.23341772152</c:v>
                </c:pt>
                <c:pt idx="62">
                  <c:v>1086.3682278481</c:v>
                </c:pt>
                <c:pt idx="63">
                  <c:v>1094.50303797468</c:v>
                </c:pt>
                <c:pt idx="64">
                  <c:v>1102.63784810127</c:v>
                </c:pt>
                <c:pt idx="65">
                  <c:v>1110.77265822785</c:v>
                </c:pt>
                <c:pt idx="66">
                  <c:v>1118.90746835443</c:v>
                </c:pt>
                <c:pt idx="67">
                  <c:v>1127.04227848101</c:v>
                </c:pt>
                <c:pt idx="68">
                  <c:v>1135.1770886076</c:v>
                </c:pt>
                <c:pt idx="69">
                  <c:v>1143.31189873418</c:v>
                </c:pt>
                <c:pt idx="70">
                  <c:v>1151.44670886076</c:v>
                </c:pt>
                <c:pt idx="71">
                  <c:v>1159.58151898734</c:v>
                </c:pt>
                <c:pt idx="72">
                  <c:v>1167.71632911392</c:v>
                </c:pt>
                <c:pt idx="73">
                  <c:v>1175.85113924051</c:v>
                </c:pt>
                <c:pt idx="74">
                  <c:v>1183.98594936709</c:v>
                </c:pt>
                <c:pt idx="75">
                  <c:v>1192.12075949367</c:v>
                </c:pt>
                <c:pt idx="76">
                  <c:v>1200.25556962025</c:v>
                </c:pt>
                <c:pt idx="77">
                  <c:v>1208.39037974684</c:v>
                </c:pt>
                <c:pt idx="78">
                  <c:v>1216.52518987342</c:v>
                </c:pt>
                <c:pt idx="79">
                  <c:v>1224.66</c:v>
                </c:pt>
                <c:pt idx="80">
                  <c:v>1232.79481012658</c:v>
                </c:pt>
                <c:pt idx="81">
                  <c:v>1240.92962025316</c:v>
                </c:pt>
                <c:pt idx="82">
                  <c:v>1249.06443037975</c:v>
                </c:pt>
                <c:pt idx="83">
                  <c:v>1257.19924050633</c:v>
                </c:pt>
                <c:pt idx="84">
                  <c:v>1265.33405063291</c:v>
                </c:pt>
                <c:pt idx="85">
                  <c:v>1273.46886075949</c:v>
                </c:pt>
                <c:pt idx="86">
                  <c:v>1281.60367088608</c:v>
                </c:pt>
                <c:pt idx="87">
                  <c:v>1289.73848101266</c:v>
                </c:pt>
                <c:pt idx="88">
                  <c:v>1297.87329113924</c:v>
                </c:pt>
                <c:pt idx="89">
                  <c:v>1306.00810126582</c:v>
                </c:pt>
                <c:pt idx="90">
                  <c:v>1314.14291139241</c:v>
                </c:pt>
                <c:pt idx="91">
                  <c:v>1322.27772151899</c:v>
                </c:pt>
                <c:pt idx="92">
                  <c:v>1330.41253164557</c:v>
                </c:pt>
                <c:pt idx="93">
                  <c:v>1338.54734177215</c:v>
                </c:pt>
                <c:pt idx="94">
                  <c:v>1346.68215189873</c:v>
                </c:pt>
                <c:pt idx="95">
                  <c:v>1354.81696202532</c:v>
                </c:pt>
                <c:pt idx="96">
                  <c:v>1362.9517721519</c:v>
                </c:pt>
                <c:pt idx="97">
                  <c:v>1371.08658227848</c:v>
                </c:pt>
                <c:pt idx="98">
                  <c:v>1379.22139240506</c:v>
                </c:pt>
                <c:pt idx="99">
                  <c:v>1387.35620253165</c:v>
                </c:pt>
                <c:pt idx="100">
                  <c:v>1395.49101265823</c:v>
                </c:pt>
                <c:pt idx="101">
                  <c:v>1403.62582278481</c:v>
                </c:pt>
                <c:pt idx="102">
                  <c:v>1411.76063291139</c:v>
                </c:pt>
                <c:pt idx="103">
                  <c:v>1419.89544303797</c:v>
                </c:pt>
                <c:pt idx="104">
                  <c:v>1428.03025316456</c:v>
                </c:pt>
                <c:pt idx="105">
                  <c:v>1436.16506329114</c:v>
                </c:pt>
                <c:pt idx="106">
                  <c:v>1444.29987341772</c:v>
                </c:pt>
                <c:pt idx="107">
                  <c:v>1452.4346835443</c:v>
                </c:pt>
                <c:pt idx="108">
                  <c:v>1460.56949367089</c:v>
                </c:pt>
                <c:pt idx="109">
                  <c:v>1468.70430379747</c:v>
                </c:pt>
                <c:pt idx="110">
                  <c:v>1476.83911392405</c:v>
                </c:pt>
                <c:pt idx="111">
                  <c:v>1484.97392405063</c:v>
                </c:pt>
                <c:pt idx="112">
                  <c:v>1493.10873417722</c:v>
                </c:pt>
                <c:pt idx="113">
                  <c:v>1501.2435443038</c:v>
                </c:pt>
                <c:pt idx="114">
                  <c:v>1509.37835443038</c:v>
                </c:pt>
                <c:pt idx="115">
                  <c:v>1517.51316455696</c:v>
                </c:pt>
                <c:pt idx="116">
                  <c:v>1525.64797468354</c:v>
                </c:pt>
                <c:pt idx="117">
                  <c:v>1533.78278481013</c:v>
                </c:pt>
                <c:pt idx="118">
                  <c:v>1541.91759493671</c:v>
                </c:pt>
                <c:pt idx="119">
                  <c:v>1550.05240506329</c:v>
                </c:pt>
                <c:pt idx="120">
                  <c:v>1558.18721518987</c:v>
                </c:pt>
                <c:pt idx="121">
                  <c:v>1566.32202531646</c:v>
                </c:pt>
                <c:pt idx="122">
                  <c:v>1574.45683544304</c:v>
                </c:pt>
                <c:pt idx="123">
                  <c:v>1582.59164556962</c:v>
                </c:pt>
                <c:pt idx="124">
                  <c:v>1590.7264556962</c:v>
                </c:pt>
                <c:pt idx="125">
                  <c:v>1598.86126582278</c:v>
                </c:pt>
                <c:pt idx="126">
                  <c:v>1606.99607594937</c:v>
                </c:pt>
                <c:pt idx="127">
                  <c:v>1615.13088607595</c:v>
                </c:pt>
                <c:pt idx="128">
                  <c:v>1623.26569620253</c:v>
                </c:pt>
                <c:pt idx="129">
                  <c:v>1631.40050632911</c:v>
                </c:pt>
                <c:pt idx="130">
                  <c:v>1639.5353164557</c:v>
                </c:pt>
                <c:pt idx="131">
                  <c:v>1647.67012658228</c:v>
                </c:pt>
                <c:pt idx="132">
                  <c:v>1655.80493670886</c:v>
                </c:pt>
                <c:pt idx="133">
                  <c:v>1663.93974683544</c:v>
                </c:pt>
                <c:pt idx="134">
                  <c:v>1672.07455696203</c:v>
                </c:pt>
                <c:pt idx="135">
                  <c:v>1680.20936708861</c:v>
                </c:pt>
                <c:pt idx="136">
                  <c:v>1688.34417721519</c:v>
                </c:pt>
                <c:pt idx="137">
                  <c:v>1696.47898734177</c:v>
                </c:pt>
                <c:pt idx="138">
                  <c:v>1704.61379746835</c:v>
                </c:pt>
                <c:pt idx="139">
                  <c:v>1712.74860759494</c:v>
                </c:pt>
                <c:pt idx="140">
                  <c:v>1720.88341772152</c:v>
                </c:pt>
                <c:pt idx="141">
                  <c:v>1729.0182278481</c:v>
                </c:pt>
                <c:pt idx="142">
                  <c:v>1737.15303797468</c:v>
                </c:pt>
                <c:pt idx="143">
                  <c:v>1745.28784810127</c:v>
                </c:pt>
                <c:pt idx="144">
                  <c:v>1753.42265822785</c:v>
                </c:pt>
                <c:pt idx="145">
                  <c:v>1761.55746835443</c:v>
                </c:pt>
                <c:pt idx="146">
                  <c:v>1769.69227848101</c:v>
                </c:pt>
                <c:pt idx="147">
                  <c:v>1777.8270886076</c:v>
                </c:pt>
                <c:pt idx="148">
                  <c:v>1785.96189873418</c:v>
                </c:pt>
                <c:pt idx="149">
                  <c:v>1794.09670886076</c:v>
                </c:pt>
                <c:pt idx="150">
                  <c:v>1802.23151898734</c:v>
                </c:pt>
                <c:pt idx="151">
                  <c:v>1810.36632911392</c:v>
                </c:pt>
                <c:pt idx="152">
                  <c:v>1818.50113924051</c:v>
                </c:pt>
                <c:pt idx="153">
                  <c:v>1826.63594936709</c:v>
                </c:pt>
                <c:pt idx="154">
                  <c:v>1834.77075949367</c:v>
                </c:pt>
                <c:pt idx="155">
                  <c:v>1842.90556962025</c:v>
                </c:pt>
                <c:pt idx="156">
                  <c:v>1851.04037974684</c:v>
                </c:pt>
                <c:pt idx="157">
                  <c:v>1859.17518987342</c:v>
                </c:pt>
                <c:pt idx="158">
                  <c:v>1867.31</c:v>
                </c:pt>
                <c:pt idx="159">
                  <c:v>1875.44481012658</c:v>
                </c:pt>
              </c:numCache>
            </c:numRef>
          </c:val>
          <c:smooth val="0"/>
        </c:ser>
        <c:hiLowLines>
          <c:spPr>
            <a:ln w="0">
              <a:noFill/>
            </a:ln>
          </c:spPr>
        </c:hiLowLines>
        <c:marker val="0"/>
        <c:axId val="3197959"/>
        <c:axId val="11615764"/>
      </c:lineChart>
      <c:dateAx>
        <c:axId val="2045367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741162"/>
        <c:auto val="1"/>
        <c:lblOffset val="100"/>
        <c:baseTimeUnit val="days"/>
      </c:dateAx>
      <c:valAx>
        <c:axId val="3274116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453677"/>
        <c:crosses val="autoZero"/>
        <c:crossBetween val="between"/>
      </c:valAx>
      <c:dateAx>
        <c:axId val="319795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615764"/>
        <c:auto val="1"/>
        <c:lblOffset val="100"/>
        <c:baseTimeUnit val="days"/>
      </c:dateAx>
      <c:valAx>
        <c:axId val="1161576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9795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0.00660412119837872</c:v>
                </c:pt>
              </c:numCache>
            </c:numRef>
          </c:val>
        </c:ser>
        <c:gapWidth val="150"/>
        <c:overlap val="0"/>
        <c:axId val="86047590"/>
        <c:axId val="74605303"/>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(Calc)'!$Z$3:$Z$500</c:f>
              <c:numCache>
                <c:formatCode>#,##0.00</c:formatCode>
                <c:ptCount val="498"/>
                <c:pt idx="0">
                  <c:v>82</c:v>
                </c:pt>
                <c:pt idx="1">
                  <c:v>83.7287341772152</c:v>
                </c:pt>
                <c:pt idx="2">
                  <c:v>85.4574683544304</c:v>
                </c:pt>
                <c:pt idx="3">
                  <c:v>87.1862025316456</c:v>
                </c:pt>
                <c:pt idx="4">
                  <c:v>88.9149367088608</c:v>
                </c:pt>
                <c:pt idx="5">
                  <c:v>90.643670886076</c:v>
                </c:pt>
                <c:pt idx="6">
                  <c:v>92.3724050632911</c:v>
                </c:pt>
                <c:pt idx="7">
                  <c:v>94.1011392405063</c:v>
                </c:pt>
                <c:pt idx="8">
                  <c:v>95.8298734177215</c:v>
                </c:pt>
                <c:pt idx="9">
                  <c:v>97.5586075949367</c:v>
                </c:pt>
                <c:pt idx="10">
                  <c:v>99.2873417721519</c:v>
                </c:pt>
                <c:pt idx="11">
                  <c:v>101.016075949367</c:v>
                </c:pt>
                <c:pt idx="12">
                  <c:v>102.744810126582</c:v>
                </c:pt>
                <c:pt idx="13">
                  <c:v>104.473544303797</c:v>
                </c:pt>
                <c:pt idx="14">
                  <c:v>106.202278481013</c:v>
                </c:pt>
                <c:pt idx="15">
                  <c:v>107.931012658228</c:v>
                </c:pt>
                <c:pt idx="16">
                  <c:v>109.659746835443</c:v>
                </c:pt>
                <c:pt idx="17">
                  <c:v>111.388481012658</c:v>
                </c:pt>
                <c:pt idx="18">
                  <c:v>113.117215189873</c:v>
                </c:pt>
                <c:pt idx="19">
                  <c:v>114.845949367089</c:v>
                </c:pt>
                <c:pt idx="20">
                  <c:v>116.574683544304</c:v>
                </c:pt>
                <c:pt idx="21">
                  <c:v>118.303417721519</c:v>
                </c:pt>
                <c:pt idx="22">
                  <c:v>120.032151898734</c:v>
                </c:pt>
                <c:pt idx="23">
                  <c:v>121.760886075949</c:v>
                </c:pt>
                <c:pt idx="24">
                  <c:v>123.489620253165</c:v>
                </c:pt>
                <c:pt idx="25">
                  <c:v>125.21835443038</c:v>
                </c:pt>
                <c:pt idx="26">
                  <c:v>126.947088607595</c:v>
                </c:pt>
                <c:pt idx="27">
                  <c:v>128.67582278481</c:v>
                </c:pt>
                <c:pt idx="28">
                  <c:v>130.404556962025</c:v>
                </c:pt>
                <c:pt idx="29">
                  <c:v>132.133291139241</c:v>
                </c:pt>
                <c:pt idx="30">
                  <c:v>133.862025316456</c:v>
                </c:pt>
                <c:pt idx="31">
                  <c:v>135.590759493671</c:v>
                </c:pt>
                <c:pt idx="32">
                  <c:v>137.319493670886</c:v>
                </c:pt>
                <c:pt idx="33">
                  <c:v>139.048227848101</c:v>
                </c:pt>
                <c:pt idx="34">
                  <c:v>140.776962025316</c:v>
                </c:pt>
                <c:pt idx="35">
                  <c:v>142.505696202532</c:v>
                </c:pt>
                <c:pt idx="36">
                  <c:v>144.234430379747</c:v>
                </c:pt>
                <c:pt idx="37">
                  <c:v>145.963164556962</c:v>
                </c:pt>
                <c:pt idx="38">
                  <c:v>147.691898734177</c:v>
                </c:pt>
                <c:pt idx="39">
                  <c:v>149.420632911392</c:v>
                </c:pt>
                <c:pt idx="40">
                  <c:v>151.149367088608</c:v>
                </c:pt>
                <c:pt idx="41">
                  <c:v>152.878101265823</c:v>
                </c:pt>
                <c:pt idx="42">
                  <c:v>154.606835443038</c:v>
                </c:pt>
                <c:pt idx="43">
                  <c:v>156.335569620253</c:v>
                </c:pt>
                <c:pt idx="44">
                  <c:v>158.064303797468</c:v>
                </c:pt>
                <c:pt idx="45">
                  <c:v>159.793037974684</c:v>
                </c:pt>
                <c:pt idx="46">
                  <c:v>161.521772151899</c:v>
                </c:pt>
                <c:pt idx="47">
                  <c:v>163.250506329114</c:v>
                </c:pt>
                <c:pt idx="48">
                  <c:v>164.979240506329</c:v>
                </c:pt>
                <c:pt idx="49">
                  <c:v>166.707974683544</c:v>
                </c:pt>
                <c:pt idx="50">
                  <c:v>168.43670886076</c:v>
                </c:pt>
                <c:pt idx="51">
                  <c:v>170.165443037975</c:v>
                </c:pt>
                <c:pt idx="52">
                  <c:v>171.89417721519</c:v>
                </c:pt>
                <c:pt idx="53">
                  <c:v>173.622911392405</c:v>
                </c:pt>
                <c:pt idx="54">
                  <c:v>175.35164556962</c:v>
                </c:pt>
                <c:pt idx="55">
                  <c:v>177.080379746835</c:v>
                </c:pt>
                <c:pt idx="56">
                  <c:v>178.809113924051</c:v>
                </c:pt>
                <c:pt idx="57">
                  <c:v>180.537848101266</c:v>
                </c:pt>
                <c:pt idx="58">
                  <c:v>182.266582278481</c:v>
                </c:pt>
                <c:pt idx="59">
                  <c:v>183.995316455696</c:v>
                </c:pt>
                <c:pt idx="60">
                  <c:v>185.724050632911</c:v>
                </c:pt>
                <c:pt idx="61">
                  <c:v>187.452784810127</c:v>
                </c:pt>
                <c:pt idx="62">
                  <c:v>189.181518987342</c:v>
                </c:pt>
                <c:pt idx="63">
                  <c:v>190.910253164557</c:v>
                </c:pt>
                <c:pt idx="64">
                  <c:v>192.638987341772</c:v>
                </c:pt>
                <c:pt idx="65">
                  <c:v>194.367721518987</c:v>
                </c:pt>
                <c:pt idx="66">
                  <c:v>196.096455696203</c:v>
                </c:pt>
                <c:pt idx="67">
                  <c:v>197.825189873418</c:v>
                </c:pt>
                <c:pt idx="68">
                  <c:v>199.553924050633</c:v>
                </c:pt>
                <c:pt idx="69">
                  <c:v>201.282658227848</c:v>
                </c:pt>
                <c:pt idx="70">
                  <c:v>203.011392405063</c:v>
                </c:pt>
                <c:pt idx="71">
                  <c:v>204.740126582279</c:v>
                </c:pt>
                <c:pt idx="72">
                  <c:v>206.468860759494</c:v>
                </c:pt>
                <c:pt idx="73">
                  <c:v>208.197594936709</c:v>
                </c:pt>
                <c:pt idx="74">
                  <c:v>209.926329113924</c:v>
                </c:pt>
                <c:pt idx="75">
                  <c:v>211.655063291139</c:v>
                </c:pt>
                <c:pt idx="76">
                  <c:v>213.383797468354</c:v>
                </c:pt>
                <c:pt idx="77">
                  <c:v>215.11253164557</c:v>
                </c:pt>
                <c:pt idx="78">
                  <c:v>216.841265822785</c:v>
                </c:pt>
                <c:pt idx="79">
                  <c:v>218.57</c:v>
                </c:pt>
                <c:pt idx="80">
                  <c:v>220.298734177215</c:v>
                </c:pt>
                <c:pt idx="81">
                  <c:v>222.02746835443</c:v>
                </c:pt>
                <c:pt idx="82">
                  <c:v>223.756202531646</c:v>
                </c:pt>
                <c:pt idx="83">
                  <c:v>225.484936708861</c:v>
                </c:pt>
                <c:pt idx="84">
                  <c:v>227.213670886076</c:v>
                </c:pt>
                <c:pt idx="85">
                  <c:v>228.942405063291</c:v>
                </c:pt>
                <c:pt idx="86">
                  <c:v>230.671139240506</c:v>
                </c:pt>
                <c:pt idx="87">
                  <c:v>232.399873417722</c:v>
                </c:pt>
                <c:pt idx="88">
                  <c:v>234.128607594937</c:v>
                </c:pt>
                <c:pt idx="89">
                  <c:v>235.857341772152</c:v>
                </c:pt>
                <c:pt idx="90">
                  <c:v>237.586075949367</c:v>
                </c:pt>
                <c:pt idx="91">
                  <c:v>239.314810126582</c:v>
                </c:pt>
                <c:pt idx="92">
                  <c:v>241.043544303797</c:v>
                </c:pt>
                <c:pt idx="93">
                  <c:v>242.772278481013</c:v>
                </c:pt>
                <c:pt idx="94">
                  <c:v>244.501012658228</c:v>
                </c:pt>
                <c:pt idx="95">
                  <c:v>246.229746835443</c:v>
                </c:pt>
                <c:pt idx="96">
                  <c:v>247.958481012658</c:v>
                </c:pt>
                <c:pt idx="97">
                  <c:v>249.687215189873</c:v>
                </c:pt>
                <c:pt idx="98">
                  <c:v>251.415949367089</c:v>
                </c:pt>
                <c:pt idx="99">
                  <c:v>253.144683544304</c:v>
                </c:pt>
                <c:pt idx="100">
                  <c:v>254.873417721519</c:v>
                </c:pt>
                <c:pt idx="101">
                  <c:v>256.602151898734</c:v>
                </c:pt>
                <c:pt idx="102">
                  <c:v>258.330886075949</c:v>
                </c:pt>
                <c:pt idx="103">
                  <c:v>260.059620253165</c:v>
                </c:pt>
                <c:pt idx="104">
                  <c:v>261.78835443038</c:v>
                </c:pt>
                <c:pt idx="105">
                  <c:v>263.517088607595</c:v>
                </c:pt>
                <c:pt idx="106">
                  <c:v>265.24582278481</c:v>
                </c:pt>
                <c:pt idx="107">
                  <c:v>266.974556962025</c:v>
                </c:pt>
                <c:pt idx="108">
                  <c:v>268.703291139241</c:v>
                </c:pt>
                <c:pt idx="109">
                  <c:v>270.432025316456</c:v>
                </c:pt>
                <c:pt idx="110">
                  <c:v>272.160759493671</c:v>
                </c:pt>
                <c:pt idx="111">
                  <c:v>273.889493670886</c:v>
                </c:pt>
                <c:pt idx="112">
                  <c:v>275.618227848101</c:v>
                </c:pt>
                <c:pt idx="113">
                  <c:v>277.346962025316</c:v>
                </c:pt>
                <c:pt idx="114">
                  <c:v>279.075696202532</c:v>
                </c:pt>
                <c:pt idx="115">
                  <c:v>280.804430379747</c:v>
                </c:pt>
                <c:pt idx="116">
                  <c:v>282.533164556962</c:v>
                </c:pt>
                <c:pt idx="117">
                  <c:v>284.261898734177</c:v>
                </c:pt>
                <c:pt idx="118">
                  <c:v>285.990632911392</c:v>
                </c:pt>
                <c:pt idx="119">
                  <c:v>287.719367088608</c:v>
                </c:pt>
                <c:pt idx="120">
                  <c:v>289.448101265823</c:v>
                </c:pt>
                <c:pt idx="121">
                  <c:v>291.176835443038</c:v>
                </c:pt>
                <c:pt idx="122">
                  <c:v>292.905569620253</c:v>
                </c:pt>
                <c:pt idx="123">
                  <c:v>294.634303797468</c:v>
                </c:pt>
                <c:pt idx="124">
                  <c:v>296.363037974684</c:v>
                </c:pt>
                <c:pt idx="125">
                  <c:v>298.091772151899</c:v>
                </c:pt>
                <c:pt idx="126">
                  <c:v>299.820506329114</c:v>
                </c:pt>
                <c:pt idx="127">
                  <c:v>301.549240506329</c:v>
                </c:pt>
                <c:pt idx="128">
                  <c:v>303.277974683544</c:v>
                </c:pt>
                <c:pt idx="129">
                  <c:v>305.00670886076</c:v>
                </c:pt>
                <c:pt idx="130">
                  <c:v>306.735443037975</c:v>
                </c:pt>
                <c:pt idx="131">
                  <c:v>308.46417721519</c:v>
                </c:pt>
                <c:pt idx="132">
                  <c:v>310.192911392405</c:v>
                </c:pt>
                <c:pt idx="133">
                  <c:v>311.92164556962</c:v>
                </c:pt>
                <c:pt idx="134">
                  <c:v>313.650379746835</c:v>
                </c:pt>
                <c:pt idx="135">
                  <c:v>315.379113924051</c:v>
                </c:pt>
                <c:pt idx="136">
                  <c:v>317.107848101266</c:v>
                </c:pt>
                <c:pt idx="137">
                  <c:v>318.836582278481</c:v>
                </c:pt>
                <c:pt idx="138">
                  <c:v>320.565316455696</c:v>
                </c:pt>
                <c:pt idx="139">
                  <c:v>322.294050632911</c:v>
                </c:pt>
                <c:pt idx="140">
                  <c:v>324.022784810127</c:v>
                </c:pt>
                <c:pt idx="141">
                  <c:v>325.751518987342</c:v>
                </c:pt>
                <c:pt idx="142">
                  <c:v>327.480253164557</c:v>
                </c:pt>
                <c:pt idx="143">
                  <c:v>329.208987341772</c:v>
                </c:pt>
                <c:pt idx="144">
                  <c:v>330.937721518987</c:v>
                </c:pt>
                <c:pt idx="145">
                  <c:v>332.666455696203</c:v>
                </c:pt>
                <c:pt idx="146">
                  <c:v>334.395189873418</c:v>
                </c:pt>
                <c:pt idx="147">
                  <c:v>336.123924050633</c:v>
                </c:pt>
                <c:pt idx="148">
                  <c:v>337.852658227848</c:v>
                </c:pt>
                <c:pt idx="149">
                  <c:v>339.581392405063</c:v>
                </c:pt>
                <c:pt idx="150">
                  <c:v>341.310126582279</c:v>
                </c:pt>
                <c:pt idx="151">
                  <c:v>343.038860759494</c:v>
                </c:pt>
                <c:pt idx="152">
                  <c:v>344.767594936709</c:v>
                </c:pt>
                <c:pt idx="153">
                  <c:v>346.496329113924</c:v>
                </c:pt>
                <c:pt idx="154">
                  <c:v>348.225063291139</c:v>
                </c:pt>
                <c:pt idx="155">
                  <c:v>349.953797468354</c:v>
                </c:pt>
                <c:pt idx="156">
                  <c:v>351.68253164557</c:v>
                </c:pt>
                <c:pt idx="157">
                  <c:v>353.411265822785</c:v>
                </c:pt>
                <c:pt idx="158">
                  <c:v>355.14</c:v>
                </c:pt>
                <c:pt idx="159">
                  <c:v>356.868734177215</c:v>
                </c:pt>
              </c:numCache>
            </c:numRef>
          </c:val>
          <c:smooth val="0"/>
        </c:ser>
        <c:hiLowLines>
          <c:spPr>
            <a:ln w="0">
              <a:noFill/>
            </a:ln>
          </c:spPr>
        </c:hiLowLines>
        <c:marker val="0"/>
        <c:axId val="47784065"/>
        <c:axId val="91711008"/>
      </c:lineChart>
      <c:dateAx>
        <c:axId val="8604759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605303"/>
        <c:auto val="1"/>
        <c:lblOffset val="100"/>
        <c:baseTimeUnit val="days"/>
      </c:dateAx>
      <c:valAx>
        <c:axId val="7460530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047590"/>
        <c:crosses val="autoZero"/>
        <c:crossBetween val="between"/>
      </c:valAx>
      <c:dateAx>
        <c:axId val="4778406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711008"/>
        <c:auto val="1"/>
        <c:lblOffset val="100"/>
        <c:baseTimeUnit val="days"/>
      </c:dateAx>
      <c:valAx>
        <c:axId val="9171100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78406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(Calc)'!$F$3:$F$500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0.0710347836433587</c:v>
                </c:pt>
              </c:numCache>
            </c:numRef>
          </c:val>
        </c:ser>
        <c:gapWidth val="150"/>
        <c:overlap val="0"/>
        <c:axId val="49524411"/>
        <c:axId val="73174525"/>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(Calc)'!$AA$3:$AA$500</c:f>
              <c:numCache>
                <c:formatCode>#,##0.00</c:formatCode>
                <c:ptCount val="498"/>
                <c:pt idx="0">
                  <c:v>41.36</c:v>
                </c:pt>
                <c:pt idx="1">
                  <c:v>42.8073417721519</c:v>
                </c:pt>
                <c:pt idx="2">
                  <c:v>44.2546835443038</c:v>
                </c:pt>
                <c:pt idx="3">
                  <c:v>45.7020253164557</c:v>
                </c:pt>
                <c:pt idx="4">
                  <c:v>47.1493670886076</c:v>
                </c:pt>
                <c:pt idx="5">
                  <c:v>48.5967088607595</c:v>
                </c:pt>
                <c:pt idx="6">
                  <c:v>50.0440506329114</c:v>
                </c:pt>
                <c:pt idx="7">
                  <c:v>51.4913924050633</c:v>
                </c:pt>
                <c:pt idx="8">
                  <c:v>52.9387341772152</c:v>
                </c:pt>
                <c:pt idx="9">
                  <c:v>54.3860759493671</c:v>
                </c:pt>
                <c:pt idx="10">
                  <c:v>55.833417721519</c:v>
                </c:pt>
                <c:pt idx="11">
                  <c:v>57.2807594936709</c:v>
                </c:pt>
                <c:pt idx="12">
                  <c:v>58.7281012658228</c:v>
                </c:pt>
                <c:pt idx="13">
                  <c:v>60.1754430379747</c:v>
                </c:pt>
                <c:pt idx="14">
                  <c:v>61.6227848101266</c:v>
                </c:pt>
                <c:pt idx="15">
                  <c:v>63.0701265822785</c:v>
                </c:pt>
                <c:pt idx="16">
                  <c:v>64.5174683544304</c:v>
                </c:pt>
                <c:pt idx="17">
                  <c:v>65.9648101265823</c:v>
                </c:pt>
                <c:pt idx="18">
                  <c:v>67.4121518987342</c:v>
                </c:pt>
                <c:pt idx="19">
                  <c:v>68.8594936708861</c:v>
                </c:pt>
                <c:pt idx="20">
                  <c:v>70.306835443038</c:v>
                </c:pt>
                <c:pt idx="21">
                  <c:v>71.7541772151899</c:v>
                </c:pt>
                <c:pt idx="22">
                  <c:v>73.2015189873418</c:v>
                </c:pt>
                <c:pt idx="23">
                  <c:v>74.6488607594937</c:v>
                </c:pt>
                <c:pt idx="24">
                  <c:v>76.0962025316456</c:v>
                </c:pt>
                <c:pt idx="25">
                  <c:v>77.5435443037975</c:v>
                </c:pt>
                <c:pt idx="26">
                  <c:v>78.9908860759494</c:v>
                </c:pt>
                <c:pt idx="27">
                  <c:v>80.4382278481013</c:v>
                </c:pt>
                <c:pt idx="28">
                  <c:v>81.8855696202532</c:v>
                </c:pt>
                <c:pt idx="29">
                  <c:v>83.3329113924051</c:v>
                </c:pt>
                <c:pt idx="30">
                  <c:v>84.780253164557</c:v>
                </c:pt>
                <c:pt idx="31">
                  <c:v>86.2275949367089</c:v>
                </c:pt>
                <c:pt idx="32">
                  <c:v>87.6749367088608</c:v>
                </c:pt>
                <c:pt idx="33">
                  <c:v>89.1222784810127</c:v>
                </c:pt>
                <c:pt idx="34">
                  <c:v>90.5696202531646</c:v>
                </c:pt>
                <c:pt idx="35">
                  <c:v>92.0169620253165</c:v>
                </c:pt>
                <c:pt idx="36">
                  <c:v>93.4643037974684</c:v>
                </c:pt>
                <c:pt idx="37">
                  <c:v>94.9116455696203</c:v>
                </c:pt>
                <c:pt idx="38">
                  <c:v>96.3589873417722</c:v>
                </c:pt>
                <c:pt idx="39">
                  <c:v>97.8063291139241</c:v>
                </c:pt>
                <c:pt idx="40">
                  <c:v>99.253670886076</c:v>
                </c:pt>
                <c:pt idx="41">
                  <c:v>100.701012658228</c:v>
                </c:pt>
                <c:pt idx="42">
                  <c:v>102.14835443038</c:v>
                </c:pt>
                <c:pt idx="43">
                  <c:v>103.595696202532</c:v>
                </c:pt>
                <c:pt idx="44">
                  <c:v>105.043037974684</c:v>
                </c:pt>
                <c:pt idx="45">
                  <c:v>106.490379746835</c:v>
                </c:pt>
                <c:pt idx="46">
                  <c:v>107.937721518987</c:v>
                </c:pt>
                <c:pt idx="47">
                  <c:v>109.385063291139</c:v>
                </c:pt>
                <c:pt idx="48">
                  <c:v>110.832405063291</c:v>
                </c:pt>
                <c:pt idx="49">
                  <c:v>112.279746835443</c:v>
                </c:pt>
                <c:pt idx="50">
                  <c:v>113.727088607595</c:v>
                </c:pt>
                <c:pt idx="51">
                  <c:v>115.174430379747</c:v>
                </c:pt>
                <c:pt idx="52">
                  <c:v>116.621772151899</c:v>
                </c:pt>
                <c:pt idx="53">
                  <c:v>118.069113924051</c:v>
                </c:pt>
                <c:pt idx="54">
                  <c:v>119.516455696203</c:v>
                </c:pt>
                <c:pt idx="55">
                  <c:v>120.963797468354</c:v>
                </c:pt>
                <c:pt idx="56">
                  <c:v>122.411139240506</c:v>
                </c:pt>
                <c:pt idx="57">
                  <c:v>123.858481012658</c:v>
                </c:pt>
                <c:pt idx="58">
                  <c:v>125.30582278481</c:v>
                </c:pt>
                <c:pt idx="59">
                  <c:v>126.753164556962</c:v>
                </c:pt>
                <c:pt idx="60">
                  <c:v>128.200506329114</c:v>
                </c:pt>
                <c:pt idx="61">
                  <c:v>129.647848101266</c:v>
                </c:pt>
                <c:pt idx="62">
                  <c:v>131.095189873418</c:v>
                </c:pt>
                <c:pt idx="63">
                  <c:v>132.54253164557</c:v>
                </c:pt>
                <c:pt idx="64">
                  <c:v>133.989873417722</c:v>
                </c:pt>
                <c:pt idx="65">
                  <c:v>135.437215189873</c:v>
                </c:pt>
                <c:pt idx="66">
                  <c:v>136.884556962025</c:v>
                </c:pt>
                <c:pt idx="67">
                  <c:v>138.331898734177</c:v>
                </c:pt>
                <c:pt idx="68">
                  <c:v>139.779240506329</c:v>
                </c:pt>
                <c:pt idx="69">
                  <c:v>141.226582278481</c:v>
                </c:pt>
                <c:pt idx="70">
                  <c:v>142.673924050633</c:v>
                </c:pt>
                <c:pt idx="71">
                  <c:v>144.121265822785</c:v>
                </c:pt>
                <c:pt idx="72">
                  <c:v>145.568607594937</c:v>
                </c:pt>
                <c:pt idx="73">
                  <c:v>147.015949367089</c:v>
                </c:pt>
                <c:pt idx="74">
                  <c:v>148.463291139241</c:v>
                </c:pt>
                <c:pt idx="75">
                  <c:v>149.910632911392</c:v>
                </c:pt>
                <c:pt idx="76">
                  <c:v>151.357974683544</c:v>
                </c:pt>
                <c:pt idx="77">
                  <c:v>152.805316455696</c:v>
                </c:pt>
                <c:pt idx="78">
                  <c:v>154.252658227848</c:v>
                </c:pt>
                <c:pt idx="79">
                  <c:v>155.7</c:v>
                </c:pt>
                <c:pt idx="80">
                  <c:v>157.147341772152</c:v>
                </c:pt>
                <c:pt idx="81">
                  <c:v>158.594683544304</c:v>
                </c:pt>
                <c:pt idx="82">
                  <c:v>160.042025316456</c:v>
                </c:pt>
                <c:pt idx="83">
                  <c:v>161.489367088608</c:v>
                </c:pt>
                <c:pt idx="84">
                  <c:v>162.93670886076</c:v>
                </c:pt>
                <c:pt idx="85">
                  <c:v>164.384050632911</c:v>
                </c:pt>
                <c:pt idx="86">
                  <c:v>165.831392405063</c:v>
                </c:pt>
                <c:pt idx="87">
                  <c:v>167.278734177215</c:v>
                </c:pt>
                <c:pt idx="88">
                  <c:v>168.726075949367</c:v>
                </c:pt>
                <c:pt idx="89">
                  <c:v>170.173417721519</c:v>
                </c:pt>
                <c:pt idx="90">
                  <c:v>171.620759493671</c:v>
                </c:pt>
                <c:pt idx="91">
                  <c:v>173.068101265823</c:v>
                </c:pt>
                <c:pt idx="92">
                  <c:v>174.515443037975</c:v>
                </c:pt>
                <c:pt idx="93">
                  <c:v>175.962784810127</c:v>
                </c:pt>
                <c:pt idx="94">
                  <c:v>177.410126582279</c:v>
                </c:pt>
                <c:pt idx="95">
                  <c:v>178.85746835443</c:v>
                </c:pt>
                <c:pt idx="96">
                  <c:v>180.304810126582</c:v>
                </c:pt>
                <c:pt idx="97">
                  <c:v>181.752151898734</c:v>
                </c:pt>
                <c:pt idx="98">
                  <c:v>183.199493670886</c:v>
                </c:pt>
                <c:pt idx="99">
                  <c:v>184.646835443038</c:v>
                </c:pt>
                <c:pt idx="100">
                  <c:v>186.09417721519</c:v>
                </c:pt>
                <c:pt idx="101">
                  <c:v>187.541518987342</c:v>
                </c:pt>
                <c:pt idx="102">
                  <c:v>188.988860759494</c:v>
                </c:pt>
                <c:pt idx="103">
                  <c:v>190.436202531646</c:v>
                </c:pt>
                <c:pt idx="104">
                  <c:v>191.883544303797</c:v>
                </c:pt>
                <c:pt idx="105">
                  <c:v>193.330886075949</c:v>
                </c:pt>
                <c:pt idx="106">
                  <c:v>194.778227848101</c:v>
                </c:pt>
                <c:pt idx="107">
                  <c:v>196.225569620253</c:v>
                </c:pt>
                <c:pt idx="108">
                  <c:v>197.672911392405</c:v>
                </c:pt>
                <c:pt idx="109">
                  <c:v>199.120253164557</c:v>
                </c:pt>
                <c:pt idx="110">
                  <c:v>200.567594936709</c:v>
                </c:pt>
                <c:pt idx="111">
                  <c:v>202.014936708861</c:v>
                </c:pt>
                <c:pt idx="112">
                  <c:v>203.462278481013</c:v>
                </c:pt>
                <c:pt idx="113">
                  <c:v>204.909620253165</c:v>
                </c:pt>
                <c:pt idx="114">
                  <c:v>206.356962025316</c:v>
                </c:pt>
                <c:pt idx="115">
                  <c:v>207.804303797468</c:v>
                </c:pt>
                <c:pt idx="116">
                  <c:v>209.25164556962</c:v>
                </c:pt>
                <c:pt idx="117">
                  <c:v>210.698987341772</c:v>
                </c:pt>
                <c:pt idx="118">
                  <c:v>212.146329113924</c:v>
                </c:pt>
                <c:pt idx="119">
                  <c:v>213.593670886076</c:v>
                </c:pt>
                <c:pt idx="120">
                  <c:v>215.041012658228</c:v>
                </c:pt>
                <c:pt idx="121">
                  <c:v>216.48835443038</c:v>
                </c:pt>
                <c:pt idx="122">
                  <c:v>217.935696202532</c:v>
                </c:pt>
                <c:pt idx="123">
                  <c:v>219.383037974684</c:v>
                </c:pt>
                <c:pt idx="124">
                  <c:v>220.830379746835</c:v>
                </c:pt>
                <c:pt idx="125">
                  <c:v>222.277721518987</c:v>
                </c:pt>
                <c:pt idx="126">
                  <c:v>223.725063291139</c:v>
                </c:pt>
                <c:pt idx="127">
                  <c:v>225.172405063291</c:v>
                </c:pt>
                <c:pt idx="128">
                  <c:v>226.619746835443</c:v>
                </c:pt>
                <c:pt idx="129">
                  <c:v>228.067088607595</c:v>
                </c:pt>
                <c:pt idx="130">
                  <c:v>229.514430379747</c:v>
                </c:pt>
                <c:pt idx="131">
                  <c:v>230.961772151899</c:v>
                </c:pt>
                <c:pt idx="132">
                  <c:v>232.409113924051</c:v>
                </c:pt>
                <c:pt idx="133">
                  <c:v>233.856455696203</c:v>
                </c:pt>
                <c:pt idx="134">
                  <c:v>235.303797468354</c:v>
                </c:pt>
                <c:pt idx="135">
                  <c:v>236.751139240506</c:v>
                </c:pt>
                <c:pt idx="136">
                  <c:v>238.198481012658</c:v>
                </c:pt>
                <c:pt idx="137">
                  <c:v>239.64582278481</c:v>
                </c:pt>
                <c:pt idx="138">
                  <c:v>241.093164556962</c:v>
                </c:pt>
                <c:pt idx="139">
                  <c:v>242.540506329114</c:v>
                </c:pt>
                <c:pt idx="140">
                  <c:v>243.987848101266</c:v>
                </c:pt>
                <c:pt idx="141">
                  <c:v>245.435189873418</c:v>
                </c:pt>
                <c:pt idx="142">
                  <c:v>246.88253164557</c:v>
                </c:pt>
                <c:pt idx="143">
                  <c:v>248.329873417722</c:v>
                </c:pt>
                <c:pt idx="144">
                  <c:v>249.777215189873</c:v>
                </c:pt>
                <c:pt idx="145">
                  <c:v>251.224556962025</c:v>
                </c:pt>
                <c:pt idx="146">
                  <c:v>252.671898734177</c:v>
                </c:pt>
                <c:pt idx="147">
                  <c:v>254.119240506329</c:v>
                </c:pt>
                <c:pt idx="148">
                  <c:v>255.566582278481</c:v>
                </c:pt>
                <c:pt idx="149">
                  <c:v>257.013924050633</c:v>
                </c:pt>
                <c:pt idx="150">
                  <c:v>258.461265822785</c:v>
                </c:pt>
                <c:pt idx="151">
                  <c:v>259.908607594937</c:v>
                </c:pt>
                <c:pt idx="152">
                  <c:v>261.355949367089</c:v>
                </c:pt>
                <c:pt idx="153">
                  <c:v>262.803291139241</c:v>
                </c:pt>
                <c:pt idx="154">
                  <c:v>264.250632911392</c:v>
                </c:pt>
                <c:pt idx="155">
                  <c:v>265.697974683544</c:v>
                </c:pt>
                <c:pt idx="156">
                  <c:v>267.145316455696</c:v>
                </c:pt>
                <c:pt idx="157">
                  <c:v>268.592658227848</c:v>
                </c:pt>
                <c:pt idx="158">
                  <c:v>270.04</c:v>
                </c:pt>
                <c:pt idx="159">
                  <c:v>271.487341772152</c:v>
                </c:pt>
              </c:numCache>
            </c:numRef>
          </c:val>
          <c:smooth val="0"/>
        </c:ser>
        <c:hiLowLines>
          <c:spPr>
            <a:ln w="0">
              <a:noFill/>
            </a:ln>
          </c:spPr>
        </c:hiLowLines>
        <c:marker val="0"/>
        <c:axId val="63189265"/>
        <c:axId val="77492944"/>
      </c:lineChart>
      <c:dateAx>
        <c:axId val="4952441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174525"/>
        <c:auto val="1"/>
        <c:lblOffset val="100"/>
        <c:baseTimeUnit val="days"/>
      </c:dateAx>
      <c:valAx>
        <c:axId val="7317452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524411"/>
        <c:crosses val="autoZero"/>
        <c:crossBetween val="between"/>
      </c:valAx>
      <c:dateAx>
        <c:axId val="6318926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492944"/>
        <c:auto val="1"/>
        <c:lblOffset val="100"/>
        <c:baseTimeUnit val="days"/>
      </c:dateAx>
      <c:valAx>
        <c:axId val="7749294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18926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(Calc)'!$G$3:$G$500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0.100947211579395</c:v>
                </c:pt>
              </c:numCache>
            </c:numRef>
          </c:val>
        </c:ser>
        <c:gapWidth val="150"/>
        <c:overlap val="0"/>
        <c:axId val="34285270"/>
        <c:axId val="19092667"/>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(Calc)'!$AB$3:$AB$500</c:f>
              <c:numCache>
                <c:formatCode>#,##0.00</c:formatCode>
                <c:ptCount val="498"/>
                <c:pt idx="0">
                  <c:v>44.35</c:v>
                </c:pt>
                <c:pt idx="1">
                  <c:v>45.3787341772152</c:v>
                </c:pt>
                <c:pt idx="2">
                  <c:v>46.4074683544304</c:v>
                </c:pt>
                <c:pt idx="3">
                  <c:v>47.4362025316456</c:v>
                </c:pt>
                <c:pt idx="4">
                  <c:v>48.4649367088608</c:v>
                </c:pt>
                <c:pt idx="5">
                  <c:v>49.493670886076</c:v>
                </c:pt>
                <c:pt idx="6">
                  <c:v>50.5224050632911</c:v>
                </c:pt>
                <c:pt idx="7">
                  <c:v>51.5511392405063</c:v>
                </c:pt>
                <c:pt idx="8">
                  <c:v>52.5798734177215</c:v>
                </c:pt>
                <c:pt idx="9">
                  <c:v>53.6086075949367</c:v>
                </c:pt>
                <c:pt idx="10">
                  <c:v>54.6373417721519</c:v>
                </c:pt>
                <c:pt idx="11">
                  <c:v>55.6660759493671</c:v>
                </c:pt>
                <c:pt idx="12">
                  <c:v>56.6948101265823</c:v>
                </c:pt>
                <c:pt idx="13">
                  <c:v>57.7235443037975</c:v>
                </c:pt>
                <c:pt idx="14">
                  <c:v>58.7522784810127</c:v>
                </c:pt>
                <c:pt idx="15">
                  <c:v>59.7810126582279</c:v>
                </c:pt>
                <c:pt idx="16">
                  <c:v>60.809746835443</c:v>
                </c:pt>
                <c:pt idx="17">
                  <c:v>61.8384810126582</c:v>
                </c:pt>
                <c:pt idx="18">
                  <c:v>62.8672151898734</c:v>
                </c:pt>
                <c:pt idx="19">
                  <c:v>63.8959493670886</c:v>
                </c:pt>
                <c:pt idx="20">
                  <c:v>64.9246835443038</c:v>
                </c:pt>
                <c:pt idx="21">
                  <c:v>65.953417721519</c:v>
                </c:pt>
                <c:pt idx="22">
                  <c:v>66.9821518987342</c:v>
                </c:pt>
                <c:pt idx="23">
                  <c:v>68.0108860759494</c:v>
                </c:pt>
                <c:pt idx="24">
                  <c:v>69.0396202531646</c:v>
                </c:pt>
                <c:pt idx="25">
                  <c:v>70.0683544303797</c:v>
                </c:pt>
                <c:pt idx="26">
                  <c:v>71.0970886075949</c:v>
                </c:pt>
                <c:pt idx="27">
                  <c:v>72.1258227848101</c:v>
                </c:pt>
                <c:pt idx="28">
                  <c:v>73.1545569620253</c:v>
                </c:pt>
                <c:pt idx="29">
                  <c:v>74.1832911392405</c:v>
                </c:pt>
                <c:pt idx="30">
                  <c:v>75.2120253164557</c:v>
                </c:pt>
                <c:pt idx="31">
                  <c:v>76.2407594936709</c:v>
                </c:pt>
                <c:pt idx="32">
                  <c:v>77.2694936708861</c:v>
                </c:pt>
                <c:pt idx="33">
                  <c:v>78.2982278481013</c:v>
                </c:pt>
                <c:pt idx="34">
                  <c:v>79.3269620253165</c:v>
                </c:pt>
                <c:pt idx="35">
                  <c:v>80.3556962025317</c:v>
                </c:pt>
                <c:pt idx="36">
                  <c:v>81.3844303797468</c:v>
                </c:pt>
                <c:pt idx="37">
                  <c:v>82.413164556962</c:v>
                </c:pt>
                <c:pt idx="38">
                  <c:v>83.4418987341772</c:v>
                </c:pt>
                <c:pt idx="39">
                  <c:v>84.4706329113924</c:v>
                </c:pt>
                <c:pt idx="40">
                  <c:v>85.4993670886076</c:v>
                </c:pt>
                <c:pt idx="41">
                  <c:v>86.5281012658228</c:v>
                </c:pt>
                <c:pt idx="42">
                  <c:v>87.556835443038</c:v>
                </c:pt>
                <c:pt idx="43">
                  <c:v>88.5855696202532</c:v>
                </c:pt>
                <c:pt idx="44">
                  <c:v>89.6143037974684</c:v>
                </c:pt>
                <c:pt idx="45">
                  <c:v>90.6430379746836</c:v>
                </c:pt>
                <c:pt idx="46">
                  <c:v>91.6717721518987</c:v>
                </c:pt>
                <c:pt idx="47">
                  <c:v>92.7005063291139</c:v>
                </c:pt>
                <c:pt idx="48">
                  <c:v>93.7292405063291</c:v>
                </c:pt>
                <c:pt idx="49">
                  <c:v>94.7579746835443</c:v>
                </c:pt>
                <c:pt idx="50">
                  <c:v>95.7867088607595</c:v>
                </c:pt>
                <c:pt idx="51">
                  <c:v>96.8154430379747</c:v>
                </c:pt>
                <c:pt idx="52">
                  <c:v>97.8441772151899</c:v>
                </c:pt>
                <c:pt idx="53">
                  <c:v>98.8729113924051</c:v>
                </c:pt>
                <c:pt idx="54">
                  <c:v>99.9016455696203</c:v>
                </c:pt>
                <c:pt idx="55">
                  <c:v>100.930379746835</c:v>
                </c:pt>
                <c:pt idx="56">
                  <c:v>101.959113924051</c:v>
                </c:pt>
                <c:pt idx="57">
                  <c:v>102.987848101266</c:v>
                </c:pt>
                <c:pt idx="58">
                  <c:v>104.016582278481</c:v>
                </c:pt>
                <c:pt idx="59">
                  <c:v>105.045316455696</c:v>
                </c:pt>
                <c:pt idx="60">
                  <c:v>106.074050632911</c:v>
                </c:pt>
                <c:pt idx="61">
                  <c:v>107.102784810127</c:v>
                </c:pt>
                <c:pt idx="62">
                  <c:v>108.131518987342</c:v>
                </c:pt>
                <c:pt idx="63">
                  <c:v>109.160253164557</c:v>
                </c:pt>
                <c:pt idx="64">
                  <c:v>110.188987341772</c:v>
                </c:pt>
                <c:pt idx="65">
                  <c:v>111.217721518987</c:v>
                </c:pt>
                <c:pt idx="66">
                  <c:v>112.246455696203</c:v>
                </c:pt>
                <c:pt idx="67">
                  <c:v>113.275189873418</c:v>
                </c:pt>
                <c:pt idx="68">
                  <c:v>114.303924050633</c:v>
                </c:pt>
                <c:pt idx="69">
                  <c:v>115.332658227848</c:v>
                </c:pt>
                <c:pt idx="70">
                  <c:v>116.361392405063</c:v>
                </c:pt>
                <c:pt idx="71">
                  <c:v>117.390126582278</c:v>
                </c:pt>
                <c:pt idx="72">
                  <c:v>118.418860759494</c:v>
                </c:pt>
                <c:pt idx="73">
                  <c:v>119.447594936709</c:v>
                </c:pt>
                <c:pt idx="74">
                  <c:v>120.476329113924</c:v>
                </c:pt>
                <c:pt idx="75">
                  <c:v>121.505063291139</c:v>
                </c:pt>
                <c:pt idx="76">
                  <c:v>122.533797468354</c:v>
                </c:pt>
                <c:pt idx="77">
                  <c:v>123.56253164557</c:v>
                </c:pt>
                <c:pt idx="78">
                  <c:v>124.591265822785</c:v>
                </c:pt>
                <c:pt idx="79">
                  <c:v>125.62</c:v>
                </c:pt>
                <c:pt idx="80">
                  <c:v>126.648734177215</c:v>
                </c:pt>
                <c:pt idx="81">
                  <c:v>127.67746835443</c:v>
                </c:pt>
                <c:pt idx="82">
                  <c:v>128.706202531646</c:v>
                </c:pt>
                <c:pt idx="83">
                  <c:v>129.734936708861</c:v>
                </c:pt>
                <c:pt idx="84">
                  <c:v>130.763670886076</c:v>
                </c:pt>
                <c:pt idx="85">
                  <c:v>131.792405063291</c:v>
                </c:pt>
                <c:pt idx="86">
                  <c:v>132.821139240506</c:v>
                </c:pt>
                <c:pt idx="87">
                  <c:v>133.849873417722</c:v>
                </c:pt>
                <c:pt idx="88">
                  <c:v>134.878607594937</c:v>
                </c:pt>
                <c:pt idx="89">
                  <c:v>135.907341772152</c:v>
                </c:pt>
                <c:pt idx="90">
                  <c:v>136.936075949367</c:v>
                </c:pt>
                <c:pt idx="91">
                  <c:v>137.964810126582</c:v>
                </c:pt>
                <c:pt idx="92">
                  <c:v>138.993544303797</c:v>
                </c:pt>
                <c:pt idx="93">
                  <c:v>140.022278481013</c:v>
                </c:pt>
                <c:pt idx="94">
                  <c:v>141.051012658228</c:v>
                </c:pt>
                <c:pt idx="95">
                  <c:v>142.079746835443</c:v>
                </c:pt>
                <c:pt idx="96">
                  <c:v>143.108481012658</c:v>
                </c:pt>
                <c:pt idx="97">
                  <c:v>144.137215189873</c:v>
                </c:pt>
                <c:pt idx="98">
                  <c:v>145.165949367089</c:v>
                </c:pt>
                <c:pt idx="99">
                  <c:v>146.194683544304</c:v>
                </c:pt>
                <c:pt idx="100">
                  <c:v>147.223417721519</c:v>
                </c:pt>
                <c:pt idx="101">
                  <c:v>148.252151898734</c:v>
                </c:pt>
                <c:pt idx="102">
                  <c:v>149.280886075949</c:v>
                </c:pt>
                <c:pt idx="103">
                  <c:v>150.309620253165</c:v>
                </c:pt>
                <c:pt idx="104">
                  <c:v>151.33835443038</c:v>
                </c:pt>
                <c:pt idx="105">
                  <c:v>152.367088607595</c:v>
                </c:pt>
                <c:pt idx="106">
                  <c:v>153.39582278481</c:v>
                </c:pt>
                <c:pt idx="107">
                  <c:v>154.424556962025</c:v>
                </c:pt>
                <c:pt idx="108">
                  <c:v>155.453291139241</c:v>
                </c:pt>
                <c:pt idx="109">
                  <c:v>156.482025316456</c:v>
                </c:pt>
                <c:pt idx="110">
                  <c:v>157.510759493671</c:v>
                </c:pt>
                <c:pt idx="111">
                  <c:v>158.539493670886</c:v>
                </c:pt>
                <c:pt idx="112">
                  <c:v>159.568227848101</c:v>
                </c:pt>
                <c:pt idx="113">
                  <c:v>160.596962025316</c:v>
                </c:pt>
                <c:pt idx="114">
                  <c:v>161.625696202532</c:v>
                </c:pt>
                <c:pt idx="115">
                  <c:v>162.654430379747</c:v>
                </c:pt>
                <c:pt idx="116">
                  <c:v>163.683164556962</c:v>
                </c:pt>
                <c:pt idx="117">
                  <c:v>164.711898734177</c:v>
                </c:pt>
                <c:pt idx="118">
                  <c:v>165.740632911392</c:v>
                </c:pt>
                <c:pt idx="119">
                  <c:v>166.769367088608</c:v>
                </c:pt>
                <c:pt idx="120">
                  <c:v>167.798101265823</c:v>
                </c:pt>
                <c:pt idx="121">
                  <c:v>168.826835443038</c:v>
                </c:pt>
                <c:pt idx="122">
                  <c:v>169.855569620253</c:v>
                </c:pt>
                <c:pt idx="123">
                  <c:v>170.884303797468</c:v>
                </c:pt>
                <c:pt idx="124">
                  <c:v>171.913037974684</c:v>
                </c:pt>
                <c:pt idx="125">
                  <c:v>172.941772151899</c:v>
                </c:pt>
                <c:pt idx="126">
                  <c:v>173.970506329114</c:v>
                </c:pt>
                <c:pt idx="127">
                  <c:v>174.999240506329</c:v>
                </c:pt>
                <c:pt idx="128">
                  <c:v>176.027974683544</c:v>
                </c:pt>
                <c:pt idx="129">
                  <c:v>177.05670886076</c:v>
                </c:pt>
                <c:pt idx="130">
                  <c:v>178.085443037975</c:v>
                </c:pt>
                <c:pt idx="131">
                  <c:v>179.11417721519</c:v>
                </c:pt>
                <c:pt idx="132">
                  <c:v>180.142911392405</c:v>
                </c:pt>
                <c:pt idx="133">
                  <c:v>181.17164556962</c:v>
                </c:pt>
                <c:pt idx="134">
                  <c:v>182.200379746835</c:v>
                </c:pt>
                <c:pt idx="135">
                  <c:v>183.229113924051</c:v>
                </c:pt>
                <c:pt idx="136">
                  <c:v>184.257848101266</c:v>
                </c:pt>
                <c:pt idx="137">
                  <c:v>185.286582278481</c:v>
                </c:pt>
                <c:pt idx="138">
                  <c:v>186.315316455696</c:v>
                </c:pt>
                <c:pt idx="139">
                  <c:v>187.344050632911</c:v>
                </c:pt>
                <c:pt idx="140">
                  <c:v>188.372784810127</c:v>
                </c:pt>
                <c:pt idx="141">
                  <c:v>189.401518987342</c:v>
                </c:pt>
                <c:pt idx="142">
                  <c:v>190.430253164557</c:v>
                </c:pt>
                <c:pt idx="143">
                  <c:v>191.458987341772</c:v>
                </c:pt>
                <c:pt idx="144">
                  <c:v>192.487721518987</c:v>
                </c:pt>
                <c:pt idx="145">
                  <c:v>193.516455696203</c:v>
                </c:pt>
                <c:pt idx="146">
                  <c:v>194.545189873418</c:v>
                </c:pt>
                <c:pt idx="147">
                  <c:v>195.573924050633</c:v>
                </c:pt>
                <c:pt idx="148">
                  <c:v>196.602658227848</c:v>
                </c:pt>
                <c:pt idx="149">
                  <c:v>197.631392405063</c:v>
                </c:pt>
                <c:pt idx="150">
                  <c:v>198.660126582278</c:v>
                </c:pt>
                <c:pt idx="151">
                  <c:v>199.688860759494</c:v>
                </c:pt>
                <c:pt idx="152">
                  <c:v>200.717594936709</c:v>
                </c:pt>
                <c:pt idx="153">
                  <c:v>201.746329113924</c:v>
                </c:pt>
                <c:pt idx="154">
                  <c:v>202.775063291139</c:v>
                </c:pt>
                <c:pt idx="155">
                  <c:v>203.803797468354</c:v>
                </c:pt>
                <c:pt idx="156">
                  <c:v>204.83253164557</c:v>
                </c:pt>
                <c:pt idx="157">
                  <c:v>205.861265822785</c:v>
                </c:pt>
                <c:pt idx="158">
                  <c:v>206.89</c:v>
                </c:pt>
                <c:pt idx="159">
                  <c:v>207.918734177215</c:v>
                </c:pt>
              </c:numCache>
            </c:numRef>
          </c:val>
          <c:smooth val="0"/>
        </c:ser>
        <c:hiLowLines>
          <c:spPr>
            <a:ln w="0">
              <a:noFill/>
            </a:ln>
          </c:spPr>
        </c:hiLowLines>
        <c:marker val="0"/>
        <c:axId val="95511787"/>
        <c:axId val="54435609"/>
      </c:lineChart>
      <c:dateAx>
        <c:axId val="3428527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092667"/>
        <c:auto val="1"/>
        <c:lblOffset val="100"/>
        <c:baseTimeUnit val="days"/>
      </c:dateAx>
      <c:valAx>
        <c:axId val="1909266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285270"/>
        <c:crosses val="autoZero"/>
        <c:crossBetween val="between"/>
      </c:valAx>
      <c:dateAx>
        <c:axId val="9551178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435609"/>
        <c:auto val="1"/>
        <c:lblOffset val="100"/>
        <c:baseTimeUnit val="days"/>
      </c:dateAx>
      <c:valAx>
        <c:axId val="5443560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51178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(Calc)'!$H$3:$H$500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-0.00682817755109577</c:v>
                </c:pt>
              </c:numCache>
            </c:numRef>
          </c:val>
        </c:ser>
        <c:gapWidth val="150"/>
        <c:overlap val="0"/>
        <c:axId val="7177141"/>
        <c:axId val="72840706"/>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(Calc)'!$AC$3:$AC$500</c:f>
              <c:numCache>
                <c:formatCode>#,##0.00</c:formatCode>
                <c:ptCount val="498"/>
                <c:pt idx="0">
                  <c:v>69.11</c:v>
                </c:pt>
                <c:pt idx="1">
                  <c:v>75.4756962025317</c:v>
                </c:pt>
                <c:pt idx="2">
                  <c:v>81.8413924050633</c:v>
                </c:pt>
                <c:pt idx="3">
                  <c:v>88.2070886075949</c:v>
                </c:pt>
                <c:pt idx="4">
                  <c:v>94.5727848101266</c:v>
                </c:pt>
                <c:pt idx="5">
                  <c:v>100.938481012658</c:v>
                </c:pt>
                <c:pt idx="6">
                  <c:v>107.30417721519</c:v>
                </c:pt>
                <c:pt idx="7">
                  <c:v>113.669873417722</c:v>
                </c:pt>
                <c:pt idx="8">
                  <c:v>120.035569620253</c:v>
                </c:pt>
                <c:pt idx="9">
                  <c:v>126.401265822785</c:v>
                </c:pt>
                <c:pt idx="10">
                  <c:v>132.766962025316</c:v>
                </c:pt>
                <c:pt idx="11">
                  <c:v>139.132658227848</c:v>
                </c:pt>
                <c:pt idx="12">
                  <c:v>145.49835443038</c:v>
                </c:pt>
                <c:pt idx="13">
                  <c:v>151.864050632911</c:v>
                </c:pt>
                <c:pt idx="14">
                  <c:v>158.229746835443</c:v>
                </c:pt>
                <c:pt idx="15">
                  <c:v>164.595443037975</c:v>
                </c:pt>
                <c:pt idx="16">
                  <c:v>170.961139240506</c:v>
                </c:pt>
                <c:pt idx="17">
                  <c:v>177.326835443038</c:v>
                </c:pt>
                <c:pt idx="18">
                  <c:v>183.69253164557</c:v>
                </c:pt>
                <c:pt idx="19">
                  <c:v>190.058227848101</c:v>
                </c:pt>
                <c:pt idx="20">
                  <c:v>196.423924050633</c:v>
                </c:pt>
                <c:pt idx="21">
                  <c:v>202.789620253165</c:v>
                </c:pt>
                <c:pt idx="22">
                  <c:v>209.155316455696</c:v>
                </c:pt>
                <c:pt idx="23">
                  <c:v>215.521012658228</c:v>
                </c:pt>
                <c:pt idx="24">
                  <c:v>221.886708860759</c:v>
                </c:pt>
                <c:pt idx="25">
                  <c:v>228.252405063291</c:v>
                </c:pt>
                <c:pt idx="26">
                  <c:v>234.618101265823</c:v>
                </c:pt>
                <c:pt idx="27">
                  <c:v>240.983797468354</c:v>
                </c:pt>
                <c:pt idx="28">
                  <c:v>247.349493670886</c:v>
                </c:pt>
                <c:pt idx="29">
                  <c:v>253.715189873418</c:v>
                </c:pt>
                <c:pt idx="30">
                  <c:v>260.080886075949</c:v>
                </c:pt>
                <c:pt idx="31">
                  <c:v>266.446582278481</c:v>
                </c:pt>
                <c:pt idx="32">
                  <c:v>272.812278481013</c:v>
                </c:pt>
                <c:pt idx="33">
                  <c:v>279.177974683544</c:v>
                </c:pt>
                <c:pt idx="34">
                  <c:v>285.543670886076</c:v>
                </c:pt>
                <c:pt idx="35">
                  <c:v>291.909367088608</c:v>
                </c:pt>
                <c:pt idx="36">
                  <c:v>298.275063291139</c:v>
                </c:pt>
                <c:pt idx="37">
                  <c:v>304.640759493671</c:v>
                </c:pt>
                <c:pt idx="38">
                  <c:v>311.006455696203</c:v>
                </c:pt>
                <c:pt idx="39">
                  <c:v>317.372151898734</c:v>
                </c:pt>
                <c:pt idx="40">
                  <c:v>323.737848101266</c:v>
                </c:pt>
                <c:pt idx="41">
                  <c:v>330.103544303798</c:v>
                </c:pt>
                <c:pt idx="42">
                  <c:v>336.469240506329</c:v>
                </c:pt>
                <c:pt idx="43">
                  <c:v>342.834936708861</c:v>
                </c:pt>
                <c:pt idx="44">
                  <c:v>349.200632911392</c:v>
                </c:pt>
                <c:pt idx="45">
                  <c:v>355.566329113924</c:v>
                </c:pt>
                <c:pt idx="46">
                  <c:v>361.932025316456</c:v>
                </c:pt>
                <c:pt idx="47">
                  <c:v>368.297721518987</c:v>
                </c:pt>
                <c:pt idx="48">
                  <c:v>374.663417721519</c:v>
                </c:pt>
                <c:pt idx="49">
                  <c:v>381.029113924051</c:v>
                </c:pt>
                <c:pt idx="50">
                  <c:v>387.394810126582</c:v>
                </c:pt>
                <c:pt idx="51">
                  <c:v>393.760506329114</c:v>
                </c:pt>
                <c:pt idx="52">
                  <c:v>400.126202531646</c:v>
                </c:pt>
                <c:pt idx="53">
                  <c:v>406.491898734177</c:v>
                </c:pt>
                <c:pt idx="54">
                  <c:v>412.857594936709</c:v>
                </c:pt>
                <c:pt idx="55">
                  <c:v>419.223291139241</c:v>
                </c:pt>
                <c:pt idx="56">
                  <c:v>425.588987341772</c:v>
                </c:pt>
                <c:pt idx="57">
                  <c:v>431.954683544304</c:v>
                </c:pt>
                <c:pt idx="58">
                  <c:v>438.320379746836</c:v>
                </c:pt>
                <c:pt idx="59">
                  <c:v>444.686075949367</c:v>
                </c:pt>
                <c:pt idx="60">
                  <c:v>451.051772151899</c:v>
                </c:pt>
                <c:pt idx="61">
                  <c:v>457.41746835443</c:v>
                </c:pt>
                <c:pt idx="62">
                  <c:v>463.783164556962</c:v>
                </c:pt>
                <c:pt idx="63">
                  <c:v>470.148860759494</c:v>
                </c:pt>
                <c:pt idx="64">
                  <c:v>476.514556962025</c:v>
                </c:pt>
                <c:pt idx="65">
                  <c:v>482.880253164557</c:v>
                </c:pt>
                <c:pt idx="66">
                  <c:v>489.245949367089</c:v>
                </c:pt>
                <c:pt idx="67">
                  <c:v>495.61164556962</c:v>
                </c:pt>
                <c:pt idx="68">
                  <c:v>501.977341772152</c:v>
                </c:pt>
                <c:pt idx="69">
                  <c:v>508.343037974684</c:v>
                </c:pt>
                <c:pt idx="70">
                  <c:v>514.708734177215</c:v>
                </c:pt>
                <c:pt idx="71">
                  <c:v>521.074430379747</c:v>
                </c:pt>
                <c:pt idx="72">
                  <c:v>527.440126582279</c:v>
                </c:pt>
                <c:pt idx="73">
                  <c:v>533.80582278481</c:v>
                </c:pt>
                <c:pt idx="74">
                  <c:v>540.171518987342</c:v>
                </c:pt>
                <c:pt idx="75">
                  <c:v>546.537215189874</c:v>
                </c:pt>
                <c:pt idx="76">
                  <c:v>552.902911392405</c:v>
                </c:pt>
                <c:pt idx="77">
                  <c:v>559.268607594937</c:v>
                </c:pt>
                <c:pt idx="78">
                  <c:v>565.634303797468</c:v>
                </c:pt>
                <c:pt idx="79">
                  <c:v>572</c:v>
                </c:pt>
                <c:pt idx="80">
                  <c:v>578.365696202532</c:v>
                </c:pt>
                <c:pt idx="81">
                  <c:v>584.731392405063</c:v>
                </c:pt>
                <c:pt idx="82">
                  <c:v>591.097088607595</c:v>
                </c:pt>
                <c:pt idx="83">
                  <c:v>597.462784810127</c:v>
                </c:pt>
                <c:pt idx="84">
                  <c:v>603.828481012658</c:v>
                </c:pt>
                <c:pt idx="85">
                  <c:v>610.19417721519</c:v>
                </c:pt>
                <c:pt idx="86">
                  <c:v>616.559873417722</c:v>
                </c:pt>
                <c:pt idx="87">
                  <c:v>622.925569620253</c:v>
                </c:pt>
                <c:pt idx="88">
                  <c:v>629.291265822785</c:v>
                </c:pt>
                <c:pt idx="89">
                  <c:v>635.656962025317</c:v>
                </c:pt>
                <c:pt idx="90">
                  <c:v>642.022658227848</c:v>
                </c:pt>
                <c:pt idx="91">
                  <c:v>648.38835443038</c:v>
                </c:pt>
                <c:pt idx="92">
                  <c:v>654.754050632912</c:v>
                </c:pt>
                <c:pt idx="93">
                  <c:v>661.119746835443</c:v>
                </c:pt>
                <c:pt idx="94">
                  <c:v>667.485443037975</c:v>
                </c:pt>
                <c:pt idx="95">
                  <c:v>673.851139240506</c:v>
                </c:pt>
                <c:pt idx="96">
                  <c:v>680.216835443038</c:v>
                </c:pt>
                <c:pt idx="97">
                  <c:v>686.58253164557</c:v>
                </c:pt>
                <c:pt idx="98">
                  <c:v>692.948227848101</c:v>
                </c:pt>
                <c:pt idx="99">
                  <c:v>699.313924050633</c:v>
                </c:pt>
                <c:pt idx="100">
                  <c:v>705.679620253165</c:v>
                </c:pt>
                <c:pt idx="101">
                  <c:v>712.045316455696</c:v>
                </c:pt>
                <c:pt idx="102">
                  <c:v>718.411012658228</c:v>
                </c:pt>
                <c:pt idx="103">
                  <c:v>724.77670886076</c:v>
                </c:pt>
                <c:pt idx="104">
                  <c:v>731.142405063291</c:v>
                </c:pt>
                <c:pt idx="105">
                  <c:v>737.508101265823</c:v>
                </c:pt>
                <c:pt idx="106">
                  <c:v>743.873797468355</c:v>
                </c:pt>
                <c:pt idx="107">
                  <c:v>750.239493670886</c:v>
                </c:pt>
                <c:pt idx="108">
                  <c:v>756.605189873418</c:v>
                </c:pt>
                <c:pt idx="109">
                  <c:v>762.970886075949</c:v>
                </c:pt>
                <c:pt idx="110">
                  <c:v>769.336582278481</c:v>
                </c:pt>
                <c:pt idx="111">
                  <c:v>775.702278481013</c:v>
                </c:pt>
                <c:pt idx="112">
                  <c:v>782.067974683544</c:v>
                </c:pt>
                <c:pt idx="113">
                  <c:v>788.433670886076</c:v>
                </c:pt>
                <c:pt idx="114">
                  <c:v>794.799367088608</c:v>
                </c:pt>
                <c:pt idx="115">
                  <c:v>801.165063291139</c:v>
                </c:pt>
                <c:pt idx="116">
                  <c:v>807.530759493671</c:v>
                </c:pt>
                <c:pt idx="117">
                  <c:v>813.896455696203</c:v>
                </c:pt>
                <c:pt idx="118">
                  <c:v>820.262151898734</c:v>
                </c:pt>
                <c:pt idx="119">
                  <c:v>826.627848101266</c:v>
                </c:pt>
                <c:pt idx="120">
                  <c:v>832.993544303798</c:v>
                </c:pt>
                <c:pt idx="121">
                  <c:v>839.359240506329</c:v>
                </c:pt>
                <c:pt idx="122">
                  <c:v>845.724936708861</c:v>
                </c:pt>
                <c:pt idx="123">
                  <c:v>852.090632911393</c:v>
                </c:pt>
                <c:pt idx="124">
                  <c:v>858.456329113924</c:v>
                </c:pt>
                <c:pt idx="125">
                  <c:v>864.822025316456</c:v>
                </c:pt>
                <c:pt idx="126">
                  <c:v>871.187721518988</c:v>
                </c:pt>
                <c:pt idx="127">
                  <c:v>877.553417721519</c:v>
                </c:pt>
                <c:pt idx="128">
                  <c:v>883.919113924051</c:v>
                </c:pt>
                <c:pt idx="129">
                  <c:v>890.284810126582</c:v>
                </c:pt>
                <c:pt idx="130">
                  <c:v>896.650506329114</c:v>
                </c:pt>
                <c:pt idx="131">
                  <c:v>903.016202531646</c:v>
                </c:pt>
                <c:pt idx="132">
                  <c:v>909.381898734177</c:v>
                </c:pt>
                <c:pt idx="133">
                  <c:v>915.747594936709</c:v>
                </c:pt>
                <c:pt idx="134">
                  <c:v>922.113291139241</c:v>
                </c:pt>
                <c:pt idx="135">
                  <c:v>928.478987341772</c:v>
                </c:pt>
                <c:pt idx="136">
                  <c:v>934.844683544304</c:v>
                </c:pt>
                <c:pt idx="137">
                  <c:v>941.210379746836</c:v>
                </c:pt>
                <c:pt idx="138">
                  <c:v>947.576075949367</c:v>
                </c:pt>
                <c:pt idx="139">
                  <c:v>953.941772151899</c:v>
                </c:pt>
                <c:pt idx="140">
                  <c:v>960.307468354431</c:v>
                </c:pt>
                <c:pt idx="141">
                  <c:v>966.673164556962</c:v>
                </c:pt>
                <c:pt idx="142">
                  <c:v>973.038860759494</c:v>
                </c:pt>
                <c:pt idx="143">
                  <c:v>979.404556962025</c:v>
                </c:pt>
                <c:pt idx="144">
                  <c:v>985.770253164557</c:v>
                </c:pt>
                <c:pt idx="145">
                  <c:v>992.135949367089</c:v>
                </c:pt>
                <c:pt idx="146">
                  <c:v>998.50164556962</c:v>
                </c:pt>
                <c:pt idx="147">
                  <c:v>1004.86734177215</c:v>
                </c:pt>
                <c:pt idx="148">
                  <c:v>1011.23303797468</c:v>
                </c:pt>
                <c:pt idx="149">
                  <c:v>1017.59873417722</c:v>
                </c:pt>
                <c:pt idx="150">
                  <c:v>1023.96443037975</c:v>
                </c:pt>
                <c:pt idx="151">
                  <c:v>1030.33012658228</c:v>
                </c:pt>
                <c:pt idx="152">
                  <c:v>1036.69582278481</c:v>
                </c:pt>
                <c:pt idx="153">
                  <c:v>1043.06151898734</c:v>
                </c:pt>
                <c:pt idx="154">
                  <c:v>1049.42721518987</c:v>
                </c:pt>
                <c:pt idx="155">
                  <c:v>1055.79291139241</c:v>
                </c:pt>
                <c:pt idx="156">
                  <c:v>1062.15860759494</c:v>
                </c:pt>
                <c:pt idx="157">
                  <c:v>1068.52430379747</c:v>
                </c:pt>
                <c:pt idx="158">
                  <c:v>1074.89</c:v>
                </c:pt>
                <c:pt idx="159">
                  <c:v>1081.25569620253</c:v>
                </c:pt>
              </c:numCache>
            </c:numRef>
          </c:val>
          <c:smooth val="0"/>
        </c:ser>
        <c:hiLowLines>
          <c:spPr>
            <a:ln w="0">
              <a:noFill/>
            </a:ln>
          </c:spPr>
        </c:hiLowLines>
        <c:marker val="0"/>
        <c:axId val="77565273"/>
        <c:axId val="82759203"/>
      </c:lineChart>
      <c:dateAx>
        <c:axId val="717714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840706"/>
        <c:auto val="1"/>
        <c:lblOffset val="100"/>
        <c:baseTimeUnit val="days"/>
      </c:dateAx>
      <c:valAx>
        <c:axId val="7284070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77141"/>
        <c:crosses val="autoZero"/>
        <c:crossBetween val="between"/>
      </c:valAx>
      <c:dateAx>
        <c:axId val="7756527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759203"/>
        <c:auto val="1"/>
        <c:lblOffset val="100"/>
        <c:baseTimeUnit val="days"/>
      </c:dateAx>
      <c:valAx>
        <c:axId val="8275920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56527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(Calc)'!$I$3:$I$500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0.0394543919669437</c:v>
                </c:pt>
              </c:numCache>
            </c:numRef>
          </c:val>
        </c:ser>
        <c:gapWidth val="150"/>
        <c:overlap val="0"/>
        <c:axId val="24998230"/>
        <c:axId val="71215263"/>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(Calc)'!$AD$3:$AD$500</c:f>
              <c:numCache>
                <c:formatCode>#,##0.00</c:formatCode>
                <c:ptCount val="498"/>
                <c:pt idx="0">
                  <c:v>43.77</c:v>
                </c:pt>
                <c:pt idx="1">
                  <c:v>44.973670886076</c:v>
                </c:pt>
                <c:pt idx="2">
                  <c:v>46.1773417721519</c:v>
                </c:pt>
                <c:pt idx="3">
                  <c:v>47.3810126582279</c:v>
                </c:pt>
                <c:pt idx="4">
                  <c:v>48.5846835443038</c:v>
                </c:pt>
                <c:pt idx="5">
                  <c:v>49.7883544303798</c:v>
                </c:pt>
                <c:pt idx="6">
                  <c:v>50.9920253164557</c:v>
                </c:pt>
                <c:pt idx="7">
                  <c:v>52.1956962025317</c:v>
                </c:pt>
                <c:pt idx="8">
                  <c:v>53.3993670886076</c:v>
                </c:pt>
                <c:pt idx="9">
                  <c:v>54.6030379746835</c:v>
                </c:pt>
                <c:pt idx="10">
                  <c:v>55.8067088607595</c:v>
                </c:pt>
                <c:pt idx="11">
                  <c:v>57.0103797468354</c:v>
                </c:pt>
                <c:pt idx="12">
                  <c:v>58.2140506329114</c:v>
                </c:pt>
                <c:pt idx="13">
                  <c:v>59.4177215189873</c:v>
                </c:pt>
                <c:pt idx="14">
                  <c:v>60.6213924050633</c:v>
                </c:pt>
                <c:pt idx="15">
                  <c:v>61.8250632911392</c:v>
                </c:pt>
                <c:pt idx="16">
                  <c:v>63.0287341772152</c:v>
                </c:pt>
                <c:pt idx="17">
                  <c:v>64.2324050632911</c:v>
                </c:pt>
                <c:pt idx="18">
                  <c:v>65.4360759493671</c:v>
                </c:pt>
                <c:pt idx="19">
                  <c:v>66.639746835443</c:v>
                </c:pt>
                <c:pt idx="20">
                  <c:v>67.843417721519</c:v>
                </c:pt>
                <c:pt idx="21">
                  <c:v>69.0470886075949</c:v>
                </c:pt>
                <c:pt idx="22">
                  <c:v>70.2507594936709</c:v>
                </c:pt>
                <c:pt idx="23">
                  <c:v>71.4544303797468</c:v>
                </c:pt>
                <c:pt idx="24">
                  <c:v>72.6581012658228</c:v>
                </c:pt>
                <c:pt idx="25">
                  <c:v>73.8617721518987</c:v>
                </c:pt>
                <c:pt idx="26">
                  <c:v>75.0654430379747</c:v>
                </c:pt>
                <c:pt idx="27">
                  <c:v>76.2691139240506</c:v>
                </c:pt>
                <c:pt idx="28">
                  <c:v>77.4727848101266</c:v>
                </c:pt>
                <c:pt idx="29">
                  <c:v>78.6764556962025</c:v>
                </c:pt>
                <c:pt idx="30">
                  <c:v>79.8801265822785</c:v>
                </c:pt>
                <c:pt idx="31">
                  <c:v>81.0837974683544</c:v>
                </c:pt>
                <c:pt idx="32">
                  <c:v>82.2874683544304</c:v>
                </c:pt>
                <c:pt idx="33">
                  <c:v>83.4911392405063</c:v>
                </c:pt>
                <c:pt idx="34">
                  <c:v>84.6948101265823</c:v>
                </c:pt>
                <c:pt idx="35">
                  <c:v>85.8984810126582</c:v>
                </c:pt>
                <c:pt idx="36">
                  <c:v>87.1021518987342</c:v>
                </c:pt>
                <c:pt idx="37">
                  <c:v>88.3058227848101</c:v>
                </c:pt>
                <c:pt idx="38">
                  <c:v>89.5094936708861</c:v>
                </c:pt>
                <c:pt idx="39">
                  <c:v>90.713164556962</c:v>
                </c:pt>
                <c:pt idx="40">
                  <c:v>91.916835443038</c:v>
                </c:pt>
                <c:pt idx="41">
                  <c:v>93.1205063291139</c:v>
                </c:pt>
                <c:pt idx="42">
                  <c:v>94.3241772151899</c:v>
                </c:pt>
                <c:pt idx="43">
                  <c:v>95.5278481012658</c:v>
                </c:pt>
                <c:pt idx="44">
                  <c:v>96.7315189873418</c:v>
                </c:pt>
                <c:pt idx="45">
                  <c:v>97.9351898734177</c:v>
                </c:pt>
                <c:pt idx="46">
                  <c:v>99.1388607594937</c:v>
                </c:pt>
                <c:pt idx="47">
                  <c:v>100.34253164557</c:v>
                </c:pt>
                <c:pt idx="48">
                  <c:v>101.546202531646</c:v>
                </c:pt>
                <c:pt idx="49">
                  <c:v>102.749873417722</c:v>
                </c:pt>
                <c:pt idx="50">
                  <c:v>103.953544303797</c:v>
                </c:pt>
                <c:pt idx="51">
                  <c:v>105.157215189873</c:v>
                </c:pt>
                <c:pt idx="52">
                  <c:v>106.360886075949</c:v>
                </c:pt>
                <c:pt idx="53">
                  <c:v>107.564556962025</c:v>
                </c:pt>
                <c:pt idx="54">
                  <c:v>108.768227848101</c:v>
                </c:pt>
                <c:pt idx="55">
                  <c:v>109.971898734177</c:v>
                </c:pt>
                <c:pt idx="56">
                  <c:v>111.175569620253</c:v>
                </c:pt>
                <c:pt idx="57">
                  <c:v>112.379240506329</c:v>
                </c:pt>
                <c:pt idx="58">
                  <c:v>113.582911392405</c:v>
                </c:pt>
                <c:pt idx="59">
                  <c:v>114.786582278481</c:v>
                </c:pt>
                <c:pt idx="60">
                  <c:v>115.990253164557</c:v>
                </c:pt>
                <c:pt idx="61">
                  <c:v>117.193924050633</c:v>
                </c:pt>
                <c:pt idx="62">
                  <c:v>118.397594936709</c:v>
                </c:pt>
                <c:pt idx="63">
                  <c:v>119.601265822785</c:v>
                </c:pt>
                <c:pt idx="64">
                  <c:v>120.804936708861</c:v>
                </c:pt>
                <c:pt idx="65">
                  <c:v>122.008607594937</c:v>
                </c:pt>
                <c:pt idx="66">
                  <c:v>123.212278481013</c:v>
                </c:pt>
                <c:pt idx="67">
                  <c:v>124.415949367089</c:v>
                </c:pt>
                <c:pt idx="68">
                  <c:v>125.619620253165</c:v>
                </c:pt>
                <c:pt idx="69">
                  <c:v>126.823291139241</c:v>
                </c:pt>
                <c:pt idx="70">
                  <c:v>128.026962025316</c:v>
                </c:pt>
                <c:pt idx="71">
                  <c:v>129.230632911392</c:v>
                </c:pt>
                <c:pt idx="72">
                  <c:v>130.434303797468</c:v>
                </c:pt>
                <c:pt idx="73">
                  <c:v>131.637974683544</c:v>
                </c:pt>
                <c:pt idx="74">
                  <c:v>132.84164556962</c:v>
                </c:pt>
                <c:pt idx="75">
                  <c:v>134.045316455696</c:v>
                </c:pt>
                <c:pt idx="76">
                  <c:v>135.248987341772</c:v>
                </c:pt>
                <c:pt idx="77">
                  <c:v>136.452658227848</c:v>
                </c:pt>
                <c:pt idx="78">
                  <c:v>137.656329113924</c:v>
                </c:pt>
                <c:pt idx="79">
                  <c:v>138.86</c:v>
                </c:pt>
                <c:pt idx="80">
                  <c:v>140.063670886076</c:v>
                </c:pt>
                <c:pt idx="81">
                  <c:v>141.267341772152</c:v>
                </c:pt>
                <c:pt idx="82">
                  <c:v>142.471012658228</c:v>
                </c:pt>
                <c:pt idx="83">
                  <c:v>143.674683544304</c:v>
                </c:pt>
                <c:pt idx="84">
                  <c:v>144.87835443038</c:v>
                </c:pt>
                <c:pt idx="85">
                  <c:v>146.082025316456</c:v>
                </c:pt>
                <c:pt idx="86">
                  <c:v>147.285696202532</c:v>
                </c:pt>
                <c:pt idx="87">
                  <c:v>148.489367088608</c:v>
                </c:pt>
                <c:pt idx="88">
                  <c:v>149.693037974684</c:v>
                </c:pt>
                <c:pt idx="89">
                  <c:v>150.896708860759</c:v>
                </c:pt>
                <c:pt idx="90">
                  <c:v>152.100379746835</c:v>
                </c:pt>
                <c:pt idx="91">
                  <c:v>153.304050632911</c:v>
                </c:pt>
                <c:pt idx="92">
                  <c:v>154.507721518987</c:v>
                </c:pt>
                <c:pt idx="93">
                  <c:v>155.711392405063</c:v>
                </c:pt>
                <c:pt idx="94">
                  <c:v>156.915063291139</c:v>
                </c:pt>
                <c:pt idx="95">
                  <c:v>158.118734177215</c:v>
                </c:pt>
                <c:pt idx="96">
                  <c:v>159.322405063291</c:v>
                </c:pt>
                <c:pt idx="97">
                  <c:v>160.526075949367</c:v>
                </c:pt>
                <c:pt idx="98">
                  <c:v>161.729746835443</c:v>
                </c:pt>
                <c:pt idx="99">
                  <c:v>162.933417721519</c:v>
                </c:pt>
                <c:pt idx="100">
                  <c:v>164.137088607595</c:v>
                </c:pt>
                <c:pt idx="101">
                  <c:v>165.340759493671</c:v>
                </c:pt>
                <c:pt idx="102">
                  <c:v>166.544430379747</c:v>
                </c:pt>
                <c:pt idx="103">
                  <c:v>167.748101265823</c:v>
                </c:pt>
                <c:pt idx="104">
                  <c:v>168.951772151899</c:v>
                </c:pt>
                <c:pt idx="105">
                  <c:v>170.155443037975</c:v>
                </c:pt>
                <c:pt idx="106">
                  <c:v>171.359113924051</c:v>
                </c:pt>
                <c:pt idx="107">
                  <c:v>172.562784810127</c:v>
                </c:pt>
                <c:pt idx="108">
                  <c:v>173.766455696203</c:v>
                </c:pt>
                <c:pt idx="109">
                  <c:v>174.970126582278</c:v>
                </c:pt>
                <c:pt idx="110">
                  <c:v>176.173797468354</c:v>
                </c:pt>
                <c:pt idx="111">
                  <c:v>177.37746835443</c:v>
                </c:pt>
                <c:pt idx="112">
                  <c:v>178.581139240506</c:v>
                </c:pt>
                <c:pt idx="113">
                  <c:v>179.784810126582</c:v>
                </c:pt>
                <c:pt idx="114">
                  <c:v>180.988481012658</c:v>
                </c:pt>
                <c:pt idx="115">
                  <c:v>182.192151898734</c:v>
                </c:pt>
                <c:pt idx="116">
                  <c:v>183.39582278481</c:v>
                </c:pt>
                <c:pt idx="117">
                  <c:v>184.599493670886</c:v>
                </c:pt>
                <c:pt idx="118">
                  <c:v>185.803164556962</c:v>
                </c:pt>
                <c:pt idx="119">
                  <c:v>187.006835443038</c:v>
                </c:pt>
                <c:pt idx="120">
                  <c:v>188.210506329114</c:v>
                </c:pt>
                <c:pt idx="121">
                  <c:v>189.41417721519</c:v>
                </c:pt>
                <c:pt idx="122">
                  <c:v>190.617848101266</c:v>
                </c:pt>
                <c:pt idx="123">
                  <c:v>191.821518987342</c:v>
                </c:pt>
                <c:pt idx="124">
                  <c:v>193.025189873418</c:v>
                </c:pt>
                <c:pt idx="125">
                  <c:v>194.228860759494</c:v>
                </c:pt>
                <c:pt idx="126">
                  <c:v>195.43253164557</c:v>
                </c:pt>
                <c:pt idx="127">
                  <c:v>196.636202531646</c:v>
                </c:pt>
                <c:pt idx="128">
                  <c:v>197.839873417722</c:v>
                </c:pt>
                <c:pt idx="129">
                  <c:v>199.043544303797</c:v>
                </c:pt>
                <c:pt idx="130">
                  <c:v>200.247215189873</c:v>
                </c:pt>
                <c:pt idx="131">
                  <c:v>201.450886075949</c:v>
                </c:pt>
                <c:pt idx="132">
                  <c:v>202.654556962025</c:v>
                </c:pt>
                <c:pt idx="133">
                  <c:v>203.858227848101</c:v>
                </c:pt>
                <c:pt idx="134">
                  <c:v>205.061898734177</c:v>
                </c:pt>
                <c:pt idx="135">
                  <c:v>206.265569620253</c:v>
                </c:pt>
                <c:pt idx="136">
                  <c:v>207.469240506329</c:v>
                </c:pt>
                <c:pt idx="137">
                  <c:v>208.672911392405</c:v>
                </c:pt>
                <c:pt idx="138">
                  <c:v>209.876582278481</c:v>
                </c:pt>
                <c:pt idx="139">
                  <c:v>211.080253164557</c:v>
                </c:pt>
                <c:pt idx="140">
                  <c:v>212.283924050633</c:v>
                </c:pt>
                <c:pt idx="141">
                  <c:v>213.487594936709</c:v>
                </c:pt>
                <c:pt idx="142">
                  <c:v>214.691265822785</c:v>
                </c:pt>
                <c:pt idx="143">
                  <c:v>215.894936708861</c:v>
                </c:pt>
                <c:pt idx="144">
                  <c:v>217.098607594937</c:v>
                </c:pt>
                <c:pt idx="145">
                  <c:v>218.302278481013</c:v>
                </c:pt>
                <c:pt idx="146">
                  <c:v>219.505949367089</c:v>
                </c:pt>
                <c:pt idx="147">
                  <c:v>220.709620253165</c:v>
                </c:pt>
                <c:pt idx="148">
                  <c:v>221.913291139241</c:v>
                </c:pt>
                <c:pt idx="149">
                  <c:v>223.116962025316</c:v>
                </c:pt>
                <c:pt idx="150">
                  <c:v>224.320632911392</c:v>
                </c:pt>
                <c:pt idx="151">
                  <c:v>225.524303797468</c:v>
                </c:pt>
                <c:pt idx="152">
                  <c:v>226.727974683544</c:v>
                </c:pt>
                <c:pt idx="153">
                  <c:v>227.93164556962</c:v>
                </c:pt>
                <c:pt idx="154">
                  <c:v>229.135316455696</c:v>
                </c:pt>
                <c:pt idx="155">
                  <c:v>230.338987341772</c:v>
                </c:pt>
                <c:pt idx="156">
                  <c:v>231.542658227848</c:v>
                </c:pt>
                <c:pt idx="157">
                  <c:v>232.746329113924</c:v>
                </c:pt>
                <c:pt idx="158">
                  <c:v>233.95</c:v>
                </c:pt>
                <c:pt idx="159">
                  <c:v>235.153670886076</c:v>
                </c:pt>
              </c:numCache>
            </c:numRef>
          </c:val>
          <c:smooth val="0"/>
        </c:ser>
        <c:hiLowLines>
          <c:spPr>
            <a:ln w="0">
              <a:noFill/>
            </a:ln>
          </c:spPr>
        </c:hiLowLines>
        <c:marker val="0"/>
        <c:axId val="65546504"/>
        <c:axId val="51958562"/>
      </c:lineChart>
      <c:dateAx>
        <c:axId val="2499823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215263"/>
        <c:auto val="1"/>
        <c:lblOffset val="100"/>
        <c:baseTimeUnit val="days"/>
      </c:dateAx>
      <c:valAx>
        <c:axId val="7121526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998230"/>
        <c:crosses val="autoZero"/>
        <c:crossBetween val="between"/>
      </c:valAx>
      <c:dateAx>
        <c:axId val="6554650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958562"/>
        <c:auto val="1"/>
        <c:lblOffset val="100"/>
        <c:baseTimeUnit val="days"/>
      </c:dateAx>
      <c:valAx>
        <c:axId val="5195856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54650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(Calc)'!$J$3:$J$500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-0.0311161217587375</c:v>
                </c:pt>
              </c:numCache>
            </c:numRef>
          </c:val>
        </c:ser>
        <c:gapWidth val="150"/>
        <c:overlap val="0"/>
        <c:axId val="98766963"/>
        <c:axId val="61203282"/>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(Calc)'!$AE$3:$AE$500</c:f>
              <c:numCache>
                <c:formatCode>#,##0.00</c:formatCode>
                <c:ptCount val="498"/>
                <c:pt idx="0">
                  <c:v>111.84</c:v>
                </c:pt>
                <c:pt idx="1">
                  <c:v>111.948037974684</c:v>
                </c:pt>
                <c:pt idx="2">
                  <c:v>112.056075949367</c:v>
                </c:pt>
                <c:pt idx="3">
                  <c:v>112.164113924051</c:v>
                </c:pt>
                <c:pt idx="4">
                  <c:v>112.272151898734</c:v>
                </c:pt>
                <c:pt idx="5">
                  <c:v>112.380189873418</c:v>
                </c:pt>
                <c:pt idx="6">
                  <c:v>112.488227848101</c:v>
                </c:pt>
                <c:pt idx="7">
                  <c:v>112.596265822785</c:v>
                </c:pt>
                <c:pt idx="8">
                  <c:v>112.704303797468</c:v>
                </c:pt>
                <c:pt idx="9">
                  <c:v>112.812341772152</c:v>
                </c:pt>
                <c:pt idx="10">
                  <c:v>112.920379746835</c:v>
                </c:pt>
                <c:pt idx="11">
                  <c:v>113.028417721519</c:v>
                </c:pt>
                <c:pt idx="12">
                  <c:v>113.136455696203</c:v>
                </c:pt>
                <c:pt idx="13">
                  <c:v>113.244493670886</c:v>
                </c:pt>
                <c:pt idx="14">
                  <c:v>113.35253164557</c:v>
                </c:pt>
                <c:pt idx="15">
                  <c:v>113.460569620253</c:v>
                </c:pt>
                <c:pt idx="16">
                  <c:v>113.568607594937</c:v>
                </c:pt>
                <c:pt idx="17">
                  <c:v>113.67664556962</c:v>
                </c:pt>
                <c:pt idx="18">
                  <c:v>113.784683544304</c:v>
                </c:pt>
                <c:pt idx="19">
                  <c:v>113.892721518987</c:v>
                </c:pt>
                <c:pt idx="20">
                  <c:v>114.000759493671</c:v>
                </c:pt>
                <c:pt idx="21">
                  <c:v>114.108797468354</c:v>
                </c:pt>
                <c:pt idx="22">
                  <c:v>114.216835443038</c:v>
                </c:pt>
                <c:pt idx="23">
                  <c:v>114.324873417722</c:v>
                </c:pt>
                <c:pt idx="24">
                  <c:v>114.432911392405</c:v>
                </c:pt>
                <c:pt idx="25">
                  <c:v>114.540949367089</c:v>
                </c:pt>
                <c:pt idx="26">
                  <c:v>114.648987341772</c:v>
                </c:pt>
                <c:pt idx="27">
                  <c:v>114.757025316456</c:v>
                </c:pt>
                <c:pt idx="28">
                  <c:v>114.865063291139</c:v>
                </c:pt>
                <c:pt idx="29">
                  <c:v>114.973101265823</c:v>
                </c:pt>
                <c:pt idx="30">
                  <c:v>115.081139240506</c:v>
                </c:pt>
                <c:pt idx="31">
                  <c:v>115.18917721519</c:v>
                </c:pt>
                <c:pt idx="32">
                  <c:v>115.297215189873</c:v>
                </c:pt>
                <c:pt idx="33">
                  <c:v>115.405253164557</c:v>
                </c:pt>
                <c:pt idx="34">
                  <c:v>115.513291139241</c:v>
                </c:pt>
                <c:pt idx="35">
                  <c:v>115.621329113924</c:v>
                </c:pt>
                <c:pt idx="36">
                  <c:v>115.729367088608</c:v>
                </c:pt>
                <c:pt idx="37">
                  <c:v>115.837405063291</c:v>
                </c:pt>
                <c:pt idx="38">
                  <c:v>115.945443037975</c:v>
                </c:pt>
                <c:pt idx="39">
                  <c:v>116.053481012658</c:v>
                </c:pt>
                <c:pt idx="40">
                  <c:v>116.161518987342</c:v>
                </c:pt>
                <c:pt idx="41">
                  <c:v>116.269556962025</c:v>
                </c:pt>
                <c:pt idx="42">
                  <c:v>116.377594936709</c:v>
                </c:pt>
                <c:pt idx="43">
                  <c:v>116.485632911392</c:v>
                </c:pt>
                <c:pt idx="44">
                  <c:v>116.593670886076</c:v>
                </c:pt>
                <c:pt idx="45">
                  <c:v>116.70170886076</c:v>
                </c:pt>
                <c:pt idx="46">
                  <c:v>116.809746835443</c:v>
                </c:pt>
                <c:pt idx="47">
                  <c:v>116.917784810127</c:v>
                </c:pt>
                <c:pt idx="48">
                  <c:v>117.02582278481</c:v>
                </c:pt>
                <c:pt idx="49">
                  <c:v>117.133860759494</c:v>
                </c:pt>
                <c:pt idx="50">
                  <c:v>117.241898734177</c:v>
                </c:pt>
                <c:pt idx="51">
                  <c:v>117.349936708861</c:v>
                </c:pt>
                <c:pt idx="52">
                  <c:v>117.457974683544</c:v>
                </c:pt>
                <c:pt idx="53">
                  <c:v>117.566012658228</c:v>
                </c:pt>
                <c:pt idx="54">
                  <c:v>117.674050632911</c:v>
                </c:pt>
                <c:pt idx="55">
                  <c:v>117.782088607595</c:v>
                </c:pt>
                <c:pt idx="56">
                  <c:v>117.890126582278</c:v>
                </c:pt>
                <c:pt idx="57">
                  <c:v>117.998164556962</c:v>
                </c:pt>
                <c:pt idx="58">
                  <c:v>118.106202531646</c:v>
                </c:pt>
                <c:pt idx="59">
                  <c:v>118.214240506329</c:v>
                </c:pt>
                <c:pt idx="60">
                  <c:v>118.322278481013</c:v>
                </c:pt>
                <c:pt idx="61">
                  <c:v>118.430316455696</c:v>
                </c:pt>
                <c:pt idx="62">
                  <c:v>118.53835443038</c:v>
                </c:pt>
                <c:pt idx="63">
                  <c:v>118.646392405063</c:v>
                </c:pt>
                <c:pt idx="64">
                  <c:v>118.754430379747</c:v>
                </c:pt>
                <c:pt idx="65">
                  <c:v>118.86246835443</c:v>
                </c:pt>
                <c:pt idx="66">
                  <c:v>118.970506329114</c:v>
                </c:pt>
                <c:pt idx="67">
                  <c:v>119.078544303797</c:v>
                </c:pt>
                <c:pt idx="68">
                  <c:v>119.186582278481</c:v>
                </c:pt>
                <c:pt idx="69">
                  <c:v>119.294620253165</c:v>
                </c:pt>
                <c:pt idx="70">
                  <c:v>119.402658227848</c:v>
                </c:pt>
                <c:pt idx="71">
                  <c:v>119.510696202532</c:v>
                </c:pt>
                <c:pt idx="72">
                  <c:v>119.618734177215</c:v>
                </c:pt>
                <c:pt idx="73">
                  <c:v>119.726772151899</c:v>
                </c:pt>
                <c:pt idx="74">
                  <c:v>119.834810126582</c:v>
                </c:pt>
                <c:pt idx="75">
                  <c:v>119.942848101266</c:v>
                </c:pt>
                <c:pt idx="76">
                  <c:v>120.050886075949</c:v>
                </c:pt>
                <c:pt idx="77">
                  <c:v>120.158924050633</c:v>
                </c:pt>
                <c:pt idx="78">
                  <c:v>120.266962025316</c:v>
                </c:pt>
                <c:pt idx="79">
                  <c:v>120.375</c:v>
                </c:pt>
                <c:pt idx="80">
                  <c:v>120.483037974684</c:v>
                </c:pt>
                <c:pt idx="81">
                  <c:v>120.591075949367</c:v>
                </c:pt>
                <c:pt idx="82">
                  <c:v>120.699113924051</c:v>
                </c:pt>
                <c:pt idx="83">
                  <c:v>120.807151898734</c:v>
                </c:pt>
                <c:pt idx="84">
                  <c:v>120.915189873418</c:v>
                </c:pt>
                <c:pt idx="85">
                  <c:v>121.023227848101</c:v>
                </c:pt>
                <c:pt idx="86">
                  <c:v>121.131265822785</c:v>
                </c:pt>
                <c:pt idx="87">
                  <c:v>121.239303797468</c:v>
                </c:pt>
                <c:pt idx="88">
                  <c:v>121.347341772152</c:v>
                </c:pt>
                <c:pt idx="89">
                  <c:v>121.455379746835</c:v>
                </c:pt>
                <c:pt idx="90">
                  <c:v>121.563417721519</c:v>
                </c:pt>
                <c:pt idx="91">
                  <c:v>121.671455696203</c:v>
                </c:pt>
                <c:pt idx="92">
                  <c:v>121.779493670886</c:v>
                </c:pt>
                <c:pt idx="93">
                  <c:v>121.88753164557</c:v>
                </c:pt>
                <c:pt idx="94">
                  <c:v>121.995569620253</c:v>
                </c:pt>
                <c:pt idx="95">
                  <c:v>122.103607594937</c:v>
                </c:pt>
                <c:pt idx="96">
                  <c:v>122.21164556962</c:v>
                </c:pt>
                <c:pt idx="97">
                  <c:v>122.319683544304</c:v>
                </c:pt>
                <c:pt idx="98">
                  <c:v>122.427721518987</c:v>
                </c:pt>
                <c:pt idx="99">
                  <c:v>122.535759493671</c:v>
                </c:pt>
                <c:pt idx="100">
                  <c:v>122.643797468354</c:v>
                </c:pt>
                <c:pt idx="101">
                  <c:v>122.751835443038</c:v>
                </c:pt>
                <c:pt idx="102">
                  <c:v>122.859873417722</c:v>
                </c:pt>
                <c:pt idx="103">
                  <c:v>122.967911392405</c:v>
                </c:pt>
                <c:pt idx="104">
                  <c:v>123.075949367089</c:v>
                </c:pt>
                <c:pt idx="105">
                  <c:v>123.183987341772</c:v>
                </c:pt>
                <c:pt idx="106">
                  <c:v>123.292025316456</c:v>
                </c:pt>
                <c:pt idx="107">
                  <c:v>123.400063291139</c:v>
                </c:pt>
                <c:pt idx="108">
                  <c:v>123.508101265823</c:v>
                </c:pt>
                <c:pt idx="109">
                  <c:v>123.616139240506</c:v>
                </c:pt>
                <c:pt idx="110">
                  <c:v>123.72417721519</c:v>
                </c:pt>
                <c:pt idx="111">
                  <c:v>123.832215189873</c:v>
                </c:pt>
                <c:pt idx="112">
                  <c:v>123.940253164557</c:v>
                </c:pt>
                <c:pt idx="113">
                  <c:v>124.048291139241</c:v>
                </c:pt>
                <c:pt idx="114">
                  <c:v>124.156329113924</c:v>
                </c:pt>
                <c:pt idx="115">
                  <c:v>124.264367088608</c:v>
                </c:pt>
                <c:pt idx="116">
                  <c:v>124.372405063291</c:v>
                </c:pt>
                <c:pt idx="117">
                  <c:v>124.480443037975</c:v>
                </c:pt>
                <c:pt idx="118">
                  <c:v>124.588481012658</c:v>
                </c:pt>
                <c:pt idx="119">
                  <c:v>124.696518987342</c:v>
                </c:pt>
                <c:pt idx="120">
                  <c:v>124.804556962025</c:v>
                </c:pt>
                <c:pt idx="121">
                  <c:v>124.912594936709</c:v>
                </c:pt>
                <c:pt idx="122">
                  <c:v>125.020632911392</c:v>
                </c:pt>
                <c:pt idx="123">
                  <c:v>125.128670886076</c:v>
                </c:pt>
                <c:pt idx="124">
                  <c:v>125.236708860759</c:v>
                </c:pt>
                <c:pt idx="125">
                  <c:v>125.344746835443</c:v>
                </c:pt>
                <c:pt idx="126">
                  <c:v>125.452784810127</c:v>
                </c:pt>
                <c:pt idx="127">
                  <c:v>125.56082278481</c:v>
                </c:pt>
                <c:pt idx="128">
                  <c:v>125.668860759494</c:v>
                </c:pt>
                <c:pt idx="129">
                  <c:v>125.776898734177</c:v>
                </c:pt>
                <c:pt idx="130">
                  <c:v>125.884936708861</c:v>
                </c:pt>
                <c:pt idx="131">
                  <c:v>125.992974683544</c:v>
                </c:pt>
                <c:pt idx="132">
                  <c:v>126.101012658228</c:v>
                </c:pt>
                <c:pt idx="133">
                  <c:v>126.209050632911</c:v>
                </c:pt>
                <c:pt idx="134">
                  <c:v>126.317088607595</c:v>
                </c:pt>
                <c:pt idx="135">
                  <c:v>126.425126582278</c:v>
                </c:pt>
                <c:pt idx="136">
                  <c:v>126.533164556962</c:v>
                </c:pt>
                <c:pt idx="137">
                  <c:v>126.641202531646</c:v>
                </c:pt>
                <c:pt idx="138">
                  <c:v>126.749240506329</c:v>
                </c:pt>
                <c:pt idx="139">
                  <c:v>126.857278481013</c:v>
                </c:pt>
                <c:pt idx="140">
                  <c:v>126.965316455696</c:v>
                </c:pt>
                <c:pt idx="141">
                  <c:v>127.07335443038</c:v>
                </c:pt>
                <c:pt idx="142">
                  <c:v>127.181392405063</c:v>
                </c:pt>
                <c:pt idx="143">
                  <c:v>127.289430379747</c:v>
                </c:pt>
                <c:pt idx="144">
                  <c:v>127.39746835443</c:v>
                </c:pt>
                <c:pt idx="145">
                  <c:v>127.505506329114</c:v>
                </c:pt>
                <c:pt idx="146">
                  <c:v>127.613544303797</c:v>
                </c:pt>
                <c:pt idx="147">
                  <c:v>127.721582278481</c:v>
                </c:pt>
                <c:pt idx="148">
                  <c:v>127.829620253165</c:v>
                </c:pt>
                <c:pt idx="149">
                  <c:v>127.937658227848</c:v>
                </c:pt>
                <c:pt idx="150">
                  <c:v>128.045696202532</c:v>
                </c:pt>
                <c:pt idx="151">
                  <c:v>128.153734177215</c:v>
                </c:pt>
                <c:pt idx="152">
                  <c:v>128.261772151899</c:v>
                </c:pt>
                <c:pt idx="153">
                  <c:v>128.369810126582</c:v>
                </c:pt>
                <c:pt idx="154">
                  <c:v>128.477848101266</c:v>
                </c:pt>
                <c:pt idx="155">
                  <c:v>128.585886075949</c:v>
                </c:pt>
                <c:pt idx="156">
                  <c:v>128.693924050633</c:v>
                </c:pt>
                <c:pt idx="157">
                  <c:v>128.801962025316</c:v>
                </c:pt>
                <c:pt idx="158">
                  <c:v>128.91</c:v>
                </c:pt>
                <c:pt idx="159">
                  <c:v>129.018037974684</c:v>
                </c:pt>
              </c:numCache>
            </c:numRef>
          </c:val>
          <c:smooth val="0"/>
        </c:ser>
        <c:hiLowLines>
          <c:spPr>
            <a:ln w="0">
              <a:noFill/>
            </a:ln>
          </c:spPr>
        </c:hiLowLines>
        <c:marker val="0"/>
        <c:axId val="35807961"/>
        <c:axId val="41607027"/>
      </c:lineChart>
      <c:dateAx>
        <c:axId val="9876696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203282"/>
        <c:auto val="1"/>
        <c:lblOffset val="100"/>
        <c:baseTimeUnit val="days"/>
      </c:dateAx>
      <c:valAx>
        <c:axId val="6120328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766963"/>
        <c:crosses val="autoZero"/>
        <c:crossBetween val="between"/>
      </c:valAx>
      <c:dateAx>
        <c:axId val="3580796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607027"/>
        <c:auto val="1"/>
        <c:lblOffset val="100"/>
        <c:baseTimeUnit val="days"/>
      </c:dateAx>
      <c:valAx>
        <c:axId val="4160702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80796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(Calc)'!$K$3:$K$500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-0.00485052986766488</c:v>
                </c:pt>
              </c:numCache>
            </c:numRef>
          </c:val>
        </c:ser>
        <c:gapWidth val="150"/>
        <c:overlap val="0"/>
        <c:axId val="75220610"/>
        <c:axId val="99114359"/>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(Calc)'!$AF$3:$AF$500</c:f>
              <c:numCache>
                <c:formatCode>#,##0.00</c:formatCode>
                <c:ptCount val="498"/>
                <c:pt idx="0">
                  <c:v>15.33</c:v>
                </c:pt>
                <c:pt idx="1">
                  <c:v>16.4275949367089</c:v>
                </c:pt>
                <c:pt idx="2">
                  <c:v>17.5251898734177</c:v>
                </c:pt>
                <c:pt idx="3">
                  <c:v>18.6227848101266</c:v>
                </c:pt>
                <c:pt idx="4">
                  <c:v>19.7203797468354</c:v>
                </c:pt>
                <c:pt idx="5">
                  <c:v>20.8179746835443</c:v>
                </c:pt>
                <c:pt idx="6">
                  <c:v>21.9155696202532</c:v>
                </c:pt>
                <c:pt idx="7">
                  <c:v>23.013164556962</c:v>
                </c:pt>
                <c:pt idx="8">
                  <c:v>24.1107594936709</c:v>
                </c:pt>
                <c:pt idx="9">
                  <c:v>25.2083544303797</c:v>
                </c:pt>
                <c:pt idx="10">
                  <c:v>26.3059493670886</c:v>
                </c:pt>
                <c:pt idx="11">
                  <c:v>27.4035443037975</c:v>
                </c:pt>
                <c:pt idx="12">
                  <c:v>28.5011392405063</c:v>
                </c:pt>
                <c:pt idx="13">
                  <c:v>29.5987341772152</c:v>
                </c:pt>
                <c:pt idx="14">
                  <c:v>30.6963291139241</c:v>
                </c:pt>
                <c:pt idx="15">
                  <c:v>31.7939240506329</c:v>
                </c:pt>
                <c:pt idx="16">
                  <c:v>32.8915189873418</c:v>
                </c:pt>
                <c:pt idx="17">
                  <c:v>33.9891139240506</c:v>
                </c:pt>
                <c:pt idx="18">
                  <c:v>35.0867088607595</c:v>
                </c:pt>
                <c:pt idx="19">
                  <c:v>36.1843037974684</c:v>
                </c:pt>
                <c:pt idx="20">
                  <c:v>37.2818987341772</c:v>
                </c:pt>
                <c:pt idx="21">
                  <c:v>38.3794936708861</c:v>
                </c:pt>
                <c:pt idx="22">
                  <c:v>39.4770886075949</c:v>
                </c:pt>
                <c:pt idx="23">
                  <c:v>40.5746835443038</c:v>
                </c:pt>
                <c:pt idx="24">
                  <c:v>41.6722784810127</c:v>
                </c:pt>
                <c:pt idx="25">
                  <c:v>42.7698734177215</c:v>
                </c:pt>
                <c:pt idx="26">
                  <c:v>43.8674683544304</c:v>
                </c:pt>
                <c:pt idx="27">
                  <c:v>44.9650632911392</c:v>
                </c:pt>
                <c:pt idx="28">
                  <c:v>46.0626582278481</c:v>
                </c:pt>
                <c:pt idx="29">
                  <c:v>47.160253164557</c:v>
                </c:pt>
                <c:pt idx="30">
                  <c:v>48.2578481012658</c:v>
                </c:pt>
                <c:pt idx="31">
                  <c:v>49.3554430379747</c:v>
                </c:pt>
                <c:pt idx="32">
                  <c:v>50.4530379746835</c:v>
                </c:pt>
                <c:pt idx="33">
                  <c:v>51.5506329113924</c:v>
                </c:pt>
                <c:pt idx="34">
                  <c:v>52.6482278481013</c:v>
                </c:pt>
                <c:pt idx="35">
                  <c:v>53.7458227848101</c:v>
                </c:pt>
                <c:pt idx="36">
                  <c:v>54.843417721519</c:v>
                </c:pt>
                <c:pt idx="37">
                  <c:v>55.9410126582279</c:v>
                </c:pt>
                <c:pt idx="38">
                  <c:v>57.0386075949367</c:v>
                </c:pt>
                <c:pt idx="39">
                  <c:v>58.1362025316456</c:v>
                </c:pt>
                <c:pt idx="40">
                  <c:v>59.2337974683544</c:v>
                </c:pt>
                <c:pt idx="41">
                  <c:v>60.3313924050633</c:v>
                </c:pt>
                <c:pt idx="42">
                  <c:v>61.4289873417722</c:v>
                </c:pt>
                <c:pt idx="43">
                  <c:v>62.526582278481</c:v>
                </c:pt>
                <c:pt idx="44">
                  <c:v>63.6241772151899</c:v>
                </c:pt>
                <c:pt idx="45">
                  <c:v>64.7217721518987</c:v>
                </c:pt>
                <c:pt idx="46">
                  <c:v>65.8193670886076</c:v>
                </c:pt>
                <c:pt idx="47">
                  <c:v>66.9169620253165</c:v>
                </c:pt>
                <c:pt idx="48">
                  <c:v>68.0145569620253</c:v>
                </c:pt>
                <c:pt idx="49">
                  <c:v>69.1121518987342</c:v>
                </c:pt>
                <c:pt idx="50">
                  <c:v>70.209746835443</c:v>
                </c:pt>
                <c:pt idx="51">
                  <c:v>71.3073417721519</c:v>
                </c:pt>
                <c:pt idx="52">
                  <c:v>72.4049367088608</c:v>
                </c:pt>
                <c:pt idx="53">
                  <c:v>73.5025316455696</c:v>
                </c:pt>
                <c:pt idx="54">
                  <c:v>74.6001265822785</c:v>
                </c:pt>
                <c:pt idx="55">
                  <c:v>75.6977215189873</c:v>
                </c:pt>
                <c:pt idx="56">
                  <c:v>76.7953164556962</c:v>
                </c:pt>
                <c:pt idx="57">
                  <c:v>77.8929113924051</c:v>
                </c:pt>
                <c:pt idx="58">
                  <c:v>78.9905063291139</c:v>
                </c:pt>
                <c:pt idx="59">
                  <c:v>80.0881012658228</c:v>
                </c:pt>
                <c:pt idx="60">
                  <c:v>81.1856962025316</c:v>
                </c:pt>
                <c:pt idx="61">
                  <c:v>82.2832911392405</c:v>
                </c:pt>
                <c:pt idx="62">
                  <c:v>83.3808860759494</c:v>
                </c:pt>
                <c:pt idx="63">
                  <c:v>84.4784810126582</c:v>
                </c:pt>
                <c:pt idx="64">
                  <c:v>85.5760759493671</c:v>
                </c:pt>
                <c:pt idx="65">
                  <c:v>86.6736708860759</c:v>
                </c:pt>
                <c:pt idx="66">
                  <c:v>87.7712658227848</c:v>
                </c:pt>
                <c:pt idx="67">
                  <c:v>88.8688607594937</c:v>
                </c:pt>
                <c:pt idx="68">
                  <c:v>89.9664556962025</c:v>
                </c:pt>
                <c:pt idx="69">
                  <c:v>91.0640506329114</c:v>
                </c:pt>
                <c:pt idx="70">
                  <c:v>92.1616455696203</c:v>
                </c:pt>
                <c:pt idx="71">
                  <c:v>93.2592405063291</c:v>
                </c:pt>
                <c:pt idx="72">
                  <c:v>94.356835443038</c:v>
                </c:pt>
                <c:pt idx="73">
                  <c:v>95.4544303797468</c:v>
                </c:pt>
                <c:pt idx="74">
                  <c:v>96.5520253164557</c:v>
                </c:pt>
                <c:pt idx="75">
                  <c:v>97.6496202531645</c:v>
                </c:pt>
                <c:pt idx="76">
                  <c:v>98.7472151898734</c:v>
                </c:pt>
                <c:pt idx="77">
                  <c:v>99.8448101265823</c:v>
                </c:pt>
                <c:pt idx="78">
                  <c:v>100.942405063291</c:v>
                </c:pt>
                <c:pt idx="79">
                  <c:v>102.04</c:v>
                </c:pt>
                <c:pt idx="80">
                  <c:v>103.137594936709</c:v>
                </c:pt>
                <c:pt idx="81">
                  <c:v>104.235189873418</c:v>
                </c:pt>
                <c:pt idx="82">
                  <c:v>105.332784810127</c:v>
                </c:pt>
                <c:pt idx="83">
                  <c:v>106.430379746835</c:v>
                </c:pt>
                <c:pt idx="84">
                  <c:v>107.527974683544</c:v>
                </c:pt>
                <c:pt idx="85">
                  <c:v>108.625569620253</c:v>
                </c:pt>
                <c:pt idx="86">
                  <c:v>109.723164556962</c:v>
                </c:pt>
                <c:pt idx="87">
                  <c:v>110.820759493671</c:v>
                </c:pt>
                <c:pt idx="88">
                  <c:v>111.91835443038</c:v>
                </c:pt>
                <c:pt idx="89">
                  <c:v>113.015949367089</c:v>
                </c:pt>
                <c:pt idx="90">
                  <c:v>114.113544303797</c:v>
                </c:pt>
                <c:pt idx="91">
                  <c:v>115.211139240506</c:v>
                </c:pt>
                <c:pt idx="92">
                  <c:v>116.308734177215</c:v>
                </c:pt>
                <c:pt idx="93">
                  <c:v>117.406329113924</c:v>
                </c:pt>
                <c:pt idx="94">
                  <c:v>118.503924050633</c:v>
                </c:pt>
                <c:pt idx="95">
                  <c:v>119.601518987342</c:v>
                </c:pt>
                <c:pt idx="96">
                  <c:v>120.699113924051</c:v>
                </c:pt>
                <c:pt idx="97">
                  <c:v>121.796708860759</c:v>
                </c:pt>
                <c:pt idx="98">
                  <c:v>122.894303797468</c:v>
                </c:pt>
                <c:pt idx="99">
                  <c:v>123.991898734177</c:v>
                </c:pt>
                <c:pt idx="100">
                  <c:v>125.089493670886</c:v>
                </c:pt>
                <c:pt idx="101">
                  <c:v>126.187088607595</c:v>
                </c:pt>
                <c:pt idx="102">
                  <c:v>127.284683544304</c:v>
                </c:pt>
                <c:pt idx="103">
                  <c:v>128.382278481013</c:v>
                </c:pt>
                <c:pt idx="104">
                  <c:v>129.479873417722</c:v>
                </c:pt>
                <c:pt idx="105">
                  <c:v>130.57746835443</c:v>
                </c:pt>
                <c:pt idx="106">
                  <c:v>131.675063291139</c:v>
                </c:pt>
                <c:pt idx="107">
                  <c:v>132.772658227848</c:v>
                </c:pt>
                <c:pt idx="108">
                  <c:v>133.870253164557</c:v>
                </c:pt>
                <c:pt idx="109">
                  <c:v>134.967848101266</c:v>
                </c:pt>
                <c:pt idx="110">
                  <c:v>136.065443037975</c:v>
                </c:pt>
                <c:pt idx="111">
                  <c:v>137.163037974684</c:v>
                </c:pt>
                <c:pt idx="112">
                  <c:v>138.260632911392</c:v>
                </c:pt>
                <c:pt idx="113">
                  <c:v>139.358227848101</c:v>
                </c:pt>
                <c:pt idx="114">
                  <c:v>140.45582278481</c:v>
                </c:pt>
                <c:pt idx="115">
                  <c:v>141.553417721519</c:v>
                </c:pt>
                <c:pt idx="116">
                  <c:v>142.651012658228</c:v>
                </c:pt>
                <c:pt idx="117">
                  <c:v>143.748607594937</c:v>
                </c:pt>
                <c:pt idx="118">
                  <c:v>144.846202531646</c:v>
                </c:pt>
                <c:pt idx="119">
                  <c:v>145.943797468354</c:v>
                </c:pt>
                <c:pt idx="120">
                  <c:v>147.041392405063</c:v>
                </c:pt>
                <c:pt idx="121">
                  <c:v>148.138987341772</c:v>
                </c:pt>
                <c:pt idx="122">
                  <c:v>149.236582278481</c:v>
                </c:pt>
                <c:pt idx="123">
                  <c:v>150.33417721519</c:v>
                </c:pt>
                <c:pt idx="124">
                  <c:v>151.431772151899</c:v>
                </c:pt>
                <c:pt idx="125">
                  <c:v>152.529367088608</c:v>
                </c:pt>
                <c:pt idx="126">
                  <c:v>153.626962025316</c:v>
                </c:pt>
                <c:pt idx="127">
                  <c:v>154.724556962025</c:v>
                </c:pt>
                <c:pt idx="128">
                  <c:v>155.822151898734</c:v>
                </c:pt>
                <c:pt idx="129">
                  <c:v>156.919746835443</c:v>
                </c:pt>
                <c:pt idx="130">
                  <c:v>158.017341772152</c:v>
                </c:pt>
                <c:pt idx="131">
                  <c:v>159.114936708861</c:v>
                </c:pt>
                <c:pt idx="132">
                  <c:v>160.21253164557</c:v>
                </c:pt>
                <c:pt idx="133">
                  <c:v>161.310126582278</c:v>
                </c:pt>
                <c:pt idx="134">
                  <c:v>162.407721518987</c:v>
                </c:pt>
                <c:pt idx="135">
                  <c:v>163.505316455696</c:v>
                </c:pt>
                <c:pt idx="136">
                  <c:v>164.602911392405</c:v>
                </c:pt>
                <c:pt idx="137">
                  <c:v>165.700506329114</c:v>
                </c:pt>
                <c:pt idx="138">
                  <c:v>166.798101265823</c:v>
                </c:pt>
                <c:pt idx="139">
                  <c:v>167.895696202532</c:v>
                </c:pt>
                <c:pt idx="140">
                  <c:v>168.993291139241</c:v>
                </c:pt>
                <c:pt idx="141">
                  <c:v>170.090886075949</c:v>
                </c:pt>
                <c:pt idx="142">
                  <c:v>171.188481012658</c:v>
                </c:pt>
                <c:pt idx="143">
                  <c:v>172.286075949367</c:v>
                </c:pt>
                <c:pt idx="144">
                  <c:v>173.383670886076</c:v>
                </c:pt>
                <c:pt idx="145">
                  <c:v>174.481265822785</c:v>
                </c:pt>
                <c:pt idx="146">
                  <c:v>175.578860759494</c:v>
                </c:pt>
                <c:pt idx="147">
                  <c:v>176.676455696203</c:v>
                </c:pt>
                <c:pt idx="148">
                  <c:v>177.774050632911</c:v>
                </c:pt>
                <c:pt idx="149">
                  <c:v>178.87164556962</c:v>
                </c:pt>
                <c:pt idx="150">
                  <c:v>179.969240506329</c:v>
                </c:pt>
                <c:pt idx="151">
                  <c:v>181.066835443038</c:v>
                </c:pt>
                <c:pt idx="152">
                  <c:v>182.164430379747</c:v>
                </c:pt>
                <c:pt idx="153">
                  <c:v>183.262025316456</c:v>
                </c:pt>
                <c:pt idx="154">
                  <c:v>184.359620253165</c:v>
                </c:pt>
                <c:pt idx="155">
                  <c:v>185.457215189873</c:v>
                </c:pt>
                <c:pt idx="156">
                  <c:v>186.554810126582</c:v>
                </c:pt>
                <c:pt idx="157">
                  <c:v>187.652405063291</c:v>
                </c:pt>
                <c:pt idx="158">
                  <c:v>188.75</c:v>
                </c:pt>
                <c:pt idx="159">
                  <c:v>189.847594936709</c:v>
                </c:pt>
              </c:numCache>
            </c:numRef>
          </c:val>
          <c:smooth val="0"/>
        </c:ser>
        <c:hiLowLines>
          <c:spPr>
            <a:ln w="0">
              <a:noFill/>
            </a:ln>
          </c:spPr>
        </c:hiLowLines>
        <c:marker val="0"/>
        <c:axId val="56057766"/>
        <c:axId val="5631027"/>
      </c:lineChart>
      <c:dateAx>
        <c:axId val="7522061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114359"/>
        <c:auto val="1"/>
        <c:lblOffset val="100"/>
        <c:baseTimeUnit val="days"/>
      </c:dateAx>
      <c:valAx>
        <c:axId val="9911435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220610"/>
        <c:crosses val="autoZero"/>
        <c:crossBetween val="between"/>
      </c:valAx>
      <c:dateAx>
        <c:axId val="5605776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31027"/>
        <c:auto val="1"/>
        <c:lblOffset val="100"/>
        <c:baseTimeUnit val="days"/>
      </c:dateAx>
      <c:valAx>
        <c:axId val="563102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05776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(Calc)'!$L$3:$L$500</c:f>
              <c:numCache>
                <c:formatCode>0.0%</c:formatCode>
                <c:ptCount val="498"/>
                <c:pt idx="0">
                  <c:v>-0.040466472303207</c:v>
                </c:pt>
                <c:pt idx="1">
                  <c:v>0.0147058823529411</c:v>
                </c:pt>
                <c:pt idx="2">
                  <c:v>0.0275482093663912</c:v>
                </c:pt>
                <c:pt idx="3">
                  <c:v>0.0131716983331389</c:v>
                </c:pt>
                <c:pt idx="4">
                  <c:v>0.00931891394385653</c:v>
                </c:pt>
                <c:pt idx="5">
                  <c:v>-0.0582468938789468</c:v>
                </c:pt>
                <c:pt idx="6">
                  <c:v>0.0674170902929072</c:v>
                </c:pt>
                <c:pt idx="7">
                  <c:v>0.061571606758136</c:v>
                </c:pt>
                <c:pt idx="8">
                  <c:v>0.022003845332194</c:v>
                </c:pt>
                <c:pt idx="9">
                  <c:v>-0.0175585284280937</c:v>
                </c:pt>
                <c:pt idx="10">
                  <c:v>0.00734042553191494</c:v>
                </c:pt>
                <c:pt idx="11">
                  <c:v>0.0182701446826488</c:v>
                </c:pt>
                <c:pt idx="12">
                  <c:v>0.0266542211159511</c:v>
                </c:pt>
                <c:pt idx="13">
                  <c:v>0.00585917769471656</c:v>
                </c:pt>
                <c:pt idx="14">
                  <c:v>0.00833584412975807</c:v>
                </c:pt>
                <c:pt idx="15">
                  <c:v>-0.0422310756972113</c:v>
                </c:pt>
                <c:pt idx="16">
                  <c:v>0.0163269550748753</c:v>
                </c:pt>
                <c:pt idx="17">
                  <c:v>0.128005730072649</c:v>
                </c:pt>
                <c:pt idx="18">
                  <c:v>0.0268505079825836</c:v>
                </c:pt>
                <c:pt idx="19">
                  <c:v>-0.0128975265017669</c:v>
                </c:pt>
                <c:pt idx="20">
                  <c:v>0.149991050653302</c:v>
                </c:pt>
                <c:pt idx="21">
                  <c:v>-0.0482490272373541</c:v>
                </c:pt>
                <c:pt idx="22">
                  <c:v>0.0224039247751431</c:v>
                </c:pt>
                <c:pt idx="23">
                  <c:v>0.0337492002559179</c:v>
                </c:pt>
                <c:pt idx="24">
                  <c:v>0.0931455980194957</c:v>
                </c:pt>
                <c:pt idx="25">
                  <c:v>-0.0641896673743809</c:v>
                </c:pt>
                <c:pt idx="26">
                  <c:v>0.0301746956061408</c:v>
                </c:pt>
                <c:pt idx="27">
                  <c:v>-0.0319336367640581</c:v>
                </c:pt>
                <c:pt idx="28">
                  <c:v>0.0389777811481002</c:v>
                </c:pt>
                <c:pt idx="29">
                  <c:v>0.00824757316984148</c:v>
                </c:pt>
                <c:pt idx="30">
                  <c:v>-0.104024902273056</c:v>
                </c:pt>
                <c:pt idx="31">
                  <c:v>0.0830572836713259</c:v>
                </c:pt>
                <c:pt idx="32">
                  <c:v>0.023573293547184</c:v>
                </c:pt>
                <c:pt idx="33">
                  <c:v>0.0543692150717876</c:v>
                </c:pt>
                <c:pt idx="34">
                  <c:v>0.0162438653487249</c:v>
                </c:pt>
                <c:pt idx="35">
                  <c:v>0.054822473132907</c:v>
                </c:pt>
                <c:pt idx="36">
                  <c:v>-0.055971111684292</c:v>
                </c:pt>
                <c:pt idx="37">
                  <c:v>0.0883879781420764</c:v>
                </c:pt>
                <c:pt idx="38">
                  <c:v>0.0526547006401406</c:v>
                </c:pt>
                <c:pt idx="39">
                  <c:v>0.00840636737614031</c:v>
                </c:pt>
                <c:pt idx="40">
                  <c:v>-0.000827716684403401</c:v>
                </c:pt>
                <c:pt idx="41">
                  <c:v>0.0585798816568048</c:v>
                </c:pt>
                <c:pt idx="42">
                  <c:v>0.0182224706539966</c:v>
                </c:pt>
                <c:pt idx="43">
                  <c:v>-0.115173473869126</c:v>
                </c:pt>
                <c:pt idx="44">
                  <c:v>-0.0230797865740167</c:v>
                </c:pt>
                <c:pt idx="45">
                  <c:v>-0.0746221262542868</c:v>
                </c:pt>
                <c:pt idx="46">
                  <c:v>0.115160249811269</c:v>
                </c:pt>
                <c:pt idx="47">
                  <c:v>0.0444335036002215</c:v>
                </c:pt>
                <c:pt idx="48">
                  <c:v>-0.0186789228684227</c:v>
                </c:pt>
                <c:pt idx="49">
                  <c:v>0.00246187102197659</c:v>
                </c:pt>
                <c:pt idx="50">
                  <c:v>-0.0866726564839773</c:v>
                </c:pt>
                <c:pt idx="51">
                  <c:v>0.104013641133264</c:v>
                </c:pt>
                <c:pt idx="52">
                  <c:v>0.00920755613639046</c:v>
                </c:pt>
                <c:pt idx="53">
                  <c:v>0.0223085525928544</c:v>
                </c:pt>
                <c:pt idx="54">
                  <c:v>0.0179640718562875</c:v>
                </c:pt>
                <c:pt idx="55">
                  <c:v>0.0532239819004525</c:v>
                </c:pt>
                <c:pt idx="56">
                  <c:v>0.0522528328231566</c:v>
                </c:pt>
                <c:pt idx="57">
                  <c:v>0.0132693681739309</c:v>
                </c:pt>
                <c:pt idx="58">
                  <c:v>-0.0515765085121385</c:v>
                </c:pt>
                <c:pt idx="59">
                  <c:v>0.0427509293680297</c:v>
                </c:pt>
                <c:pt idx="60">
                  <c:v>-0.0754774637127578</c:v>
                </c:pt>
                <c:pt idx="61">
                  <c:v>0.0218696634165152</c:v>
                </c:pt>
                <c:pt idx="62">
                  <c:v>-0.0285175202156334</c:v>
                </c:pt>
                <c:pt idx="63">
                  <c:v>0.0994395427556738</c:v>
                </c:pt>
                <c:pt idx="64">
                  <c:v>-0.00686418008378331</c:v>
                </c:pt>
                <c:pt idx="65">
                  <c:v>-0.0188036794226764</c:v>
                </c:pt>
                <c:pt idx="66">
                  <c:v>0.0224270989796447</c:v>
                </c:pt>
                <c:pt idx="67">
                  <c:v>0.0345997973657548</c:v>
                </c:pt>
                <c:pt idx="68">
                  <c:v>-0.00112618126621944</c:v>
                </c:pt>
                <c:pt idx="69">
                  <c:v>0.0149999999999999</c:v>
                </c:pt>
                <c:pt idx="70">
                  <c:v>0.0490679030232784</c:v>
                </c:pt>
                <c:pt idx="71">
                  <c:v>-0.0565785839241322</c:v>
                </c:pt>
                <c:pt idx="72">
                  <c:v>-0.0153223051773778</c:v>
                </c:pt>
                <c:pt idx="73">
                  <c:v>-0.0107537539025719</c:v>
                </c:pt>
                <c:pt idx="74">
                  <c:v>-0.0277527301873559</c:v>
                </c:pt>
                <c:pt idx="75">
                  <c:v>-0.0893446001648804</c:v>
                </c:pt>
                <c:pt idx="76">
                  <c:v>-0.0190109765757611</c:v>
                </c:pt>
                <c:pt idx="77">
                  <c:v>-0.0169569731226208</c:v>
                </c:pt>
                <c:pt idx="78">
                  <c:v>0.01906829382774</c:v>
                </c:pt>
                <c:pt idx="79">
                  <c:v>-0.0649432897691289</c:v>
                </c:pt>
                <c:pt idx="80">
                  <c:v>-0.111631057200911</c:v>
                </c:pt>
                <c:pt idx="81">
                  <c:v>0.0700027723870251</c:v>
                </c:pt>
                <c:pt idx="82">
                  <c:v>-0.0340069957248348</c:v>
                </c:pt>
                <c:pt idx="83">
                  <c:v>0.0880439884664386</c:v>
                </c:pt>
                <c:pt idx="84">
                  <c:v>0.0859115000616295</c:v>
                </c:pt>
                <c:pt idx="85">
                  <c:v>-0.0153802497162314</c:v>
                </c:pt>
                <c:pt idx="86">
                  <c:v>0.100236324860222</c:v>
                </c:pt>
                <c:pt idx="87">
                  <c:v>-0.0115255658005029</c:v>
                </c:pt>
                <c:pt idx="88">
                  <c:v>0.00699597201611191</c:v>
                </c:pt>
                <c:pt idx="89">
                  <c:v>0.0613684210526315</c:v>
                </c:pt>
                <c:pt idx="90">
                  <c:v>0.0325795894079144</c:v>
                </c:pt>
                <c:pt idx="91">
                  <c:v>-0.00753973971089661</c:v>
                </c:pt>
                <c:pt idx="92">
                  <c:v>0.0909706764734346</c:v>
                </c:pt>
                <c:pt idx="93">
                  <c:v>0.0272775658653419</c:v>
                </c:pt>
                <c:pt idx="94">
                  <c:v>-0.0187383964422952</c:v>
                </c:pt>
                <c:pt idx="95">
                  <c:v>0.0433845206142474</c:v>
                </c:pt>
                <c:pt idx="96">
                  <c:v>0.0216337030320921</c:v>
                </c:pt>
                <c:pt idx="97">
                  <c:v>-0.0423099149673905</c:v>
                </c:pt>
                <c:pt idx="98">
                  <c:v>0.0281453385629931</c:v>
                </c:pt>
                <c:pt idx="99">
                  <c:v>-0.0121992118722227</c:v>
                </c:pt>
                <c:pt idx="100">
                  <c:v>-0.0246573017018207</c:v>
                </c:pt>
                <c:pt idx="101">
                  <c:v>-0.00909407362283532</c:v>
                </c:pt>
                <c:pt idx="102">
                  <c:v>0.0543187107539631</c:v>
                </c:pt>
                <c:pt idx="103">
                  <c:v>0.0654310703873386</c:v>
                </c:pt>
                <c:pt idx="104">
                  <c:v>0.0245885618232282</c:v>
                </c:pt>
                <c:pt idx="105">
                  <c:v>0.0320488363220144</c:v>
                </c:pt>
                <c:pt idx="106">
                  <c:v>0.0688724584103513</c:v>
                </c:pt>
                <c:pt idx="107">
                  <c:v>-0.0394632172379206</c:v>
                </c:pt>
                <c:pt idx="108">
                  <c:v>0.0513826875990204</c:v>
                </c:pt>
                <c:pt idx="109">
                  <c:v>-0.000410972978526658</c:v>
                </c:pt>
                <c:pt idx="110">
                  <c:v>0.0185356494329667</c:v>
                </c:pt>
                <c:pt idx="111">
                  <c:v>-0.046353606027987</c:v>
                </c:pt>
                <c:pt idx="112">
                  <c:v>-0.0058553791887126</c:v>
                </c:pt>
                <c:pt idx="113">
                  <c:v>-0.0342747658245812</c:v>
                </c:pt>
                <c:pt idx="114">
                  <c:v>0.059813358806672</c:v>
                </c:pt>
                <c:pt idx="115">
                  <c:v>0.0109893919434239</c:v>
                </c:pt>
                <c:pt idx="116">
                  <c:v>-0.00641223468093133</c:v>
                </c:pt>
                <c:pt idx="117">
                  <c:v>-0.0105604638321369</c:v>
                </c:pt>
                <c:pt idx="118">
                  <c:v>0.0480641785838858</c:v>
                </c:pt>
                <c:pt idx="119">
                  <c:v>0.0553780617678381</c:v>
                </c:pt>
                <c:pt idx="120">
                  <c:v>0.0125819878910192</c:v>
                </c:pt>
                <c:pt idx="121">
                  <c:v>0.0579863598143939</c:v>
                </c:pt>
                <c:pt idx="122">
                  <c:v>-0.0219880493332941</c:v>
                </c:pt>
                <c:pt idx="123">
                  <c:v>-0.0128814783603202</c:v>
                </c:pt>
                <c:pt idx="124">
                  <c:v>0.0553387401670833</c:v>
                </c:pt>
                <c:pt idx="125">
                  <c:v>0.050183457082599</c:v>
                </c:pt>
                <c:pt idx="126">
                  <c:v>0.0114167812929848</c:v>
                </c:pt>
                <c:pt idx="127">
                  <c:v>0.0109071127430982</c:v>
                </c:pt>
                <c:pt idx="128">
                  <c:v>-0.0952752515740193</c:v>
                </c:pt>
                <c:pt idx="129">
                  <c:v>-0.00172490706319695</c:v>
                </c:pt>
                <c:pt idx="130">
                  <c:v>-0.0240712604641464</c:v>
                </c:pt>
                <c:pt idx="131">
                  <c:v>-0.00760096462040949</c:v>
                </c:pt>
                <c:pt idx="132">
                  <c:v>0.0376499538603505</c:v>
                </c:pt>
                <c:pt idx="133">
                  <c:v>0.0930811644038656</c:v>
                </c:pt>
                <c:pt idx="134">
                  <c:v>-0.0002440744155775</c:v>
                </c:pt>
                <c:pt idx="135">
                  <c:v>0.0862606808626067</c:v>
                </c:pt>
                <c:pt idx="136">
                  <c:v>-0.011911599450618</c:v>
                </c:pt>
                <c:pt idx="137">
                  <c:v>0.0352304892842701</c:v>
                </c:pt>
                <c:pt idx="138">
                  <c:v>-0.0177969825692106</c:v>
                </c:pt>
                <c:pt idx="139">
                  <c:v>0.000422538712002707</c:v>
                </c:pt>
                <c:pt idx="140">
                  <c:v>0.0344347826086957</c:v>
                </c:pt>
                <c:pt idx="141">
                  <c:v>-0.00785378038236151</c:v>
                </c:pt>
                <c:pt idx="142">
                  <c:v>0.0235057735602413</c:v>
                </c:pt>
                <c:pt idx="143">
                  <c:v>0.0900662251655628</c:v>
                </c:pt>
                <c:pt idx="144">
                  <c:v>-0.0644202395417463</c:v>
                </c:pt>
                <c:pt idx="145">
                  <c:v>0.0041976854750807</c:v>
                </c:pt>
                <c:pt idx="146">
                  <c:v>-0.000115473441108627</c:v>
                </c:pt>
                <c:pt idx="147">
                  <c:v>-0.0823420718327751</c:v>
                </c:pt>
                <c:pt idx="148">
                  <c:v>0.0126604580921217</c:v>
                </c:pt>
                <c:pt idx="149">
                  <c:v>0.00208783834165982</c:v>
                </c:pt>
                <c:pt idx="150">
                  <c:v>0.0390654066522806</c:v>
                </c:pt>
                <c:pt idx="151">
                  <c:v>0.0150147999618064</c:v>
                </c:pt>
                <c:pt idx="152">
                  <c:v>-0.0173561299122786</c:v>
                </c:pt>
                <c:pt idx="153">
                  <c:v>-0.00342244453485874</c:v>
                </c:pt>
                <c:pt idx="154">
                  <c:v>0.0272814601344862</c:v>
                </c:pt>
                <c:pt idx="155">
                  <c:v>0.0100991210024313</c:v>
                </c:pt>
                <c:pt idx="156">
                  <c:v>0.00599426032216255</c:v>
                </c:pt>
                <c:pt idx="157">
                  <c:v>0.0366714979179608</c:v>
                </c:pt>
                <c:pt idx="158">
                  <c:v>0.0491999733694324</c:v>
                </c:pt>
              </c:numCache>
            </c:numRef>
          </c:val>
        </c:ser>
        <c:gapWidth val="150"/>
        <c:overlap val="0"/>
        <c:axId val="83137377"/>
        <c:axId val="29537672"/>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(Calc)'!$AG$3:$AG$500</c:f>
              <c:numCache>
                <c:formatCode>#,##0.00</c:formatCode>
                <c:ptCount val="498"/>
                <c:pt idx="0">
                  <c:v>85.75</c:v>
                </c:pt>
                <c:pt idx="1">
                  <c:v>88.1995569620253</c:v>
                </c:pt>
                <c:pt idx="2">
                  <c:v>90.6491139240506</c:v>
                </c:pt>
                <c:pt idx="3">
                  <c:v>93.098670886076</c:v>
                </c:pt>
                <c:pt idx="4">
                  <c:v>95.5482278481013</c:v>
                </c:pt>
                <c:pt idx="5">
                  <c:v>97.9977848101266</c:v>
                </c:pt>
                <c:pt idx="6">
                  <c:v>100.447341772152</c:v>
                </c:pt>
                <c:pt idx="7">
                  <c:v>102.896898734177</c:v>
                </c:pt>
                <c:pt idx="8">
                  <c:v>105.346455696203</c:v>
                </c:pt>
                <c:pt idx="9">
                  <c:v>107.796012658228</c:v>
                </c:pt>
                <c:pt idx="10">
                  <c:v>110.245569620253</c:v>
                </c:pt>
                <c:pt idx="11">
                  <c:v>112.695126582278</c:v>
                </c:pt>
                <c:pt idx="12">
                  <c:v>115.144683544304</c:v>
                </c:pt>
                <c:pt idx="13">
                  <c:v>117.594240506329</c:v>
                </c:pt>
                <c:pt idx="14">
                  <c:v>120.043797468354</c:v>
                </c:pt>
                <c:pt idx="15">
                  <c:v>122.49335443038</c:v>
                </c:pt>
                <c:pt idx="16">
                  <c:v>124.942911392405</c:v>
                </c:pt>
                <c:pt idx="17">
                  <c:v>127.39246835443</c:v>
                </c:pt>
                <c:pt idx="18">
                  <c:v>129.842025316456</c:v>
                </c:pt>
                <c:pt idx="19">
                  <c:v>132.291582278481</c:v>
                </c:pt>
                <c:pt idx="20">
                  <c:v>134.741139240506</c:v>
                </c:pt>
                <c:pt idx="21">
                  <c:v>137.190696202532</c:v>
                </c:pt>
                <c:pt idx="22">
                  <c:v>139.640253164557</c:v>
                </c:pt>
                <c:pt idx="23">
                  <c:v>142.089810126582</c:v>
                </c:pt>
                <c:pt idx="24">
                  <c:v>144.539367088608</c:v>
                </c:pt>
                <c:pt idx="25">
                  <c:v>146.988924050633</c:v>
                </c:pt>
                <c:pt idx="26">
                  <c:v>149.438481012658</c:v>
                </c:pt>
                <c:pt idx="27">
                  <c:v>151.888037974684</c:v>
                </c:pt>
                <c:pt idx="28">
                  <c:v>154.337594936709</c:v>
                </c:pt>
                <c:pt idx="29">
                  <c:v>156.787151898734</c:v>
                </c:pt>
                <c:pt idx="30">
                  <c:v>159.23670886076</c:v>
                </c:pt>
                <c:pt idx="31">
                  <c:v>161.686265822785</c:v>
                </c:pt>
                <c:pt idx="32">
                  <c:v>164.13582278481</c:v>
                </c:pt>
                <c:pt idx="33">
                  <c:v>166.585379746835</c:v>
                </c:pt>
                <c:pt idx="34">
                  <c:v>169.034936708861</c:v>
                </c:pt>
                <c:pt idx="35">
                  <c:v>171.484493670886</c:v>
                </c:pt>
                <c:pt idx="36">
                  <c:v>173.934050632911</c:v>
                </c:pt>
                <c:pt idx="37">
                  <c:v>176.383607594937</c:v>
                </c:pt>
                <c:pt idx="38">
                  <c:v>178.833164556962</c:v>
                </c:pt>
                <c:pt idx="39">
                  <c:v>181.282721518987</c:v>
                </c:pt>
                <c:pt idx="40">
                  <c:v>183.732278481013</c:v>
                </c:pt>
                <c:pt idx="41">
                  <c:v>186.181835443038</c:v>
                </c:pt>
                <c:pt idx="42">
                  <c:v>188.631392405063</c:v>
                </c:pt>
                <c:pt idx="43">
                  <c:v>191.080949367089</c:v>
                </c:pt>
                <c:pt idx="44">
                  <c:v>193.530506329114</c:v>
                </c:pt>
                <c:pt idx="45">
                  <c:v>195.980063291139</c:v>
                </c:pt>
                <c:pt idx="46">
                  <c:v>198.429620253165</c:v>
                </c:pt>
                <c:pt idx="47">
                  <c:v>200.87917721519</c:v>
                </c:pt>
                <c:pt idx="48">
                  <c:v>203.328734177215</c:v>
                </c:pt>
                <c:pt idx="49">
                  <c:v>205.77829113924</c:v>
                </c:pt>
                <c:pt idx="50">
                  <c:v>208.227848101266</c:v>
                </c:pt>
                <c:pt idx="51">
                  <c:v>210.677405063291</c:v>
                </c:pt>
                <c:pt idx="52">
                  <c:v>213.126962025316</c:v>
                </c:pt>
                <c:pt idx="53">
                  <c:v>215.576518987342</c:v>
                </c:pt>
                <c:pt idx="54">
                  <c:v>218.026075949367</c:v>
                </c:pt>
                <c:pt idx="55">
                  <c:v>220.475632911392</c:v>
                </c:pt>
                <c:pt idx="56">
                  <c:v>222.925189873418</c:v>
                </c:pt>
                <c:pt idx="57">
                  <c:v>225.374746835443</c:v>
                </c:pt>
                <c:pt idx="58">
                  <c:v>227.824303797468</c:v>
                </c:pt>
                <c:pt idx="59">
                  <c:v>230.273860759494</c:v>
                </c:pt>
                <c:pt idx="60">
                  <c:v>232.723417721519</c:v>
                </c:pt>
                <c:pt idx="61">
                  <c:v>235.172974683544</c:v>
                </c:pt>
                <c:pt idx="62">
                  <c:v>237.62253164557</c:v>
                </c:pt>
                <c:pt idx="63">
                  <c:v>240.072088607595</c:v>
                </c:pt>
                <c:pt idx="64">
                  <c:v>242.52164556962</c:v>
                </c:pt>
                <c:pt idx="65">
                  <c:v>244.971202531646</c:v>
                </c:pt>
                <c:pt idx="66">
                  <c:v>247.420759493671</c:v>
                </c:pt>
                <c:pt idx="67">
                  <c:v>249.870316455696</c:v>
                </c:pt>
                <c:pt idx="68">
                  <c:v>252.319873417722</c:v>
                </c:pt>
                <c:pt idx="69">
                  <c:v>254.769430379747</c:v>
                </c:pt>
                <c:pt idx="70">
                  <c:v>257.218987341772</c:v>
                </c:pt>
                <c:pt idx="71">
                  <c:v>259.668544303798</c:v>
                </c:pt>
                <c:pt idx="72">
                  <c:v>262.118101265823</c:v>
                </c:pt>
                <c:pt idx="73">
                  <c:v>264.567658227848</c:v>
                </c:pt>
                <c:pt idx="74">
                  <c:v>267.017215189873</c:v>
                </c:pt>
                <c:pt idx="75">
                  <c:v>269.466772151899</c:v>
                </c:pt>
                <c:pt idx="76">
                  <c:v>271.916329113924</c:v>
                </c:pt>
                <c:pt idx="77">
                  <c:v>274.365886075949</c:v>
                </c:pt>
                <c:pt idx="78">
                  <c:v>276.815443037975</c:v>
                </c:pt>
                <c:pt idx="79">
                  <c:v>279.265</c:v>
                </c:pt>
                <c:pt idx="80">
                  <c:v>281.714556962025</c:v>
                </c:pt>
                <c:pt idx="81">
                  <c:v>284.164113924051</c:v>
                </c:pt>
                <c:pt idx="82">
                  <c:v>286.613670886076</c:v>
                </c:pt>
                <c:pt idx="83">
                  <c:v>289.063227848101</c:v>
                </c:pt>
                <c:pt idx="84">
                  <c:v>291.512784810127</c:v>
                </c:pt>
                <c:pt idx="85">
                  <c:v>293.962341772152</c:v>
                </c:pt>
                <c:pt idx="86">
                  <c:v>296.411898734177</c:v>
                </c:pt>
                <c:pt idx="87">
                  <c:v>298.861455696203</c:v>
                </c:pt>
                <c:pt idx="88">
                  <c:v>301.311012658228</c:v>
                </c:pt>
                <c:pt idx="89">
                  <c:v>303.760569620253</c:v>
                </c:pt>
                <c:pt idx="90">
                  <c:v>306.210126582278</c:v>
                </c:pt>
                <c:pt idx="91">
                  <c:v>308.659683544304</c:v>
                </c:pt>
                <c:pt idx="92">
                  <c:v>311.109240506329</c:v>
                </c:pt>
                <c:pt idx="93">
                  <c:v>313.558797468354</c:v>
                </c:pt>
                <c:pt idx="94">
                  <c:v>316.00835443038</c:v>
                </c:pt>
                <c:pt idx="95">
                  <c:v>318.457911392405</c:v>
                </c:pt>
                <c:pt idx="96">
                  <c:v>320.90746835443</c:v>
                </c:pt>
                <c:pt idx="97">
                  <c:v>323.357025316456</c:v>
                </c:pt>
                <c:pt idx="98">
                  <c:v>325.806582278481</c:v>
                </c:pt>
                <c:pt idx="99">
                  <c:v>328.256139240506</c:v>
                </c:pt>
                <c:pt idx="100">
                  <c:v>330.705696202532</c:v>
                </c:pt>
                <c:pt idx="101">
                  <c:v>333.155253164557</c:v>
                </c:pt>
                <c:pt idx="102">
                  <c:v>335.604810126582</c:v>
                </c:pt>
                <c:pt idx="103">
                  <c:v>338.054367088608</c:v>
                </c:pt>
                <c:pt idx="104">
                  <c:v>340.503924050633</c:v>
                </c:pt>
                <c:pt idx="105">
                  <c:v>342.953481012658</c:v>
                </c:pt>
                <c:pt idx="106">
                  <c:v>345.403037974684</c:v>
                </c:pt>
                <c:pt idx="107">
                  <c:v>347.852594936709</c:v>
                </c:pt>
                <c:pt idx="108">
                  <c:v>350.302151898734</c:v>
                </c:pt>
                <c:pt idx="109">
                  <c:v>352.75170886076</c:v>
                </c:pt>
                <c:pt idx="110">
                  <c:v>355.201265822785</c:v>
                </c:pt>
                <c:pt idx="111">
                  <c:v>357.65082278481</c:v>
                </c:pt>
                <c:pt idx="112">
                  <c:v>360.100379746836</c:v>
                </c:pt>
                <c:pt idx="113">
                  <c:v>362.549936708861</c:v>
                </c:pt>
                <c:pt idx="114">
                  <c:v>364.999493670886</c:v>
                </c:pt>
                <c:pt idx="115">
                  <c:v>367.449050632911</c:v>
                </c:pt>
                <c:pt idx="116">
                  <c:v>369.898607594937</c:v>
                </c:pt>
                <c:pt idx="117">
                  <c:v>372.348164556962</c:v>
                </c:pt>
                <c:pt idx="118">
                  <c:v>374.797721518987</c:v>
                </c:pt>
                <c:pt idx="119">
                  <c:v>377.247278481013</c:v>
                </c:pt>
                <c:pt idx="120">
                  <c:v>379.696835443038</c:v>
                </c:pt>
                <c:pt idx="121">
                  <c:v>382.146392405063</c:v>
                </c:pt>
                <c:pt idx="122">
                  <c:v>384.595949367089</c:v>
                </c:pt>
                <c:pt idx="123">
                  <c:v>387.045506329114</c:v>
                </c:pt>
                <c:pt idx="124">
                  <c:v>389.495063291139</c:v>
                </c:pt>
                <c:pt idx="125">
                  <c:v>391.944620253165</c:v>
                </c:pt>
                <c:pt idx="126">
                  <c:v>394.39417721519</c:v>
                </c:pt>
                <c:pt idx="127">
                  <c:v>396.843734177215</c:v>
                </c:pt>
                <c:pt idx="128">
                  <c:v>399.29329113924</c:v>
                </c:pt>
                <c:pt idx="129">
                  <c:v>401.742848101266</c:v>
                </c:pt>
                <c:pt idx="130">
                  <c:v>404.192405063291</c:v>
                </c:pt>
                <c:pt idx="131">
                  <c:v>406.641962025316</c:v>
                </c:pt>
                <c:pt idx="132">
                  <c:v>409.091518987342</c:v>
                </c:pt>
                <c:pt idx="133">
                  <c:v>411.541075949367</c:v>
                </c:pt>
                <c:pt idx="134">
                  <c:v>413.990632911392</c:v>
                </c:pt>
                <c:pt idx="135">
                  <c:v>416.440189873418</c:v>
                </c:pt>
                <c:pt idx="136">
                  <c:v>418.889746835443</c:v>
                </c:pt>
                <c:pt idx="137">
                  <c:v>421.339303797468</c:v>
                </c:pt>
                <c:pt idx="138">
                  <c:v>423.788860759494</c:v>
                </c:pt>
                <c:pt idx="139">
                  <c:v>426.238417721519</c:v>
                </c:pt>
                <c:pt idx="140">
                  <c:v>428.687974683544</c:v>
                </c:pt>
                <c:pt idx="141">
                  <c:v>431.13753164557</c:v>
                </c:pt>
                <c:pt idx="142">
                  <c:v>433.587088607595</c:v>
                </c:pt>
                <c:pt idx="143">
                  <c:v>436.03664556962</c:v>
                </c:pt>
                <c:pt idx="144">
                  <c:v>438.486202531646</c:v>
                </c:pt>
                <c:pt idx="145">
                  <c:v>440.935759493671</c:v>
                </c:pt>
                <c:pt idx="146">
                  <c:v>443.385316455696</c:v>
                </c:pt>
                <c:pt idx="147">
                  <c:v>445.834873417722</c:v>
                </c:pt>
                <c:pt idx="148">
                  <c:v>448.284430379747</c:v>
                </c:pt>
                <c:pt idx="149">
                  <c:v>450.733987341772</c:v>
                </c:pt>
                <c:pt idx="150">
                  <c:v>453.183544303797</c:v>
                </c:pt>
                <c:pt idx="151">
                  <c:v>455.633101265823</c:v>
                </c:pt>
                <c:pt idx="152">
                  <c:v>458.082658227848</c:v>
                </c:pt>
                <c:pt idx="153">
                  <c:v>460.532215189873</c:v>
                </c:pt>
                <c:pt idx="154">
                  <c:v>462.981772151899</c:v>
                </c:pt>
                <c:pt idx="155">
                  <c:v>465.431329113924</c:v>
                </c:pt>
                <c:pt idx="156">
                  <c:v>467.880886075949</c:v>
                </c:pt>
                <c:pt idx="157">
                  <c:v>470.330443037975</c:v>
                </c:pt>
                <c:pt idx="158">
                  <c:v>472.78</c:v>
                </c:pt>
                <c:pt idx="159">
                  <c:v>475.229556962025</c:v>
                </c:pt>
              </c:numCache>
            </c:numRef>
          </c:val>
          <c:smooth val="0"/>
        </c:ser>
        <c:hiLowLines>
          <c:spPr>
            <a:ln w="0">
              <a:noFill/>
            </a:ln>
          </c:spPr>
        </c:hiLowLines>
        <c:marker val="0"/>
        <c:axId val="93456691"/>
        <c:axId val="1001113"/>
      </c:lineChart>
      <c:dateAx>
        <c:axId val="8313737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537672"/>
        <c:auto val="1"/>
        <c:lblOffset val="100"/>
        <c:baseTimeUnit val="days"/>
      </c:dateAx>
      <c:valAx>
        <c:axId val="2953767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137377"/>
        <c:crosses val="autoZero"/>
        <c:crossBetween val="between"/>
      </c:valAx>
      <c:dateAx>
        <c:axId val="9345669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01113"/>
        <c:auto val="1"/>
        <c:lblOffset val="100"/>
        <c:baseTimeUnit val="days"/>
      </c:dateAx>
      <c:valAx>
        <c:axId val="100111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45669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(Calc)'!$M$3:$M$500</c:f>
              <c:numCache>
                <c:formatCode>0.0%</c:formatCode>
                <c:ptCount val="498"/>
                <c:pt idx="0">
                  <c:v>-0.0449763282482903</c:v>
                </c:pt>
                <c:pt idx="1">
                  <c:v>0.0206554668135499</c:v>
                </c:pt>
                <c:pt idx="2">
                  <c:v>0.0690771721532648</c:v>
                </c:pt>
                <c:pt idx="3">
                  <c:v>-0.0169106511862694</c:v>
                </c:pt>
                <c:pt idx="4">
                  <c:v>-0.0603337612323492</c:v>
                </c:pt>
                <c:pt idx="5">
                  <c:v>-0.00874316939890707</c:v>
                </c:pt>
                <c:pt idx="6">
                  <c:v>0.110253583241455</c:v>
                </c:pt>
                <c:pt idx="7">
                  <c:v>0.0345084409136047</c:v>
                </c:pt>
                <c:pt idx="8">
                  <c:v>0.0347972162227022</c:v>
                </c:pt>
                <c:pt idx="9">
                  <c:v>-0.0139146567717995</c:v>
                </c:pt>
                <c:pt idx="10">
                  <c:v>0.0576199435559737</c:v>
                </c:pt>
                <c:pt idx="11">
                  <c:v>0.0446964643095396</c:v>
                </c:pt>
                <c:pt idx="12">
                  <c:v>0.0125585355470415</c:v>
                </c:pt>
                <c:pt idx="13">
                  <c:v>0.0220727349169645</c:v>
                </c:pt>
                <c:pt idx="14">
                  <c:v>-0.0154257507198684</c:v>
                </c:pt>
                <c:pt idx="15">
                  <c:v>-0.0357217463964905</c:v>
                </c:pt>
                <c:pt idx="16">
                  <c:v>0.0693240901213172</c:v>
                </c:pt>
                <c:pt idx="17">
                  <c:v>0.0836709886547813</c:v>
                </c:pt>
                <c:pt idx="18">
                  <c:v>-0.00392596747055529</c:v>
                </c:pt>
                <c:pt idx="19">
                  <c:v>0.149962462462462</c:v>
                </c:pt>
                <c:pt idx="20">
                  <c:v>0.0332952505304391</c:v>
                </c:pt>
                <c:pt idx="21">
                  <c:v>-0.00868741115147698</c:v>
                </c:pt>
                <c:pt idx="22">
                  <c:v>-0.00430210325047797</c:v>
                </c:pt>
                <c:pt idx="23">
                  <c:v>0.125620099215874</c:v>
                </c:pt>
                <c:pt idx="24">
                  <c:v>-0.0170599943133353</c:v>
                </c:pt>
                <c:pt idx="25">
                  <c:v>0.068990454150998</c:v>
                </c:pt>
                <c:pt idx="26">
                  <c:v>0.112839940468137</c:v>
                </c:pt>
                <c:pt idx="27">
                  <c:v>-0.00996960486322185</c:v>
                </c:pt>
                <c:pt idx="28">
                  <c:v>0.0449465798845634</c:v>
                </c:pt>
                <c:pt idx="29">
                  <c:v>-0.0170407803502175</c:v>
                </c:pt>
                <c:pt idx="30">
                  <c:v>-0.105810616929699</c:v>
                </c:pt>
                <c:pt idx="31">
                  <c:v>0.246289610910549</c:v>
                </c:pt>
                <c:pt idx="32">
                  <c:v>-0.0051496620534276</c:v>
                </c:pt>
                <c:pt idx="33">
                  <c:v>0.0257737517523995</c:v>
                </c:pt>
                <c:pt idx="34">
                  <c:v>0.0147182506307821</c:v>
                </c:pt>
                <c:pt idx="35">
                  <c:v>0.0966639038541235</c:v>
                </c:pt>
                <c:pt idx="36">
                  <c:v>-0.0762399622106754</c:v>
                </c:pt>
                <c:pt idx="37">
                  <c:v>-0.105952137451422</c:v>
                </c:pt>
                <c:pt idx="38">
                  <c:v>0.0433539235872797</c:v>
                </c:pt>
                <c:pt idx="39">
                  <c:v>-0.00909987939918866</c:v>
                </c:pt>
                <c:pt idx="40">
                  <c:v>-0.0447001549015268</c:v>
                </c:pt>
                <c:pt idx="41">
                  <c:v>0.0601111883252259</c:v>
                </c:pt>
                <c:pt idx="42">
                  <c:v>-0.0229432972795804</c:v>
                </c:pt>
                <c:pt idx="43">
                  <c:v>-0.0486413955048642</c:v>
                </c:pt>
                <c:pt idx="44">
                  <c:v>-0.0960272684532205</c:v>
                </c:pt>
                <c:pt idx="45">
                  <c:v>-0.099336887270836</c:v>
                </c:pt>
                <c:pt idx="46">
                  <c:v>0.0288725277898081</c:v>
                </c:pt>
                <c:pt idx="47">
                  <c:v>0.111407324259857</c:v>
                </c:pt>
                <c:pt idx="48">
                  <c:v>-0.0109834616841307</c:v>
                </c:pt>
                <c:pt idx="49">
                  <c:v>0.0570589737043656</c:v>
                </c:pt>
                <c:pt idx="50">
                  <c:v>-0.135611641106147</c:v>
                </c:pt>
                <c:pt idx="51">
                  <c:v>0.194886839899413</c:v>
                </c:pt>
                <c:pt idx="52">
                  <c:v>0.102654039518298</c:v>
                </c:pt>
                <c:pt idx="53">
                  <c:v>0.0409288516594211</c:v>
                </c:pt>
                <c:pt idx="54">
                  <c:v>0.0690638687990222</c:v>
                </c:pt>
                <c:pt idx="55">
                  <c:v>0.0630776560266793</c:v>
                </c:pt>
                <c:pt idx="56">
                  <c:v>0.00367482298108812</c:v>
                </c:pt>
                <c:pt idx="57">
                  <c:v>-0.00071441328808719</c:v>
                </c:pt>
                <c:pt idx="58">
                  <c:v>-0.0470062555853441</c:v>
                </c:pt>
                <c:pt idx="59">
                  <c:v>0.17638784696174</c:v>
                </c:pt>
                <c:pt idx="60">
                  <c:v>-0.0388202471104026</c:v>
                </c:pt>
                <c:pt idx="61">
                  <c:v>0.159479183944269</c:v>
                </c:pt>
                <c:pt idx="62">
                  <c:v>-0.0895501037121808</c:v>
                </c:pt>
                <c:pt idx="63">
                  <c:v>0.0493361615209365</c:v>
                </c:pt>
                <c:pt idx="64">
                  <c:v>-0.060342891367822</c:v>
                </c:pt>
                <c:pt idx="65">
                  <c:v>-0.0455740578439965</c:v>
                </c:pt>
                <c:pt idx="66">
                  <c:v>-0.0410718757826196</c:v>
                </c:pt>
                <c:pt idx="67">
                  <c:v>0.0916688430399582</c:v>
                </c:pt>
                <c:pt idx="68">
                  <c:v>0.0259968102073365</c:v>
                </c:pt>
                <c:pt idx="69">
                  <c:v>0.0538628944504898</c:v>
                </c:pt>
                <c:pt idx="70">
                  <c:v>0.0768493251714728</c:v>
                </c:pt>
                <c:pt idx="71">
                  <c:v>-0.200260256146839</c:v>
                </c:pt>
                <c:pt idx="72">
                  <c:v>0.0372527190202965</c:v>
                </c:pt>
                <c:pt idx="73">
                  <c:v>-0.109808454425363</c:v>
                </c:pt>
                <c:pt idx="74">
                  <c:v>-0.111574846967167</c:v>
                </c:pt>
                <c:pt idx="75">
                  <c:v>-0.00856039252531582</c:v>
                </c:pt>
                <c:pt idx="76">
                  <c:v>-0.106454669895757</c:v>
                </c:pt>
                <c:pt idx="77">
                  <c:v>0.0283997171812396</c:v>
                </c:pt>
                <c:pt idx="78">
                  <c:v>0.0138650166151026</c:v>
                </c:pt>
                <c:pt idx="79">
                  <c:v>-0.162296564195298</c:v>
                </c:pt>
                <c:pt idx="80">
                  <c:v>-0.199811117107393</c:v>
                </c:pt>
                <c:pt idx="81">
                  <c:v>0.171640532793795</c:v>
                </c:pt>
                <c:pt idx="82">
                  <c:v>0.0518060152539934</c:v>
                </c:pt>
                <c:pt idx="83">
                  <c:v>0.187576959912437</c:v>
                </c:pt>
                <c:pt idx="84">
                  <c:v>0.0926267281105992</c:v>
                </c:pt>
                <c:pt idx="85">
                  <c:v>-0.00991142977646564</c:v>
                </c:pt>
                <c:pt idx="86">
                  <c:v>0.127369542066028</c:v>
                </c:pt>
                <c:pt idx="87">
                  <c:v>-0.0179482335159645</c:v>
                </c:pt>
                <c:pt idx="88">
                  <c:v>0.0364563293574451</c:v>
                </c:pt>
                <c:pt idx="89">
                  <c:v>0.068863109048724</c:v>
                </c:pt>
                <c:pt idx="90">
                  <c:v>-0.0381175653381958</c:v>
                </c:pt>
                <c:pt idx="91">
                  <c:v>0.0686044412348799</c:v>
                </c:pt>
                <c:pt idx="92">
                  <c:v>0.0727318803852002</c:v>
                </c:pt>
                <c:pt idx="93">
                  <c:v>0.00535475234270422</c:v>
                </c:pt>
                <c:pt idx="94">
                  <c:v>-0.0355604292316128</c:v>
                </c:pt>
                <c:pt idx="95">
                  <c:v>0.0467798261999513</c:v>
                </c:pt>
                <c:pt idx="96">
                  <c:v>0.0651718519667934</c:v>
                </c:pt>
                <c:pt idx="97">
                  <c:v>0.0299366304902033</c:v>
                </c:pt>
                <c:pt idx="98">
                  <c:v>-0.0117397454031117</c:v>
                </c:pt>
                <c:pt idx="99">
                  <c:v>-0.0490196078431374</c:v>
                </c:pt>
                <c:pt idx="100">
                  <c:v>-0.0533523967190909</c:v>
                </c:pt>
                <c:pt idx="101">
                  <c:v>0.0125596184419714</c:v>
                </c:pt>
                <c:pt idx="102">
                  <c:v>-0.0278693672476056</c:v>
                </c:pt>
                <c:pt idx="103">
                  <c:v>0.0874586126140677</c:v>
                </c:pt>
                <c:pt idx="104">
                  <c:v>0.0652755086885488</c:v>
                </c:pt>
                <c:pt idx="105">
                  <c:v>-0.0347159288950853</c:v>
                </c:pt>
                <c:pt idx="106">
                  <c:v>0.155701596013577</c:v>
                </c:pt>
                <c:pt idx="107">
                  <c:v>0.0549896894332314</c:v>
                </c:pt>
                <c:pt idx="108">
                  <c:v>0.0294971272878042</c:v>
                </c:pt>
                <c:pt idx="109">
                  <c:v>0.0693285771819805</c:v>
                </c:pt>
                <c:pt idx="110">
                  <c:v>0.036532874206392</c:v>
                </c:pt>
                <c:pt idx="111">
                  <c:v>-0.0676875162211263</c:v>
                </c:pt>
                <c:pt idx="112">
                  <c:v>-0.0491063971939203</c:v>
                </c:pt>
                <c:pt idx="113">
                  <c:v>-0.0651677498682592</c:v>
                </c:pt>
                <c:pt idx="114">
                  <c:v>0.124953025178504</c:v>
                </c:pt>
                <c:pt idx="115">
                  <c:v>0.0516675018094759</c:v>
                </c:pt>
                <c:pt idx="116">
                  <c:v>-0.146805018794007</c:v>
                </c:pt>
                <c:pt idx="117">
                  <c:v>-0.00899726979399351</c:v>
                </c:pt>
                <c:pt idx="118">
                  <c:v>0.0485254523824432</c:v>
                </c:pt>
                <c:pt idx="119">
                  <c:v>0.0479517496715634</c:v>
                </c:pt>
                <c:pt idx="120">
                  <c:v>-0.0684939312781355</c:v>
                </c:pt>
                <c:pt idx="121">
                  <c:v>0.0816051874961767</c:v>
                </c:pt>
                <c:pt idx="122">
                  <c:v>0.0313896272835248</c:v>
                </c:pt>
                <c:pt idx="123">
                  <c:v>0.0202347005922352</c:v>
                </c:pt>
                <c:pt idx="124">
                  <c:v>0.0504703036818059</c:v>
                </c:pt>
                <c:pt idx="125">
                  <c:v>0.199191567744576</c:v>
                </c:pt>
                <c:pt idx="126">
                  <c:v>0.0392968383325512</c:v>
                </c:pt>
                <c:pt idx="127">
                  <c:v>0.0456934066836356</c:v>
                </c:pt>
                <c:pt idx="128">
                  <c:v>-0.051431039221075</c:v>
                </c:pt>
                <c:pt idx="129">
                  <c:v>0.0707338272422498</c:v>
                </c:pt>
                <c:pt idx="130">
                  <c:v>-0.0113645148821028</c:v>
                </c:pt>
                <c:pt idx="131">
                  <c:v>-0.0187675946199561</c:v>
                </c:pt>
                <c:pt idx="132">
                  <c:v>0.0406837743066624</c:v>
                </c:pt>
                <c:pt idx="133">
                  <c:v>0.129455909943715</c:v>
                </c:pt>
                <c:pt idx="134">
                  <c:v>0.0414265373923655</c:v>
                </c:pt>
                <c:pt idx="135">
                  <c:v>0.05244140625</c:v>
                </c:pt>
                <c:pt idx="136">
                  <c:v>0.0150010825523492</c:v>
                </c:pt>
                <c:pt idx="137">
                  <c:v>0.03553144807411</c:v>
                </c:pt>
                <c:pt idx="138">
                  <c:v>0.0910776293331763</c:v>
                </c:pt>
                <c:pt idx="139">
                  <c:v>-0.117215524449119</c:v>
                </c:pt>
                <c:pt idx="140">
                  <c:v>-0.0358681372399254</c:v>
                </c:pt>
                <c:pt idx="141">
                  <c:v>-0.048166809265773</c:v>
                </c:pt>
                <c:pt idx="142">
                  <c:v>0.00785697639577854</c:v>
                </c:pt>
                <c:pt idx="143">
                  <c:v>0.0998909919730453</c:v>
                </c:pt>
                <c:pt idx="144">
                  <c:v>-0.0873652280986276</c:v>
                </c:pt>
                <c:pt idx="145">
                  <c:v>-0.0112544425431091</c:v>
                </c:pt>
                <c:pt idx="146">
                  <c:v>0.0609731744658191</c:v>
                </c:pt>
                <c:pt idx="147">
                  <c:v>-0.0918815484032874</c:v>
                </c:pt>
                <c:pt idx="148">
                  <c:v>0.00276348060382059</c:v>
                </c:pt>
                <c:pt idx="149">
                  <c:v>-0.16803885769403</c:v>
                </c:pt>
                <c:pt idx="150">
                  <c:v>0.127613763405242</c:v>
                </c:pt>
                <c:pt idx="151">
                  <c:v>0.0787280138067785</c:v>
                </c:pt>
                <c:pt idx="152">
                  <c:v>-0.108520270960275</c:v>
                </c:pt>
                <c:pt idx="153">
                  <c:v>-0.0185955935698194</c:v>
                </c:pt>
                <c:pt idx="154">
                  <c:v>0.0911991284724925</c:v>
                </c:pt>
                <c:pt idx="155">
                  <c:v>-0.0836482920915638</c:v>
                </c:pt>
                <c:pt idx="156">
                  <c:v>-0.0296108949416343</c:v>
                </c:pt>
                <c:pt idx="157">
                  <c:v>0.0155980592646057</c:v>
                </c:pt>
                <c:pt idx="158">
                  <c:v>-0.00434301958307015</c:v>
                </c:pt>
              </c:numCache>
            </c:numRef>
          </c:val>
        </c:ser>
        <c:gapWidth val="150"/>
        <c:overlap val="0"/>
        <c:axId val="17881330"/>
        <c:axId val="89544102"/>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(Calc)'!$AH$3:$AH$500</c:f>
              <c:numCache>
                <c:formatCode>#,##0.00</c:formatCode>
                <c:ptCount val="498"/>
                <c:pt idx="0">
                  <c:v>38.02</c:v>
                </c:pt>
                <c:pt idx="1">
                  <c:v>39.3754430379747</c:v>
                </c:pt>
                <c:pt idx="2">
                  <c:v>40.7308860759494</c:v>
                </c:pt>
                <c:pt idx="3">
                  <c:v>42.0863291139241</c:v>
                </c:pt>
                <c:pt idx="4">
                  <c:v>43.4417721518987</c:v>
                </c:pt>
                <c:pt idx="5">
                  <c:v>44.7972151898734</c:v>
                </c:pt>
                <c:pt idx="6">
                  <c:v>46.1526582278481</c:v>
                </c:pt>
                <c:pt idx="7">
                  <c:v>47.5081012658228</c:v>
                </c:pt>
                <c:pt idx="8">
                  <c:v>48.8635443037975</c:v>
                </c:pt>
                <c:pt idx="9">
                  <c:v>50.2189873417722</c:v>
                </c:pt>
                <c:pt idx="10">
                  <c:v>51.5744303797468</c:v>
                </c:pt>
                <c:pt idx="11">
                  <c:v>52.9298734177215</c:v>
                </c:pt>
                <c:pt idx="12">
                  <c:v>54.2853164556962</c:v>
                </c:pt>
                <c:pt idx="13">
                  <c:v>55.6407594936709</c:v>
                </c:pt>
                <c:pt idx="14">
                  <c:v>56.9962025316456</c:v>
                </c:pt>
                <c:pt idx="15">
                  <c:v>58.3516455696203</c:v>
                </c:pt>
                <c:pt idx="16">
                  <c:v>59.7070886075949</c:v>
                </c:pt>
                <c:pt idx="17">
                  <c:v>61.0625316455696</c:v>
                </c:pt>
                <c:pt idx="18">
                  <c:v>62.4179746835443</c:v>
                </c:pt>
                <c:pt idx="19">
                  <c:v>63.773417721519</c:v>
                </c:pt>
                <c:pt idx="20">
                  <c:v>65.1288607594937</c:v>
                </c:pt>
                <c:pt idx="21">
                  <c:v>66.4843037974684</c:v>
                </c:pt>
                <c:pt idx="22">
                  <c:v>67.839746835443</c:v>
                </c:pt>
                <c:pt idx="23">
                  <c:v>69.1951898734177</c:v>
                </c:pt>
                <c:pt idx="24">
                  <c:v>70.5506329113924</c:v>
                </c:pt>
                <c:pt idx="25">
                  <c:v>71.9060759493671</c:v>
                </c:pt>
                <c:pt idx="26">
                  <c:v>73.2615189873418</c:v>
                </c:pt>
                <c:pt idx="27">
                  <c:v>74.6169620253165</c:v>
                </c:pt>
                <c:pt idx="28">
                  <c:v>75.9724050632912</c:v>
                </c:pt>
                <c:pt idx="29">
                  <c:v>77.3278481012658</c:v>
                </c:pt>
                <c:pt idx="30">
                  <c:v>78.6832911392405</c:v>
                </c:pt>
                <c:pt idx="31">
                  <c:v>80.0387341772152</c:v>
                </c:pt>
                <c:pt idx="32">
                  <c:v>81.3941772151899</c:v>
                </c:pt>
                <c:pt idx="33">
                  <c:v>82.7496202531646</c:v>
                </c:pt>
                <c:pt idx="34">
                  <c:v>84.1050632911392</c:v>
                </c:pt>
                <c:pt idx="35">
                  <c:v>85.4605063291139</c:v>
                </c:pt>
                <c:pt idx="36">
                  <c:v>86.8159493670886</c:v>
                </c:pt>
                <c:pt idx="37">
                  <c:v>88.1713924050633</c:v>
                </c:pt>
                <c:pt idx="38">
                  <c:v>89.526835443038</c:v>
                </c:pt>
                <c:pt idx="39">
                  <c:v>90.8822784810127</c:v>
                </c:pt>
                <c:pt idx="40">
                  <c:v>92.2377215189873</c:v>
                </c:pt>
                <c:pt idx="41">
                  <c:v>93.593164556962</c:v>
                </c:pt>
                <c:pt idx="42">
                  <c:v>94.9486075949367</c:v>
                </c:pt>
                <c:pt idx="43">
                  <c:v>96.3040506329114</c:v>
                </c:pt>
                <c:pt idx="44">
                  <c:v>97.6594936708861</c:v>
                </c:pt>
                <c:pt idx="45">
                  <c:v>99.0149367088608</c:v>
                </c:pt>
                <c:pt idx="46">
                  <c:v>100.370379746835</c:v>
                </c:pt>
                <c:pt idx="47">
                  <c:v>101.72582278481</c:v>
                </c:pt>
                <c:pt idx="48">
                  <c:v>103.081265822785</c:v>
                </c:pt>
                <c:pt idx="49">
                  <c:v>104.43670886076</c:v>
                </c:pt>
                <c:pt idx="50">
                  <c:v>105.792151898734</c:v>
                </c:pt>
                <c:pt idx="51">
                  <c:v>107.147594936709</c:v>
                </c:pt>
                <c:pt idx="52">
                  <c:v>108.503037974684</c:v>
                </c:pt>
                <c:pt idx="53">
                  <c:v>109.858481012658</c:v>
                </c:pt>
                <c:pt idx="54">
                  <c:v>111.213924050633</c:v>
                </c:pt>
                <c:pt idx="55">
                  <c:v>112.569367088608</c:v>
                </c:pt>
                <c:pt idx="56">
                  <c:v>113.924810126582</c:v>
                </c:pt>
                <c:pt idx="57">
                  <c:v>115.280253164557</c:v>
                </c:pt>
                <c:pt idx="58">
                  <c:v>116.635696202532</c:v>
                </c:pt>
                <c:pt idx="59">
                  <c:v>117.991139240506</c:v>
                </c:pt>
                <c:pt idx="60">
                  <c:v>119.346582278481</c:v>
                </c:pt>
                <c:pt idx="61">
                  <c:v>120.702025316456</c:v>
                </c:pt>
                <c:pt idx="62">
                  <c:v>122.05746835443</c:v>
                </c:pt>
                <c:pt idx="63">
                  <c:v>123.412911392405</c:v>
                </c:pt>
                <c:pt idx="64">
                  <c:v>124.76835443038</c:v>
                </c:pt>
                <c:pt idx="65">
                  <c:v>126.123797468354</c:v>
                </c:pt>
                <c:pt idx="66">
                  <c:v>127.479240506329</c:v>
                </c:pt>
                <c:pt idx="67">
                  <c:v>128.834683544304</c:v>
                </c:pt>
                <c:pt idx="68">
                  <c:v>130.190126582278</c:v>
                </c:pt>
                <c:pt idx="69">
                  <c:v>131.545569620253</c:v>
                </c:pt>
                <c:pt idx="70">
                  <c:v>132.901012658228</c:v>
                </c:pt>
                <c:pt idx="71">
                  <c:v>134.256455696203</c:v>
                </c:pt>
                <c:pt idx="72">
                  <c:v>135.611898734177</c:v>
                </c:pt>
                <c:pt idx="73">
                  <c:v>136.967341772152</c:v>
                </c:pt>
                <c:pt idx="74">
                  <c:v>138.322784810127</c:v>
                </c:pt>
                <c:pt idx="75">
                  <c:v>139.678227848101</c:v>
                </c:pt>
                <c:pt idx="76">
                  <c:v>141.033670886076</c:v>
                </c:pt>
                <c:pt idx="77">
                  <c:v>142.389113924051</c:v>
                </c:pt>
                <c:pt idx="78">
                  <c:v>143.744556962025</c:v>
                </c:pt>
                <c:pt idx="79">
                  <c:v>145.1</c:v>
                </c:pt>
                <c:pt idx="80">
                  <c:v>146.455443037975</c:v>
                </c:pt>
                <c:pt idx="81">
                  <c:v>147.810886075949</c:v>
                </c:pt>
                <c:pt idx="82">
                  <c:v>149.166329113924</c:v>
                </c:pt>
                <c:pt idx="83">
                  <c:v>150.521772151899</c:v>
                </c:pt>
                <c:pt idx="84">
                  <c:v>151.877215189873</c:v>
                </c:pt>
                <c:pt idx="85">
                  <c:v>153.232658227848</c:v>
                </c:pt>
                <c:pt idx="86">
                  <c:v>154.588101265823</c:v>
                </c:pt>
                <c:pt idx="87">
                  <c:v>155.943544303797</c:v>
                </c:pt>
                <c:pt idx="88">
                  <c:v>157.298987341772</c:v>
                </c:pt>
                <c:pt idx="89">
                  <c:v>158.654430379747</c:v>
                </c:pt>
                <c:pt idx="90">
                  <c:v>160.009873417722</c:v>
                </c:pt>
                <c:pt idx="91">
                  <c:v>161.365316455696</c:v>
                </c:pt>
                <c:pt idx="92">
                  <c:v>162.720759493671</c:v>
                </c:pt>
                <c:pt idx="93">
                  <c:v>164.076202531646</c:v>
                </c:pt>
                <c:pt idx="94">
                  <c:v>165.43164556962</c:v>
                </c:pt>
                <c:pt idx="95">
                  <c:v>166.787088607595</c:v>
                </c:pt>
                <c:pt idx="96">
                  <c:v>168.14253164557</c:v>
                </c:pt>
                <c:pt idx="97">
                  <c:v>169.497974683544</c:v>
                </c:pt>
                <c:pt idx="98">
                  <c:v>170.853417721519</c:v>
                </c:pt>
                <c:pt idx="99">
                  <c:v>172.208860759494</c:v>
                </c:pt>
                <c:pt idx="100">
                  <c:v>173.564303797468</c:v>
                </c:pt>
                <c:pt idx="101">
                  <c:v>174.919746835443</c:v>
                </c:pt>
                <c:pt idx="102">
                  <c:v>176.275189873418</c:v>
                </c:pt>
                <c:pt idx="103">
                  <c:v>177.630632911392</c:v>
                </c:pt>
                <c:pt idx="104">
                  <c:v>178.986075949367</c:v>
                </c:pt>
                <c:pt idx="105">
                  <c:v>180.341518987342</c:v>
                </c:pt>
                <c:pt idx="106">
                  <c:v>181.696962025316</c:v>
                </c:pt>
                <c:pt idx="107">
                  <c:v>183.052405063291</c:v>
                </c:pt>
                <c:pt idx="108">
                  <c:v>184.407848101266</c:v>
                </c:pt>
                <c:pt idx="109">
                  <c:v>185.763291139241</c:v>
                </c:pt>
                <c:pt idx="110">
                  <c:v>187.118734177215</c:v>
                </c:pt>
                <c:pt idx="111">
                  <c:v>188.47417721519</c:v>
                </c:pt>
                <c:pt idx="112">
                  <c:v>189.829620253165</c:v>
                </c:pt>
                <c:pt idx="113">
                  <c:v>191.185063291139</c:v>
                </c:pt>
                <c:pt idx="114">
                  <c:v>192.540506329114</c:v>
                </c:pt>
                <c:pt idx="115">
                  <c:v>193.895949367089</c:v>
                </c:pt>
                <c:pt idx="116">
                  <c:v>195.251392405063</c:v>
                </c:pt>
                <c:pt idx="117">
                  <c:v>196.606835443038</c:v>
                </c:pt>
                <c:pt idx="118">
                  <c:v>197.962278481013</c:v>
                </c:pt>
                <c:pt idx="119">
                  <c:v>199.317721518987</c:v>
                </c:pt>
                <c:pt idx="120">
                  <c:v>200.673164556962</c:v>
                </c:pt>
                <c:pt idx="121">
                  <c:v>202.028607594937</c:v>
                </c:pt>
                <c:pt idx="122">
                  <c:v>203.384050632911</c:v>
                </c:pt>
                <c:pt idx="123">
                  <c:v>204.739493670886</c:v>
                </c:pt>
                <c:pt idx="124">
                  <c:v>206.094936708861</c:v>
                </c:pt>
                <c:pt idx="125">
                  <c:v>207.450379746835</c:v>
                </c:pt>
                <c:pt idx="126">
                  <c:v>208.80582278481</c:v>
                </c:pt>
                <c:pt idx="127">
                  <c:v>210.161265822785</c:v>
                </c:pt>
                <c:pt idx="128">
                  <c:v>211.51670886076</c:v>
                </c:pt>
                <c:pt idx="129">
                  <c:v>212.872151898734</c:v>
                </c:pt>
                <c:pt idx="130">
                  <c:v>214.227594936709</c:v>
                </c:pt>
                <c:pt idx="131">
                  <c:v>215.583037974684</c:v>
                </c:pt>
                <c:pt idx="132">
                  <c:v>216.938481012658</c:v>
                </c:pt>
                <c:pt idx="133">
                  <c:v>218.293924050633</c:v>
                </c:pt>
                <c:pt idx="134">
                  <c:v>219.649367088608</c:v>
                </c:pt>
                <c:pt idx="135">
                  <c:v>221.004810126582</c:v>
                </c:pt>
                <c:pt idx="136">
                  <c:v>222.360253164557</c:v>
                </c:pt>
                <c:pt idx="137">
                  <c:v>223.715696202532</c:v>
                </c:pt>
                <c:pt idx="138">
                  <c:v>225.071139240506</c:v>
                </c:pt>
                <c:pt idx="139">
                  <c:v>226.426582278481</c:v>
                </c:pt>
                <c:pt idx="140">
                  <c:v>227.782025316456</c:v>
                </c:pt>
                <c:pt idx="141">
                  <c:v>229.13746835443</c:v>
                </c:pt>
                <c:pt idx="142">
                  <c:v>230.492911392405</c:v>
                </c:pt>
                <c:pt idx="143">
                  <c:v>231.84835443038</c:v>
                </c:pt>
                <c:pt idx="144">
                  <c:v>233.203797468354</c:v>
                </c:pt>
                <c:pt idx="145">
                  <c:v>234.559240506329</c:v>
                </c:pt>
                <c:pt idx="146">
                  <c:v>235.914683544304</c:v>
                </c:pt>
                <c:pt idx="147">
                  <c:v>237.270126582279</c:v>
                </c:pt>
                <c:pt idx="148">
                  <c:v>238.625569620253</c:v>
                </c:pt>
                <c:pt idx="149">
                  <c:v>239.981012658228</c:v>
                </c:pt>
                <c:pt idx="150">
                  <c:v>241.336455696203</c:v>
                </c:pt>
                <c:pt idx="151">
                  <c:v>242.691898734177</c:v>
                </c:pt>
                <c:pt idx="152">
                  <c:v>244.047341772152</c:v>
                </c:pt>
                <c:pt idx="153">
                  <c:v>245.402784810127</c:v>
                </c:pt>
                <c:pt idx="154">
                  <c:v>246.758227848101</c:v>
                </c:pt>
                <c:pt idx="155">
                  <c:v>248.113670886076</c:v>
                </c:pt>
                <c:pt idx="156">
                  <c:v>249.469113924051</c:v>
                </c:pt>
                <c:pt idx="157">
                  <c:v>250.824556962025</c:v>
                </c:pt>
                <c:pt idx="158">
                  <c:v>252.18</c:v>
                </c:pt>
                <c:pt idx="159">
                  <c:v>253.535443037975</c:v>
                </c:pt>
              </c:numCache>
            </c:numRef>
          </c:val>
          <c:smooth val="0"/>
        </c:ser>
        <c:hiLowLines>
          <c:spPr>
            <a:ln w="0">
              <a:noFill/>
            </a:ln>
          </c:spPr>
        </c:hiLowLines>
        <c:marker val="0"/>
        <c:axId val="27300510"/>
        <c:axId val="37528435"/>
      </c:lineChart>
      <c:dateAx>
        <c:axId val="1788133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544102"/>
        <c:auto val="1"/>
        <c:lblOffset val="100"/>
        <c:baseTimeUnit val="days"/>
      </c:dateAx>
      <c:valAx>
        <c:axId val="8954410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881330"/>
        <c:crosses val="autoZero"/>
        <c:crossBetween val="between"/>
      </c:valAx>
      <c:dateAx>
        <c:axId val="2730051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528435"/>
        <c:auto val="1"/>
        <c:lblOffset val="100"/>
        <c:baseTimeUnit val="days"/>
      </c:dateAx>
      <c:valAx>
        <c:axId val="3752843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30051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(Calc)'!$N$3:$N$500</c:f>
              <c:numCache>
                <c:formatCode>0.0%</c:formatCode>
                <c:ptCount val="498"/>
                <c:pt idx="0">
                  <c:v>0.00180567497850381</c:v>
                </c:pt>
                <c:pt idx="1">
                  <c:v>-0.00512116270420271</c:v>
                </c:pt>
                <c:pt idx="2">
                  <c:v>0.0370391671938806</c:v>
                </c:pt>
                <c:pt idx="3">
                  <c:v>0.0287837612999833</c:v>
                </c:pt>
                <c:pt idx="4">
                  <c:v>-0.0246361185983827</c:v>
                </c:pt>
                <c:pt idx="5">
                  <c:v>-0.018183827999779</c:v>
                </c:pt>
                <c:pt idx="6">
                  <c:v>0.0588831344291827</c:v>
                </c:pt>
                <c:pt idx="7">
                  <c:v>-0.00677830940988844</c:v>
                </c:pt>
                <c:pt idx="8">
                  <c:v>-0.06195637628797</c:v>
                </c:pt>
                <c:pt idx="9">
                  <c:v>0.00724679029957209</c:v>
                </c:pt>
                <c:pt idx="10">
                  <c:v>-0.00532517561749379</c:v>
                </c:pt>
                <c:pt idx="11">
                  <c:v>-0.0028761817974714</c:v>
                </c:pt>
                <c:pt idx="12">
                  <c:v>0.172868770526917</c:v>
                </c:pt>
                <c:pt idx="13">
                  <c:v>-0.0132219733125548</c:v>
                </c:pt>
                <c:pt idx="14">
                  <c:v>0.00404688463911174</c:v>
                </c:pt>
                <c:pt idx="15">
                  <c:v>0.0236181769028485</c:v>
                </c:pt>
                <c:pt idx="16">
                  <c:v>0.0405762304921968</c:v>
                </c:pt>
                <c:pt idx="17">
                  <c:v>0.00373788647900319</c:v>
                </c:pt>
                <c:pt idx="18">
                  <c:v>-0.0111489126936691</c:v>
                </c:pt>
                <c:pt idx="19">
                  <c:v>-0.012762396261943</c:v>
                </c:pt>
                <c:pt idx="20">
                  <c:v>-0.00416784402373549</c:v>
                </c:pt>
                <c:pt idx="21">
                  <c:v>-0.00167884419852937</c:v>
                </c:pt>
                <c:pt idx="22">
                  <c:v>0.0187351965892941</c:v>
                </c:pt>
                <c:pt idx="23">
                  <c:v>0.00616121457301611</c:v>
                </c:pt>
                <c:pt idx="24">
                  <c:v>-0.0442970699694981</c:v>
                </c:pt>
                <c:pt idx="25">
                  <c:v>-0.014265335235378</c:v>
                </c:pt>
                <c:pt idx="26">
                  <c:v>0.0195491672594375</c:v>
                </c:pt>
                <c:pt idx="27">
                  <c:v>0.00565365924072547</c:v>
                </c:pt>
                <c:pt idx="28">
                  <c:v>-0.0271285375947943</c:v>
                </c:pt>
                <c:pt idx="29">
                  <c:v>-0.0248850419258858</c:v>
                </c:pt>
                <c:pt idx="30">
                  <c:v>-0.00572437271466408</c:v>
                </c:pt>
                <c:pt idx="31">
                  <c:v>0.00811605965303852</c:v>
                </c:pt>
                <c:pt idx="32">
                  <c:v>0.00905705947469038</c:v>
                </c:pt>
                <c:pt idx="33">
                  <c:v>0.0541039194175725</c:v>
                </c:pt>
                <c:pt idx="34">
                  <c:v>0.0530535976157813</c:v>
                </c:pt>
                <c:pt idx="35">
                  <c:v>0.0263695784012039</c:v>
                </c:pt>
                <c:pt idx="36">
                  <c:v>-0.00352336141809828</c:v>
                </c:pt>
                <c:pt idx="37">
                  <c:v>0.0608336627574999</c:v>
                </c:pt>
                <c:pt idx="38">
                  <c:v>-0.00478221265319645</c:v>
                </c:pt>
                <c:pt idx="39">
                  <c:v>-0.0250036402970483</c:v>
                </c:pt>
                <c:pt idx="40">
                  <c:v>2.13351539333218E-005</c:v>
                </c:pt>
                <c:pt idx="41">
                  <c:v>0.0124807987711213</c:v>
                </c:pt>
                <c:pt idx="42">
                  <c:v>0.0298586088459027</c:v>
                </c:pt>
                <c:pt idx="43">
                  <c:v>0.00579039980357643</c:v>
                </c:pt>
                <c:pt idx="44">
                  <c:v>0.0075065606119169</c:v>
                </c:pt>
                <c:pt idx="45">
                  <c:v>-0.00161531316884067</c:v>
                </c:pt>
                <c:pt idx="46">
                  <c:v>-0.0526028394612305</c:v>
                </c:pt>
                <c:pt idx="47">
                  <c:v>0.0190415199060732</c:v>
                </c:pt>
                <c:pt idx="48">
                  <c:v>0.00810691916123751</c:v>
                </c:pt>
                <c:pt idx="49">
                  <c:v>0.0304421910065664</c:v>
                </c:pt>
                <c:pt idx="50">
                  <c:v>-0.0562423118030208</c:v>
                </c:pt>
                <c:pt idx="51">
                  <c:v>0.0371153846153847</c:v>
                </c:pt>
                <c:pt idx="52">
                  <c:v>-0.0421328059006531</c:v>
                </c:pt>
                <c:pt idx="53">
                  <c:v>-0.00438785167340627</c:v>
                </c:pt>
                <c:pt idx="54">
                  <c:v>-0.0163541306602143</c:v>
                </c:pt>
                <c:pt idx="55">
                  <c:v>0.0579824734796073</c:v>
                </c:pt>
                <c:pt idx="56">
                  <c:v>0.0026779597683253</c:v>
                </c:pt>
                <c:pt idx="57">
                  <c:v>-0.0109730848861284</c:v>
                </c:pt>
                <c:pt idx="58">
                  <c:v>-0.0137743353569185</c:v>
                </c:pt>
                <c:pt idx="59">
                  <c:v>0.0968330786211582</c:v>
                </c:pt>
                <c:pt idx="60">
                  <c:v>-0.0987730773696637</c:v>
                </c:pt>
                <c:pt idx="61">
                  <c:v>-0.0316298045952329</c:v>
                </c:pt>
                <c:pt idx="62">
                  <c:v>0.0380513116171806</c:v>
                </c:pt>
                <c:pt idx="63">
                  <c:v>-0.0128810373186935</c:v>
                </c:pt>
                <c:pt idx="64">
                  <c:v>0.00352737502705036</c:v>
                </c:pt>
                <c:pt idx="65">
                  <c:v>-0.14331615379639</c:v>
                </c:pt>
                <c:pt idx="66">
                  <c:v>0.0289223953482518</c:v>
                </c:pt>
                <c:pt idx="67">
                  <c:v>-0.0040365984930032</c:v>
                </c:pt>
                <c:pt idx="68">
                  <c:v>0.00601802952518971</c:v>
                </c:pt>
                <c:pt idx="69">
                  <c:v>0.0303740599667937</c:v>
                </c:pt>
                <c:pt idx="70">
                  <c:v>0.0417535545023697</c:v>
                </c:pt>
                <c:pt idx="71">
                  <c:v>0.0501797006505618</c:v>
                </c:pt>
                <c:pt idx="72">
                  <c:v>0.0165482585340495</c:v>
                </c:pt>
                <c:pt idx="73">
                  <c:v>-0.0219892610585528</c:v>
                </c:pt>
                <c:pt idx="74">
                  <c:v>0.0549891067538126</c:v>
                </c:pt>
                <c:pt idx="75">
                  <c:v>-0.00918965802081606</c:v>
                </c:pt>
                <c:pt idx="76">
                  <c:v>0.0177160841201358</c:v>
                </c:pt>
                <c:pt idx="77">
                  <c:v>0.0337504351922013</c:v>
                </c:pt>
                <c:pt idx="78">
                  <c:v>-0.00311032747588014</c:v>
                </c:pt>
                <c:pt idx="79">
                  <c:v>-0.0208863275039746</c:v>
                </c:pt>
                <c:pt idx="80">
                  <c:v>-0.0366762061336743</c:v>
                </c:pt>
                <c:pt idx="81">
                  <c:v>0.0202267076819351</c:v>
                </c:pt>
                <c:pt idx="82">
                  <c:v>0.0100780636900581</c:v>
                </c:pt>
                <c:pt idx="83">
                  <c:v>0.00969126967900214</c:v>
                </c:pt>
                <c:pt idx="84">
                  <c:v>0.0148023651385063</c:v>
                </c:pt>
                <c:pt idx="85">
                  <c:v>-0.151970467923775</c:v>
                </c:pt>
                <c:pt idx="86">
                  <c:v>0.0321419327513588</c:v>
                </c:pt>
                <c:pt idx="87">
                  <c:v>-0.00604126296591812</c:v>
                </c:pt>
                <c:pt idx="88">
                  <c:v>0.013876146788991</c:v>
                </c:pt>
                <c:pt idx="89">
                  <c:v>0.0191154846736794</c:v>
                </c:pt>
                <c:pt idx="90">
                  <c:v>0.0109877913429524</c:v>
                </c:pt>
                <c:pt idx="91">
                  <c:v>-0.0320122955318916</c:v>
                </c:pt>
                <c:pt idx="92">
                  <c:v>0.000975344205774942</c:v>
                </c:pt>
                <c:pt idx="93">
                  <c:v>0.0415137094946747</c:v>
                </c:pt>
                <c:pt idx="94">
                  <c:v>0.0200818067098909</c:v>
                </c:pt>
                <c:pt idx="95">
                  <c:v>-0.0192812200063986</c:v>
                </c:pt>
                <c:pt idx="96">
                  <c:v>0.0214001435375482</c:v>
                </c:pt>
                <c:pt idx="97">
                  <c:v>-0.0160119237730224</c:v>
                </c:pt>
                <c:pt idx="98">
                  <c:v>-0.206846558327743</c:v>
                </c:pt>
                <c:pt idx="99">
                  <c:v>0.0716156490423965</c:v>
                </c:pt>
                <c:pt idx="100">
                  <c:v>0.00593192291046107</c:v>
                </c:pt>
                <c:pt idx="101">
                  <c:v>-0.0103765944523183</c:v>
                </c:pt>
                <c:pt idx="102">
                  <c:v>0.0130428111094063</c:v>
                </c:pt>
                <c:pt idx="103">
                  <c:v>-0.00401393517116033</c:v>
                </c:pt>
                <c:pt idx="104">
                  <c:v>-0.0289204876688718</c:v>
                </c:pt>
                <c:pt idx="105">
                  <c:v>0.00683858843182295</c:v>
                </c:pt>
                <c:pt idx="106">
                  <c:v>0.0455228910665215</c:v>
                </c:pt>
                <c:pt idx="107">
                  <c:v>0.0111331515001241</c:v>
                </c:pt>
                <c:pt idx="108">
                  <c:v>0.022119228034037</c:v>
                </c:pt>
                <c:pt idx="109">
                  <c:v>0.0109882200523019</c:v>
                </c:pt>
                <c:pt idx="110">
                  <c:v>0.00991955195899297</c:v>
                </c:pt>
                <c:pt idx="111">
                  <c:v>-0.0378316140705406</c:v>
                </c:pt>
                <c:pt idx="112">
                  <c:v>0.0675995799448066</c:v>
                </c:pt>
                <c:pt idx="113">
                  <c:v>-0.023767585496969</c:v>
                </c:pt>
                <c:pt idx="114">
                  <c:v>0.0160511763051834</c:v>
                </c:pt>
                <c:pt idx="115">
                  <c:v>0.0504370286663132</c:v>
                </c:pt>
                <c:pt idx="116">
                  <c:v>-0.00755247211732679</c:v>
                </c:pt>
                <c:pt idx="117">
                  <c:v>0.00920272542252887</c:v>
                </c:pt>
                <c:pt idx="118">
                  <c:v>0.0146865409907935</c:v>
                </c:pt>
                <c:pt idx="119">
                  <c:v>-0.0232663642255346</c:v>
                </c:pt>
                <c:pt idx="120">
                  <c:v>0.0259438657023423</c:v>
                </c:pt>
                <c:pt idx="121">
                  <c:v>-0.0485060147458285</c:v>
                </c:pt>
                <c:pt idx="122">
                  <c:v>0.0612878375928947</c:v>
                </c:pt>
                <c:pt idx="123">
                  <c:v>0.0031809739330928</c:v>
                </c:pt>
                <c:pt idx="124">
                  <c:v>0.0170674611619495</c:v>
                </c:pt>
                <c:pt idx="125">
                  <c:v>0.0283520254435889</c:v>
                </c:pt>
                <c:pt idx="126">
                  <c:v>-0.0296457566077279</c:v>
                </c:pt>
                <c:pt idx="127">
                  <c:v>0.0417907318096038</c:v>
                </c:pt>
                <c:pt idx="128">
                  <c:v>-0.0807922226918664</c:v>
                </c:pt>
                <c:pt idx="129">
                  <c:v>0.0276993146335589</c:v>
                </c:pt>
                <c:pt idx="130">
                  <c:v>-0.032684194826778</c:v>
                </c:pt>
                <c:pt idx="131">
                  <c:v>-0.0461013215859031</c:v>
                </c:pt>
                <c:pt idx="132">
                  <c:v>0.0130232987738703</c:v>
                </c:pt>
                <c:pt idx="133">
                  <c:v>-0.0055617606163525</c:v>
                </c:pt>
                <c:pt idx="134">
                  <c:v>0.0113003415316204</c:v>
                </c:pt>
                <c:pt idx="135">
                  <c:v>-0.0247280145058929</c:v>
                </c:pt>
                <c:pt idx="136">
                  <c:v>-0.0148039694159753</c:v>
                </c:pt>
                <c:pt idx="137">
                  <c:v>0.0139177203245895</c:v>
                </c:pt>
                <c:pt idx="138">
                  <c:v>0.0165883393048252</c:v>
                </c:pt>
                <c:pt idx="139">
                  <c:v>-0.00556127703398557</c:v>
                </c:pt>
                <c:pt idx="140">
                  <c:v>0.0299640983153826</c:v>
                </c:pt>
                <c:pt idx="141">
                  <c:v>-0.00158645037315108</c:v>
                </c:pt>
                <c:pt idx="142">
                  <c:v>-0.0042521764429424</c:v>
                </c:pt>
                <c:pt idx="143">
                  <c:v>0.0150585485357246</c:v>
                </c:pt>
                <c:pt idx="144">
                  <c:v>0.0879259570887674</c:v>
                </c:pt>
                <c:pt idx="145">
                  <c:v>0.074693694793829</c:v>
                </c:pt>
                <c:pt idx="146">
                  <c:v>-0.0807703961821074</c:v>
                </c:pt>
                <c:pt idx="147">
                  <c:v>0.000535651743958532</c:v>
                </c:pt>
                <c:pt idx="148">
                  <c:v>-0.0170699063111294</c:v>
                </c:pt>
                <c:pt idx="149">
                  <c:v>-0.000544662309368227</c:v>
                </c:pt>
                <c:pt idx="150">
                  <c:v>0.0397610563823096</c:v>
                </c:pt>
                <c:pt idx="151">
                  <c:v>0.0195133751285101</c:v>
                </c:pt>
                <c:pt idx="152">
                  <c:v>0.0836381611468116</c:v>
                </c:pt>
                <c:pt idx="153">
                  <c:v>-0.0116047805857128</c:v>
                </c:pt>
                <c:pt idx="154">
                  <c:v>0.0081781092506783</c:v>
                </c:pt>
                <c:pt idx="155">
                  <c:v>-0.056178129348861</c:v>
                </c:pt>
                <c:pt idx="156">
                  <c:v>-0.0137746391432564</c:v>
                </c:pt>
                <c:pt idx="157">
                  <c:v>0.0351142935830351</c:v>
                </c:pt>
                <c:pt idx="158">
                  <c:v>-0.0407837473156085</c:v>
                </c:pt>
              </c:numCache>
            </c:numRef>
          </c:val>
        </c:ser>
        <c:gapWidth val="150"/>
        <c:overlap val="0"/>
        <c:axId val="77566592"/>
        <c:axId val="91538772"/>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(Calc)'!$AI$3:$AI$500</c:f>
              <c:numCache>
                <c:formatCode>#,##0.00</c:formatCode>
                <c:ptCount val="498"/>
                <c:pt idx="0">
                  <c:v>348.9</c:v>
                </c:pt>
                <c:pt idx="1">
                  <c:v>349.886265822785</c:v>
                </c:pt>
                <c:pt idx="2">
                  <c:v>350.87253164557</c:v>
                </c:pt>
                <c:pt idx="3">
                  <c:v>351.858797468354</c:v>
                </c:pt>
                <c:pt idx="4">
                  <c:v>352.845063291139</c:v>
                </c:pt>
                <c:pt idx="5">
                  <c:v>353.831329113924</c:v>
                </c:pt>
                <c:pt idx="6">
                  <c:v>354.817594936709</c:v>
                </c:pt>
                <c:pt idx="7">
                  <c:v>355.803860759494</c:v>
                </c:pt>
                <c:pt idx="8">
                  <c:v>356.790126582278</c:v>
                </c:pt>
                <c:pt idx="9">
                  <c:v>357.776392405063</c:v>
                </c:pt>
                <c:pt idx="10">
                  <c:v>358.762658227848</c:v>
                </c:pt>
                <c:pt idx="11">
                  <c:v>359.748924050633</c:v>
                </c:pt>
                <c:pt idx="12">
                  <c:v>360.735189873418</c:v>
                </c:pt>
                <c:pt idx="13">
                  <c:v>361.721455696203</c:v>
                </c:pt>
                <c:pt idx="14">
                  <c:v>362.707721518987</c:v>
                </c:pt>
                <c:pt idx="15">
                  <c:v>363.693987341772</c:v>
                </c:pt>
                <c:pt idx="16">
                  <c:v>364.680253164557</c:v>
                </c:pt>
                <c:pt idx="17">
                  <c:v>365.666518987342</c:v>
                </c:pt>
                <c:pt idx="18">
                  <c:v>366.652784810127</c:v>
                </c:pt>
                <c:pt idx="19">
                  <c:v>367.639050632911</c:v>
                </c:pt>
                <c:pt idx="20">
                  <c:v>368.625316455696</c:v>
                </c:pt>
                <c:pt idx="21">
                  <c:v>369.611582278481</c:v>
                </c:pt>
                <c:pt idx="22">
                  <c:v>370.597848101266</c:v>
                </c:pt>
                <c:pt idx="23">
                  <c:v>371.584113924051</c:v>
                </c:pt>
                <c:pt idx="24">
                  <c:v>372.570379746835</c:v>
                </c:pt>
                <c:pt idx="25">
                  <c:v>373.55664556962</c:v>
                </c:pt>
                <c:pt idx="26">
                  <c:v>374.542911392405</c:v>
                </c:pt>
                <c:pt idx="27">
                  <c:v>375.52917721519</c:v>
                </c:pt>
                <c:pt idx="28">
                  <c:v>376.515443037975</c:v>
                </c:pt>
                <c:pt idx="29">
                  <c:v>377.50170886076</c:v>
                </c:pt>
                <c:pt idx="30">
                  <c:v>378.487974683544</c:v>
                </c:pt>
                <c:pt idx="31">
                  <c:v>379.474240506329</c:v>
                </c:pt>
                <c:pt idx="32">
                  <c:v>380.460506329114</c:v>
                </c:pt>
                <c:pt idx="33">
                  <c:v>381.446772151899</c:v>
                </c:pt>
                <c:pt idx="34">
                  <c:v>382.433037974684</c:v>
                </c:pt>
                <c:pt idx="35">
                  <c:v>383.419303797468</c:v>
                </c:pt>
                <c:pt idx="36">
                  <c:v>384.405569620253</c:v>
                </c:pt>
                <c:pt idx="37">
                  <c:v>385.391835443038</c:v>
                </c:pt>
                <c:pt idx="38">
                  <c:v>386.378101265823</c:v>
                </c:pt>
                <c:pt idx="39">
                  <c:v>387.364367088608</c:v>
                </c:pt>
                <c:pt idx="40">
                  <c:v>388.350632911392</c:v>
                </c:pt>
                <c:pt idx="41">
                  <c:v>389.336898734177</c:v>
                </c:pt>
                <c:pt idx="42">
                  <c:v>390.323164556962</c:v>
                </c:pt>
                <c:pt idx="43">
                  <c:v>391.309430379747</c:v>
                </c:pt>
                <c:pt idx="44">
                  <c:v>392.295696202532</c:v>
                </c:pt>
                <c:pt idx="45">
                  <c:v>393.281962025316</c:v>
                </c:pt>
                <c:pt idx="46">
                  <c:v>394.268227848101</c:v>
                </c:pt>
                <c:pt idx="47">
                  <c:v>395.254493670886</c:v>
                </c:pt>
                <c:pt idx="48">
                  <c:v>396.240759493671</c:v>
                </c:pt>
                <c:pt idx="49">
                  <c:v>397.227025316456</c:v>
                </c:pt>
                <c:pt idx="50">
                  <c:v>398.213291139241</c:v>
                </c:pt>
                <c:pt idx="51">
                  <c:v>399.199556962025</c:v>
                </c:pt>
                <c:pt idx="52">
                  <c:v>400.18582278481</c:v>
                </c:pt>
                <c:pt idx="53">
                  <c:v>401.172088607595</c:v>
                </c:pt>
                <c:pt idx="54">
                  <c:v>402.15835443038</c:v>
                </c:pt>
                <c:pt idx="55">
                  <c:v>403.144620253165</c:v>
                </c:pt>
                <c:pt idx="56">
                  <c:v>404.130886075949</c:v>
                </c:pt>
                <c:pt idx="57">
                  <c:v>405.117151898734</c:v>
                </c:pt>
                <c:pt idx="58">
                  <c:v>406.103417721519</c:v>
                </c:pt>
                <c:pt idx="59">
                  <c:v>407.089683544304</c:v>
                </c:pt>
                <c:pt idx="60">
                  <c:v>408.075949367089</c:v>
                </c:pt>
                <c:pt idx="61">
                  <c:v>409.062215189873</c:v>
                </c:pt>
                <c:pt idx="62">
                  <c:v>410.048481012658</c:v>
                </c:pt>
                <c:pt idx="63">
                  <c:v>411.034746835443</c:v>
                </c:pt>
                <c:pt idx="64">
                  <c:v>412.021012658228</c:v>
                </c:pt>
                <c:pt idx="65">
                  <c:v>413.007278481013</c:v>
                </c:pt>
                <c:pt idx="66">
                  <c:v>413.993544303798</c:v>
                </c:pt>
                <c:pt idx="67">
                  <c:v>414.979810126582</c:v>
                </c:pt>
                <c:pt idx="68">
                  <c:v>415.966075949367</c:v>
                </c:pt>
                <c:pt idx="69">
                  <c:v>416.952341772152</c:v>
                </c:pt>
                <c:pt idx="70">
                  <c:v>417.938607594937</c:v>
                </c:pt>
                <c:pt idx="71">
                  <c:v>418.924873417722</c:v>
                </c:pt>
                <c:pt idx="72">
                  <c:v>419.911139240506</c:v>
                </c:pt>
                <c:pt idx="73">
                  <c:v>420.897405063291</c:v>
                </c:pt>
                <c:pt idx="74">
                  <c:v>421.883670886076</c:v>
                </c:pt>
                <c:pt idx="75">
                  <c:v>422.869936708861</c:v>
                </c:pt>
                <c:pt idx="76">
                  <c:v>423.856202531646</c:v>
                </c:pt>
                <c:pt idx="77">
                  <c:v>424.84246835443</c:v>
                </c:pt>
                <c:pt idx="78">
                  <c:v>425.828734177215</c:v>
                </c:pt>
                <c:pt idx="79">
                  <c:v>426.815</c:v>
                </c:pt>
                <c:pt idx="80">
                  <c:v>427.801265822785</c:v>
                </c:pt>
                <c:pt idx="81">
                  <c:v>428.78753164557</c:v>
                </c:pt>
                <c:pt idx="82">
                  <c:v>429.773797468354</c:v>
                </c:pt>
                <c:pt idx="83">
                  <c:v>430.760063291139</c:v>
                </c:pt>
                <c:pt idx="84">
                  <c:v>431.746329113924</c:v>
                </c:pt>
                <c:pt idx="85">
                  <c:v>432.732594936709</c:v>
                </c:pt>
                <c:pt idx="86">
                  <c:v>433.718860759494</c:v>
                </c:pt>
                <c:pt idx="87">
                  <c:v>434.705126582278</c:v>
                </c:pt>
                <c:pt idx="88">
                  <c:v>435.691392405063</c:v>
                </c:pt>
                <c:pt idx="89">
                  <c:v>436.677658227848</c:v>
                </c:pt>
                <c:pt idx="90">
                  <c:v>437.663924050633</c:v>
                </c:pt>
                <c:pt idx="91">
                  <c:v>438.650189873418</c:v>
                </c:pt>
                <c:pt idx="92">
                  <c:v>439.636455696203</c:v>
                </c:pt>
                <c:pt idx="93">
                  <c:v>440.622721518987</c:v>
                </c:pt>
                <c:pt idx="94">
                  <c:v>441.608987341772</c:v>
                </c:pt>
                <c:pt idx="95">
                  <c:v>442.595253164557</c:v>
                </c:pt>
                <c:pt idx="96">
                  <c:v>443.581518987342</c:v>
                </c:pt>
                <c:pt idx="97">
                  <c:v>444.567784810127</c:v>
                </c:pt>
                <c:pt idx="98">
                  <c:v>445.554050632911</c:v>
                </c:pt>
                <c:pt idx="99">
                  <c:v>446.540316455696</c:v>
                </c:pt>
                <c:pt idx="100">
                  <c:v>447.526582278481</c:v>
                </c:pt>
                <c:pt idx="101">
                  <c:v>448.512848101266</c:v>
                </c:pt>
                <c:pt idx="102">
                  <c:v>449.499113924051</c:v>
                </c:pt>
                <c:pt idx="103">
                  <c:v>450.485379746835</c:v>
                </c:pt>
                <c:pt idx="104">
                  <c:v>451.47164556962</c:v>
                </c:pt>
                <c:pt idx="105">
                  <c:v>452.457911392405</c:v>
                </c:pt>
                <c:pt idx="106">
                  <c:v>453.44417721519</c:v>
                </c:pt>
                <c:pt idx="107">
                  <c:v>454.430443037975</c:v>
                </c:pt>
                <c:pt idx="108">
                  <c:v>455.41670886076</c:v>
                </c:pt>
                <c:pt idx="109">
                  <c:v>456.402974683544</c:v>
                </c:pt>
                <c:pt idx="110">
                  <c:v>457.389240506329</c:v>
                </c:pt>
                <c:pt idx="111">
                  <c:v>458.375506329114</c:v>
                </c:pt>
                <c:pt idx="112">
                  <c:v>459.361772151899</c:v>
                </c:pt>
                <c:pt idx="113">
                  <c:v>460.348037974684</c:v>
                </c:pt>
                <c:pt idx="114">
                  <c:v>461.334303797468</c:v>
                </c:pt>
                <c:pt idx="115">
                  <c:v>462.320569620253</c:v>
                </c:pt>
                <c:pt idx="116">
                  <c:v>463.306835443038</c:v>
                </c:pt>
                <c:pt idx="117">
                  <c:v>464.293101265823</c:v>
                </c:pt>
                <c:pt idx="118">
                  <c:v>465.279367088608</c:v>
                </c:pt>
                <c:pt idx="119">
                  <c:v>466.265632911392</c:v>
                </c:pt>
                <c:pt idx="120">
                  <c:v>467.251898734177</c:v>
                </c:pt>
                <c:pt idx="121">
                  <c:v>468.238164556962</c:v>
                </c:pt>
                <c:pt idx="122">
                  <c:v>469.224430379747</c:v>
                </c:pt>
                <c:pt idx="123">
                  <c:v>470.210696202532</c:v>
                </c:pt>
                <c:pt idx="124">
                  <c:v>471.196962025316</c:v>
                </c:pt>
                <c:pt idx="125">
                  <c:v>472.183227848101</c:v>
                </c:pt>
                <c:pt idx="126">
                  <c:v>473.169493670886</c:v>
                </c:pt>
                <c:pt idx="127">
                  <c:v>474.155759493671</c:v>
                </c:pt>
                <c:pt idx="128">
                  <c:v>475.142025316456</c:v>
                </c:pt>
                <c:pt idx="129">
                  <c:v>476.128291139241</c:v>
                </c:pt>
                <c:pt idx="130">
                  <c:v>477.114556962025</c:v>
                </c:pt>
                <c:pt idx="131">
                  <c:v>478.10082278481</c:v>
                </c:pt>
                <c:pt idx="132">
                  <c:v>479.087088607595</c:v>
                </c:pt>
                <c:pt idx="133">
                  <c:v>480.07335443038</c:v>
                </c:pt>
                <c:pt idx="134">
                  <c:v>481.059620253165</c:v>
                </c:pt>
                <c:pt idx="135">
                  <c:v>482.045886075949</c:v>
                </c:pt>
                <c:pt idx="136">
                  <c:v>483.032151898734</c:v>
                </c:pt>
                <c:pt idx="137">
                  <c:v>484.018417721519</c:v>
                </c:pt>
                <c:pt idx="138">
                  <c:v>485.004683544304</c:v>
                </c:pt>
                <c:pt idx="139">
                  <c:v>485.990949367089</c:v>
                </c:pt>
                <c:pt idx="140">
                  <c:v>486.977215189873</c:v>
                </c:pt>
                <c:pt idx="141">
                  <c:v>487.963481012658</c:v>
                </c:pt>
                <c:pt idx="142">
                  <c:v>488.949746835443</c:v>
                </c:pt>
                <c:pt idx="143">
                  <c:v>489.936012658228</c:v>
                </c:pt>
                <c:pt idx="144">
                  <c:v>490.922278481013</c:v>
                </c:pt>
                <c:pt idx="145">
                  <c:v>491.908544303798</c:v>
                </c:pt>
                <c:pt idx="146">
                  <c:v>492.894810126582</c:v>
                </c:pt>
                <c:pt idx="147">
                  <c:v>493.881075949367</c:v>
                </c:pt>
                <c:pt idx="148">
                  <c:v>494.867341772152</c:v>
                </c:pt>
                <c:pt idx="149">
                  <c:v>495.853607594937</c:v>
                </c:pt>
                <c:pt idx="150">
                  <c:v>496.839873417722</c:v>
                </c:pt>
                <c:pt idx="151">
                  <c:v>497.826139240506</c:v>
                </c:pt>
                <c:pt idx="152">
                  <c:v>498.812405063291</c:v>
                </c:pt>
                <c:pt idx="153">
                  <c:v>499.798670886076</c:v>
                </c:pt>
                <c:pt idx="154">
                  <c:v>500.784936708861</c:v>
                </c:pt>
                <c:pt idx="155">
                  <c:v>501.771202531646</c:v>
                </c:pt>
                <c:pt idx="156">
                  <c:v>502.75746835443</c:v>
                </c:pt>
                <c:pt idx="157">
                  <c:v>503.743734177215</c:v>
                </c:pt>
                <c:pt idx="158">
                  <c:v>504.73</c:v>
                </c:pt>
                <c:pt idx="159">
                  <c:v>505.716265822785</c:v>
                </c:pt>
              </c:numCache>
            </c:numRef>
          </c:val>
          <c:smooth val="0"/>
        </c:ser>
        <c:hiLowLines>
          <c:spPr>
            <a:ln w="0">
              <a:noFill/>
            </a:ln>
          </c:spPr>
        </c:hiLowLines>
        <c:marker val="0"/>
        <c:axId val="24098461"/>
        <c:axId val="56716736"/>
      </c:lineChart>
      <c:dateAx>
        <c:axId val="7756659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538772"/>
        <c:auto val="1"/>
        <c:lblOffset val="100"/>
        <c:baseTimeUnit val="days"/>
      </c:dateAx>
      <c:valAx>
        <c:axId val="9153877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566592"/>
        <c:crosses val="autoZero"/>
        <c:crossBetween val="between"/>
      </c:valAx>
      <c:dateAx>
        <c:axId val="2409846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716736"/>
        <c:auto val="1"/>
        <c:lblOffset val="100"/>
        <c:baseTimeUnit val="days"/>
      </c:dateAx>
      <c:valAx>
        <c:axId val="5671673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09846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(Calc)'!$O$3:$O$500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-0.00315588406278544</c:v>
                </c:pt>
              </c:numCache>
            </c:numRef>
          </c:val>
        </c:ser>
        <c:gapWidth val="150"/>
        <c:overlap val="0"/>
        <c:axId val="36912136"/>
        <c:axId val="27948730"/>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(Calc)'!$AJ$3:$AJ$500</c:f>
              <c:numCache>
                <c:formatCode>#,##0.00</c:formatCode>
                <c:ptCount val="498"/>
                <c:pt idx="0">
                  <c:v>75.31</c:v>
                </c:pt>
                <c:pt idx="1">
                  <c:v>75.5930379746835</c:v>
                </c:pt>
                <c:pt idx="2">
                  <c:v>75.8760759493671</c:v>
                </c:pt>
                <c:pt idx="3">
                  <c:v>76.1591139240506</c:v>
                </c:pt>
                <c:pt idx="4">
                  <c:v>76.4421518987342</c:v>
                </c:pt>
                <c:pt idx="5">
                  <c:v>76.7251898734177</c:v>
                </c:pt>
                <c:pt idx="6">
                  <c:v>77.0082278481013</c:v>
                </c:pt>
                <c:pt idx="7">
                  <c:v>77.2912658227848</c:v>
                </c:pt>
                <c:pt idx="8">
                  <c:v>77.5743037974684</c:v>
                </c:pt>
                <c:pt idx="9">
                  <c:v>77.8573417721519</c:v>
                </c:pt>
                <c:pt idx="10">
                  <c:v>78.1403797468355</c:v>
                </c:pt>
                <c:pt idx="11">
                  <c:v>78.423417721519</c:v>
                </c:pt>
                <c:pt idx="12">
                  <c:v>78.7064556962025</c:v>
                </c:pt>
                <c:pt idx="13">
                  <c:v>78.9894936708861</c:v>
                </c:pt>
                <c:pt idx="14">
                  <c:v>79.2725316455696</c:v>
                </c:pt>
                <c:pt idx="15">
                  <c:v>79.5555696202532</c:v>
                </c:pt>
                <c:pt idx="16">
                  <c:v>79.8386075949367</c:v>
                </c:pt>
                <c:pt idx="17">
                  <c:v>80.1216455696203</c:v>
                </c:pt>
                <c:pt idx="18">
                  <c:v>80.4046835443038</c:v>
                </c:pt>
                <c:pt idx="19">
                  <c:v>80.6877215189874</c:v>
                </c:pt>
                <c:pt idx="20">
                  <c:v>80.9707594936709</c:v>
                </c:pt>
                <c:pt idx="21">
                  <c:v>81.2537974683544</c:v>
                </c:pt>
                <c:pt idx="22">
                  <c:v>81.536835443038</c:v>
                </c:pt>
                <c:pt idx="23">
                  <c:v>81.8198734177215</c:v>
                </c:pt>
                <c:pt idx="24">
                  <c:v>82.1029113924051</c:v>
                </c:pt>
                <c:pt idx="25">
                  <c:v>82.3859493670886</c:v>
                </c:pt>
                <c:pt idx="26">
                  <c:v>82.6689873417722</c:v>
                </c:pt>
                <c:pt idx="27">
                  <c:v>82.9520253164557</c:v>
                </c:pt>
                <c:pt idx="28">
                  <c:v>83.2350632911392</c:v>
                </c:pt>
                <c:pt idx="29">
                  <c:v>83.5181012658228</c:v>
                </c:pt>
                <c:pt idx="30">
                  <c:v>83.8011392405063</c:v>
                </c:pt>
                <c:pt idx="31">
                  <c:v>84.0841772151899</c:v>
                </c:pt>
                <c:pt idx="32">
                  <c:v>84.3672151898734</c:v>
                </c:pt>
                <c:pt idx="33">
                  <c:v>84.650253164557</c:v>
                </c:pt>
                <c:pt idx="34">
                  <c:v>84.9332911392405</c:v>
                </c:pt>
                <c:pt idx="35">
                  <c:v>85.2163291139241</c:v>
                </c:pt>
                <c:pt idx="36">
                  <c:v>85.4993670886076</c:v>
                </c:pt>
                <c:pt idx="37">
                  <c:v>85.7824050632911</c:v>
                </c:pt>
                <c:pt idx="38">
                  <c:v>86.0654430379747</c:v>
                </c:pt>
                <c:pt idx="39">
                  <c:v>86.3484810126582</c:v>
                </c:pt>
                <c:pt idx="40">
                  <c:v>86.6315189873418</c:v>
                </c:pt>
                <c:pt idx="41">
                  <c:v>86.9145569620253</c:v>
                </c:pt>
                <c:pt idx="42">
                  <c:v>87.1975949367089</c:v>
                </c:pt>
                <c:pt idx="43">
                  <c:v>87.4806329113924</c:v>
                </c:pt>
                <c:pt idx="44">
                  <c:v>87.7636708860759</c:v>
                </c:pt>
                <c:pt idx="45">
                  <c:v>88.0467088607595</c:v>
                </c:pt>
                <c:pt idx="46">
                  <c:v>88.3297468354431</c:v>
                </c:pt>
                <c:pt idx="47">
                  <c:v>88.6127848101266</c:v>
                </c:pt>
                <c:pt idx="48">
                  <c:v>88.8958227848101</c:v>
                </c:pt>
                <c:pt idx="49">
                  <c:v>89.1788607594937</c:v>
                </c:pt>
                <c:pt idx="50">
                  <c:v>89.4618987341772</c:v>
                </c:pt>
                <c:pt idx="51">
                  <c:v>89.7449367088608</c:v>
                </c:pt>
                <c:pt idx="52">
                  <c:v>90.0279746835443</c:v>
                </c:pt>
                <c:pt idx="53">
                  <c:v>90.3110126582279</c:v>
                </c:pt>
                <c:pt idx="54">
                  <c:v>90.5940506329114</c:v>
                </c:pt>
                <c:pt idx="55">
                  <c:v>90.8770886075949</c:v>
                </c:pt>
                <c:pt idx="56">
                  <c:v>91.1601265822785</c:v>
                </c:pt>
                <c:pt idx="57">
                  <c:v>91.443164556962</c:v>
                </c:pt>
                <c:pt idx="58">
                  <c:v>91.7262025316456</c:v>
                </c:pt>
                <c:pt idx="59">
                  <c:v>92.0092405063291</c:v>
                </c:pt>
                <c:pt idx="60">
                  <c:v>92.2922784810127</c:v>
                </c:pt>
                <c:pt idx="61">
                  <c:v>92.5753164556962</c:v>
                </c:pt>
                <c:pt idx="62">
                  <c:v>92.8583544303798</c:v>
                </c:pt>
                <c:pt idx="63">
                  <c:v>93.1413924050633</c:v>
                </c:pt>
                <c:pt idx="64">
                  <c:v>93.4244303797468</c:v>
                </c:pt>
                <c:pt idx="65">
                  <c:v>93.7074683544304</c:v>
                </c:pt>
                <c:pt idx="66">
                  <c:v>93.9905063291139</c:v>
                </c:pt>
                <c:pt idx="67">
                  <c:v>94.2735443037975</c:v>
                </c:pt>
                <c:pt idx="68">
                  <c:v>94.556582278481</c:v>
                </c:pt>
                <c:pt idx="69">
                  <c:v>94.8396202531646</c:v>
                </c:pt>
                <c:pt idx="70">
                  <c:v>95.1226582278481</c:v>
                </c:pt>
                <c:pt idx="71">
                  <c:v>95.4056962025316</c:v>
                </c:pt>
                <c:pt idx="72">
                  <c:v>95.6887341772152</c:v>
                </c:pt>
                <c:pt idx="73">
                  <c:v>95.9717721518987</c:v>
                </c:pt>
                <c:pt idx="74">
                  <c:v>96.2548101265823</c:v>
                </c:pt>
                <c:pt idx="75">
                  <c:v>96.5378481012658</c:v>
                </c:pt>
                <c:pt idx="76">
                  <c:v>96.8208860759494</c:v>
                </c:pt>
                <c:pt idx="77">
                  <c:v>97.1039240506329</c:v>
                </c:pt>
                <c:pt idx="78">
                  <c:v>97.3869620253165</c:v>
                </c:pt>
                <c:pt idx="79">
                  <c:v>97.67</c:v>
                </c:pt>
                <c:pt idx="80">
                  <c:v>97.9530379746836</c:v>
                </c:pt>
                <c:pt idx="81">
                  <c:v>98.2360759493671</c:v>
                </c:pt>
                <c:pt idx="82">
                  <c:v>98.5191139240506</c:v>
                </c:pt>
                <c:pt idx="83">
                  <c:v>98.8021518987342</c:v>
                </c:pt>
                <c:pt idx="84">
                  <c:v>99.0851898734177</c:v>
                </c:pt>
                <c:pt idx="85">
                  <c:v>99.3682278481013</c:v>
                </c:pt>
                <c:pt idx="86">
                  <c:v>99.6512658227848</c:v>
                </c:pt>
                <c:pt idx="87">
                  <c:v>99.9343037974684</c:v>
                </c:pt>
                <c:pt idx="88">
                  <c:v>100.217341772152</c:v>
                </c:pt>
                <c:pt idx="89">
                  <c:v>100.500379746835</c:v>
                </c:pt>
                <c:pt idx="90">
                  <c:v>100.783417721519</c:v>
                </c:pt>
                <c:pt idx="91">
                  <c:v>101.066455696203</c:v>
                </c:pt>
                <c:pt idx="92">
                  <c:v>101.349493670886</c:v>
                </c:pt>
                <c:pt idx="93">
                  <c:v>101.63253164557</c:v>
                </c:pt>
                <c:pt idx="94">
                  <c:v>101.915569620253</c:v>
                </c:pt>
                <c:pt idx="95">
                  <c:v>102.198607594937</c:v>
                </c:pt>
                <c:pt idx="96">
                  <c:v>102.48164556962</c:v>
                </c:pt>
                <c:pt idx="97">
                  <c:v>102.764683544304</c:v>
                </c:pt>
                <c:pt idx="98">
                  <c:v>103.047721518987</c:v>
                </c:pt>
                <c:pt idx="99">
                  <c:v>103.330759493671</c:v>
                </c:pt>
                <c:pt idx="100">
                  <c:v>103.613797468354</c:v>
                </c:pt>
                <c:pt idx="101">
                  <c:v>103.896835443038</c:v>
                </c:pt>
                <c:pt idx="102">
                  <c:v>104.179873417722</c:v>
                </c:pt>
                <c:pt idx="103">
                  <c:v>104.462911392405</c:v>
                </c:pt>
                <c:pt idx="104">
                  <c:v>104.745949367089</c:v>
                </c:pt>
                <c:pt idx="105">
                  <c:v>105.028987341772</c:v>
                </c:pt>
                <c:pt idx="106">
                  <c:v>105.312025316456</c:v>
                </c:pt>
                <c:pt idx="107">
                  <c:v>105.595063291139</c:v>
                </c:pt>
                <c:pt idx="108">
                  <c:v>105.878101265823</c:v>
                </c:pt>
                <c:pt idx="109">
                  <c:v>106.161139240506</c:v>
                </c:pt>
                <c:pt idx="110">
                  <c:v>106.44417721519</c:v>
                </c:pt>
                <c:pt idx="111">
                  <c:v>106.727215189873</c:v>
                </c:pt>
                <c:pt idx="112">
                  <c:v>107.010253164557</c:v>
                </c:pt>
                <c:pt idx="113">
                  <c:v>107.293291139241</c:v>
                </c:pt>
                <c:pt idx="114">
                  <c:v>107.576329113924</c:v>
                </c:pt>
                <c:pt idx="115">
                  <c:v>107.859367088608</c:v>
                </c:pt>
                <c:pt idx="116">
                  <c:v>108.142405063291</c:v>
                </c:pt>
                <c:pt idx="117">
                  <c:v>108.425443037975</c:v>
                </c:pt>
                <c:pt idx="118">
                  <c:v>108.708481012658</c:v>
                </c:pt>
                <c:pt idx="119">
                  <c:v>108.991518987342</c:v>
                </c:pt>
                <c:pt idx="120">
                  <c:v>109.274556962025</c:v>
                </c:pt>
                <c:pt idx="121">
                  <c:v>109.557594936709</c:v>
                </c:pt>
                <c:pt idx="122">
                  <c:v>109.840632911392</c:v>
                </c:pt>
                <c:pt idx="123">
                  <c:v>110.123670886076</c:v>
                </c:pt>
                <c:pt idx="124">
                  <c:v>110.40670886076</c:v>
                </c:pt>
                <c:pt idx="125">
                  <c:v>110.689746835443</c:v>
                </c:pt>
                <c:pt idx="126">
                  <c:v>110.972784810127</c:v>
                </c:pt>
                <c:pt idx="127">
                  <c:v>111.25582278481</c:v>
                </c:pt>
                <c:pt idx="128">
                  <c:v>111.538860759494</c:v>
                </c:pt>
                <c:pt idx="129">
                  <c:v>111.821898734177</c:v>
                </c:pt>
                <c:pt idx="130">
                  <c:v>112.104936708861</c:v>
                </c:pt>
                <c:pt idx="131">
                  <c:v>112.387974683544</c:v>
                </c:pt>
                <c:pt idx="132">
                  <c:v>112.671012658228</c:v>
                </c:pt>
                <c:pt idx="133">
                  <c:v>112.954050632911</c:v>
                </c:pt>
                <c:pt idx="134">
                  <c:v>113.237088607595</c:v>
                </c:pt>
                <c:pt idx="135">
                  <c:v>113.520126582278</c:v>
                </c:pt>
                <c:pt idx="136">
                  <c:v>113.803164556962</c:v>
                </c:pt>
                <c:pt idx="137">
                  <c:v>114.086202531646</c:v>
                </c:pt>
                <c:pt idx="138">
                  <c:v>114.369240506329</c:v>
                </c:pt>
                <c:pt idx="139">
                  <c:v>114.652278481013</c:v>
                </c:pt>
                <c:pt idx="140">
                  <c:v>114.935316455696</c:v>
                </c:pt>
                <c:pt idx="141">
                  <c:v>115.21835443038</c:v>
                </c:pt>
                <c:pt idx="142">
                  <c:v>115.501392405063</c:v>
                </c:pt>
                <c:pt idx="143">
                  <c:v>115.784430379747</c:v>
                </c:pt>
                <c:pt idx="144">
                  <c:v>116.06746835443</c:v>
                </c:pt>
                <c:pt idx="145">
                  <c:v>116.350506329114</c:v>
                </c:pt>
                <c:pt idx="146">
                  <c:v>116.633544303797</c:v>
                </c:pt>
                <c:pt idx="147">
                  <c:v>116.916582278481</c:v>
                </c:pt>
                <c:pt idx="148">
                  <c:v>117.199620253165</c:v>
                </c:pt>
                <c:pt idx="149">
                  <c:v>117.482658227848</c:v>
                </c:pt>
                <c:pt idx="150">
                  <c:v>117.765696202532</c:v>
                </c:pt>
                <c:pt idx="151">
                  <c:v>118.048734177215</c:v>
                </c:pt>
                <c:pt idx="152">
                  <c:v>118.331772151899</c:v>
                </c:pt>
                <c:pt idx="153">
                  <c:v>118.614810126582</c:v>
                </c:pt>
                <c:pt idx="154">
                  <c:v>118.897848101266</c:v>
                </c:pt>
                <c:pt idx="155">
                  <c:v>119.180886075949</c:v>
                </c:pt>
                <c:pt idx="156">
                  <c:v>119.463924050633</c:v>
                </c:pt>
                <c:pt idx="157">
                  <c:v>119.746962025316</c:v>
                </c:pt>
                <c:pt idx="158">
                  <c:v>120.03</c:v>
                </c:pt>
                <c:pt idx="159">
                  <c:v>120.313037974684</c:v>
                </c:pt>
              </c:numCache>
            </c:numRef>
          </c:val>
          <c:smooth val="0"/>
        </c:ser>
        <c:hiLowLines>
          <c:spPr>
            <a:ln w="0">
              <a:noFill/>
            </a:ln>
          </c:spPr>
        </c:hiLowLines>
        <c:marker val="0"/>
        <c:axId val="42481168"/>
        <c:axId val="81472386"/>
      </c:lineChart>
      <c:dateAx>
        <c:axId val="3691213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948730"/>
        <c:auto val="1"/>
        <c:lblOffset val="100"/>
        <c:baseTimeUnit val="days"/>
      </c:dateAx>
      <c:valAx>
        <c:axId val="2794873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912136"/>
        <c:crosses val="autoZero"/>
        <c:crossBetween val="between"/>
      </c:valAx>
      <c:dateAx>
        <c:axId val="4248116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472386"/>
        <c:auto val="1"/>
        <c:lblOffset val="100"/>
        <c:baseTimeUnit val="days"/>
      </c:dateAx>
      <c:valAx>
        <c:axId val="8147238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48116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(Calc)'!$Q$3:$Q$500</c:f>
              <c:numCache>
                <c:formatCode>0.0%</c:formatCode>
                <c:ptCount val="498"/>
                <c:pt idx="2">
                  <c:v>0.00327198364008185</c:v>
                </c:pt>
                <c:pt idx="3">
                  <c:v>0.0034651447207501</c:v>
                </c:pt>
                <c:pt idx="4">
                  <c:v>-0.011375177737152</c:v>
                </c:pt>
                <c:pt idx="5">
                  <c:v>-0.0172590918430245</c:v>
                </c:pt>
                <c:pt idx="6">
                  <c:v>0.0403512439891283</c:v>
                </c:pt>
                <c:pt idx="7">
                  <c:v>0.010048231511254</c:v>
                </c:pt>
                <c:pt idx="8">
                  <c:v>0.0129327497015519</c:v>
                </c:pt>
                <c:pt idx="9">
                  <c:v>0.00432135140443934</c:v>
                </c:pt>
                <c:pt idx="10">
                  <c:v>0.000977899471934274</c:v>
                </c:pt>
                <c:pt idx="11">
                  <c:v>0.00371238765142623</c:v>
                </c:pt>
                <c:pt idx="12">
                  <c:v>0.00914930893517618</c:v>
                </c:pt>
                <c:pt idx="13">
                  <c:v>0.00115740740740722</c:v>
                </c:pt>
                <c:pt idx="14">
                  <c:v>0.00173410404624286</c:v>
                </c:pt>
                <c:pt idx="15">
                  <c:v>-0.00442392767839972</c:v>
                </c:pt>
                <c:pt idx="16">
                  <c:v>0.00985316846986106</c:v>
                </c:pt>
                <c:pt idx="17">
                  <c:v>0.00593074421274142</c:v>
                </c:pt>
                <c:pt idx="18">
                  <c:v>0.006276150627615</c:v>
                </c:pt>
                <c:pt idx="19">
                  <c:v>0.0141750141750141</c:v>
                </c:pt>
                <c:pt idx="20">
                  <c:v>0.00428624673872546</c:v>
                </c:pt>
                <c:pt idx="21">
                  <c:v>-0.00556689552792722</c:v>
                </c:pt>
                <c:pt idx="22">
                  <c:v>0.00765068109721967</c:v>
                </c:pt>
                <c:pt idx="23">
                  <c:v>0.00629629629629647</c:v>
                </c:pt>
                <c:pt idx="24">
                  <c:v>0.0005520794994478</c:v>
                </c:pt>
                <c:pt idx="25">
                  <c:v>0.000183924958617077</c:v>
                </c:pt>
                <c:pt idx="26">
                  <c:v>0.0121368150055168</c:v>
                </c:pt>
                <c:pt idx="27">
                  <c:v>0.000726744186046568</c:v>
                </c:pt>
                <c:pt idx="28">
                  <c:v>-0.00381263616557737</c:v>
                </c:pt>
                <c:pt idx="29">
                  <c:v>-0.00637871332239826</c:v>
                </c:pt>
                <c:pt idx="30">
                  <c:v>-0.0194424064563463</c:v>
                </c:pt>
                <c:pt idx="31">
                  <c:v>0.0205761316872428</c:v>
                </c:pt>
                <c:pt idx="32">
                  <c:v>0.00421554252199408</c:v>
                </c:pt>
                <c:pt idx="33">
                  <c:v>0.0155137798868408</c:v>
                </c:pt>
                <c:pt idx="34">
                  <c:v>0.01078360891445</c:v>
                </c:pt>
                <c:pt idx="35">
                  <c:v>0.00106685633001424</c:v>
                </c:pt>
                <c:pt idx="36">
                  <c:v>-0.00266429840142091</c:v>
                </c:pt>
                <c:pt idx="37">
                  <c:v>0.0110418521816564</c:v>
                </c:pt>
                <c:pt idx="38">
                  <c:v>0.00915976748282543</c:v>
                </c:pt>
                <c:pt idx="39">
                  <c:v>0.00314190958282423</c:v>
                </c:pt>
                <c:pt idx="40">
                  <c:v>0.00417609187402124</c:v>
                </c:pt>
                <c:pt idx="41">
                  <c:v>0.00710448795702656</c:v>
                </c:pt>
                <c:pt idx="42">
                  <c:v>0.00344115622849284</c:v>
                </c:pt>
                <c:pt idx="43">
                  <c:v>-0.00668724279835387</c:v>
                </c:pt>
                <c:pt idx="44">
                  <c:v>-0.00414293112377007</c:v>
                </c:pt>
                <c:pt idx="45">
                  <c:v>-0.0107470965505286</c:v>
                </c:pt>
                <c:pt idx="46">
                  <c:v>0.000700893639390188</c:v>
                </c:pt>
                <c:pt idx="47">
                  <c:v>0.0260900017510068</c:v>
                </c:pt>
                <c:pt idx="48">
                  <c:v>0.00887372013651877</c:v>
                </c:pt>
                <c:pt idx="49">
                  <c:v>0.00355209742895801</c:v>
                </c:pt>
                <c:pt idx="50">
                  <c:v>-0.0269678071801787</c:v>
                </c:pt>
                <c:pt idx="51">
                  <c:v>0.0259830244240429</c:v>
                </c:pt>
                <c:pt idx="52">
                  <c:v>0.00827283471213924</c:v>
                </c:pt>
                <c:pt idx="53">
                  <c:v>0.0068653717347622</c:v>
                </c:pt>
                <c:pt idx="54">
                  <c:v>0.00133045069017124</c:v>
                </c:pt>
                <c:pt idx="55">
                  <c:v>0.00813818302607539</c:v>
                </c:pt>
                <c:pt idx="56">
                  <c:v>0.00823723228995066</c:v>
                </c:pt>
                <c:pt idx="57">
                  <c:v>-0.00277777777777777</c:v>
                </c:pt>
                <c:pt idx="58">
                  <c:v>-0.00884810748812059</c:v>
                </c:pt>
                <c:pt idx="59">
                  <c:v>0.0243015374442057</c:v>
                </c:pt>
                <c:pt idx="60">
                  <c:v>-0.00952227243382831</c:v>
                </c:pt>
                <c:pt idx="61">
                  <c:v>0.00749551898321665</c:v>
                </c:pt>
                <c:pt idx="62">
                  <c:v>0.00614588387514159</c:v>
                </c:pt>
                <c:pt idx="63">
                  <c:v>0.00369715479826382</c:v>
                </c:pt>
                <c:pt idx="64">
                  <c:v>-0.00176169122357461</c:v>
                </c:pt>
                <c:pt idx="65">
                  <c:v>-0.0121931654099149</c:v>
                </c:pt>
                <c:pt idx="66">
                  <c:v>0.00649667045639113</c:v>
                </c:pt>
                <c:pt idx="67">
                  <c:v>-0.00403421010166205</c:v>
                </c:pt>
                <c:pt idx="68">
                  <c:v>-0.0121516526247569</c:v>
                </c:pt>
                <c:pt idx="69">
                  <c:v>0.0172215843857635</c:v>
                </c:pt>
                <c:pt idx="70">
                  <c:v>0.0103192518542405</c:v>
                </c:pt>
                <c:pt idx="71">
                  <c:v>-0.00861793807851896</c:v>
                </c:pt>
                <c:pt idx="72">
                  <c:v>-0.000643915003219586</c:v>
                </c:pt>
                <c:pt idx="73">
                  <c:v>0.0104703608247423</c:v>
                </c:pt>
                <c:pt idx="74">
                  <c:v>-0.00892714809501027</c:v>
                </c:pt>
                <c:pt idx="75">
                  <c:v>-0.0064339713688274</c:v>
                </c:pt>
                <c:pt idx="76">
                  <c:v>-0.0174842156386597</c:v>
                </c:pt>
                <c:pt idx="77">
                  <c:v>-0.0141703740319657</c:v>
                </c:pt>
                <c:pt idx="78">
                  <c:v>-0.00200568276784219</c:v>
                </c:pt>
                <c:pt idx="79">
                  <c:v>-0.011555853290906</c:v>
                </c:pt>
                <c:pt idx="80">
                  <c:v>-0.0388004066418164</c:v>
                </c:pt>
                <c:pt idx="81">
                  <c:v>0.0188612726952231</c:v>
                </c:pt>
                <c:pt idx="82">
                  <c:v>-0.00605536332179923</c:v>
                </c:pt>
                <c:pt idx="83">
                  <c:v>0.0177545691906005</c:v>
                </c:pt>
                <c:pt idx="84">
                  <c:v>0.0164186762442278</c:v>
                </c:pt>
                <c:pt idx="85">
                  <c:v>-0.00252397778899538</c:v>
                </c:pt>
                <c:pt idx="86">
                  <c:v>0.0293522267206479</c:v>
                </c:pt>
                <c:pt idx="87">
                  <c:v>-0.0165519501802689</c:v>
                </c:pt>
                <c:pt idx="88">
                  <c:v>0.0108315280786535</c:v>
                </c:pt>
                <c:pt idx="89">
                  <c:v>0.00972634355423674</c:v>
                </c:pt>
                <c:pt idx="90">
                  <c:v>-0.000163265306122429</c:v>
                </c:pt>
                <c:pt idx="91">
                  <c:v>0.000816459830176308</c:v>
                </c:pt>
                <c:pt idx="92">
                  <c:v>0.0124000652635015</c:v>
                </c:pt>
                <c:pt idx="93">
                  <c:v>0.00660757453666405</c:v>
                </c:pt>
                <c:pt idx="94">
                  <c:v>0.00160102465577983</c:v>
                </c:pt>
                <c:pt idx="95">
                  <c:v>0.00351662404092079</c:v>
                </c:pt>
                <c:pt idx="96">
                  <c:v>0.00223000955718389</c:v>
                </c:pt>
                <c:pt idx="97">
                  <c:v>-0.0104895104895105</c:v>
                </c:pt>
                <c:pt idx="98">
                  <c:v>0.0115644073241246</c:v>
                </c:pt>
                <c:pt idx="99">
                  <c:v>0.00730390600190534</c:v>
                </c:pt>
                <c:pt idx="100">
                  <c:v>0.00362547288776804</c:v>
                </c:pt>
                <c:pt idx="101">
                  <c:v>0.000157059839798857</c:v>
                </c:pt>
                <c:pt idx="102">
                  <c:v>0.00219849246231152</c:v>
                </c:pt>
                <c:pt idx="103">
                  <c:v>0.00846129739893442</c:v>
                </c:pt>
                <c:pt idx="104">
                  <c:v>0.00201988812927278</c:v>
                </c:pt>
                <c:pt idx="105">
                  <c:v>0.000310125600868405</c:v>
                </c:pt>
                <c:pt idx="106">
                  <c:v>0.003255309254379</c:v>
                </c:pt>
                <c:pt idx="107">
                  <c:v>-0.0126699629171817</c:v>
                </c:pt>
                <c:pt idx="108">
                  <c:v>0.00985915492957745</c:v>
                </c:pt>
                <c:pt idx="109">
                  <c:v>0.0100728343406169</c:v>
                </c:pt>
                <c:pt idx="110">
                  <c:v>0.000613685179502888</c:v>
                </c:pt>
                <c:pt idx="111">
                  <c:v>-0.00505979760809561</c:v>
                </c:pt>
                <c:pt idx="112">
                  <c:v>0.00154106950223443</c:v>
                </c:pt>
                <c:pt idx="113">
                  <c:v>-0.00892444991537156</c:v>
                </c:pt>
                <c:pt idx="114">
                  <c:v>0.0217357553174973</c:v>
                </c:pt>
                <c:pt idx="115">
                  <c:v>0.00227928886187501</c:v>
                </c:pt>
                <c:pt idx="116">
                  <c:v>-0.00121285627653123</c:v>
                </c:pt>
                <c:pt idx="117">
                  <c:v>0.00227686703096541</c:v>
                </c:pt>
                <c:pt idx="118">
                  <c:v>0.0106012418597607</c:v>
                </c:pt>
                <c:pt idx="119">
                  <c:v>-0.00824216993855831</c:v>
                </c:pt>
                <c:pt idx="120">
                  <c:v>0.00906618313689922</c:v>
                </c:pt>
                <c:pt idx="121">
                  <c:v>-0.00449236298292899</c:v>
                </c:pt>
                <c:pt idx="122">
                  <c:v>-0.000300842358604281</c:v>
                </c:pt>
                <c:pt idx="123">
                  <c:v>0.00361119470358129</c:v>
                </c:pt>
                <c:pt idx="124">
                  <c:v>0.00284857571214392</c:v>
                </c:pt>
                <c:pt idx="125">
                  <c:v>-0.00867095230976223</c:v>
                </c:pt>
                <c:pt idx="126">
                  <c:v>0.00678630674106473</c:v>
                </c:pt>
                <c:pt idx="127">
                  <c:v>-0.00569203115638117</c:v>
                </c:pt>
                <c:pt idx="128">
                  <c:v>-0.0112985839108165</c:v>
                </c:pt>
                <c:pt idx="129">
                  <c:v>-0.0134085022093554</c:v>
                </c:pt>
                <c:pt idx="130">
                  <c:v>-0.0111196911196911</c:v>
                </c:pt>
                <c:pt idx="131">
                  <c:v>-0.0128064969545526</c:v>
                </c:pt>
                <c:pt idx="132">
                  <c:v>0.0117070083847493</c:v>
                </c:pt>
                <c:pt idx="133">
                  <c:v>0.0203283815480844</c:v>
                </c:pt>
                <c:pt idx="134">
                  <c:v>0.0257471264367817</c:v>
                </c:pt>
                <c:pt idx="135">
                  <c:v>0.00224114746750326</c:v>
                </c:pt>
                <c:pt idx="136">
                  <c:v>0.00402504472271903</c:v>
                </c:pt>
                <c:pt idx="137">
                  <c:v>0.00193021529324433</c:v>
                </c:pt>
                <c:pt idx="138">
                  <c:v>0.000296384113811499</c:v>
                </c:pt>
                <c:pt idx="139">
                  <c:v>0.000740740740740709</c:v>
                </c:pt>
                <c:pt idx="140">
                  <c:v>0.00429311621021467</c:v>
                </c:pt>
                <c:pt idx="141">
                  <c:v>-0.0104658018867926</c:v>
                </c:pt>
                <c:pt idx="142">
                  <c:v>0.000446894086101546</c:v>
                </c:pt>
                <c:pt idx="143">
                  <c:v>0.0083382966051222</c:v>
                </c:pt>
                <c:pt idx="144">
                  <c:v>-0.0107796810395748</c:v>
                </c:pt>
                <c:pt idx="145">
                  <c:v>0.007613076578594</c:v>
                </c:pt>
                <c:pt idx="146">
                  <c:v>0.0109629629629628</c:v>
                </c:pt>
                <c:pt idx="147">
                  <c:v>-0.00923212192262601</c:v>
                </c:pt>
                <c:pt idx="148">
                  <c:v>-0.00177488537198645</c:v>
                </c:pt>
                <c:pt idx="149">
                  <c:v>0.0128907986368352</c:v>
                </c:pt>
                <c:pt idx="150">
                  <c:v>0.0206260971328263</c:v>
                </c:pt>
                <c:pt idx="151">
                  <c:v>0.00415651426114394</c:v>
                </c:pt>
                <c:pt idx="152">
                  <c:v>-0.0105623751070513</c:v>
                </c:pt>
                <c:pt idx="153">
                  <c:v>0.0040392383150607</c:v>
                </c:pt>
                <c:pt idx="154">
                  <c:v>0.000431034482758719</c:v>
                </c:pt>
                <c:pt idx="155">
                  <c:v>-0.00689358035329579</c:v>
                </c:pt>
                <c:pt idx="156">
                  <c:v>-0.00231381055676083</c:v>
                </c:pt>
                <c:pt idx="157">
                  <c:v>0.00855196405276137</c:v>
                </c:pt>
                <c:pt idx="158">
                  <c:v>-0.00229951135383721</c:v>
                </c:pt>
              </c:numCache>
            </c:numRef>
          </c:val>
        </c:ser>
        <c:gapWidth val="150"/>
        <c:overlap val="0"/>
        <c:axId val="84771421"/>
        <c:axId val="16430543"/>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(Calc)'!$AK$3:$AK$500</c:f>
              <c:numCache>
                <c:formatCode>#,##0.00</c:formatCode>
                <c:ptCount val="498"/>
                <c:pt idx="0">
                  <c:v>0</c:v>
                </c:pt>
                <c:pt idx="1">
                  <c:v>0.439367088607595</c:v>
                </c:pt>
                <c:pt idx="2">
                  <c:v>0.87873417721519</c:v>
                </c:pt>
                <c:pt idx="3">
                  <c:v>1.31810126582278</c:v>
                </c:pt>
                <c:pt idx="4">
                  <c:v>1.75746835443038</c:v>
                </c:pt>
                <c:pt idx="5">
                  <c:v>2.19683544303798</c:v>
                </c:pt>
                <c:pt idx="6">
                  <c:v>2.63620253164557</c:v>
                </c:pt>
                <c:pt idx="7">
                  <c:v>3.07556962025316</c:v>
                </c:pt>
                <c:pt idx="8">
                  <c:v>3.51493670886076</c:v>
                </c:pt>
                <c:pt idx="9">
                  <c:v>3.95430379746835</c:v>
                </c:pt>
                <c:pt idx="10">
                  <c:v>4.39367088607595</c:v>
                </c:pt>
                <c:pt idx="11">
                  <c:v>4.83303797468355</c:v>
                </c:pt>
                <c:pt idx="12">
                  <c:v>5.27240506329114</c:v>
                </c:pt>
                <c:pt idx="13">
                  <c:v>5.71177215189873</c:v>
                </c:pt>
                <c:pt idx="14">
                  <c:v>6.15113924050633</c:v>
                </c:pt>
                <c:pt idx="15">
                  <c:v>6.59050632911392</c:v>
                </c:pt>
                <c:pt idx="16">
                  <c:v>7.02987341772152</c:v>
                </c:pt>
                <c:pt idx="17">
                  <c:v>7.46924050632912</c:v>
                </c:pt>
                <c:pt idx="18">
                  <c:v>7.90860759493671</c:v>
                </c:pt>
                <c:pt idx="19">
                  <c:v>8.3479746835443</c:v>
                </c:pt>
                <c:pt idx="20">
                  <c:v>8.7873417721519</c:v>
                </c:pt>
                <c:pt idx="21">
                  <c:v>9.22670886075949</c:v>
                </c:pt>
                <c:pt idx="22">
                  <c:v>9.66607594936709</c:v>
                </c:pt>
                <c:pt idx="23">
                  <c:v>10.1054430379747</c:v>
                </c:pt>
                <c:pt idx="24">
                  <c:v>10.5448101265823</c:v>
                </c:pt>
                <c:pt idx="25">
                  <c:v>10.9841772151899</c:v>
                </c:pt>
                <c:pt idx="26">
                  <c:v>11.4235443037975</c:v>
                </c:pt>
                <c:pt idx="27">
                  <c:v>11.8629113924051</c:v>
                </c:pt>
                <c:pt idx="28">
                  <c:v>12.3022784810127</c:v>
                </c:pt>
                <c:pt idx="29">
                  <c:v>12.7416455696203</c:v>
                </c:pt>
                <c:pt idx="30">
                  <c:v>13.1810126582278</c:v>
                </c:pt>
                <c:pt idx="31">
                  <c:v>13.6203797468354</c:v>
                </c:pt>
                <c:pt idx="32">
                  <c:v>14.059746835443</c:v>
                </c:pt>
                <c:pt idx="33">
                  <c:v>14.4991139240506</c:v>
                </c:pt>
                <c:pt idx="34">
                  <c:v>14.9384810126582</c:v>
                </c:pt>
                <c:pt idx="35">
                  <c:v>15.3778481012658</c:v>
                </c:pt>
                <c:pt idx="36">
                  <c:v>15.8172151898734</c:v>
                </c:pt>
                <c:pt idx="37">
                  <c:v>16.256582278481</c:v>
                </c:pt>
                <c:pt idx="38">
                  <c:v>16.6959493670886</c:v>
                </c:pt>
                <c:pt idx="39">
                  <c:v>17.1353164556962</c:v>
                </c:pt>
                <c:pt idx="40">
                  <c:v>17.5746835443038</c:v>
                </c:pt>
                <c:pt idx="41">
                  <c:v>18.0140506329114</c:v>
                </c:pt>
                <c:pt idx="42">
                  <c:v>18.453417721519</c:v>
                </c:pt>
                <c:pt idx="43">
                  <c:v>18.8927848101266</c:v>
                </c:pt>
                <c:pt idx="44">
                  <c:v>19.3321518987342</c:v>
                </c:pt>
                <c:pt idx="45">
                  <c:v>19.7715189873418</c:v>
                </c:pt>
                <c:pt idx="46">
                  <c:v>20.2108860759494</c:v>
                </c:pt>
                <c:pt idx="47">
                  <c:v>20.650253164557</c:v>
                </c:pt>
                <c:pt idx="48">
                  <c:v>21.0896202531646</c:v>
                </c:pt>
                <c:pt idx="49">
                  <c:v>21.5289873417722</c:v>
                </c:pt>
                <c:pt idx="50">
                  <c:v>21.9683544303797</c:v>
                </c:pt>
                <c:pt idx="51">
                  <c:v>22.4077215189873</c:v>
                </c:pt>
                <c:pt idx="52">
                  <c:v>22.8470886075949</c:v>
                </c:pt>
                <c:pt idx="53">
                  <c:v>23.2864556962025</c:v>
                </c:pt>
                <c:pt idx="54">
                  <c:v>23.7258227848101</c:v>
                </c:pt>
                <c:pt idx="55">
                  <c:v>24.1651898734177</c:v>
                </c:pt>
                <c:pt idx="56">
                  <c:v>24.6045569620253</c:v>
                </c:pt>
                <c:pt idx="57">
                  <c:v>25.0439240506329</c:v>
                </c:pt>
                <c:pt idx="58">
                  <c:v>25.4832911392405</c:v>
                </c:pt>
                <c:pt idx="59">
                  <c:v>25.9226582278481</c:v>
                </c:pt>
                <c:pt idx="60">
                  <c:v>26.3620253164557</c:v>
                </c:pt>
                <c:pt idx="61">
                  <c:v>26.8013924050633</c:v>
                </c:pt>
                <c:pt idx="62">
                  <c:v>27.2407594936709</c:v>
                </c:pt>
                <c:pt idx="63">
                  <c:v>27.6801265822785</c:v>
                </c:pt>
                <c:pt idx="64">
                  <c:v>28.1194936708861</c:v>
                </c:pt>
                <c:pt idx="65">
                  <c:v>28.5588607594937</c:v>
                </c:pt>
                <c:pt idx="66">
                  <c:v>28.9982278481013</c:v>
                </c:pt>
                <c:pt idx="67">
                  <c:v>29.4375949367089</c:v>
                </c:pt>
                <c:pt idx="68">
                  <c:v>29.8769620253165</c:v>
                </c:pt>
                <c:pt idx="69">
                  <c:v>30.3163291139241</c:v>
                </c:pt>
                <c:pt idx="70">
                  <c:v>30.7556962025317</c:v>
                </c:pt>
                <c:pt idx="71">
                  <c:v>31.1950632911392</c:v>
                </c:pt>
                <c:pt idx="72">
                  <c:v>31.6344303797468</c:v>
                </c:pt>
                <c:pt idx="73">
                  <c:v>32.0737974683544</c:v>
                </c:pt>
                <c:pt idx="74">
                  <c:v>32.513164556962</c:v>
                </c:pt>
                <c:pt idx="75">
                  <c:v>32.9525316455696</c:v>
                </c:pt>
                <c:pt idx="76">
                  <c:v>33.3918987341772</c:v>
                </c:pt>
                <c:pt idx="77">
                  <c:v>33.8312658227848</c:v>
                </c:pt>
                <c:pt idx="78">
                  <c:v>34.2706329113924</c:v>
                </c:pt>
                <c:pt idx="79">
                  <c:v>34.71</c:v>
                </c:pt>
                <c:pt idx="80">
                  <c:v>35.1493670886076</c:v>
                </c:pt>
                <c:pt idx="81">
                  <c:v>35.5887341772152</c:v>
                </c:pt>
                <c:pt idx="82">
                  <c:v>36.0281012658228</c:v>
                </c:pt>
                <c:pt idx="83">
                  <c:v>36.4674683544304</c:v>
                </c:pt>
                <c:pt idx="84">
                  <c:v>36.906835443038</c:v>
                </c:pt>
                <c:pt idx="85">
                  <c:v>37.3462025316456</c:v>
                </c:pt>
                <c:pt idx="86">
                  <c:v>37.7855696202532</c:v>
                </c:pt>
                <c:pt idx="87">
                  <c:v>38.2249367088608</c:v>
                </c:pt>
                <c:pt idx="88">
                  <c:v>38.6643037974684</c:v>
                </c:pt>
                <c:pt idx="89">
                  <c:v>39.103670886076</c:v>
                </c:pt>
                <c:pt idx="90">
                  <c:v>39.5430379746835</c:v>
                </c:pt>
                <c:pt idx="91">
                  <c:v>39.9824050632911</c:v>
                </c:pt>
                <c:pt idx="92">
                  <c:v>40.4217721518987</c:v>
                </c:pt>
                <c:pt idx="93">
                  <c:v>40.8611392405063</c:v>
                </c:pt>
                <c:pt idx="94">
                  <c:v>41.3005063291139</c:v>
                </c:pt>
                <c:pt idx="95">
                  <c:v>41.7398734177215</c:v>
                </c:pt>
                <c:pt idx="96">
                  <c:v>42.1792405063291</c:v>
                </c:pt>
                <c:pt idx="97">
                  <c:v>42.6186075949367</c:v>
                </c:pt>
                <c:pt idx="98">
                  <c:v>43.0579746835443</c:v>
                </c:pt>
                <c:pt idx="99">
                  <c:v>43.4973417721519</c:v>
                </c:pt>
                <c:pt idx="100">
                  <c:v>43.9367088607595</c:v>
                </c:pt>
                <c:pt idx="101">
                  <c:v>44.3760759493671</c:v>
                </c:pt>
                <c:pt idx="102">
                  <c:v>44.8154430379747</c:v>
                </c:pt>
                <c:pt idx="103">
                  <c:v>45.2548101265823</c:v>
                </c:pt>
                <c:pt idx="104">
                  <c:v>45.6941772151899</c:v>
                </c:pt>
                <c:pt idx="105">
                  <c:v>46.1335443037975</c:v>
                </c:pt>
                <c:pt idx="106">
                  <c:v>46.5729113924051</c:v>
                </c:pt>
                <c:pt idx="107">
                  <c:v>47.0122784810127</c:v>
                </c:pt>
                <c:pt idx="108">
                  <c:v>47.4516455696203</c:v>
                </c:pt>
                <c:pt idx="109">
                  <c:v>47.8910126582278</c:v>
                </c:pt>
                <c:pt idx="110">
                  <c:v>48.3303797468354</c:v>
                </c:pt>
                <c:pt idx="111">
                  <c:v>48.769746835443</c:v>
                </c:pt>
                <c:pt idx="112">
                  <c:v>49.2091139240506</c:v>
                </c:pt>
                <c:pt idx="113">
                  <c:v>49.6484810126582</c:v>
                </c:pt>
                <c:pt idx="114">
                  <c:v>50.0878481012658</c:v>
                </c:pt>
                <c:pt idx="115">
                  <c:v>50.5272151898734</c:v>
                </c:pt>
                <c:pt idx="116">
                  <c:v>50.966582278481</c:v>
                </c:pt>
                <c:pt idx="117">
                  <c:v>51.4059493670886</c:v>
                </c:pt>
                <c:pt idx="118">
                  <c:v>51.8453164556962</c:v>
                </c:pt>
                <c:pt idx="119">
                  <c:v>52.2846835443038</c:v>
                </c:pt>
                <c:pt idx="120">
                  <c:v>52.7240506329114</c:v>
                </c:pt>
                <c:pt idx="121">
                  <c:v>53.163417721519</c:v>
                </c:pt>
                <c:pt idx="122">
                  <c:v>53.6027848101266</c:v>
                </c:pt>
                <c:pt idx="123">
                  <c:v>54.0421518987342</c:v>
                </c:pt>
                <c:pt idx="124">
                  <c:v>54.4815189873418</c:v>
                </c:pt>
                <c:pt idx="125">
                  <c:v>54.9208860759494</c:v>
                </c:pt>
                <c:pt idx="126">
                  <c:v>55.360253164557</c:v>
                </c:pt>
                <c:pt idx="127">
                  <c:v>55.7996202531646</c:v>
                </c:pt>
                <c:pt idx="128">
                  <c:v>56.2389873417722</c:v>
                </c:pt>
                <c:pt idx="129">
                  <c:v>56.6783544303798</c:v>
                </c:pt>
                <c:pt idx="130">
                  <c:v>57.1177215189873</c:v>
                </c:pt>
                <c:pt idx="131">
                  <c:v>57.5570886075949</c:v>
                </c:pt>
                <c:pt idx="132">
                  <c:v>57.9964556962025</c:v>
                </c:pt>
                <c:pt idx="133">
                  <c:v>58.4358227848101</c:v>
                </c:pt>
                <c:pt idx="134">
                  <c:v>58.8751898734177</c:v>
                </c:pt>
                <c:pt idx="135">
                  <c:v>59.3145569620253</c:v>
                </c:pt>
                <c:pt idx="136">
                  <c:v>59.7539240506329</c:v>
                </c:pt>
                <c:pt idx="137">
                  <c:v>60.1932911392405</c:v>
                </c:pt>
                <c:pt idx="138">
                  <c:v>60.6326582278481</c:v>
                </c:pt>
                <c:pt idx="139">
                  <c:v>61.0720253164557</c:v>
                </c:pt>
                <c:pt idx="140">
                  <c:v>61.5113924050633</c:v>
                </c:pt>
                <c:pt idx="141">
                  <c:v>61.9507594936709</c:v>
                </c:pt>
                <c:pt idx="142">
                  <c:v>62.3901265822785</c:v>
                </c:pt>
                <c:pt idx="143">
                  <c:v>62.8294936708861</c:v>
                </c:pt>
                <c:pt idx="144">
                  <c:v>63.2688607594937</c:v>
                </c:pt>
                <c:pt idx="145">
                  <c:v>63.7082278481013</c:v>
                </c:pt>
                <c:pt idx="146">
                  <c:v>64.1475949367089</c:v>
                </c:pt>
                <c:pt idx="147">
                  <c:v>64.5869620253165</c:v>
                </c:pt>
                <c:pt idx="148">
                  <c:v>65.0263291139241</c:v>
                </c:pt>
                <c:pt idx="149">
                  <c:v>65.4656962025317</c:v>
                </c:pt>
                <c:pt idx="150">
                  <c:v>65.9050632911392</c:v>
                </c:pt>
                <c:pt idx="151">
                  <c:v>66.3444303797468</c:v>
                </c:pt>
                <c:pt idx="152">
                  <c:v>66.7837974683544</c:v>
                </c:pt>
                <c:pt idx="153">
                  <c:v>67.223164556962</c:v>
                </c:pt>
                <c:pt idx="154">
                  <c:v>67.6625316455696</c:v>
                </c:pt>
                <c:pt idx="155">
                  <c:v>68.1018987341772</c:v>
                </c:pt>
                <c:pt idx="156">
                  <c:v>68.5412658227848</c:v>
                </c:pt>
                <c:pt idx="157">
                  <c:v>68.9806329113924</c:v>
                </c:pt>
                <c:pt idx="158">
                  <c:v>69.42</c:v>
                </c:pt>
                <c:pt idx="159">
                  <c:v>69.8593670886076</c:v>
                </c:pt>
              </c:numCache>
            </c:numRef>
          </c:val>
          <c:smooth val="0"/>
        </c:ser>
        <c:hiLowLines>
          <c:spPr>
            <a:ln w="0">
              <a:noFill/>
            </a:ln>
          </c:spPr>
        </c:hiLowLines>
        <c:marker val="0"/>
        <c:axId val="40354443"/>
        <c:axId val="60823222"/>
      </c:lineChart>
      <c:dateAx>
        <c:axId val="8477142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430543"/>
        <c:auto val="1"/>
        <c:lblOffset val="100"/>
        <c:baseTimeUnit val="days"/>
      </c:dateAx>
      <c:valAx>
        <c:axId val="1643054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771421"/>
        <c:crosses val="autoZero"/>
        <c:crossBetween val="between"/>
      </c:valAx>
      <c:dateAx>
        <c:axId val="4035444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823222"/>
        <c:auto val="1"/>
        <c:lblOffset val="100"/>
        <c:baseTimeUnit val="days"/>
      </c:dateAx>
      <c:valAx>
        <c:axId val="6082322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35444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(Calc)'!$R$3:$R$500</c:f>
              <c:numCache>
                <c:formatCode>0.0%</c:formatCode>
                <c:ptCount val="498"/>
                <c:pt idx="0">
                  <c:v>-0.0269721577726219</c:v>
                </c:pt>
                <c:pt idx="1">
                  <c:v>0.000596125186289154</c:v>
                </c:pt>
                <c:pt idx="2">
                  <c:v>0.0131069407208817</c:v>
                </c:pt>
                <c:pt idx="3">
                  <c:v>0.00264628050573368</c:v>
                </c:pt>
                <c:pt idx="4">
                  <c:v>-0.0196480938416422</c:v>
                </c:pt>
                <c:pt idx="5">
                  <c:v>-0.0209392760993121</c:v>
                </c:pt>
                <c:pt idx="6">
                  <c:v>0.0574396578062939</c:v>
                </c:pt>
                <c:pt idx="7">
                  <c:v>0.0208032360589425</c:v>
                </c:pt>
                <c:pt idx="8">
                  <c:v>0.00934050382111518</c:v>
                </c:pt>
                <c:pt idx="9">
                  <c:v>0.00532809871003948</c:v>
                </c:pt>
                <c:pt idx="10">
                  <c:v>0.00195258019525801</c:v>
                </c:pt>
                <c:pt idx="11">
                  <c:v>0.0072383073496658</c:v>
                </c:pt>
                <c:pt idx="12">
                  <c:v>0.0152017689331121</c:v>
                </c:pt>
                <c:pt idx="13">
                  <c:v>0.00299482711679833</c:v>
                </c:pt>
                <c:pt idx="14">
                  <c:v>0.00325732899022801</c:v>
                </c:pt>
                <c:pt idx="15">
                  <c:v>-0.0156926406926406</c:v>
                </c:pt>
                <c:pt idx="16">
                  <c:v>0.0274876305662453</c:v>
                </c:pt>
                <c:pt idx="17">
                  <c:v>0.0176565008025682</c:v>
                </c:pt>
                <c:pt idx="18">
                  <c:v>0.00788643533123046</c:v>
                </c:pt>
                <c:pt idx="19">
                  <c:v>0.0096504955659884</c:v>
                </c:pt>
                <c:pt idx="20">
                  <c:v>0.0105915784035133</c:v>
                </c:pt>
                <c:pt idx="21">
                  <c:v>-0.00332310838445793</c:v>
                </c:pt>
                <c:pt idx="22">
                  <c:v>0.0125673249551166</c:v>
                </c:pt>
                <c:pt idx="23">
                  <c:v>0.0126646403242148</c:v>
                </c:pt>
                <c:pt idx="24">
                  <c:v>-0.00150075037518749</c:v>
                </c:pt>
                <c:pt idx="25">
                  <c:v>-0.00526052104208419</c:v>
                </c:pt>
                <c:pt idx="26">
                  <c:v>0.0256862251322083</c:v>
                </c:pt>
                <c:pt idx="27">
                  <c:v>-0.000491038546525768</c:v>
                </c:pt>
                <c:pt idx="28">
                  <c:v>-0.00417587816261367</c:v>
                </c:pt>
                <c:pt idx="29">
                  <c:v>-0.00345337937839174</c:v>
                </c:pt>
                <c:pt idx="30">
                  <c:v>-0.048019801980198</c:v>
                </c:pt>
                <c:pt idx="31">
                  <c:v>0.0358814352574104</c:v>
                </c:pt>
                <c:pt idx="32">
                  <c:v>0.0100401606425702</c:v>
                </c:pt>
                <c:pt idx="33">
                  <c:v>0.0139165009940356</c:v>
                </c:pt>
                <c:pt idx="34">
                  <c:v>0.0120098039215686</c:v>
                </c:pt>
                <c:pt idx="35">
                  <c:v>0.00460159844998787</c:v>
                </c:pt>
                <c:pt idx="36">
                  <c:v>-0.00337512054001909</c:v>
                </c:pt>
                <c:pt idx="37">
                  <c:v>0.0140299951620706</c:v>
                </c:pt>
                <c:pt idx="38">
                  <c:v>0.0126431297709924</c:v>
                </c:pt>
                <c:pt idx="39">
                  <c:v>0.000942285041224844</c:v>
                </c:pt>
                <c:pt idx="40">
                  <c:v>0.00470698987997165</c:v>
                </c:pt>
                <c:pt idx="41">
                  <c:v>0.0145233075661748</c:v>
                </c:pt>
                <c:pt idx="42">
                  <c:v>-0.000692680674209245</c:v>
                </c:pt>
                <c:pt idx="43">
                  <c:v>-0.0295748613678374</c:v>
                </c:pt>
                <c:pt idx="44">
                  <c:v>-0.0226190476190477</c:v>
                </c:pt>
                <c:pt idx="45">
                  <c:v>-0.0265529841656516</c:v>
                </c:pt>
                <c:pt idx="46">
                  <c:v>0.00275275275275266</c:v>
                </c:pt>
                <c:pt idx="47">
                  <c:v>0.0421761916645869</c:v>
                </c:pt>
                <c:pt idx="48">
                  <c:v>0.00838122605363978</c:v>
                </c:pt>
                <c:pt idx="49">
                  <c:v>0.00332462597957739</c:v>
                </c:pt>
                <c:pt idx="50">
                  <c:v>-0.0402366863905326</c:v>
                </c:pt>
                <c:pt idx="51">
                  <c:v>0.0463625154130705</c:v>
                </c:pt>
                <c:pt idx="52">
                  <c:v>0.0124911619137402</c:v>
                </c:pt>
                <c:pt idx="53">
                  <c:v>0.00698324022346353</c:v>
                </c:pt>
                <c:pt idx="54">
                  <c:v>0.00231160425335175</c:v>
                </c:pt>
                <c:pt idx="55">
                  <c:v>0.00899446494464939</c:v>
                </c:pt>
                <c:pt idx="56">
                  <c:v>0.00754285714285707</c:v>
                </c:pt>
                <c:pt idx="57">
                  <c:v>0.00226860254083494</c:v>
                </c:pt>
                <c:pt idx="58">
                  <c:v>-0.00837483023992747</c:v>
                </c:pt>
                <c:pt idx="59">
                  <c:v>0.0385756676557862</c:v>
                </c:pt>
                <c:pt idx="60">
                  <c:v>-0.0164835164835165</c:v>
                </c:pt>
                <c:pt idx="61">
                  <c:v>0.0172067039106145</c:v>
                </c:pt>
                <c:pt idx="62">
                  <c:v>0.00922671353251303</c:v>
                </c:pt>
                <c:pt idx="63">
                  <c:v>0.0185023944275142</c:v>
                </c:pt>
                <c:pt idx="64">
                  <c:v>0.00384697584954052</c:v>
                </c:pt>
                <c:pt idx="65">
                  <c:v>-0.0110708963167979</c:v>
                </c:pt>
                <c:pt idx="66">
                  <c:v>0.00925726587728737</c:v>
                </c:pt>
                <c:pt idx="67">
                  <c:v>-0.0034129692832765</c:v>
                </c:pt>
                <c:pt idx="68">
                  <c:v>-0.019263698630137</c:v>
                </c:pt>
                <c:pt idx="69">
                  <c:v>0.0231340026189437</c:v>
                </c:pt>
                <c:pt idx="70">
                  <c:v>0.0138651877133105</c:v>
                </c:pt>
                <c:pt idx="71">
                  <c:v>-0.0103092783505155</c:v>
                </c:pt>
                <c:pt idx="72">
                  <c:v>0.00255102040816313</c:v>
                </c:pt>
                <c:pt idx="73">
                  <c:v>0.0192960135708229</c:v>
                </c:pt>
                <c:pt idx="74">
                  <c:v>-0.0120657374661951</c:v>
                </c:pt>
                <c:pt idx="75">
                  <c:v>-0.0275847546851969</c:v>
                </c:pt>
                <c:pt idx="76">
                  <c:v>-0.0313988739714163</c:v>
                </c:pt>
                <c:pt idx="77">
                  <c:v>-0.0212385423653029</c:v>
                </c:pt>
                <c:pt idx="78">
                  <c:v>0.00365463682046596</c:v>
                </c:pt>
                <c:pt idx="79">
                  <c:v>-0.0188893946290396</c:v>
                </c:pt>
                <c:pt idx="80">
                  <c:v>-0.0909301786128509</c:v>
                </c:pt>
                <c:pt idx="81">
                  <c:v>0.0630262822148506</c:v>
                </c:pt>
                <c:pt idx="82">
                  <c:v>-0.0160825732117137</c:v>
                </c:pt>
                <c:pt idx="83">
                  <c:v>0.0480605025616003</c:v>
                </c:pt>
                <c:pt idx="84">
                  <c:v>0.0197858472998138</c:v>
                </c:pt>
                <c:pt idx="85">
                  <c:v>0.00273910066194927</c:v>
                </c:pt>
                <c:pt idx="86">
                  <c:v>0.017300250398361</c:v>
                </c:pt>
                <c:pt idx="87">
                  <c:v>-0.00917431192660545</c:v>
                </c:pt>
                <c:pt idx="88">
                  <c:v>0.0112917795844625</c:v>
                </c:pt>
                <c:pt idx="89">
                  <c:v>0.0131755247878516</c:v>
                </c:pt>
                <c:pt idx="90">
                  <c:v>-0.00198368966277263</c:v>
                </c:pt>
                <c:pt idx="91">
                  <c:v>0.00309187279151946</c:v>
                </c:pt>
                <c:pt idx="92">
                  <c:v>0.0288419198590928</c:v>
                </c:pt>
                <c:pt idx="93">
                  <c:v>0.00706184463941795</c:v>
                </c:pt>
                <c:pt idx="94">
                  <c:v>0.00361240968975762</c:v>
                </c:pt>
                <c:pt idx="95">
                  <c:v>0.00614016514926963</c:v>
                </c:pt>
                <c:pt idx="96">
                  <c:v>0.00715488215488214</c:v>
                </c:pt>
                <c:pt idx="97">
                  <c:v>-0.0152528207271208</c:v>
                </c:pt>
                <c:pt idx="98">
                  <c:v>0.028219817525992</c:v>
                </c:pt>
                <c:pt idx="99">
                  <c:v>0.00866694180767658</c:v>
                </c:pt>
                <c:pt idx="100">
                  <c:v>-0.00245499181669406</c:v>
                </c:pt>
                <c:pt idx="101">
                  <c:v>0.000205086136177313</c:v>
                </c:pt>
                <c:pt idx="102">
                  <c:v>0.00984211605495178</c:v>
                </c:pt>
                <c:pt idx="103">
                  <c:v>0.0136040609137056</c:v>
                </c:pt>
                <c:pt idx="104">
                  <c:v>0.0110176282051282</c:v>
                </c:pt>
                <c:pt idx="105">
                  <c:v>0.00158510005944112</c:v>
                </c:pt>
                <c:pt idx="106">
                  <c:v>0.00830860534124622</c:v>
                </c:pt>
                <c:pt idx="107">
                  <c:v>-0.0166764763586423</c:v>
                </c:pt>
                <c:pt idx="108">
                  <c:v>0.0205506783719074</c:v>
                </c:pt>
                <c:pt idx="109">
                  <c:v>0.0185728250244379</c:v>
                </c:pt>
                <c:pt idx="110">
                  <c:v>0.00940499040307108</c:v>
                </c:pt>
                <c:pt idx="111">
                  <c:v>-0.0155923179311657</c:v>
                </c:pt>
                <c:pt idx="112">
                  <c:v>0.0019316206297082</c:v>
                </c:pt>
                <c:pt idx="113">
                  <c:v>-0.0273761326392904</c:v>
                </c:pt>
                <c:pt idx="114">
                  <c:v>0.0457879088206143</c:v>
                </c:pt>
                <c:pt idx="115">
                  <c:v>0.00966641394996226</c:v>
                </c:pt>
                <c:pt idx="116">
                  <c:v>-0.0108879294161818</c:v>
                </c:pt>
                <c:pt idx="117">
                  <c:v>0.00740178401973801</c:v>
                </c:pt>
                <c:pt idx="118">
                  <c:v>0.0124340617935192</c:v>
                </c:pt>
                <c:pt idx="119">
                  <c:v>-0.0115370301451434</c:v>
                </c:pt>
                <c:pt idx="120">
                  <c:v>0.0184487951807231</c:v>
                </c:pt>
                <c:pt idx="121">
                  <c:v>-0.00406654343807766</c:v>
                </c:pt>
                <c:pt idx="122">
                  <c:v>0.00519673348181127</c:v>
                </c:pt>
                <c:pt idx="123">
                  <c:v>0.00350812407680956</c:v>
                </c:pt>
                <c:pt idx="124">
                  <c:v>-0.0154553817847287</c:v>
                </c:pt>
                <c:pt idx="125">
                  <c:v>-0.00934404784152498</c:v>
                </c:pt>
                <c:pt idx="126">
                  <c:v>0.0111299754763252</c:v>
                </c:pt>
                <c:pt idx="127">
                  <c:v>-0.00186567164179108</c:v>
                </c:pt>
                <c:pt idx="128">
                  <c:v>-0.0119626168224299</c:v>
                </c:pt>
                <c:pt idx="129">
                  <c:v>-0.00510783200908049</c:v>
                </c:pt>
                <c:pt idx="130">
                  <c:v>-0.0140711161817837</c:v>
                </c:pt>
                <c:pt idx="131">
                  <c:v>-0.0293153326904533</c:v>
                </c:pt>
                <c:pt idx="132">
                  <c:v>0.0375521557719054</c:v>
                </c:pt>
                <c:pt idx="133">
                  <c:v>0.0363845270011489</c:v>
                </c:pt>
                <c:pt idx="134">
                  <c:v>0.018107908351811</c:v>
                </c:pt>
                <c:pt idx="135">
                  <c:v>0.00562613430127024</c:v>
                </c:pt>
                <c:pt idx="136">
                  <c:v>0.0079408049088614</c:v>
                </c:pt>
                <c:pt idx="137">
                  <c:v>0.0127126230975829</c:v>
                </c:pt>
                <c:pt idx="138">
                  <c:v>0.0026520509193777</c:v>
                </c:pt>
                <c:pt idx="139">
                  <c:v>0.00740610121671659</c:v>
                </c:pt>
                <c:pt idx="140">
                  <c:v>0.0155785051636619</c:v>
                </c:pt>
                <c:pt idx="141">
                  <c:v>-0.0279214064115823</c:v>
                </c:pt>
                <c:pt idx="142">
                  <c:v>0.0163120567375887</c:v>
                </c:pt>
                <c:pt idx="143">
                  <c:v>0.0247732030704815</c:v>
                </c:pt>
                <c:pt idx="144">
                  <c:v>-0.031324480762683</c:v>
                </c:pt>
                <c:pt idx="145">
                  <c:v>0.0100175746924429</c:v>
                </c:pt>
                <c:pt idx="146">
                  <c:v>0.0187924134330955</c:v>
                </c:pt>
                <c:pt idx="147">
                  <c:v>-0.0329632792485055</c:v>
                </c:pt>
                <c:pt idx="148">
                  <c:v>-0.00936064994701513</c:v>
                </c:pt>
                <c:pt idx="149">
                  <c:v>0.00499197717953281</c:v>
                </c:pt>
                <c:pt idx="150">
                  <c:v>0.0381408550647508</c:v>
                </c:pt>
                <c:pt idx="151">
                  <c:v>0.013157894736842</c:v>
                </c:pt>
                <c:pt idx="152">
                  <c:v>-0.0114690504300894</c:v>
                </c:pt>
                <c:pt idx="153">
                  <c:v>0.00528919979525688</c:v>
                </c:pt>
                <c:pt idx="154">
                  <c:v>0.00678886625933473</c:v>
                </c:pt>
                <c:pt idx="155">
                  <c:v>-0.00151719487525293</c:v>
                </c:pt>
                <c:pt idx="156">
                  <c:v>0.00759750126625036</c:v>
                </c:pt>
                <c:pt idx="157">
                  <c:v>0.0165884718498659</c:v>
                </c:pt>
                <c:pt idx="158">
                  <c:v>0.0060985660128563</c:v>
                </c:pt>
              </c:numCache>
            </c:numRef>
          </c:val>
        </c:ser>
        <c:gapWidth val="150"/>
        <c:overlap val="0"/>
        <c:axId val="43521395"/>
        <c:axId val="40170297"/>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(Calc)'!$AL$3:$AL$500</c:f>
              <c:numCache>
                <c:formatCode>#,##0.00</c:formatCode>
                <c:ptCount val="498"/>
                <c:pt idx="0">
                  <c:v>34.48</c:v>
                </c:pt>
                <c:pt idx="1">
                  <c:v>34.6481012658228</c:v>
                </c:pt>
                <c:pt idx="2">
                  <c:v>34.8162025316456</c:v>
                </c:pt>
                <c:pt idx="3">
                  <c:v>34.9843037974684</c:v>
                </c:pt>
                <c:pt idx="4">
                  <c:v>35.1524050632911</c:v>
                </c:pt>
                <c:pt idx="5">
                  <c:v>35.3205063291139</c:v>
                </c:pt>
                <c:pt idx="6">
                  <c:v>35.4886075949367</c:v>
                </c:pt>
                <c:pt idx="7">
                  <c:v>35.6567088607595</c:v>
                </c:pt>
                <c:pt idx="8">
                  <c:v>35.8248101265823</c:v>
                </c:pt>
                <c:pt idx="9">
                  <c:v>35.9929113924051</c:v>
                </c:pt>
                <c:pt idx="10">
                  <c:v>36.1610126582279</c:v>
                </c:pt>
                <c:pt idx="11">
                  <c:v>36.3291139240506</c:v>
                </c:pt>
                <c:pt idx="12">
                  <c:v>36.4972151898734</c:v>
                </c:pt>
                <c:pt idx="13">
                  <c:v>36.6653164556962</c:v>
                </c:pt>
                <c:pt idx="14">
                  <c:v>36.833417721519</c:v>
                </c:pt>
                <c:pt idx="15">
                  <c:v>37.0015189873418</c:v>
                </c:pt>
                <c:pt idx="16">
                  <c:v>37.1696202531646</c:v>
                </c:pt>
                <c:pt idx="17">
                  <c:v>37.3377215189873</c:v>
                </c:pt>
                <c:pt idx="18">
                  <c:v>37.5058227848101</c:v>
                </c:pt>
                <c:pt idx="19">
                  <c:v>37.6739240506329</c:v>
                </c:pt>
                <c:pt idx="20">
                  <c:v>37.8420253164557</c:v>
                </c:pt>
                <c:pt idx="21">
                  <c:v>38.0101265822785</c:v>
                </c:pt>
                <c:pt idx="22">
                  <c:v>38.1782278481013</c:v>
                </c:pt>
                <c:pt idx="23">
                  <c:v>38.3463291139241</c:v>
                </c:pt>
                <c:pt idx="24">
                  <c:v>38.5144303797468</c:v>
                </c:pt>
                <c:pt idx="25">
                  <c:v>38.6825316455696</c:v>
                </c:pt>
                <c:pt idx="26">
                  <c:v>38.8506329113924</c:v>
                </c:pt>
                <c:pt idx="27">
                  <c:v>39.0187341772152</c:v>
                </c:pt>
                <c:pt idx="28">
                  <c:v>39.186835443038</c:v>
                </c:pt>
                <c:pt idx="29">
                  <c:v>39.3549367088608</c:v>
                </c:pt>
                <c:pt idx="30">
                  <c:v>39.5230379746835</c:v>
                </c:pt>
                <c:pt idx="31">
                  <c:v>39.6911392405063</c:v>
                </c:pt>
                <c:pt idx="32">
                  <c:v>39.8592405063291</c:v>
                </c:pt>
                <c:pt idx="33">
                  <c:v>40.0273417721519</c:v>
                </c:pt>
                <c:pt idx="34">
                  <c:v>40.1954430379747</c:v>
                </c:pt>
                <c:pt idx="35">
                  <c:v>40.3635443037975</c:v>
                </c:pt>
                <c:pt idx="36">
                  <c:v>40.5316455696203</c:v>
                </c:pt>
                <c:pt idx="37">
                  <c:v>40.699746835443</c:v>
                </c:pt>
                <c:pt idx="38">
                  <c:v>40.8678481012658</c:v>
                </c:pt>
                <c:pt idx="39">
                  <c:v>41.0359493670886</c:v>
                </c:pt>
                <c:pt idx="40">
                  <c:v>41.2040506329114</c:v>
                </c:pt>
                <c:pt idx="41">
                  <c:v>41.3721518987342</c:v>
                </c:pt>
                <c:pt idx="42">
                  <c:v>41.540253164557</c:v>
                </c:pt>
                <c:pt idx="43">
                  <c:v>41.7083544303797</c:v>
                </c:pt>
                <c:pt idx="44">
                  <c:v>41.8764556962025</c:v>
                </c:pt>
                <c:pt idx="45">
                  <c:v>42.0445569620253</c:v>
                </c:pt>
                <c:pt idx="46">
                  <c:v>42.2126582278481</c:v>
                </c:pt>
                <c:pt idx="47">
                  <c:v>42.3807594936709</c:v>
                </c:pt>
                <c:pt idx="48">
                  <c:v>42.5488607594937</c:v>
                </c:pt>
                <c:pt idx="49">
                  <c:v>42.7169620253165</c:v>
                </c:pt>
                <c:pt idx="50">
                  <c:v>42.8850632911392</c:v>
                </c:pt>
                <c:pt idx="51">
                  <c:v>43.053164556962</c:v>
                </c:pt>
                <c:pt idx="52">
                  <c:v>43.2212658227848</c:v>
                </c:pt>
                <c:pt idx="53">
                  <c:v>43.3893670886076</c:v>
                </c:pt>
                <c:pt idx="54">
                  <c:v>43.5574683544304</c:v>
                </c:pt>
                <c:pt idx="55">
                  <c:v>43.7255696202532</c:v>
                </c:pt>
                <c:pt idx="56">
                  <c:v>43.8936708860759</c:v>
                </c:pt>
                <c:pt idx="57">
                  <c:v>44.0617721518987</c:v>
                </c:pt>
                <c:pt idx="58">
                  <c:v>44.2298734177215</c:v>
                </c:pt>
                <c:pt idx="59">
                  <c:v>44.3979746835443</c:v>
                </c:pt>
                <c:pt idx="60">
                  <c:v>44.5660759493671</c:v>
                </c:pt>
                <c:pt idx="61">
                  <c:v>44.7341772151899</c:v>
                </c:pt>
                <c:pt idx="62">
                  <c:v>44.9022784810127</c:v>
                </c:pt>
                <c:pt idx="63">
                  <c:v>45.0703797468354</c:v>
                </c:pt>
                <c:pt idx="64">
                  <c:v>45.2384810126582</c:v>
                </c:pt>
                <c:pt idx="65">
                  <c:v>45.406582278481</c:v>
                </c:pt>
                <c:pt idx="66">
                  <c:v>45.5746835443038</c:v>
                </c:pt>
                <c:pt idx="67">
                  <c:v>45.7427848101266</c:v>
                </c:pt>
                <c:pt idx="68">
                  <c:v>45.9108860759494</c:v>
                </c:pt>
                <c:pt idx="69">
                  <c:v>46.0789873417722</c:v>
                </c:pt>
                <c:pt idx="70">
                  <c:v>46.2470886075949</c:v>
                </c:pt>
                <c:pt idx="71">
                  <c:v>46.4151898734177</c:v>
                </c:pt>
                <c:pt idx="72">
                  <c:v>46.5832911392405</c:v>
                </c:pt>
                <c:pt idx="73">
                  <c:v>46.7513924050633</c:v>
                </c:pt>
                <c:pt idx="74">
                  <c:v>46.9194936708861</c:v>
                </c:pt>
                <c:pt idx="75">
                  <c:v>47.0875949367089</c:v>
                </c:pt>
                <c:pt idx="76">
                  <c:v>47.2556962025316</c:v>
                </c:pt>
                <c:pt idx="77">
                  <c:v>47.4237974683544</c:v>
                </c:pt>
                <c:pt idx="78">
                  <c:v>47.5918987341772</c:v>
                </c:pt>
                <c:pt idx="79">
                  <c:v>47.76</c:v>
                </c:pt>
                <c:pt idx="80">
                  <c:v>47.9281012658228</c:v>
                </c:pt>
                <c:pt idx="81">
                  <c:v>48.0962025316456</c:v>
                </c:pt>
                <c:pt idx="82">
                  <c:v>48.2643037974684</c:v>
                </c:pt>
                <c:pt idx="83">
                  <c:v>48.4324050632911</c:v>
                </c:pt>
                <c:pt idx="84">
                  <c:v>48.6005063291139</c:v>
                </c:pt>
                <c:pt idx="85">
                  <c:v>48.7686075949367</c:v>
                </c:pt>
                <c:pt idx="86">
                  <c:v>48.9367088607595</c:v>
                </c:pt>
                <c:pt idx="87">
                  <c:v>49.1048101265823</c:v>
                </c:pt>
                <c:pt idx="88">
                  <c:v>49.2729113924051</c:v>
                </c:pt>
                <c:pt idx="89">
                  <c:v>49.4410126582279</c:v>
                </c:pt>
                <c:pt idx="90">
                  <c:v>49.6091139240506</c:v>
                </c:pt>
                <c:pt idx="91">
                  <c:v>49.7772151898734</c:v>
                </c:pt>
                <c:pt idx="92">
                  <c:v>49.9453164556962</c:v>
                </c:pt>
                <c:pt idx="93">
                  <c:v>50.113417721519</c:v>
                </c:pt>
                <c:pt idx="94">
                  <c:v>50.2815189873418</c:v>
                </c:pt>
                <c:pt idx="95">
                  <c:v>50.4496202531646</c:v>
                </c:pt>
                <c:pt idx="96">
                  <c:v>50.6177215189873</c:v>
                </c:pt>
                <c:pt idx="97">
                  <c:v>50.7858227848101</c:v>
                </c:pt>
                <c:pt idx="98">
                  <c:v>50.9539240506329</c:v>
                </c:pt>
                <c:pt idx="99">
                  <c:v>51.1220253164557</c:v>
                </c:pt>
                <c:pt idx="100">
                  <c:v>51.2901265822785</c:v>
                </c:pt>
                <c:pt idx="101">
                  <c:v>51.4582278481013</c:v>
                </c:pt>
                <c:pt idx="102">
                  <c:v>51.6263291139241</c:v>
                </c:pt>
                <c:pt idx="103">
                  <c:v>51.7944303797468</c:v>
                </c:pt>
                <c:pt idx="104">
                  <c:v>51.9625316455696</c:v>
                </c:pt>
                <c:pt idx="105">
                  <c:v>52.1306329113924</c:v>
                </c:pt>
                <c:pt idx="106">
                  <c:v>52.2987341772152</c:v>
                </c:pt>
                <c:pt idx="107">
                  <c:v>52.466835443038</c:v>
                </c:pt>
                <c:pt idx="108">
                  <c:v>52.6349367088608</c:v>
                </c:pt>
                <c:pt idx="109">
                  <c:v>52.8030379746836</c:v>
                </c:pt>
                <c:pt idx="110">
                  <c:v>52.9711392405063</c:v>
                </c:pt>
                <c:pt idx="111">
                  <c:v>53.1392405063291</c:v>
                </c:pt>
                <c:pt idx="112">
                  <c:v>53.3073417721519</c:v>
                </c:pt>
                <c:pt idx="113">
                  <c:v>53.4754430379747</c:v>
                </c:pt>
                <c:pt idx="114">
                  <c:v>53.6435443037975</c:v>
                </c:pt>
                <c:pt idx="115">
                  <c:v>53.8116455696203</c:v>
                </c:pt>
                <c:pt idx="116">
                  <c:v>53.979746835443</c:v>
                </c:pt>
                <c:pt idx="117">
                  <c:v>54.1478481012658</c:v>
                </c:pt>
                <c:pt idx="118">
                  <c:v>54.3159493670886</c:v>
                </c:pt>
                <c:pt idx="119">
                  <c:v>54.4840506329114</c:v>
                </c:pt>
                <c:pt idx="120">
                  <c:v>54.6521518987342</c:v>
                </c:pt>
                <c:pt idx="121">
                  <c:v>54.820253164557</c:v>
                </c:pt>
                <c:pt idx="122">
                  <c:v>54.9883544303797</c:v>
                </c:pt>
                <c:pt idx="123">
                  <c:v>55.1564556962025</c:v>
                </c:pt>
                <c:pt idx="124">
                  <c:v>55.3245569620253</c:v>
                </c:pt>
                <c:pt idx="125">
                  <c:v>55.4926582278481</c:v>
                </c:pt>
                <c:pt idx="126">
                  <c:v>55.6607594936709</c:v>
                </c:pt>
                <c:pt idx="127">
                  <c:v>55.8288607594937</c:v>
                </c:pt>
                <c:pt idx="128">
                  <c:v>55.9969620253165</c:v>
                </c:pt>
                <c:pt idx="129">
                  <c:v>56.1650632911392</c:v>
                </c:pt>
                <c:pt idx="130">
                  <c:v>56.333164556962</c:v>
                </c:pt>
                <c:pt idx="131">
                  <c:v>56.5012658227848</c:v>
                </c:pt>
                <c:pt idx="132">
                  <c:v>56.6693670886076</c:v>
                </c:pt>
                <c:pt idx="133">
                  <c:v>56.8374683544304</c:v>
                </c:pt>
                <c:pt idx="134">
                  <c:v>57.0055696202532</c:v>
                </c:pt>
                <c:pt idx="135">
                  <c:v>57.173670886076</c:v>
                </c:pt>
                <c:pt idx="136">
                  <c:v>57.3417721518987</c:v>
                </c:pt>
                <c:pt idx="137">
                  <c:v>57.5098734177215</c:v>
                </c:pt>
                <c:pt idx="138">
                  <c:v>57.6779746835443</c:v>
                </c:pt>
                <c:pt idx="139">
                  <c:v>57.8460759493671</c:v>
                </c:pt>
                <c:pt idx="140">
                  <c:v>58.0141772151899</c:v>
                </c:pt>
                <c:pt idx="141">
                  <c:v>58.1822784810127</c:v>
                </c:pt>
                <c:pt idx="142">
                  <c:v>58.3503797468354</c:v>
                </c:pt>
                <c:pt idx="143">
                  <c:v>58.5184810126582</c:v>
                </c:pt>
                <c:pt idx="144">
                  <c:v>58.686582278481</c:v>
                </c:pt>
                <c:pt idx="145">
                  <c:v>58.8546835443038</c:v>
                </c:pt>
                <c:pt idx="146">
                  <c:v>59.0227848101266</c:v>
                </c:pt>
                <c:pt idx="147">
                  <c:v>59.1908860759494</c:v>
                </c:pt>
                <c:pt idx="148">
                  <c:v>59.3589873417722</c:v>
                </c:pt>
                <c:pt idx="149">
                  <c:v>59.5270886075949</c:v>
                </c:pt>
                <c:pt idx="150">
                  <c:v>59.6951898734177</c:v>
                </c:pt>
                <c:pt idx="151">
                  <c:v>59.8632911392405</c:v>
                </c:pt>
                <c:pt idx="152">
                  <c:v>60.0313924050633</c:v>
                </c:pt>
                <c:pt idx="153">
                  <c:v>60.1994936708861</c:v>
                </c:pt>
                <c:pt idx="154">
                  <c:v>60.3675949367089</c:v>
                </c:pt>
                <c:pt idx="155">
                  <c:v>60.5356962025316</c:v>
                </c:pt>
                <c:pt idx="156">
                  <c:v>60.7037974683544</c:v>
                </c:pt>
                <c:pt idx="157">
                  <c:v>60.8718987341772</c:v>
                </c:pt>
                <c:pt idx="158">
                  <c:v>61.04</c:v>
                </c:pt>
                <c:pt idx="159">
                  <c:v>61.2081012658228</c:v>
                </c:pt>
              </c:numCache>
            </c:numRef>
          </c:val>
          <c:smooth val="0"/>
        </c:ser>
        <c:hiLowLines>
          <c:spPr>
            <a:ln w="0">
              <a:noFill/>
            </a:ln>
          </c:spPr>
        </c:hiLowLines>
        <c:marker val="0"/>
        <c:axId val="10381214"/>
        <c:axId val="88766373"/>
      </c:lineChart>
      <c:dateAx>
        <c:axId val="4352139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170297"/>
        <c:auto val="1"/>
        <c:lblOffset val="100"/>
        <c:baseTimeUnit val="days"/>
      </c:dateAx>
      <c:valAx>
        <c:axId val="4017029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521395"/>
        <c:crosses val="autoZero"/>
        <c:crossBetween val="between"/>
      </c:valAx>
      <c:dateAx>
        <c:axId val="1038121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766373"/>
        <c:auto val="1"/>
        <c:lblOffset val="100"/>
        <c:baseTimeUnit val="days"/>
      </c:dateAx>
      <c:valAx>
        <c:axId val="8876637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38121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(Calc)'!$S$3:$S$500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0.00202720376667531</c:v>
                </c:pt>
              </c:numCache>
            </c:numRef>
          </c:val>
        </c:ser>
        <c:gapWidth val="150"/>
        <c:overlap val="0"/>
        <c:axId val="80515112"/>
        <c:axId val="23049358"/>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(Calc)'!$AM$3:$AM$500</c:f>
              <c:numCache>
                <c:formatCode>#,##0.00</c:formatCode>
                <c:ptCount val="498"/>
                <c:pt idx="0">
                  <c:v>57.63</c:v>
                </c:pt>
                <c:pt idx="1">
                  <c:v>58.2350632911392</c:v>
                </c:pt>
                <c:pt idx="2">
                  <c:v>58.8401265822785</c:v>
                </c:pt>
                <c:pt idx="3">
                  <c:v>59.4451898734177</c:v>
                </c:pt>
                <c:pt idx="4">
                  <c:v>60.050253164557</c:v>
                </c:pt>
                <c:pt idx="5">
                  <c:v>60.6553164556962</c:v>
                </c:pt>
                <c:pt idx="6">
                  <c:v>61.2603797468355</c:v>
                </c:pt>
                <c:pt idx="7">
                  <c:v>61.8654430379747</c:v>
                </c:pt>
                <c:pt idx="8">
                  <c:v>62.4705063291139</c:v>
                </c:pt>
                <c:pt idx="9">
                  <c:v>63.0755696202532</c:v>
                </c:pt>
                <c:pt idx="10">
                  <c:v>63.6806329113924</c:v>
                </c:pt>
                <c:pt idx="11">
                  <c:v>64.2856962025317</c:v>
                </c:pt>
                <c:pt idx="12">
                  <c:v>64.8907594936709</c:v>
                </c:pt>
                <c:pt idx="13">
                  <c:v>65.4958227848101</c:v>
                </c:pt>
                <c:pt idx="14">
                  <c:v>66.1008860759494</c:v>
                </c:pt>
                <c:pt idx="15">
                  <c:v>66.7059493670886</c:v>
                </c:pt>
                <c:pt idx="16">
                  <c:v>67.3110126582279</c:v>
                </c:pt>
                <c:pt idx="17">
                  <c:v>67.9160759493671</c:v>
                </c:pt>
                <c:pt idx="18">
                  <c:v>68.5211392405063</c:v>
                </c:pt>
                <c:pt idx="19">
                  <c:v>69.1262025316456</c:v>
                </c:pt>
                <c:pt idx="20">
                  <c:v>69.7312658227848</c:v>
                </c:pt>
                <c:pt idx="21">
                  <c:v>70.3363291139241</c:v>
                </c:pt>
                <c:pt idx="22">
                  <c:v>70.9413924050633</c:v>
                </c:pt>
                <c:pt idx="23">
                  <c:v>71.5464556962025</c:v>
                </c:pt>
                <c:pt idx="24">
                  <c:v>72.1515189873418</c:v>
                </c:pt>
                <c:pt idx="25">
                  <c:v>72.756582278481</c:v>
                </c:pt>
                <c:pt idx="26">
                  <c:v>73.3616455696203</c:v>
                </c:pt>
                <c:pt idx="27">
                  <c:v>73.9667088607595</c:v>
                </c:pt>
                <c:pt idx="28">
                  <c:v>74.5717721518987</c:v>
                </c:pt>
                <c:pt idx="29">
                  <c:v>75.176835443038</c:v>
                </c:pt>
                <c:pt idx="30">
                  <c:v>75.7818987341772</c:v>
                </c:pt>
                <c:pt idx="31">
                  <c:v>76.3869620253165</c:v>
                </c:pt>
                <c:pt idx="32">
                  <c:v>76.9920253164557</c:v>
                </c:pt>
                <c:pt idx="33">
                  <c:v>77.5970886075949</c:v>
                </c:pt>
                <c:pt idx="34">
                  <c:v>78.2021518987342</c:v>
                </c:pt>
                <c:pt idx="35">
                  <c:v>78.8072151898734</c:v>
                </c:pt>
                <c:pt idx="36">
                  <c:v>79.4122784810127</c:v>
                </c:pt>
                <c:pt idx="37">
                  <c:v>80.0173417721519</c:v>
                </c:pt>
                <c:pt idx="38">
                  <c:v>80.6224050632911</c:v>
                </c:pt>
                <c:pt idx="39">
                  <c:v>81.2274683544304</c:v>
                </c:pt>
                <c:pt idx="40">
                  <c:v>81.8325316455696</c:v>
                </c:pt>
                <c:pt idx="41">
                  <c:v>82.4375949367089</c:v>
                </c:pt>
                <c:pt idx="42">
                  <c:v>83.0426582278481</c:v>
                </c:pt>
                <c:pt idx="43">
                  <c:v>83.6477215189873</c:v>
                </c:pt>
                <c:pt idx="44">
                  <c:v>84.2527848101266</c:v>
                </c:pt>
                <c:pt idx="45">
                  <c:v>84.8578481012658</c:v>
                </c:pt>
                <c:pt idx="46">
                  <c:v>85.4629113924051</c:v>
                </c:pt>
                <c:pt idx="47">
                  <c:v>86.0679746835443</c:v>
                </c:pt>
                <c:pt idx="48">
                  <c:v>86.6730379746835</c:v>
                </c:pt>
                <c:pt idx="49">
                  <c:v>87.2781012658228</c:v>
                </c:pt>
                <c:pt idx="50">
                  <c:v>87.883164556962</c:v>
                </c:pt>
                <c:pt idx="51">
                  <c:v>88.4882278481013</c:v>
                </c:pt>
                <c:pt idx="52">
                  <c:v>89.0932911392405</c:v>
                </c:pt>
                <c:pt idx="53">
                  <c:v>89.6983544303797</c:v>
                </c:pt>
                <c:pt idx="54">
                  <c:v>90.303417721519</c:v>
                </c:pt>
                <c:pt idx="55">
                  <c:v>90.9084810126582</c:v>
                </c:pt>
                <c:pt idx="56">
                  <c:v>91.5135443037975</c:v>
                </c:pt>
                <c:pt idx="57">
                  <c:v>92.1186075949367</c:v>
                </c:pt>
                <c:pt idx="58">
                  <c:v>92.723670886076</c:v>
                </c:pt>
                <c:pt idx="59">
                  <c:v>93.3287341772152</c:v>
                </c:pt>
                <c:pt idx="60">
                  <c:v>93.9337974683544</c:v>
                </c:pt>
                <c:pt idx="61">
                  <c:v>94.5388607594937</c:v>
                </c:pt>
                <c:pt idx="62">
                  <c:v>95.1439240506329</c:v>
                </c:pt>
                <c:pt idx="63">
                  <c:v>95.7489873417722</c:v>
                </c:pt>
                <c:pt idx="64">
                  <c:v>96.3540506329114</c:v>
                </c:pt>
                <c:pt idx="65">
                  <c:v>96.9591139240506</c:v>
                </c:pt>
                <c:pt idx="66">
                  <c:v>97.5641772151899</c:v>
                </c:pt>
                <c:pt idx="67">
                  <c:v>98.1692405063291</c:v>
                </c:pt>
                <c:pt idx="68">
                  <c:v>98.7743037974684</c:v>
                </c:pt>
                <c:pt idx="69">
                  <c:v>99.3793670886076</c:v>
                </c:pt>
                <c:pt idx="70">
                  <c:v>99.9844303797468</c:v>
                </c:pt>
                <c:pt idx="71">
                  <c:v>100.589493670886</c:v>
                </c:pt>
                <c:pt idx="72">
                  <c:v>101.194556962025</c:v>
                </c:pt>
                <c:pt idx="73">
                  <c:v>101.799620253165</c:v>
                </c:pt>
                <c:pt idx="74">
                  <c:v>102.404683544304</c:v>
                </c:pt>
                <c:pt idx="75">
                  <c:v>103.009746835443</c:v>
                </c:pt>
                <c:pt idx="76">
                  <c:v>103.614810126582</c:v>
                </c:pt>
                <c:pt idx="77">
                  <c:v>104.219873417722</c:v>
                </c:pt>
                <c:pt idx="78">
                  <c:v>104.824936708861</c:v>
                </c:pt>
                <c:pt idx="79">
                  <c:v>105.43</c:v>
                </c:pt>
                <c:pt idx="80">
                  <c:v>106.035063291139</c:v>
                </c:pt>
                <c:pt idx="81">
                  <c:v>106.640126582278</c:v>
                </c:pt>
                <c:pt idx="82">
                  <c:v>107.245189873418</c:v>
                </c:pt>
                <c:pt idx="83">
                  <c:v>107.850253164557</c:v>
                </c:pt>
                <c:pt idx="84">
                  <c:v>108.455316455696</c:v>
                </c:pt>
                <c:pt idx="85">
                  <c:v>109.060379746835</c:v>
                </c:pt>
                <c:pt idx="86">
                  <c:v>109.665443037975</c:v>
                </c:pt>
                <c:pt idx="87">
                  <c:v>110.270506329114</c:v>
                </c:pt>
                <c:pt idx="88">
                  <c:v>110.875569620253</c:v>
                </c:pt>
                <c:pt idx="89">
                  <c:v>111.480632911392</c:v>
                </c:pt>
                <c:pt idx="90">
                  <c:v>112.085696202532</c:v>
                </c:pt>
                <c:pt idx="91">
                  <c:v>112.690759493671</c:v>
                </c:pt>
                <c:pt idx="92">
                  <c:v>113.29582278481</c:v>
                </c:pt>
                <c:pt idx="93">
                  <c:v>113.900886075949</c:v>
                </c:pt>
                <c:pt idx="94">
                  <c:v>114.505949367089</c:v>
                </c:pt>
                <c:pt idx="95">
                  <c:v>115.111012658228</c:v>
                </c:pt>
                <c:pt idx="96">
                  <c:v>115.716075949367</c:v>
                </c:pt>
                <c:pt idx="97">
                  <c:v>116.321139240506</c:v>
                </c:pt>
                <c:pt idx="98">
                  <c:v>116.926202531646</c:v>
                </c:pt>
                <c:pt idx="99">
                  <c:v>117.531265822785</c:v>
                </c:pt>
                <c:pt idx="100">
                  <c:v>118.136329113924</c:v>
                </c:pt>
                <c:pt idx="101">
                  <c:v>118.741392405063</c:v>
                </c:pt>
                <c:pt idx="102">
                  <c:v>119.346455696203</c:v>
                </c:pt>
                <c:pt idx="103">
                  <c:v>119.951518987342</c:v>
                </c:pt>
                <c:pt idx="104">
                  <c:v>120.556582278481</c:v>
                </c:pt>
                <c:pt idx="105">
                  <c:v>121.16164556962</c:v>
                </c:pt>
                <c:pt idx="106">
                  <c:v>121.766708860759</c:v>
                </c:pt>
                <c:pt idx="107">
                  <c:v>122.371772151899</c:v>
                </c:pt>
                <c:pt idx="108">
                  <c:v>122.976835443038</c:v>
                </c:pt>
                <c:pt idx="109">
                  <c:v>123.581898734177</c:v>
                </c:pt>
                <c:pt idx="110">
                  <c:v>124.186962025316</c:v>
                </c:pt>
                <c:pt idx="111">
                  <c:v>124.792025316456</c:v>
                </c:pt>
                <c:pt idx="112">
                  <c:v>125.397088607595</c:v>
                </c:pt>
                <c:pt idx="113">
                  <c:v>126.002151898734</c:v>
                </c:pt>
                <c:pt idx="114">
                  <c:v>126.607215189873</c:v>
                </c:pt>
                <c:pt idx="115">
                  <c:v>127.212278481013</c:v>
                </c:pt>
                <c:pt idx="116">
                  <c:v>127.817341772152</c:v>
                </c:pt>
                <c:pt idx="117">
                  <c:v>128.422405063291</c:v>
                </c:pt>
                <c:pt idx="118">
                  <c:v>129.02746835443</c:v>
                </c:pt>
                <c:pt idx="119">
                  <c:v>129.63253164557</c:v>
                </c:pt>
                <c:pt idx="120">
                  <c:v>130.237594936709</c:v>
                </c:pt>
                <c:pt idx="121">
                  <c:v>130.842658227848</c:v>
                </c:pt>
                <c:pt idx="122">
                  <c:v>131.447721518987</c:v>
                </c:pt>
                <c:pt idx="123">
                  <c:v>132.052784810127</c:v>
                </c:pt>
                <c:pt idx="124">
                  <c:v>132.657848101266</c:v>
                </c:pt>
                <c:pt idx="125">
                  <c:v>133.262911392405</c:v>
                </c:pt>
                <c:pt idx="126">
                  <c:v>133.867974683544</c:v>
                </c:pt>
                <c:pt idx="127">
                  <c:v>134.473037974684</c:v>
                </c:pt>
                <c:pt idx="128">
                  <c:v>135.078101265823</c:v>
                </c:pt>
                <c:pt idx="129">
                  <c:v>135.683164556962</c:v>
                </c:pt>
                <c:pt idx="130">
                  <c:v>136.288227848101</c:v>
                </c:pt>
                <c:pt idx="131">
                  <c:v>136.893291139241</c:v>
                </c:pt>
                <c:pt idx="132">
                  <c:v>137.49835443038</c:v>
                </c:pt>
                <c:pt idx="133">
                  <c:v>138.103417721519</c:v>
                </c:pt>
                <c:pt idx="134">
                  <c:v>138.708481012658</c:v>
                </c:pt>
                <c:pt idx="135">
                  <c:v>139.313544303797</c:v>
                </c:pt>
                <c:pt idx="136">
                  <c:v>139.918607594937</c:v>
                </c:pt>
                <c:pt idx="137">
                  <c:v>140.523670886076</c:v>
                </c:pt>
                <c:pt idx="138">
                  <c:v>141.128734177215</c:v>
                </c:pt>
                <c:pt idx="139">
                  <c:v>141.733797468354</c:v>
                </c:pt>
                <c:pt idx="140">
                  <c:v>142.338860759494</c:v>
                </c:pt>
                <c:pt idx="141">
                  <c:v>142.943924050633</c:v>
                </c:pt>
                <c:pt idx="142">
                  <c:v>143.548987341772</c:v>
                </c:pt>
                <c:pt idx="143">
                  <c:v>144.154050632911</c:v>
                </c:pt>
                <c:pt idx="144">
                  <c:v>144.759113924051</c:v>
                </c:pt>
                <c:pt idx="145">
                  <c:v>145.36417721519</c:v>
                </c:pt>
                <c:pt idx="146">
                  <c:v>145.969240506329</c:v>
                </c:pt>
                <c:pt idx="147">
                  <c:v>146.574303797468</c:v>
                </c:pt>
                <c:pt idx="148">
                  <c:v>147.179367088608</c:v>
                </c:pt>
                <c:pt idx="149">
                  <c:v>147.784430379747</c:v>
                </c:pt>
                <c:pt idx="150">
                  <c:v>148.389493670886</c:v>
                </c:pt>
                <c:pt idx="151">
                  <c:v>148.994556962025</c:v>
                </c:pt>
                <c:pt idx="152">
                  <c:v>149.599620253165</c:v>
                </c:pt>
                <c:pt idx="153">
                  <c:v>150.204683544304</c:v>
                </c:pt>
                <c:pt idx="154">
                  <c:v>150.809746835443</c:v>
                </c:pt>
                <c:pt idx="155">
                  <c:v>151.414810126582</c:v>
                </c:pt>
                <c:pt idx="156">
                  <c:v>152.019873417722</c:v>
                </c:pt>
                <c:pt idx="157">
                  <c:v>152.624936708861</c:v>
                </c:pt>
                <c:pt idx="158">
                  <c:v>153.23</c:v>
                </c:pt>
                <c:pt idx="159">
                  <c:v>153.835063291139</c:v>
                </c:pt>
              </c:numCache>
            </c:numRef>
          </c:val>
          <c:smooth val="0"/>
        </c:ser>
        <c:hiLowLines>
          <c:spPr>
            <a:ln w="0">
              <a:noFill/>
            </a:ln>
          </c:spPr>
        </c:hiLowLines>
        <c:marker val="0"/>
        <c:axId val="13263766"/>
        <c:axId val="18239733"/>
      </c:lineChart>
      <c:dateAx>
        <c:axId val="8051511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049358"/>
        <c:auto val="1"/>
        <c:lblOffset val="100"/>
        <c:baseTimeUnit val="days"/>
      </c:dateAx>
      <c:valAx>
        <c:axId val="2304935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515112"/>
        <c:crosses val="autoZero"/>
        <c:crossBetween val="between"/>
      </c:valAx>
      <c:dateAx>
        <c:axId val="1326376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239733"/>
        <c:auto val="1"/>
        <c:lblOffset val="100"/>
        <c:baseTimeUnit val="days"/>
      </c:dateAx>
      <c:valAx>
        <c:axId val="1823973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26376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(Calc)'!$T$3:$T$500</c:f>
              <c:numCache>
                <c:formatCode>0.0%</c:formatCode>
                <c:ptCount val="498"/>
                <c:pt idx="0">
                  <c:v>-0.0146592709984151</c:v>
                </c:pt>
                <c:pt idx="1">
                  <c:v>0.00281463610776034</c:v>
                </c:pt>
                <c:pt idx="2">
                  <c:v>-0.0188452285485166</c:v>
                </c:pt>
                <c:pt idx="3">
                  <c:v>0.0143032284429914</c:v>
                </c:pt>
                <c:pt idx="4">
                  <c:v>-0.0124899274778404</c:v>
                </c:pt>
                <c:pt idx="5">
                  <c:v>-0.0330477356181151</c:v>
                </c:pt>
                <c:pt idx="6">
                  <c:v>0.0586497890295359</c:v>
                </c:pt>
                <c:pt idx="7">
                  <c:v>-0.00637704264647265</c:v>
                </c:pt>
                <c:pt idx="8">
                  <c:v>0.0256718812675492</c:v>
                </c:pt>
                <c:pt idx="9">
                  <c:v>0.00703949941337512</c:v>
                </c:pt>
                <c:pt idx="10">
                  <c:v>0.0135922330097087</c:v>
                </c:pt>
                <c:pt idx="11">
                  <c:v>0.00881226053639828</c:v>
                </c:pt>
                <c:pt idx="12">
                  <c:v>0.0277250284846182</c:v>
                </c:pt>
                <c:pt idx="13">
                  <c:v>0.0121951219512195</c:v>
                </c:pt>
                <c:pt idx="14">
                  <c:v>-0.00219058050383358</c:v>
                </c:pt>
                <c:pt idx="15">
                  <c:v>0.000731796560556219</c:v>
                </c:pt>
                <c:pt idx="16">
                  <c:v>-0.00219378427787942</c:v>
                </c:pt>
                <c:pt idx="17">
                  <c:v>-0.00952729937706109</c:v>
                </c:pt>
                <c:pt idx="18">
                  <c:v>0.00813910469848311</c:v>
                </c:pt>
                <c:pt idx="19">
                  <c:v>0.00954128440366975</c:v>
                </c:pt>
                <c:pt idx="20">
                  <c:v>0.00508905852417296</c:v>
                </c:pt>
                <c:pt idx="21">
                  <c:v>0.00831826401446656</c:v>
                </c:pt>
                <c:pt idx="22">
                  <c:v>0.0218794835007174</c:v>
                </c:pt>
                <c:pt idx="23">
                  <c:v>0.0217620217620218</c:v>
                </c:pt>
                <c:pt idx="24">
                  <c:v>0.0199244245963588</c:v>
                </c:pt>
                <c:pt idx="25">
                  <c:v>0.0154934321320308</c:v>
                </c:pt>
                <c:pt idx="26">
                  <c:v>0.0242122719734661</c:v>
                </c:pt>
                <c:pt idx="27">
                  <c:v>0.0155440414507773</c:v>
                </c:pt>
                <c:pt idx="28">
                  <c:v>-0.00255102040816324</c:v>
                </c:pt>
                <c:pt idx="29">
                  <c:v>-0.0255754475703325</c:v>
                </c:pt>
                <c:pt idx="30">
                  <c:v>-0.0177165354330708</c:v>
                </c:pt>
                <c:pt idx="31">
                  <c:v>0.0123580494321975</c:v>
                </c:pt>
                <c:pt idx="32">
                  <c:v>-0.0155064335202902</c:v>
                </c:pt>
                <c:pt idx="33">
                  <c:v>0.0224530831099197</c:v>
                </c:pt>
                <c:pt idx="34">
                  <c:v>0.0095050803015404</c:v>
                </c:pt>
                <c:pt idx="35">
                  <c:v>-0.0172077922077922</c:v>
                </c:pt>
                <c:pt idx="36">
                  <c:v>0.0115626032375289</c:v>
                </c:pt>
                <c:pt idx="37">
                  <c:v>-0.0212279555845853</c:v>
                </c:pt>
                <c:pt idx="38">
                  <c:v>-0.00200200200200196</c:v>
                </c:pt>
                <c:pt idx="39">
                  <c:v>0.0096957539284519</c:v>
                </c:pt>
                <c:pt idx="40">
                  <c:v>-0.00662251655629131</c:v>
                </c:pt>
                <c:pt idx="41">
                  <c:v>-0.0196666666666666</c:v>
                </c:pt>
                <c:pt idx="42">
                  <c:v>0.0384223053383204</c:v>
                </c:pt>
                <c:pt idx="43">
                  <c:v>0.0150622134905043</c:v>
                </c:pt>
                <c:pt idx="44">
                  <c:v>0.0180645161290323</c:v>
                </c:pt>
                <c:pt idx="45">
                  <c:v>-0.0288339670468948</c:v>
                </c:pt>
                <c:pt idx="46">
                  <c:v>-0.000978792822185937</c:v>
                </c:pt>
                <c:pt idx="47">
                  <c:v>0.0163291966035271</c:v>
                </c:pt>
                <c:pt idx="48">
                  <c:v>0.0327763496143958</c:v>
                </c:pt>
                <c:pt idx="49">
                  <c:v>0.00311138767890484</c:v>
                </c:pt>
                <c:pt idx="50">
                  <c:v>-0.0412531017369727</c:v>
                </c:pt>
                <c:pt idx="51">
                  <c:v>0.025558071821417</c:v>
                </c:pt>
                <c:pt idx="52">
                  <c:v>0.0173501577287067</c:v>
                </c:pt>
                <c:pt idx="53">
                  <c:v>0.00217054263565886</c:v>
                </c:pt>
                <c:pt idx="54">
                  <c:v>0.0185643564356437</c:v>
                </c:pt>
                <c:pt idx="55">
                  <c:v>0.00425273390036463</c:v>
                </c:pt>
                <c:pt idx="56">
                  <c:v>-0.00483968542044777</c:v>
                </c:pt>
                <c:pt idx="57">
                  <c:v>-0.0191489361702126</c:v>
                </c:pt>
                <c:pt idx="58">
                  <c:v>0.000619770684846532</c:v>
                </c:pt>
                <c:pt idx="59">
                  <c:v>0.0774233508826263</c:v>
                </c:pt>
                <c:pt idx="60">
                  <c:v>-0.0152342627191722</c:v>
                </c:pt>
                <c:pt idx="61">
                  <c:v>0.0385288966725044</c:v>
                </c:pt>
                <c:pt idx="62">
                  <c:v>0.00196739741427776</c:v>
                </c:pt>
                <c:pt idx="63">
                  <c:v>-0.000841514726507731</c:v>
                </c:pt>
                <c:pt idx="64">
                  <c:v>-0.0415496911847276</c:v>
                </c:pt>
                <c:pt idx="65">
                  <c:v>-0.0304628002343292</c:v>
                </c:pt>
                <c:pt idx="66">
                  <c:v>0.00936555891238666</c:v>
                </c:pt>
                <c:pt idx="67">
                  <c:v>0.00748278958395687</c:v>
                </c:pt>
                <c:pt idx="68">
                  <c:v>0</c:v>
                </c:pt>
                <c:pt idx="69">
                  <c:v>0.0386215092097446</c:v>
                </c:pt>
                <c:pt idx="70">
                  <c:v>0.00257437070938193</c:v>
                </c:pt>
                <c:pt idx="71">
                  <c:v>-0.0102710413694722</c:v>
                </c:pt>
                <c:pt idx="72">
                  <c:v>-0.0074949553185355</c:v>
                </c:pt>
                <c:pt idx="73">
                  <c:v>0.01161777519605</c:v>
                </c:pt>
                <c:pt idx="74">
                  <c:v>-0.00344530577088709</c:v>
                </c:pt>
                <c:pt idx="75">
                  <c:v>-0.00460962258715081</c:v>
                </c:pt>
                <c:pt idx="76">
                  <c:v>-0.0144717800289436</c:v>
                </c:pt>
                <c:pt idx="77">
                  <c:v>-0.0187958883994126</c:v>
                </c:pt>
                <c:pt idx="78">
                  <c:v>0.0170607602514217</c:v>
                </c:pt>
                <c:pt idx="79">
                  <c:v>-0.0164802825191288</c:v>
                </c:pt>
                <c:pt idx="80">
                  <c:v>-0.0924596050269301</c:v>
                </c:pt>
                <c:pt idx="81">
                  <c:v>0.0211012199142764</c:v>
                </c:pt>
                <c:pt idx="82">
                  <c:v>0.00678075556990643</c:v>
                </c:pt>
                <c:pt idx="83">
                  <c:v>0.033033996151379</c:v>
                </c:pt>
                <c:pt idx="84">
                  <c:v>0.0192486805339955</c:v>
                </c:pt>
                <c:pt idx="85">
                  <c:v>-0.00152299725860483</c:v>
                </c:pt>
                <c:pt idx="86">
                  <c:v>0.0430140329469189</c:v>
                </c:pt>
                <c:pt idx="87">
                  <c:v>-0.0348054986838257</c:v>
                </c:pt>
                <c:pt idx="88">
                  <c:v>0.00787878787878782</c:v>
                </c:pt>
                <c:pt idx="89">
                  <c:v>0.0234515935057127</c:v>
                </c:pt>
                <c:pt idx="90">
                  <c:v>0.0132197414806112</c:v>
                </c:pt>
                <c:pt idx="91">
                  <c:v>-0.00115975645114519</c:v>
                </c:pt>
                <c:pt idx="92">
                  <c:v>0.00870827285921627</c:v>
                </c:pt>
                <c:pt idx="93">
                  <c:v>0.0123741007194245</c:v>
                </c:pt>
                <c:pt idx="94">
                  <c:v>0.00255827174530987</c:v>
                </c:pt>
                <c:pt idx="95">
                  <c:v>-0.0212645307626879</c:v>
                </c:pt>
                <c:pt idx="96">
                  <c:v>0.0220162224797218</c:v>
                </c:pt>
                <c:pt idx="97">
                  <c:v>-0.0419501133786849</c:v>
                </c:pt>
                <c:pt idx="98">
                  <c:v>0.0100591715976333</c:v>
                </c:pt>
                <c:pt idx="99">
                  <c:v>0.0395430579964851</c:v>
                </c:pt>
                <c:pt idx="100">
                  <c:v>0.0259227951535643</c:v>
                </c:pt>
                <c:pt idx="101">
                  <c:v>0.00906344410876159</c:v>
                </c:pt>
                <c:pt idx="102">
                  <c:v>0.00762112139357662</c:v>
                </c:pt>
                <c:pt idx="103">
                  <c:v>0.000810372771474777</c:v>
                </c:pt>
                <c:pt idx="104">
                  <c:v>-0.00134952766531704</c:v>
                </c:pt>
                <c:pt idx="105">
                  <c:v>0.00783783783783787</c:v>
                </c:pt>
                <c:pt idx="106">
                  <c:v>0.00348618932689737</c:v>
                </c:pt>
                <c:pt idx="107">
                  <c:v>-0.0331373597006949</c:v>
                </c:pt>
                <c:pt idx="108">
                  <c:v>0.0140961857379767</c:v>
                </c:pt>
                <c:pt idx="109">
                  <c:v>0.0258926137912239</c:v>
                </c:pt>
                <c:pt idx="110">
                  <c:v>-0.00611052072263563</c:v>
                </c:pt>
                <c:pt idx="111">
                  <c:v>0.00213846565089559</c:v>
                </c:pt>
                <c:pt idx="112">
                  <c:v>0.0112029874633235</c:v>
                </c:pt>
                <c:pt idx="113">
                  <c:v>-0.0200474808757584</c:v>
                </c:pt>
                <c:pt idx="114">
                  <c:v>0.0341857335127862</c:v>
                </c:pt>
                <c:pt idx="115">
                  <c:v>0.0156168662155127</c:v>
                </c:pt>
                <c:pt idx="116">
                  <c:v>0.0107637109174781</c:v>
                </c:pt>
                <c:pt idx="117">
                  <c:v>-0.00431034482758608</c:v>
                </c:pt>
                <c:pt idx="118">
                  <c:v>0.00662083015024195</c:v>
                </c:pt>
                <c:pt idx="119">
                  <c:v>-0.00935997976220604</c:v>
                </c:pt>
                <c:pt idx="120">
                  <c:v>0.025791624106231</c:v>
                </c:pt>
                <c:pt idx="121">
                  <c:v>-0.0204132437142146</c:v>
                </c:pt>
                <c:pt idx="122">
                  <c:v>0.00635324015247774</c:v>
                </c:pt>
                <c:pt idx="123">
                  <c:v>-0.00984848484848488</c:v>
                </c:pt>
                <c:pt idx="124">
                  <c:v>0.0244835501147667</c:v>
                </c:pt>
                <c:pt idx="125">
                  <c:v>-0.0042320139407519</c:v>
                </c:pt>
                <c:pt idx="126">
                  <c:v>0.002</c:v>
                </c:pt>
                <c:pt idx="127">
                  <c:v>0.00349301397205593</c:v>
                </c:pt>
                <c:pt idx="128">
                  <c:v>-0.00919940328194924</c:v>
                </c:pt>
                <c:pt idx="129">
                  <c:v>-0.0215809284818067</c:v>
                </c:pt>
                <c:pt idx="130">
                  <c:v>0.00102590407796876</c:v>
                </c:pt>
                <c:pt idx="131">
                  <c:v>-0.0122982321291315</c:v>
                </c:pt>
                <c:pt idx="132">
                  <c:v>0.0280155642023348</c:v>
                </c:pt>
                <c:pt idx="133">
                  <c:v>-0.00428967953570536</c:v>
                </c:pt>
                <c:pt idx="134">
                  <c:v>0.0534718702483528</c:v>
                </c:pt>
                <c:pt idx="135">
                  <c:v>-0.00553283617993738</c:v>
                </c:pt>
                <c:pt idx="136">
                  <c:v>0.0256410256410256</c:v>
                </c:pt>
                <c:pt idx="137">
                  <c:v>0.0245283018867923</c:v>
                </c:pt>
                <c:pt idx="138">
                  <c:v>-0.0257826887661141</c:v>
                </c:pt>
                <c:pt idx="139">
                  <c:v>0.0396975425330812</c:v>
                </c:pt>
                <c:pt idx="140">
                  <c:v>0.0540909090909092</c:v>
                </c:pt>
                <c:pt idx="141">
                  <c:v>-0.011211729193618</c:v>
                </c:pt>
                <c:pt idx="142">
                  <c:v>0.00610553859572605</c:v>
                </c:pt>
                <c:pt idx="143">
                  <c:v>-0.0223233636757694</c:v>
                </c:pt>
                <c:pt idx="144">
                  <c:v>0.0206162713367324</c:v>
                </c:pt>
                <c:pt idx="145">
                  <c:v>0.0175933970460469</c:v>
                </c:pt>
                <c:pt idx="146">
                  <c:v>0.0089647812166489</c:v>
                </c:pt>
                <c:pt idx="147">
                  <c:v>0.00867357732176854</c:v>
                </c:pt>
                <c:pt idx="148">
                  <c:v>0.00692114093959728</c:v>
                </c:pt>
                <c:pt idx="149">
                  <c:v>0.0333263903353469</c:v>
                </c:pt>
                <c:pt idx="150">
                  <c:v>0.0352751461398912</c:v>
                </c:pt>
                <c:pt idx="151">
                  <c:v>0.043613707165109</c:v>
                </c:pt>
                <c:pt idx="152">
                  <c:v>0.0324626865671642</c:v>
                </c:pt>
                <c:pt idx="153">
                  <c:v>0.00379472352728572</c:v>
                </c:pt>
                <c:pt idx="154">
                  <c:v>-0.00666066606660665</c:v>
                </c:pt>
                <c:pt idx="155">
                  <c:v>-0.0235592606016672</c:v>
                </c:pt>
                <c:pt idx="156">
                  <c:v>-0.016332590942836</c:v>
                </c:pt>
                <c:pt idx="157">
                  <c:v>-0.0264150943396226</c:v>
                </c:pt>
                <c:pt idx="158">
                  <c:v>0.00426356589147292</c:v>
                </c:pt>
              </c:numCache>
            </c:numRef>
          </c:val>
        </c:ser>
        <c:gapWidth val="150"/>
        <c:overlap val="0"/>
        <c:axId val="11006707"/>
        <c:axId val="94119328"/>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(Calc)'!$AN$3:$AN$500</c:f>
              <c:numCache>
                <c:formatCode>#,##0.00</c:formatCode>
                <c:ptCount val="498"/>
                <c:pt idx="0">
                  <c:v>25.24</c:v>
                </c:pt>
                <c:pt idx="1">
                  <c:v>25.4082278481013</c:v>
                </c:pt>
                <c:pt idx="2">
                  <c:v>25.5764556962025</c:v>
                </c:pt>
                <c:pt idx="3">
                  <c:v>25.7446835443038</c:v>
                </c:pt>
                <c:pt idx="4">
                  <c:v>25.9129113924051</c:v>
                </c:pt>
                <c:pt idx="5">
                  <c:v>26.0811392405063</c:v>
                </c:pt>
                <c:pt idx="6">
                  <c:v>26.2493670886076</c:v>
                </c:pt>
                <c:pt idx="7">
                  <c:v>26.4175949367089</c:v>
                </c:pt>
                <c:pt idx="8">
                  <c:v>26.5858227848101</c:v>
                </c:pt>
                <c:pt idx="9">
                  <c:v>26.7540506329114</c:v>
                </c:pt>
                <c:pt idx="10">
                  <c:v>26.9222784810127</c:v>
                </c:pt>
                <c:pt idx="11">
                  <c:v>27.0905063291139</c:v>
                </c:pt>
                <c:pt idx="12">
                  <c:v>27.2587341772152</c:v>
                </c:pt>
                <c:pt idx="13">
                  <c:v>27.4269620253165</c:v>
                </c:pt>
                <c:pt idx="14">
                  <c:v>27.5951898734177</c:v>
                </c:pt>
                <c:pt idx="15">
                  <c:v>27.763417721519</c:v>
                </c:pt>
                <c:pt idx="16">
                  <c:v>27.9316455696203</c:v>
                </c:pt>
                <c:pt idx="17">
                  <c:v>28.0998734177215</c:v>
                </c:pt>
                <c:pt idx="18">
                  <c:v>28.2681012658228</c:v>
                </c:pt>
                <c:pt idx="19">
                  <c:v>28.4363291139241</c:v>
                </c:pt>
                <c:pt idx="20">
                  <c:v>28.6045569620253</c:v>
                </c:pt>
                <c:pt idx="21">
                  <c:v>28.7727848101266</c:v>
                </c:pt>
                <c:pt idx="22">
                  <c:v>28.9410126582278</c:v>
                </c:pt>
                <c:pt idx="23">
                  <c:v>29.1092405063291</c:v>
                </c:pt>
                <c:pt idx="24">
                  <c:v>29.2774683544304</c:v>
                </c:pt>
                <c:pt idx="25">
                  <c:v>29.4456962025316</c:v>
                </c:pt>
                <c:pt idx="26">
                  <c:v>29.6139240506329</c:v>
                </c:pt>
                <c:pt idx="27">
                  <c:v>29.7821518987342</c:v>
                </c:pt>
                <c:pt idx="28">
                  <c:v>29.9503797468354</c:v>
                </c:pt>
                <c:pt idx="29">
                  <c:v>30.1186075949367</c:v>
                </c:pt>
                <c:pt idx="30">
                  <c:v>30.286835443038</c:v>
                </c:pt>
                <c:pt idx="31">
                  <c:v>30.4550632911392</c:v>
                </c:pt>
                <c:pt idx="32">
                  <c:v>30.6232911392405</c:v>
                </c:pt>
                <c:pt idx="33">
                  <c:v>30.7915189873418</c:v>
                </c:pt>
                <c:pt idx="34">
                  <c:v>30.959746835443</c:v>
                </c:pt>
                <c:pt idx="35">
                  <c:v>31.1279746835443</c:v>
                </c:pt>
                <c:pt idx="36">
                  <c:v>31.2962025316456</c:v>
                </c:pt>
                <c:pt idx="37">
                  <c:v>31.4644303797468</c:v>
                </c:pt>
                <c:pt idx="38">
                  <c:v>31.6326582278481</c:v>
                </c:pt>
                <c:pt idx="39">
                  <c:v>31.8008860759494</c:v>
                </c:pt>
                <c:pt idx="40">
                  <c:v>31.9691139240506</c:v>
                </c:pt>
                <c:pt idx="41">
                  <c:v>32.1373417721519</c:v>
                </c:pt>
                <c:pt idx="42">
                  <c:v>32.3055696202532</c:v>
                </c:pt>
                <c:pt idx="43">
                  <c:v>32.4737974683544</c:v>
                </c:pt>
                <c:pt idx="44">
                  <c:v>32.6420253164557</c:v>
                </c:pt>
                <c:pt idx="45">
                  <c:v>32.810253164557</c:v>
                </c:pt>
                <c:pt idx="46">
                  <c:v>32.9784810126582</c:v>
                </c:pt>
                <c:pt idx="47">
                  <c:v>33.1467088607595</c:v>
                </c:pt>
                <c:pt idx="48">
                  <c:v>33.3149367088608</c:v>
                </c:pt>
                <c:pt idx="49">
                  <c:v>33.483164556962</c:v>
                </c:pt>
                <c:pt idx="50">
                  <c:v>33.6513924050633</c:v>
                </c:pt>
                <c:pt idx="51">
                  <c:v>33.8196202531646</c:v>
                </c:pt>
                <c:pt idx="52">
                  <c:v>33.9878481012658</c:v>
                </c:pt>
                <c:pt idx="53">
                  <c:v>34.1560759493671</c:v>
                </c:pt>
                <c:pt idx="54">
                  <c:v>34.3243037974684</c:v>
                </c:pt>
                <c:pt idx="55">
                  <c:v>34.4925316455696</c:v>
                </c:pt>
                <c:pt idx="56">
                  <c:v>34.6607594936709</c:v>
                </c:pt>
                <c:pt idx="57">
                  <c:v>34.8289873417722</c:v>
                </c:pt>
                <c:pt idx="58">
                  <c:v>34.9972151898734</c:v>
                </c:pt>
                <c:pt idx="59">
                  <c:v>35.1654430379747</c:v>
                </c:pt>
                <c:pt idx="60">
                  <c:v>35.333670886076</c:v>
                </c:pt>
                <c:pt idx="61">
                  <c:v>35.5018987341772</c:v>
                </c:pt>
                <c:pt idx="62">
                  <c:v>35.6701265822785</c:v>
                </c:pt>
                <c:pt idx="63">
                  <c:v>35.8383544303797</c:v>
                </c:pt>
                <c:pt idx="64">
                  <c:v>36.006582278481</c:v>
                </c:pt>
                <c:pt idx="65">
                  <c:v>36.1748101265823</c:v>
                </c:pt>
                <c:pt idx="66">
                  <c:v>36.3430379746835</c:v>
                </c:pt>
                <c:pt idx="67">
                  <c:v>36.5112658227848</c:v>
                </c:pt>
                <c:pt idx="68">
                  <c:v>36.6794936708861</c:v>
                </c:pt>
                <c:pt idx="69">
                  <c:v>36.8477215189873</c:v>
                </c:pt>
                <c:pt idx="70">
                  <c:v>37.0159493670886</c:v>
                </c:pt>
                <c:pt idx="71">
                  <c:v>37.1841772151899</c:v>
                </c:pt>
                <c:pt idx="72">
                  <c:v>37.3524050632911</c:v>
                </c:pt>
                <c:pt idx="73">
                  <c:v>37.5206329113924</c:v>
                </c:pt>
                <c:pt idx="74">
                  <c:v>37.6888607594937</c:v>
                </c:pt>
                <c:pt idx="75">
                  <c:v>37.8570886075949</c:v>
                </c:pt>
                <c:pt idx="76">
                  <c:v>38.0253164556962</c:v>
                </c:pt>
                <c:pt idx="77">
                  <c:v>38.1935443037975</c:v>
                </c:pt>
                <c:pt idx="78">
                  <c:v>38.3617721518987</c:v>
                </c:pt>
                <c:pt idx="79">
                  <c:v>38.53</c:v>
                </c:pt>
                <c:pt idx="80">
                  <c:v>38.6982278481013</c:v>
                </c:pt>
                <c:pt idx="81">
                  <c:v>38.8664556962025</c:v>
                </c:pt>
                <c:pt idx="82">
                  <c:v>39.0346835443038</c:v>
                </c:pt>
                <c:pt idx="83">
                  <c:v>39.2029113924051</c:v>
                </c:pt>
                <c:pt idx="84">
                  <c:v>39.3711392405063</c:v>
                </c:pt>
                <c:pt idx="85">
                  <c:v>39.5393670886076</c:v>
                </c:pt>
                <c:pt idx="86">
                  <c:v>39.7075949367089</c:v>
                </c:pt>
                <c:pt idx="87">
                  <c:v>39.8758227848101</c:v>
                </c:pt>
                <c:pt idx="88">
                  <c:v>40.0440506329114</c:v>
                </c:pt>
                <c:pt idx="89">
                  <c:v>40.2122784810127</c:v>
                </c:pt>
                <c:pt idx="90">
                  <c:v>40.3805063291139</c:v>
                </c:pt>
                <c:pt idx="91">
                  <c:v>40.5487341772152</c:v>
                </c:pt>
                <c:pt idx="92">
                  <c:v>40.7169620253165</c:v>
                </c:pt>
                <c:pt idx="93">
                  <c:v>40.8851898734177</c:v>
                </c:pt>
                <c:pt idx="94">
                  <c:v>41.053417721519</c:v>
                </c:pt>
                <c:pt idx="95">
                  <c:v>41.2216455696203</c:v>
                </c:pt>
                <c:pt idx="96">
                  <c:v>41.3898734177215</c:v>
                </c:pt>
                <c:pt idx="97">
                  <c:v>41.5581012658228</c:v>
                </c:pt>
                <c:pt idx="98">
                  <c:v>41.7263291139241</c:v>
                </c:pt>
                <c:pt idx="99">
                  <c:v>41.8945569620253</c:v>
                </c:pt>
                <c:pt idx="100">
                  <c:v>42.0627848101266</c:v>
                </c:pt>
                <c:pt idx="101">
                  <c:v>42.2310126582279</c:v>
                </c:pt>
                <c:pt idx="102">
                  <c:v>42.3992405063291</c:v>
                </c:pt>
                <c:pt idx="103">
                  <c:v>42.5674683544304</c:v>
                </c:pt>
                <c:pt idx="104">
                  <c:v>42.7356962025316</c:v>
                </c:pt>
                <c:pt idx="105">
                  <c:v>42.9039240506329</c:v>
                </c:pt>
                <c:pt idx="106">
                  <c:v>43.0721518987342</c:v>
                </c:pt>
                <c:pt idx="107">
                  <c:v>43.2403797468354</c:v>
                </c:pt>
                <c:pt idx="108">
                  <c:v>43.4086075949367</c:v>
                </c:pt>
                <c:pt idx="109">
                  <c:v>43.576835443038</c:v>
                </c:pt>
                <c:pt idx="110">
                  <c:v>43.7450632911392</c:v>
                </c:pt>
                <c:pt idx="111">
                  <c:v>43.9132911392405</c:v>
                </c:pt>
                <c:pt idx="112">
                  <c:v>44.0815189873418</c:v>
                </c:pt>
                <c:pt idx="113">
                  <c:v>44.249746835443</c:v>
                </c:pt>
                <c:pt idx="114">
                  <c:v>44.4179746835443</c:v>
                </c:pt>
                <c:pt idx="115">
                  <c:v>44.5862025316456</c:v>
                </c:pt>
                <c:pt idx="116">
                  <c:v>44.7544303797468</c:v>
                </c:pt>
                <c:pt idx="117">
                  <c:v>44.9226582278481</c:v>
                </c:pt>
                <c:pt idx="118">
                  <c:v>45.0908860759494</c:v>
                </c:pt>
                <c:pt idx="119">
                  <c:v>45.2591139240506</c:v>
                </c:pt>
                <c:pt idx="120">
                  <c:v>45.4273417721519</c:v>
                </c:pt>
                <c:pt idx="121">
                  <c:v>45.5955696202532</c:v>
                </c:pt>
                <c:pt idx="122">
                  <c:v>45.7637974683544</c:v>
                </c:pt>
                <c:pt idx="123">
                  <c:v>45.9320253164557</c:v>
                </c:pt>
                <c:pt idx="124">
                  <c:v>46.100253164557</c:v>
                </c:pt>
                <c:pt idx="125">
                  <c:v>46.2684810126582</c:v>
                </c:pt>
                <c:pt idx="126">
                  <c:v>46.4367088607595</c:v>
                </c:pt>
                <c:pt idx="127">
                  <c:v>46.6049367088608</c:v>
                </c:pt>
                <c:pt idx="128">
                  <c:v>46.773164556962</c:v>
                </c:pt>
                <c:pt idx="129">
                  <c:v>46.9413924050633</c:v>
                </c:pt>
                <c:pt idx="130">
                  <c:v>47.1096202531646</c:v>
                </c:pt>
                <c:pt idx="131">
                  <c:v>47.2778481012658</c:v>
                </c:pt>
                <c:pt idx="132">
                  <c:v>47.4460759493671</c:v>
                </c:pt>
                <c:pt idx="133">
                  <c:v>47.6143037974684</c:v>
                </c:pt>
                <c:pt idx="134">
                  <c:v>47.7825316455696</c:v>
                </c:pt>
                <c:pt idx="135">
                  <c:v>47.9507594936709</c:v>
                </c:pt>
                <c:pt idx="136">
                  <c:v>48.1189873417722</c:v>
                </c:pt>
                <c:pt idx="137">
                  <c:v>48.2872151898734</c:v>
                </c:pt>
                <c:pt idx="138">
                  <c:v>48.4554430379747</c:v>
                </c:pt>
                <c:pt idx="139">
                  <c:v>48.623670886076</c:v>
                </c:pt>
                <c:pt idx="140">
                  <c:v>48.7918987341772</c:v>
                </c:pt>
                <c:pt idx="141">
                  <c:v>48.9601265822785</c:v>
                </c:pt>
                <c:pt idx="142">
                  <c:v>49.1283544303797</c:v>
                </c:pt>
                <c:pt idx="143">
                  <c:v>49.296582278481</c:v>
                </c:pt>
                <c:pt idx="144">
                  <c:v>49.4648101265823</c:v>
                </c:pt>
                <c:pt idx="145">
                  <c:v>49.6330379746835</c:v>
                </c:pt>
                <c:pt idx="146">
                  <c:v>49.8012658227848</c:v>
                </c:pt>
                <c:pt idx="147">
                  <c:v>49.9694936708861</c:v>
                </c:pt>
                <c:pt idx="148">
                  <c:v>50.1377215189873</c:v>
                </c:pt>
                <c:pt idx="149">
                  <c:v>50.3059493670886</c:v>
                </c:pt>
                <c:pt idx="150">
                  <c:v>50.4741772151899</c:v>
                </c:pt>
                <c:pt idx="151">
                  <c:v>50.6424050632911</c:v>
                </c:pt>
                <c:pt idx="152">
                  <c:v>50.8106329113924</c:v>
                </c:pt>
                <c:pt idx="153">
                  <c:v>50.9788607594937</c:v>
                </c:pt>
                <c:pt idx="154">
                  <c:v>51.1470886075949</c:v>
                </c:pt>
                <c:pt idx="155">
                  <c:v>51.3153164556962</c:v>
                </c:pt>
                <c:pt idx="156">
                  <c:v>51.4835443037975</c:v>
                </c:pt>
                <c:pt idx="157">
                  <c:v>51.6517721518987</c:v>
                </c:pt>
                <c:pt idx="158">
                  <c:v>51.82</c:v>
                </c:pt>
                <c:pt idx="159">
                  <c:v>51.9882278481013</c:v>
                </c:pt>
              </c:numCache>
            </c:numRef>
          </c:val>
          <c:smooth val="0"/>
        </c:ser>
        <c:hiLowLines>
          <c:spPr>
            <a:ln w="0">
              <a:noFill/>
            </a:ln>
          </c:spPr>
        </c:hiLowLines>
        <c:marker val="0"/>
        <c:axId val="45973243"/>
        <c:axId val="10522506"/>
      </c:lineChart>
      <c:dateAx>
        <c:axId val="1100670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119328"/>
        <c:auto val="1"/>
        <c:lblOffset val="100"/>
        <c:baseTimeUnit val="days"/>
      </c:dateAx>
      <c:valAx>
        <c:axId val="9411932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006707"/>
        <c:crosses val="autoZero"/>
        <c:crossBetween val="between"/>
      </c:valAx>
      <c:dateAx>
        <c:axId val="4597324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522506"/>
        <c:auto val="1"/>
        <c:lblOffset val="100"/>
        <c:baseTimeUnit val="days"/>
      </c:dateAx>
      <c:valAx>
        <c:axId val="1052250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97324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(Calc)'!$V$3:$V$500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-0.0182916870814959</c:v>
                </c:pt>
              </c:numCache>
            </c:numRef>
          </c:val>
        </c:ser>
        <c:gapWidth val="150"/>
        <c:overlap val="0"/>
        <c:axId val="10520549"/>
        <c:axId val="56123685"/>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(Calc)'!$AO$3:$AO$500</c:f>
              <c:numCache>
                <c:formatCode>#,##0.00</c:formatCode>
                <c:ptCount val="498"/>
                <c:pt idx="0">
                  <c:v>235.63</c:v>
                </c:pt>
                <c:pt idx="1">
                  <c:v>236.421329113924</c:v>
                </c:pt>
                <c:pt idx="2">
                  <c:v>237.212658227848</c:v>
                </c:pt>
                <c:pt idx="3">
                  <c:v>238.003987341772</c:v>
                </c:pt>
                <c:pt idx="4">
                  <c:v>238.795316455696</c:v>
                </c:pt>
                <c:pt idx="5">
                  <c:v>239.58664556962</c:v>
                </c:pt>
                <c:pt idx="6">
                  <c:v>240.377974683544</c:v>
                </c:pt>
                <c:pt idx="7">
                  <c:v>241.169303797468</c:v>
                </c:pt>
                <c:pt idx="8">
                  <c:v>241.960632911392</c:v>
                </c:pt>
                <c:pt idx="9">
                  <c:v>242.751962025316</c:v>
                </c:pt>
                <c:pt idx="10">
                  <c:v>243.543291139241</c:v>
                </c:pt>
                <c:pt idx="11">
                  <c:v>244.334620253165</c:v>
                </c:pt>
                <c:pt idx="12">
                  <c:v>245.125949367089</c:v>
                </c:pt>
                <c:pt idx="13">
                  <c:v>245.917278481013</c:v>
                </c:pt>
                <c:pt idx="14">
                  <c:v>246.708607594937</c:v>
                </c:pt>
                <c:pt idx="15">
                  <c:v>247.499936708861</c:v>
                </c:pt>
                <c:pt idx="16">
                  <c:v>248.291265822785</c:v>
                </c:pt>
                <c:pt idx="17">
                  <c:v>249.082594936709</c:v>
                </c:pt>
                <c:pt idx="18">
                  <c:v>249.873924050633</c:v>
                </c:pt>
                <c:pt idx="19">
                  <c:v>250.665253164557</c:v>
                </c:pt>
                <c:pt idx="20">
                  <c:v>251.456582278481</c:v>
                </c:pt>
                <c:pt idx="21">
                  <c:v>252.247911392405</c:v>
                </c:pt>
                <c:pt idx="22">
                  <c:v>253.039240506329</c:v>
                </c:pt>
                <c:pt idx="23">
                  <c:v>253.830569620253</c:v>
                </c:pt>
                <c:pt idx="24">
                  <c:v>254.621898734177</c:v>
                </c:pt>
                <c:pt idx="25">
                  <c:v>255.413227848101</c:v>
                </c:pt>
                <c:pt idx="26">
                  <c:v>256.204556962025</c:v>
                </c:pt>
                <c:pt idx="27">
                  <c:v>256.995886075949</c:v>
                </c:pt>
                <c:pt idx="28">
                  <c:v>257.787215189873</c:v>
                </c:pt>
                <c:pt idx="29">
                  <c:v>258.578544303797</c:v>
                </c:pt>
                <c:pt idx="30">
                  <c:v>259.369873417722</c:v>
                </c:pt>
                <c:pt idx="31">
                  <c:v>260.161202531646</c:v>
                </c:pt>
                <c:pt idx="32">
                  <c:v>260.95253164557</c:v>
                </c:pt>
                <c:pt idx="33">
                  <c:v>261.743860759494</c:v>
                </c:pt>
                <c:pt idx="34">
                  <c:v>262.535189873418</c:v>
                </c:pt>
                <c:pt idx="35">
                  <c:v>263.326518987342</c:v>
                </c:pt>
                <c:pt idx="36">
                  <c:v>264.117848101266</c:v>
                </c:pt>
                <c:pt idx="37">
                  <c:v>264.90917721519</c:v>
                </c:pt>
                <c:pt idx="38">
                  <c:v>265.700506329114</c:v>
                </c:pt>
                <c:pt idx="39">
                  <c:v>266.491835443038</c:v>
                </c:pt>
                <c:pt idx="40">
                  <c:v>267.283164556962</c:v>
                </c:pt>
                <c:pt idx="41">
                  <c:v>268.074493670886</c:v>
                </c:pt>
                <c:pt idx="42">
                  <c:v>268.86582278481</c:v>
                </c:pt>
                <c:pt idx="43">
                  <c:v>269.657151898734</c:v>
                </c:pt>
                <c:pt idx="44">
                  <c:v>270.448481012658</c:v>
                </c:pt>
                <c:pt idx="45">
                  <c:v>271.239810126582</c:v>
                </c:pt>
                <c:pt idx="46">
                  <c:v>272.031139240506</c:v>
                </c:pt>
                <c:pt idx="47">
                  <c:v>272.82246835443</c:v>
                </c:pt>
                <c:pt idx="48">
                  <c:v>273.613797468354</c:v>
                </c:pt>
                <c:pt idx="49">
                  <c:v>274.405126582279</c:v>
                </c:pt>
                <c:pt idx="50">
                  <c:v>275.196455696203</c:v>
                </c:pt>
                <c:pt idx="51">
                  <c:v>275.987784810127</c:v>
                </c:pt>
                <c:pt idx="52">
                  <c:v>276.779113924051</c:v>
                </c:pt>
                <c:pt idx="53">
                  <c:v>277.570443037975</c:v>
                </c:pt>
                <c:pt idx="54">
                  <c:v>278.361772151899</c:v>
                </c:pt>
                <c:pt idx="55">
                  <c:v>279.153101265823</c:v>
                </c:pt>
                <c:pt idx="56">
                  <c:v>279.944430379747</c:v>
                </c:pt>
                <c:pt idx="57">
                  <c:v>280.735759493671</c:v>
                </c:pt>
                <c:pt idx="58">
                  <c:v>281.527088607595</c:v>
                </c:pt>
                <c:pt idx="59">
                  <c:v>282.318417721519</c:v>
                </c:pt>
                <c:pt idx="60">
                  <c:v>283.109746835443</c:v>
                </c:pt>
                <c:pt idx="61">
                  <c:v>283.901075949367</c:v>
                </c:pt>
                <c:pt idx="62">
                  <c:v>284.692405063291</c:v>
                </c:pt>
                <c:pt idx="63">
                  <c:v>285.483734177215</c:v>
                </c:pt>
                <c:pt idx="64">
                  <c:v>286.275063291139</c:v>
                </c:pt>
                <c:pt idx="65">
                  <c:v>287.066392405063</c:v>
                </c:pt>
                <c:pt idx="66">
                  <c:v>287.857721518987</c:v>
                </c:pt>
                <c:pt idx="67">
                  <c:v>288.649050632911</c:v>
                </c:pt>
                <c:pt idx="68">
                  <c:v>289.440379746835</c:v>
                </c:pt>
                <c:pt idx="69">
                  <c:v>290.23170886076</c:v>
                </c:pt>
                <c:pt idx="70">
                  <c:v>291.023037974684</c:v>
                </c:pt>
                <c:pt idx="71">
                  <c:v>291.814367088608</c:v>
                </c:pt>
                <c:pt idx="72">
                  <c:v>292.605696202532</c:v>
                </c:pt>
                <c:pt idx="73">
                  <c:v>293.397025316456</c:v>
                </c:pt>
                <c:pt idx="74">
                  <c:v>294.18835443038</c:v>
                </c:pt>
                <c:pt idx="75">
                  <c:v>294.979683544304</c:v>
                </c:pt>
                <c:pt idx="76">
                  <c:v>295.771012658228</c:v>
                </c:pt>
                <c:pt idx="77">
                  <c:v>296.562341772152</c:v>
                </c:pt>
                <c:pt idx="78">
                  <c:v>297.353670886076</c:v>
                </c:pt>
                <c:pt idx="79">
                  <c:v>298.145</c:v>
                </c:pt>
                <c:pt idx="80">
                  <c:v>298.936329113924</c:v>
                </c:pt>
                <c:pt idx="81">
                  <c:v>299.727658227848</c:v>
                </c:pt>
                <c:pt idx="82">
                  <c:v>300.518987341772</c:v>
                </c:pt>
                <c:pt idx="83">
                  <c:v>301.310316455696</c:v>
                </c:pt>
                <c:pt idx="84">
                  <c:v>302.10164556962</c:v>
                </c:pt>
                <c:pt idx="85">
                  <c:v>302.892974683544</c:v>
                </c:pt>
                <c:pt idx="86">
                  <c:v>303.684303797468</c:v>
                </c:pt>
                <c:pt idx="87">
                  <c:v>304.475632911392</c:v>
                </c:pt>
                <c:pt idx="88">
                  <c:v>305.266962025317</c:v>
                </c:pt>
                <c:pt idx="89">
                  <c:v>306.058291139241</c:v>
                </c:pt>
                <c:pt idx="90">
                  <c:v>306.849620253165</c:v>
                </c:pt>
                <c:pt idx="91">
                  <c:v>307.640949367089</c:v>
                </c:pt>
                <c:pt idx="92">
                  <c:v>308.432278481013</c:v>
                </c:pt>
                <c:pt idx="93">
                  <c:v>309.223607594937</c:v>
                </c:pt>
                <c:pt idx="94">
                  <c:v>310.014936708861</c:v>
                </c:pt>
                <c:pt idx="95">
                  <c:v>310.806265822785</c:v>
                </c:pt>
                <c:pt idx="96">
                  <c:v>311.597594936709</c:v>
                </c:pt>
                <c:pt idx="97">
                  <c:v>312.388924050633</c:v>
                </c:pt>
                <c:pt idx="98">
                  <c:v>313.180253164557</c:v>
                </c:pt>
                <c:pt idx="99">
                  <c:v>313.971582278481</c:v>
                </c:pt>
                <c:pt idx="100">
                  <c:v>314.762911392405</c:v>
                </c:pt>
                <c:pt idx="101">
                  <c:v>315.554240506329</c:v>
                </c:pt>
                <c:pt idx="102">
                  <c:v>316.345569620253</c:v>
                </c:pt>
                <c:pt idx="103">
                  <c:v>317.136898734177</c:v>
                </c:pt>
                <c:pt idx="104">
                  <c:v>317.928227848101</c:v>
                </c:pt>
                <c:pt idx="105">
                  <c:v>318.719556962025</c:v>
                </c:pt>
                <c:pt idx="106">
                  <c:v>319.510886075949</c:v>
                </c:pt>
                <c:pt idx="107">
                  <c:v>320.302215189873</c:v>
                </c:pt>
                <c:pt idx="108">
                  <c:v>321.093544303798</c:v>
                </c:pt>
                <c:pt idx="109">
                  <c:v>321.884873417722</c:v>
                </c:pt>
                <c:pt idx="110">
                  <c:v>322.676202531646</c:v>
                </c:pt>
                <c:pt idx="111">
                  <c:v>323.46753164557</c:v>
                </c:pt>
                <c:pt idx="112">
                  <c:v>324.258860759494</c:v>
                </c:pt>
                <c:pt idx="113">
                  <c:v>325.050189873418</c:v>
                </c:pt>
                <c:pt idx="114">
                  <c:v>325.841518987342</c:v>
                </c:pt>
                <c:pt idx="115">
                  <c:v>326.632848101266</c:v>
                </c:pt>
                <c:pt idx="116">
                  <c:v>327.42417721519</c:v>
                </c:pt>
                <c:pt idx="117">
                  <c:v>328.215506329114</c:v>
                </c:pt>
                <c:pt idx="118">
                  <c:v>329.006835443038</c:v>
                </c:pt>
                <c:pt idx="119">
                  <c:v>329.798164556962</c:v>
                </c:pt>
                <c:pt idx="120">
                  <c:v>330.589493670886</c:v>
                </c:pt>
                <c:pt idx="121">
                  <c:v>331.38082278481</c:v>
                </c:pt>
                <c:pt idx="122">
                  <c:v>332.172151898734</c:v>
                </c:pt>
                <c:pt idx="123">
                  <c:v>332.963481012658</c:v>
                </c:pt>
                <c:pt idx="124">
                  <c:v>333.754810126582</c:v>
                </c:pt>
                <c:pt idx="125">
                  <c:v>334.546139240506</c:v>
                </c:pt>
                <c:pt idx="126">
                  <c:v>335.33746835443</c:v>
                </c:pt>
                <c:pt idx="127">
                  <c:v>336.128797468354</c:v>
                </c:pt>
                <c:pt idx="128">
                  <c:v>336.920126582279</c:v>
                </c:pt>
                <c:pt idx="129">
                  <c:v>337.711455696203</c:v>
                </c:pt>
                <c:pt idx="130">
                  <c:v>338.502784810127</c:v>
                </c:pt>
                <c:pt idx="131">
                  <c:v>339.294113924051</c:v>
                </c:pt>
                <c:pt idx="132">
                  <c:v>340.085443037975</c:v>
                </c:pt>
                <c:pt idx="133">
                  <c:v>340.876772151899</c:v>
                </c:pt>
                <c:pt idx="134">
                  <c:v>341.668101265823</c:v>
                </c:pt>
                <c:pt idx="135">
                  <c:v>342.459430379747</c:v>
                </c:pt>
                <c:pt idx="136">
                  <c:v>343.250759493671</c:v>
                </c:pt>
                <c:pt idx="137">
                  <c:v>344.042088607595</c:v>
                </c:pt>
                <c:pt idx="138">
                  <c:v>344.833417721519</c:v>
                </c:pt>
                <c:pt idx="139">
                  <c:v>345.624746835443</c:v>
                </c:pt>
                <c:pt idx="140">
                  <c:v>346.416075949367</c:v>
                </c:pt>
                <c:pt idx="141">
                  <c:v>347.207405063291</c:v>
                </c:pt>
                <c:pt idx="142">
                  <c:v>347.998734177215</c:v>
                </c:pt>
                <c:pt idx="143">
                  <c:v>348.790063291139</c:v>
                </c:pt>
                <c:pt idx="144">
                  <c:v>349.581392405063</c:v>
                </c:pt>
                <c:pt idx="145">
                  <c:v>350.372721518987</c:v>
                </c:pt>
                <c:pt idx="146">
                  <c:v>351.164050632911</c:v>
                </c:pt>
                <c:pt idx="147">
                  <c:v>351.955379746835</c:v>
                </c:pt>
                <c:pt idx="148">
                  <c:v>352.74670886076</c:v>
                </c:pt>
                <c:pt idx="149">
                  <c:v>353.538037974684</c:v>
                </c:pt>
                <c:pt idx="150">
                  <c:v>354.329367088608</c:v>
                </c:pt>
                <c:pt idx="151">
                  <c:v>355.120696202532</c:v>
                </c:pt>
                <c:pt idx="152">
                  <c:v>355.912025316456</c:v>
                </c:pt>
                <c:pt idx="153">
                  <c:v>356.70335443038</c:v>
                </c:pt>
                <c:pt idx="154">
                  <c:v>357.494683544304</c:v>
                </c:pt>
                <c:pt idx="155">
                  <c:v>358.286012658228</c:v>
                </c:pt>
                <c:pt idx="156">
                  <c:v>359.077341772152</c:v>
                </c:pt>
                <c:pt idx="157">
                  <c:v>359.868670886076</c:v>
                </c:pt>
                <c:pt idx="158">
                  <c:v>360.66</c:v>
                </c:pt>
                <c:pt idx="159">
                  <c:v>361.451329113924</c:v>
                </c:pt>
              </c:numCache>
            </c:numRef>
          </c:val>
          <c:smooth val="0"/>
        </c:ser>
        <c:hiLowLines>
          <c:spPr>
            <a:ln w="0">
              <a:noFill/>
            </a:ln>
          </c:spPr>
        </c:hiLowLines>
        <c:marker val="0"/>
        <c:axId val="86495955"/>
        <c:axId val="90793751"/>
      </c:lineChart>
      <c:dateAx>
        <c:axId val="1052054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123685"/>
        <c:auto val="1"/>
        <c:lblOffset val="100"/>
        <c:baseTimeUnit val="days"/>
      </c:dateAx>
      <c:valAx>
        <c:axId val="5612368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520549"/>
        <c:crosses val="autoZero"/>
        <c:crossBetween val="between"/>
      </c:valAx>
      <c:dateAx>
        <c:axId val="8649595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793751"/>
        <c:auto val="1"/>
        <c:lblOffset val="100"/>
        <c:baseTimeUnit val="days"/>
      </c:dateAx>
      <c:valAx>
        <c:axId val="9079375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49595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331920</xdr:colOff>
      <xdr:row>174</xdr:row>
      <xdr:rowOff>154800</xdr:rowOff>
    </xdr:to>
    <xdr:graphicFrame>
      <xdr:nvGraphicFramePr>
        <xdr:cNvPr id="1" name="Chart 1"/>
        <xdr:cNvGraphicFramePr/>
      </xdr:nvGraphicFramePr>
      <xdr:xfrm>
        <a:off x="0" y="31194360"/>
        <a:ext cx="2687040" cy="2145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353520</xdr:colOff>
      <xdr:row>174</xdr:row>
      <xdr:rowOff>154800</xdr:rowOff>
    </xdr:to>
    <xdr:graphicFrame>
      <xdr:nvGraphicFramePr>
        <xdr:cNvPr id="2" name="Chart 2"/>
        <xdr:cNvGraphicFramePr/>
      </xdr:nvGraphicFramePr>
      <xdr:xfrm>
        <a:off x="3551400" y="31194360"/>
        <a:ext cx="2347560" cy="21456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119520</xdr:colOff>
      <xdr:row>174</xdr:row>
      <xdr:rowOff>154800</xdr:rowOff>
    </xdr:to>
    <xdr:graphicFrame>
      <xdr:nvGraphicFramePr>
        <xdr:cNvPr id="3" name="Chart 3"/>
        <xdr:cNvGraphicFramePr/>
      </xdr:nvGraphicFramePr>
      <xdr:xfrm>
        <a:off x="6741720" y="31194360"/>
        <a:ext cx="2403000" cy="21456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371880</xdr:colOff>
      <xdr:row>174</xdr:row>
      <xdr:rowOff>154800</xdr:rowOff>
    </xdr:to>
    <xdr:graphicFrame>
      <xdr:nvGraphicFramePr>
        <xdr:cNvPr id="4" name="Chart 4"/>
        <xdr:cNvGraphicFramePr/>
      </xdr:nvGraphicFramePr>
      <xdr:xfrm>
        <a:off x="10450080" y="31194360"/>
        <a:ext cx="4646880" cy="21456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331920</xdr:colOff>
      <xdr:row>190</xdr:row>
      <xdr:rowOff>154800</xdr:rowOff>
    </xdr:to>
    <xdr:graphicFrame>
      <xdr:nvGraphicFramePr>
        <xdr:cNvPr id="5" name="Chart 5"/>
        <xdr:cNvGraphicFramePr/>
      </xdr:nvGraphicFramePr>
      <xdr:xfrm>
        <a:off x="0" y="34089840"/>
        <a:ext cx="2687040" cy="21456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353520</xdr:colOff>
      <xdr:row>190</xdr:row>
      <xdr:rowOff>154800</xdr:rowOff>
    </xdr:to>
    <xdr:graphicFrame>
      <xdr:nvGraphicFramePr>
        <xdr:cNvPr id="6" name="Chart 6"/>
        <xdr:cNvGraphicFramePr/>
      </xdr:nvGraphicFramePr>
      <xdr:xfrm>
        <a:off x="3551400" y="34089840"/>
        <a:ext cx="2347560" cy="2145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119520</xdr:colOff>
      <xdr:row>190</xdr:row>
      <xdr:rowOff>154800</xdr:rowOff>
    </xdr:to>
    <xdr:graphicFrame>
      <xdr:nvGraphicFramePr>
        <xdr:cNvPr id="7" name="Chart 7"/>
        <xdr:cNvGraphicFramePr/>
      </xdr:nvGraphicFramePr>
      <xdr:xfrm>
        <a:off x="6741720" y="34089840"/>
        <a:ext cx="2403000" cy="21456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371880</xdr:colOff>
      <xdr:row>190</xdr:row>
      <xdr:rowOff>154800</xdr:rowOff>
    </xdr:to>
    <xdr:graphicFrame>
      <xdr:nvGraphicFramePr>
        <xdr:cNvPr id="8" name="Chart 8"/>
        <xdr:cNvGraphicFramePr/>
      </xdr:nvGraphicFramePr>
      <xdr:xfrm>
        <a:off x="10450080" y="34089840"/>
        <a:ext cx="4646880" cy="21456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331920</xdr:colOff>
      <xdr:row>206</xdr:row>
      <xdr:rowOff>154080</xdr:rowOff>
    </xdr:to>
    <xdr:graphicFrame>
      <xdr:nvGraphicFramePr>
        <xdr:cNvPr id="9" name="Chart 9"/>
        <xdr:cNvGraphicFramePr/>
      </xdr:nvGraphicFramePr>
      <xdr:xfrm>
        <a:off x="0" y="36985680"/>
        <a:ext cx="2687040" cy="21448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353520</xdr:colOff>
      <xdr:row>206</xdr:row>
      <xdr:rowOff>154080</xdr:rowOff>
    </xdr:to>
    <xdr:graphicFrame>
      <xdr:nvGraphicFramePr>
        <xdr:cNvPr id="10" name="Chart 10"/>
        <xdr:cNvGraphicFramePr/>
      </xdr:nvGraphicFramePr>
      <xdr:xfrm>
        <a:off x="3551400" y="36985680"/>
        <a:ext cx="2347560" cy="21448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119520</xdr:colOff>
      <xdr:row>206</xdr:row>
      <xdr:rowOff>154080</xdr:rowOff>
    </xdr:to>
    <xdr:graphicFrame>
      <xdr:nvGraphicFramePr>
        <xdr:cNvPr id="11" name="Chart 11"/>
        <xdr:cNvGraphicFramePr/>
      </xdr:nvGraphicFramePr>
      <xdr:xfrm>
        <a:off x="6741720" y="36985680"/>
        <a:ext cx="2403000" cy="214488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371880</xdr:colOff>
      <xdr:row>206</xdr:row>
      <xdr:rowOff>154080</xdr:rowOff>
    </xdr:to>
    <xdr:graphicFrame>
      <xdr:nvGraphicFramePr>
        <xdr:cNvPr id="12" name="Chart 12"/>
        <xdr:cNvGraphicFramePr/>
      </xdr:nvGraphicFramePr>
      <xdr:xfrm>
        <a:off x="10450080" y="36985680"/>
        <a:ext cx="4646880" cy="21448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331920</xdr:colOff>
      <xdr:row>222</xdr:row>
      <xdr:rowOff>154800</xdr:rowOff>
    </xdr:to>
    <xdr:graphicFrame>
      <xdr:nvGraphicFramePr>
        <xdr:cNvPr id="13" name="Chart 13"/>
        <xdr:cNvGraphicFramePr/>
      </xdr:nvGraphicFramePr>
      <xdr:xfrm>
        <a:off x="0" y="39881160"/>
        <a:ext cx="2687040" cy="214560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353520</xdr:colOff>
      <xdr:row>222</xdr:row>
      <xdr:rowOff>154800</xdr:rowOff>
    </xdr:to>
    <xdr:graphicFrame>
      <xdr:nvGraphicFramePr>
        <xdr:cNvPr id="14" name="Chart 14"/>
        <xdr:cNvGraphicFramePr/>
      </xdr:nvGraphicFramePr>
      <xdr:xfrm>
        <a:off x="3551400" y="39881160"/>
        <a:ext cx="2347560" cy="214560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119520</xdr:colOff>
      <xdr:row>222</xdr:row>
      <xdr:rowOff>154800</xdr:rowOff>
    </xdr:to>
    <xdr:graphicFrame>
      <xdr:nvGraphicFramePr>
        <xdr:cNvPr id="15" name="Chart 15"/>
        <xdr:cNvGraphicFramePr/>
      </xdr:nvGraphicFramePr>
      <xdr:xfrm>
        <a:off x="6741720" y="39881160"/>
        <a:ext cx="2403000" cy="2145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371880</xdr:colOff>
      <xdr:row>222</xdr:row>
      <xdr:rowOff>154800</xdr:rowOff>
    </xdr:to>
    <xdr:graphicFrame>
      <xdr:nvGraphicFramePr>
        <xdr:cNvPr id="16" name="Chart 16"/>
        <xdr:cNvGraphicFramePr/>
      </xdr:nvGraphicFramePr>
      <xdr:xfrm>
        <a:off x="10450080" y="39881160"/>
        <a:ext cx="4646880" cy="214560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331920</xdr:colOff>
      <xdr:row>238</xdr:row>
      <xdr:rowOff>154800</xdr:rowOff>
    </xdr:to>
    <xdr:graphicFrame>
      <xdr:nvGraphicFramePr>
        <xdr:cNvPr id="17" name="Chart 17"/>
        <xdr:cNvGraphicFramePr/>
      </xdr:nvGraphicFramePr>
      <xdr:xfrm>
        <a:off x="0" y="42776640"/>
        <a:ext cx="2687040" cy="214560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353520</xdr:colOff>
      <xdr:row>238</xdr:row>
      <xdr:rowOff>154800</xdr:rowOff>
    </xdr:to>
    <xdr:graphicFrame>
      <xdr:nvGraphicFramePr>
        <xdr:cNvPr id="18" name="Chart 18"/>
        <xdr:cNvGraphicFramePr/>
      </xdr:nvGraphicFramePr>
      <xdr:xfrm>
        <a:off x="3551400" y="42776640"/>
        <a:ext cx="2347560" cy="214560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4</xdr:col>
      <xdr:colOff>387360</xdr:colOff>
      <xdr:row>252</xdr:row>
      <xdr:rowOff>154800</xdr:rowOff>
    </xdr:to>
    <xdr:graphicFrame>
      <xdr:nvGraphicFramePr>
        <xdr:cNvPr id="19" name="Chart 19"/>
        <xdr:cNvGraphicFramePr/>
      </xdr:nvGraphicFramePr>
      <xdr:xfrm>
        <a:off x="0" y="45310320"/>
        <a:ext cx="2343960" cy="214560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1"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50" headerRowCount="1" totalsRowCount="0" totalsRowShown="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8-9)"/>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8" headerRowCount="1" totalsRowCount="0" totalsRowShown="0">
  <autoFilter ref="A2:Q48"/>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33"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117"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4.2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45.7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14.2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66796875" defaultRowHeight="14.2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9"/>
    <col collapsed="false" customWidth="true" hidden="false" outlineLevel="0" max="6" min="6" style="1" width="8"/>
  </cols>
  <sheetData>
    <row r="1" s="11" customFormat="true" ht="54" hidden="false" customHeight="true" outlineLevel="0" collapsed="false">
      <c r="A1" s="10" t="s">
        <v>51</v>
      </c>
      <c r="B1" s="10"/>
      <c r="C1" s="10"/>
      <c r="D1" s="10"/>
      <c r="E1" s="10"/>
      <c r="F1" s="10"/>
    </row>
    <row r="2" customFormat="false" ht="15" hidden="false" customHeight="true" outlineLevel="0" collapsed="false">
      <c r="A2" s="12" t="s">
        <v>52</v>
      </c>
      <c r="B2" s="12"/>
      <c r="C2" s="12"/>
      <c r="D2" s="12"/>
      <c r="E2" s="12"/>
      <c r="F2" s="12"/>
    </row>
    <row r="4" customFormat="false" ht="15" hidden="false" customHeight="true" outlineLevel="0" collapsed="false">
      <c r="A4" s="13" t="s">
        <v>53</v>
      </c>
      <c r="B4" s="13"/>
      <c r="C4" s="13"/>
      <c r="D4" s="13"/>
      <c r="E4" s="13"/>
      <c r="F4" s="13"/>
    </row>
    <row r="5" customFormat="false" ht="15" hidden="false" customHeight="true" outlineLevel="0" collapsed="false">
      <c r="A5" s="14" t="s">
        <v>54</v>
      </c>
      <c r="B5" s="14"/>
      <c r="C5" s="14"/>
      <c r="D5" s="14"/>
      <c r="E5" s="15" t="n">
        <f aca="false">COUNTIF('Watch List Tracker'!K3:K22,"*SELL WITHIN 30 DAYS*")</f>
        <v>0</v>
      </c>
      <c r="F5" s="15"/>
    </row>
    <row r="6" customFormat="false" ht="15" hidden="false" customHeight="true" outlineLevel="0" collapsed="false">
      <c r="A6" s="14" t="s">
        <v>55</v>
      </c>
      <c r="B6" s="14"/>
      <c r="C6" s="14"/>
      <c r="D6" s="14"/>
      <c r="E6" s="15" t="n">
        <f aca="false">COUNTIF('Watch List Tracker'!K3:K22,"DEADLINE APPROACHING")</f>
        <v>0</v>
      </c>
      <c r="F6" s="15"/>
    </row>
    <row r="7" customFormat="false" ht="15" hidden="false" customHeight="true" outlineLevel="0" collapsed="false">
      <c r="A7" s="14" t="s">
        <v>56</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57</v>
      </c>
      <c r="B9" s="13"/>
      <c r="C9" s="13"/>
      <c r="D9" s="13"/>
      <c r="E9" s="13"/>
      <c r="F9" s="13"/>
    </row>
    <row r="10" customFormat="false" ht="15" hidden="false" customHeight="true" outlineLevel="0" collapsed="false">
      <c r="A10" s="14" t="s">
        <v>58</v>
      </c>
      <c r="B10" s="14"/>
      <c r="C10" s="14"/>
      <c r="D10" s="14"/>
      <c r="E10" s="15" t="n">
        <f aca="false">COUNTIF('Holding Monitor'!AB4:AB23,"*ACTION REQUIRED*")</f>
        <v>0</v>
      </c>
      <c r="F10" s="15"/>
    </row>
    <row r="11" customFormat="false" ht="15" hidden="false" customHeight="true" outlineLevel="0" collapsed="false">
      <c r="A11" s="14" t="s">
        <v>59</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60</v>
      </c>
      <c r="B13" s="13"/>
      <c r="C13" s="13"/>
      <c r="D13" s="13"/>
      <c r="E13" s="13"/>
      <c r="F13" s="13"/>
    </row>
    <row r="14" customFormat="false" ht="15" hidden="false" customHeight="true" outlineLevel="0" collapsed="false">
      <c r="A14" s="14" t="s">
        <v>61</v>
      </c>
      <c r="B14" s="14"/>
      <c r="C14" s="14"/>
      <c r="D14" s="14"/>
      <c r="E14" s="17" t="str">
        <f aca="false">'Correlation Matrix'!J3</f>
        <v>REVIEW REQUIRED</v>
      </c>
      <c r="F14" s="17"/>
    </row>
    <row r="15" customFormat="false" ht="15" hidden="false" customHeight="true" outlineLevel="0" collapsed="false">
      <c r="A15" s="14" t="s">
        <v>62</v>
      </c>
      <c r="B15" s="14"/>
      <c r="C15" s="14"/>
      <c r="D15" s="14"/>
      <c r="E15" s="18" t="n">
        <f aca="false">'Correlation Matrix'!J2</f>
        <v>11</v>
      </c>
      <c r="F15" s="18"/>
    </row>
    <row r="16" customFormat="false" ht="15" hidden="false" customHeight="true" outlineLevel="0" collapsed="false">
      <c r="A16" s="16"/>
      <c r="B16" s="16"/>
      <c r="C16" s="16"/>
      <c r="D16" s="16"/>
    </row>
    <row r="17" customFormat="false" ht="15" hidden="false" customHeight="true" outlineLevel="0" collapsed="false">
      <c r="A17" s="13" t="s">
        <v>63</v>
      </c>
      <c r="B17" s="13"/>
      <c r="C17" s="13"/>
      <c r="D17" s="13"/>
      <c r="E17" s="13"/>
      <c r="F17" s="13"/>
    </row>
    <row r="18" customFormat="false" ht="15" hidden="false" customHeight="true" outlineLevel="0" collapsed="false">
      <c r="A18" s="14" t="s">
        <v>64</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65</v>
      </c>
      <c r="B19" s="14"/>
      <c r="C19" s="14"/>
      <c r="D19" s="14"/>
      <c r="E19" s="19" t="n">
        <f aca="false">IFERROR(INDEX('Portfolio Drawdown Log'!D3:D42,COUNT('Portfolio Drawdown Log'!D3:D42)),"")</f>
        <v>-0.0128663106108875</v>
      </c>
      <c r="F19" s="19"/>
    </row>
    <row r="20" customFormat="false" ht="15" hidden="false" customHeight="true" outlineLevel="0" collapsed="false">
      <c r="A20" s="14" t="s">
        <v>66</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67</v>
      </c>
      <c r="B22" s="13"/>
      <c r="C22" s="13"/>
      <c r="D22" s="13"/>
      <c r="E22" s="13"/>
      <c r="F22" s="13"/>
    </row>
    <row r="23" customFormat="false" ht="15" hidden="false" customHeight="true" outlineLevel="0" collapsed="false">
      <c r="A23" s="14" t="s">
        <v>68</v>
      </c>
      <c r="B23" s="14"/>
      <c r="C23" s="14"/>
      <c r="D23" s="14"/>
      <c r="E23" s="15" t="n">
        <f aca="false">COUNTIF(Scoring!AH3:AH60,"FAIL")</f>
        <v>19</v>
      </c>
      <c r="F23" s="15"/>
    </row>
    <row r="24" customFormat="false" ht="15" hidden="false" customHeight="true" outlineLevel="0" collapsed="false">
      <c r="A24" s="14" t="s">
        <v>69</v>
      </c>
      <c r="B24" s="14"/>
      <c r="C24" s="14"/>
      <c r="D24" s="14"/>
      <c r="E24" s="15" t="n">
        <f aca="false">COUNTIF(Scoring!AJ3:AJ60,"AVOID")</f>
        <v>23</v>
      </c>
      <c r="F24" s="15"/>
    </row>
    <row r="25" customFormat="false" ht="15" hidden="false" customHeight="true" outlineLevel="0" collapsed="false">
      <c r="A25" s="14" t="s">
        <v>70</v>
      </c>
      <c r="B25" s="14"/>
      <c r="C25" s="14"/>
      <c r="D25" s="14"/>
      <c r="E25" s="15" t="n">
        <f aca="false">COUNTIF(Scoring!AI3:AI60,"REVIEW")</f>
        <v>14</v>
      </c>
      <c r="F25" s="15"/>
    </row>
    <row r="26" customFormat="false" ht="15" hidden="false" customHeight="true" outlineLevel="0" collapsed="false">
      <c r="A26" s="14" t="s">
        <v>71</v>
      </c>
      <c r="B26" s="14"/>
      <c r="C26" s="14"/>
      <c r="D26" s="14"/>
      <c r="E26" s="15" t="n">
        <f aca="false">COUNTIF(Scoring!AK3:AK60,"CAP AT BUY")</f>
        <v>0</v>
      </c>
      <c r="F26" s="15"/>
    </row>
    <row r="27" customFormat="false" ht="15" hidden="false" customHeight="true" outlineLevel="0" collapsed="false">
      <c r="A27" s="13" t="s">
        <v>72</v>
      </c>
      <c r="B27" s="13"/>
      <c r="C27" s="13"/>
      <c r="D27" s="13"/>
      <c r="E27" s="13"/>
      <c r="F27" s="13"/>
    </row>
    <row r="28" customFormat="false" ht="15" hidden="false" customHeight="true" outlineLevel="0" collapsed="false">
      <c r="A28" s="20" t="s">
        <v>73</v>
      </c>
      <c r="B28" s="20"/>
      <c r="C28" s="20"/>
      <c r="D28" s="20"/>
      <c r="E28" s="15" t="n">
        <f aca="false">COUNTIF('Entry Checklist'!R3:R47,"NO*")</f>
        <v>1</v>
      </c>
      <c r="F28" s="15"/>
    </row>
    <row r="29" customFormat="false" ht="15" hidden="false" customHeight="true" outlineLevel="0" collapsed="false">
      <c r="A29" s="20" t="s">
        <v>74</v>
      </c>
      <c r="B29" s="20"/>
      <c r="C29" s="20"/>
      <c r="D29" s="20"/>
      <c r="E29" s="15" t="n">
        <f aca="false">COUNTIF('Entry Checklist'!H3:H47,"*50%*")</f>
        <v>0</v>
      </c>
      <c r="F29" s="15"/>
    </row>
    <row r="30" customFormat="false" ht="15" hidden="false" customHeight="true" outlineLevel="0" collapsed="false">
      <c r="A30" s="16"/>
      <c r="B30" s="16"/>
      <c r="C30" s="16"/>
      <c r="D30" s="16"/>
    </row>
    <row r="31" customFormat="false" ht="55.5" hidden="false" customHeight="true" outlineLevel="0" collapsed="false">
      <c r="A31" s="21" t="s">
        <v>75</v>
      </c>
      <c r="B31" s="21"/>
      <c r="C31" s="21"/>
      <c r="D31" s="21"/>
      <c r="E31" s="21"/>
      <c r="F31" s="21"/>
    </row>
    <row r="32" customFormat="false" ht="29.25" hidden="false" customHeight="true" outlineLevel="0" collapsed="false">
      <c r="A32" s="22" t="s">
        <v>76</v>
      </c>
      <c r="B32" s="22"/>
      <c r="C32" s="22"/>
      <c r="D32" s="22"/>
      <c r="E32" s="15" t="n">
        <f aca="false">COUNTIF(Scoring!AP3:AP60,"LOW CONF")</f>
        <v>2</v>
      </c>
      <c r="F32" s="15"/>
    </row>
    <row r="33" customFormat="false" ht="15" hidden="false" customHeight="true" outlineLevel="0" collapsed="false">
      <c r="A33" s="14" t="s">
        <v>77</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G32" activePane="bottomRight" state="frozen"/>
      <selection pane="topLeft" activeCell="A1" activeCellId="0" sqref="A1"/>
      <selection pane="topRight" activeCell="G1" activeCellId="0" sqref="G1"/>
      <selection pane="bottomLeft" activeCell="A32" activeCellId="0" sqref="A32"/>
      <selection pane="bottomRight" activeCell="I16" activeCellId="0" sqref="I16"/>
    </sheetView>
  </sheetViews>
  <sheetFormatPr defaultColWidth="8.66796875" defaultRowHeight="14.25" customHeight="false" zeroHeight="false" outlineLevelRow="1"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1"/>
    <col collapsed="false" customWidth="true" hidden="false" outlineLevel="0" max="5" min="5" style="1" width="11.77"/>
    <col collapsed="false" customWidth="true" hidden="false" outlineLevel="0" max="6" min="6" style="24" width="10"/>
    <col collapsed="false" customWidth="true" hidden="false" outlineLevel="0" max="7" min="7" style="1" width="13.75"/>
    <col collapsed="false" customWidth="true" hidden="false" outlineLevel="0" max="8" min="8" style="1" width="13"/>
    <col collapsed="false" customWidth="true" hidden="false" outlineLevel="0" max="9" min="9" style="1" width="9.88"/>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78</v>
      </c>
      <c r="B1" s="25"/>
      <c r="C1" s="25"/>
      <c r="D1" s="25"/>
      <c r="E1" s="25"/>
      <c r="F1" s="25"/>
      <c r="G1" s="25"/>
      <c r="H1" s="25"/>
      <c r="I1" s="25"/>
      <c r="J1" s="25"/>
      <c r="K1" s="25"/>
      <c r="L1" s="25"/>
      <c r="M1" s="25"/>
      <c r="O1" s="26" t="s">
        <v>79</v>
      </c>
      <c r="P1" s="26"/>
    </row>
    <row r="2" customFormat="false" ht="26.25" hidden="false" customHeight="true" outlineLevel="0" collapsed="false">
      <c r="A2" s="27" t="s">
        <v>80</v>
      </c>
      <c r="B2" s="27" t="s">
        <v>81</v>
      </c>
      <c r="C2" s="27" t="s">
        <v>82</v>
      </c>
      <c r="D2" s="27" t="s">
        <v>83</v>
      </c>
      <c r="E2" s="27" t="s">
        <v>84</v>
      </c>
      <c r="F2" s="27" t="s">
        <v>85</v>
      </c>
      <c r="G2" s="27" t="s">
        <v>86</v>
      </c>
      <c r="H2" s="27" t="s">
        <v>87</v>
      </c>
      <c r="I2" s="27" t="s">
        <v>88</v>
      </c>
      <c r="J2" s="27" t="s">
        <v>89</v>
      </c>
      <c r="K2" s="27" t="s">
        <v>90</v>
      </c>
      <c r="L2" s="27" t="s">
        <v>91</v>
      </c>
      <c r="M2" s="27" t="s">
        <v>92</v>
      </c>
      <c r="O2" s="1" t="s">
        <v>93</v>
      </c>
    </row>
    <row r="3" customFormat="false" ht="15" hidden="false" customHeight="true" outlineLevel="0" collapsed="false">
      <c r="A3" s="28" t="s">
        <v>94</v>
      </c>
      <c r="B3" s="29" t="s">
        <v>95</v>
      </c>
      <c r="C3" s="30" t="s">
        <v>96</v>
      </c>
      <c r="D3" s="31" t="s">
        <v>97</v>
      </c>
      <c r="E3" s="30" t="n">
        <v>65</v>
      </c>
      <c r="F3" s="32" t="n">
        <f aca="false">IF(IFERROR(INDEX('Monitor &amp; Recheck Triggers'!$H$3:$H$48,MATCH($B3,'Monitor &amp; Recheck Triggers'!$A$3:$A$48,0)),"")="",266.51,INDEX('Monitor &amp; Recheck Triggers'!$H$3:$H$48,MATCH($B3,'Monitor &amp; Recheck Triggers'!$A$3:$A$48,0)))</f>
        <v>266.51</v>
      </c>
      <c r="G3" s="33" t="n">
        <f aca="false">E3*F3</f>
        <v>17323.15</v>
      </c>
      <c r="H3" s="34" t="n">
        <v>19163.84</v>
      </c>
      <c r="I3" s="35" t="n">
        <f aca="false">G3-H3</f>
        <v>-1840.69</v>
      </c>
      <c r="J3" s="36" t="n">
        <f aca="false">IF(H3=0,"",G3/H3-1)</f>
        <v>-0.0960501653113365</v>
      </c>
      <c r="K3" s="36" t="n">
        <f aca="false">IFERROR(G3/SUM(G3:G23),"")</f>
        <v>0.0417848054533729</v>
      </c>
      <c r="L3" s="36" t="n">
        <f aca="false">IFERROR(G3/(SUM(G3:G23,G27:G46)),"")</f>
        <v>0.0236587377807722</v>
      </c>
      <c r="M3" s="28" t="s">
        <v>98</v>
      </c>
      <c r="O3" s="1" t="s">
        <v>99</v>
      </c>
    </row>
    <row r="4" customFormat="false" ht="15" hidden="false" customHeight="true" outlineLevel="0" collapsed="false">
      <c r="A4" s="28" t="s">
        <v>94</v>
      </c>
      <c r="B4" s="29" t="s">
        <v>100</v>
      </c>
      <c r="C4" s="30" t="s">
        <v>101</v>
      </c>
      <c r="D4" s="31" t="s">
        <v>97</v>
      </c>
      <c r="E4" s="30" t="n">
        <v>70</v>
      </c>
      <c r="F4" s="32" t="n">
        <f aca="false">IF(IFERROR(INDEX('Monitor &amp; Recheck Triggers'!$H$3:$H$48,MATCH($B4,'Monitor &amp; Recheck Triggers'!$A$3:$A$48,0)),"")="",193.78,INDEX('Monitor &amp; Recheck Triggers'!$H$3:$H$48,MATCH($B4,'Monitor &amp; Recheck Triggers'!$A$3:$A$48,0)))</f>
        <v>193.78</v>
      </c>
      <c r="G4" s="33" t="n">
        <f aca="false">E4*F4</f>
        <v>13564.6</v>
      </c>
      <c r="H4" s="34" t="n">
        <v>10182.2</v>
      </c>
      <c r="I4" s="35" t="n">
        <f aca="false">G4-H4</f>
        <v>3382.4</v>
      </c>
      <c r="J4" s="36" t="n">
        <f aca="false">IF(H4=0,"",G4/H4-1)</f>
        <v>0.332187542967139</v>
      </c>
      <c r="K4" s="36" t="n">
        <f aca="false">IFERROR(G4/SUM(G3:G23),"")</f>
        <v>0.0327188861178724</v>
      </c>
      <c r="L4" s="36" t="n">
        <f aca="false">IFERROR(G4/(SUM(G3:G23,G27:G46)),"")</f>
        <v>0.0185255749965256</v>
      </c>
      <c r="M4" s="28"/>
    </row>
    <row r="5" customFormat="false" ht="15" hidden="false" customHeight="true" outlineLevel="0" collapsed="false">
      <c r="A5" s="28" t="s">
        <v>94</v>
      </c>
      <c r="B5" s="29" t="s">
        <v>102</v>
      </c>
      <c r="C5" s="30" t="s">
        <v>103</v>
      </c>
      <c r="D5" s="31" t="s">
        <v>97</v>
      </c>
      <c r="E5" s="30" t="n">
        <v>7</v>
      </c>
      <c r="F5" s="32" t="n">
        <f aca="false">IF(IFERROR(INDEX('Monitor &amp; Recheck Triggers'!$H$3:$H$48,MATCH($B5,'Monitor &amp; Recheck Triggers'!$A$3:$A$48,0)),"")="",1714.88,INDEX('Monitor &amp; Recheck Triggers'!$H$3:$H$48,MATCH($B5,'Monitor &amp; Recheck Triggers'!$A$3:$A$48,0)))</f>
        <v>1714.88</v>
      </c>
      <c r="G5" s="33" t="n">
        <f aca="false">E5*F5</f>
        <v>12004.16</v>
      </c>
      <c r="H5" s="34" t="n">
        <v>9989.88</v>
      </c>
      <c r="I5" s="35" t="n">
        <f aca="false">G5-H5</f>
        <v>2014.28</v>
      </c>
      <c r="J5" s="36" t="n">
        <f aca="false">IF(H5=0,"",G5/H5-1)</f>
        <v>0.201632051636256</v>
      </c>
      <c r="K5" s="36" t="n">
        <f aca="false">IFERROR(G5/SUM(G3:G23),"")</f>
        <v>0.0289549816419739</v>
      </c>
      <c r="L5" s="36" t="n">
        <f aca="false">IFERROR(G5/(SUM(G3:G23,G27:G46)),"")</f>
        <v>0.0163944359841273</v>
      </c>
      <c r="M5" s="28"/>
    </row>
    <row r="6" customFormat="false" ht="15" hidden="false" customHeight="true" outlineLevel="0" collapsed="false">
      <c r="A6" s="28" t="s">
        <v>94</v>
      </c>
      <c r="B6" s="29" t="s">
        <v>104</v>
      </c>
      <c r="C6" s="30" t="s">
        <v>105</v>
      </c>
      <c r="D6" s="31" t="s">
        <v>97</v>
      </c>
      <c r="E6" s="30" t="n">
        <v>40</v>
      </c>
      <c r="F6" s="32" t="n">
        <f aca="false">IF(IFERROR(INDEX('Monitor &amp; Recheck Triggers'!$H$3:$H$48,MATCH($B6,'Monitor &amp; Recheck Triggers'!$A$3:$A$48,0)),"")="",213.1,INDEX('Monitor &amp; Recheck Triggers'!$H$3:$H$48,MATCH($B6,'Monitor &amp; Recheck Triggers'!$A$3:$A$48,0)))</f>
        <v>213.1</v>
      </c>
      <c r="G6" s="33" t="n">
        <f aca="false">E6*F6</f>
        <v>8524</v>
      </c>
      <c r="H6" s="34" t="n">
        <v>4991.35</v>
      </c>
      <c r="I6" s="35" t="n">
        <f aca="false">G6-H6</f>
        <v>3532.65</v>
      </c>
      <c r="J6" s="36" t="n">
        <f aca="false">IF(H6=0,"",G6/H6-1)</f>
        <v>0.707754415138189</v>
      </c>
      <c r="K6" s="36" t="n">
        <f aca="false">IFERROR(G6/SUM(G3:G23),"")</f>
        <v>0.0205605609652142</v>
      </c>
      <c r="L6" s="36" t="n">
        <f aca="false">IFERROR(G6/(SUM(G3:G23,G27:G46)),"")</f>
        <v>0.011641478648127</v>
      </c>
      <c r="M6" s="28"/>
    </row>
    <row r="7" customFormat="false" ht="15" hidden="false" customHeight="true" outlineLevel="0" collapsed="false">
      <c r="A7" s="28" t="s">
        <v>94</v>
      </c>
      <c r="B7" s="29" t="s">
        <v>106</v>
      </c>
      <c r="C7" s="30" t="s">
        <v>107</v>
      </c>
      <c r="D7" s="31" t="s">
        <v>97</v>
      </c>
      <c r="E7" s="30" t="n">
        <v>100</v>
      </c>
      <c r="F7" s="32" t="n">
        <f aca="false">IF(IFERROR(INDEX('Monitor &amp; Recheck Triggers'!$H$3:$H$48,MATCH($B7,'Monitor &amp; Recheck Triggers'!$A$3:$A$48,0)),"")="",185.6,INDEX('Monitor &amp; Recheck Triggers'!$H$3:$H$48,MATCH($B7,'Monitor &amp; Recheck Triggers'!$A$3:$A$48,0)))</f>
        <v>185.6</v>
      </c>
      <c r="G7" s="33" t="n">
        <f aca="false">E7*F7</f>
        <v>18560</v>
      </c>
      <c r="H7" s="34" t="n">
        <v>15412.54</v>
      </c>
      <c r="I7" s="35" t="n">
        <f aca="false">G7-H7</f>
        <v>3147.46</v>
      </c>
      <c r="J7" s="36" t="n">
        <f aca="false">IF(H7=0,"",G7/H7-1)</f>
        <v>0.204214230749766</v>
      </c>
      <c r="K7" s="36" t="n">
        <f aca="false">IFERROR(G7/SUM(G3:G23),"")</f>
        <v>0.044768185302015</v>
      </c>
      <c r="L7" s="36" t="n">
        <f aca="false">IFERROR(G7/(SUM(G3:G23,G27:G46)),"")</f>
        <v>0.0253479403694554</v>
      </c>
      <c r="M7" s="28"/>
    </row>
    <row r="8" customFormat="false" ht="15" hidden="false" customHeight="true" outlineLevel="0" collapsed="false">
      <c r="A8" s="28" t="s">
        <v>94</v>
      </c>
      <c r="B8" s="29" t="s">
        <v>108</v>
      </c>
      <c r="C8" s="30" t="s">
        <v>109</v>
      </c>
      <c r="D8" s="31" t="s">
        <v>97</v>
      </c>
      <c r="E8" s="30" t="n">
        <v>7</v>
      </c>
      <c r="F8" s="32" t="n">
        <f aca="false">IF(IFERROR(INDEX('Monitor &amp; Recheck Triggers'!$H$3:$H$48,MATCH($B8,'Monitor &amp; Recheck Triggers'!$A$3:$A$48,0)),"")="",1016.59,INDEX('Monitor &amp; Recheck Triggers'!$H$3:$H$48,MATCH($B8,'Monitor &amp; Recheck Triggers'!$A$3:$A$48,0)))</f>
        <v>1016.59</v>
      </c>
      <c r="G8" s="33" t="n">
        <f aca="false">E8*F8</f>
        <v>7116.13</v>
      </c>
      <c r="H8" s="34" t="n">
        <v>5836.11</v>
      </c>
      <c r="I8" s="35" t="n">
        <f aca="false">G8-H8</f>
        <v>1280.02</v>
      </c>
      <c r="J8" s="36" t="n">
        <f aca="false">IF(H8=0,"",G8/H8-1)</f>
        <v>0.219327600062371</v>
      </c>
      <c r="K8" s="36" t="n">
        <f aca="false">IFERROR(G8/SUM(G3:G23),"")</f>
        <v>0.0171646673746351</v>
      </c>
      <c r="L8" s="36" t="n">
        <f aca="false">IFERROR(G8/(SUM(G3:G23,G27:G46)),"")</f>
        <v>0.00971870899252655</v>
      </c>
      <c r="M8" s="28"/>
    </row>
    <row r="9" customFormat="false" ht="15" hidden="false" customHeight="true" outlineLevel="0" collapsed="false">
      <c r="A9" s="28" t="s">
        <v>94</v>
      </c>
      <c r="B9" s="29" t="s">
        <v>110</v>
      </c>
      <c r="C9" s="30" t="s">
        <v>111</v>
      </c>
      <c r="D9" s="31" t="s">
        <v>97</v>
      </c>
      <c r="E9" s="30" t="n">
        <v>155</v>
      </c>
      <c r="F9" s="32" t="n">
        <f aca="false">IF(IFERROR(INDEX('Monitor &amp; Recheck Triggers'!$H$3:$H$48,MATCH($B9,'Monitor &amp; Recheck Triggers'!$A$3:$A$48,0)),"")="",230.36,INDEX('Monitor &amp; Recheck Triggers'!$H$3:$H$48,MATCH($B9,'Monitor &amp; Recheck Triggers'!$A$3:$A$48,0)))</f>
        <v>230.36</v>
      </c>
      <c r="G9" s="33" t="n">
        <f aca="false">E9*F9</f>
        <v>35705.8</v>
      </c>
      <c r="H9" s="34" t="n">
        <v>26639.79</v>
      </c>
      <c r="I9" s="35" t="n">
        <f aca="false">G9-H9</f>
        <v>9066.01</v>
      </c>
      <c r="J9" s="36" t="n">
        <f aca="false">IF(H9=0,"",G9/H9-1)</f>
        <v>0.340318373380571</v>
      </c>
      <c r="K9" s="36" t="n">
        <f aca="false">IFERROR(G9/SUM(G3:G23),"")</f>
        <v>0.0861252085537008</v>
      </c>
      <c r="L9" s="36" t="n">
        <f aca="false">IFERROR(G9/(SUM(G3:G23,G27:G46)),"")</f>
        <v>0.0487644660152856</v>
      </c>
      <c r="M9" s="28"/>
    </row>
    <row r="10" customFormat="false" ht="15" hidden="false" customHeight="true" outlineLevel="0" collapsed="false">
      <c r="A10" s="28" t="s">
        <v>94</v>
      </c>
      <c r="B10" s="29" t="s">
        <v>112</v>
      </c>
      <c r="C10" s="30" t="s">
        <v>113</v>
      </c>
      <c r="D10" s="31" t="s">
        <v>97</v>
      </c>
      <c r="E10" s="30" t="n">
        <v>70</v>
      </c>
      <c r="F10" s="32" t="n">
        <f aca="false">IF(IFERROR(INDEX('Monitor &amp; Recheck Triggers'!$H$3:$H$48,MATCH($B10,'Monitor &amp; Recheck Triggers'!$A$3:$A$48,0)),"")="",174.33,INDEX('Monitor &amp; Recheck Triggers'!$H$3:$H$48,MATCH($B10,'Monitor &amp; Recheck Triggers'!$A$3:$A$48,0)))</f>
        <v>174.33</v>
      </c>
      <c r="G10" s="33" t="n">
        <f aca="false">E10*F10</f>
        <v>12203.1</v>
      </c>
      <c r="H10" s="34" t="n">
        <v>11612.3</v>
      </c>
      <c r="I10" s="35" t="n">
        <f aca="false">G10-H10</f>
        <v>590.800000000001</v>
      </c>
      <c r="J10" s="36" t="n">
        <f aca="false">IF(H10=0,"",G10/H10-1)</f>
        <v>0.0508770872264754</v>
      </c>
      <c r="K10" s="36" t="n">
        <f aca="false">IFERROR(G10/SUM(G3:G23),"")</f>
        <v>0.0294348406281799</v>
      </c>
      <c r="L10" s="36" t="n">
        <f aca="false">IFERROR(G10/(SUM(G3:G23,G27:G46)),"")</f>
        <v>0.0166661342199624</v>
      </c>
      <c r="M10" s="28"/>
    </row>
    <row r="11" customFormat="false" ht="15" hidden="false" customHeight="true" outlineLevel="0" collapsed="false">
      <c r="A11" s="28" t="s">
        <v>94</v>
      </c>
      <c r="B11" s="29" t="s">
        <v>114</v>
      </c>
      <c r="C11" s="30" t="s">
        <v>115</v>
      </c>
      <c r="D11" s="31" t="s">
        <v>97</v>
      </c>
      <c r="E11" s="30" t="n">
        <v>25</v>
      </c>
      <c r="F11" s="32" t="n">
        <f aca="false">IF(IFERROR(INDEX('Monitor &amp; Recheck Triggers'!$H$3:$H$48,MATCH($B11,'Monitor &amp; Recheck Triggers'!$A$3:$A$48,0)),"")="",428.91,INDEX('Monitor &amp; Recheck Triggers'!$H$3:$H$48,MATCH($B11,'Monitor &amp; Recheck Triggers'!$A$3:$A$48,0)))</f>
        <v>428.91</v>
      </c>
      <c r="G11" s="33" t="n">
        <f aca="false">E11*F11</f>
        <v>10722.75</v>
      </c>
      <c r="H11" s="34" t="n">
        <v>6069.64</v>
      </c>
      <c r="I11" s="35" t="n">
        <f aca="false">G11-H11</f>
        <v>4653.11</v>
      </c>
      <c r="J11" s="36" t="n">
        <f aca="false">IF(H11=0,"",G11/H11-1)</f>
        <v>0.76662042559361</v>
      </c>
      <c r="K11" s="36" t="n">
        <f aca="false">IFERROR(G11/SUM(G3:G23),"")</f>
        <v>0.0258641195553438</v>
      </c>
      <c r="L11" s="36" t="n">
        <f aca="false">IFERROR(G11/(SUM(G3:G23,G27:G46)),"")</f>
        <v>0.0146443764868846</v>
      </c>
      <c r="M11" s="28"/>
    </row>
    <row r="12" customFormat="false" ht="15" hidden="false" customHeight="true" outlineLevel="0" collapsed="false">
      <c r="A12" s="28" t="s">
        <v>94</v>
      </c>
      <c r="B12" s="29" t="s">
        <v>116</v>
      </c>
      <c r="C12" s="30" t="s">
        <v>117</v>
      </c>
      <c r="D12" s="31" t="s">
        <v>97</v>
      </c>
      <c r="E12" s="30" t="n">
        <v>30</v>
      </c>
      <c r="F12" s="32" t="n">
        <f aca="false">IF(IFERROR(INDEX('Monitor &amp; Recheck Triggers'!$H$3:$H$48,MATCH($B12,'Monitor &amp; Recheck Triggers'!$A$3:$A$48,0)),"")="",280.53,INDEX('Monitor &amp; Recheck Triggers'!$H$3:$H$48,MATCH($B12,'Monitor &amp; Recheck Triggers'!$A$3:$A$48,0)))</f>
        <v>280.53</v>
      </c>
      <c r="G12" s="33" t="n">
        <f aca="false">E12*F12</f>
        <v>8415.9</v>
      </c>
      <c r="H12" s="34" t="n">
        <v>7876.8</v>
      </c>
      <c r="I12" s="35" t="n">
        <f aca="false">G12-H12</f>
        <v>539.1</v>
      </c>
      <c r="J12" s="36" t="n">
        <f aca="false">IF(H12=0,"",G12/H12-1)</f>
        <v>0.0684414990859232</v>
      </c>
      <c r="K12" s="36" t="n">
        <f aca="false">IFERROR(G12/SUM(G3:G23),"")</f>
        <v>0.0202998152307774</v>
      </c>
      <c r="L12" s="36" t="n">
        <f aca="false">IFERROR(G12/(SUM(G3:G23,G27:G46)),"")</f>
        <v>0.0114938432842295</v>
      </c>
      <c r="M12" s="28"/>
    </row>
    <row r="13" customFormat="false" ht="15" hidden="false" customHeight="true" outlineLevel="0" collapsed="false">
      <c r="A13" s="28" t="s">
        <v>94</v>
      </c>
      <c r="B13" s="29" t="s">
        <v>118</v>
      </c>
      <c r="C13" s="30" t="s">
        <v>119</v>
      </c>
      <c r="D13" s="31" t="s">
        <v>97</v>
      </c>
      <c r="E13" s="30" t="n">
        <v>50</v>
      </c>
      <c r="F13" s="32" t="n">
        <f aca="false">IF(IFERROR(INDEX('Monitor &amp; Recheck Triggers'!$H$3:$H$48,MATCH($B13,'Monitor &amp; Recheck Triggers'!$A$3:$A$48,0)),"")="",367.68,INDEX('Monitor &amp; Recheck Triggers'!$H$3:$H$48,MATCH($B13,'Monitor &amp; Recheck Triggers'!$A$3:$A$48,0)))</f>
        <v>367.68</v>
      </c>
      <c r="G13" s="33" t="n">
        <f aca="false">E13*F13</f>
        <v>18384</v>
      </c>
      <c r="H13" s="34" t="n">
        <v>18448.63</v>
      </c>
      <c r="I13" s="35" t="n">
        <f aca="false">G13-H13</f>
        <v>-64.630000000001</v>
      </c>
      <c r="J13" s="36" t="n">
        <f aca="false">IF(H13=0,"",G13/H13-1)</f>
        <v>-0.00350324116208089</v>
      </c>
      <c r="K13" s="36" t="n">
        <f aca="false">IFERROR(G13/SUM(G3:G23),"")</f>
        <v>0.0443436594069097</v>
      </c>
      <c r="L13" s="36" t="n">
        <f aca="false">IFERROR(G13/(SUM(G3:G23,G27:G46)),"")</f>
        <v>0.0251075719694002</v>
      </c>
      <c r="M13" s="28" t="s">
        <v>120</v>
      </c>
    </row>
    <row r="14" customFormat="false" ht="15" hidden="false" customHeight="true" outlineLevel="0" collapsed="false">
      <c r="A14" s="28" t="s">
        <v>94</v>
      </c>
      <c r="B14" s="37" t="s">
        <v>121</v>
      </c>
      <c r="C14" s="30" t="s">
        <v>122</v>
      </c>
      <c r="D14" s="31" t="s">
        <v>123</v>
      </c>
      <c r="E14" s="30" t="n">
        <v>38154.18</v>
      </c>
      <c r="F14" s="32" t="n">
        <v>1</v>
      </c>
      <c r="G14" s="33" t="n">
        <f aca="false">E14*F14</f>
        <v>38154.18</v>
      </c>
      <c r="H14" s="34" t="n">
        <v>38154.18</v>
      </c>
      <c r="I14" s="35" t="n">
        <f aca="false">G14-H14</f>
        <v>0</v>
      </c>
      <c r="J14" s="36" t="n">
        <f aca="false">IF(H14=0,"",G14/H14-1)</f>
        <v>0</v>
      </c>
      <c r="K14" s="36" t="n">
        <f aca="false">IFERROR(G14/SUM(G3:G23),"")</f>
        <v>0.0920308944119846</v>
      </c>
      <c r="L14" s="36" t="n">
        <f aca="false">IFERROR(G14/(SUM(G3:G23,G27:G46)),"")</f>
        <v>0.0521082909205533</v>
      </c>
      <c r="M14" s="28"/>
    </row>
    <row r="15" customFormat="false" ht="15" hidden="false" customHeight="true" outlineLevel="0" collapsed="false">
      <c r="A15" s="28" t="s">
        <v>94</v>
      </c>
      <c r="B15" s="37" t="s">
        <v>124</v>
      </c>
      <c r="C15" s="30" t="s">
        <v>125</v>
      </c>
      <c r="D15" s="31" t="s">
        <v>123</v>
      </c>
      <c r="E15" s="30" t="n">
        <v>1174.01</v>
      </c>
      <c r="F15" s="32" t="n">
        <v>1</v>
      </c>
      <c r="G15" s="33" t="n">
        <f aca="false">E15*F15</f>
        <v>1174.01</v>
      </c>
      <c r="H15" s="34" t="n">
        <v>1174.01</v>
      </c>
      <c r="I15" s="35" t="n">
        <f aca="false">G15-H15</f>
        <v>0</v>
      </c>
      <c r="J15" s="36" t="n">
        <f aca="false">IF(H15=0,"",G15/H15-1)</f>
        <v>0</v>
      </c>
      <c r="K15" s="36" t="n">
        <f aca="false">IFERROR(G15/SUM(G3:G23),"")</f>
        <v>0.0028318048074579</v>
      </c>
      <c r="L15" s="36" t="n">
        <f aca="false">IFERROR(G15/(SUM(G3:G23,G27:G46)),"")</f>
        <v>0.00160338014402717</v>
      </c>
      <c r="M15" s="28"/>
    </row>
    <row r="16" customFormat="false" ht="15" hidden="false" customHeight="true" outlineLevel="0" collapsed="false">
      <c r="A16" s="28" t="s">
        <v>94</v>
      </c>
      <c r="B16" s="37" t="s">
        <v>126</v>
      </c>
      <c r="C16" s="30" t="s">
        <v>127</v>
      </c>
      <c r="D16" s="31" t="s">
        <v>97</v>
      </c>
      <c r="E16" s="30" t="n">
        <v>150</v>
      </c>
      <c r="F16" s="32" t="n">
        <f aca="false">IF(IFERROR(INDEX('Monitor &amp; Recheck Triggers'!$H$3:$H$48,MATCH($B16,'Monitor &amp; Recheck Triggers'!$A$3:$A$48,0)),"")="",164.25,INDEX('Monitor &amp; Recheck Triggers'!$H$3:$H$48,MATCH($B16,'Monitor &amp; Recheck Triggers'!$A$3:$A$48,0)))</f>
        <v>164.25</v>
      </c>
      <c r="G16" s="33" t="n">
        <f aca="false">E16*F16</f>
        <v>24637.5</v>
      </c>
      <c r="H16" s="34" t="n">
        <v>24518.25</v>
      </c>
      <c r="I16" s="35" t="n">
        <f aca="false">G16-H16</f>
        <v>119.25</v>
      </c>
      <c r="J16" s="36" t="n">
        <f aca="false">IF(H16=0,"",G16/H16-1)</f>
        <v>0.00486372396072321</v>
      </c>
      <c r="K16" s="36" t="n">
        <f aca="false">IFERROR(G16/SUM(G3:G23),"")</f>
        <v>0.0594275951173704</v>
      </c>
      <c r="L16" s="36" t="n">
        <f aca="false">IFERROR(G16/(SUM(G3:G23,G27:G46)),"")</f>
        <v>0.0336481616838609</v>
      </c>
      <c r="M16" s="28" t="s">
        <v>128</v>
      </c>
    </row>
    <row r="17" customFormat="false" ht="15" hidden="false" customHeight="true" outlineLevel="0" collapsed="false">
      <c r="A17" s="28" t="s">
        <v>94</v>
      </c>
      <c r="B17" s="37" t="s">
        <v>129</v>
      </c>
      <c r="C17" s="30" t="s">
        <v>130</v>
      </c>
      <c r="D17" s="31" t="s">
        <v>97</v>
      </c>
      <c r="E17" s="30" t="n">
        <v>451.304</v>
      </c>
      <c r="F17" s="32" t="n">
        <f aca="false">IF(IFERROR(INDEX('Monitor &amp; Recheck Triggers'!$H$3:$H$48,MATCH($B17,'Monitor &amp; Recheck Triggers'!$A$3:$A$48,0)),"")="",55.29,INDEX('Monitor &amp; Recheck Triggers'!$H$3:$H$48,MATCH($B17,'Monitor &amp; Recheck Triggers'!$A$3:$A$48,0)))</f>
        <v>55.29</v>
      </c>
      <c r="G17" s="33" t="n">
        <f aca="false">E17*F17</f>
        <v>24952.59816</v>
      </c>
      <c r="H17" s="34" t="n">
        <v>24999.99</v>
      </c>
      <c r="I17" s="35" t="n">
        <f aca="false">G17-H17</f>
        <v>-47.3918400000039</v>
      </c>
      <c r="J17" s="36" t="n">
        <f aca="false">IF(H17=0,"",G17/H17-1)</f>
        <v>-0.00189567435826987</v>
      </c>
      <c r="K17" s="36" t="n">
        <f aca="false">IFERROR(G17/SUM(G3:G23),"")</f>
        <v>0.0601876367561206</v>
      </c>
      <c r="L17" s="36" t="n">
        <f aca="false">IFERROR(G17/(SUM(G3:G23,G27:G46)),"")</f>
        <v>0.03407850055079</v>
      </c>
      <c r="M17" s="28" t="s">
        <v>131</v>
      </c>
    </row>
    <row r="18" customFormat="false" ht="15" hidden="false" customHeight="true" outlineLevel="0" collapsed="false">
      <c r="A18" s="28" t="s">
        <v>94</v>
      </c>
      <c r="B18" s="37" t="s">
        <v>132</v>
      </c>
      <c r="C18" s="30" t="s">
        <v>133</v>
      </c>
      <c r="D18" s="31" t="s">
        <v>97</v>
      </c>
      <c r="E18" s="30" t="n">
        <v>700</v>
      </c>
      <c r="F18" s="32" t="n">
        <f aca="false">IF(IFERROR(INDEX('Monitor &amp; Recheck Triggers'!$H$3:$H$48,MATCH($B18,'Monitor &amp; Recheck Triggers'!$A$3:$A$48,0)),"")="",34.8,INDEX('Monitor &amp; Recheck Triggers'!$H$3:$H$48,MATCH($B18,'Monitor &amp; Recheck Triggers'!$A$3:$A$48,0)))</f>
        <v>34.8</v>
      </c>
      <c r="G18" s="33" t="n">
        <f aca="false">E18*F18</f>
        <v>24360</v>
      </c>
      <c r="H18" s="34" t="n">
        <v>24377.5</v>
      </c>
      <c r="I18" s="35" t="n">
        <f aca="false">G18-H18</f>
        <v>-17.5000000000036</v>
      </c>
      <c r="J18" s="36" t="n">
        <f aca="false">IF(H18=0,"",G18/H18-1)</f>
        <v>-0.000717875089734532</v>
      </c>
      <c r="K18" s="36" t="n">
        <f aca="false">IFERROR(G18/SUM(G3:G23),"")</f>
        <v>0.0587582432088947</v>
      </c>
      <c r="L18" s="36" t="n">
        <f aca="false">IFERROR(G18/(SUM(G3:G23,G27:G46)),"")</f>
        <v>0.0332691717349102</v>
      </c>
      <c r="M18" s="28" t="s">
        <v>128</v>
      </c>
    </row>
    <row r="19" customFormat="false" ht="15" hidden="false" customHeight="true" outlineLevel="0" collapsed="false">
      <c r="A19" s="28" t="s">
        <v>94</v>
      </c>
      <c r="B19" s="37" t="s">
        <v>134</v>
      </c>
      <c r="C19" s="30" t="s">
        <v>135</v>
      </c>
      <c r="D19" s="31" t="s">
        <v>97</v>
      </c>
      <c r="E19" s="30" t="n">
        <v>150</v>
      </c>
      <c r="F19" s="32" t="n">
        <f aca="false">IF(IFERROR(INDEX('Monitor &amp; Recheck Triggers'!$H$3:$H$48,MATCH($B19,'Monitor &amp; Recheck Triggers'!$A$3:$A$48,0)),"")="",164.23,INDEX('Monitor &amp; Recheck Triggers'!$H$3:$H$48,MATCH($B19,'Monitor &amp; Recheck Triggers'!$A$3:$A$48,0)))</f>
        <v>164.23</v>
      </c>
      <c r="G19" s="33" t="n">
        <f aca="false">E19*F19</f>
        <v>24634.5</v>
      </c>
      <c r="H19" s="34" t="n">
        <v>24598.5</v>
      </c>
      <c r="I19" s="35" t="n">
        <f aca="false">G19-H19</f>
        <v>36</v>
      </c>
      <c r="J19" s="36" t="n">
        <f aca="false">IF(H19=0,"",G19/H19-1)</f>
        <v>0.0014635038721873</v>
      </c>
      <c r="K19" s="36" t="n">
        <f aca="false">IFERROR(G19/SUM(G3:G23),"")</f>
        <v>0.059420358880522</v>
      </c>
      <c r="L19" s="36" t="n">
        <f aca="false">IFERROR(G19/(SUM(G3:G23,G27:G46)),"")</f>
        <v>0.0336440644952236</v>
      </c>
      <c r="M19" s="28" t="s">
        <v>128</v>
      </c>
    </row>
    <row r="20" customFormat="false" ht="15" hidden="false" customHeight="true" outlineLevel="0" collapsed="false">
      <c r="A20" s="28" t="s">
        <v>94</v>
      </c>
      <c r="B20" s="37" t="s">
        <v>136</v>
      </c>
      <c r="C20" s="30" t="s">
        <v>137</v>
      </c>
      <c r="D20" s="31" t="s">
        <v>97</v>
      </c>
      <c r="E20" s="30" t="n">
        <v>1000</v>
      </c>
      <c r="F20" s="32" t="n">
        <f aca="false">IF(IFERROR(INDEX('Monitor &amp; Recheck Triggers'!$H$3:$H$48,MATCH($B20,'Monitor &amp; Recheck Triggers'!$A$3:$A$48,0)),"")="",54.63,INDEX('Monitor &amp; Recheck Triggers'!$H$3:$H$48,MATCH($B20,'Monitor &amp; Recheck Triggers'!$A$3:$A$48,0)))</f>
        <v>54.63</v>
      </c>
      <c r="G20" s="33" t="n">
        <f aca="false">E20*F20</f>
        <v>54630</v>
      </c>
      <c r="H20" s="34" t="n">
        <v>53709</v>
      </c>
      <c r="I20" s="35" t="n">
        <f aca="false">G20-H20</f>
        <v>921</v>
      </c>
      <c r="J20" s="36" t="n">
        <f aca="false">IF(H20=0,"",G20/H20-1)</f>
        <v>0.0171479640283752</v>
      </c>
      <c r="K20" s="36" t="n">
        <f aca="false">IFERROR(G20/SUM(G3:G23),"")</f>
        <v>0.13177187300911</v>
      </c>
      <c r="L20" s="36" t="n">
        <f aca="false">IFERROR(G20/(SUM(G3:G23,G27:G46)),"")</f>
        <v>0.0746098050853098</v>
      </c>
      <c r="M20" s="28" t="s">
        <v>128</v>
      </c>
    </row>
    <row r="21" customFormat="false" ht="15" hidden="false" customHeight="true" outlineLevel="0" collapsed="false">
      <c r="A21" s="28" t="s">
        <v>94</v>
      </c>
      <c r="B21" s="37" t="s">
        <v>138</v>
      </c>
      <c r="C21" s="30" t="s">
        <v>139</v>
      </c>
      <c r="D21" s="31" t="s">
        <v>97</v>
      </c>
      <c r="E21" s="30" t="n">
        <v>100</v>
      </c>
      <c r="F21" s="32" t="n">
        <f aca="false">IF(IFERROR(INDEX('Monitor &amp; Recheck Triggers'!$H$3:$H$48,MATCH($B21,'Monitor &amp; Recheck Triggers'!$A$3:$A$48,0)),"")="",149.72,INDEX('Monitor &amp; Recheck Triggers'!$H$3:$H$48,MATCH($B21,'Monitor &amp; Recheck Triggers'!$A$3:$A$48,0)))</f>
        <v>149.72</v>
      </c>
      <c r="G21" s="33" t="n">
        <f aca="false">E21*F21</f>
        <v>14972</v>
      </c>
      <c r="H21" s="34" t="n">
        <v>14696.99</v>
      </c>
      <c r="I21" s="35" t="n">
        <f aca="false">G21-H21</f>
        <v>275.01</v>
      </c>
      <c r="J21" s="36" t="n">
        <f aca="false">IF(H21=0,"",G21/H21-1)</f>
        <v>0.0187119947689969</v>
      </c>
      <c r="K21" s="36" t="n">
        <f aca="false">IFERROR(G21/SUM(G3:G23),"")</f>
        <v>0.0361136460313453</v>
      </c>
      <c r="L21" s="36" t="n">
        <f aca="false">IFERROR(G21/(SUM(G3:G23,G27:G46)),"")</f>
        <v>0.0204477027592396</v>
      </c>
      <c r="M21" s="28" t="s">
        <v>131</v>
      </c>
    </row>
    <row r="22" customFormat="false" ht="15" hidden="false" customHeight="true" outlineLevel="0" collapsed="false">
      <c r="A22" s="28" t="s">
        <v>94</v>
      </c>
      <c r="B22" s="38" t="s">
        <v>140</v>
      </c>
      <c r="C22" s="30" t="s">
        <v>141</v>
      </c>
      <c r="D22" s="30" t="s">
        <v>97</v>
      </c>
      <c r="E22" s="30" t="n">
        <v>75</v>
      </c>
      <c r="F22" s="32" t="n">
        <f aca="false">IF(IFERROR(INDEX('Monitor &amp; Recheck Triggers'!$H$3:$H$48,MATCH($B22,'Monitor &amp; Recheck Triggers'!$A$3:$A$48,0)),"")="",314.71,INDEX('Monitor &amp; Recheck Triggers'!$H$3:$H$48,MATCH($B22,'Monitor &amp; Recheck Triggers'!$A$3:$A$48,0)))</f>
        <v>314.71</v>
      </c>
      <c r="G22" s="33" t="n">
        <f aca="false">E22*F22</f>
        <v>23603.25</v>
      </c>
      <c r="H22" s="34" t="n">
        <v>23603.25</v>
      </c>
      <c r="I22" s="35" t="n">
        <f aca="false">G22-H22</f>
        <v>0</v>
      </c>
      <c r="J22" s="39" t="n">
        <f aca="false">IF(H22=0,"",G22/H22-1)</f>
        <v>0</v>
      </c>
      <c r="K22" s="39" t="n">
        <f aca="false">IFERROR(G22/SUM(G3:G23),"")</f>
        <v>0.0569329024638893</v>
      </c>
      <c r="L22" s="39" t="n">
        <f aca="false">IFERROR(G22/(SUM(G3:G23,G27:G46)),"")</f>
        <v>0.0322356559011503</v>
      </c>
      <c r="M22" s="28" t="s">
        <v>142</v>
      </c>
    </row>
    <row r="23" customFormat="false" ht="13.5" hidden="false" customHeight="true" outlineLevel="0" collapsed="false">
      <c r="A23" s="28" t="s">
        <v>94</v>
      </c>
      <c r="B23" s="38" t="s">
        <v>143</v>
      </c>
      <c r="C23" s="30" t="s">
        <v>144</v>
      </c>
      <c r="D23" s="30" t="s">
        <v>97</v>
      </c>
      <c r="E23" s="30" t="n">
        <v>300</v>
      </c>
      <c r="F23" s="32" t="n">
        <f aca="false">IF(IFERROR(INDEX('Monitor &amp; Recheck Triggers'!$H$3:$H$48,MATCH($B23,'Monitor &amp; Recheck Triggers'!$A$3:$A$48,0)),"")="",69.795,INDEX('Monitor &amp; Recheck Triggers'!$H$3:$H$48,MATCH($B23,'Monitor &amp; Recheck Triggers'!$A$3:$A$48,0)))</f>
        <v>69.795</v>
      </c>
      <c r="G23" s="33" t="n">
        <f aca="false">E23*F23</f>
        <v>20938.5</v>
      </c>
      <c r="H23" s="34" t="n">
        <v>20938.5</v>
      </c>
      <c r="I23" s="35" t="n">
        <f aca="false">G23-H23</f>
        <v>0</v>
      </c>
      <c r="J23" s="39" t="n">
        <f aca="false">IF(H23=0,"",G23/H23-1)</f>
        <v>0</v>
      </c>
      <c r="K23" s="39" t="n">
        <f aca="false">IFERROR(G23/SUM(G3:G23),"")</f>
        <v>0.0505053150833104</v>
      </c>
      <c r="L23" s="39" t="n">
        <f aca="false">IFERROR(G23/(SUM(G3:G23,G27:G46)),"")</f>
        <v>0.0285963280940648</v>
      </c>
      <c r="M23" s="28" t="s">
        <v>145</v>
      </c>
    </row>
    <row r="24" customFormat="false" ht="15" hidden="false" customHeight="true" outlineLevel="0" collapsed="false">
      <c r="A24" s="40" t="s">
        <v>146</v>
      </c>
      <c r="B24" s="41" t="n">
        <f aca="false">SUBTOTAL(103,B3:B23)</f>
        <v>21</v>
      </c>
      <c r="C24" s="42" t="s">
        <v>147</v>
      </c>
      <c r="D24" s="43"/>
      <c r="E24" s="44"/>
      <c r="F24" s="45"/>
      <c r="G24" s="46" t="n">
        <f aca="false">SUM(G3:G23)</f>
        <v>414580.12816</v>
      </c>
      <c r="H24" s="47" t="n">
        <f aca="false">SUM(H3:H23)</f>
        <v>386993.25</v>
      </c>
      <c r="I24" s="48" t="n">
        <f aca="false">SUM(I3:I23)</f>
        <v>27586.87816</v>
      </c>
      <c r="J24" s="49" t="n">
        <f aca="false">CurrentPositionsTable[[#This Row],[Unrealized G/L ($)]]/CurrentPositionsTable[[#This Row],[Cost Basis
($)]]</f>
        <v>0.0712851662399796</v>
      </c>
      <c r="K24" s="49" t="n">
        <f aca="false">SUM(K3:K23)</f>
        <v>1</v>
      </c>
      <c r="L24" s="49" t="n">
        <f aca="false">SUM(L3:L23)</f>
        <v>0.566204330116426</v>
      </c>
      <c r="M24" s="50"/>
      <c r="N24" s="51"/>
      <c r="O24" s="51"/>
    </row>
    <row r="25" customFormat="false" ht="15" hidden="false" customHeight="true" outlineLevel="0" collapsed="false">
      <c r="F25" s="32"/>
      <c r="I25" s="52" t="s">
        <v>148</v>
      </c>
      <c r="J25" s="53" t="n">
        <f aca="false">I24/(H24-H14-H13)</f>
        <v>0.0834978099245244</v>
      </c>
    </row>
    <row r="26" customFormat="false" ht="15" hidden="false" customHeight="true" outlineLevel="0" collapsed="false">
      <c r="F26" s="32"/>
    </row>
    <row r="27" customFormat="false" ht="15" hidden="false" customHeight="true" outlineLevel="0" collapsed="false">
      <c r="A27" s="28" t="s">
        <v>149</v>
      </c>
      <c r="B27" s="37" t="s">
        <v>150</v>
      </c>
      <c r="C27" s="30" t="s">
        <v>151</v>
      </c>
      <c r="D27" s="31" t="s">
        <v>123</v>
      </c>
      <c r="E27" s="30" t="n">
        <v>36854.47</v>
      </c>
      <c r="F27" s="32" t="n">
        <v>1</v>
      </c>
      <c r="G27" s="33" t="n">
        <f aca="false">E27*F27</f>
        <v>36854.47</v>
      </c>
      <c r="H27" s="34" t="n">
        <v>36854.47</v>
      </c>
      <c r="I27" s="35" t="n">
        <f aca="false">G27-H27</f>
        <v>0</v>
      </c>
      <c r="J27" s="36" t="n">
        <f aca="false">IF(H27=0,"",G27/H27-1)</f>
        <v>0</v>
      </c>
      <c r="K27" s="36" t="n">
        <f aca="false">IFERROR(G27/SUM(G27:G46),"")</f>
        <v>0.116029831708859</v>
      </c>
      <c r="L27" s="36" t="n">
        <f aca="false">IFERROR(G27/(SUM(G3:G23,G27:G46)),"")</f>
        <v>0.050333238572623</v>
      </c>
      <c r="M27" s="28"/>
    </row>
    <row r="28" customFormat="false" ht="15" hidden="true" customHeight="true" outlineLevel="1" collapsed="false">
      <c r="A28" s="28" t="s">
        <v>149</v>
      </c>
      <c r="B28" s="37" t="s">
        <v>152</v>
      </c>
      <c r="C28" s="30" t="s">
        <v>153</v>
      </c>
      <c r="D28" s="31" t="s">
        <v>154</v>
      </c>
      <c r="E28" s="30" t="n">
        <v>850.35693</v>
      </c>
      <c r="F28" s="32" t="n">
        <f aca="false">IF(IFERROR(INDEX('Monitor &amp; Recheck Triggers'!$H$3:$H$48,MATCH($B28,'Monitor &amp; Recheck Triggers'!$A$3:$A$48,0)),"")="",59.87,INDEX('Monitor &amp; Recheck Triggers'!$H$3:$H$48,MATCH($B28,'Monitor &amp; Recheck Triggers'!$A$3:$A$48,0)))</f>
        <v>59.87</v>
      </c>
      <c r="G28" s="33" t="n">
        <f aca="false">E28*F28</f>
        <v>50910.8693991</v>
      </c>
      <c r="H28" s="34" t="n">
        <v>43005.36</v>
      </c>
      <c r="I28" s="35" t="n">
        <f aca="false">G28-H28</f>
        <v>7905.5093991</v>
      </c>
      <c r="J28" s="36" t="n">
        <f aca="false">IF(H28=0,"",G28/H28-1)</f>
        <v>0.183826141650715</v>
      </c>
      <c r="K28" s="36" t="n">
        <f aca="false">IFERROR(G28/SUM(G27:G46),"")</f>
        <v>0.160283938651927</v>
      </c>
      <c r="L28" s="36" t="n">
        <f aca="false">IFERROR(G28/(SUM(G3:G23,G27:G46)),"")</f>
        <v>0.0695304785390905</v>
      </c>
      <c r="M28" s="28" t="s">
        <v>155</v>
      </c>
    </row>
    <row r="29" customFormat="false" ht="15" hidden="false" customHeight="true" outlineLevel="0" collapsed="false">
      <c r="A29" s="28" t="s">
        <v>149</v>
      </c>
      <c r="B29" s="29" t="s">
        <v>156</v>
      </c>
      <c r="C29" s="30" t="s">
        <v>157</v>
      </c>
      <c r="D29" s="31" t="s">
        <v>97</v>
      </c>
      <c r="E29" s="30" t="n">
        <v>400.00001</v>
      </c>
      <c r="F29" s="32" t="n">
        <f aca="false">IF(IFERROR(INDEX('Monitor &amp; Recheck Triggers'!$H$3:$H$48,MATCH($B29,'Monitor &amp; Recheck Triggers'!$A$3:$A$48,0)),"")="",126.93,INDEX('Monitor &amp; Recheck Triggers'!$H$3:$H$48,MATCH($B29,'Monitor &amp; Recheck Triggers'!$A$3:$A$48,0)))</f>
        <v>126.93</v>
      </c>
      <c r="G29" s="33" t="n">
        <f aca="false">E29*F29</f>
        <v>50772.0012693</v>
      </c>
      <c r="H29" s="34" t="n">
        <v>45116.29</v>
      </c>
      <c r="I29" s="35" t="n">
        <f aca="false">G29-H29</f>
        <v>5655.7112693</v>
      </c>
      <c r="J29" s="36" t="n">
        <f aca="false">IF(H29=0,"",G29/H29-1)</f>
        <v>0.125358518382163</v>
      </c>
      <c r="K29" s="36" t="n">
        <f aca="false">IFERROR(G29/SUM(G27:G46),"")</f>
        <v>0.159846736713318</v>
      </c>
      <c r="L29" s="36" t="n">
        <f aca="false">IFERROR(G29/(SUM(G3:G23,G27:G46)),"")</f>
        <v>0.0693408222312571</v>
      </c>
      <c r="M29" s="28" t="s">
        <v>158</v>
      </c>
    </row>
    <row r="30" customFormat="false" ht="15" hidden="false" customHeight="true" outlineLevel="0" collapsed="false">
      <c r="A30" s="28" t="s">
        <v>149</v>
      </c>
      <c r="B30" s="29" t="s">
        <v>159</v>
      </c>
      <c r="C30" s="30" t="s">
        <v>160</v>
      </c>
      <c r="D30" s="31" t="s">
        <v>97</v>
      </c>
      <c r="E30" s="30" t="n">
        <v>0</v>
      </c>
      <c r="F30" s="32" t="n">
        <f aca="false">IF(IFERROR(INDEX('Monitor &amp; Recheck Triggers'!$H$3:$H$48,MATCH($B30,'Monitor &amp; Recheck Triggers'!$A$3:$A$48,0)),"")="",56.12,INDEX('Monitor &amp; Recheck Triggers'!$H$3:$H$48,MATCH($B30,'Monitor &amp; Recheck Triggers'!$A$3:$A$48,0)))</f>
        <v>56.12</v>
      </c>
      <c r="G30" s="33" t="n">
        <f aca="false">E30*F30</f>
        <v>0</v>
      </c>
      <c r="H30" s="34" t="n">
        <v>0</v>
      </c>
      <c r="I30" s="35" t="n">
        <f aca="false">G30-H30</f>
        <v>0</v>
      </c>
      <c r="J30" s="36" t="str">
        <f aca="false">IF(H30=0,"",G30/H30-1)</f>
        <v/>
      </c>
      <c r="K30" s="36" t="n">
        <f aca="false">IFERROR(G30/SUM(G27:G46),"")</f>
        <v>0</v>
      </c>
      <c r="L30" s="36" t="n">
        <f aca="false">IFERROR(G30/(SUM(G3:G23,G27:G46)),"")</f>
        <v>0</v>
      </c>
      <c r="M30" s="28" t="s">
        <v>161</v>
      </c>
    </row>
    <row r="31" customFormat="false" ht="15" hidden="false" customHeight="true" outlineLevel="0" collapsed="false">
      <c r="A31" s="28" t="s">
        <v>149</v>
      </c>
      <c r="B31" s="37" t="s">
        <v>162</v>
      </c>
      <c r="C31" s="30" t="s">
        <v>163</v>
      </c>
      <c r="D31" s="31" t="s">
        <v>154</v>
      </c>
      <c r="E31" s="30" t="n">
        <v>500</v>
      </c>
      <c r="F31" s="32" t="n">
        <f aca="false">IF(IFERROR(INDEX('Monitor &amp; Recheck Triggers'!$H$3:$H$48,MATCH($B31,'Monitor &amp; Recheck Triggers'!$A$3:$A$48,0)),"")="",69.72,INDEX('Monitor &amp; Recheck Triggers'!$H$3:$H$48,MATCH($B31,'Monitor &amp; Recheck Triggers'!$A$3:$A$48,0)))</f>
        <v>69.72</v>
      </c>
      <c r="G31" s="33" t="n">
        <f aca="false">E31*F31</f>
        <v>34860</v>
      </c>
      <c r="H31" s="34" t="n">
        <v>30666</v>
      </c>
      <c r="I31" s="35" t="n">
        <f aca="false">G31-H31</f>
        <v>4194</v>
      </c>
      <c r="J31" s="36" t="n">
        <f aca="false">IF(H31=0,"",G31/H31-1)</f>
        <v>0.136763842692232</v>
      </c>
      <c r="K31" s="36" t="n">
        <f aca="false">IFERROR(G31/SUM(G27:G46),"")</f>
        <v>0.109750592896081</v>
      </c>
      <c r="L31" s="36" t="n">
        <f aca="false">IFERROR(G31/(SUM(G3:G23,G27:G46)),"")</f>
        <v>0.047609331965475</v>
      </c>
      <c r="M31" s="28" t="s">
        <v>164</v>
      </c>
    </row>
    <row r="32" customFormat="false" ht="15" hidden="false" customHeight="true" outlineLevel="0" collapsed="false">
      <c r="A32" s="28" t="s">
        <v>149</v>
      </c>
      <c r="B32" s="29" t="s">
        <v>165</v>
      </c>
      <c r="C32" s="30" t="s">
        <v>166</v>
      </c>
      <c r="D32" s="31" t="s">
        <v>97</v>
      </c>
      <c r="E32" s="30" t="n">
        <v>35.07587</v>
      </c>
      <c r="F32" s="32" t="n">
        <f aca="false">IF(IFERROR(INDEX('Monitor &amp; Recheck Triggers'!$H$3:$H$48,MATCH($B32,'Monitor &amp; Recheck Triggers'!$A$3:$A$48,0)),"")="",357.895,INDEX('Monitor &amp; Recheck Triggers'!$H$3:$H$48,MATCH($B32,'Monitor &amp; Recheck Triggers'!$A$3:$A$48,0)))</f>
        <v>357.895</v>
      </c>
      <c r="G32" s="33" t="n">
        <f aca="false">E32*F32</f>
        <v>12553.47849365</v>
      </c>
      <c r="H32" s="34" t="n">
        <v>12653.43</v>
      </c>
      <c r="I32" s="35" t="n">
        <f aca="false">G32-H32</f>
        <v>-99.9515063500003</v>
      </c>
      <c r="J32" s="36" t="n">
        <f aca="false">IF(H32=0,"",G32/H32-1)</f>
        <v>-0.00789916302141003</v>
      </c>
      <c r="K32" s="36" t="n">
        <f aca="false">IFERROR(G32/SUM(G27:G46),"")</f>
        <v>0.0395224241992625</v>
      </c>
      <c r="L32" s="36" t="n">
        <f aca="false">IFERROR(G32/(SUM(G3:G23,G27:G46)),"")</f>
        <v>0.0171446564809419</v>
      </c>
      <c r="M32" s="28"/>
    </row>
    <row r="33" customFormat="false" ht="15" hidden="false" customHeight="true" outlineLevel="0" collapsed="false">
      <c r="A33" s="28" t="s">
        <v>149</v>
      </c>
      <c r="B33" s="29" t="s">
        <v>110</v>
      </c>
      <c r="C33" s="30" t="s">
        <v>111</v>
      </c>
      <c r="D33" s="31" t="s">
        <v>97</v>
      </c>
      <c r="E33" s="30" t="n">
        <v>59.02188</v>
      </c>
      <c r="F33" s="32" t="n">
        <f aca="false">IF(IFERROR(INDEX('Monitor &amp; Recheck Triggers'!$H$3:$H$48,MATCH($B33,'Monitor &amp; Recheck Triggers'!$A$3:$A$48,0)),"")="",230.36,INDEX('Monitor &amp; Recheck Triggers'!$H$3:$H$48,MATCH($B33,'Monitor &amp; Recheck Triggers'!$A$3:$A$48,0)))</f>
        <v>230.36</v>
      </c>
      <c r="G33" s="33" t="n">
        <f aca="false">E33*F33</f>
        <v>13596.2802768</v>
      </c>
      <c r="H33" s="34" t="n">
        <v>11377.73</v>
      </c>
      <c r="I33" s="35" t="n">
        <f aca="false">G33-H33</f>
        <v>2218.5502768</v>
      </c>
      <c r="J33" s="36" t="n">
        <f aca="false">IF(H33=0,"",G33/H33-1)</f>
        <v>0.194990589230014</v>
      </c>
      <c r="K33" s="36" t="n">
        <f aca="false">IFERROR(G33/SUM(G27:G46),"")</f>
        <v>0.0428055026265088</v>
      </c>
      <c r="L33" s="36" t="n">
        <f aca="false">IFERROR(G33/(SUM(G3:G23,G27:G46)),"")</f>
        <v>0.0185688416865695</v>
      </c>
      <c r="M33" s="28"/>
    </row>
    <row r="34" customFormat="false" ht="15" hidden="false" customHeight="true" outlineLevel="0" collapsed="false">
      <c r="A34" s="28" t="s">
        <v>149</v>
      </c>
      <c r="B34" s="29" t="s">
        <v>167</v>
      </c>
      <c r="C34" s="30" t="s">
        <v>168</v>
      </c>
      <c r="D34" s="31" t="s">
        <v>97</v>
      </c>
      <c r="E34" s="30" t="n">
        <v>65</v>
      </c>
      <c r="F34" s="32" t="n">
        <f aca="false">IF(IFERROR(INDEX('Monitor &amp; Recheck Triggers'!$H$3:$H$48,MATCH($B34,'Monitor &amp; Recheck Triggers'!$A$3:$A$48,0)),"")="",528.64,INDEX('Monitor &amp; Recheck Triggers'!$H$3:$H$48,MATCH($B34,'Monitor &amp; Recheck Triggers'!$A$3:$A$48,0)))</f>
        <v>528.64</v>
      </c>
      <c r="G34" s="33" t="n">
        <f aca="false">E34*F34</f>
        <v>34361.6</v>
      </c>
      <c r="H34" s="34" t="n">
        <v>31479.64</v>
      </c>
      <c r="I34" s="35" t="n">
        <f aca="false">G34-H34</f>
        <v>2881.96</v>
      </c>
      <c r="J34" s="36" t="n">
        <f aca="false">IF(H34=0,"",G34/H34-1)</f>
        <v>0.0915499668992403</v>
      </c>
      <c r="K34" s="36" t="n">
        <f aca="false">IFERROR(G34/SUM(G27:G46),"")</f>
        <v>0.108181467953471</v>
      </c>
      <c r="L34" s="36" t="n">
        <f aca="false">IFERROR(G34/(SUM(G3:G23,G27:G46)),"")</f>
        <v>0.0469286523598642</v>
      </c>
      <c r="M34" s="28" t="s">
        <v>169</v>
      </c>
    </row>
    <row r="35" customFormat="false" ht="15" hidden="false" customHeight="true" outlineLevel="0" collapsed="false">
      <c r="A35" s="28" t="s">
        <v>149</v>
      </c>
      <c r="B35" s="37" t="s">
        <v>138</v>
      </c>
      <c r="C35" s="30" t="s">
        <v>139</v>
      </c>
      <c r="D35" s="31" t="s">
        <v>97</v>
      </c>
      <c r="E35" s="30" t="n">
        <v>76.93745</v>
      </c>
      <c r="F35" s="32" t="n">
        <f aca="false">IF(IFERROR(INDEX('Monitor &amp; Recheck Triggers'!$H$3:$H$48,MATCH($B35,'Monitor &amp; Recheck Triggers'!$A$3:$A$48,0)),"")="",149.72,INDEX('Monitor &amp; Recheck Triggers'!$H$3:$H$48,MATCH($B35,'Monitor &amp; Recheck Triggers'!$A$3:$A$48,0)))</f>
        <v>149.72</v>
      </c>
      <c r="G35" s="33" t="n">
        <f aca="false">E35*F35</f>
        <v>11519.075014</v>
      </c>
      <c r="H35" s="34" t="n">
        <v>9318.79</v>
      </c>
      <c r="I35" s="35" t="n">
        <f aca="false">G35-H35</f>
        <v>2200.285014</v>
      </c>
      <c r="J35" s="36" t="n">
        <f aca="false">IF(H35=0,"",G35/H35-1)</f>
        <v>0.236112737168667</v>
      </c>
      <c r="K35" s="36" t="n">
        <f aca="false">IFERROR(G35/SUM(G27:G46),"")</f>
        <v>0.0362657863568828</v>
      </c>
      <c r="L35" s="36" t="n">
        <f aca="false">IFERROR(G35/(SUM(G3:G23,G27:G46)),"")</f>
        <v>0.0157319410865386</v>
      </c>
      <c r="M35" s="28"/>
    </row>
    <row r="36" customFormat="false" ht="15" hidden="false" customHeight="true" outlineLevel="0" collapsed="false">
      <c r="A36" s="28" t="s">
        <v>149</v>
      </c>
      <c r="B36" s="37" t="s">
        <v>129</v>
      </c>
      <c r="C36" s="30" t="s">
        <v>130</v>
      </c>
      <c r="D36" s="31" t="s">
        <v>97</v>
      </c>
      <c r="E36" s="30" t="n">
        <v>200</v>
      </c>
      <c r="F36" s="32" t="n">
        <f aca="false">IF(IFERROR(INDEX('Monitor &amp; Recheck Triggers'!$H$3:$H$48,MATCH($B36,'Monitor &amp; Recheck Triggers'!$A$3:$A$48,0)),"")="",55.29,INDEX('Monitor &amp; Recheck Triggers'!$H$3:$H$48,MATCH($B36,'Monitor &amp; Recheck Triggers'!$A$3:$A$48,0)))</f>
        <v>55.29</v>
      </c>
      <c r="G36" s="33" t="n">
        <f aca="false">E36*F36</f>
        <v>11058</v>
      </c>
      <c r="H36" s="34" t="n">
        <v>9257</v>
      </c>
      <c r="I36" s="35" t="n">
        <f aca="false">G36-H36</f>
        <v>1801</v>
      </c>
      <c r="J36" s="36" t="n">
        <f aca="false">IF(H36=0,"",G36/H36-1)</f>
        <v>0.194555471535055</v>
      </c>
      <c r="K36" s="36" t="n">
        <f aca="false">IFERROR(G36/SUM(G27:G46),"")</f>
        <v>0.0348141725830426</v>
      </c>
      <c r="L36" s="36" t="n">
        <f aca="false">IFERROR(G36/(SUM(G3:G23,G27:G46)),"")</f>
        <v>0.0151022373171033</v>
      </c>
      <c r="M36" s="28"/>
    </row>
    <row r="37" customFormat="false" ht="15" hidden="false" customHeight="true" outlineLevel="0" collapsed="false">
      <c r="A37" s="28" t="s">
        <v>149</v>
      </c>
      <c r="B37" s="29" t="s">
        <v>100</v>
      </c>
      <c r="C37" s="30" t="s">
        <v>101</v>
      </c>
      <c r="D37" s="31" t="s">
        <v>97</v>
      </c>
      <c r="E37" s="30" t="n">
        <v>50</v>
      </c>
      <c r="F37" s="32" t="n">
        <f aca="false">IF(IFERROR(INDEX('Monitor &amp; Recheck Triggers'!$H$3:$H$48,MATCH($B37,'Monitor &amp; Recheck Triggers'!$A$3:$A$48,0)),"")="",193.78,INDEX('Monitor &amp; Recheck Triggers'!$H$3:$H$48,MATCH($B37,'Monitor &amp; Recheck Triggers'!$A$3:$A$48,0)))</f>
        <v>193.78</v>
      </c>
      <c r="G37" s="33" t="n">
        <f aca="false">E37*F37</f>
        <v>9689</v>
      </c>
      <c r="H37" s="34" t="n">
        <v>7394.5</v>
      </c>
      <c r="I37" s="35" t="n">
        <f aca="false">G37-H37</f>
        <v>2294.5</v>
      </c>
      <c r="J37" s="36" t="n">
        <f aca="false">IF(H37=0,"",G37/H37-1)</f>
        <v>0.310298194604098</v>
      </c>
      <c r="K37" s="36" t="n">
        <f aca="false">IFERROR(G37/SUM(G27:G46),"")</f>
        <v>0.0305041163101013</v>
      </c>
      <c r="L37" s="36" t="n">
        <f aca="false">IFERROR(G37/(SUM(G3:G23,G27:G46)),"")</f>
        <v>0.0132325535689468</v>
      </c>
      <c r="M37" s="28"/>
    </row>
    <row r="38" customFormat="false" ht="15" hidden="true" customHeight="true" outlineLevel="1" collapsed="false">
      <c r="A38" s="28" t="s">
        <v>149</v>
      </c>
      <c r="B38" s="29" t="s">
        <v>104</v>
      </c>
      <c r="C38" s="30" t="s">
        <v>105</v>
      </c>
      <c r="D38" s="31" t="s">
        <v>97</v>
      </c>
      <c r="E38" s="30" t="n">
        <v>45</v>
      </c>
      <c r="F38" s="32" t="n">
        <f aca="false">IF(IFERROR(INDEX('Monitor &amp; Recheck Triggers'!$H$3:$H$48,MATCH($B38,'Monitor &amp; Recheck Triggers'!$A$3:$A$48,0)),"")="",213.1,INDEX('Monitor &amp; Recheck Triggers'!$H$3:$H$48,MATCH($B38,'Monitor &amp; Recheck Triggers'!$A$3:$A$48,0)))</f>
        <v>213.1</v>
      </c>
      <c r="G38" s="33" t="n">
        <f aca="false">E38*F38</f>
        <v>9589.5</v>
      </c>
      <c r="H38" s="34" t="n">
        <v>7099.31</v>
      </c>
      <c r="I38" s="35" t="n">
        <f aca="false">G38-H38</f>
        <v>2490.19</v>
      </c>
      <c r="J38" s="36" t="n">
        <f aca="false">IF(H38=0,"",G38/H38-1)</f>
        <v>0.350765074352296</v>
      </c>
      <c r="K38" s="36" t="n">
        <f aca="false">IFERROR(G38/SUM(G27:G46),"")</f>
        <v>0.0301908580199934</v>
      </c>
      <c r="L38" s="36" t="n">
        <f aca="false">IFERROR(G38/(SUM(G3:G23,G27:G46)),"")</f>
        <v>0.0130966634791429</v>
      </c>
      <c r="M38" s="28"/>
    </row>
    <row r="39" customFormat="false" ht="15" hidden="true" customHeight="true" outlineLevel="1" collapsed="false">
      <c r="A39" s="28" t="s">
        <v>149</v>
      </c>
      <c r="B39" s="29" t="s">
        <v>170</v>
      </c>
      <c r="C39" s="30" t="s">
        <v>171</v>
      </c>
      <c r="D39" s="31" t="s">
        <v>97</v>
      </c>
      <c r="E39" s="30" t="n">
        <v>125.44837</v>
      </c>
      <c r="F39" s="32" t="n">
        <f aca="false">IF(IFERROR(INDEX('Monitor &amp; Recheck Triggers'!$H$3:$H$48,MATCH($B39,'Monitor &amp; Recheck Triggers'!$A$3:$A$48,0)),"")="",137.34,INDEX('Monitor &amp; Recheck Triggers'!$H$3:$H$48,MATCH($B39,'Monitor &amp; Recheck Triggers'!$A$3:$A$48,0)))</f>
        <v>137.34</v>
      </c>
      <c r="G39" s="33" t="n">
        <f aca="false">E39*F39</f>
        <v>17229.0791358</v>
      </c>
      <c r="H39" s="34" t="n">
        <v>16585.43</v>
      </c>
      <c r="I39" s="35" t="n">
        <f aca="false">G39-H39</f>
        <v>643.649135799999</v>
      </c>
      <c r="J39" s="36" t="n">
        <f aca="false">IF(H39=0,"",G39/H39-1)</f>
        <v>0.0388081066212935</v>
      </c>
      <c r="K39" s="36" t="n">
        <f aca="false">IFERROR(G39/SUM(G27:G46),"")</f>
        <v>0.0542427323639573</v>
      </c>
      <c r="L39" s="36" t="n">
        <f aca="false">IFERROR(G39/(SUM(G3:G23,G27:G46)),"")</f>
        <v>0.0235302624221383</v>
      </c>
      <c r="M39" s="28" t="s">
        <v>172</v>
      </c>
    </row>
    <row r="40" customFormat="false" ht="15" hidden="true" customHeight="true" outlineLevel="1" collapsed="false">
      <c r="A40" s="28" t="s">
        <v>149</v>
      </c>
      <c r="B40" s="29" t="s">
        <v>173</v>
      </c>
      <c r="C40" s="30" t="s">
        <v>174</v>
      </c>
      <c r="D40" s="31" t="s">
        <v>97</v>
      </c>
      <c r="E40" s="30" t="n">
        <v>0</v>
      </c>
      <c r="F40" s="32" t="n">
        <f aca="false">IF(IFERROR(INDEX('Monitor &amp; Recheck Triggers'!$H$3:$H$48,MATCH($B40,'Monitor &amp; Recheck Triggers'!$A$3:$A$48,0)),"")="",86.07,INDEX('Monitor &amp; Recheck Triggers'!$H$3:$H$48,MATCH($B40,'Monitor &amp; Recheck Triggers'!$A$3:$A$48,0)))</f>
        <v>86.07</v>
      </c>
      <c r="G40" s="33" t="n">
        <f aca="false">E40*F40</f>
        <v>0</v>
      </c>
      <c r="H40" s="34" t="n">
        <v>0</v>
      </c>
      <c r="I40" s="35" t="n">
        <f aca="false">G40-H40</f>
        <v>0</v>
      </c>
      <c r="J40" s="36" t="str">
        <f aca="false">IF(H40=0,"",G40/H40-1)</f>
        <v/>
      </c>
      <c r="K40" s="36" t="n">
        <f aca="false">IFERROR(G40/SUM(G27:G46),"")</f>
        <v>0</v>
      </c>
      <c r="L40" s="36" t="n">
        <f aca="false">IFERROR(G40/(SUM(G3:G23,G27:G46)),"")</f>
        <v>0</v>
      </c>
      <c r="M40" s="28" t="s">
        <v>175</v>
      </c>
    </row>
    <row r="41" customFormat="false" ht="15" hidden="false" customHeight="true" outlineLevel="0" collapsed="false">
      <c r="A41" s="28" t="s">
        <v>149</v>
      </c>
      <c r="B41" s="29" t="s">
        <v>176</v>
      </c>
      <c r="C41" s="30" t="s">
        <v>177</v>
      </c>
      <c r="D41" s="31" t="s">
        <v>97</v>
      </c>
      <c r="E41" s="30" t="n">
        <v>0</v>
      </c>
      <c r="F41" s="32" t="n">
        <f aca="false">IF(IFERROR(INDEX('Monitor &amp; Recheck Triggers'!$H$3:$H$48,MATCH($B41,'Monitor &amp; Recheck Triggers'!$A$3:$A$48,0)),"")="",327.35,INDEX('Monitor &amp; Recheck Triggers'!$H$3:$H$48,MATCH($B41,'Monitor &amp; Recheck Triggers'!$A$3:$A$48,0)))</f>
        <v>327.35</v>
      </c>
      <c r="G41" s="33" t="n">
        <f aca="false">E41*F41</f>
        <v>0</v>
      </c>
      <c r="H41" s="34" t="n">
        <v>0</v>
      </c>
      <c r="I41" s="35" t="n">
        <f aca="false">G41-H41</f>
        <v>0</v>
      </c>
      <c r="J41" s="36" t="str">
        <f aca="false">IF(H41=0,"",G41/H41-1)</f>
        <v/>
      </c>
      <c r="K41" s="36" t="n">
        <f aca="false">IFERROR(G41/SUM(G27:G46),"")</f>
        <v>0</v>
      </c>
      <c r="L41" s="36" t="n">
        <f aca="false">IFERROR(G41/(SUM(G3:G23,G27:G46)),"")</f>
        <v>0</v>
      </c>
      <c r="M41" s="28" t="s">
        <v>178</v>
      </c>
    </row>
    <row r="42" customFormat="false" ht="15" hidden="true" customHeight="true" outlineLevel="1" collapsed="false">
      <c r="A42" s="28" t="s">
        <v>149</v>
      </c>
      <c r="B42" s="29" t="s">
        <v>179</v>
      </c>
      <c r="C42" s="30" t="s">
        <v>180</v>
      </c>
      <c r="D42" s="31" t="s">
        <v>97</v>
      </c>
      <c r="E42" s="30" t="n">
        <v>0</v>
      </c>
      <c r="F42" s="32" t="n">
        <f aca="false">IF(IFERROR(INDEX('Monitor &amp; Recheck Triggers'!$H$3:$H$48,MATCH($B42,'Monitor &amp; Recheck Triggers'!$A$3:$A$48,0)),"")="",120.16,INDEX('Monitor &amp; Recheck Triggers'!$H$3:$H$48,MATCH($B42,'Monitor &amp; Recheck Triggers'!$A$3:$A$48,0)))</f>
        <v>120.16</v>
      </c>
      <c r="G42" s="33" t="n">
        <f aca="false">E42*F42</f>
        <v>0</v>
      </c>
      <c r="H42" s="34" t="n">
        <v>0</v>
      </c>
      <c r="I42" s="35" t="n">
        <f aca="false">G42-H42</f>
        <v>0</v>
      </c>
      <c r="J42" s="36" t="str">
        <f aca="false">IF(H42=0,"",G42/H42-1)</f>
        <v/>
      </c>
      <c r="K42" s="36" t="n">
        <f aca="false">IFERROR(G42/SUM(G27:G46),"")</f>
        <v>0</v>
      </c>
      <c r="L42" s="36" t="n">
        <f aca="false">IFERROR(G42/(SUM(G3:G23,G27:G46)),"")</f>
        <v>0</v>
      </c>
      <c r="M42" s="28" t="s">
        <v>181</v>
      </c>
    </row>
    <row r="43" customFormat="false" ht="15" hidden="false" customHeight="true" outlineLevel="0" collapsed="false">
      <c r="A43" s="28" t="s">
        <v>149</v>
      </c>
      <c r="B43" s="37" t="s">
        <v>182</v>
      </c>
      <c r="C43" s="30" t="s">
        <v>183</v>
      </c>
      <c r="D43" s="31" t="s">
        <v>123</v>
      </c>
      <c r="E43" s="30" t="n">
        <v>10849.71</v>
      </c>
      <c r="F43" s="32" t="n">
        <v>1</v>
      </c>
      <c r="G43" s="33" t="n">
        <f aca="false">E43*F43</f>
        <v>10849.71</v>
      </c>
      <c r="H43" s="34" t="n">
        <v>10849.71</v>
      </c>
      <c r="I43" s="35" t="n">
        <f aca="false">G43-H43</f>
        <v>0</v>
      </c>
      <c r="J43" s="36" t="n">
        <f aca="false">IF(H43=0,"",G43/H43-1)</f>
        <v>0</v>
      </c>
      <c r="K43" s="36" t="n">
        <f aca="false">IFERROR(G43/SUM(G27:G46),"")</f>
        <v>0.0341584080680018</v>
      </c>
      <c r="L43" s="36" t="n">
        <f aca="false">IFERROR(G43/(SUM(G3:G23,G27:G46)),"")</f>
        <v>0.0148177695100153</v>
      </c>
      <c r="M43" s="28"/>
    </row>
    <row r="44" customFormat="false" ht="15" hidden="false" customHeight="true" outlineLevel="0" collapsed="false">
      <c r="A44" s="28" t="s">
        <v>149</v>
      </c>
      <c r="B44" s="29" t="s">
        <v>184</v>
      </c>
      <c r="C44" s="30" t="s">
        <v>185</v>
      </c>
      <c r="D44" s="31" t="s">
        <v>97</v>
      </c>
      <c r="E44" s="30" t="n">
        <v>0</v>
      </c>
      <c r="F44" s="32" t="n">
        <f aca="false">IF(IFERROR(INDEX('Monitor &amp; Recheck Triggers'!$H$3:$H$48,MATCH($B44,'Monitor &amp; Recheck Triggers'!$A$3:$A$48,0)),"")="",37.61,INDEX('Monitor &amp; Recheck Triggers'!$H$3:$H$48,MATCH($B44,'Monitor &amp; Recheck Triggers'!$A$3:$A$48,0)))</f>
        <v>37.61</v>
      </c>
      <c r="G44" s="33" t="n">
        <f aca="false">E44*F44</f>
        <v>0</v>
      </c>
      <c r="H44" s="34" t="n">
        <v>0</v>
      </c>
      <c r="I44" s="35" t="n">
        <f aca="false">G44-H44</f>
        <v>0</v>
      </c>
      <c r="J44" s="36" t="str">
        <f aca="false">IF(H44=0,"",G44/H44-1)</f>
        <v/>
      </c>
      <c r="K44" s="36" t="n">
        <f aca="false">IFERROR(G44/SUM(G27:G46),"")</f>
        <v>0</v>
      </c>
      <c r="L44" s="36" t="n">
        <f aca="false">IFERROR(G44/(SUM(G3:G23,G27:G46)),"")</f>
        <v>0</v>
      </c>
      <c r="M44" s="28" t="s">
        <v>186</v>
      </c>
    </row>
    <row r="45" customFormat="false" ht="15" hidden="false" customHeight="true" outlineLevel="0" collapsed="false">
      <c r="A45" s="28" t="s">
        <v>149</v>
      </c>
      <c r="B45" s="29" t="s">
        <v>112</v>
      </c>
      <c r="C45" s="30" t="s">
        <v>113</v>
      </c>
      <c r="D45" s="31" t="s">
        <v>97</v>
      </c>
      <c r="E45" s="30" t="n">
        <v>20</v>
      </c>
      <c r="F45" s="32" t="n">
        <f aca="false">IF(IFERROR(INDEX('Monitor &amp; Recheck Triggers'!$H$3:$H$48,MATCH($B45,'Monitor &amp; Recheck Triggers'!$A$3:$A$48,0)),"")="",174.33,INDEX('Monitor &amp; Recheck Triggers'!$H$3:$H$48,MATCH($B45,'Monitor &amp; Recheck Triggers'!$A$3:$A$48,0)))</f>
        <v>174.33</v>
      </c>
      <c r="G45" s="33" t="n">
        <f aca="false">E45*F45</f>
        <v>3486.6</v>
      </c>
      <c r="H45" s="34" t="n">
        <v>3178</v>
      </c>
      <c r="I45" s="35" t="n">
        <f aca="false">G45-H45</f>
        <v>308.6</v>
      </c>
      <c r="J45" s="36" t="n">
        <f aca="false">IF(H45=0,"",G45/H45-1)</f>
        <v>0.0971050975456262</v>
      </c>
      <c r="K45" s="36" t="n">
        <f aca="false">IFERROR(G45/SUM(G27:G46),"")</f>
        <v>0.0109769482843223</v>
      </c>
      <c r="L45" s="36" t="n">
        <f aca="false">IFERROR(G45/(SUM(G3:G23,G27:G46)),"")</f>
        <v>0.00476175263427496</v>
      </c>
      <c r="M45" s="28"/>
    </row>
    <row r="46" customFormat="false" ht="13.5" hidden="false" customHeight="true" outlineLevel="0" collapsed="false">
      <c r="A46" s="28" t="s">
        <v>149</v>
      </c>
      <c r="B46" s="37" t="s">
        <v>187</v>
      </c>
      <c r="C46" s="30" t="s">
        <v>188</v>
      </c>
      <c r="D46" s="31" t="s">
        <v>154</v>
      </c>
      <c r="E46" s="30" t="n">
        <v>180</v>
      </c>
      <c r="F46" s="32" t="n">
        <f aca="false">IF(IFERROR(INDEX('Monitor &amp; Recheck Triggers'!$H$3:$H$48,MATCH($B46,'Monitor &amp; Recheck Triggers'!$A$3:$A$48,0)),"")="",57.22,INDEX('Monitor &amp; Recheck Triggers'!$H$3:$H$48,MATCH($B46,'Monitor &amp; Recheck Triggers'!$A$3:$A$48,0)))</f>
        <v>57.22</v>
      </c>
      <c r="G46" s="33" t="n">
        <f aca="false">E46*F46</f>
        <v>10299.6</v>
      </c>
      <c r="H46" s="34" t="n">
        <v>10500.57</v>
      </c>
      <c r="I46" s="35" t="n">
        <f aca="false">G46-H46</f>
        <v>-200.969999999999</v>
      </c>
      <c r="J46" s="36" t="n">
        <f aca="false">IF(H46=0,"",G46/H46-1)</f>
        <v>-0.0191389610278299</v>
      </c>
      <c r="K46" s="36" t="n">
        <f aca="false">IFERROR(G46/SUM(G27:G46),"")</f>
        <v>0.0324264832642708</v>
      </c>
      <c r="L46" s="36" t="n">
        <f aca="false">IFERROR(G46/(SUM(G3:G23,G27:G46)),"")</f>
        <v>0.0140664680295928</v>
      </c>
      <c r="M46" s="28" t="s">
        <v>128</v>
      </c>
    </row>
    <row r="47" customFormat="false" ht="15" hidden="false" customHeight="true" outlineLevel="0" collapsed="false">
      <c r="A47" s="40" t="s">
        <v>146</v>
      </c>
      <c r="B47" s="41" t="n">
        <f aca="false">SUBTOTAL(103,B27:B46)</f>
        <v>15</v>
      </c>
      <c r="C47" s="42" t="s">
        <v>189</v>
      </c>
      <c r="D47" s="43"/>
      <c r="E47" s="44"/>
      <c r="F47" s="45"/>
      <c r="G47" s="46" t="n">
        <f aca="false">SUM(G27:G46)</f>
        <v>317629.26358865</v>
      </c>
      <c r="H47" s="47" t="n">
        <f aca="false">SUM(H27:H46)</f>
        <v>285336.23</v>
      </c>
      <c r="I47" s="48" t="n">
        <f aca="false">SUM(I27:I46)</f>
        <v>32293.03358865</v>
      </c>
      <c r="J47" s="49" t="n">
        <f aca="false">CurrentPositionsTable[[#This Row],[Unrealized G/L ($)]]/CurrentPositionsTable[[#This Row],[Cost Basis
($)]]</f>
        <v>0.113175370644835</v>
      </c>
      <c r="K47" s="49" t="n">
        <f aca="false">SUM(K27:K46)</f>
        <v>1</v>
      </c>
      <c r="L47" s="49" t="n">
        <f aca="false">SUM(L27:L46)</f>
        <v>0.433795669883574</v>
      </c>
      <c r="M47" s="50"/>
      <c r="N47" s="51"/>
      <c r="O47" s="51"/>
    </row>
    <row r="48" customFormat="false" ht="15" hidden="false" customHeight="true" outlineLevel="0" collapsed="false">
      <c r="I48" s="52" t="s">
        <v>148</v>
      </c>
      <c r="J48" s="53" t="n">
        <f aca="false">I47/(H47-H43-H27)</f>
        <v>0.135895110060491</v>
      </c>
    </row>
    <row r="49" customFormat="false" ht="15" hidden="false" customHeight="true" outlineLevel="0" collapsed="false"/>
    <row r="50" customFormat="false" ht="15" hidden="false" customHeight="true" outlineLevel="0" collapsed="false">
      <c r="A50" s="28"/>
      <c r="B50" s="29"/>
      <c r="C50" s="30" t="s">
        <v>190</v>
      </c>
      <c r="D50" s="31"/>
      <c r="E50" s="30"/>
      <c r="F50" s="30"/>
      <c r="G50" s="33" t="n">
        <f aca="false">SUM(G3:G23)+SUM(G27:G46)</f>
        <v>732209.39174865</v>
      </c>
      <c r="H50" s="34" t="n">
        <f aca="false">SUM(H3:H23)+SUM(H27:H46)</f>
        <v>672329.48</v>
      </c>
      <c r="I50" s="35" t="n">
        <f aca="false">SUM(I3:I23)+SUM(I27:I46)</f>
        <v>59879.91174865</v>
      </c>
    </row>
    <row r="51" customFormat="false" ht="14.25" hidden="false" customHeight="true" outlineLevel="0" collapsed="false">
      <c r="A51" s="28"/>
      <c r="B51" s="29"/>
      <c r="C51" s="30" t="s">
        <v>191</v>
      </c>
      <c r="D51" s="31"/>
      <c r="E51" s="30"/>
      <c r="F51" s="30"/>
      <c r="G51" s="33" t="n">
        <f aca="false">SUM(G14:G21)+G27+G28+G29+G31+G35+G36+G43+G46</f>
        <v>424638.5138424</v>
      </c>
      <c r="H51" s="34" t="n">
        <f aca="false">SUM(H14:H21)+H27+H28+H29+H31+H35+H36+H43+H46</f>
        <v>401796.61</v>
      </c>
      <c r="I51" s="35" t="n">
        <f aca="false">G51-H51</f>
        <v>22841.9038424</v>
      </c>
      <c r="L51" s="36" t="n">
        <f aca="false">IFERROR(G51/G50,"")</f>
        <v>0.57994136462561</v>
      </c>
      <c r="M51" s="28" t="s">
        <v>192</v>
      </c>
    </row>
    <row r="52" customFormat="false" ht="142.5" hidden="false" customHeight="true" outlineLevel="0" collapsed="false">
      <c r="A52" s="54" t="s">
        <v>193</v>
      </c>
      <c r="B52" s="54"/>
      <c r="C52" s="54"/>
      <c r="D52" s="54"/>
      <c r="E52" s="54"/>
      <c r="F52" s="54"/>
      <c r="G52" s="54"/>
      <c r="H52" s="54"/>
      <c r="I52" s="54"/>
      <c r="J52" s="54"/>
      <c r="K52" s="54"/>
      <c r="L52" s="54"/>
      <c r="M52" s="54"/>
    </row>
  </sheetData>
  <mergeCells count="3">
    <mergeCell ref="A1:M1"/>
    <mergeCell ref="O1:P1"/>
    <mergeCell ref="A52:M52"/>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0" ySplit="2" topLeftCell="A8" activePane="bottomLeft" state="frozen"/>
      <selection pane="topLeft" activeCell="A1" activeCellId="0" sqref="A1"/>
      <selection pane="bottomLeft" activeCell="H30" activeCellId="0" sqref="H30"/>
    </sheetView>
  </sheetViews>
  <sheetFormatPr defaultColWidth="8.66796875" defaultRowHeight="14.25" customHeight="false" zeroHeight="false" outlineLevelRow="1" outlineLevelCol="0"/>
  <cols>
    <col collapsed="false" customWidth="true" hidden="false" outlineLevel="0" max="1" min="1" style="55" width="8"/>
    <col collapsed="false" customWidth="true" hidden="false" outlineLevel="0" max="2" min="2" style="1" width="12.44"/>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6"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76"/>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7" t="s">
        <v>194</v>
      </c>
      <c r="B1" s="57"/>
      <c r="C1" s="57"/>
      <c r="D1" s="57"/>
      <c r="E1" s="57"/>
      <c r="F1" s="57"/>
      <c r="G1" s="57"/>
      <c r="H1" s="57"/>
      <c r="I1" s="57"/>
      <c r="J1" s="57"/>
      <c r="K1" s="57"/>
      <c r="L1" s="57"/>
      <c r="M1" s="57"/>
      <c r="N1" s="57"/>
      <c r="O1" s="57"/>
      <c r="P1" s="57"/>
      <c r="Q1" s="57"/>
    </row>
    <row r="2" s="60" customFormat="true" ht="42" hidden="false" customHeight="true" outlineLevel="0" collapsed="false">
      <c r="A2" s="58" t="s">
        <v>81</v>
      </c>
      <c r="B2" s="58" t="s">
        <v>195</v>
      </c>
      <c r="C2" s="58" t="s">
        <v>196</v>
      </c>
      <c r="D2" s="58" t="s">
        <v>197</v>
      </c>
      <c r="E2" s="58" t="s">
        <v>198</v>
      </c>
      <c r="F2" s="58" t="s">
        <v>199</v>
      </c>
      <c r="G2" s="59" t="s">
        <v>200</v>
      </c>
      <c r="H2" s="58" t="s">
        <v>201</v>
      </c>
      <c r="I2" s="58" t="s">
        <v>202</v>
      </c>
      <c r="J2" s="58" t="s">
        <v>203</v>
      </c>
      <c r="K2" s="58" t="s">
        <v>204</v>
      </c>
      <c r="L2" s="58" t="s">
        <v>205</v>
      </c>
      <c r="M2" s="58" t="s">
        <v>206</v>
      </c>
      <c r="N2" s="58" t="s">
        <v>207</v>
      </c>
      <c r="O2" s="58" t="s">
        <v>208</v>
      </c>
      <c r="P2" s="58" t="s">
        <v>209</v>
      </c>
      <c r="Q2" s="58" t="s">
        <v>210</v>
      </c>
    </row>
    <row r="3" customFormat="false" ht="15" hidden="false" customHeight="true" outlineLevel="0" collapsed="false">
      <c r="A3" s="61" t="s">
        <v>95</v>
      </c>
      <c r="B3" s="62" t="s">
        <v>211</v>
      </c>
      <c r="C3" s="63" t="n">
        <v>46240</v>
      </c>
      <c r="D3" s="62" t="n">
        <v>85.8</v>
      </c>
      <c r="E3" s="62" t="n">
        <v>4.57</v>
      </c>
      <c r="F3" s="64" t="s">
        <v>212</v>
      </c>
      <c r="G3" s="65" t="n">
        <v>259.32</v>
      </c>
      <c r="H3" s="66" t="str">
        <f aca="false" t="array" ref="H3:H3">IFERROR(INDEX(_xlfn.stockhistory(A3,TODAY()-5,TODAY(),0,0,1),ROWS(_xlfn.stockhistory(A3,TODAY()-5,TODAY(),0,0,1)),1),"")</f>
        <v/>
      </c>
      <c r="I3" s="67" t="str">
        <f aca="false">IF(OR(G3="",H3=""),"",H3/G3-1)</f>
        <v/>
      </c>
      <c r="J3" s="68" t="n">
        <v>46365</v>
      </c>
      <c r="K3" s="62" t="s">
        <v>213</v>
      </c>
      <c r="L3" s="69"/>
      <c r="M3" s="62" t="s">
        <v>213</v>
      </c>
      <c r="N3" s="69"/>
      <c r="O3" s="70" t="n">
        <f aca="true">IF(C3="","",TODAY()-C3)</f>
        <v>59</v>
      </c>
      <c r="P3" s="71"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Q3" s="69"/>
    </row>
    <row r="4" customFormat="false" ht="15" hidden="false" customHeight="true" outlineLevel="0" collapsed="false">
      <c r="A4" s="61" t="s">
        <v>100</v>
      </c>
      <c r="B4" s="62" t="s">
        <v>211</v>
      </c>
      <c r="C4" s="63" t="n">
        <v>46240</v>
      </c>
      <c r="D4" s="62" t="n">
        <v>85</v>
      </c>
      <c r="E4" s="62" t="n">
        <v>4.57</v>
      </c>
      <c r="F4" s="64" t="s">
        <v>212</v>
      </c>
      <c r="G4" s="65" t="n">
        <v>190.51</v>
      </c>
      <c r="H4" s="66" t="str">
        <f aca="false" t="array" ref="H4:H4">IFERROR(INDEX(_xlfn.stockhistory(A4,TODAY()-5,TODAY(),0,0,1),ROWS(_xlfn.stockhistory(A4,TODAY()-5,TODAY(),0,0,1)),1),"")</f>
        <v/>
      </c>
      <c r="I4" s="67" t="str">
        <f aca="false">IF(OR(G4="",H4=""),"",H4/G4-1)</f>
        <v/>
      </c>
      <c r="J4" s="68" t="n">
        <v>46329</v>
      </c>
      <c r="K4" s="62" t="s">
        <v>214</v>
      </c>
      <c r="L4" s="69" t="s">
        <v>215</v>
      </c>
      <c r="M4" s="62" t="s">
        <v>213</v>
      </c>
      <c r="N4" s="69"/>
      <c r="O4" s="70" t="n">
        <f aca="true">IF(C4="","",TODAY()-C4)</f>
        <v>59</v>
      </c>
      <c r="P4" s="71"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69"/>
    </row>
    <row r="5" customFormat="false" ht="15" hidden="false" customHeight="true" outlineLevel="0" collapsed="false">
      <c r="A5" s="61" t="s">
        <v>102</v>
      </c>
      <c r="B5" s="62" t="s">
        <v>211</v>
      </c>
      <c r="C5" s="63" t="n">
        <v>46240</v>
      </c>
      <c r="D5" s="62" t="n">
        <v>73.2</v>
      </c>
      <c r="E5" s="62" t="n">
        <v>3.57</v>
      </c>
      <c r="F5" s="64" t="s">
        <v>216</v>
      </c>
      <c r="G5" s="65" t="n">
        <v>1678.22</v>
      </c>
      <c r="H5" s="66" t="str">
        <f aca="false" t="array" ref="H5:H5">IFERROR(INDEX(_xlfn.stockhistory(A5,TODAY()-5,TODAY(),0,0,1),ROWS(_xlfn.stockhistory(A5,TODAY()-5,TODAY(),0,0,1)),1),"")</f>
        <v/>
      </c>
      <c r="I5" s="67" t="str">
        <f aca="false">IF(OR(G5="",H5=""),"",H5/G5-1)</f>
        <v/>
      </c>
      <c r="J5" s="68" t="n">
        <v>46309</v>
      </c>
      <c r="K5" s="62" t="s">
        <v>213</v>
      </c>
      <c r="L5" s="69"/>
      <c r="M5" s="62" t="s">
        <v>213</v>
      </c>
      <c r="N5" s="69"/>
      <c r="O5" s="70" t="n">
        <f aca="true">IF(C5="","",TODAY()-C5)</f>
        <v>59</v>
      </c>
      <c r="P5" s="71"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69"/>
    </row>
    <row r="6" customFormat="false" ht="15" hidden="false" customHeight="true" outlineLevel="0" collapsed="false">
      <c r="A6" s="61" t="s">
        <v>104</v>
      </c>
      <c r="B6" s="62" t="s">
        <v>211</v>
      </c>
      <c r="C6" s="63" t="n">
        <v>46240</v>
      </c>
      <c r="D6" s="62" t="n">
        <v>70.4</v>
      </c>
      <c r="E6" s="62" t="n">
        <v>4</v>
      </c>
      <c r="F6" s="64" t="s">
        <v>216</v>
      </c>
      <c r="G6" s="65" t="n">
        <v>211.22</v>
      </c>
      <c r="H6" s="66" t="str">
        <f aca="false" t="array" ref="H6:H6">IFERROR(INDEX(_xlfn.stockhistory(A6,TODAY()-5,TODAY(),0,0,1),ROWS(_xlfn.stockhistory(A6,TODAY()-5,TODAY(),0,0,1)),1),"")</f>
        <v/>
      </c>
      <c r="I6" s="67" t="str">
        <f aca="false">IF(OR(G6="",H6=""),"",H6/G6-1)</f>
        <v/>
      </c>
      <c r="J6" s="68" t="n">
        <v>46357</v>
      </c>
      <c r="K6" s="62" t="s">
        <v>214</v>
      </c>
      <c r="L6" s="69" t="s">
        <v>217</v>
      </c>
      <c r="M6" s="62" t="s">
        <v>213</v>
      </c>
      <c r="N6" s="69"/>
      <c r="O6" s="70" t="n">
        <f aca="true">IF(C6="","",TODAY()-C6)</f>
        <v>59</v>
      </c>
      <c r="P6" s="71"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69"/>
    </row>
    <row r="7" customFormat="false" ht="15" hidden="false" customHeight="true" outlineLevel="0" collapsed="false">
      <c r="A7" s="61" t="s">
        <v>106</v>
      </c>
      <c r="B7" s="62" t="s">
        <v>211</v>
      </c>
      <c r="C7" s="63" t="n">
        <v>46240</v>
      </c>
      <c r="D7" s="62" t="n">
        <v>68.6</v>
      </c>
      <c r="E7" s="62" t="n">
        <v>3.43</v>
      </c>
      <c r="F7" s="64" t="s">
        <v>216</v>
      </c>
      <c r="G7" s="65" t="n">
        <v>192.8</v>
      </c>
      <c r="H7" s="66" t="str">
        <f aca="false" t="array" ref="H7:H7">IFERROR(INDEX(_xlfn.stockhistory(A7,TODAY()-5,TODAY(),0,0,1),ROWS(_xlfn.stockhistory(A7,TODAY()-5,TODAY(),0,0,1)),1),"")</f>
        <v/>
      </c>
      <c r="I7" s="67" t="str">
        <f aca="false">IF(OR(G7="",H7=""),"",H7/G7-1)</f>
        <v/>
      </c>
      <c r="J7" s="68" t="n">
        <v>46323</v>
      </c>
      <c r="K7" s="62" t="s">
        <v>214</v>
      </c>
      <c r="L7" s="69" t="s">
        <v>218</v>
      </c>
      <c r="M7" s="62" t="s">
        <v>213</v>
      </c>
      <c r="N7" s="69"/>
      <c r="O7" s="70" t="n">
        <f aca="true">IF(C7="","",TODAY()-C7)</f>
        <v>59</v>
      </c>
      <c r="P7" s="71"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69"/>
    </row>
    <row r="8" customFormat="false" ht="15" hidden="false" customHeight="true" outlineLevel="0" collapsed="false">
      <c r="A8" s="61" t="s">
        <v>108</v>
      </c>
      <c r="B8" s="62" t="s">
        <v>211</v>
      </c>
      <c r="C8" s="63" t="n">
        <v>46240</v>
      </c>
      <c r="D8" s="62" t="n">
        <v>71.8</v>
      </c>
      <c r="E8" s="62" t="n">
        <v>3.64</v>
      </c>
      <c r="F8" s="64" t="s">
        <v>216</v>
      </c>
      <c r="G8" s="65" t="n">
        <v>893.19</v>
      </c>
      <c r="H8" s="66" t="str">
        <f aca="false" t="array" ref="H8:H8">IFERROR(INDEX(_xlfn.stockhistory(A8,TODAY()-5,TODAY(),0,0,1),ROWS(_xlfn.stockhistory(A8,TODAY()-5,TODAY(),0,0,1)),1),"")</f>
        <v/>
      </c>
      <c r="I8" s="67" t="str">
        <f aca="false">IF(OR(G8="",H8=""),"",H8/G8-1)</f>
        <v/>
      </c>
      <c r="J8" s="68" t="n">
        <v>46379</v>
      </c>
      <c r="K8" s="62" t="s">
        <v>214</v>
      </c>
      <c r="L8" s="69" t="s">
        <v>219</v>
      </c>
      <c r="M8" s="62" t="s">
        <v>213</v>
      </c>
      <c r="N8" s="69"/>
      <c r="O8" s="70" t="n">
        <f aca="true">IF(C8="","",TODAY()-C8)</f>
        <v>59</v>
      </c>
      <c r="P8" s="71"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69"/>
    </row>
    <row r="9" customFormat="false" ht="15" hidden="false" customHeight="true" outlineLevel="0" collapsed="false">
      <c r="A9" s="61" t="s">
        <v>110</v>
      </c>
      <c r="B9" s="62" t="s">
        <v>211</v>
      </c>
      <c r="C9" s="63" t="n">
        <v>46240</v>
      </c>
      <c r="D9" s="62" t="n">
        <v>93.2</v>
      </c>
      <c r="E9" s="62" t="n">
        <v>4.57</v>
      </c>
      <c r="F9" s="64" t="s">
        <v>212</v>
      </c>
      <c r="G9" s="65" t="n">
        <v>211.87</v>
      </c>
      <c r="H9" s="66" t="str">
        <f aca="false" t="array" ref="H9:H9">IFERROR(INDEX(_xlfn.stockhistory(A9,TODAY()-5,TODAY(),0,0,1),ROWS(_xlfn.stockhistory(A9,TODAY()-5,TODAY(),0,0,1)),1),"")</f>
        <v/>
      </c>
      <c r="I9" s="67" t="str">
        <f aca="false">IF(OR(G9="",H9=""),"",H9/G9-1)</f>
        <v/>
      </c>
      <c r="J9" s="68" t="n">
        <v>46343</v>
      </c>
      <c r="K9" s="62" t="s">
        <v>214</v>
      </c>
      <c r="L9" s="69" t="s">
        <v>220</v>
      </c>
      <c r="M9" s="62" t="s">
        <v>213</v>
      </c>
      <c r="N9" s="69"/>
      <c r="O9" s="70" t="n">
        <f aca="true">IF(C9="","",TODAY()-C9)</f>
        <v>59</v>
      </c>
      <c r="P9" s="71"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69"/>
    </row>
    <row r="10" customFormat="false" ht="15" hidden="false" customHeight="true" outlineLevel="0" collapsed="false">
      <c r="A10" s="61" t="s">
        <v>112</v>
      </c>
      <c r="B10" s="62" t="s">
        <v>211</v>
      </c>
      <c r="C10" s="63" t="n">
        <v>46240</v>
      </c>
      <c r="D10" s="62" t="n">
        <v>75.2</v>
      </c>
      <c r="E10" s="62" t="n">
        <v>4</v>
      </c>
      <c r="F10" s="64" t="s">
        <v>216</v>
      </c>
      <c r="G10" s="65" t="n">
        <v>162.66</v>
      </c>
      <c r="H10" s="66" t="str">
        <f aca="false" t="array" ref="H10:H10">IFERROR(INDEX(_xlfn.stockhistory(A10,TODAY()-5,TODAY(),0,0,1),ROWS(_xlfn.stockhistory(A10,TODAY()-5,TODAY(),0,0,1)),1),"")</f>
        <v/>
      </c>
      <c r="I10" s="67" t="str">
        <f aca="false">IF(OR(G10="",H10=""),"",H10/G10-1)</f>
        <v/>
      </c>
      <c r="J10" s="68" t="n">
        <v>46328</v>
      </c>
      <c r="K10" s="62" t="s">
        <v>214</v>
      </c>
      <c r="L10" s="69" t="s">
        <v>221</v>
      </c>
      <c r="M10" s="62" t="s">
        <v>213</v>
      </c>
      <c r="N10" s="69"/>
      <c r="O10" s="70" t="n">
        <f aca="true">IF(C10="","",TODAY()-C10)</f>
        <v>59</v>
      </c>
      <c r="P10" s="71"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69"/>
    </row>
    <row r="11" customFormat="false" ht="15" hidden="false" customHeight="true" outlineLevel="0" collapsed="false">
      <c r="A11" s="61" t="s">
        <v>114</v>
      </c>
      <c r="B11" s="62" t="s">
        <v>211</v>
      </c>
      <c r="C11" s="63" t="n">
        <v>46240</v>
      </c>
      <c r="D11" s="62" t="n">
        <v>81</v>
      </c>
      <c r="E11" s="62" t="n">
        <v>4</v>
      </c>
      <c r="F11" s="64" t="s">
        <v>212</v>
      </c>
      <c r="G11" s="65" t="n">
        <v>414</v>
      </c>
      <c r="H11" s="66" t="str">
        <f aca="false" t="array" ref="H11:H11">IFERROR(INDEX(_xlfn.stockhistory(A11,TODAY()-5,TODAY(),0,0,1),ROWS(_xlfn.stockhistory(A11,TODAY()-5,TODAY(),0,0,1)),1),"")</f>
        <v/>
      </c>
      <c r="I11" s="67" t="str">
        <f aca="false">IF(OR(G11="",H11=""),"",H11/G11-1)</f>
        <v/>
      </c>
      <c r="J11" s="68" t="n">
        <v>46310</v>
      </c>
      <c r="K11" s="62" t="s">
        <v>214</v>
      </c>
      <c r="L11" s="69" t="s">
        <v>222</v>
      </c>
      <c r="M11" s="62" t="s">
        <v>213</v>
      </c>
      <c r="N11" s="69"/>
      <c r="O11" s="70" t="n">
        <f aca="true">IF(C11="","",TODAY()-C11)</f>
        <v>59</v>
      </c>
      <c r="P11" s="71"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69"/>
    </row>
    <row r="12" customFormat="false" ht="15" hidden="false" customHeight="true" outlineLevel="0" collapsed="false">
      <c r="A12" s="61" t="s">
        <v>116</v>
      </c>
      <c r="B12" s="62" t="s">
        <v>211</v>
      </c>
      <c r="C12" s="63" t="n">
        <v>46240</v>
      </c>
      <c r="D12" s="62" t="n">
        <v>82.8</v>
      </c>
      <c r="E12" s="62" t="n">
        <v>4.36</v>
      </c>
      <c r="F12" s="64" t="s">
        <v>212</v>
      </c>
      <c r="G12" s="65" t="n">
        <v>277.94</v>
      </c>
      <c r="H12" s="66" t="str">
        <f aca="false" t="array" ref="H12:H12">IFERROR(INDEX(_xlfn.stockhistory(A12,TODAY()-5,TODAY(),0,0,1),ROWS(_xlfn.stockhistory(A12,TODAY()-5,TODAY(),0,0,1)),1),"")</f>
        <v/>
      </c>
      <c r="I12" s="67" t="str">
        <f aca="false">IF(OR(G12="",H12=""),"",H12/G12-1)</f>
        <v/>
      </c>
      <c r="J12" s="68" t="n">
        <v>46316</v>
      </c>
      <c r="K12" s="62" t="s">
        <v>214</v>
      </c>
      <c r="L12" s="69" t="s">
        <v>223</v>
      </c>
      <c r="M12" s="62" t="s">
        <v>213</v>
      </c>
      <c r="N12" s="69"/>
      <c r="O12" s="70" t="n">
        <f aca="true">IF(C12="","",TODAY()-C12)</f>
        <v>59</v>
      </c>
      <c r="P12" s="71"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69"/>
    </row>
    <row r="13" customFormat="false" ht="15" hidden="false" customHeight="true" outlineLevel="0" collapsed="false">
      <c r="A13" s="61" t="s">
        <v>165</v>
      </c>
      <c r="B13" s="62" t="s">
        <v>211</v>
      </c>
      <c r="C13" s="63" t="n">
        <v>46240</v>
      </c>
      <c r="D13" s="62" t="n">
        <v>80.8</v>
      </c>
      <c r="E13" s="62" t="n">
        <v>4.07</v>
      </c>
      <c r="F13" s="64" t="s">
        <v>212</v>
      </c>
      <c r="G13" s="65" t="n">
        <v>418.16</v>
      </c>
      <c r="H13" s="66" t="str">
        <f aca="false" t="array" ref="H13:H13">IFERROR(INDEX(_xlfn.stockhistory(A13,TODAY()-5,TODAY(),0,0,1),ROWS(_xlfn.stockhistory(A13,TODAY()-5,TODAY(),0,0,1)),1),"")</f>
        <v/>
      </c>
      <c r="I13" s="67" t="str">
        <f aca="false">IF(OR(G13="",H13=""),"",H13/G13-1)</f>
        <v/>
      </c>
      <c r="J13" s="68" t="n">
        <v>46365</v>
      </c>
      <c r="K13" s="62" t="s">
        <v>213</v>
      </c>
      <c r="L13" s="69"/>
      <c r="M13" s="62" t="s">
        <v>213</v>
      </c>
      <c r="N13" s="69"/>
      <c r="O13" s="70" t="n">
        <f aca="true">IF(C13="","",TODAY()-C13)</f>
        <v>59</v>
      </c>
      <c r="P13" s="71"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69"/>
    </row>
    <row r="14" customFormat="false" ht="15" hidden="false" customHeight="true" outlineLevel="0" collapsed="false">
      <c r="A14" s="61" t="s">
        <v>170</v>
      </c>
      <c r="B14" s="62" t="s">
        <v>211</v>
      </c>
      <c r="C14" s="63" t="n">
        <v>46240</v>
      </c>
      <c r="D14" s="62" t="n">
        <v>82</v>
      </c>
      <c r="E14" s="62" t="n">
        <v>4.36</v>
      </c>
      <c r="F14" s="64" t="s">
        <v>212</v>
      </c>
      <c r="G14" s="65" t="n">
        <v>139.06</v>
      </c>
      <c r="H14" s="66" t="str">
        <f aca="false" t="array" ref="H14:H14">IFERROR(INDEX(_xlfn.stockhistory(A14,TODAY()-5,TODAY(),0,0,1),ROWS(_xlfn.stockhistory(A14,TODAY()-5,TODAY(),0,0,1)),1),"")</f>
        <v/>
      </c>
      <c r="I14" s="67" t="str">
        <f aca="false">IF(OR(G14="",H14=""),"",H14/G14-1)</f>
        <v/>
      </c>
      <c r="J14" s="68" t="n">
        <v>46310</v>
      </c>
      <c r="K14" s="62" t="s">
        <v>213</v>
      </c>
      <c r="L14" s="69"/>
      <c r="M14" s="62" t="s">
        <v>213</v>
      </c>
      <c r="N14" s="69"/>
      <c r="O14" s="70" t="n">
        <f aca="true">IF(C14="","",TODAY()-C14)</f>
        <v>59</v>
      </c>
      <c r="P14" s="71"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69"/>
    </row>
    <row r="15" customFormat="false" ht="15" hidden="false" customHeight="true" outlineLevel="0" collapsed="false">
      <c r="A15" s="61" t="s">
        <v>167</v>
      </c>
      <c r="B15" s="62" t="s">
        <v>211</v>
      </c>
      <c r="C15" s="63" t="n">
        <v>46241</v>
      </c>
      <c r="D15" s="62" t="n">
        <v>75.6</v>
      </c>
      <c r="E15" s="62" t="n">
        <v>3.79</v>
      </c>
      <c r="F15" s="64" t="s">
        <v>216</v>
      </c>
      <c r="G15" s="65" t="n">
        <v>478.7</v>
      </c>
      <c r="H15" s="66" t="str">
        <f aca="false" t="array" ref="H15:H15">IFERROR(INDEX(_xlfn.stockhistory(A15,TODAY()-5,TODAY(),0,0,1),ROWS(_xlfn.stockhistory(A15,TODAY()-5,TODAY(),0,0,1)),1),"")</f>
        <v/>
      </c>
      <c r="I15" s="67" t="str">
        <f aca="false">IF(OR(G15="",H15=""),"",H15/G15-1)</f>
        <v/>
      </c>
      <c r="J15" s="68" t="n">
        <v>46328</v>
      </c>
      <c r="K15" s="62" t="s">
        <v>213</v>
      </c>
      <c r="L15" s="69"/>
      <c r="M15" s="62" t="s">
        <v>213</v>
      </c>
      <c r="N15" s="69"/>
      <c r="O15" s="70" t="n">
        <f aca="true">IF(C15="","",TODAY()-C15)</f>
        <v>58</v>
      </c>
      <c r="P15" s="71"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69" t="s">
        <v>224</v>
      </c>
    </row>
    <row r="16" customFormat="false" ht="15" hidden="true" customHeight="true" outlineLevel="1" collapsed="false">
      <c r="A16" s="61" t="s">
        <v>225</v>
      </c>
      <c r="B16" s="69" t="s">
        <v>226</v>
      </c>
      <c r="C16" s="63" t="n">
        <v>46246</v>
      </c>
      <c r="D16" s="62"/>
      <c r="E16" s="62" t="n">
        <v>1.36</v>
      </c>
      <c r="F16" s="64"/>
      <c r="G16" s="65" t="n">
        <v>53.52</v>
      </c>
      <c r="H16" s="66" t="str">
        <f aca="false" t="array" ref="H16:H16">IFERROR(INDEX(_xlfn.stockhistory(A16,TODAY()-5,TODAY(),0,0,1),ROWS(_xlfn.stockhistory(A16,TODAY()-5,TODAY(),0,0,1)),1),"")</f>
        <v/>
      </c>
      <c r="I16" s="67" t="str">
        <f aca="false">IF(OR(G16="",H16=""),"",H16/G16-1)</f>
        <v/>
      </c>
      <c r="J16" s="68" t="n">
        <v>46331</v>
      </c>
      <c r="K16" s="62" t="s">
        <v>213</v>
      </c>
      <c r="L16" s="69"/>
      <c r="M16" s="62" t="s">
        <v>213</v>
      </c>
      <c r="N16" s="69"/>
      <c r="O16" s="70" t="n">
        <f aca="true">IF(C16="","",TODAY()-C16)</f>
        <v>53</v>
      </c>
      <c r="P16" s="71"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69"/>
    </row>
    <row r="17" customFormat="false" ht="15" hidden="true" customHeight="true" outlineLevel="1" collapsed="false">
      <c r="A17" s="61" t="s">
        <v>227</v>
      </c>
      <c r="B17" s="69" t="s">
        <v>226</v>
      </c>
      <c r="C17" s="63" t="n">
        <v>46246</v>
      </c>
      <c r="D17" s="62"/>
      <c r="E17" s="62" t="n">
        <v>2.79</v>
      </c>
      <c r="F17" s="64"/>
      <c r="G17" s="65" t="n">
        <v>125.22</v>
      </c>
      <c r="H17" s="66" t="str">
        <f aca="false" t="array" ref="H17:H17">IFERROR(INDEX(_xlfn.stockhistory(A17,TODAY()-5,TODAY(),0,0,1),ROWS(_xlfn.stockhistory(A17,TODAY()-5,TODAY(),0,0,1)),1),"")</f>
        <v/>
      </c>
      <c r="I17" s="67" t="str">
        <f aca="false">IF(OR(G17="",H17=""),"",H17/G17-1)</f>
        <v/>
      </c>
      <c r="J17" s="68" t="n">
        <v>46350</v>
      </c>
      <c r="K17" s="62" t="s">
        <v>214</v>
      </c>
      <c r="L17" s="69" t="s">
        <v>228</v>
      </c>
      <c r="M17" s="62" t="s">
        <v>213</v>
      </c>
      <c r="N17" s="69"/>
      <c r="O17" s="70" t="n">
        <f aca="true">IF(C17="","",TODAY()-C17)</f>
        <v>53</v>
      </c>
      <c r="P17" s="71"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69"/>
    </row>
    <row r="18" customFormat="false" ht="15" hidden="true" customHeight="true" outlineLevel="1" collapsed="false">
      <c r="A18" s="61" t="s">
        <v>229</v>
      </c>
      <c r="B18" s="69" t="s">
        <v>226</v>
      </c>
      <c r="C18" s="63" t="n">
        <v>46245</v>
      </c>
      <c r="D18" s="62"/>
      <c r="E18" s="62" t="n">
        <v>1.79</v>
      </c>
      <c r="F18" s="64"/>
      <c r="G18" s="65" t="n">
        <v>44.84</v>
      </c>
      <c r="H18" s="66" t="str">
        <f aca="false" t="array" ref="H18:H18">IFERROR(INDEX(_xlfn.stockhistory(A18,TODAY()-5,TODAY(),0,0,1),ROWS(_xlfn.stockhistory(A18,TODAY()-5,TODAY(),0,0,1)),1),"")</f>
        <v/>
      </c>
      <c r="I18" s="67" t="str">
        <f aca="false">IF(OR(G18="",H18=""),"",H18/G18-1)</f>
        <v/>
      </c>
      <c r="J18" s="68" t="n">
        <v>46328</v>
      </c>
      <c r="K18" s="62" t="s">
        <v>213</v>
      </c>
      <c r="L18" s="69"/>
      <c r="M18" s="62" t="s">
        <v>213</v>
      </c>
      <c r="N18" s="69"/>
      <c r="O18" s="70" t="n">
        <f aca="true">IF(C18="","",TODAY()-C18)</f>
        <v>54</v>
      </c>
      <c r="P18" s="71"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69"/>
    </row>
    <row r="19" customFormat="false" ht="15" hidden="true" customHeight="true" outlineLevel="1" collapsed="false">
      <c r="A19" s="61" t="s">
        <v>230</v>
      </c>
      <c r="B19" s="69" t="s">
        <v>226</v>
      </c>
      <c r="C19" s="63" t="n">
        <v>46245</v>
      </c>
      <c r="D19" s="62"/>
      <c r="E19" s="62" t="n">
        <v>1.86</v>
      </c>
      <c r="F19" s="64"/>
      <c r="G19" s="65" t="n">
        <v>12.41</v>
      </c>
      <c r="H19" s="66" t="str">
        <f aca="false" t="array" ref="H19:H19">IFERROR(INDEX(_xlfn.stockhistory(A19,TODAY()-5,TODAY(),0,0,1),ROWS(_xlfn.stockhistory(A19,TODAY()-5,TODAY(),0,0,1)),1),"")</f>
        <v/>
      </c>
      <c r="I19" s="67" t="str">
        <f aca="false">IF(OR(G19="",H19=""),"",H19/G19-1)</f>
        <v/>
      </c>
      <c r="J19" s="68" t="n">
        <v>46314</v>
      </c>
      <c r="K19" s="62" t="s">
        <v>213</v>
      </c>
      <c r="L19" s="69"/>
      <c r="M19" s="62" t="s">
        <v>213</v>
      </c>
      <c r="N19" s="69"/>
      <c r="O19" s="70" t="n">
        <f aca="true">IF(C19="","",TODAY()-C19)</f>
        <v>54</v>
      </c>
      <c r="P19" s="71"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69"/>
    </row>
    <row r="20" customFormat="false" ht="15" hidden="false" customHeight="true" outlineLevel="0" collapsed="false">
      <c r="A20" s="61" t="s">
        <v>231</v>
      </c>
      <c r="B20" s="72" t="s">
        <v>232</v>
      </c>
      <c r="C20" s="63" t="n">
        <v>46245</v>
      </c>
      <c r="D20" s="62"/>
      <c r="E20" s="62" t="n">
        <v>3.71</v>
      </c>
      <c r="F20" s="64"/>
      <c r="G20" s="65" t="n">
        <v>32</v>
      </c>
      <c r="H20" s="66" t="str">
        <f aca="false" t="array" ref="H20:H20">IFERROR(INDEX(_xlfn.stockhistory(A20,TODAY()-5,TODAY(),0,0,1),ROWS(_xlfn.stockhistory(A20,TODAY()-5,TODAY(),0,0,1)),1),"")</f>
        <v/>
      </c>
      <c r="I20" s="67" t="str">
        <f aca="false">IF(OR(G20="",H20=""),"",H20/G20-1)</f>
        <v/>
      </c>
      <c r="J20" s="68" t="n">
        <v>46323</v>
      </c>
      <c r="K20" s="62" t="s">
        <v>213</v>
      </c>
      <c r="L20" s="69"/>
      <c r="M20" s="62" t="s">
        <v>213</v>
      </c>
      <c r="N20" s="69"/>
      <c r="O20" s="70" t="n">
        <f aca="true">IF(C20="","",TODAY()-C20)</f>
        <v>54</v>
      </c>
      <c r="P20" s="71"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69"/>
    </row>
    <row r="21" customFormat="false" ht="15" hidden="false" customHeight="true" outlineLevel="0" collapsed="false">
      <c r="A21" s="61" t="s">
        <v>233</v>
      </c>
      <c r="B21" s="72" t="s">
        <v>232</v>
      </c>
      <c r="C21" s="63" t="n">
        <v>46245</v>
      </c>
      <c r="D21" s="62" t="n">
        <v>77.4</v>
      </c>
      <c r="E21" s="62" t="n">
        <v>4.14</v>
      </c>
      <c r="F21" s="64" t="s">
        <v>216</v>
      </c>
      <c r="G21" s="65" t="n">
        <v>944.32</v>
      </c>
      <c r="H21" s="66" t="str">
        <f aca="false" t="array" ref="H21:H21">IFERROR(INDEX(_xlfn.stockhistory(A21,TODAY()-5,TODAY(),0,0,1),ROWS(_xlfn.stockhistory(A21,TODAY()-5,TODAY(),0,0,1)),1),"")</f>
        <v/>
      </c>
      <c r="I21" s="67" t="str">
        <f aca="false">IF(OR(G21="",H21=""),"",H21/G21-1)</f>
        <v/>
      </c>
      <c r="J21" s="68" t="n">
        <v>46366</v>
      </c>
      <c r="K21" s="62" t="s">
        <v>213</v>
      </c>
      <c r="L21" s="69"/>
      <c r="M21" s="62" t="s">
        <v>213</v>
      </c>
      <c r="N21" s="69"/>
      <c r="O21" s="70" t="n">
        <f aca="true">IF(C21="","",TODAY()-C21)</f>
        <v>54</v>
      </c>
      <c r="P21" s="71"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69"/>
    </row>
    <row r="22" customFormat="false" ht="15" hidden="true" customHeight="true" outlineLevel="1" collapsed="false">
      <c r="A22" s="61" t="s">
        <v>234</v>
      </c>
      <c r="B22" s="73" t="s">
        <v>226</v>
      </c>
      <c r="C22" s="63" t="n">
        <v>46245</v>
      </c>
      <c r="D22" s="62"/>
      <c r="E22" s="62" t="n">
        <v>1.21</v>
      </c>
      <c r="F22" s="64"/>
      <c r="G22" s="65" t="n">
        <v>14.39</v>
      </c>
      <c r="H22" s="66" t="str">
        <f aca="false" t="array" ref="H22:H22">IFERROR(INDEX(_xlfn.stockhistory(A22,TODAY()-5,TODAY(),0,0,1),ROWS(_xlfn.stockhistory(A22,TODAY()-5,TODAY(),0,0,1)),1),"")</f>
        <v/>
      </c>
      <c r="I22" s="67" t="str">
        <f aca="false">IF(OR(G22="",H22=""),"",H22/G22-1)</f>
        <v/>
      </c>
      <c r="J22" s="68" t="n">
        <v>46328</v>
      </c>
      <c r="K22" s="62" t="s">
        <v>213</v>
      </c>
      <c r="L22" s="69"/>
      <c r="M22" s="62" t="s">
        <v>213</v>
      </c>
      <c r="N22" s="69"/>
      <c r="O22" s="70" t="n">
        <f aca="true">IF(C22="","",TODAY()-C22)</f>
        <v>54</v>
      </c>
      <c r="P22" s="71"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69"/>
    </row>
    <row r="23" customFormat="false" ht="15" hidden="true" customHeight="true" outlineLevel="1" collapsed="false">
      <c r="A23" s="61" t="s">
        <v>235</v>
      </c>
      <c r="B23" s="73" t="s">
        <v>226</v>
      </c>
      <c r="C23" s="63" t="n">
        <v>46245</v>
      </c>
      <c r="D23" s="62"/>
      <c r="E23" s="62" t="n">
        <v>2.36</v>
      </c>
      <c r="F23" s="64"/>
      <c r="G23" s="65" t="n">
        <v>94.94</v>
      </c>
      <c r="H23" s="66" t="str">
        <f aca="false" t="array" ref="H23:H23">IFERROR(INDEX(_xlfn.stockhistory(A23,TODAY()-5,TODAY(),0,0,1),ROWS(_xlfn.stockhistory(A23,TODAY()-5,TODAY(),0,0,1)),1),"")</f>
        <v/>
      </c>
      <c r="I23" s="67" t="str">
        <f aca="false">IF(OR(G23="",H23=""),"",H23/G23-1)</f>
        <v/>
      </c>
      <c r="J23" s="68" t="n">
        <v>46240</v>
      </c>
      <c r="K23" s="62" t="s">
        <v>213</v>
      </c>
      <c r="L23" s="69"/>
      <c r="M23" s="62" t="s">
        <v>213</v>
      </c>
      <c r="N23" s="69"/>
      <c r="O23" s="70" t="n">
        <f aca="true">IF(C23="","",TODAY()-C23)</f>
        <v>54</v>
      </c>
      <c r="P23" s="71"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69"/>
    </row>
    <row r="24" customFormat="false" ht="15" hidden="true" customHeight="true" outlineLevel="1" collapsed="false">
      <c r="A24" s="61" t="s">
        <v>236</v>
      </c>
      <c r="B24" s="73" t="s">
        <v>226</v>
      </c>
      <c r="C24" s="63" t="n">
        <v>46258</v>
      </c>
      <c r="D24" s="62"/>
      <c r="E24" s="62" t="n">
        <v>2.93</v>
      </c>
      <c r="F24" s="64"/>
      <c r="G24" s="65" t="n">
        <v>110.61</v>
      </c>
      <c r="H24" s="66" t="str">
        <f aca="false" t="array" ref="H24:H24">IFERROR(INDEX(_xlfn.stockhistory(A24,TODAY()-5,TODAY(),0,0,1),ROWS(_xlfn.stockhistory(A24,TODAY()-5,TODAY(),0,0,1)),1),"")</f>
        <v/>
      </c>
      <c r="I24" s="67" t="str">
        <f aca="false">IF(OR(G24="",H24=""),"",H24/G24-1)</f>
        <v/>
      </c>
      <c r="J24" s="68" t="n">
        <v>46338</v>
      </c>
      <c r="K24" s="62" t="s">
        <v>214</v>
      </c>
      <c r="L24" s="69" t="s">
        <v>237</v>
      </c>
      <c r="M24" s="62" t="s">
        <v>213</v>
      </c>
      <c r="N24" s="69"/>
      <c r="O24" s="70" t="n">
        <f aca="true">IF(C24="","",TODAY()-C24)</f>
        <v>41</v>
      </c>
      <c r="P24" s="71"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69"/>
    </row>
    <row r="25" customFormat="false" ht="15" hidden="false" customHeight="true" outlineLevel="0" collapsed="false">
      <c r="A25" s="61" t="s">
        <v>238</v>
      </c>
      <c r="B25" s="72" t="s">
        <v>232</v>
      </c>
      <c r="C25" s="63" t="n">
        <v>46245</v>
      </c>
      <c r="D25" s="62"/>
      <c r="E25" s="62" t="n">
        <v>4.86</v>
      </c>
      <c r="F25" s="64"/>
      <c r="G25" s="65" t="n">
        <v>357.34</v>
      </c>
      <c r="H25" s="66" t="str">
        <f aca="false" t="array" ref="H25:H25">IFERROR(INDEX(_xlfn.stockhistory(A25,TODAY()-5,TODAY(),0,0,1),ROWS(_xlfn.stockhistory(A25,TODAY()-5,TODAY(),0,0,1)),1),"")</f>
        <v/>
      </c>
      <c r="I25" s="67" t="str">
        <f aca="false">IF(OR(G25="",H25=""),"",H25/G25-1)</f>
        <v/>
      </c>
      <c r="J25" s="68" t="n">
        <v>46308</v>
      </c>
      <c r="K25" s="62" t="s">
        <v>213</v>
      </c>
      <c r="L25" s="69"/>
      <c r="M25" s="62" t="s">
        <v>213</v>
      </c>
      <c r="N25" s="69"/>
      <c r="O25" s="70" t="n">
        <f aca="true">IF(C25="","",TODAY()-C25)</f>
        <v>54</v>
      </c>
      <c r="P25" s="71"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69"/>
    </row>
    <row r="26" customFormat="false" ht="15" hidden="true" customHeight="true" outlineLevel="1" collapsed="false">
      <c r="A26" s="61" t="s">
        <v>239</v>
      </c>
      <c r="B26" s="73" t="s">
        <v>226</v>
      </c>
      <c r="C26" s="63" t="n">
        <v>46245</v>
      </c>
      <c r="D26" s="62"/>
      <c r="E26" s="62" t="n">
        <v>2.14</v>
      </c>
      <c r="F26" s="64"/>
      <c r="G26" s="65" t="n">
        <v>87.78</v>
      </c>
      <c r="H26" s="66" t="str">
        <f aca="false" t="array" ref="H26:H26">IFERROR(INDEX(_xlfn.stockhistory(A26,TODAY()-5,TODAY(),0,0,1),ROWS(_xlfn.stockhistory(A26,TODAY()-5,TODAY(),0,0,1)),1),"")</f>
        <v/>
      </c>
      <c r="I26" s="67" t="str">
        <f aca="false">IF(OR(G26="",H26=""),"",H26/G26-1)</f>
        <v/>
      </c>
      <c r="J26" s="68" t="n">
        <v>46328</v>
      </c>
      <c r="K26" s="62" t="s">
        <v>214</v>
      </c>
      <c r="L26" s="69" t="s">
        <v>240</v>
      </c>
      <c r="M26" s="62" t="s">
        <v>213</v>
      </c>
      <c r="N26" s="69"/>
      <c r="O26" s="70" t="n">
        <f aca="true">IF(C26="","",TODAY()-C26)</f>
        <v>54</v>
      </c>
      <c r="P26" s="71"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69"/>
    </row>
    <row r="27" customFormat="false" ht="15" hidden="false" customHeight="true" outlineLevel="0" collapsed="false">
      <c r="A27" s="61" t="s">
        <v>241</v>
      </c>
      <c r="B27" s="72" t="s">
        <v>232</v>
      </c>
      <c r="C27" s="63" t="n">
        <v>46276</v>
      </c>
      <c r="D27" s="62"/>
      <c r="E27" s="62" t="n">
        <v>3.07</v>
      </c>
      <c r="F27" s="64"/>
      <c r="G27" s="65" t="n">
        <v>20.78</v>
      </c>
      <c r="H27" s="66" t="str">
        <f aca="false" t="array" ref="H27:H27">IFERROR(INDEX(_xlfn.stockhistory(A27,TODAY()-5,TODAY(),0,0,1),ROWS(_xlfn.stockhistory(A27,TODAY()-5,TODAY(),0,0,1)),1),"")</f>
        <v/>
      </c>
      <c r="I27" s="67" t="str">
        <f aca="false">IF(OR(G27="",H27=""),"",H27/G27-1)</f>
        <v/>
      </c>
      <c r="J27" s="68" t="n">
        <v>46329</v>
      </c>
      <c r="K27" s="62" t="s">
        <v>214</v>
      </c>
      <c r="L27" s="69" t="s">
        <v>242</v>
      </c>
      <c r="M27" s="62" t="s">
        <v>213</v>
      </c>
      <c r="N27" s="69"/>
      <c r="O27" s="70" t="n">
        <f aca="true">IF(C27="","",TODAY()-C27)</f>
        <v>23</v>
      </c>
      <c r="P27" s="71"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69"/>
    </row>
    <row r="28" customFormat="false" ht="15" hidden="false" customHeight="true" outlineLevel="0" collapsed="false">
      <c r="A28" s="61" t="s">
        <v>243</v>
      </c>
      <c r="B28" s="72" t="s">
        <v>232</v>
      </c>
      <c r="C28" s="63" t="n">
        <v>46247</v>
      </c>
      <c r="D28" s="62"/>
      <c r="E28" s="62" t="n">
        <v>3.5</v>
      </c>
      <c r="F28" s="64"/>
      <c r="G28" s="65" t="n">
        <v>453.33</v>
      </c>
      <c r="H28" s="66" t="str">
        <f aca="false" t="array" ref="H28:H28">IFERROR(INDEX(_xlfn.stockhistory(A28,TODAY()-5,TODAY(),0,0,1),ROWS(_xlfn.stockhistory(A28,TODAY()-5,TODAY(),0,0,1)),1),"")</f>
        <v/>
      </c>
      <c r="I28" s="67" t="str">
        <f aca="false">IF(OR(G28="",H28=""),"",H28/G28-1)</f>
        <v/>
      </c>
      <c r="J28" s="68" t="n">
        <v>46329</v>
      </c>
      <c r="K28" s="62" t="s">
        <v>214</v>
      </c>
      <c r="L28" s="69" t="s">
        <v>244</v>
      </c>
      <c r="M28" s="62" t="s">
        <v>213</v>
      </c>
      <c r="N28" s="69"/>
      <c r="O28" s="70" t="n">
        <f aca="true">IF(C28="","",TODAY()-C28)</f>
        <v>52</v>
      </c>
      <c r="P28" s="71"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69"/>
    </row>
    <row r="29" customFormat="false" ht="15" hidden="false" customHeight="true" outlineLevel="0" collapsed="false">
      <c r="A29" s="61" t="s">
        <v>245</v>
      </c>
      <c r="B29" s="72" t="s">
        <v>232</v>
      </c>
      <c r="C29" s="63" t="n">
        <v>46246</v>
      </c>
      <c r="D29" s="62"/>
      <c r="E29" s="62" t="n">
        <v>3.43</v>
      </c>
      <c r="F29" s="64"/>
      <c r="G29" s="65" t="n">
        <v>79.63</v>
      </c>
      <c r="H29" s="66" t="str">
        <f aca="false" t="array" ref="H29:H29">IFERROR(INDEX(_xlfn.stockhistory(A29,TODAY()-5,TODAY(),0,0,1),ROWS(_xlfn.stockhistory(A29,TODAY()-5,TODAY(),0,0,1)),1),"")</f>
        <v/>
      </c>
      <c r="I29" s="67" t="str">
        <f aca="false">IF(OR(G29="",H29=""),"",H29/G29-1)</f>
        <v/>
      </c>
      <c r="J29" s="68" t="n">
        <v>46330</v>
      </c>
      <c r="K29" s="62" t="s">
        <v>214</v>
      </c>
      <c r="L29" s="69" t="s">
        <v>246</v>
      </c>
      <c r="M29" s="62" t="s">
        <v>213</v>
      </c>
      <c r="N29" s="69"/>
      <c r="O29" s="70" t="n">
        <f aca="true">IF(C29="","",TODAY()-C29)</f>
        <v>53</v>
      </c>
      <c r="P29" s="71"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69"/>
    </row>
    <row r="30" customFormat="false" ht="15" hidden="false" customHeight="true" outlineLevel="0" collapsed="false">
      <c r="A30" s="61" t="s">
        <v>140</v>
      </c>
      <c r="B30" s="72" t="s">
        <v>211</v>
      </c>
      <c r="C30" s="63" t="n">
        <v>46247</v>
      </c>
      <c r="D30" s="62"/>
      <c r="E30" s="62" t="n">
        <v>3.86</v>
      </c>
      <c r="F30" s="64"/>
      <c r="G30" s="65" t="n">
        <v>360.64</v>
      </c>
      <c r="H30" s="66" t="str">
        <f aca="false" t="array" ref="H30:H30">IFERROR(INDEX(_xlfn.stockhistory(A30,TODAY()-5,TODAY(),0,0,1),ROWS(_xlfn.stockhistory(A30,TODAY()-5,TODAY(),0,0,1)),1),"")</f>
        <v/>
      </c>
      <c r="I30" s="67" t="str">
        <f aca="false">IF(OR(G30="",H30=""),"",H30/G30-1)</f>
        <v/>
      </c>
      <c r="J30" s="68" t="n">
        <v>46315</v>
      </c>
      <c r="K30" s="62" t="s">
        <v>214</v>
      </c>
      <c r="L30" s="69" t="s">
        <v>247</v>
      </c>
      <c r="M30" s="62" t="s">
        <v>213</v>
      </c>
      <c r="N30" s="69"/>
      <c r="O30" s="70" t="n">
        <f aca="true">IF(C30="","",TODAY()-C30)</f>
        <v>52</v>
      </c>
      <c r="P30" s="71"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69"/>
    </row>
    <row r="31" customFormat="false" ht="15" hidden="true" customHeight="true" outlineLevel="1" collapsed="false">
      <c r="A31" s="61" t="s">
        <v>248</v>
      </c>
      <c r="B31" s="73" t="s">
        <v>226</v>
      </c>
      <c r="C31" s="63" t="n">
        <v>46246</v>
      </c>
      <c r="D31" s="62"/>
      <c r="E31" s="62" t="n">
        <v>2.5</v>
      </c>
      <c r="F31" s="64"/>
      <c r="G31" s="65" t="n">
        <v>8.64</v>
      </c>
      <c r="H31" s="66" t="str">
        <f aca="false" t="array" ref="H31:H31">IFERROR(INDEX(_xlfn.stockhistory(A31,TODAY()-5,TODAY(),0,0,1),ROWS(_xlfn.stockhistory(A31,TODAY()-5,TODAY(),0,0,1)),1),"")</f>
        <v/>
      </c>
      <c r="I31" s="67" t="str">
        <f aca="false">IF(OR(G31="",H31=""),"",H31/G31-1)</f>
        <v/>
      </c>
      <c r="J31" s="68" t="n">
        <v>46331</v>
      </c>
      <c r="K31" s="62" t="s">
        <v>213</v>
      </c>
      <c r="L31" s="69"/>
      <c r="M31" s="62"/>
      <c r="N31" s="69"/>
      <c r="O31" s="70" t="n">
        <f aca="true">IF(C31="","",TODAY()-C31)</f>
        <v>53</v>
      </c>
      <c r="P31" s="71"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69"/>
    </row>
    <row r="32" customFormat="false" ht="15" hidden="true" customHeight="true" outlineLevel="1" collapsed="false">
      <c r="A32" s="61" t="s">
        <v>249</v>
      </c>
      <c r="B32" s="73" t="s">
        <v>226</v>
      </c>
      <c r="C32" s="63" t="n">
        <v>46245</v>
      </c>
      <c r="D32" s="62"/>
      <c r="E32" s="62" t="n">
        <v>1.93</v>
      </c>
      <c r="F32" s="64"/>
      <c r="G32" s="65" t="n">
        <v>24.3</v>
      </c>
      <c r="H32" s="66" t="str">
        <f aca="false" t="array" ref="H32:H32">IFERROR(INDEX(_xlfn.stockhistory(A32,TODAY()-5,TODAY(),0,0,1),ROWS(_xlfn.stockhistory(A32,TODAY()-5,TODAY(),0,0,1)),1),"")</f>
        <v/>
      </c>
      <c r="I32" s="67" t="str">
        <f aca="false">IF(OR(G32="",H32=""),"",H32/G32-1)</f>
        <v/>
      </c>
      <c r="J32" s="68" t="n">
        <v>46261</v>
      </c>
      <c r="K32" s="62" t="s">
        <v>213</v>
      </c>
      <c r="L32" s="69"/>
      <c r="M32" s="62" t="s">
        <v>213</v>
      </c>
      <c r="N32" s="69"/>
      <c r="O32" s="70" t="n">
        <f aca="true">IF(C32="","",TODAY()-C32)</f>
        <v>54</v>
      </c>
      <c r="P32" s="71"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69"/>
    </row>
    <row r="33" customFormat="false" ht="15" hidden="true" customHeight="true" outlineLevel="1" collapsed="false">
      <c r="A33" s="61" t="s">
        <v>250</v>
      </c>
      <c r="B33" s="73" t="s">
        <v>226</v>
      </c>
      <c r="C33" s="63" t="n">
        <v>46245</v>
      </c>
      <c r="D33" s="62"/>
      <c r="E33" s="62" t="n">
        <v>2.07</v>
      </c>
      <c r="F33" s="64"/>
      <c r="G33" s="65" t="n">
        <v>21.48</v>
      </c>
      <c r="H33" s="66" t="str">
        <f aca="false" t="array" ref="H33:H33">IFERROR(INDEX(_xlfn.stockhistory(A33,TODAY()-5,TODAY(),0,0,1),ROWS(_xlfn.stockhistory(A33,TODAY()-5,TODAY(),0,0,1)),1),"")</f>
        <v/>
      </c>
      <c r="I33" s="67" t="str">
        <f aca="false">IF(OR(G33="",H33=""),"",H33/G33-1)</f>
        <v/>
      </c>
      <c r="J33" s="68" t="n">
        <v>46309</v>
      </c>
      <c r="K33" s="62" t="s">
        <v>214</v>
      </c>
      <c r="L33" s="69" t="s">
        <v>251</v>
      </c>
      <c r="M33" s="62" t="s">
        <v>213</v>
      </c>
      <c r="N33" s="69"/>
      <c r="O33" s="70" t="n">
        <f aca="true">IF(C33="","",TODAY()-C33)</f>
        <v>54</v>
      </c>
      <c r="P33" s="71"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69"/>
    </row>
    <row r="34" customFormat="false" ht="15" hidden="false" customHeight="true" outlineLevel="0" collapsed="false">
      <c r="A34" s="61" t="s">
        <v>252</v>
      </c>
      <c r="B34" s="72" t="s">
        <v>232</v>
      </c>
      <c r="C34" s="63" t="n">
        <v>46245</v>
      </c>
      <c r="D34" s="62"/>
      <c r="E34" s="62" t="n">
        <v>4.5</v>
      </c>
      <c r="F34" s="64"/>
      <c r="G34" s="65" t="n">
        <v>490.53</v>
      </c>
      <c r="H34" s="66" t="str">
        <f aca="false" t="array" ref="H34:H34">IFERROR(INDEX(_xlfn.stockhistory(A34,TODAY()-5,TODAY(),0,0,1),ROWS(_xlfn.stockhistory(A34,TODAY()-5,TODAY(),0,0,1)),1),"")</f>
        <v/>
      </c>
      <c r="I34" s="67" t="str">
        <f aca="false">IF(OR(G34="",H34=""),"",H34/G34-1)</f>
        <v/>
      </c>
      <c r="J34" s="68" t="n">
        <v>46325</v>
      </c>
      <c r="K34" s="62" t="s">
        <v>214</v>
      </c>
      <c r="L34" s="69" t="s">
        <v>253</v>
      </c>
      <c r="M34" s="62" t="s">
        <v>213</v>
      </c>
      <c r="N34" s="69"/>
      <c r="O34" s="70" t="n">
        <f aca="true">IF(C34="","",TODAY()-C34)</f>
        <v>54</v>
      </c>
      <c r="P34" s="71"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69"/>
    </row>
    <row r="35" customFormat="false" ht="15" hidden="true" customHeight="true" outlineLevel="1" collapsed="false">
      <c r="A35" s="61" t="s">
        <v>254</v>
      </c>
      <c r="B35" s="73" t="s">
        <v>226</v>
      </c>
      <c r="C35" s="63" t="n">
        <v>46245</v>
      </c>
      <c r="D35" s="62"/>
      <c r="E35" s="62" t="n">
        <v>2.5</v>
      </c>
      <c r="F35" s="64"/>
      <c r="G35" s="65" t="n">
        <v>85.74</v>
      </c>
      <c r="H35" s="66" t="str">
        <f aca="false" t="array" ref="H35:H35">IFERROR(INDEX(_xlfn.stockhistory(A35,TODAY()-5,TODAY(),0,0,1),ROWS(_xlfn.stockhistory(A35,TODAY()-5,TODAY(),0,0,1)),1),"")</f>
        <v/>
      </c>
      <c r="I35" s="67" t="str">
        <f aca="false">IF(OR(G35="",H35=""),"",H35/G35-1)</f>
        <v/>
      </c>
      <c r="J35" s="68" t="n">
        <v>46322</v>
      </c>
      <c r="K35" s="62" t="s">
        <v>213</v>
      </c>
      <c r="L35" s="69"/>
      <c r="M35" s="62" t="s">
        <v>213</v>
      </c>
      <c r="N35" s="69"/>
      <c r="O35" s="70" t="n">
        <f aca="true">IF(C35="","",TODAY()-C35)</f>
        <v>54</v>
      </c>
      <c r="P35" s="71"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69"/>
    </row>
    <row r="36" customFormat="false" ht="15" hidden="false" customHeight="true" outlineLevel="0" collapsed="false">
      <c r="A36" s="61" t="s">
        <v>143</v>
      </c>
      <c r="B36" s="72" t="s">
        <v>211</v>
      </c>
      <c r="C36" s="63" t="n">
        <v>46258</v>
      </c>
      <c r="D36" s="62"/>
      <c r="E36" s="62" t="n">
        <v>4.21</v>
      </c>
      <c r="F36" s="64"/>
      <c r="G36" s="65" t="n">
        <v>80.01</v>
      </c>
      <c r="H36" s="66" t="str">
        <f aca="false" t="array" ref="H36:H36">IFERROR(INDEX(_xlfn.stockhistory(A36,TODAY()-5,TODAY(),0,0,1),ROWS(_xlfn.stockhistory(A36,TODAY()-5,TODAY(),0,0,1)),1),"")</f>
        <v/>
      </c>
      <c r="I36" s="67" t="str">
        <f aca="false">IF(OR(G36="",H36=""),"",H36/G36-1)</f>
        <v/>
      </c>
      <c r="J36" s="68" t="n">
        <v>46315</v>
      </c>
      <c r="K36" s="62" t="s">
        <v>214</v>
      </c>
      <c r="L36" s="69" t="s">
        <v>255</v>
      </c>
      <c r="M36" s="62" t="s">
        <v>213</v>
      </c>
      <c r="N36" s="69"/>
      <c r="O36" s="70" t="n">
        <f aca="true">IF(C36="","",TODAY()-C36)</f>
        <v>41</v>
      </c>
      <c r="P36" s="71"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69"/>
    </row>
    <row r="37" customFormat="false" ht="15" hidden="true" customHeight="true" outlineLevel="1" collapsed="false">
      <c r="A37" s="61" t="s">
        <v>256</v>
      </c>
      <c r="B37" s="73" t="s">
        <v>226</v>
      </c>
      <c r="C37" s="63" t="n">
        <v>46246</v>
      </c>
      <c r="D37" s="62"/>
      <c r="E37" s="62" t="n">
        <v>1.57</v>
      </c>
      <c r="F37" s="64"/>
      <c r="G37" s="65" t="n">
        <v>40.51</v>
      </c>
      <c r="H37" s="66" t="str">
        <f aca="false" t="array" ref="H37:H37">IFERROR(INDEX(_xlfn.stockhistory(A37,TODAY()-5,TODAY(),0,0,1),ROWS(_xlfn.stockhistory(A37,TODAY()-5,TODAY(),0,0,1)),1),"")</f>
        <v/>
      </c>
      <c r="I37" s="67" t="str">
        <f aca="false">IF(OR(G37="",H37=""),"",H37/G37-1)</f>
        <v/>
      </c>
      <c r="J37" s="68" t="n">
        <v>46373</v>
      </c>
      <c r="K37" s="62" t="s">
        <v>214</v>
      </c>
      <c r="L37" s="69" t="s">
        <v>257</v>
      </c>
      <c r="M37" s="62" t="s">
        <v>214</v>
      </c>
      <c r="N37" s="69" t="s">
        <v>258</v>
      </c>
      <c r="O37" s="70" t="n">
        <f aca="true">IF(C37="","",TODAY()-C37)</f>
        <v>53</v>
      </c>
      <c r="P37" s="71"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69"/>
    </row>
    <row r="38" customFormat="false" ht="15" hidden="true" customHeight="true" outlineLevel="1" collapsed="false">
      <c r="A38" s="61" t="s">
        <v>259</v>
      </c>
      <c r="B38" s="73" t="s">
        <v>226</v>
      </c>
      <c r="C38" s="63" t="n">
        <v>46245</v>
      </c>
      <c r="D38" s="62"/>
      <c r="E38" s="62" t="n">
        <v>2.64</v>
      </c>
      <c r="F38" s="64"/>
      <c r="G38" s="65" t="n">
        <v>21.02</v>
      </c>
      <c r="H38" s="66" t="str">
        <f aca="false" t="array" ref="H38:H38">IFERROR(INDEX(_xlfn.stockhistory(A38,TODAY()-5,TODAY(),0,0,1),ROWS(_xlfn.stockhistory(A38,TODAY()-5,TODAY(),0,0,1)),1),"")</f>
        <v/>
      </c>
      <c r="I38" s="67" t="str">
        <f aca="false">IF(OR(G38="",H38=""),"",H38/G38-1)</f>
        <v/>
      </c>
      <c r="J38" s="68" t="n">
        <v>46322</v>
      </c>
      <c r="K38" s="62" t="s">
        <v>214</v>
      </c>
      <c r="L38" s="69" t="s">
        <v>260</v>
      </c>
      <c r="M38" s="62" t="s">
        <v>214</v>
      </c>
      <c r="N38" s="69" t="s">
        <v>261</v>
      </c>
      <c r="O38" s="70" t="n">
        <f aca="true">IF(C38="","",TODAY()-C38)</f>
        <v>54</v>
      </c>
      <c r="P38" s="71"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69"/>
    </row>
    <row r="39" customFormat="false" ht="15" hidden="true" customHeight="true" outlineLevel="1" collapsed="false">
      <c r="A39" s="61" t="s">
        <v>184</v>
      </c>
      <c r="B39" s="73" t="s">
        <v>226</v>
      </c>
      <c r="C39" s="63" t="n">
        <v>46240</v>
      </c>
      <c r="D39" s="62"/>
      <c r="E39" s="62" t="n">
        <v>2.64</v>
      </c>
      <c r="F39" s="64"/>
      <c r="G39" s="65" t="n">
        <v>37.34</v>
      </c>
      <c r="H39" s="66" t="str">
        <f aca="false" t="array" ref="H39:H39">IFERROR(INDEX(_xlfn.stockhistory(A39,TODAY()-5,TODAY(),0,0,1),ROWS(_xlfn.stockhistory(A39,TODAY()-5,TODAY(),0,0,1)),1),"")</f>
        <v/>
      </c>
      <c r="I39" s="67" t="str">
        <f aca="false">IF(OR(G39="",H39=""),"",H39/G39-1)</f>
        <v/>
      </c>
      <c r="J39" s="68" t="n">
        <v>46337</v>
      </c>
      <c r="K39" s="62" t="s">
        <v>214</v>
      </c>
      <c r="L39" s="69" t="s">
        <v>262</v>
      </c>
      <c r="M39" s="62" t="s">
        <v>213</v>
      </c>
      <c r="N39" s="69"/>
      <c r="O39" s="70" t="n">
        <f aca="true">IF(C39="","",TODAY()-C39)</f>
        <v>59</v>
      </c>
      <c r="P39" s="71"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69"/>
    </row>
    <row r="40" customFormat="false" ht="15" hidden="false" customHeight="true" outlineLevel="0" collapsed="false">
      <c r="A40" s="61" t="s">
        <v>263</v>
      </c>
      <c r="B40" s="72" t="s">
        <v>232</v>
      </c>
      <c r="C40" s="63" t="n">
        <v>46245</v>
      </c>
      <c r="D40" s="62"/>
      <c r="E40" s="62" t="n">
        <v>4.21</v>
      </c>
      <c r="F40" s="64"/>
      <c r="G40" s="65" t="n">
        <v>145.21</v>
      </c>
      <c r="H40" s="66" t="str">
        <f aca="false" t="array" ref="H40:H40">IFERROR(INDEX(_xlfn.stockhistory(A40,TODAY()-5,TODAY(),0,0,1),ROWS(_xlfn.stockhistory(A40,TODAY()-5,TODAY(),0,0,1)),1),"")</f>
        <v/>
      </c>
      <c r="I40" s="67" t="str">
        <f aca="false">IF(OR(G40="",H40=""),"",H40/G40-1)</f>
        <v/>
      </c>
      <c r="J40" s="68" t="n">
        <v>46317</v>
      </c>
      <c r="K40" s="62" t="s">
        <v>214</v>
      </c>
      <c r="L40" s="69" t="s">
        <v>264</v>
      </c>
      <c r="M40" s="62" t="s">
        <v>213</v>
      </c>
      <c r="N40" s="69"/>
      <c r="O40" s="70" t="n">
        <f aca="true">IF(C40="","",TODAY()-C40)</f>
        <v>54</v>
      </c>
      <c r="P40" s="71"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69"/>
    </row>
    <row r="41" customFormat="false" ht="15" hidden="false" customHeight="true" outlineLevel="0" collapsed="false">
      <c r="A41" s="61" t="s">
        <v>265</v>
      </c>
      <c r="B41" s="72" t="s">
        <v>232</v>
      </c>
      <c r="C41" s="63" t="n">
        <v>46247</v>
      </c>
      <c r="D41" s="62"/>
      <c r="E41" s="62" t="n">
        <v>3.29</v>
      </c>
      <c r="F41" s="64"/>
      <c r="G41" s="65" t="n">
        <v>1058.87</v>
      </c>
      <c r="H41" s="66" t="str">
        <f aca="false" t="array" ref="H41:H41">IFERROR(INDEX(_xlfn.stockhistory(A41,TODAY()-5,TODAY(),0,0,1),ROWS(_xlfn.stockhistory(A41,TODAY()-5,TODAY(),0,0,1)),1),"")</f>
        <v/>
      </c>
      <c r="I41" s="67" t="str">
        <f aca="false">IF(OR(G41="",H41=""),"",H41/G41-1)</f>
        <v/>
      </c>
      <c r="J41" s="68" t="n">
        <v>46331</v>
      </c>
      <c r="K41" s="62" t="s">
        <v>214</v>
      </c>
      <c r="L41" s="69" t="s">
        <v>266</v>
      </c>
      <c r="M41" s="62" t="s">
        <v>213</v>
      </c>
      <c r="N41" s="69"/>
      <c r="O41" s="70" t="n">
        <f aca="true">IF(C41="","",TODAY()-C41)</f>
        <v>52</v>
      </c>
      <c r="P41" s="71"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69"/>
    </row>
    <row r="42" customFormat="false" ht="15" hidden="true" customHeight="true" outlineLevel="1" collapsed="false">
      <c r="A42" s="61" t="s">
        <v>267</v>
      </c>
      <c r="B42" s="69" t="s">
        <v>226</v>
      </c>
      <c r="C42" s="63" t="n">
        <v>46245</v>
      </c>
      <c r="D42" s="62"/>
      <c r="E42" s="62" t="n">
        <v>1.36</v>
      </c>
      <c r="F42" s="64"/>
      <c r="G42" s="65" t="n">
        <v>24.32</v>
      </c>
      <c r="H42" s="66" t="str">
        <f aca="false" t="array" ref="H42:H42">IFERROR(INDEX(_xlfn.stockhistory(A42,TODAY()-5,TODAY(),0,0,1),ROWS(_xlfn.stockhistory(A42,TODAY()-5,TODAY(),0,0,1)),1),"")</f>
        <v/>
      </c>
      <c r="I42" s="67" t="str">
        <f aca="false">IF(OR(G42="",H42=""),"",H42/G42-1)</f>
        <v/>
      </c>
      <c r="J42" s="68" t="n">
        <v>46331</v>
      </c>
      <c r="K42" s="62" t="s">
        <v>213</v>
      </c>
      <c r="L42" s="69"/>
      <c r="M42" s="62" t="s">
        <v>214</v>
      </c>
      <c r="N42" s="69" t="s">
        <v>268</v>
      </c>
      <c r="O42" s="70" t="n">
        <f aca="true">IF(C42="","",TODAY()-C42)</f>
        <v>54</v>
      </c>
      <c r="P42" s="71"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69"/>
    </row>
    <row r="43" customFormat="false" ht="15" hidden="true" customHeight="true" outlineLevel="1" collapsed="false">
      <c r="A43" s="74" t="s">
        <v>173</v>
      </c>
      <c r="B43" s="75" t="s">
        <v>226</v>
      </c>
      <c r="C43" s="76" t="n">
        <v>46240</v>
      </c>
      <c r="D43" s="77"/>
      <c r="E43" s="77" t="n">
        <v>1.86</v>
      </c>
      <c r="F43" s="64"/>
      <c r="G43" s="78" t="n">
        <v>87.2</v>
      </c>
      <c r="H43" s="79" t="str">
        <f aca="false" t="array" ref="H43:H43">IFERROR(INDEX(_xlfn.stockhistory(A43,TODAY()-5,TODAY(),0,0,1),ROWS(_xlfn.stockhistory(A43,TODAY()-5,TODAY(),0,0,1)),1),"")</f>
        <v/>
      </c>
      <c r="I43" s="19" t="str">
        <f aca="false">IF(OR(G43="",H43=""),"",H43/G43-1)</f>
        <v/>
      </c>
      <c r="J43" s="80" t="n">
        <v>46323</v>
      </c>
      <c r="K43" s="77" t="s">
        <v>214</v>
      </c>
      <c r="L43" s="75" t="s">
        <v>269</v>
      </c>
      <c r="M43" s="77" t="s">
        <v>213</v>
      </c>
      <c r="N43" s="75"/>
      <c r="O43" s="81" t="n">
        <f aca="true">IF(C43="","",TODAY()-C43)</f>
        <v>59</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5"/>
    </row>
    <row r="44" customFormat="false" ht="15" hidden="true" customHeight="true" outlineLevel="1" collapsed="false">
      <c r="A44" s="74" t="s">
        <v>176</v>
      </c>
      <c r="B44" s="75" t="s">
        <v>226</v>
      </c>
      <c r="C44" s="76" t="n">
        <v>46240</v>
      </c>
      <c r="D44" s="77"/>
      <c r="E44" s="77" t="n">
        <v>1.93</v>
      </c>
      <c r="F44" s="64"/>
      <c r="G44" s="78" t="n">
        <v>319.53</v>
      </c>
      <c r="H44" s="79" t="str">
        <f aca="false" t="array" ref="H44:H44">IFERROR(INDEX(_xlfn.stockhistory(A44,TODAY()-5,TODAY(),0,0,1),ROWS(_xlfn.stockhistory(A44,TODAY()-5,TODAY(),0,0,1)),1),"")</f>
        <v/>
      </c>
      <c r="I44" s="19" t="str">
        <f aca="false">IF(OR(G44="",H44=""),"",H44/G44-1)</f>
        <v/>
      </c>
      <c r="J44" s="80" t="n">
        <v>46316</v>
      </c>
      <c r="K44" s="77" t="s">
        <v>213</v>
      </c>
      <c r="L44" s="75"/>
      <c r="M44" s="77" t="s">
        <v>213</v>
      </c>
      <c r="N44" s="75"/>
      <c r="O44" s="81" t="n">
        <f aca="true">IF(C44="","",TODAY()-C44)</f>
        <v>59</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5"/>
    </row>
    <row r="45" customFormat="false" ht="15" hidden="false" customHeight="true" outlineLevel="0" collapsed="false">
      <c r="A45" s="74" t="s">
        <v>118</v>
      </c>
      <c r="B45" s="77" t="s">
        <v>211</v>
      </c>
      <c r="C45" s="76" t="n">
        <v>46245</v>
      </c>
      <c r="D45" s="77" t="n">
        <v>86.4</v>
      </c>
      <c r="E45" s="77" t="n">
        <v>4.57</v>
      </c>
      <c r="F45" s="64" t="s">
        <v>212</v>
      </c>
      <c r="G45" s="78" t="n">
        <v>362.82</v>
      </c>
      <c r="H45" s="79" t="str">
        <f aca="false" t="array" ref="H45:H45">IFERROR(INDEX(_xlfn.stockhistory(A45,TODAY()-5,TODAY(),0,0,1),ROWS(_xlfn.stockhistory(A45,TODAY()-5,TODAY(),0,0,1)),1),"")</f>
        <v/>
      </c>
      <c r="I45" s="19" t="str">
        <f aca="false">IF(OR(G45="",H45=""),"",H45/G45-1)</f>
        <v/>
      </c>
      <c r="J45" s="80" t="n">
        <v>46322</v>
      </c>
      <c r="K45" s="77" t="s">
        <v>214</v>
      </c>
      <c r="L45" s="75" t="s">
        <v>270</v>
      </c>
      <c r="M45" s="77" t="s">
        <v>213</v>
      </c>
      <c r="N45" s="75"/>
      <c r="O45" s="81" t="n">
        <f aca="true">IF(C45="","",TODAY()-C45)</f>
        <v>54</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5"/>
    </row>
    <row r="46" customFormat="false" ht="15" hidden="true" customHeight="true" outlineLevel="1" collapsed="false">
      <c r="A46" s="74" t="s">
        <v>271</v>
      </c>
      <c r="B46" s="75" t="s">
        <v>226</v>
      </c>
      <c r="C46" s="76" t="n">
        <v>46246</v>
      </c>
      <c r="D46" s="77"/>
      <c r="E46" s="77" t="n">
        <v>2.86</v>
      </c>
      <c r="F46" s="64"/>
      <c r="G46" s="78" t="n">
        <v>14.57</v>
      </c>
      <c r="H46" s="79" t="str">
        <f aca="false" t="array" ref="H46:H46">IFERROR(INDEX(_xlfn.stockhistory(A46,TODAY()-5,TODAY(),0,0,1),ROWS(_xlfn.stockhistory(A46,TODAY()-5,TODAY(),0,0,1)),1),"")</f>
        <v/>
      </c>
      <c r="I46" s="19" t="str">
        <f aca="false">IF(OR(G46="",H46=""),"",H46/G46-1)</f>
        <v/>
      </c>
      <c r="J46" s="80" t="n">
        <v>46321</v>
      </c>
      <c r="K46" s="77" t="s">
        <v>214</v>
      </c>
      <c r="L46" s="75" t="s">
        <v>272</v>
      </c>
      <c r="M46" s="77" t="s">
        <v>213</v>
      </c>
      <c r="N46" s="75"/>
      <c r="O46" s="81" t="n">
        <f aca="true">IF(C46="","",TODAY()-C46)</f>
        <v>53</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5"/>
    </row>
    <row r="47" customFormat="false" ht="15" hidden="false" customHeight="true" outlineLevel="0" collapsed="false">
      <c r="A47" s="74" t="s">
        <v>273</v>
      </c>
      <c r="B47" s="72" t="s">
        <v>232</v>
      </c>
      <c r="C47" s="76" t="n">
        <v>46245</v>
      </c>
      <c r="D47" s="77"/>
      <c r="E47" s="77" t="n">
        <v>4.29</v>
      </c>
      <c r="F47" s="64"/>
      <c r="G47" s="78" t="n">
        <v>144.75</v>
      </c>
      <c r="H47" s="79" t="str">
        <f aca="false" t="array" ref="H47:H47">IFERROR(INDEX(_xlfn.stockhistory(A47,TODAY()-5,TODAY(),0,0,1),ROWS(_xlfn.stockhistory(A47,TODAY()-5,TODAY(),0,0,1)),1),"")</f>
        <v/>
      </c>
      <c r="I47" s="19" t="str">
        <f aca="false">IF(OR(G47="",H47=""),"",H47/G47-1)</f>
        <v/>
      </c>
      <c r="J47" s="80" t="n">
        <v>46329</v>
      </c>
      <c r="K47" s="77" t="s">
        <v>214</v>
      </c>
      <c r="L47" s="75" t="s">
        <v>274</v>
      </c>
      <c r="M47" s="77" t="s">
        <v>213</v>
      </c>
      <c r="N47" s="75"/>
      <c r="O47" s="81" t="n">
        <f aca="true">IF(C47="","",TODAY()-C47)</f>
        <v>54</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5"/>
    </row>
    <row r="48" customFormat="false" ht="15" hidden="false" customHeight="true" outlineLevel="0" collapsed="false">
      <c r="A48" s="61" t="s">
        <v>275</v>
      </c>
      <c r="B48" s="72" t="s">
        <v>232</v>
      </c>
      <c r="C48" s="63" t="n">
        <v>46276</v>
      </c>
      <c r="D48" s="62"/>
      <c r="E48" s="62" t="n">
        <v>4</v>
      </c>
      <c r="F48" s="64"/>
      <c r="G48" s="65" t="n">
        <v>63.85</v>
      </c>
      <c r="H48" s="66" t="str">
        <f aca="false" t="array" ref="H48:H48">IFERROR(INDEX(_xlfn.stockhistory(A48,TODAY()-5,TODAY(),0,0,1),ROWS(_xlfn.stockhistory(A48,TODAY()-5,TODAY(),0,0,1)),1),"")</f>
        <v/>
      </c>
      <c r="I48" s="67" t="str">
        <f aca="false">IF(OR(G48="",H48=""),"",H48/G48-1)</f>
        <v/>
      </c>
      <c r="J48" s="68" t="n">
        <v>46329</v>
      </c>
      <c r="K48" s="62" t="s">
        <v>213</v>
      </c>
      <c r="L48" s="69"/>
      <c r="M48" s="62" t="s">
        <v>213</v>
      </c>
      <c r="N48" s="69"/>
      <c r="O48" s="70" t="n">
        <f aca="true">IF(C48="","",TODAY()-C48)</f>
        <v>23</v>
      </c>
      <c r="P48" s="71"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69" t="s">
        <v>276</v>
      </c>
    </row>
  </sheetData>
  <mergeCells count="1">
    <mergeCell ref="A1:Q1"/>
  </mergeCells>
  <conditionalFormatting sqref="F3:F47">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47">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3.5" customHeight="false" zeroHeight="false" outlineLevelRow="0" outlineLevelCol="0"/>
  <cols>
    <col collapsed="false" customWidth="true" hidden="false" outlineLevel="0" max="1" min="1" style="82" width="12"/>
    <col collapsed="false" customWidth="true" hidden="false" outlineLevel="0" max="2" min="2" style="82" width="6.67"/>
    <col collapsed="false" customWidth="true" hidden="false" outlineLevel="0" max="3" min="3" style="82" width="6.56"/>
    <col collapsed="false" customWidth="true" hidden="false" outlineLevel="0" max="5" min="4" style="82" width="7"/>
    <col collapsed="false" customWidth="true" hidden="false" outlineLevel="0" max="6" min="6" style="82" width="7.11"/>
    <col collapsed="false" customWidth="true" hidden="false" outlineLevel="0" max="7" min="7" style="82" width="6.56"/>
    <col collapsed="false" customWidth="true" hidden="false" outlineLevel="0" max="8" min="8" style="82" width="7"/>
    <col collapsed="false" customWidth="true" hidden="false" outlineLevel="0" max="9" min="9" style="82" width="6.77"/>
    <col collapsed="false" customWidth="true" hidden="false" outlineLevel="0" max="10" min="10" style="82" width="5.66"/>
    <col collapsed="false" customWidth="true" hidden="false" outlineLevel="0" max="11" min="11" style="82" width="6.11"/>
    <col collapsed="false" customWidth="true" hidden="false" outlineLevel="0" max="13" min="12" style="82" width="5.66"/>
    <col collapsed="false" customWidth="true" hidden="false" outlineLevel="0" max="14" min="14" style="82" width="6.56"/>
    <col collapsed="false" customWidth="true" hidden="false" outlineLevel="0" max="16" min="15" style="82" width="6.77"/>
    <col collapsed="false" customWidth="true" hidden="false" outlineLevel="0" max="17" min="17" style="82" width="6.56"/>
    <col collapsed="false" customWidth="true" hidden="false" outlineLevel="0" max="18" min="18" style="82" width="6.33"/>
    <col collapsed="false" customWidth="true" hidden="false" outlineLevel="0" max="19" min="19" style="82" width="6.77"/>
    <col collapsed="false" customWidth="true" hidden="false" outlineLevel="0" max="27" min="20" style="82" width="6.56"/>
    <col collapsed="false" customWidth="false" hidden="false" outlineLevel="0" max="16384" min="28" style="82" width="8.67"/>
  </cols>
  <sheetData>
    <row r="1" customFormat="false" ht="25.5" hidden="false" customHeight="true" outlineLevel="0" collapsed="false">
      <c r="A1" s="83" t="s">
        <v>277</v>
      </c>
      <c r="B1" s="84"/>
      <c r="C1" s="84"/>
      <c r="D1" s="84"/>
      <c r="E1" s="84"/>
      <c r="F1" s="84"/>
      <c r="G1" s="84"/>
      <c r="H1" s="84"/>
      <c r="I1" s="84"/>
      <c r="J1" s="84"/>
      <c r="K1" s="84"/>
      <c r="L1" s="84"/>
      <c r="M1" s="84"/>
      <c r="N1" s="84"/>
      <c r="O1" s="84"/>
      <c r="P1" s="84"/>
      <c r="Q1" s="84"/>
    </row>
    <row r="2" customFormat="false" ht="15" hidden="false" customHeight="true" outlineLevel="0" collapsed="false">
      <c r="A2" s="85" t="s">
        <v>278</v>
      </c>
      <c r="B2" s="85" t="s">
        <v>95</v>
      </c>
      <c r="C2" s="85" t="s">
        <v>100</v>
      </c>
      <c r="D2" s="85" t="s">
        <v>102</v>
      </c>
      <c r="E2" s="85" t="s">
        <v>165</v>
      </c>
      <c r="F2" s="85" t="s">
        <v>104</v>
      </c>
      <c r="G2" s="85" t="s">
        <v>106</v>
      </c>
      <c r="H2" s="85" t="s">
        <v>108</v>
      </c>
      <c r="I2" s="85" t="s">
        <v>110</v>
      </c>
      <c r="J2" s="85" t="s">
        <v>170</v>
      </c>
      <c r="K2" s="85" t="s">
        <v>112</v>
      </c>
      <c r="L2" s="85" t="s">
        <v>114</v>
      </c>
      <c r="M2" s="85" t="s">
        <v>116</v>
      </c>
      <c r="N2" s="85" t="s">
        <v>167</v>
      </c>
      <c r="O2" s="85" t="s">
        <v>156</v>
      </c>
      <c r="P2" s="85" t="s">
        <v>126</v>
      </c>
      <c r="Q2" s="85" t="s">
        <v>162</v>
      </c>
      <c r="R2" s="85" t="s">
        <v>152</v>
      </c>
      <c r="S2" s="85" t="s">
        <v>138</v>
      </c>
      <c r="T2" s="85" t="s">
        <v>129</v>
      </c>
      <c r="U2" s="85" t="s">
        <v>132</v>
      </c>
      <c r="V2" s="85" t="s">
        <v>118</v>
      </c>
      <c r="W2" s="85" t="s">
        <v>134</v>
      </c>
      <c r="X2" s="85" t="s">
        <v>136</v>
      </c>
      <c r="Y2" s="85" t="s">
        <v>187</v>
      </c>
      <c r="Z2" s="85" t="s">
        <v>140</v>
      </c>
      <c r="AA2" s="85" t="s">
        <v>143</v>
      </c>
    </row>
    <row r="3" customFormat="false" ht="15" hidden="false" customHeight="true" outlineLevel="0" collapsed="false">
      <c r="A3" s="86" t="n">
        <v>45184</v>
      </c>
      <c r="B3" s="87" t="n">
        <v>528.89</v>
      </c>
      <c r="C3" s="87" t="n">
        <v>46.18</v>
      </c>
      <c r="D3" s="87" t="n">
        <v>582.01</v>
      </c>
      <c r="E3" s="87" t="n">
        <v>82</v>
      </c>
      <c r="F3" s="87" t="n">
        <v>41.36</v>
      </c>
      <c r="G3" s="87" t="n">
        <v>44.35</v>
      </c>
      <c r="H3" s="87" t="n">
        <v>69.11</v>
      </c>
      <c r="I3" s="87" t="n">
        <v>43.77</v>
      </c>
      <c r="J3" s="87" t="n">
        <v>111.84</v>
      </c>
      <c r="K3" s="87" t="n">
        <v>15.33</v>
      </c>
      <c r="L3" s="87" t="n">
        <v>85.75</v>
      </c>
      <c r="M3" s="87" t="n">
        <v>38.02</v>
      </c>
      <c r="N3" s="87" t="n">
        <v>348.9</v>
      </c>
      <c r="O3" s="87" t="n">
        <v>75.31</v>
      </c>
      <c r="P3" s="87" t="n">
        <v>100.59</v>
      </c>
      <c r="Q3" s="87"/>
      <c r="R3" s="87" t="n">
        <v>34.48</v>
      </c>
      <c r="S3" s="87" t="n">
        <v>57.63</v>
      </c>
      <c r="T3" s="87" t="n">
        <v>25.24</v>
      </c>
      <c r="U3" s="87" t="n">
        <v>21.8</v>
      </c>
      <c r="V3" s="87" t="n">
        <v>235.63</v>
      </c>
      <c r="W3" s="87" t="n">
        <v>98.59</v>
      </c>
      <c r="X3" s="87"/>
      <c r="Y3" s="87" t="n">
        <v>43.23</v>
      </c>
      <c r="Z3" s="87" t="n">
        <v>90.68</v>
      </c>
      <c r="AA3" s="87" t="n">
        <v>39.69</v>
      </c>
    </row>
    <row r="4" customFormat="false" ht="15" hidden="false" customHeight="true" outlineLevel="0" collapsed="false">
      <c r="A4" s="68" t="n">
        <v>45191</v>
      </c>
      <c r="B4" s="65" t="n">
        <v>512.9</v>
      </c>
      <c r="C4" s="65" t="n">
        <v>45.08</v>
      </c>
      <c r="D4" s="65" t="n">
        <v>572.69</v>
      </c>
      <c r="E4" s="65" t="n">
        <v>80.26</v>
      </c>
      <c r="F4" s="65" t="n">
        <v>40.64</v>
      </c>
      <c r="G4" s="65" t="n">
        <v>44.12</v>
      </c>
      <c r="H4" s="65" t="n">
        <v>68.12</v>
      </c>
      <c r="I4" s="65" t="n">
        <v>41.49</v>
      </c>
      <c r="J4" s="65" t="n">
        <v>103.57</v>
      </c>
      <c r="K4" s="65" t="n">
        <v>14.13</v>
      </c>
      <c r="L4" s="65" t="n">
        <v>82.28</v>
      </c>
      <c r="M4" s="65" t="n">
        <v>36.31</v>
      </c>
      <c r="N4" s="65" t="n">
        <v>349.53</v>
      </c>
      <c r="O4" s="65" t="n">
        <v>73.11</v>
      </c>
      <c r="P4" s="65" t="n">
        <v>98.44</v>
      </c>
      <c r="Q4" s="65"/>
      <c r="R4" s="65" t="n">
        <v>33.55</v>
      </c>
      <c r="S4" s="65" t="n">
        <v>56.23</v>
      </c>
      <c r="T4" s="65" t="n">
        <v>24.87</v>
      </c>
      <c r="U4" s="65" t="n">
        <v>21.3</v>
      </c>
      <c r="V4" s="65" t="n">
        <v>229.78</v>
      </c>
      <c r="W4" s="65" t="n">
        <v>96.44</v>
      </c>
      <c r="X4" s="65"/>
      <c r="Y4" s="65" t="n">
        <v>42.42</v>
      </c>
      <c r="Z4" s="65" t="n">
        <v>87.35</v>
      </c>
      <c r="AA4" s="65" t="n">
        <v>37.98</v>
      </c>
    </row>
    <row r="5" customFormat="false" ht="15" hidden="false" customHeight="true" outlineLevel="0" collapsed="false">
      <c r="A5" s="68" t="n">
        <v>45198</v>
      </c>
      <c r="B5" s="65" t="n">
        <v>509.9</v>
      </c>
      <c r="C5" s="65" t="n">
        <v>45.98</v>
      </c>
      <c r="D5" s="65" t="n">
        <v>574.21</v>
      </c>
      <c r="E5" s="65" t="n">
        <v>80.41</v>
      </c>
      <c r="F5" s="65" t="n">
        <v>41.85</v>
      </c>
      <c r="G5" s="65" t="n">
        <v>44.79</v>
      </c>
      <c r="H5" s="65" t="n">
        <v>67.28</v>
      </c>
      <c r="I5" s="65" t="n">
        <v>43.37</v>
      </c>
      <c r="J5" s="65" t="n">
        <v>101.88</v>
      </c>
      <c r="K5" s="65" t="n">
        <v>16</v>
      </c>
      <c r="L5" s="65" t="n">
        <v>83.49</v>
      </c>
      <c r="M5" s="65" t="n">
        <v>37.06</v>
      </c>
      <c r="N5" s="65" t="n">
        <v>347.74</v>
      </c>
      <c r="O5" s="65" t="n">
        <v>74.31</v>
      </c>
      <c r="P5" s="65" t="n">
        <v>96.59</v>
      </c>
      <c r="Q5" s="65" t="n">
        <v>48.9</v>
      </c>
      <c r="R5" s="65" t="n">
        <v>33.57</v>
      </c>
      <c r="S5" s="65" t="n">
        <v>56.06</v>
      </c>
      <c r="T5" s="65" t="n">
        <v>24.94</v>
      </c>
      <c r="U5" s="65" t="n">
        <v>21.14</v>
      </c>
      <c r="V5" s="65" t="n">
        <v>224.82</v>
      </c>
      <c r="W5" s="65" t="n">
        <v>95.21</v>
      </c>
      <c r="X5" s="65"/>
      <c r="Y5" s="65" t="n">
        <v>41.95</v>
      </c>
      <c r="Z5" s="65" t="n">
        <v>86.86</v>
      </c>
      <c r="AA5" s="65" t="n">
        <v>37.76</v>
      </c>
    </row>
    <row r="6" customFormat="false" ht="15" hidden="false" customHeight="true" outlineLevel="0" collapsed="false">
      <c r="A6" s="68" t="n">
        <v>45205</v>
      </c>
      <c r="B6" s="65" t="n">
        <v>526.68</v>
      </c>
      <c r="C6" s="65" t="n">
        <v>48.51</v>
      </c>
      <c r="D6" s="65" t="n">
        <v>582.69</v>
      </c>
      <c r="E6" s="65" t="n">
        <v>81.83</v>
      </c>
      <c r="F6" s="65" t="n">
        <v>44.17</v>
      </c>
      <c r="G6" s="65" t="n">
        <v>45.7</v>
      </c>
      <c r="H6" s="65" t="n">
        <v>69.3</v>
      </c>
      <c r="I6" s="65" t="n">
        <v>45.63</v>
      </c>
      <c r="J6" s="65" t="n">
        <v>98.88</v>
      </c>
      <c r="K6" s="65" t="n">
        <v>16.61</v>
      </c>
      <c r="L6" s="65" t="n">
        <v>85.79</v>
      </c>
      <c r="M6" s="65" t="n">
        <v>39.62</v>
      </c>
      <c r="N6" s="65" t="n">
        <v>360.62</v>
      </c>
      <c r="O6" s="65" t="n">
        <v>72.07</v>
      </c>
      <c r="P6" s="65" t="n">
        <v>94.44</v>
      </c>
      <c r="Q6" s="65" t="n">
        <v>49.06</v>
      </c>
      <c r="R6" s="65" t="n">
        <v>34.01</v>
      </c>
      <c r="S6" s="65" t="n">
        <v>56.68</v>
      </c>
      <c r="T6" s="65" t="n">
        <v>24.47</v>
      </c>
      <c r="U6" s="65" t="n">
        <v>20.8</v>
      </c>
      <c r="V6" s="65" t="n">
        <v>229.74</v>
      </c>
      <c r="W6" s="65" t="n">
        <v>93.36</v>
      </c>
      <c r="X6" s="65"/>
      <c r="Y6" s="65" t="n">
        <v>41.8</v>
      </c>
      <c r="Z6" s="65" t="n">
        <v>87.59</v>
      </c>
      <c r="AA6" s="65" t="n">
        <v>38.15</v>
      </c>
    </row>
    <row r="7" customFormat="false" ht="15" hidden="false" customHeight="true" outlineLevel="0" collapsed="false">
      <c r="A7" s="68" t="n">
        <v>45212</v>
      </c>
      <c r="B7" s="65" t="n">
        <v>548.76</v>
      </c>
      <c r="C7" s="65" t="n">
        <v>47.46</v>
      </c>
      <c r="D7" s="65" t="n">
        <v>585.03</v>
      </c>
      <c r="E7" s="65" t="n">
        <v>85.5</v>
      </c>
      <c r="F7" s="65" t="n">
        <v>46.43</v>
      </c>
      <c r="G7" s="65" t="n">
        <v>47.54</v>
      </c>
      <c r="H7" s="65" t="n">
        <v>68.56</v>
      </c>
      <c r="I7" s="65" t="n">
        <v>45.33</v>
      </c>
      <c r="J7" s="65" t="n">
        <v>99.56</v>
      </c>
      <c r="K7" s="65" t="n">
        <v>17.36</v>
      </c>
      <c r="L7" s="65" t="n">
        <v>86.92</v>
      </c>
      <c r="M7" s="65" t="n">
        <v>38.95</v>
      </c>
      <c r="N7" s="65" t="n">
        <v>371</v>
      </c>
      <c r="O7" s="65" t="n">
        <v>72.26</v>
      </c>
      <c r="P7" s="65" t="n">
        <v>95.73</v>
      </c>
      <c r="Q7" s="65" t="n">
        <v>49.23</v>
      </c>
      <c r="R7" s="65" t="n">
        <v>34.1</v>
      </c>
      <c r="S7" s="65" t="n">
        <v>57</v>
      </c>
      <c r="T7" s="65" t="n">
        <v>24.82</v>
      </c>
      <c r="U7" s="65" t="n">
        <v>21.01</v>
      </c>
      <c r="V7" s="65" t="n">
        <v>232.31</v>
      </c>
      <c r="W7" s="65" t="n">
        <v>94.42</v>
      </c>
      <c r="X7" s="65"/>
      <c r="Y7" s="65" t="n">
        <v>42.16</v>
      </c>
      <c r="Z7" s="65" t="n">
        <v>85.94</v>
      </c>
      <c r="AA7" s="65" t="n">
        <v>35.57</v>
      </c>
    </row>
    <row r="8" customFormat="false" ht="15" hidden="false" customHeight="true" outlineLevel="0" collapsed="false">
      <c r="A8" s="68" t="n">
        <v>45219</v>
      </c>
      <c r="B8" s="65" t="n">
        <v>540.96</v>
      </c>
      <c r="C8" s="65" t="n">
        <v>46.53</v>
      </c>
      <c r="D8" s="65" t="n">
        <v>565.86</v>
      </c>
      <c r="E8" s="65" t="n">
        <v>82.64</v>
      </c>
      <c r="F8" s="65" t="n">
        <v>44.69</v>
      </c>
      <c r="G8" s="65" t="n">
        <v>45.16</v>
      </c>
      <c r="H8" s="65" t="n">
        <v>66.59</v>
      </c>
      <c r="I8" s="65" t="n">
        <v>41.26</v>
      </c>
      <c r="J8" s="65" t="n">
        <v>93</v>
      </c>
      <c r="K8" s="65" t="n">
        <v>16.11</v>
      </c>
      <c r="L8" s="65" t="n">
        <v>87.73</v>
      </c>
      <c r="M8" s="65" t="n">
        <v>36.6</v>
      </c>
      <c r="N8" s="65" t="n">
        <v>361.86</v>
      </c>
      <c r="O8" s="65" t="n">
        <v>71.05</v>
      </c>
      <c r="P8" s="65" t="n">
        <v>93.91</v>
      </c>
      <c r="Q8" s="65" t="n">
        <v>48.67</v>
      </c>
      <c r="R8" s="65" t="n">
        <v>33.43</v>
      </c>
      <c r="S8" s="65" t="n">
        <v>55.35</v>
      </c>
      <c r="T8" s="65" t="n">
        <v>24.51</v>
      </c>
      <c r="U8" s="65" t="n">
        <v>20.7</v>
      </c>
      <c r="V8" s="65" t="n">
        <v>228.12</v>
      </c>
      <c r="W8" s="65" t="n">
        <v>93.27</v>
      </c>
      <c r="X8" s="65"/>
      <c r="Y8" s="65" t="n">
        <v>41.54</v>
      </c>
      <c r="Z8" s="65" t="n">
        <v>83.35</v>
      </c>
      <c r="AA8" s="65" t="n">
        <v>40.1</v>
      </c>
    </row>
    <row r="9" customFormat="false" ht="15" hidden="false" customHeight="true" outlineLevel="0" collapsed="false">
      <c r="A9" s="68" t="n">
        <v>45226</v>
      </c>
      <c r="B9" s="65" t="n">
        <v>508.12</v>
      </c>
      <c r="C9" s="65" t="n">
        <v>44.05</v>
      </c>
      <c r="D9" s="65" t="n">
        <v>575.52</v>
      </c>
      <c r="E9" s="65" t="n">
        <v>81.16</v>
      </c>
      <c r="F9" s="65" t="n">
        <v>43.21</v>
      </c>
      <c r="G9" s="65" t="n">
        <v>44.72</v>
      </c>
      <c r="H9" s="65" t="n">
        <v>65.03</v>
      </c>
      <c r="I9" s="65" t="n">
        <v>40.38</v>
      </c>
      <c r="J9" s="65" t="n">
        <v>88.36</v>
      </c>
      <c r="K9" s="65" t="n">
        <v>15.07</v>
      </c>
      <c r="L9" s="65" t="n">
        <v>82.62</v>
      </c>
      <c r="M9" s="65" t="n">
        <v>36.28</v>
      </c>
      <c r="N9" s="65" t="n">
        <v>355.28</v>
      </c>
      <c r="O9" s="65" t="n">
        <v>69.95</v>
      </c>
      <c r="P9" s="65" t="n">
        <v>92.4</v>
      </c>
      <c r="Q9" s="65" t="n">
        <v>47.83</v>
      </c>
      <c r="R9" s="65" t="n">
        <v>32.73</v>
      </c>
      <c r="S9" s="65" t="n">
        <v>54.23</v>
      </c>
      <c r="T9" s="65" t="n">
        <v>23.7</v>
      </c>
      <c r="U9" s="65" t="n">
        <v>19.99</v>
      </c>
      <c r="V9" s="65" t="n">
        <v>224.1</v>
      </c>
      <c r="W9" s="65" t="n">
        <v>90.96</v>
      </c>
      <c r="X9" s="65"/>
      <c r="Y9" s="65" t="n">
        <v>40.62</v>
      </c>
      <c r="Z9" s="65" t="n">
        <v>83.56</v>
      </c>
      <c r="AA9" s="65" t="n">
        <v>39.79</v>
      </c>
    </row>
    <row r="10" customFormat="false" ht="15" hidden="false" customHeight="true" outlineLevel="0" collapsed="false">
      <c r="A10" s="68" t="n">
        <v>45233</v>
      </c>
      <c r="B10" s="65" t="n">
        <v>563.66</v>
      </c>
      <c r="C10" s="65" t="n">
        <v>53.12</v>
      </c>
      <c r="D10" s="65" t="n">
        <v>628.24</v>
      </c>
      <c r="E10" s="65" t="n">
        <v>85.45</v>
      </c>
      <c r="F10" s="65" t="n">
        <v>47.06</v>
      </c>
      <c r="G10" s="65" t="n">
        <v>48.79</v>
      </c>
      <c r="H10" s="65" t="n">
        <v>71.9</v>
      </c>
      <c r="I10" s="65" t="n">
        <v>44.87</v>
      </c>
      <c r="J10" s="65" t="n">
        <v>96.74</v>
      </c>
      <c r="K10" s="65" t="n">
        <v>18.89</v>
      </c>
      <c r="L10" s="65" t="n">
        <v>88.19</v>
      </c>
      <c r="M10" s="65" t="n">
        <v>40.28</v>
      </c>
      <c r="N10" s="65" t="n">
        <v>376.2</v>
      </c>
      <c r="O10" s="65" t="n">
        <v>74.96</v>
      </c>
      <c r="P10" s="65" t="n">
        <v>97.82</v>
      </c>
      <c r="Q10" s="65" t="n">
        <v>49.76</v>
      </c>
      <c r="R10" s="65" t="n">
        <v>34.61</v>
      </c>
      <c r="S10" s="65" t="n">
        <v>57.4</v>
      </c>
      <c r="T10" s="65" t="n">
        <v>25.09</v>
      </c>
      <c r="U10" s="65" t="n">
        <v>20.99</v>
      </c>
      <c r="V10" s="65" t="n">
        <v>238.11</v>
      </c>
      <c r="W10" s="65" t="n">
        <v>95.67</v>
      </c>
      <c r="X10" s="65"/>
      <c r="Y10" s="65" t="n">
        <v>42.55</v>
      </c>
      <c r="Z10" s="65" t="n">
        <v>85.58</v>
      </c>
      <c r="AA10" s="65" t="n">
        <v>43.24</v>
      </c>
    </row>
    <row r="11" customFormat="false" ht="15" hidden="false" customHeight="true" outlineLevel="0" collapsed="false">
      <c r="A11" s="68" t="n">
        <v>45240</v>
      </c>
      <c r="B11" s="65" t="n">
        <v>597.22</v>
      </c>
      <c r="C11" s="65" t="n">
        <v>51.71</v>
      </c>
      <c r="D11" s="65" t="n">
        <v>646.7</v>
      </c>
      <c r="E11" s="65" t="n">
        <v>92.69</v>
      </c>
      <c r="F11" s="65" t="n">
        <v>49.08</v>
      </c>
      <c r="G11" s="65" t="n">
        <v>52.17</v>
      </c>
      <c r="H11" s="65" t="n">
        <v>74.65</v>
      </c>
      <c r="I11" s="65" t="n">
        <v>48.19</v>
      </c>
      <c r="J11" s="65" t="n">
        <v>94.93</v>
      </c>
      <c r="K11" s="65" t="n">
        <v>19.67</v>
      </c>
      <c r="L11" s="65" t="n">
        <v>93.62</v>
      </c>
      <c r="M11" s="65" t="n">
        <v>41.67</v>
      </c>
      <c r="N11" s="65" t="n">
        <v>373.65</v>
      </c>
      <c r="O11" s="65" t="n">
        <v>72.4</v>
      </c>
      <c r="P11" s="65" t="n">
        <v>95.61</v>
      </c>
      <c r="Q11" s="65" t="n">
        <v>50.26</v>
      </c>
      <c r="R11" s="65" t="n">
        <v>35.33</v>
      </c>
      <c r="S11" s="65" t="n">
        <v>59.09</v>
      </c>
      <c r="T11" s="65" t="n">
        <v>24.93</v>
      </c>
      <c r="U11" s="65" t="n">
        <v>20.75</v>
      </c>
      <c r="V11" s="65" t="n">
        <v>240.23</v>
      </c>
      <c r="W11" s="65" t="n">
        <v>94.59</v>
      </c>
      <c r="X11" s="65"/>
      <c r="Y11" s="65" t="n">
        <v>42.72</v>
      </c>
      <c r="Z11" s="65" t="n">
        <v>90.57</v>
      </c>
      <c r="AA11" s="65" t="n">
        <v>44.72</v>
      </c>
    </row>
    <row r="12" customFormat="false" ht="15" hidden="false" customHeight="true" outlineLevel="0" collapsed="false">
      <c r="A12" s="68" t="n">
        <v>45247</v>
      </c>
      <c r="B12" s="65" t="n">
        <v>602.66</v>
      </c>
      <c r="C12" s="65" t="n">
        <v>53.66</v>
      </c>
      <c r="D12" s="65" t="n">
        <v>670.96</v>
      </c>
      <c r="E12" s="65" t="n">
        <v>94.65</v>
      </c>
      <c r="F12" s="65" t="n">
        <v>51.77</v>
      </c>
      <c r="G12" s="65" t="n">
        <v>53.32</v>
      </c>
      <c r="H12" s="65" t="n">
        <v>76.83</v>
      </c>
      <c r="I12" s="65" t="n">
        <v>49.15</v>
      </c>
      <c r="J12" s="65" t="n">
        <v>99.94</v>
      </c>
      <c r="K12" s="65" t="n">
        <v>20.49</v>
      </c>
      <c r="L12" s="65" t="n">
        <v>95.68</v>
      </c>
      <c r="M12" s="65" t="n">
        <v>43.12</v>
      </c>
      <c r="N12" s="65" t="n">
        <v>350.5</v>
      </c>
      <c r="O12" s="65" t="n">
        <v>76.42</v>
      </c>
      <c r="P12" s="65" t="n">
        <v>99</v>
      </c>
      <c r="Q12" s="65" t="n">
        <v>50.91</v>
      </c>
      <c r="R12" s="65" t="n">
        <v>35.66</v>
      </c>
      <c r="S12" s="65" t="n">
        <v>60.37</v>
      </c>
      <c r="T12" s="65" t="n">
        <v>25.57</v>
      </c>
      <c r="U12" s="65" t="n">
        <v>21.25</v>
      </c>
      <c r="V12" s="65" t="n">
        <v>244.45</v>
      </c>
      <c r="W12" s="65" t="n">
        <v>97.01</v>
      </c>
      <c r="X12" s="65"/>
      <c r="Y12" s="65" t="n">
        <v>43.09</v>
      </c>
      <c r="Z12" s="65" t="n">
        <v>94.23</v>
      </c>
      <c r="AA12" s="65" t="n">
        <v>46.59</v>
      </c>
    </row>
    <row r="13" customFormat="false" ht="15" hidden="false" customHeight="true" outlineLevel="0" collapsed="false">
      <c r="A13" s="68" t="n">
        <v>45254</v>
      </c>
      <c r="B13" s="65" t="n">
        <v>619.43</v>
      </c>
      <c r="C13" s="65" t="n">
        <v>54.6</v>
      </c>
      <c r="D13" s="65" t="n">
        <v>675.94</v>
      </c>
      <c r="E13" s="65" t="n">
        <v>94.76</v>
      </c>
      <c r="F13" s="65" t="n">
        <v>52.67</v>
      </c>
      <c r="G13" s="65" t="n">
        <v>54.41</v>
      </c>
      <c r="H13" s="65" t="n">
        <v>76.15</v>
      </c>
      <c r="I13" s="65" t="n">
        <v>47.63</v>
      </c>
      <c r="J13" s="65" t="n">
        <v>101.69</v>
      </c>
      <c r="K13" s="65" t="n">
        <v>19.2</v>
      </c>
      <c r="L13" s="65" t="n">
        <v>94</v>
      </c>
      <c r="M13" s="65" t="n">
        <v>42.52</v>
      </c>
      <c r="N13" s="65" t="n">
        <v>353.04</v>
      </c>
      <c r="O13" s="65" t="n">
        <v>76.43</v>
      </c>
      <c r="P13" s="65" t="n">
        <v>99.35</v>
      </c>
      <c r="Q13" s="65" t="n">
        <v>51.13</v>
      </c>
      <c r="R13" s="65" t="n">
        <v>35.85</v>
      </c>
      <c r="S13" s="65" t="n">
        <v>60.7</v>
      </c>
      <c r="T13" s="65" t="n">
        <v>25.75</v>
      </c>
      <c r="U13" s="65" t="n">
        <v>21.45</v>
      </c>
      <c r="V13" s="65" t="n">
        <v>249.1</v>
      </c>
      <c r="W13" s="65" t="n">
        <v>97.69</v>
      </c>
      <c r="X13" s="65"/>
      <c r="Y13" s="65" t="n">
        <v>43.42</v>
      </c>
      <c r="Z13" s="65" t="n">
        <v>94.27</v>
      </c>
      <c r="AA13" s="65" t="n">
        <v>47.96</v>
      </c>
    </row>
    <row r="14" customFormat="false" ht="15" hidden="false" customHeight="true" outlineLevel="0" collapsed="false">
      <c r="A14" s="68" t="n">
        <v>45261</v>
      </c>
      <c r="B14" s="65" t="n">
        <v>612.47</v>
      </c>
      <c r="C14" s="65" t="n">
        <v>54.16</v>
      </c>
      <c r="D14" s="65" t="n">
        <v>676.94</v>
      </c>
      <c r="E14" s="65" t="n">
        <v>90.03</v>
      </c>
      <c r="F14" s="65" t="n">
        <v>58.76</v>
      </c>
      <c r="G14" s="65" t="n">
        <v>53.76</v>
      </c>
      <c r="H14" s="65" t="n">
        <v>75.22</v>
      </c>
      <c r="I14" s="65" t="n">
        <v>46.63</v>
      </c>
      <c r="J14" s="65" t="n">
        <v>107.37</v>
      </c>
      <c r="K14" s="65" t="n">
        <v>20.27</v>
      </c>
      <c r="L14" s="65" t="n">
        <v>94.69</v>
      </c>
      <c r="M14" s="65" t="n">
        <v>44.97</v>
      </c>
      <c r="N14" s="65" t="n">
        <v>351.16</v>
      </c>
      <c r="O14" s="65" t="n">
        <v>78.99</v>
      </c>
      <c r="P14" s="65" t="n">
        <v>102.26</v>
      </c>
      <c r="Q14" s="65" t="n">
        <v>51.18</v>
      </c>
      <c r="R14" s="65" t="n">
        <v>35.92</v>
      </c>
      <c r="S14" s="65" t="n">
        <v>60.57</v>
      </c>
      <c r="T14" s="65" t="n">
        <v>26.1</v>
      </c>
      <c r="U14" s="65" t="n">
        <v>21.85</v>
      </c>
      <c r="V14" s="65" t="n">
        <v>251.2</v>
      </c>
      <c r="W14" s="65" t="n">
        <v>99.38</v>
      </c>
      <c r="X14" s="65"/>
      <c r="Y14" s="65" t="n">
        <v>43.62</v>
      </c>
      <c r="Z14" s="65" t="n">
        <v>96.25</v>
      </c>
      <c r="AA14" s="65" t="n">
        <v>46.57</v>
      </c>
    </row>
    <row r="15" customFormat="false" ht="15" hidden="false" customHeight="true" outlineLevel="0" collapsed="false">
      <c r="A15" s="68" t="n">
        <v>45268</v>
      </c>
      <c r="B15" s="65" t="n">
        <v>610.01</v>
      </c>
      <c r="C15" s="65" t="n">
        <v>56.01</v>
      </c>
      <c r="D15" s="65" t="n">
        <v>681.07</v>
      </c>
      <c r="E15" s="65" t="n">
        <v>91.41</v>
      </c>
      <c r="F15" s="65" t="n">
        <v>60.64</v>
      </c>
      <c r="G15" s="65" t="n">
        <v>52.33</v>
      </c>
      <c r="H15" s="65" t="n">
        <v>74.26</v>
      </c>
      <c r="I15" s="65" t="n">
        <v>47.37</v>
      </c>
      <c r="J15" s="65" t="n">
        <v>108.82</v>
      </c>
      <c r="K15" s="65" t="n">
        <v>17.77</v>
      </c>
      <c r="L15" s="65" t="n">
        <v>96.42</v>
      </c>
      <c r="M15" s="65" t="n">
        <v>46.98</v>
      </c>
      <c r="N15" s="65" t="n">
        <v>350.15</v>
      </c>
      <c r="O15" s="65" t="n">
        <v>79.65</v>
      </c>
      <c r="P15" s="65" t="n">
        <v>102.48</v>
      </c>
      <c r="Q15" s="65" t="n">
        <v>51.37</v>
      </c>
      <c r="R15" s="65" t="n">
        <v>36.18</v>
      </c>
      <c r="S15" s="65" t="n">
        <v>60.79</v>
      </c>
      <c r="T15" s="65" t="n">
        <v>26.33</v>
      </c>
      <c r="U15" s="65" t="n">
        <v>21.89</v>
      </c>
      <c r="V15" s="65" t="n">
        <v>250.51</v>
      </c>
      <c r="W15" s="65" t="n">
        <v>99.15</v>
      </c>
      <c r="X15" s="65"/>
      <c r="Y15" s="65" t="n">
        <v>43.49</v>
      </c>
      <c r="Z15" s="65" t="n">
        <v>94.75</v>
      </c>
      <c r="AA15" s="65" t="n">
        <v>45.38</v>
      </c>
    </row>
    <row r="16" customFormat="false" ht="15" hidden="false" customHeight="true" outlineLevel="0" collapsed="false">
      <c r="A16" s="68" t="n">
        <v>45275</v>
      </c>
      <c r="B16" s="65" t="n">
        <v>584.68</v>
      </c>
      <c r="C16" s="65" t="n">
        <v>58.9</v>
      </c>
      <c r="D16" s="65" t="n">
        <v>736.36</v>
      </c>
      <c r="E16" s="65" t="n">
        <v>109.37</v>
      </c>
      <c r="F16" s="65" t="n">
        <v>65.02</v>
      </c>
      <c r="G16" s="65" t="n">
        <v>57.29</v>
      </c>
      <c r="H16" s="65" t="n">
        <v>80.64</v>
      </c>
      <c r="I16" s="65" t="n">
        <v>48.75</v>
      </c>
      <c r="J16" s="65" t="n">
        <v>122.68</v>
      </c>
      <c r="K16" s="65" t="n">
        <v>18.2</v>
      </c>
      <c r="L16" s="65" t="n">
        <v>98.99</v>
      </c>
      <c r="M16" s="65" t="n">
        <v>47.57</v>
      </c>
      <c r="N16" s="65" t="n">
        <v>410.68</v>
      </c>
      <c r="O16" s="65" t="n">
        <v>84.02</v>
      </c>
      <c r="P16" s="65" t="n">
        <v>105.54</v>
      </c>
      <c r="Q16" s="65" t="n">
        <v>51.84</v>
      </c>
      <c r="R16" s="65" t="n">
        <v>36.73</v>
      </c>
      <c r="S16" s="65" t="n">
        <v>62.87</v>
      </c>
      <c r="T16" s="65" t="n">
        <v>27.06</v>
      </c>
      <c r="U16" s="65" t="n">
        <v>22.77</v>
      </c>
      <c r="V16" s="65" t="n">
        <v>252.75</v>
      </c>
      <c r="W16" s="65" t="n">
        <v>102.56</v>
      </c>
      <c r="X16" s="65"/>
      <c r="Y16" s="65" t="n">
        <v>44.02</v>
      </c>
      <c r="Z16" s="65" t="n">
        <v>96.83</v>
      </c>
      <c r="AA16" s="65" t="n">
        <v>47.21</v>
      </c>
    </row>
    <row r="17" customFormat="false" ht="15" hidden="false" customHeight="true" outlineLevel="0" collapsed="false">
      <c r="A17" s="68" t="n">
        <v>45282</v>
      </c>
      <c r="B17" s="65" t="n">
        <v>598.75</v>
      </c>
      <c r="C17" s="65" t="n">
        <v>59.56</v>
      </c>
      <c r="D17" s="65" t="n">
        <v>735.94</v>
      </c>
      <c r="E17" s="65" t="n">
        <v>109.11</v>
      </c>
      <c r="F17" s="65" t="n">
        <v>63.91</v>
      </c>
      <c r="G17" s="65" t="n">
        <v>57.05</v>
      </c>
      <c r="H17" s="65" t="n">
        <v>85.68</v>
      </c>
      <c r="I17" s="65" t="n">
        <v>48.69</v>
      </c>
      <c r="J17" s="65" t="n">
        <v>120.98</v>
      </c>
      <c r="K17" s="65" t="n">
        <v>17.41</v>
      </c>
      <c r="L17" s="65" t="n">
        <v>99.57</v>
      </c>
      <c r="M17" s="65" t="n">
        <v>48.62</v>
      </c>
      <c r="N17" s="65" t="n">
        <v>405.25</v>
      </c>
      <c r="O17" s="65" t="n">
        <v>86.35</v>
      </c>
      <c r="P17" s="65" t="n">
        <v>105.82</v>
      </c>
      <c r="Q17" s="65" t="n">
        <v>51.9</v>
      </c>
      <c r="R17" s="65" t="n">
        <v>36.84</v>
      </c>
      <c r="S17" s="65" t="n">
        <v>63.81</v>
      </c>
      <c r="T17" s="65" t="n">
        <v>27.39</v>
      </c>
      <c r="U17" s="65" t="n">
        <v>22.89</v>
      </c>
      <c r="V17" s="65" t="n">
        <v>253.14</v>
      </c>
      <c r="W17" s="65" t="n">
        <v>103.26</v>
      </c>
      <c r="X17" s="65"/>
      <c r="Y17" s="65" t="n">
        <v>44.08</v>
      </c>
      <c r="Z17" s="65" t="n">
        <v>99.55</v>
      </c>
      <c r="AA17" s="65" t="n">
        <v>48.68</v>
      </c>
    </row>
    <row r="18" customFormat="false" ht="15" hidden="false" customHeight="true" outlineLevel="0" collapsed="false">
      <c r="A18" s="68" t="n">
        <v>45289</v>
      </c>
      <c r="B18" s="65" t="n">
        <v>596.6</v>
      </c>
      <c r="C18" s="65" t="n">
        <v>58.88</v>
      </c>
      <c r="D18" s="65" t="n">
        <v>740.23</v>
      </c>
      <c r="E18" s="65" t="n">
        <v>108.56</v>
      </c>
      <c r="F18" s="65" t="n">
        <v>63.83</v>
      </c>
      <c r="G18" s="65" t="n">
        <v>56.92</v>
      </c>
      <c r="H18" s="65" t="n">
        <v>84.65</v>
      </c>
      <c r="I18" s="65" t="n">
        <v>49.38</v>
      </c>
      <c r="J18" s="65" t="n">
        <v>121.8</v>
      </c>
      <c r="K18" s="65" t="n">
        <v>17.17</v>
      </c>
      <c r="L18" s="65" t="n">
        <v>100.4</v>
      </c>
      <c r="M18" s="65" t="n">
        <v>47.87</v>
      </c>
      <c r="N18" s="65" t="n">
        <v>406.89</v>
      </c>
      <c r="O18" s="65" t="n">
        <v>86.03</v>
      </c>
      <c r="P18" s="65" t="n">
        <v>106.25</v>
      </c>
      <c r="Q18" s="65" t="n">
        <v>51.99</v>
      </c>
      <c r="R18" s="65" t="n">
        <v>36.96</v>
      </c>
      <c r="S18" s="65" t="n">
        <v>64.26</v>
      </c>
      <c r="T18" s="65" t="n">
        <v>27.33</v>
      </c>
      <c r="U18" s="65" t="n">
        <v>22.98</v>
      </c>
      <c r="V18" s="65" t="n">
        <v>255.02</v>
      </c>
      <c r="W18" s="65" t="n">
        <v>103.89</v>
      </c>
      <c r="X18" s="65"/>
      <c r="Y18" s="65" t="n">
        <v>44.31</v>
      </c>
      <c r="Z18" s="65" t="n">
        <v>100.35</v>
      </c>
      <c r="AA18" s="65" t="n">
        <v>48.69</v>
      </c>
    </row>
    <row r="19" customFormat="false" ht="15" hidden="false" customHeight="true" outlineLevel="0" collapsed="false">
      <c r="A19" s="68" t="n">
        <v>45296</v>
      </c>
      <c r="B19" s="65" t="n">
        <v>564.6</v>
      </c>
      <c r="C19" s="65" t="n">
        <v>57.73</v>
      </c>
      <c r="D19" s="65" t="n">
        <v>687.83</v>
      </c>
      <c r="E19" s="65" t="n">
        <v>102.04</v>
      </c>
      <c r="F19" s="65" t="n">
        <v>61.87</v>
      </c>
      <c r="G19" s="65" t="n">
        <v>53.3</v>
      </c>
      <c r="H19" s="65" t="n">
        <v>82.78</v>
      </c>
      <c r="I19" s="65" t="n">
        <v>48.96</v>
      </c>
      <c r="J19" s="65" t="n">
        <v>119.3</v>
      </c>
      <c r="K19" s="65" t="n">
        <v>15.98</v>
      </c>
      <c r="L19" s="65" t="n">
        <v>96.16</v>
      </c>
      <c r="M19" s="65" t="n">
        <v>46.16</v>
      </c>
      <c r="N19" s="65" t="n">
        <v>416.5</v>
      </c>
      <c r="O19" s="65" t="n">
        <v>83.8</v>
      </c>
      <c r="P19" s="65" t="n">
        <v>107</v>
      </c>
      <c r="Q19" s="65" t="n">
        <v>51.76</v>
      </c>
      <c r="R19" s="65" t="n">
        <v>36.38</v>
      </c>
      <c r="S19" s="65" t="n">
        <v>63.6</v>
      </c>
      <c r="T19" s="65" t="n">
        <v>27.35</v>
      </c>
      <c r="U19" s="65" t="n">
        <v>23.05</v>
      </c>
      <c r="V19" s="65" t="n">
        <v>254.38</v>
      </c>
      <c r="W19" s="65" t="n">
        <v>104.12</v>
      </c>
      <c r="X19" s="65"/>
      <c r="Y19" s="65" t="n">
        <v>44.12</v>
      </c>
      <c r="Z19" s="65" t="n">
        <v>99.29</v>
      </c>
      <c r="AA19" s="65" t="n">
        <v>47.41</v>
      </c>
    </row>
    <row r="20" customFormat="false" ht="15" hidden="false" customHeight="true" outlineLevel="0" collapsed="false">
      <c r="A20" s="68" t="n">
        <v>45303</v>
      </c>
      <c r="B20" s="65" t="n">
        <v>596.54</v>
      </c>
      <c r="C20" s="65" t="n">
        <v>63.01</v>
      </c>
      <c r="D20" s="65" t="n">
        <v>697.49</v>
      </c>
      <c r="E20" s="65" t="n">
        <v>107.72</v>
      </c>
      <c r="F20" s="65" t="n">
        <v>70.84</v>
      </c>
      <c r="G20" s="65" t="n">
        <v>54.89</v>
      </c>
      <c r="H20" s="65" t="n">
        <v>81.72</v>
      </c>
      <c r="I20" s="65" t="n">
        <v>54.55</v>
      </c>
      <c r="J20" s="65" t="n">
        <v>120.2</v>
      </c>
      <c r="K20" s="65" t="n">
        <v>16.76</v>
      </c>
      <c r="L20" s="65" t="n">
        <v>97.73</v>
      </c>
      <c r="M20" s="65" t="n">
        <v>49.36</v>
      </c>
      <c r="N20" s="65" t="n">
        <v>433.4</v>
      </c>
      <c r="O20" s="65" t="n">
        <v>82.85</v>
      </c>
      <c r="P20" s="65" t="n">
        <v>105.52</v>
      </c>
      <c r="Q20" s="65" t="n">
        <v>52.27</v>
      </c>
      <c r="R20" s="65" t="n">
        <v>37.38</v>
      </c>
      <c r="S20" s="65" t="n">
        <v>65.57</v>
      </c>
      <c r="T20" s="65" t="n">
        <v>27.29</v>
      </c>
      <c r="U20" s="65" t="n">
        <v>23.02</v>
      </c>
      <c r="V20" s="65" t="n">
        <v>258.76</v>
      </c>
      <c r="W20" s="65" t="n">
        <v>103.76</v>
      </c>
      <c r="X20" s="65"/>
      <c r="Y20" s="65" t="n">
        <v>44.57</v>
      </c>
      <c r="Z20" s="65" t="n">
        <v>102.05</v>
      </c>
      <c r="AA20" s="65" t="n">
        <v>49.22</v>
      </c>
    </row>
    <row r="21" customFormat="false" ht="15" hidden="false" customHeight="true" outlineLevel="0" collapsed="false">
      <c r="A21" s="68" t="n">
        <v>45310</v>
      </c>
      <c r="B21" s="65" t="n">
        <v>611.55</v>
      </c>
      <c r="C21" s="65" t="n">
        <v>65.88</v>
      </c>
      <c r="D21" s="65" t="n">
        <v>741.12</v>
      </c>
      <c r="E21" s="65" t="n">
        <v>117.79</v>
      </c>
      <c r="F21" s="65" t="n">
        <v>72.64</v>
      </c>
      <c r="G21" s="65" t="n">
        <v>60.02</v>
      </c>
      <c r="H21" s="65" t="n">
        <v>86.8</v>
      </c>
      <c r="I21" s="65" t="n">
        <v>59.32</v>
      </c>
      <c r="J21" s="65" t="n">
        <v>117.36</v>
      </c>
      <c r="K21" s="65" t="n">
        <v>16.78</v>
      </c>
      <c r="L21" s="65" t="n">
        <v>110.24</v>
      </c>
      <c r="M21" s="65" t="n">
        <v>53.49</v>
      </c>
      <c r="N21" s="65" t="n">
        <v>435.02</v>
      </c>
      <c r="O21" s="65" t="n">
        <v>83.1</v>
      </c>
      <c r="P21" s="65" t="n">
        <v>104.13</v>
      </c>
      <c r="Q21" s="65" t="n">
        <v>52.58</v>
      </c>
      <c r="R21" s="65" t="n">
        <v>38.04</v>
      </c>
      <c r="S21" s="65" t="n">
        <v>66.96</v>
      </c>
      <c r="T21" s="65" t="n">
        <v>27.03</v>
      </c>
      <c r="U21" s="65" t="n">
        <v>23.12</v>
      </c>
      <c r="V21" s="65" t="n">
        <v>265.36</v>
      </c>
      <c r="W21" s="65" t="n">
        <v>103.89</v>
      </c>
      <c r="X21" s="65"/>
      <c r="Y21" s="65" t="n">
        <v>44.7</v>
      </c>
      <c r="Z21" s="65" t="n">
        <v>102.06</v>
      </c>
      <c r="AA21" s="65" t="n">
        <v>48.29</v>
      </c>
    </row>
    <row r="22" customFormat="false" ht="15" hidden="false" customHeight="true" outlineLevel="0" collapsed="false">
      <c r="A22" s="68" t="n">
        <v>45317</v>
      </c>
      <c r="B22" s="65" t="n">
        <v>613.93</v>
      </c>
      <c r="C22" s="65" t="n">
        <v>66.1</v>
      </c>
      <c r="D22" s="65" t="n">
        <v>848.61</v>
      </c>
      <c r="E22" s="65" t="n">
        <v>117.18</v>
      </c>
      <c r="F22" s="65" t="n">
        <v>72.58</v>
      </c>
      <c r="G22" s="65" t="n">
        <v>58.69</v>
      </c>
      <c r="H22" s="65" t="n">
        <v>87.34</v>
      </c>
      <c r="I22" s="65" t="n">
        <v>60.85</v>
      </c>
      <c r="J22" s="65" t="n">
        <v>115.93</v>
      </c>
      <c r="K22" s="65" t="n">
        <v>16.35</v>
      </c>
      <c r="L22" s="65" t="n">
        <v>113.2</v>
      </c>
      <c r="M22" s="65" t="n">
        <v>53.28</v>
      </c>
      <c r="N22" s="65" t="n">
        <v>430.17</v>
      </c>
      <c r="O22" s="65" t="n">
        <v>85.06</v>
      </c>
      <c r="P22" s="65" t="n">
        <v>105.77</v>
      </c>
      <c r="Q22" s="65" t="n">
        <v>52.91</v>
      </c>
      <c r="R22" s="65" t="n">
        <v>38.34</v>
      </c>
      <c r="S22" s="65" t="n">
        <v>68.04</v>
      </c>
      <c r="T22" s="65" t="n">
        <v>27.25</v>
      </c>
      <c r="U22" s="65" t="n">
        <v>23.25</v>
      </c>
      <c r="V22" s="65" t="n">
        <v>262.46</v>
      </c>
      <c r="W22" s="65" t="n">
        <v>105.16</v>
      </c>
      <c r="X22" s="65"/>
      <c r="Y22" s="65" t="n">
        <v>45.08</v>
      </c>
      <c r="Z22" s="65" t="n">
        <v>103.15</v>
      </c>
      <c r="AA22" s="65" t="n">
        <v>57.04</v>
      </c>
    </row>
    <row r="23" customFormat="false" ht="15" hidden="false" customHeight="true" outlineLevel="0" collapsed="false">
      <c r="A23" s="68" t="n">
        <v>45324</v>
      </c>
      <c r="B23" s="65" t="n">
        <v>634.76</v>
      </c>
      <c r="C23" s="65" t="n">
        <v>68.28</v>
      </c>
      <c r="D23" s="65" t="n">
        <v>871.02</v>
      </c>
      <c r="E23" s="65" t="n">
        <v>119.07</v>
      </c>
      <c r="F23" s="65" t="n">
        <v>75.89</v>
      </c>
      <c r="G23" s="65" t="n">
        <v>59.17</v>
      </c>
      <c r="H23" s="65" t="n">
        <v>85.78</v>
      </c>
      <c r="I23" s="65" t="n">
        <v>65.97</v>
      </c>
      <c r="J23" s="65" t="n">
        <v>118.1</v>
      </c>
      <c r="K23" s="65" t="n">
        <v>17.02</v>
      </c>
      <c r="L23" s="65" t="n">
        <v>111.74</v>
      </c>
      <c r="M23" s="65" t="n">
        <v>61.27</v>
      </c>
      <c r="N23" s="65" t="n">
        <v>424.68</v>
      </c>
      <c r="O23" s="65" t="n">
        <v>83.47</v>
      </c>
      <c r="P23" s="65" t="n">
        <v>104.41</v>
      </c>
      <c r="Q23" s="65" t="n">
        <v>53.66</v>
      </c>
      <c r="R23" s="65" t="n">
        <v>38.71</v>
      </c>
      <c r="S23" s="65" t="n">
        <v>71.15</v>
      </c>
      <c r="T23" s="65" t="n">
        <v>27.51</v>
      </c>
      <c r="U23" s="65" t="n">
        <v>23.24</v>
      </c>
      <c r="V23" s="65" t="n">
        <v>271.51</v>
      </c>
      <c r="W23" s="65" t="n">
        <v>105.29</v>
      </c>
      <c r="X23" s="65"/>
      <c r="Y23" s="65" t="n">
        <v>45.53</v>
      </c>
      <c r="Z23" s="65" t="n">
        <v>107.35</v>
      </c>
      <c r="AA23" s="65" t="n">
        <v>56.46</v>
      </c>
    </row>
    <row r="24" customFormat="false" ht="15" hidden="false" customHeight="true" outlineLevel="0" collapsed="false">
      <c r="A24" s="68" t="n">
        <v>45331</v>
      </c>
      <c r="B24" s="65" t="n">
        <v>627.21</v>
      </c>
      <c r="C24" s="65" t="n">
        <v>70.61</v>
      </c>
      <c r="D24" s="65" t="n">
        <v>930.29</v>
      </c>
      <c r="E24" s="65" t="n">
        <v>124.82</v>
      </c>
      <c r="F24" s="65" t="n">
        <v>82.33</v>
      </c>
      <c r="G24" s="65" t="n">
        <v>63.63</v>
      </c>
      <c r="H24" s="65" t="n">
        <v>84.87</v>
      </c>
      <c r="I24" s="65" t="n">
        <v>71.92</v>
      </c>
      <c r="J24" s="65" t="n">
        <v>121.05</v>
      </c>
      <c r="K24" s="65" t="n">
        <v>24.38</v>
      </c>
      <c r="L24" s="65" t="n">
        <v>128.5</v>
      </c>
      <c r="M24" s="65" t="n">
        <v>63.31</v>
      </c>
      <c r="N24" s="65" t="n">
        <v>422.91</v>
      </c>
      <c r="O24" s="65" t="n">
        <v>84.22</v>
      </c>
      <c r="P24" s="65" t="n">
        <v>103.48</v>
      </c>
      <c r="Q24" s="65" t="n">
        <v>53.89</v>
      </c>
      <c r="R24" s="65" t="n">
        <v>39.12</v>
      </c>
      <c r="S24" s="65" t="n">
        <v>72.85</v>
      </c>
      <c r="T24" s="65" t="n">
        <v>27.65</v>
      </c>
      <c r="U24" s="65" t="n">
        <v>23.18</v>
      </c>
      <c r="V24" s="65" t="n">
        <v>271.28</v>
      </c>
      <c r="W24" s="65" t="n">
        <v>105.06</v>
      </c>
      <c r="X24" s="65"/>
      <c r="Y24" s="65" t="n">
        <v>45.5</v>
      </c>
      <c r="Z24" s="65" t="n">
        <v>109.51</v>
      </c>
      <c r="AA24" s="65" t="n">
        <v>56.13</v>
      </c>
    </row>
    <row r="25" customFormat="false" ht="15" hidden="false" customHeight="true" outlineLevel="0" collapsed="false">
      <c r="A25" s="68" t="n">
        <v>45338</v>
      </c>
      <c r="B25" s="65" t="n">
        <v>546.66</v>
      </c>
      <c r="C25" s="65" t="n">
        <v>65.44</v>
      </c>
      <c r="D25" s="65" t="n">
        <v>910.05</v>
      </c>
      <c r="E25" s="65" t="n">
        <v>121.12</v>
      </c>
      <c r="F25" s="65" t="n">
        <v>82.31</v>
      </c>
      <c r="G25" s="65" t="n">
        <v>64.9</v>
      </c>
      <c r="H25" s="65" t="n">
        <v>78.86</v>
      </c>
      <c r="I25" s="65" t="n">
        <v>72.4</v>
      </c>
      <c r="J25" s="65" t="n">
        <v>121.88</v>
      </c>
      <c r="K25" s="65" t="n">
        <v>24.44</v>
      </c>
      <c r="L25" s="65" t="n">
        <v>122.3</v>
      </c>
      <c r="M25" s="65" t="n">
        <v>62.76</v>
      </c>
      <c r="N25" s="65" t="n">
        <v>422.2</v>
      </c>
      <c r="O25" s="65" t="n">
        <v>84.82</v>
      </c>
      <c r="P25" s="65" t="n">
        <v>104.69</v>
      </c>
      <c r="Q25" s="65" t="n">
        <v>53.59</v>
      </c>
      <c r="R25" s="65" t="n">
        <v>38.99</v>
      </c>
      <c r="S25" s="65" t="n">
        <v>73.46</v>
      </c>
      <c r="T25" s="65" t="n">
        <v>27.88</v>
      </c>
      <c r="U25" s="65" t="n">
        <v>23.24</v>
      </c>
      <c r="V25" s="65" t="n">
        <v>273.37</v>
      </c>
      <c r="W25" s="65" t="n">
        <v>106.04</v>
      </c>
      <c r="X25" s="65"/>
      <c r="Y25" s="65" t="n">
        <v>45.56</v>
      </c>
      <c r="Z25" s="65" t="n">
        <v>117.27</v>
      </c>
      <c r="AA25" s="65" t="n">
        <v>58.4</v>
      </c>
    </row>
    <row r="26" customFormat="false" ht="15" hidden="false" customHeight="true" outlineLevel="0" collapsed="false">
      <c r="A26" s="68" t="n">
        <v>45345</v>
      </c>
      <c r="B26" s="65" t="n">
        <v>553.44</v>
      </c>
      <c r="C26" s="65" t="n">
        <v>66.92</v>
      </c>
      <c r="D26" s="65" t="n">
        <v>914.27</v>
      </c>
      <c r="E26" s="65" t="n">
        <v>126.07</v>
      </c>
      <c r="F26" s="65" t="n">
        <v>77.87</v>
      </c>
      <c r="G26" s="65" t="n">
        <v>65.63</v>
      </c>
      <c r="H26" s="65" t="n">
        <v>85.31</v>
      </c>
      <c r="I26" s="65" t="n">
        <v>78.59</v>
      </c>
      <c r="J26" s="65" t="n">
        <v>121.72</v>
      </c>
      <c r="K26" s="65" t="n">
        <v>22.97</v>
      </c>
      <c r="L26" s="65" t="n">
        <v>125.04</v>
      </c>
      <c r="M26" s="65" t="n">
        <v>62.49</v>
      </c>
      <c r="N26" s="65" t="n">
        <v>430.11</v>
      </c>
      <c r="O26" s="65" t="n">
        <v>84.54</v>
      </c>
      <c r="P26" s="65" t="n">
        <v>105.57</v>
      </c>
      <c r="Q26" s="65" t="n">
        <v>54</v>
      </c>
      <c r="R26" s="65" t="n">
        <v>39.48</v>
      </c>
      <c r="S26" s="65" t="n">
        <v>75.1</v>
      </c>
      <c r="T26" s="65" t="n">
        <v>28.49</v>
      </c>
      <c r="U26" s="65" t="n">
        <v>23.51</v>
      </c>
      <c r="V26" s="65" t="n">
        <v>278.31</v>
      </c>
      <c r="W26" s="65" t="n">
        <v>107.55</v>
      </c>
      <c r="X26" s="65"/>
      <c r="Y26" s="65" t="n">
        <v>46.09</v>
      </c>
      <c r="Z26" s="65" t="n">
        <v>120.55</v>
      </c>
      <c r="AA26" s="65" t="n">
        <v>58.36</v>
      </c>
    </row>
    <row r="27" customFormat="false" ht="15" hidden="false" customHeight="true" outlineLevel="0" collapsed="false">
      <c r="A27" s="68" t="n">
        <v>45352</v>
      </c>
      <c r="B27" s="65" t="n">
        <v>570.93</v>
      </c>
      <c r="C27" s="65" t="n">
        <v>71.93</v>
      </c>
      <c r="D27" s="65" t="n">
        <v>970.78</v>
      </c>
      <c r="E27" s="65" t="n">
        <v>136.07</v>
      </c>
      <c r="F27" s="65" t="n">
        <v>78.65</v>
      </c>
      <c r="G27" s="65" t="n">
        <v>70.42</v>
      </c>
      <c r="H27" s="65" t="n">
        <v>94.38</v>
      </c>
      <c r="I27" s="65" t="n">
        <v>82.04</v>
      </c>
      <c r="J27" s="65" t="n">
        <v>122.99</v>
      </c>
      <c r="K27" s="65" t="n">
        <v>24.93</v>
      </c>
      <c r="L27" s="65" t="n">
        <v>129.26</v>
      </c>
      <c r="M27" s="65" t="n">
        <v>70.34</v>
      </c>
      <c r="N27" s="65" t="n">
        <v>432.76</v>
      </c>
      <c r="O27" s="65" t="n">
        <v>85.87</v>
      </c>
      <c r="P27" s="65" t="n">
        <v>105.59</v>
      </c>
      <c r="Q27" s="65" t="n">
        <v>54.34</v>
      </c>
      <c r="R27" s="65" t="n">
        <v>39.98</v>
      </c>
      <c r="S27" s="65" t="n">
        <v>77.21</v>
      </c>
      <c r="T27" s="65" t="n">
        <v>29.11</v>
      </c>
      <c r="U27" s="65" t="n">
        <v>23.59</v>
      </c>
      <c r="V27" s="65" t="n">
        <v>277.88</v>
      </c>
      <c r="W27" s="65" t="n">
        <v>108.11</v>
      </c>
      <c r="X27" s="65"/>
      <c r="Y27" s="65" t="n">
        <v>46.28</v>
      </c>
      <c r="Z27" s="65" t="n">
        <v>124.74</v>
      </c>
      <c r="AA27" s="65" t="n">
        <v>61.93</v>
      </c>
    </row>
    <row r="28" customFormat="false" ht="15" hidden="false" customHeight="true" outlineLevel="0" collapsed="false">
      <c r="A28" s="68" t="n">
        <v>45359</v>
      </c>
      <c r="B28" s="65" t="n">
        <v>551.69</v>
      </c>
      <c r="C28" s="65" t="n">
        <v>68.28</v>
      </c>
      <c r="D28" s="65" t="n">
        <v>974.11</v>
      </c>
      <c r="E28" s="65" t="n">
        <v>127.27</v>
      </c>
      <c r="F28" s="65" t="n">
        <v>80.71</v>
      </c>
      <c r="G28" s="65" t="n">
        <v>68.62</v>
      </c>
      <c r="H28" s="65" t="n">
        <v>96.83</v>
      </c>
      <c r="I28" s="65" t="n">
        <v>87.28</v>
      </c>
      <c r="J28" s="65" t="n">
        <v>123.42</v>
      </c>
      <c r="K28" s="65" t="n">
        <v>26.04</v>
      </c>
      <c r="L28" s="65" t="n">
        <v>141.3</v>
      </c>
      <c r="M28" s="65" t="n">
        <v>69.14</v>
      </c>
      <c r="N28" s="65" t="n">
        <v>413.59</v>
      </c>
      <c r="O28" s="65" t="n">
        <v>85.97</v>
      </c>
      <c r="P28" s="65" t="n">
        <v>108.41</v>
      </c>
      <c r="Q28" s="65" t="n">
        <v>54.37</v>
      </c>
      <c r="R28" s="65" t="n">
        <v>39.92</v>
      </c>
      <c r="S28" s="65" t="n">
        <v>77.51</v>
      </c>
      <c r="T28" s="65" t="n">
        <v>29.69</v>
      </c>
      <c r="U28" s="65" t="n">
        <v>23.67</v>
      </c>
      <c r="V28" s="65" t="n">
        <v>274.82</v>
      </c>
      <c r="W28" s="65" t="n">
        <v>109.2</v>
      </c>
      <c r="X28" s="65"/>
      <c r="Y28" s="65" t="n">
        <v>46.51</v>
      </c>
      <c r="Z28" s="65" t="n">
        <v>132.06</v>
      </c>
      <c r="AA28" s="65" t="n">
        <v>60.48</v>
      </c>
    </row>
    <row r="29" customFormat="false" ht="15" hidden="false" customHeight="true" outlineLevel="0" collapsed="false">
      <c r="A29" s="68" t="n">
        <v>45366</v>
      </c>
      <c r="B29" s="65" t="n">
        <v>492.46</v>
      </c>
      <c r="C29" s="65" t="n">
        <v>69.43</v>
      </c>
      <c r="D29" s="65" t="n">
        <v>921.09</v>
      </c>
      <c r="E29" s="65" t="n">
        <v>120.15</v>
      </c>
      <c r="F29" s="65" t="n">
        <v>78.91</v>
      </c>
      <c r="G29" s="65" t="n">
        <v>67.11</v>
      </c>
      <c r="H29" s="65" t="n">
        <v>92.5</v>
      </c>
      <c r="I29" s="65" t="n">
        <v>87.59</v>
      </c>
      <c r="J29" s="65" t="n">
        <v>118.76</v>
      </c>
      <c r="K29" s="65" t="n">
        <v>23.49</v>
      </c>
      <c r="L29" s="65" t="n">
        <v>132.23</v>
      </c>
      <c r="M29" s="65" t="n">
        <v>73.91</v>
      </c>
      <c r="N29" s="65" t="n">
        <v>407.69</v>
      </c>
      <c r="O29" s="65" t="n">
        <v>85.24</v>
      </c>
      <c r="P29" s="65" t="n">
        <v>108.06</v>
      </c>
      <c r="Q29" s="65" t="n">
        <v>54.38</v>
      </c>
      <c r="R29" s="65" t="n">
        <v>39.71</v>
      </c>
      <c r="S29" s="65" t="n">
        <v>77.11</v>
      </c>
      <c r="T29" s="65" t="n">
        <v>30.15</v>
      </c>
      <c r="U29" s="65" t="n">
        <v>23.71</v>
      </c>
      <c r="V29" s="65" t="n">
        <v>277.76</v>
      </c>
      <c r="W29" s="65" t="n">
        <v>109.43</v>
      </c>
      <c r="X29" s="65"/>
      <c r="Y29" s="65" t="n">
        <v>46.41</v>
      </c>
      <c r="Z29" s="65" t="n">
        <v>132.79</v>
      </c>
      <c r="AA29" s="65" t="n">
        <v>60.59</v>
      </c>
    </row>
    <row r="30" customFormat="false" ht="15" hidden="false" customHeight="true" outlineLevel="0" collapsed="false">
      <c r="A30" s="68" t="n">
        <v>45373</v>
      </c>
      <c r="B30" s="65" t="n">
        <v>499.52</v>
      </c>
      <c r="C30" s="65" t="n">
        <v>76.61</v>
      </c>
      <c r="D30" s="65" t="n">
        <v>960.03</v>
      </c>
      <c r="E30" s="65" t="n">
        <v>132.19</v>
      </c>
      <c r="F30" s="65" t="n">
        <v>81.89</v>
      </c>
      <c r="G30" s="65" t="n">
        <v>69.73</v>
      </c>
      <c r="H30" s="65" t="n">
        <v>109.32</v>
      </c>
      <c r="I30" s="65" t="n">
        <v>94.02</v>
      </c>
      <c r="J30" s="65" t="n">
        <v>118.4</v>
      </c>
      <c r="K30" s="65" t="n">
        <v>24.18</v>
      </c>
      <c r="L30" s="65" t="n">
        <v>136.22</v>
      </c>
      <c r="M30" s="65" t="n">
        <v>82.25</v>
      </c>
      <c r="N30" s="65" t="n">
        <v>415.66</v>
      </c>
      <c r="O30" s="65" t="n">
        <v>87.57</v>
      </c>
      <c r="P30" s="65" t="n">
        <v>109.81</v>
      </c>
      <c r="Q30" s="65" t="n">
        <v>55.04</v>
      </c>
      <c r="R30" s="65" t="n">
        <v>40.73</v>
      </c>
      <c r="S30" s="65" t="n">
        <v>79.43</v>
      </c>
      <c r="T30" s="65" t="n">
        <v>30.88</v>
      </c>
      <c r="U30" s="65" t="n">
        <v>24.15</v>
      </c>
      <c r="V30" s="65" t="n">
        <v>277.98</v>
      </c>
      <c r="W30" s="65" t="n">
        <v>111.45</v>
      </c>
      <c r="X30" s="65"/>
      <c r="Y30" s="65" t="n">
        <v>46.81</v>
      </c>
      <c r="Z30" s="65" t="n">
        <v>137.71</v>
      </c>
      <c r="AA30" s="65" t="n">
        <v>62.8</v>
      </c>
    </row>
    <row r="31" customFormat="false" ht="15" hidden="false" customHeight="true" outlineLevel="0" collapsed="false">
      <c r="A31" s="68" t="n">
        <v>45380</v>
      </c>
      <c r="B31" s="65" t="n">
        <v>504.6</v>
      </c>
      <c r="C31" s="65" t="n">
        <v>72.5</v>
      </c>
      <c r="D31" s="65" t="n">
        <v>950.73</v>
      </c>
      <c r="E31" s="65" t="n">
        <v>129.45</v>
      </c>
      <c r="F31" s="65" t="n">
        <v>80.15</v>
      </c>
      <c r="G31" s="65" t="n">
        <v>68.55</v>
      </c>
      <c r="H31" s="65" t="n">
        <v>117.05</v>
      </c>
      <c r="I31" s="65" t="n">
        <v>90.1</v>
      </c>
      <c r="J31" s="65" t="n">
        <v>119.87</v>
      </c>
      <c r="K31" s="65" t="n">
        <v>23.01</v>
      </c>
      <c r="L31" s="65" t="n">
        <v>131.87</v>
      </c>
      <c r="M31" s="65" t="n">
        <v>81.43</v>
      </c>
      <c r="N31" s="65" t="n">
        <v>418.01</v>
      </c>
      <c r="O31" s="65" t="n">
        <v>90.08</v>
      </c>
      <c r="P31" s="65" t="n">
        <v>112.58</v>
      </c>
      <c r="Q31" s="65" t="n">
        <v>55.08</v>
      </c>
      <c r="R31" s="65" t="n">
        <v>40.71</v>
      </c>
      <c r="S31" s="65" t="n">
        <v>78.83</v>
      </c>
      <c r="T31" s="65" t="n">
        <v>31.36</v>
      </c>
      <c r="U31" s="65" t="n">
        <v>24.53</v>
      </c>
      <c r="V31" s="65" t="n">
        <v>273.88</v>
      </c>
      <c r="W31" s="65" t="n">
        <v>113.24</v>
      </c>
      <c r="X31" s="65"/>
      <c r="Y31" s="65" t="n">
        <v>47.13</v>
      </c>
      <c r="Z31" s="65" t="n">
        <v>138.01</v>
      </c>
      <c r="AA31" s="65" t="n">
        <v>60.73</v>
      </c>
    </row>
    <row r="32" customFormat="false" ht="15" hidden="false" customHeight="true" outlineLevel="0" collapsed="false">
      <c r="A32" s="68" t="n">
        <v>45387</v>
      </c>
      <c r="B32" s="65" t="n">
        <v>485.12</v>
      </c>
      <c r="C32" s="65" t="n">
        <v>74.4</v>
      </c>
      <c r="D32" s="65" t="n">
        <v>959.63</v>
      </c>
      <c r="E32" s="65" t="n">
        <v>130.82</v>
      </c>
      <c r="F32" s="65" t="n">
        <v>78.88</v>
      </c>
      <c r="G32" s="65" t="n">
        <v>67.01</v>
      </c>
      <c r="H32" s="65" t="n">
        <v>122.7</v>
      </c>
      <c r="I32" s="65" t="n">
        <v>87.76</v>
      </c>
      <c r="J32" s="65" t="n">
        <v>114.82</v>
      </c>
      <c r="K32" s="65" t="n">
        <v>22.96</v>
      </c>
      <c r="L32" s="65" t="n">
        <v>137.01</v>
      </c>
      <c r="M32" s="65" t="n">
        <v>85.09</v>
      </c>
      <c r="N32" s="65" t="n">
        <v>406.67</v>
      </c>
      <c r="O32" s="65" t="n">
        <v>88.14</v>
      </c>
      <c r="P32" s="65" t="n">
        <v>110.58</v>
      </c>
      <c r="Q32" s="65" t="n">
        <v>54.87</v>
      </c>
      <c r="R32" s="65" t="n">
        <v>40.54</v>
      </c>
      <c r="S32" s="65" t="n">
        <v>79.06</v>
      </c>
      <c r="T32" s="65" t="n">
        <v>31.28</v>
      </c>
      <c r="U32" s="65" t="n">
        <v>24.03</v>
      </c>
      <c r="V32" s="65" t="n">
        <v>271.97</v>
      </c>
      <c r="W32" s="65" t="n">
        <v>111.62</v>
      </c>
      <c r="X32" s="65"/>
      <c r="Y32" s="65" t="n">
        <v>46.77</v>
      </c>
      <c r="Z32" s="65" t="n">
        <v>153.98</v>
      </c>
      <c r="AA32" s="65" t="n">
        <v>63.62</v>
      </c>
    </row>
    <row r="33" customFormat="false" ht="15" hidden="false" customHeight="true" outlineLevel="0" collapsed="false">
      <c r="A33" s="68" t="n">
        <v>45394</v>
      </c>
      <c r="B33" s="65" t="n">
        <v>474.09</v>
      </c>
      <c r="C33" s="65" t="n">
        <v>67.81</v>
      </c>
      <c r="D33" s="65" t="n">
        <v>942.28</v>
      </c>
      <c r="E33" s="65" t="n">
        <v>131.27</v>
      </c>
      <c r="F33" s="65" t="n">
        <v>77.26</v>
      </c>
      <c r="G33" s="65" t="n">
        <v>66.81</v>
      </c>
      <c r="H33" s="65" t="n">
        <v>121.65</v>
      </c>
      <c r="I33" s="65" t="n">
        <v>87.94</v>
      </c>
      <c r="J33" s="65" t="n">
        <v>109.54</v>
      </c>
      <c r="K33" s="65" t="n">
        <v>22.67</v>
      </c>
      <c r="L33" s="65" t="n">
        <v>138.14</v>
      </c>
      <c r="M33" s="65" t="n">
        <v>83.64</v>
      </c>
      <c r="N33" s="65" t="n">
        <v>396.55</v>
      </c>
      <c r="O33" s="65" t="n">
        <v>85.42</v>
      </c>
      <c r="P33" s="65" t="n">
        <v>107.42</v>
      </c>
      <c r="Q33" s="65" t="n">
        <v>54.52</v>
      </c>
      <c r="R33" s="65" t="n">
        <v>40.4</v>
      </c>
      <c r="S33" s="65" t="n">
        <v>77.95</v>
      </c>
      <c r="T33" s="65" t="n">
        <v>30.48</v>
      </c>
      <c r="U33" s="65" t="n">
        <v>23.36</v>
      </c>
      <c r="V33" s="65" t="n">
        <v>270.82</v>
      </c>
      <c r="W33" s="65" t="n">
        <v>108.66</v>
      </c>
      <c r="X33" s="65"/>
      <c r="Y33" s="65" t="n">
        <v>46.05</v>
      </c>
      <c r="Z33" s="65" t="n">
        <v>152.6</v>
      </c>
      <c r="AA33" s="65" t="n">
        <v>62.28</v>
      </c>
    </row>
    <row r="34" customFormat="false" ht="15" hidden="false" customHeight="true" outlineLevel="0" collapsed="false">
      <c r="A34" s="68" t="n">
        <v>45401</v>
      </c>
      <c r="B34" s="65" t="n">
        <v>465.02</v>
      </c>
      <c r="C34" s="65" t="n">
        <v>61.52</v>
      </c>
      <c r="D34" s="65" t="n">
        <v>842.06</v>
      </c>
      <c r="E34" s="65" t="n">
        <v>117.66</v>
      </c>
      <c r="F34" s="65" t="n">
        <v>70.66</v>
      </c>
      <c r="G34" s="65" t="n">
        <v>61.64</v>
      </c>
      <c r="H34" s="65" t="n">
        <v>106.01</v>
      </c>
      <c r="I34" s="65" t="n">
        <v>75.98</v>
      </c>
      <c r="J34" s="65" t="n">
        <v>95.26</v>
      </c>
      <c r="K34" s="65" t="n">
        <v>20.47</v>
      </c>
      <c r="L34" s="65" t="n">
        <v>123.77</v>
      </c>
      <c r="M34" s="65" t="n">
        <v>74.79</v>
      </c>
      <c r="N34" s="65" t="n">
        <v>394.28</v>
      </c>
      <c r="O34" s="65" t="n">
        <v>84.65</v>
      </c>
      <c r="P34" s="65" t="n">
        <v>108.48</v>
      </c>
      <c r="Q34" s="65" t="n">
        <v>53.46</v>
      </c>
      <c r="R34" s="65" t="n">
        <v>38.46</v>
      </c>
      <c r="S34" s="65" t="n">
        <v>73.52</v>
      </c>
      <c r="T34" s="65" t="n">
        <v>29.94</v>
      </c>
      <c r="U34" s="65" t="n">
        <v>23.32</v>
      </c>
      <c r="V34" s="65" t="n">
        <v>264.75</v>
      </c>
      <c r="W34" s="65" t="n">
        <v>108.51</v>
      </c>
      <c r="X34" s="65"/>
      <c r="Y34" s="65" t="n">
        <v>45.44</v>
      </c>
      <c r="Z34" s="65" t="n">
        <v>146.12</v>
      </c>
      <c r="AA34" s="65" t="n">
        <v>55.5</v>
      </c>
    </row>
    <row r="35" customFormat="false" ht="15" hidden="false" customHeight="true" outlineLevel="0" collapsed="false">
      <c r="A35" s="68" t="n">
        <v>45408</v>
      </c>
      <c r="B35" s="65" t="n">
        <v>477.56</v>
      </c>
      <c r="C35" s="65" t="n">
        <v>66.18</v>
      </c>
      <c r="D35" s="65" t="n">
        <v>902.15</v>
      </c>
      <c r="E35" s="65" t="n">
        <v>131.27</v>
      </c>
      <c r="F35" s="65" t="n">
        <v>76.02</v>
      </c>
      <c r="G35" s="65" t="n">
        <v>69.31</v>
      </c>
      <c r="H35" s="65" t="n">
        <v>114.02</v>
      </c>
      <c r="I35" s="65" t="n">
        <v>87.49</v>
      </c>
      <c r="J35" s="65" t="n">
        <v>95.79</v>
      </c>
      <c r="K35" s="65" t="n">
        <v>22.52</v>
      </c>
      <c r="L35" s="65" t="n">
        <v>134.05</v>
      </c>
      <c r="M35" s="65" t="n">
        <v>93.21</v>
      </c>
      <c r="N35" s="65" t="n">
        <v>397.48</v>
      </c>
      <c r="O35" s="65" t="n">
        <v>86.75</v>
      </c>
      <c r="P35" s="65" t="n">
        <v>109.47</v>
      </c>
      <c r="Q35" s="65" t="n">
        <v>54.56</v>
      </c>
      <c r="R35" s="65" t="n">
        <v>39.84</v>
      </c>
      <c r="S35" s="65" t="n">
        <v>75.73</v>
      </c>
      <c r="T35" s="65" t="n">
        <v>30.31</v>
      </c>
      <c r="U35" s="65" t="n">
        <v>23.57</v>
      </c>
      <c r="V35" s="65" t="n">
        <v>269.4</v>
      </c>
      <c r="W35" s="65" t="n">
        <v>109.85</v>
      </c>
      <c r="X35" s="65"/>
      <c r="Y35" s="65" t="n">
        <v>46.12</v>
      </c>
      <c r="Z35" s="65" t="n">
        <v>160.22</v>
      </c>
      <c r="AA35" s="65" t="n">
        <v>56.12</v>
      </c>
    </row>
    <row r="36" customFormat="false" ht="15" hidden="false" customHeight="true" outlineLevel="0" collapsed="false">
      <c r="A36" s="68" t="n">
        <v>45415</v>
      </c>
      <c r="B36" s="65" t="n">
        <v>486.18</v>
      </c>
      <c r="C36" s="65" t="n">
        <v>68.6</v>
      </c>
      <c r="D36" s="65" t="n">
        <v>885.13</v>
      </c>
      <c r="E36" s="65" t="n">
        <v>124.83</v>
      </c>
      <c r="F36" s="65" t="n">
        <v>77.55</v>
      </c>
      <c r="G36" s="65" t="n">
        <v>68.36</v>
      </c>
      <c r="H36" s="65" t="n">
        <v>113.88</v>
      </c>
      <c r="I36" s="65" t="n">
        <v>88.54</v>
      </c>
      <c r="J36" s="65" t="n">
        <v>97.47</v>
      </c>
      <c r="K36" s="65" t="n">
        <v>23.33</v>
      </c>
      <c r="L36" s="65" t="n">
        <v>137.21</v>
      </c>
      <c r="M36" s="65" t="n">
        <v>92.73</v>
      </c>
      <c r="N36" s="65" t="n">
        <v>401.08</v>
      </c>
      <c r="O36" s="65" t="n">
        <v>87.34</v>
      </c>
      <c r="P36" s="65" t="n">
        <v>110.81</v>
      </c>
      <c r="Q36" s="65" t="n">
        <v>54.79</v>
      </c>
      <c r="R36" s="65" t="n">
        <v>40.24</v>
      </c>
      <c r="S36" s="65" t="n">
        <v>76.47</v>
      </c>
      <c r="T36" s="65" t="n">
        <v>29.84</v>
      </c>
      <c r="U36" s="65" t="n">
        <v>23.72</v>
      </c>
      <c r="V36" s="65" t="n">
        <v>263.49</v>
      </c>
      <c r="W36" s="65" t="n">
        <v>109.62</v>
      </c>
      <c r="X36" s="65"/>
      <c r="Y36" s="65" t="n">
        <v>46.21</v>
      </c>
      <c r="Z36" s="65" t="n">
        <v>161.96</v>
      </c>
      <c r="AA36" s="65" t="n">
        <v>57.93</v>
      </c>
    </row>
    <row r="37" customFormat="false" ht="15" hidden="false" customHeight="true" outlineLevel="0" collapsed="false">
      <c r="A37" s="68" t="n">
        <v>45422</v>
      </c>
      <c r="B37" s="65" t="n">
        <v>482.29</v>
      </c>
      <c r="C37" s="65" t="n">
        <v>78.51</v>
      </c>
      <c r="D37" s="65" t="n">
        <v>913.26</v>
      </c>
      <c r="E37" s="65" t="n">
        <v>130.17</v>
      </c>
      <c r="F37" s="65" t="n">
        <v>80.19</v>
      </c>
      <c r="G37" s="65" t="n">
        <v>70.49</v>
      </c>
      <c r="H37" s="65" t="n">
        <v>120.38</v>
      </c>
      <c r="I37" s="65" t="n">
        <v>89.62</v>
      </c>
      <c r="J37" s="65" t="n">
        <v>98.95</v>
      </c>
      <c r="K37" s="65" t="n">
        <v>20.6</v>
      </c>
      <c r="L37" s="65" t="n">
        <v>144.67</v>
      </c>
      <c r="M37" s="65" t="n">
        <v>95.12</v>
      </c>
      <c r="N37" s="65" t="n">
        <v>422.78</v>
      </c>
      <c r="O37" s="65" t="n">
        <v>88.85</v>
      </c>
      <c r="P37" s="65" t="n">
        <v>113.55</v>
      </c>
      <c r="Q37" s="65" t="n">
        <v>55.64</v>
      </c>
      <c r="R37" s="65" t="n">
        <v>40.8</v>
      </c>
      <c r="S37" s="65" t="n">
        <v>78.17</v>
      </c>
      <c r="T37" s="65" t="n">
        <v>30.51</v>
      </c>
      <c r="U37" s="65" t="n">
        <v>24.12</v>
      </c>
      <c r="V37" s="65" t="n">
        <v>275.51</v>
      </c>
      <c r="W37" s="65" t="n">
        <v>112.19</v>
      </c>
      <c r="X37" s="65"/>
      <c r="Y37" s="65" t="n">
        <v>47.07</v>
      </c>
      <c r="Z37" s="65" t="n">
        <v>161.24</v>
      </c>
      <c r="AA37" s="65" t="n">
        <v>61.09</v>
      </c>
    </row>
    <row r="38" customFormat="false" ht="15" hidden="false" customHeight="true" outlineLevel="0" collapsed="false">
      <c r="A38" s="68" t="n">
        <v>45429</v>
      </c>
      <c r="B38" s="65" t="n">
        <v>483.43</v>
      </c>
      <c r="C38" s="65" t="n">
        <v>79.97</v>
      </c>
      <c r="D38" s="65" t="n">
        <v>908.04</v>
      </c>
      <c r="E38" s="65" t="n">
        <v>136.27</v>
      </c>
      <c r="F38" s="65" t="n">
        <v>86.48</v>
      </c>
      <c r="G38" s="65" t="n">
        <v>73.52</v>
      </c>
      <c r="H38" s="65" t="n">
        <v>124.4</v>
      </c>
      <c r="I38" s="65" t="n">
        <v>92.22</v>
      </c>
      <c r="J38" s="65" t="n">
        <v>102.64</v>
      </c>
      <c r="K38" s="65" t="n">
        <v>21.76</v>
      </c>
      <c r="L38" s="65" t="n">
        <v>147.02</v>
      </c>
      <c r="M38" s="65" t="n">
        <v>96.52</v>
      </c>
      <c r="N38" s="65" t="n">
        <v>445.21</v>
      </c>
      <c r="O38" s="65" t="n">
        <v>89.83</v>
      </c>
      <c r="P38" s="65" t="n">
        <v>114.93</v>
      </c>
      <c r="Q38" s="65" t="n">
        <v>56.24</v>
      </c>
      <c r="R38" s="65" t="n">
        <v>41.29</v>
      </c>
      <c r="S38" s="65" t="n">
        <v>79.35</v>
      </c>
      <c r="T38" s="65" t="n">
        <v>30.8</v>
      </c>
      <c r="U38" s="65" t="n">
        <v>24.36</v>
      </c>
      <c r="V38" s="65" t="n">
        <v>275.39</v>
      </c>
      <c r="W38" s="65" t="n">
        <v>113.72</v>
      </c>
      <c r="X38" s="65"/>
      <c r="Y38" s="65" t="n">
        <v>47.3</v>
      </c>
      <c r="Z38" s="65" t="n">
        <v>157.8</v>
      </c>
      <c r="AA38" s="65" t="n">
        <v>62.11</v>
      </c>
    </row>
    <row r="39" customFormat="false" ht="15" hidden="false" customHeight="true" outlineLevel="0" collapsed="false">
      <c r="A39" s="68" t="n">
        <v>45436</v>
      </c>
      <c r="B39" s="65" t="n">
        <v>475.43</v>
      </c>
      <c r="C39" s="65" t="n">
        <v>76.64</v>
      </c>
      <c r="D39" s="65" t="n">
        <v>938.72</v>
      </c>
      <c r="E39" s="65" t="n">
        <v>137.5</v>
      </c>
      <c r="F39" s="65" t="n">
        <v>87.87</v>
      </c>
      <c r="G39" s="65" t="n">
        <v>76.61</v>
      </c>
      <c r="H39" s="65" t="n">
        <v>128.57</v>
      </c>
      <c r="I39" s="65" t="n">
        <v>106.17</v>
      </c>
      <c r="J39" s="65" t="n">
        <v>96.42</v>
      </c>
      <c r="K39" s="65" t="n">
        <v>21.01</v>
      </c>
      <c r="L39" s="65" t="n">
        <v>155.08</v>
      </c>
      <c r="M39" s="65" t="n">
        <v>105.85</v>
      </c>
      <c r="N39" s="65" t="n">
        <v>456.95</v>
      </c>
      <c r="O39" s="65" t="n">
        <v>88.5</v>
      </c>
      <c r="P39" s="65" t="n">
        <v>112.58</v>
      </c>
      <c r="Q39" s="65" t="n">
        <v>56.3</v>
      </c>
      <c r="R39" s="65" t="n">
        <v>41.48</v>
      </c>
      <c r="S39" s="65" t="n">
        <v>80.9</v>
      </c>
      <c r="T39" s="65" t="n">
        <v>30.27</v>
      </c>
      <c r="U39" s="65" t="n">
        <v>23.76</v>
      </c>
      <c r="V39" s="65" t="n">
        <v>269.87</v>
      </c>
      <c r="W39" s="65" t="n">
        <v>111.73</v>
      </c>
      <c r="X39" s="65"/>
      <c r="Y39" s="65" t="n">
        <v>46.92</v>
      </c>
      <c r="Z39" s="65" t="n">
        <v>165.14</v>
      </c>
      <c r="AA39" s="65" t="n">
        <v>64.68</v>
      </c>
    </row>
    <row r="40" customFormat="false" ht="15" hidden="false" customHeight="true" outlineLevel="0" collapsed="false">
      <c r="A40" s="68" t="n">
        <v>45443</v>
      </c>
      <c r="B40" s="65" t="n">
        <v>444.76</v>
      </c>
      <c r="C40" s="65" t="n">
        <v>74.41</v>
      </c>
      <c r="D40" s="65" t="n">
        <v>942.77</v>
      </c>
      <c r="E40" s="65" t="n">
        <v>129.75</v>
      </c>
      <c r="F40" s="65" t="n">
        <v>78.42</v>
      </c>
      <c r="G40" s="65" t="n">
        <v>74.69</v>
      </c>
      <c r="H40" s="65" t="n">
        <v>124.11</v>
      </c>
      <c r="I40" s="65" t="n">
        <v>109.32</v>
      </c>
      <c r="J40" s="65" t="n">
        <v>101.71</v>
      </c>
      <c r="K40" s="65" t="n">
        <v>21.68</v>
      </c>
      <c r="L40" s="65" t="n">
        <v>146.4</v>
      </c>
      <c r="M40" s="65" t="n">
        <v>97.78</v>
      </c>
      <c r="N40" s="65" t="n">
        <v>455.34</v>
      </c>
      <c r="O40" s="65" t="n">
        <v>89.45</v>
      </c>
      <c r="P40" s="65" t="n">
        <v>113.76</v>
      </c>
      <c r="Q40" s="65" t="n">
        <v>56.15</v>
      </c>
      <c r="R40" s="65" t="n">
        <v>41.34</v>
      </c>
      <c r="S40" s="65" t="n">
        <v>80.01</v>
      </c>
      <c r="T40" s="65" t="n">
        <v>30.62</v>
      </c>
      <c r="U40" s="65" t="n">
        <v>23.9</v>
      </c>
      <c r="V40" s="65" t="n">
        <v>267.88</v>
      </c>
      <c r="W40" s="65" t="n">
        <v>112.31</v>
      </c>
      <c r="X40" s="65"/>
      <c r="Y40" s="65" t="n">
        <v>46.84</v>
      </c>
      <c r="Z40" s="65" t="n">
        <v>162.98</v>
      </c>
      <c r="AA40" s="65" t="n">
        <v>64.16</v>
      </c>
    </row>
    <row r="41" customFormat="false" ht="15" hidden="false" customHeight="true" outlineLevel="0" collapsed="false">
      <c r="A41" s="68" t="n">
        <v>45450</v>
      </c>
      <c r="B41" s="65" t="n">
        <v>465.43</v>
      </c>
      <c r="C41" s="65" t="n">
        <v>74.2</v>
      </c>
      <c r="D41" s="65" t="n">
        <v>1009.6</v>
      </c>
      <c r="E41" s="65" t="n">
        <v>137.38</v>
      </c>
      <c r="F41" s="65" t="n">
        <v>87.28</v>
      </c>
      <c r="G41" s="65" t="n">
        <v>75.61</v>
      </c>
      <c r="H41" s="65" t="n">
        <v>130.01</v>
      </c>
      <c r="I41" s="65" t="n">
        <v>120.54</v>
      </c>
      <c r="J41" s="65" t="n">
        <v>101.44</v>
      </c>
      <c r="K41" s="65" t="n">
        <v>23.31</v>
      </c>
      <c r="L41" s="65" t="n">
        <v>159.34</v>
      </c>
      <c r="M41" s="65" t="n">
        <v>87.42</v>
      </c>
      <c r="N41" s="65" t="n">
        <v>483.04</v>
      </c>
      <c r="O41" s="65" t="n">
        <v>86.4</v>
      </c>
      <c r="P41" s="65" t="n">
        <v>111.46</v>
      </c>
      <c r="Q41" s="65" t="n">
        <v>56.77</v>
      </c>
      <c r="R41" s="65" t="n">
        <v>41.92</v>
      </c>
      <c r="S41" s="65" t="n">
        <v>82.44</v>
      </c>
      <c r="T41" s="65" t="n">
        <v>29.97</v>
      </c>
      <c r="U41" s="65" t="n">
        <v>23.69</v>
      </c>
      <c r="V41" s="65" t="n">
        <v>273.98</v>
      </c>
      <c r="W41" s="65" t="n">
        <v>111.3</v>
      </c>
      <c r="X41" s="65"/>
      <c r="Y41" s="65" t="n">
        <v>46.88</v>
      </c>
      <c r="Z41" s="65" t="n">
        <v>159.8</v>
      </c>
      <c r="AA41" s="65" t="n">
        <v>64.15</v>
      </c>
    </row>
    <row r="42" customFormat="false" ht="15" hidden="false" customHeight="true" outlineLevel="0" collapsed="false">
      <c r="A42" s="68" t="n">
        <v>45457</v>
      </c>
      <c r="B42" s="65" t="n">
        <v>525.31</v>
      </c>
      <c r="C42" s="65" t="n">
        <v>82.12</v>
      </c>
      <c r="D42" s="65" t="n">
        <v>1009.09</v>
      </c>
      <c r="E42" s="65" t="n">
        <v>169.45</v>
      </c>
      <c r="F42" s="65" t="n">
        <v>96.36</v>
      </c>
      <c r="G42" s="65" t="n">
        <v>81.11</v>
      </c>
      <c r="H42" s="65" t="n">
        <v>140.35</v>
      </c>
      <c r="I42" s="65" t="n">
        <v>131.52</v>
      </c>
      <c r="J42" s="65" t="n">
        <v>103.36</v>
      </c>
      <c r="K42" s="65" t="n">
        <v>23.57</v>
      </c>
      <c r="L42" s="65" t="n">
        <v>167.73</v>
      </c>
      <c r="M42" s="65" t="n">
        <v>91.21</v>
      </c>
      <c r="N42" s="65" t="n">
        <v>480.73</v>
      </c>
      <c r="O42" s="65" t="n">
        <v>84.34</v>
      </c>
      <c r="P42" s="65" t="n">
        <v>109.58</v>
      </c>
      <c r="Q42" s="65" t="n">
        <v>57.29</v>
      </c>
      <c r="R42" s="65" t="n">
        <v>42.45</v>
      </c>
      <c r="S42" s="65" t="n">
        <v>85.92</v>
      </c>
      <c r="T42" s="65" t="n">
        <v>29.91</v>
      </c>
      <c r="U42" s="65" t="n">
        <v>23.36</v>
      </c>
      <c r="V42" s="65" t="n">
        <v>266.11</v>
      </c>
      <c r="W42" s="65" t="n">
        <v>110.83</v>
      </c>
      <c r="X42" s="65"/>
      <c r="Y42" s="65" t="n">
        <v>46.62</v>
      </c>
      <c r="Z42" s="65" t="n">
        <v>153.84</v>
      </c>
      <c r="AA42" s="65" t="n">
        <v>66.94</v>
      </c>
    </row>
    <row r="43" customFormat="false" ht="15" hidden="false" customHeight="true" outlineLevel="0" collapsed="false">
      <c r="A43" s="68" t="n">
        <v>45464</v>
      </c>
      <c r="B43" s="65" t="n">
        <v>533.44</v>
      </c>
      <c r="C43" s="65" t="n">
        <v>84.34</v>
      </c>
      <c r="D43" s="65" t="n">
        <v>1017.63</v>
      </c>
      <c r="E43" s="65" t="n">
        <v>161.99</v>
      </c>
      <c r="F43" s="65" t="n">
        <v>95.16</v>
      </c>
      <c r="G43" s="65" t="n">
        <v>80.29</v>
      </c>
      <c r="H43" s="65" t="n">
        <v>138.55</v>
      </c>
      <c r="I43" s="65" t="n">
        <v>126.22</v>
      </c>
      <c r="J43" s="65" t="n">
        <v>101.57</v>
      </c>
      <c r="K43" s="65" t="n">
        <v>23.84</v>
      </c>
      <c r="L43" s="65" t="n">
        <v>169.14</v>
      </c>
      <c r="M43" s="65" t="n">
        <v>90.38</v>
      </c>
      <c r="N43" s="65" t="n">
        <v>468.71</v>
      </c>
      <c r="O43" s="65" t="n">
        <v>85.25</v>
      </c>
      <c r="P43" s="65" t="n">
        <v>111.09</v>
      </c>
      <c r="Q43" s="65" t="n">
        <v>57.47</v>
      </c>
      <c r="R43" s="65" t="n">
        <v>42.49</v>
      </c>
      <c r="S43" s="65" t="n">
        <v>85.85</v>
      </c>
      <c r="T43" s="65" t="n">
        <v>30.2</v>
      </c>
      <c r="U43" s="65" t="n">
        <v>23.76</v>
      </c>
      <c r="V43" s="65" t="n">
        <v>270.59</v>
      </c>
      <c r="W43" s="65" t="n">
        <v>112.22</v>
      </c>
      <c r="X43" s="65"/>
      <c r="Y43" s="65" t="n">
        <v>47.03</v>
      </c>
      <c r="Z43" s="65" t="n">
        <v>162.09</v>
      </c>
      <c r="AA43" s="65" t="n">
        <v>68.61</v>
      </c>
    </row>
    <row r="44" customFormat="false" ht="15" hidden="false" customHeight="true" outlineLevel="0" collapsed="false">
      <c r="A44" s="68" t="n">
        <v>45471</v>
      </c>
      <c r="B44" s="65" t="n">
        <v>555.54</v>
      </c>
      <c r="C44" s="65" t="n">
        <v>87.62</v>
      </c>
      <c r="D44" s="65" t="n">
        <v>1004.01</v>
      </c>
      <c r="E44" s="65" t="n">
        <v>157.3</v>
      </c>
      <c r="F44" s="65" t="n">
        <v>95.8</v>
      </c>
      <c r="G44" s="65" t="n">
        <v>81.08</v>
      </c>
      <c r="H44" s="65" t="n">
        <v>130.59</v>
      </c>
      <c r="I44" s="65" t="n">
        <v>123.2</v>
      </c>
      <c r="J44" s="65" t="n">
        <v>104.27</v>
      </c>
      <c r="K44" s="65" t="n">
        <v>25.33</v>
      </c>
      <c r="L44" s="65" t="n">
        <v>169</v>
      </c>
      <c r="M44" s="65" t="n">
        <v>86.34</v>
      </c>
      <c r="N44" s="65" t="n">
        <v>468.72</v>
      </c>
      <c r="O44" s="65" t="n">
        <v>86.67</v>
      </c>
      <c r="P44" s="65" t="n">
        <v>111.42</v>
      </c>
      <c r="Q44" s="65" t="n">
        <v>57.71</v>
      </c>
      <c r="R44" s="65" t="n">
        <v>42.69</v>
      </c>
      <c r="S44" s="65" t="n">
        <v>86.01</v>
      </c>
      <c r="T44" s="65" t="n">
        <v>30</v>
      </c>
      <c r="U44" s="65" t="n">
        <v>23.9</v>
      </c>
      <c r="V44" s="65" t="n">
        <v>258.05</v>
      </c>
      <c r="W44" s="65" t="n">
        <v>111.95</v>
      </c>
      <c r="X44" s="65"/>
      <c r="Y44" s="65" t="n">
        <v>47.02</v>
      </c>
      <c r="Z44" s="65" t="n">
        <v>156.89</v>
      </c>
      <c r="AA44" s="65" t="n">
        <v>67.49</v>
      </c>
    </row>
    <row r="45" customFormat="false" ht="15" hidden="false" customHeight="true" outlineLevel="0" collapsed="false">
      <c r="A45" s="68" t="n">
        <v>45478</v>
      </c>
      <c r="B45" s="65" t="n">
        <v>578.34</v>
      </c>
      <c r="C45" s="65" t="n">
        <v>91.54</v>
      </c>
      <c r="D45" s="65" t="n">
        <v>1054.81</v>
      </c>
      <c r="E45" s="65" t="n">
        <v>166.88</v>
      </c>
      <c r="F45" s="65" t="n">
        <v>97.42</v>
      </c>
      <c r="G45" s="65" t="n">
        <v>84.1</v>
      </c>
      <c r="H45" s="65" t="n">
        <v>130.66</v>
      </c>
      <c r="I45" s="65" t="n">
        <v>125.48</v>
      </c>
      <c r="J45" s="65" t="n">
        <v>106.27</v>
      </c>
      <c r="K45" s="65" t="n">
        <v>27.23</v>
      </c>
      <c r="L45" s="65" t="n">
        <v>178.9</v>
      </c>
      <c r="M45" s="65" t="n">
        <v>91.53</v>
      </c>
      <c r="N45" s="65" t="n">
        <v>474.57</v>
      </c>
      <c r="O45" s="65" t="n">
        <v>85.24</v>
      </c>
      <c r="P45" s="65" t="n">
        <v>110.51</v>
      </c>
      <c r="Q45" s="65" t="n">
        <v>58.12</v>
      </c>
      <c r="R45" s="65" t="n">
        <v>43.31</v>
      </c>
      <c r="S45" s="65" t="n">
        <v>88.68</v>
      </c>
      <c r="T45" s="65" t="n">
        <v>29.41</v>
      </c>
      <c r="U45" s="65" t="n">
        <v>23.68</v>
      </c>
      <c r="V45" s="65" t="n">
        <v>265.81</v>
      </c>
      <c r="W45" s="65" t="n">
        <v>111.93</v>
      </c>
      <c r="X45" s="65"/>
      <c r="Y45" s="65" t="n">
        <v>47.04</v>
      </c>
      <c r="Z45" s="65" t="n">
        <v>158.4</v>
      </c>
      <c r="AA45" s="65" t="n">
        <v>69.07</v>
      </c>
    </row>
    <row r="46" customFormat="false" ht="15" hidden="false" customHeight="true" outlineLevel="0" collapsed="false">
      <c r="A46" s="68" t="n">
        <v>45485</v>
      </c>
      <c r="B46" s="65" t="n">
        <v>559.05</v>
      </c>
      <c r="C46" s="65" t="n">
        <v>90.47</v>
      </c>
      <c r="D46" s="65" t="n">
        <v>1065.4</v>
      </c>
      <c r="E46" s="65" t="n">
        <v>166.62</v>
      </c>
      <c r="F46" s="65" t="n">
        <v>92.83</v>
      </c>
      <c r="G46" s="65" t="n">
        <v>84.34</v>
      </c>
      <c r="H46" s="65" t="n">
        <v>132.72</v>
      </c>
      <c r="I46" s="65" t="n">
        <v>128.88</v>
      </c>
      <c r="J46" s="65" t="n">
        <v>111.55</v>
      </c>
      <c r="K46" s="65" t="n">
        <v>28.07</v>
      </c>
      <c r="L46" s="65" t="n">
        <v>182.16</v>
      </c>
      <c r="M46" s="65" t="n">
        <v>89.43</v>
      </c>
      <c r="N46" s="65" t="n">
        <v>488.74</v>
      </c>
      <c r="O46" s="65" t="n">
        <v>89.99</v>
      </c>
      <c r="P46" s="65" t="n">
        <v>115.16</v>
      </c>
      <c r="Q46" s="65" t="n">
        <v>58.32</v>
      </c>
      <c r="R46" s="65" t="n">
        <v>43.28</v>
      </c>
      <c r="S46" s="65" t="n">
        <v>88.5</v>
      </c>
      <c r="T46" s="65" t="n">
        <v>30.54</v>
      </c>
      <c r="U46" s="65" t="n">
        <v>24.48</v>
      </c>
      <c r="V46" s="65" t="n">
        <v>261.27</v>
      </c>
      <c r="W46" s="65" t="n">
        <v>114.67</v>
      </c>
      <c r="X46" s="65"/>
      <c r="Y46" s="65" t="n">
        <v>47.48</v>
      </c>
      <c r="Z46" s="65" t="n">
        <v>157.19</v>
      </c>
      <c r="AA46" s="65" t="n">
        <v>64.76</v>
      </c>
    </row>
    <row r="47" customFormat="false" ht="15" hidden="false" customHeight="true" outlineLevel="0" collapsed="false">
      <c r="A47" s="68" t="n">
        <v>45492</v>
      </c>
      <c r="B47" s="65" t="n">
        <v>551</v>
      </c>
      <c r="C47" s="65" t="n">
        <v>82.64</v>
      </c>
      <c r="D47" s="65" t="n">
        <v>878.98</v>
      </c>
      <c r="E47" s="65" t="n">
        <v>154.16</v>
      </c>
      <c r="F47" s="65" t="n">
        <v>76.24</v>
      </c>
      <c r="G47" s="65" t="n">
        <v>74.98</v>
      </c>
      <c r="H47" s="65" t="n">
        <v>113.55</v>
      </c>
      <c r="I47" s="65" t="n">
        <v>117.6</v>
      </c>
      <c r="J47" s="65" t="n">
        <v>114.9</v>
      </c>
      <c r="K47" s="65" t="n">
        <v>28.58</v>
      </c>
      <c r="L47" s="65" t="n">
        <v>161.18</v>
      </c>
      <c r="M47" s="65" t="n">
        <v>85.08</v>
      </c>
      <c r="N47" s="65" t="n">
        <v>491.57</v>
      </c>
      <c r="O47" s="65" t="n">
        <v>92.37</v>
      </c>
      <c r="P47" s="65" t="n">
        <v>116.79</v>
      </c>
      <c r="Q47" s="65" t="n">
        <v>57.93</v>
      </c>
      <c r="R47" s="65" t="n">
        <v>42</v>
      </c>
      <c r="S47" s="65" t="n">
        <v>84.92</v>
      </c>
      <c r="T47" s="65" t="n">
        <v>31</v>
      </c>
      <c r="U47" s="65" t="n">
        <v>24.93</v>
      </c>
      <c r="V47" s="65" t="n">
        <v>260.99</v>
      </c>
      <c r="W47" s="65" t="n">
        <v>115.57</v>
      </c>
      <c r="X47" s="65"/>
      <c r="Y47" s="65" t="n">
        <v>47.37</v>
      </c>
      <c r="Z47" s="65" t="n">
        <v>157.31</v>
      </c>
      <c r="AA47" s="65" t="n">
        <v>63.33</v>
      </c>
    </row>
    <row r="48" customFormat="false" ht="15" hidden="false" customHeight="true" outlineLevel="0" collapsed="false">
      <c r="A48" s="68" t="n">
        <v>45499</v>
      </c>
      <c r="B48" s="65" t="n">
        <v>542.44</v>
      </c>
      <c r="C48" s="65" t="n">
        <v>79.8</v>
      </c>
      <c r="D48" s="65" t="n">
        <v>872.13</v>
      </c>
      <c r="E48" s="65" t="n">
        <v>148.56</v>
      </c>
      <c r="F48" s="65" t="n">
        <v>64.04</v>
      </c>
      <c r="G48" s="65" t="n">
        <v>77.43</v>
      </c>
      <c r="H48" s="65" t="n">
        <v>108.73</v>
      </c>
      <c r="I48" s="65" t="n">
        <v>112.75</v>
      </c>
      <c r="J48" s="65" t="n">
        <v>113.9</v>
      </c>
      <c r="K48" s="65" t="n">
        <v>27.18</v>
      </c>
      <c r="L48" s="65" t="n">
        <v>157.46</v>
      </c>
      <c r="M48" s="65" t="n">
        <v>76.91</v>
      </c>
      <c r="N48" s="65" t="n">
        <v>495.26</v>
      </c>
      <c r="O48" s="65" t="n">
        <v>95.72</v>
      </c>
      <c r="P48" s="65" t="n">
        <v>119.26</v>
      </c>
      <c r="Q48" s="65" t="n">
        <v>57.69</v>
      </c>
      <c r="R48" s="65" t="n">
        <v>41.05</v>
      </c>
      <c r="S48" s="65" t="n">
        <v>83.32</v>
      </c>
      <c r="T48" s="65" t="n">
        <v>31.56</v>
      </c>
      <c r="U48" s="65" t="n">
        <v>25.35</v>
      </c>
      <c r="V48" s="65" t="n">
        <v>255.09</v>
      </c>
      <c r="W48" s="65" t="n">
        <v>116.6</v>
      </c>
      <c r="X48" s="65"/>
      <c r="Y48" s="65" t="n">
        <v>47.53</v>
      </c>
      <c r="Z48" s="65" t="n">
        <v>167.87</v>
      </c>
      <c r="AA48" s="65" t="n">
        <v>63.14</v>
      </c>
    </row>
    <row r="49" customFormat="false" ht="15" hidden="false" customHeight="true" outlineLevel="0" collapsed="false">
      <c r="A49" s="68" t="n">
        <v>45506</v>
      </c>
      <c r="B49" s="65" t="n">
        <v>526.17</v>
      </c>
      <c r="C49" s="65" t="n">
        <v>79.83</v>
      </c>
      <c r="D49" s="65" t="n">
        <v>796.01</v>
      </c>
      <c r="E49" s="65" t="n">
        <v>140.91</v>
      </c>
      <c r="F49" s="65" t="n">
        <v>54.47</v>
      </c>
      <c r="G49" s="65" t="n">
        <v>68.46</v>
      </c>
      <c r="H49" s="65" t="n">
        <v>92.12</v>
      </c>
      <c r="I49" s="65" t="n">
        <v>106.97</v>
      </c>
      <c r="J49" s="65" t="n">
        <v>115.11</v>
      </c>
      <c r="K49" s="65" t="n">
        <v>24.74</v>
      </c>
      <c r="L49" s="65" t="n">
        <v>145.71</v>
      </c>
      <c r="M49" s="65" t="n">
        <v>69.27</v>
      </c>
      <c r="N49" s="65" t="n">
        <v>494.46</v>
      </c>
      <c r="O49" s="65" t="n">
        <v>88.88</v>
      </c>
      <c r="P49" s="65" t="n">
        <v>117.54</v>
      </c>
      <c r="Q49" s="65" t="n">
        <v>57.07</v>
      </c>
      <c r="R49" s="65" t="n">
        <v>39.96</v>
      </c>
      <c r="S49" s="65" t="n">
        <v>80.84</v>
      </c>
      <c r="T49" s="65" t="n">
        <v>30.65</v>
      </c>
      <c r="U49" s="65" t="n">
        <v>24.84</v>
      </c>
      <c r="V49" s="65" t="n">
        <v>262.1</v>
      </c>
      <c r="W49" s="65" t="n">
        <v>113.85</v>
      </c>
      <c r="X49" s="65"/>
      <c r="Y49" s="65" t="n">
        <v>47.27</v>
      </c>
      <c r="Z49" s="65" t="n">
        <v>158.45</v>
      </c>
      <c r="AA49" s="65" t="n">
        <v>61.36</v>
      </c>
    </row>
    <row r="50" customFormat="false" ht="15" hidden="false" customHeight="true" outlineLevel="0" collapsed="false">
      <c r="A50" s="68" t="n">
        <v>45513</v>
      </c>
      <c r="B50" s="65" t="n">
        <v>536.3</v>
      </c>
      <c r="C50" s="65" t="n">
        <v>83.95</v>
      </c>
      <c r="D50" s="65" t="n">
        <v>846.36</v>
      </c>
      <c r="E50" s="65" t="n">
        <v>145.26</v>
      </c>
      <c r="F50" s="65" t="n">
        <v>60.22</v>
      </c>
      <c r="G50" s="65" t="n">
        <v>73.43</v>
      </c>
      <c r="H50" s="65" t="n">
        <v>92.5</v>
      </c>
      <c r="I50" s="65" t="n">
        <v>104.46</v>
      </c>
      <c r="J50" s="65" t="n">
        <v>113.18</v>
      </c>
      <c r="K50" s="65" t="n">
        <v>30.01</v>
      </c>
      <c r="L50" s="65" t="n">
        <v>162.49</v>
      </c>
      <c r="M50" s="65" t="n">
        <v>71.27</v>
      </c>
      <c r="N50" s="65" t="n">
        <v>468.45</v>
      </c>
      <c r="O50" s="65" t="n">
        <v>87.31</v>
      </c>
      <c r="P50" s="65" t="n">
        <v>116.35</v>
      </c>
      <c r="Q50" s="65" t="n">
        <v>57.11</v>
      </c>
      <c r="R50" s="65" t="n">
        <v>40.07</v>
      </c>
      <c r="S50" s="65" t="n">
        <v>82.24</v>
      </c>
      <c r="T50" s="65" t="n">
        <v>30.62</v>
      </c>
      <c r="U50" s="65" t="n">
        <v>24.64</v>
      </c>
      <c r="V50" s="65" t="n">
        <v>255.9</v>
      </c>
      <c r="W50" s="65" t="n">
        <v>113.61</v>
      </c>
      <c r="X50" s="65"/>
      <c r="Y50" s="65" t="n">
        <v>47.3</v>
      </c>
      <c r="Z50" s="65" t="n">
        <v>165.22</v>
      </c>
      <c r="AA50" s="65" t="n">
        <v>63.39</v>
      </c>
    </row>
    <row r="51" customFormat="false" ht="15" hidden="false" customHeight="true" outlineLevel="0" collapsed="false">
      <c r="A51" s="68" t="n">
        <v>45520</v>
      </c>
      <c r="B51" s="65" t="n">
        <v>553.46</v>
      </c>
      <c r="C51" s="65" t="n">
        <v>88.47</v>
      </c>
      <c r="D51" s="65" t="n">
        <v>903.52</v>
      </c>
      <c r="E51" s="65" t="n">
        <v>162.37</v>
      </c>
      <c r="F51" s="65" t="n">
        <v>65.64</v>
      </c>
      <c r="G51" s="65" t="n">
        <v>80.74</v>
      </c>
      <c r="H51" s="65" t="n">
        <v>107.32</v>
      </c>
      <c r="I51" s="65" t="n">
        <v>124.24</v>
      </c>
      <c r="J51" s="65" t="n">
        <v>114.06</v>
      </c>
      <c r="K51" s="65" t="n">
        <v>32.08</v>
      </c>
      <c r="L51" s="65" t="n">
        <v>169.71</v>
      </c>
      <c r="M51" s="65" t="n">
        <v>79.21</v>
      </c>
      <c r="N51" s="65" t="n">
        <v>477.37</v>
      </c>
      <c r="O51" s="65" t="n">
        <v>89.81</v>
      </c>
      <c r="P51" s="65" t="n">
        <v>119.33</v>
      </c>
      <c r="Q51" s="65" t="n">
        <v>58.6</v>
      </c>
      <c r="R51" s="65" t="n">
        <v>41.76</v>
      </c>
      <c r="S51" s="65" t="n">
        <v>86.93</v>
      </c>
      <c r="T51" s="65" t="n">
        <v>31.12</v>
      </c>
      <c r="U51" s="65" t="n">
        <v>25.2</v>
      </c>
      <c r="V51" s="65" t="n">
        <v>263.41</v>
      </c>
      <c r="W51" s="65" t="n">
        <v>116.79</v>
      </c>
      <c r="X51" s="65"/>
      <c r="Y51" s="65" t="n">
        <v>48.31</v>
      </c>
      <c r="Z51" s="65" t="n">
        <v>167.48</v>
      </c>
      <c r="AA51" s="65" t="n">
        <v>67.41</v>
      </c>
    </row>
    <row r="52" customFormat="false" ht="15" hidden="false" customHeight="true" outlineLevel="0" collapsed="false">
      <c r="A52" s="68" t="n">
        <v>45527</v>
      </c>
      <c r="B52" s="65" t="n">
        <v>558.3</v>
      </c>
      <c r="C52" s="65" t="n">
        <v>88.78</v>
      </c>
      <c r="D52" s="65" t="n">
        <v>892.3</v>
      </c>
      <c r="E52" s="65" t="n">
        <v>162.99</v>
      </c>
      <c r="F52" s="65" t="n">
        <v>67.89</v>
      </c>
      <c r="G52" s="65" t="n">
        <v>80.57</v>
      </c>
      <c r="H52" s="65" t="n">
        <v>102.21</v>
      </c>
      <c r="I52" s="65" t="n">
        <v>129.01</v>
      </c>
      <c r="J52" s="65" t="n">
        <v>119.64</v>
      </c>
      <c r="K52" s="65" t="n">
        <v>31.78</v>
      </c>
      <c r="L52" s="65" t="n">
        <v>166.54</v>
      </c>
      <c r="M52" s="65" t="n">
        <v>78.34</v>
      </c>
      <c r="N52" s="65" t="n">
        <v>481.24</v>
      </c>
      <c r="O52" s="65" t="n">
        <v>92.6</v>
      </c>
      <c r="P52" s="65" t="n">
        <v>121.81</v>
      </c>
      <c r="Q52" s="65" t="n">
        <v>59.12</v>
      </c>
      <c r="R52" s="65" t="n">
        <v>42.11</v>
      </c>
      <c r="S52" s="65" t="n">
        <v>88.13</v>
      </c>
      <c r="T52" s="65" t="n">
        <v>32.14</v>
      </c>
      <c r="U52" s="65" t="n">
        <v>25.67</v>
      </c>
      <c r="V52" s="65" t="n">
        <v>263.47</v>
      </c>
      <c r="W52" s="65" t="n">
        <v>118.72</v>
      </c>
      <c r="X52" s="65"/>
      <c r="Y52" s="65" t="n">
        <v>48.73</v>
      </c>
      <c r="Z52" s="65" t="n">
        <v>169.26</v>
      </c>
      <c r="AA52" s="65" t="n">
        <v>68.67</v>
      </c>
    </row>
    <row r="53" customFormat="false" ht="15" hidden="false" customHeight="true" outlineLevel="0" collapsed="false">
      <c r="A53" s="68" t="n">
        <v>45534</v>
      </c>
      <c r="B53" s="65" t="n">
        <v>574.41</v>
      </c>
      <c r="C53" s="65" t="n">
        <v>88.35</v>
      </c>
      <c r="D53" s="65" t="n">
        <v>888.97</v>
      </c>
      <c r="E53" s="65" t="n">
        <v>159.52</v>
      </c>
      <c r="F53" s="65" t="n">
        <v>69.32</v>
      </c>
      <c r="G53" s="65" t="n">
        <v>80.72</v>
      </c>
      <c r="H53" s="65" t="n">
        <v>95.64</v>
      </c>
      <c r="I53" s="65" t="n">
        <v>119.04</v>
      </c>
      <c r="J53" s="65" t="n">
        <v>118.67</v>
      </c>
      <c r="K53" s="65" t="n">
        <v>31.48</v>
      </c>
      <c r="L53" s="65" t="n">
        <v>166.95</v>
      </c>
      <c r="M53" s="65" t="n">
        <v>82.81</v>
      </c>
      <c r="N53" s="65" t="n">
        <v>495.89</v>
      </c>
      <c r="O53" s="65" t="n">
        <v>92.65</v>
      </c>
      <c r="P53" s="65" t="n">
        <v>123.48</v>
      </c>
      <c r="Q53" s="65" t="n">
        <v>59.33</v>
      </c>
      <c r="R53" s="65" t="n">
        <v>42.25</v>
      </c>
      <c r="S53" s="65" t="n">
        <v>87.78</v>
      </c>
      <c r="T53" s="65" t="n">
        <v>32.24</v>
      </c>
      <c r="U53" s="65" t="n">
        <v>25.99</v>
      </c>
      <c r="V53" s="65" t="n">
        <v>272.27</v>
      </c>
      <c r="W53" s="65" t="n">
        <v>120.22</v>
      </c>
      <c r="X53" s="65"/>
      <c r="Y53" s="65" t="n">
        <v>49.33</v>
      </c>
      <c r="Z53" s="65" t="n">
        <v>172.62</v>
      </c>
      <c r="AA53" s="65" t="n">
        <v>70.14</v>
      </c>
    </row>
    <row r="54" customFormat="false" ht="15" hidden="false" customHeight="true" outlineLevel="0" collapsed="false">
      <c r="A54" s="68" t="n">
        <v>45541</v>
      </c>
      <c r="B54" s="65" t="n">
        <v>563.41</v>
      </c>
      <c r="C54" s="65" t="n">
        <v>78.58</v>
      </c>
      <c r="D54" s="65" t="n">
        <v>740.38</v>
      </c>
      <c r="E54" s="65" t="n">
        <v>134.23</v>
      </c>
      <c r="F54" s="65" t="n">
        <v>61.6</v>
      </c>
      <c r="G54" s="65" t="n">
        <v>69.23</v>
      </c>
      <c r="H54" s="65" t="n">
        <v>85.84</v>
      </c>
      <c r="I54" s="65" t="n">
        <v>102.55</v>
      </c>
      <c r="J54" s="65" t="n">
        <v>118.13</v>
      </c>
      <c r="K54" s="65" t="n">
        <v>30.33</v>
      </c>
      <c r="L54" s="65" t="n">
        <v>152.48</v>
      </c>
      <c r="M54" s="65" t="n">
        <v>71.58</v>
      </c>
      <c r="N54" s="65" t="n">
        <v>468</v>
      </c>
      <c r="O54" s="65" t="n">
        <v>87.4</v>
      </c>
      <c r="P54" s="65" t="n">
        <v>120.84</v>
      </c>
      <c r="Q54" s="65" t="n">
        <v>57.73</v>
      </c>
      <c r="R54" s="65" t="n">
        <v>40.55</v>
      </c>
      <c r="S54" s="65" t="n">
        <v>82.53</v>
      </c>
      <c r="T54" s="65" t="n">
        <v>30.91</v>
      </c>
      <c r="U54" s="65" t="n">
        <v>25.21</v>
      </c>
      <c r="V54" s="65" t="n">
        <v>275.22</v>
      </c>
      <c r="W54" s="65" t="n">
        <v>116.18</v>
      </c>
      <c r="X54" s="65"/>
      <c r="Y54" s="65" t="n">
        <v>48.57</v>
      </c>
      <c r="Z54" s="65" t="n">
        <v>159.39</v>
      </c>
      <c r="AA54" s="65" t="n">
        <v>66.58</v>
      </c>
    </row>
    <row r="55" customFormat="false" ht="15" hidden="false" customHeight="true" outlineLevel="0" collapsed="false">
      <c r="A55" s="68" t="n">
        <v>45548</v>
      </c>
      <c r="B55" s="65" t="n">
        <v>536.87</v>
      </c>
      <c r="C55" s="65" t="n">
        <v>89.94</v>
      </c>
      <c r="D55" s="65" t="n">
        <v>802.9</v>
      </c>
      <c r="E55" s="65" t="n">
        <v>164.3</v>
      </c>
      <c r="F55" s="65" t="n">
        <v>64.78</v>
      </c>
      <c r="G55" s="65" t="n">
        <v>74.03</v>
      </c>
      <c r="H55" s="65" t="n">
        <v>90.65</v>
      </c>
      <c r="I55" s="65" t="n">
        <v>118.78</v>
      </c>
      <c r="J55" s="65" t="n">
        <v>120.68</v>
      </c>
      <c r="K55" s="65" t="n">
        <v>35.59</v>
      </c>
      <c r="L55" s="65" t="n">
        <v>168.34</v>
      </c>
      <c r="M55" s="65" t="n">
        <v>85.53</v>
      </c>
      <c r="N55" s="65" t="n">
        <v>485.37</v>
      </c>
      <c r="O55" s="65" t="n">
        <v>89.92</v>
      </c>
      <c r="P55" s="65" t="n">
        <v>123.08</v>
      </c>
      <c r="Q55" s="65" t="n">
        <v>59.23</v>
      </c>
      <c r="R55" s="65" t="n">
        <v>42.43</v>
      </c>
      <c r="S55" s="65" t="n">
        <v>87.61</v>
      </c>
      <c r="T55" s="65" t="n">
        <v>31.7</v>
      </c>
      <c r="U55" s="65" t="n">
        <v>25.63</v>
      </c>
      <c r="V55" s="65" t="n">
        <v>283.08</v>
      </c>
      <c r="W55" s="65" t="n">
        <v>118.96</v>
      </c>
      <c r="X55" s="65"/>
      <c r="Y55" s="65" t="n">
        <v>49.67</v>
      </c>
      <c r="Z55" s="65" t="n">
        <v>176.24</v>
      </c>
      <c r="AA55" s="65" t="n">
        <v>69.71</v>
      </c>
    </row>
    <row r="56" customFormat="false" ht="15" hidden="false" customHeight="true" outlineLevel="0" collapsed="false">
      <c r="A56" s="68" t="n">
        <v>45555</v>
      </c>
      <c r="B56" s="65" t="n">
        <v>522.3</v>
      </c>
      <c r="C56" s="65" t="n">
        <v>96.11</v>
      </c>
      <c r="D56" s="65" t="n">
        <v>782.17</v>
      </c>
      <c r="E56" s="65" t="n">
        <v>168.19</v>
      </c>
      <c r="F56" s="65" t="n">
        <v>74.96</v>
      </c>
      <c r="G56" s="65" t="n">
        <v>74.76</v>
      </c>
      <c r="H56" s="65" t="n">
        <v>90.33</v>
      </c>
      <c r="I56" s="65" t="n">
        <v>115.69</v>
      </c>
      <c r="J56" s="65" t="n">
        <v>117.36</v>
      </c>
      <c r="K56" s="65" t="n">
        <v>37.2</v>
      </c>
      <c r="L56" s="65" t="n">
        <v>169.89</v>
      </c>
      <c r="M56" s="65" t="n">
        <v>94.31</v>
      </c>
      <c r="N56" s="65" t="n">
        <v>464.92</v>
      </c>
      <c r="O56" s="65" t="n">
        <v>92.64</v>
      </c>
      <c r="P56" s="65" t="n">
        <v>124.57</v>
      </c>
      <c r="Q56" s="65" t="n">
        <v>59.72</v>
      </c>
      <c r="R56" s="65" t="n">
        <v>42.96</v>
      </c>
      <c r="S56" s="65" t="n">
        <v>89.03</v>
      </c>
      <c r="T56" s="65" t="n">
        <v>32.25</v>
      </c>
      <c r="U56" s="65" t="n">
        <v>25.97</v>
      </c>
      <c r="V56" s="65" t="n">
        <v>280.54</v>
      </c>
      <c r="W56" s="65" t="n">
        <v>120.69</v>
      </c>
      <c r="X56" s="65"/>
      <c r="Y56" s="65" t="n">
        <v>49.94</v>
      </c>
      <c r="Z56" s="65" t="n">
        <v>185.29</v>
      </c>
      <c r="AA56" s="65" t="n">
        <v>70.1</v>
      </c>
    </row>
    <row r="57" customFormat="false" ht="15" hidden="false" customHeight="true" outlineLevel="0" collapsed="false">
      <c r="A57" s="68" t="n">
        <v>45562</v>
      </c>
      <c r="B57" s="65" t="n">
        <v>515.48</v>
      </c>
      <c r="C57" s="65" t="n">
        <v>95.07</v>
      </c>
      <c r="D57" s="65" t="n">
        <v>827.67</v>
      </c>
      <c r="E57" s="65" t="n">
        <v>169.75</v>
      </c>
      <c r="F57" s="65" t="n">
        <v>71.46</v>
      </c>
      <c r="G57" s="65" t="n">
        <v>77.08</v>
      </c>
      <c r="H57" s="65" t="n">
        <v>106.83</v>
      </c>
      <c r="I57" s="65" t="n">
        <v>121.08</v>
      </c>
      <c r="J57" s="65" t="n">
        <v>117.47</v>
      </c>
      <c r="K57" s="65" t="n">
        <v>36.84</v>
      </c>
      <c r="L57" s="65" t="n">
        <v>173.68</v>
      </c>
      <c r="M57" s="65" t="n">
        <v>98.17</v>
      </c>
      <c r="N57" s="65" t="n">
        <v>462.88</v>
      </c>
      <c r="O57" s="65" t="n">
        <v>92.68</v>
      </c>
      <c r="P57" s="65" t="n">
        <v>125.53</v>
      </c>
      <c r="Q57" s="65" t="n">
        <v>60.13</v>
      </c>
      <c r="R57" s="65" t="n">
        <v>43.26</v>
      </c>
      <c r="S57" s="65" t="n">
        <v>88.91</v>
      </c>
      <c r="T57" s="65" t="n">
        <v>32.32</v>
      </c>
      <c r="U57" s="65" t="n">
        <v>26.13</v>
      </c>
      <c r="V57" s="65" t="n">
        <v>271.08</v>
      </c>
      <c r="W57" s="65" t="n">
        <v>121.41</v>
      </c>
      <c r="X57" s="65"/>
      <c r="Y57" s="65" t="n">
        <v>50.16</v>
      </c>
      <c r="Z57" s="65" t="n">
        <v>183.53</v>
      </c>
      <c r="AA57" s="65" t="n">
        <v>70.74</v>
      </c>
    </row>
    <row r="58" customFormat="false" ht="15" hidden="false" customHeight="true" outlineLevel="0" collapsed="false">
      <c r="A58" s="68" t="n">
        <v>45569</v>
      </c>
      <c r="B58" s="65" t="n">
        <v>507.22</v>
      </c>
      <c r="C58" s="65" t="n">
        <v>98.99</v>
      </c>
      <c r="D58" s="65" t="n">
        <v>819.27</v>
      </c>
      <c r="E58" s="65" t="n">
        <v>173.63</v>
      </c>
      <c r="F58" s="65" t="n">
        <v>73.06</v>
      </c>
      <c r="G58" s="65" t="n">
        <v>77.57</v>
      </c>
      <c r="H58" s="65" t="n">
        <v>101.61</v>
      </c>
      <c r="I58" s="65" t="n">
        <v>124.59</v>
      </c>
      <c r="J58" s="65" t="n">
        <v>114.51</v>
      </c>
      <c r="K58" s="65" t="n">
        <v>40.01</v>
      </c>
      <c r="L58" s="65" t="n">
        <v>176.8</v>
      </c>
      <c r="M58" s="65" t="n">
        <v>104.95</v>
      </c>
      <c r="N58" s="65" t="n">
        <v>455.31</v>
      </c>
      <c r="O58" s="65" t="n">
        <v>92.94</v>
      </c>
      <c r="P58" s="65" t="n">
        <v>125.03</v>
      </c>
      <c r="Q58" s="65" t="n">
        <v>60.21</v>
      </c>
      <c r="R58" s="65" t="n">
        <v>43.36</v>
      </c>
      <c r="S58" s="65" t="n">
        <v>90.24</v>
      </c>
      <c r="T58" s="65" t="n">
        <v>32.92</v>
      </c>
      <c r="U58" s="65" t="n">
        <v>26.26</v>
      </c>
      <c r="V58" s="65" t="n">
        <v>273.8</v>
      </c>
      <c r="W58" s="65" t="n">
        <v>122.28</v>
      </c>
      <c r="X58" s="65"/>
      <c r="Y58" s="65" t="n">
        <v>50.27</v>
      </c>
      <c r="Z58" s="65" t="n">
        <v>185.22</v>
      </c>
      <c r="AA58" s="65" t="n">
        <v>71.97</v>
      </c>
    </row>
    <row r="59" customFormat="false" ht="15" hidden="false" customHeight="true" outlineLevel="0" collapsed="false">
      <c r="A59" s="68" t="n">
        <v>45576</v>
      </c>
      <c r="B59" s="65" t="n">
        <v>495.42</v>
      </c>
      <c r="C59" s="65" t="n">
        <v>104.23</v>
      </c>
      <c r="D59" s="65" t="n">
        <v>826.83</v>
      </c>
      <c r="E59" s="65" t="n">
        <v>178.39</v>
      </c>
      <c r="F59" s="65" t="n">
        <v>80.05</v>
      </c>
      <c r="G59" s="65" t="n">
        <v>79.18</v>
      </c>
      <c r="H59" s="65" t="n">
        <v>106.37</v>
      </c>
      <c r="I59" s="65" t="n">
        <v>134.44</v>
      </c>
      <c r="J59" s="65" t="n">
        <v>112.47</v>
      </c>
      <c r="K59" s="65" t="n">
        <v>43.51</v>
      </c>
      <c r="L59" s="65" t="n">
        <v>186.21</v>
      </c>
      <c r="M59" s="65" t="n">
        <v>111.57</v>
      </c>
      <c r="N59" s="65" t="n">
        <v>481.71</v>
      </c>
      <c r="O59" s="65" t="n">
        <v>94.05</v>
      </c>
      <c r="P59" s="65" t="n">
        <v>125.1</v>
      </c>
      <c r="Q59" s="65" t="n">
        <v>60.7</v>
      </c>
      <c r="R59" s="65" t="n">
        <v>43.75</v>
      </c>
      <c r="S59" s="65" t="n">
        <v>92.19</v>
      </c>
      <c r="T59" s="65" t="n">
        <v>33.06</v>
      </c>
      <c r="U59" s="65" t="n">
        <v>26.56</v>
      </c>
      <c r="V59" s="65" t="n">
        <v>273.71</v>
      </c>
      <c r="W59" s="65" t="n">
        <v>123.64</v>
      </c>
      <c r="X59" s="65"/>
      <c r="Y59" s="65" t="n">
        <v>50.54</v>
      </c>
      <c r="Z59" s="65" t="n">
        <v>189.26</v>
      </c>
      <c r="AA59" s="65" t="n">
        <v>72.28</v>
      </c>
    </row>
    <row r="60" customFormat="false" ht="15" hidden="false" customHeight="true" outlineLevel="0" collapsed="false">
      <c r="A60" s="68" t="n">
        <v>45583</v>
      </c>
      <c r="B60" s="65" t="n">
        <v>494.9</v>
      </c>
      <c r="C60" s="65" t="n">
        <v>100.5</v>
      </c>
      <c r="D60" s="65" t="n">
        <v>711.34</v>
      </c>
      <c r="E60" s="65" t="n">
        <v>176.83</v>
      </c>
      <c r="F60" s="65" t="n">
        <v>77.54</v>
      </c>
      <c r="G60" s="65" t="n">
        <v>66.84</v>
      </c>
      <c r="H60" s="65" t="n">
        <v>110.58</v>
      </c>
      <c r="I60" s="65" t="n">
        <v>137.63</v>
      </c>
      <c r="J60" s="65" t="n">
        <v>114.58</v>
      </c>
      <c r="K60" s="65" t="n">
        <v>42.97</v>
      </c>
      <c r="L60" s="65" t="n">
        <v>195.94</v>
      </c>
      <c r="M60" s="65" t="n">
        <v>111.98</v>
      </c>
      <c r="N60" s="65" t="n">
        <v>483</v>
      </c>
      <c r="O60" s="65" t="n">
        <v>95.23</v>
      </c>
      <c r="P60" s="65" t="n">
        <v>127.52</v>
      </c>
      <c r="Q60" s="65" t="n">
        <v>61.2</v>
      </c>
      <c r="R60" s="65" t="n">
        <v>44.08</v>
      </c>
      <c r="S60" s="65" t="n">
        <v>92.59</v>
      </c>
      <c r="T60" s="65" t="n">
        <v>32.9</v>
      </c>
      <c r="U60" s="65" t="n">
        <v>26.81</v>
      </c>
      <c r="V60" s="65" t="n">
        <v>286.3</v>
      </c>
      <c r="W60" s="65" t="n">
        <v>124.89</v>
      </c>
      <c r="X60" s="65"/>
      <c r="Y60" s="65" t="n">
        <v>50.91</v>
      </c>
      <c r="Z60" s="65" t="n">
        <v>190.69</v>
      </c>
      <c r="AA60" s="65" t="n">
        <v>76.39</v>
      </c>
    </row>
    <row r="61" customFormat="false" ht="15" hidden="false" customHeight="true" outlineLevel="0" collapsed="false">
      <c r="A61" s="68" t="n">
        <v>45590</v>
      </c>
      <c r="B61" s="65" t="n">
        <v>483.72</v>
      </c>
      <c r="C61" s="65" t="n">
        <v>98.52</v>
      </c>
      <c r="D61" s="65" t="n">
        <v>699.97</v>
      </c>
      <c r="E61" s="65" t="n">
        <v>170.06</v>
      </c>
      <c r="F61" s="65" t="n">
        <v>75.15</v>
      </c>
      <c r="G61" s="65" t="n">
        <v>66.31</v>
      </c>
      <c r="H61" s="65" t="n">
        <v>107.36</v>
      </c>
      <c r="I61" s="65" t="n">
        <v>141.16</v>
      </c>
      <c r="J61" s="65" t="n">
        <v>109.94</v>
      </c>
      <c r="K61" s="65" t="n">
        <v>44.86</v>
      </c>
      <c r="L61" s="65" t="n">
        <v>198.54</v>
      </c>
      <c r="M61" s="65" t="n">
        <v>111.9</v>
      </c>
      <c r="N61" s="65" t="n">
        <v>477.7</v>
      </c>
      <c r="O61" s="65" t="n">
        <v>92.06</v>
      </c>
      <c r="P61" s="65" t="n">
        <v>124.51</v>
      </c>
      <c r="Q61" s="65" t="n">
        <v>61.03</v>
      </c>
      <c r="R61" s="65" t="n">
        <v>44.18</v>
      </c>
      <c r="S61" s="65" t="n">
        <v>91.23</v>
      </c>
      <c r="T61" s="65" t="n">
        <v>32.27</v>
      </c>
      <c r="U61" s="65" t="n">
        <v>26.19</v>
      </c>
      <c r="V61" s="65" t="n">
        <v>277.55</v>
      </c>
      <c r="W61" s="65" t="n">
        <v>122.04</v>
      </c>
      <c r="X61" s="65"/>
      <c r="Y61" s="65" t="n">
        <v>50.34</v>
      </c>
      <c r="Z61" s="65" t="n">
        <v>177.32</v>
      </c>
      <c r="AA61" s="65" t="n">
        <v>75.47</v>
      </c>
    </row>
    <row r="62" customFormat="false" ht="15" hidden="false" customHeight="true" outlineLevel="0" collapsed="false">
      <c r="A62" s="68" t="n">
        <v>45597</v>
      </c>
      <c r="B62" s="65" t="n">
        <v>482.8</v>
      </c>
      <c r="C62" s="65" t="n">
        <v>98.54</v>
      </c>
      <c r="D62" s="65" t="n">
        <v>665.15</v>
      </c>
      <c r="E62" s="65" t="n">
        <v>166.04</v>
      </c>
      <c r="F62" s="65" t="n">
        <v>75.78</v>
      </c>
      <c r="G62" s="65" t="n">
        <v>65.94</v>
      </c>
      <c r="H62" s="65" t="n">
        <v>99.22</v>
      </c>
      <c r="I62" s="65" t="n">
        <v>135.04</v>
      </c>
      <c r="J62" s="65" t="n">
        <v>106.07</v>
      </c>
      <c r="K62" s="65" t="n">
        <v>41.92</v>
      </c>
      <c r="L62" s="65" t="n">
        <v>188.3</v>
      </c>
      <c r="M62" s="65" t="n">
        <v>106.64</v>
      </c>
      <c r="N62" s="65" t="n">
        <v>471.12</v>
      </c>
      <c r="O62" s="65" t="n">
        <v>91.84</v>
      </c>
      <c r="P62" s="65" t="n">
        <v>124.39</v>
      </c>
      <c r="Q62" s="65" t="n">
        <v>60.49</v>
      </c>
      <c r="R62" s="65" t="n">
        <v>43.81</v>
      </c>
      <c r="S62" s="65" t="n">
        <v>89.98</v>
      </c>
      <c r="T62" s="65" t="n">
        <v>32.29</v>
      </c>
      <c r="U62" s="65" t="n">
        <v>26.15</v>
      </c>
      <c r="V62" s="65" t="n">
        <v>286.42</v>
      </c>
      <c r="W62" s="65" t="n">
        <v>121.19</v>
      </c>
      <c r="X62" s="65"/>
      <c r="Y62" s="65" t="n">
        <v>50.01</v>
      </c>
      <c r="Z62" s="65" t="n">
        <v>169.99</v>
      </c>
      <c r="AA62" s="65" t="n">
        <v>75.61</v>
      </c>
    </row>
    <row r="63" customFormat="false" ht="15" hidden="false" customHeight="true" outlineLevel="0" collapsed="false">
      <c r="A63" s="68" t="n">
        <v>45604</v>
      </c>
      <c r="B63" s="65" t="n">
        <v>494.68</v>
      </c>
      <c r="C63" s="65" t="n">
        <v>100.11</v>
      </c>
      <c r="D63" s="65" t="n">
        <v>659.96</v>
      </c>
      <c r="E63" s="65" t="n">
        <v>180.51</v>
      </c>
      <c r="F63" s="65" t="n">
        <v>82.51</v>
      </c>
      <c r="G63" s="65" t="n">
        <v>67.72</v>
      </c>
      <c r="H63" s="65" t="n">
        <v>111.33</v>
      </c>
      <c r="I63" s="65" t="n">
        <v>147.23</v>
      </c>
      <c r="J63" s="65" t="n">
        <v>108.34</v>
      </c>
      <c r="K63" s="65" t="n">
        <v>58.39</v>
      </c>
      <c r="L63" s="65" t="n">
        <v>196.35</v>
      </c>
      <c r="M63" s="65" t="n">
        <v>125.45</v>
      </c>
      <c r="N63" s="65" t="n">
        <v>516.74</v>
      </c>
      <c r="O63" s="65" t="n">
        <v>99.98</v>
      </c>
      <c r="P63" s="65" t="n">
        <v>128.71</v>
      </c>
      <c r="Q63" s="65" t="n">
        <v>61.96</v>
      </c>
      <c r="R63" s="65" t="n">
        <v>45.5</v>
      </c>
      <c r="S63" s="65" t="n">
        <v>95.36</v>
      </c>
      <c r="T63" s="65" t="n">
        <v>34.79</v>
      </c>
      <c r="U63" s="65" t="n">
        <v>27.06</v>
      </c>
      <c r="V63" s="65" t="n">
        <v>303.3</v>
      </c>
      <c r="W63" s="65" t="n">
        <v>125.91</v>
      </c>
      <c r="X63" s="65"/>
      <c r="Y63" s="65" t="n">
        <v>51.35</v>
      </c>
      <c r="Z63" s="65" t="n">
        <v>182.97</v>
      </c>
      <c r="AA63" s="65" t="n">
        <v>79.5</v>
      </c>
    </row>
    <row r="64" customFormat="false" ht="15" hidden="false" customHeight="true" outlineLevel="0" collapsed="false">
      <c r="A64" s="68" t="n">
        <v>45611</v>
      </c>
      <c r="B64" s="65" t="n">
        <v>503.37</v>
      </c>
      <c r="C64" s="65" t="n">
        <v>93.6</v>
      </c>
      <c r="D64" s="65" t="n">
        <v>649.28</v>
      </c>
      <c r="E64" s="65" t="n">
        <v>162.03</v>
      </c>
      <c r="F64" s="65" t="n">
        <v>84.19</v>
      </c>
      <c r="G64" s="65" t="n">
        <v>60.53</v>
      </c>
      <c r="H64" s="65" t="n">
        <v>95.85</v>
      </c>
      <c r="I64" s="65" t="n">
        <v>141.6</v>
      </c>
      <c r="J64" s="65" t="n">
        <v>106.09</v>
      </c>
      <c r="K64" s="65" t="n">
        <v>65.77</v>
      </c>
      <c r="L64" s="65" t="n">
        <v>181.53</v>
      </c>
      <c r="M64" s="65" t="n">
        <v>120.58</v>
      </c>
      <c r="N64" s="65" t="n">
        <v>465.7</v>
      </c>
      <c r="O64" s="65" t="n">
        <v>98.04</v>
      </c>
      <c r="P64" s="65" t="n">
        <v>128.87</v>
      </c>
      <c r="Q64" s="65" t="n">
        <v>61.37</v>
      </c>
      <c r="R64" s="65" t="n">
        <v>44.75</v>
      </c>
      <c r="S64" s="65" t="n">
        <v>92.42</v>
      </c>
      <c r="T64" s="65" t="n">
        <v>34.26</v>
      </c>
      <c r="U64" s="65" t="n">
        <v>26.64</v>
      </c>
      <c r="V64" s="65" t="n">
        <v>305.62</v>
      </c>
      <c r="W64" s="65" t="n">
        <v>124.2</v>
      </c>
      <c r="X64" s="65"/>
      <c r="Y64" s="65" t="n">
        <v>50.7</v>
      </c>
      <c r="Z64" s="65" t="n">
        <v>175.17</v>
      </c>
      <c r="AA64" s="65" t="n">
        <v>82.4</v>
      </c>
    </row>
    <row r="65" customFormat="false" ht="15" hidden="false" customHeight="true" outlineLevel="0" collapsed="false">
      <c r="A65" s="68" t="n">
        <v>45618</v>
      </c>
      <c r="B65" s="65" t="n">
        <v>512.15</v>
      </c>
      <c r="C65" s="65" t="n">
        <v>101.62</v>
      </c>
      <c r="D65" s="65" t="n">
        <v>663.32</v>
      </c>
      <c r="E65" s="65" t="n">
        <v>161.43</v>
      </c>
      <c r="F65" s="65" t="n">
        <v>93.07</v>
      </c>
      <c r="G65" s="65" t="n">
        <v>63.18</v>
      </c>
      <c r="H65" s="65" t="n">
        <v>102.11</v>
      </c>
      <c r="I65" s="65" t="n">
        <v>141.57</v>
      </c>
      <c r="J65" s="65" t="n">
        <v>108.31</v>
      </c>
      <c r="K65" s="65" t="n">
        <v>64.35</v>
      </c>
      <c r="L65" s="65" t="n">
        <v>185.5</v>
      </c>
      <c r="M65" s="65" t="n">
        <v>139.81</v>
      </c>
      <c r="N65" s="65" t="n">
        <v>450.97</v>
      </c>
      <c r="O65" s="65" t="n">
        <v>101.62</v>
      </c>
      <c r="P65" s="65" t="n">
        <v>132.37</v>
      </c>
      <c r="Q65" s="65" t="n">
        <v>61.83</v>
      </c>
      <c r="R65" s="65" t="n">
        <v>45.52</v>
      </c>
      <c r="S65" s="65" t="n">
        <v>94.07</v>
      </c>
      <c r="T65" s="65" t="n">
        <v>35.58</v>
      </c>
      <c r="U65" s="65" t="n">
        <v>27.31</v>
      </c>
      <c r="V65" s="65" t="n">
        <v>305.9</v>
      </c>
      <c r="W65" s="65" t="n">
        <v>126.98</v>
      </c>
      <c r="X65" s="65"/>
      <c r="Y65" s="65" t="n">
        <v>51.46</v>
      </c>
      <c r="Z65" s="65" t="n">
        <v>179.35</v>
      </c>
      <c r="AA65" s="65" t="n">
        <v>89.78</v>
      </c>
    </row>
    <row r="66" customFormat="false" ht="15" hidden="false" customHeight="true" outlineLevel="0" collapsed="false">
      <c r="A66" s="68" t="n">
        <v>45625</v>
      </c>
      <c r="B66" s="65" t="n">
        <v>515.93</v>
      </c>
      <c r="C66" s="65" t="n">
        <v>101.46</v>
      </c>
      <c r="D66" s="65" t="n">
        <v>676.86</v>
      </c>
      <c r="E66" s="65" t="n">
        <v>159.32</v>
      </c>
      <c r="F66" s="65" t="n">
        <v>86.49</v>
      </c>
      <c r="G66" s="65" t="n">
        <v>63.92</v>
      </c>
      <c r="H66" s="65" t="n">
        <v>97.45</v>
      </c>
      <c r="I66" s="65" t="n">
        <v>137.88</v>
      </c>
      <c r="J66" s="65" t="n">
        <v>109.23</v>
      </c>
      <c r="K66" s="65" t="n">
        <v>67.08</v>
      </c>
      <c r="L66" s="65" t="n">
        <v>180.21</v>
      </c>
      <c r="M66" s="65" t="n">
        <v>127.29</v>
      </c>
      <c r="N66" s="65" t="n">
        <v>468.13</v>
      </c>
      <c r="O66" s="65" t="n">
        <v>102.31</v>
      </c>
      <c r="P66" s="65" t="n">
        <v>133.61</v>
      </c>
      <c r="Q66" s="65" t="n">
        <v>62.21</v>
      </c>
      <c r="R66" s="65" t="n">
        <v>45.94</v>
      </c>
      <c r="S66" s="65" t="n">
        <v>95.3</v>
      </c>
      <c r="T66" s="65" t="n">
        <v>35.65</v>
      </c>
      <c r="U66" s="65" t="n">
        <v>27.48</v>
      </c>
      <c r="V66" s="65" t="n">
        <v>310.99</v>
      </c>
      <c r="W66" s="65" t="n">
        <v>128.04</v>
      </c>
      <c r="X66" s="65"/>
      <c r="Y66" s="65" t="n">
        <v>52.03</v>
      </c>
      <c r="Z66" s="65" t="n">
        <v>180.35</v>
      </c>
      <c r="AA66" s="65" t="n">
        <v>88.68</v>
      </c>
    </row>
    <row r="67" customFormat="false" ht="15" hidden="false" customHeight="true" outlineLevel="0" collapsed="false">
      <c r="A67" s="68" t="n">
        <v>45632</v>
      </c>
      <c r="B67" s="65" t="n">
        <v>552.96</v>
      </c>
      <c r="C67" s="65" t="n">
        <v>108.25</v>
      </c>
      <c r="D67" s="65" t="n">
        <v>698.91</v>
      </c>
      <c r="E67" s="65" t="n">
        <v>176.47</v>
      </c>
      <c r="F67" s="65" t="n">
        <v>91.41</v>
      </c>
      <c r="G67" s="65" t="n">
        <v>64.05</v>
      </c>
      <c r="H67" s="65" t="n">
        <v>100.65</v>
      </c>
      <c r="I67" s="65" t="n">
        <v>142.07</v>
      </c>
      <c r="J67" s="65" t="n">
        <v>104.76</v>
      </c>
      <c r="K67" s="65" t="n">
        <v>76.34</v>
      </c>
      <c r="L67" s="65" t="n">
        <v>198.13</v>
      </c>
      <c r="M67" s="65" t="n">
        <v>133.57</v>
      </c>
      <c r="N67" s="65" t="n">
        <v>462.1</v>
      </c>
      <c r="O67" s="65" t="n">
        <v>100.18</v>
      </c>
      <c r="P67" s="65" t="n">
        <v>130.23</v>
      </c>
      <c r="Q67" s="65" t="n">
        <v>62.44</v>
      </c>
      <c r="R67" s="65" t="n">
        <v>46.79</v>
      </c>
      <c r="S67" s="65" t="n">
        <v>97.14</v>
      </c>
      <c r="T67" s="65" t="n">
        <v>35.62</v>
      </c>
      <c r="U67" s="65" t="n">
        <v>26.82</v>
      </c>
      <c r="V67" s="65" t="n">
        <v>306.97</v>
      </c>
      <c r="W67" s="65" t="n">
        <v>126.2</v>
      </c>
      <c r="X67" s="65"/>
      <c r="Y67" s="65" t="n">
        <v>51.59</v>
      </c>
      <c r="Z67" s="65" t="n">
        <v>173.83</v>
      </c>
      <c r="AA67" s="65" t="n">
        <v>93.47</v>
      </c>
    </row>
    <row r="68" customFormat="false" ht="15" hidden="false" customHeight="true" outlineLevel="0" collapsed="false">
      <c r="A68" s="68" t="n">
        <v>45639</v>
      </c>
      <c r="B68" s="65" t="n">
        <v>465.69</v>
      </c>
      <c r="C68" s="65" t="n">
        <v>112.37</v>
      </c>
      <c r="D68" s="65" t="n">
        <v>708.38</v>
      </c>
      <c r="E68" s="65" t="n">
        <v>220.97</v>
      </c>
      <c r="F68" s="65" t="n">
        <v>92</v>
      </c>
      <c r="G68" s="65" t="n">
        <v>64.58</v>
      </c>
      <c r="H68" s="65" t="n">
        <v>101.97</v>
      </c>
      <c r="I68" s="65" t="n">
        <v>133.9</v>
      </c>
      <c r="J68" s="65" t="n">
        <v>103.95</v>
      </c>
      <c r="K68" s="65" t="n">
        <v>76.07</v>
      </c>
      <c r="L68" s="65" t="n">
        <v>196.77</v>
      </c>
      <c r="M68" s="65" t="n">
        <v>125.51</v>
      </c>
      <c r="N68" s="65" t="n">
        <v>463.73</v>
      </c>
      <c r="O68" s="65" t="n">
        <v>98.94</v>
      </c>
      <c r="P68" s="65" t="n">
        <v>127.6</v>
      </c>
      <c r="Q68" s="65" t="n">
        <v>62.33</v>
      </c>
      <c r="R68" s="65" t="n">
        <v>46.97</v>
      </c>
      <c r="S68" s="65" t="n">
        <v>96.23</v>
      </c>
      <c r="T68" s="65" t="n">
        <v>34.14</v>
      </c>
      <c r="U68" s="65" t="n">
        <v>26.42</v>
      </c>
      <c r="V68" s="65" t="n">
        <v>310.65</v>
      </c>
      <c r="W68" s="65" t="n">
        <v>125.31</v>
      </c>
      <c r="X68" s="65"/>
      <c r="Y68" s="65" t="n">
        <v>51.17</v>
      </c>
      <c r="Z68" s="65" t="n">
        <v>164.36</v>
      </c>
      <c r="AA68" s="65" t="n">
        <v>91.89</v>
      </c>
    </row>
    <row r="69" customFormat="false" ht="15" hidden="false" customHeight="true" outlineLevel="0" collapsed="false">
      <c r="A69" s="68" t="n">
        <v>45646</v>
      </c>
      <c r="B69" s="65" t="n">
        <v>447.17</v>
      </c>
      <c r="C69" s="65" t="n">
        <v>112.81</v>
      </c>
      <c r="D69" s="65" t="n">
        <v>695.66</v>
      </c>
      <c r="E69" s="65" t="n">
        <v>217.03</v>
      </c>
      <c r="F69" s="65" t="n">
        <v>90.57</v>
      </c>
      <c r="G69" s="65" t="n">
        <v>62.17</v>
      </c>
      <c r="H69" s="65" t="n">
        <v>89.66</v>
      </c>
      <c r="I69" s="65" t="n">
        <v>134.35</v>
      </c>
      <c r="J69" s="65" t="n">
        <v>97.48</v>
      </c>
      <c r="K69" s="65" t="n">
        <v>80.55</v>
      </c>
      <c r="L69" s="65" t="n">
        <v>193.07</v>
      </c>
      <c r="M69" s="65" t="n">
        <v>119.79</v>
      </c>
      <c r="N69" s="65" t="n">
        <v>397.27</v>
      </c>
      <c r="O69" s="65" t="n">
        <v>93.61</v>
      </c>
      <c r="P69" s="65" t="n">
        <v>123.57</v>
      </c>
      <c r="Q69" s="65" t="n">
        <v>61.57</v>
      </c>
      <c r="R69" s="65" t="n">
        <v>46.45</v>
      </c>
      <c r="S69" s="65" t="n">
        <v>94.07</v>
      </c>
      <c r="T69" s="65" t="n">
        <v>33.1</v>
      </c>
      <c r="U69" s="65" t="n">
        <v>25.63</v>
      </c>
      <c r="V69" s="65" t="n">
        <v>313.59</v>
      </c>
      <c r="W69" s="65" t="n">
        <v>121.73</v>
      </c>
      <c r="X69" s="65"/>
      <c r="Y69" s="65" t="n">
        <v>50.12</v>
      </c>
      <c r="Z69" s="65" t="n">
        <v>166.69</v>
      </c>
      <c r="AA69" s="65" t="n">
        <v>90.9</v>
      </c>
    </row>
    <row r="70" customFormat="false" ht="15" hidden="false" customHeight="true" outlineLevel="0" collapsed="false">
      <c r="A70" s="68" t="n">
        <v>45653</v>
      </c>
      <c r="B70" s="65" t="n">
        <v>446.48</v>
      </c>
      <c r="C70" s="65" t="n">
        <v>113.03</v>
      </c>
      <c r="D70" s="65" t="n">
        <v>703.46</v>
      </c>
      <c r="E70" s="65" t="n">
        <v>238.27</v>
      </c>
      <c r="F70" s="65" t="n">
        <v>88.75</v>
      </c>
      <c r="G70" s="65" t="n">
        <v>63.7</v>
      </c>
      <c r="H70" s="65" t="n">
        <v>88.18</v>
      </c>
      <c r="I70" s="65" t="n">
        <v>136.65</v>
      </c>
      <c r="J70" s="65" t="n">
        <v>99.29</v>
      </c>
      <c r="K70" s="65" t="n">
        <v>79.08</v>
      </c>
      <c r="L70" s="65" t="n">
        <v>197.4</v>
      </c>
      <c r="M70" s="65" t="n">
        <v>114.87</v>
      </c>
      <c r="N70" s="65" t="n">
        <v>408.76</v>
      </c>
      <c r="O70" s="65" t="n">
        <v>93.98</v>
      </c>
      <c r="P70" s="65" t="n">
        <v>124.13</v>
      </c>
      <c r="Q70" s="65" t="n">
        <v>61.97</v>
      </c>
      <c r="R70" s="65" t="n">
        <v>46.88</v>
      </c>
      <c r="S70" s="65" t="n">
        <v>95.26</v>
      </c>
      <c r="T70" s="65" t="n">
        <v>33.41</v>
      </c>
      <c r="U70" s="65" t="n">
        <v>25.8</v>
      </c>
      <c r="V70" s="65" t="n">
        <v>314.52</v>
      </c>
      <c r="W70" s="65" t="n">
        <v>123.18</v>
      </c>
      <c r="X70" s="65"/>
      <c r="Y70" s="65" t="n">
        <v>50.34</v>
      </c>
      <c r="Z70" s="65" t="n">
        <v>168.66</v>
      </c>
      <c r="AA70" s="65" t="n">
        <v>90.75</v>
      </c>
    </row>
    <row r="71" customFormat="false" ht="15" hidden="false" customHeight="true" outlineLevel="0" collapsed="false">
      <c r="A71" s="68" t="n">
        <v>45660</v>
      </c>
      <c r="B71" s="65" t="n">
        <v>430.57</v>
      </c>
      <c r="C71" s="65" t="n">
        <v>115.2</v>
      </c>
      <c r="D71" s="65" t="n">
        <v>704.22</v>
      </c>
      <c r="E71" s="65" t="n">
        <v>229.2</v>
      </c>
      <c r="F71" s="65" t="n">
        <v>89.75</v>
      </c>
      <c r="G71" s="65" t="n">
        <v>64.9</v>
      </c>
      <c r="H71" s="65" t="n">
        <v>89.53</v>
      </c>
      <c r="I71" s="65" t="n">
        <v>144.09</v>
      </c>
      <c r="J71" s="65" t="n">
        <v>99.66</v>
      </c>
      <c r="K71" s="65" t="n">
        <v>79.89</v>
      </c>
      <c r="L71" s="65" t="n">
        <v>204.23</v>
      </c>
      <c r="M71" s="65" t="n">
        <v>125.4</v>
      </c>
      <c r="N71" s="65" t="n">
        <v>407.11</v>
      </c>
      <c r="O71" s="65" t="n">
        <v>94.72</v>
      </c>
      <c r="P71" s="65" t="n">
        <v>124.06</v>
      </c>
      <c r="Q71" s="65" t="n">
        <v>61.72</v>
      </c>
      <c r="R71" s="65" t="n">
        <v>46.72</v>
      </c>
      <c r="S71" s="65" t="n">
        <v>95.55</v>
      </c>
      <c r="T71" s="65" t="n">
        <v>33.66</v>
      </c>
      <c r="U71" s="65" t="n">
        <v>25.77</v>
      </c>
      <c r="V71" s="65" t="n">
        <v>310.82</v>
      </c>
      <c r="W71" s="65" t="n">
        <v>122.97</v>
      </c>
      <c r="X71" s="65"/>
      <c r="Y71" s="65" t="n">
        <v>50.27</v>
      </c>
      <c r="Z71" s="65" t="n">
        <v>170.52</v>
      </c>
      <c r="AA71" s="65" t="n">
        <v>88.11</v>
      </c>
    </row>
    <row r="72" customFormat="false" ht="15" hidden="false" customHeight="true" outlineLevel="0" collapsed="false">
      <c r="A72" s="68" t="n">
        <v>45667</v>
      </c>
      <c r="B72" s="65" t="n">
        <v>405.92</v>
      </c>
      <c r="C72" s="65" t="n">
        <v>114.34</v>
      </c>
      <c r="D72" s="65" t="n">
        <v>728.52</v>
      </c>
      <c r="E72" s="65" t="n">
        <v>221.08</v>
      </c>
      <c r="F72" s="65" t="n">
        <v>87.21</v>
      </c>
      <c r="G72" s="65" t="n">
        <v>67.48</v>
      </c>
      <c r="H72" s="65" t="n">
        <v>98.96</v>
      </c>
      <c r="I72" s="65" t="n">
        <v>135.56</v>
      </c>
      <c r="J72" s="65" t="n">
        <v>97.74</v>
      </c>
      <c r="K72" s="65" t="n">
        <v>67.26</v>
      </c>
      <c r="L72" s="65" t="n">
        <v>204</v>
      </c>
      <c r="M72" s="65" t="n">
        <v>128.66</v>
      </c>
      <c r="N72" s="65" t="n">
        <v>409.56</v>
      </c>
      <c r="O72" s="65" t="n">
        <v>92.23</v>
      </c>
      <c r="P72" s="65" t="n">
        <v>120.96</v>
      </c>
      <c r="Q72" s="65" t="n">
        <v>60.97</v>
      </c>
      <c r="R72" s="65" t="n">
        <v>45.82</v>
      </c>
      <c r="S72" s="65" t="n">
        <v>94.26</v>
      </c>
      <c r="T72" s="65" t="n">
        <v>33.66</v>
      </c>
      <c r="U72" s="65" t="n">
        <v>25.37</v>
      </c>
      <c r="V72" s="65" t="n">
        <v>303.72</v>
      </c>
      <c r="W72" s="65" t="n">
        <v>120.76</v>
      </c>
      <c r="X72" s="65"/>
      <c r="Y72" s="65" t="n">
        <v>49.47</v>
      </c>
      <c r="Z72" s="65" t="n">
        <v>170.26</v>
      </c>
      <c r="AA72" s="65" t="n">
        <v>83.77</v>
      </c>
    </row>
    <row r="73" customFormat="false" ht="15" hidden="false" customHeight="true" outlineLevel="0" collapsed="false">
      <c r="A73" s="68" t="n">
        <v>45674</v>
      </c>
      <c r="B73" s="65" t="n">
        <v>429.99</v>
      </c>
      <c r="C73" s="65" t="n">
        <v>119.95</v>
      </c>
      <c r="D73" s="65" t="n">
        <v>745.59</v>
      </c>
      <c r="E73" s="65" t="n">
        <v>234.02</v>
      </c>
      <c r="F73" s="65" t="n">
        <v>89.25</v>
      </c>
      <c r="G73" s="65" t="n">
        <v>74.83</v>
      </c>
      <c r="H73" s="65" t="n">
        <v>105.34</v>
      </c>
      <c r="I73" s="65" t="n">
        <v>137.35</v>
      </c>
      <c r="J73" s="65" t="n">
        <v>103.29</v>
      </c>
      <c r="K73" s="65" t="n">
        <v>71.77</v>
      </c>
      <c r="L73" s="65" t="n">
        <v>207.06</v>
      </c>
      <c r="M73" s="65" t="n">
        <v>135.59</v>
      </c>
      <c r="N73" s="65" t="n">
        <v>422</v>
      </c>
      <c r="O73" s="65" t="n">
        <v>96.74</v>
      </c>
      <c r="P73" s="65" t="n">
        <v>126.81</v>
      </c>
      <c r="Q73" s="65" t="n">
        <v>62.02</v>
      </c>
      <c r="R73" s="65" t="n">
        <v>46.88</v>
      </c>
      <c r="S73" s="65" t="n">
        <v>97.29</v>
      </c>
      <c r="T73" s="65" t="n">
        <v>34.96</v>
      </c>
      <c r="U73" s="65" t="n">
        <v>26.29</v>
      </c>
      <c r="V73" s="65" t="n">
        <v>315.47</v>
      </c>
      <c r="W73" s="65" t="n">
        <v>126.1</v>
      </c>
      <c r="X73" s="65"/>
      <c r="Y73" s="65" t="n">
        <v>50.72</v>
      </c>
      <c r="Z73" s="65" t="n">
        <v>181.32</v>
      </c>
      <c r="AA73" s="65" t="n">
        <v>85.81</v>
      </c>
    </row>
    <row r="74" customFormat="false" ht="15" hidden="false" customHeight="true" outlineLevel="0" collapsed="false">
      <c r="A74" s="68" t="n">
        <v>45681</v>
      </c>
      <c r="B74" s="65" t="n">
        <v>435.38</v>
      </c>
      <c r="C74" s="65" t="n">
        <v>129.17</v>
      </c>
      <c r="D74" s="65" t="n">
        <v>721.85</v>
      </c>
      <c r="E74" s="65" t="n">
        <v>241.18</v>
      </c>
      <c r="F74" s="65" t="n">
        <v>93.73</v>
      </c>
      <c r="G74" s="65" t="n">
        <v>74.07</v>
      </c>
      <c r="H74" s="65" t="n">
        <v>102.79</v>
      </c>
      <c r="I74" s="65" t="n">
        <v>142.25</v>
      </c>
      <c r="J74" s="65" t="n">
        <v>112.21</v>
      </c>
      <c r="K74" s="65" t="n">
        <v>78.98</v>
      </c>
      <c r="L74" s="65" t="n">
        <v>217.22</v>
      </c>
      <c r="M74" s="65" t="n">
        <v>146.01</v>
      </c>
      <c r="N74" s="65" t="n">
        <v>439.62</v>
      </c>
      <c r="O74" s="65" t="n">
        <v>97.23</v>
      </c>
      <c r="P74" s="65" t="n">
        <v>127.09</v>
      </c>
      <c r="Q74" s="65" t="n">
        <v>62.66</v>
      </c>
      <c r="R74" s="65" t="n">
        <v>47.53</v>
      </c>
      <c r="S74" s="65" t="n">
        <v>99.93</v>
      </c>
      <c r="T74" s="65" t="n">
        <v>35.05</v>
      </c>
      <c r="U74" s="65" t="n">
        <v>26.36</v>
      </c>
      <c r="V74" s="65" t="n">
        <v>325.91</v>
      </c>
      <c r="W74" s="65" t="n">
        <v>127.41</v>
      </c>
      <c r="X74" s="65"/>
      <c r="Y74" s="65" t="n">
        <v>51.24</v>
      </c>
      <c r="Z74" s="65" t="n">
        <v>195.11</v>
      </c>
      <c r="AA74" s="65" t="n">
        <v>97.76</v>
      </c>
    </row>
    <row r="75" customFormat="false" ht="15" hidden="false" customHeight="true" outlineLevel="0" collapsed="false">
      <c r="A75" s="68" t="n">
        <v>45688</v>
      </c>
      <c r="B75" s="65" t="n">
        <v>437.45</v>
      </c>
      <c r="C75" s="65" t="n">
        <v>115.23</v>
      </c>
      <c r="D75" s="65" t="n">
        <v>728.81</v>
      </c>
      <c r="E75" s="65" t="n">
        <v>218.09</v>
      </c>
      <c r="F75" s="65" t="n">
        <v>99.52</v>
      </c>
      <c r="G75" s="65" t="n">
        <v>72.93</v>
      </c>
      <c r="H75" s="65" t="n">
        <v>90.89</v>
      </c>
      <c r="I75" s="65" t="n">
        <v>119.76</v>
      </c>
      <c r="J75" s="65" t="n">
        <v>112.51</v>
      </c>
      <c r="K75" s="65" t="n">
        <v>82.49</v>
      </c>
      <c r="L75" s="65" t="n">
        <v>204.93</v>
      </c>
      <c r="M75" s="65" t="n">
        <v>116.77</v>
      </c>
      <c r="N75" s="65" t="n">
        <v>461.68</v>
      </c>
      <c r="O75" s="65" t="n">
        <v>95.76</v>
      </c>
      <c r="P75" s="65" t="n">
        <v>126.76</v>
      </c>
      <c r="Q75" s="65" t="n">
        <v>62.12</v>
      </c>
      <c r="R75" s="65" t="n">
        <v>47.04</v>
      </c>
      <c r="S75" s="65" t="n">
        <v>98.66</v>
      </c>
      <c r="T75" s="65" t="n">
        <v>34.69</v>
      </c>
      <c r="U75" s="65" t="n">
        <v>26.14</v>
      </c>
      <c r="V75" s="65" t="n">
        <v>337.36</v>
      </c>
      <c r="W75" s="65" t="n">
        <v>126.74</v>
      </c>
      <c r="X75" s="65"/>
      <c r="Y75" s="65" t="n">
        <v>51.13</v>
      </c>
      <c r="Z75" s="65" t="n">
        <v>201.87</v>
      </c>
      <c r="AA75" s="65" t="n">
        <v>97.68</v>
      </c>
    </row>
    <row r="76" customFormat="false" ht="15" hidden="false" customHeight="true" outlineLevel="0" collapsed="false">
      <c r="A76" s="68" t="n">
        <v>45695</v>
      </c>
      <c r="B76" s="65" t="n">
        <v>433.07</v>
      </c>
      <c r="C76" s="65" t="n">
        <v>118.47</v>
      </c>
      <c r="D76" s="65" t="n">
        <v>717.37</v>
      </c>
      <c r="E76" s="65" t="n">
        <v>221.63</v>
      </c>
      <c r="F76" s="65" t="n">
        <v>105.4</v>
      </c>
      <c r="G76" s="65" t="n">
        <v>73.86</v>
      </c>
      <c r="H76" s="65" t="n">
        <v>91.95</v>
      </c>
      <c r="I76" s="65" t="n">
        <v>129.5</v>
      </c>
      <c r="J76" s="65" t="n">
        <v>110.72</v>
      </c>
      <c r="K76" s="65" t="n">
        <v>110.85</v>
      </c>
      <c r="L76" s="65" t="n">
        <v>201.79</v>
      </c>
      <c r="M76" s="65" t="n">
        <v>121.12</v>
      </c>
      <c r="N76" s="65" t="n">
        <v>469.32</v>
      </c>
      <c r="O76" s="65" t="n">
        <v>94.65</v>
      </c>
      <c r="P76" s="65" t="n">
        <v>126.15</v>
      </c>
      <c r="Q76" s="65" t="n">
        <v>62.08</v>
      </c>
      <c r="R76" s="65" t="n">
        <v>47.16</v>
      </c>
      <c r="S76" s="65" t="n">
        <v>100.62</v>
      </c>
      <c r="T76" s="65" t="n">
        <v>34.43</v>
      </c>
      <c r="U76" s="65" t="n">
        <v>25.88</v>
      </c>
      <c r="V76" s="65" t="n">
        <v>343.5</v>
      </c>
      <c r="W76" s="65" t="n">
        <v>126.7</v>
      </c>
      <c r="X76" s="65"/>
      <c r="Y76" s="65" t="n">
        <v>51.25</v>
      </c>
      <c r="Z76" s="65" t="n">
        <v>203.57</v>
      </c>
      <c r="AA76" s="65" t="n">
        <v>101.39</v>
      </c>
    </row>
    <row r="77" customFormat="false" ht="15" hidden="false" customHeight="true" outlineLevel="0" collapsed="false">
      <c r="A77" s="68" t="n">
        <v>45702</v>
      </c>
      <c r="B77" s="65" t="n">
        <v>460.16</v>
      </c>
      <c r="C77" s="65" t="n">
        <v>106.87</v>
      </c>
      <c r="D77" s="65" t="n">
        <v>742.44</v>
      </c>
      <c r="E77" s="65" t="n">
        <v>229.69</v>
      </c>
      <c r="F77" s="65" t="n">
        <v>112.93</v>
      </c>
      <c r="G77" s="65" t="n">
        <v>74.16</v>
      </c>
      <c r="H77" s="65" t="n">
        <v>99.14</v>
      </c>
      <c r="I77" s="65" t="n">
        <v>138.49</v>
      </c>
      <c r="J77" s="65" t="n">
        <v>114.02</v>
      </c>
      <c r="K77" s="65" t="n">
        <v>119.16</v>
      </c>
      <c r="L77" s="65" t="n">
        <v>199.62</v>
      </c>
      <c r="M77" s="65" t="n">
        <v>107.82</v>
      </c>
      <c r="N77" s="65" t="n">
        <v>459</v>
      </c>
      <c r="O77" s="65" t="n">
        <v>94.94</v>
      </c>
      <c r="P77" s="65" t="n">
        <v>127.66</v>
      </c>
      <c r="Q77" s="65" t="n">
        <v>62.73</v>
      </c>
      <c r="R77" s="65" t="n">
        <v>48.07</v>
      </c>
      <c r="S77" s="65" t="n">
        <v>101.64</v>
      </c>
      <c r="T77" s="65" t="n">
        <v>34.83</v>
      </c>
      <c r="U77" s="65" t="n">
        <v>26.1</v>
      </c>
      <c r="V77" s="65" t="n">
        <v>349.81</v>
      </c>
      <c r="W77" s="65" t="n">
        <v>128.09</v>
      </c>
      <c r="X77" s="65"/>
      <c r="Y77" s="65" t="n">
        <v>51.59</v>
      </c>
      <c r="Z77" s="65" t="n">
        <v>206.53</v>
      </c>
      <c r="AA77" s="65" t="n">
        <v>105.86</v>
      </c>
    </row>
    <row r="78" customFormat="false" ht="15" hidden="false" customHeight="true" outlineLevel="0" collapsed="false">
      <c r="A78" s="68" t="n">
        <v>45709</v>
      </c>
      <c r="B78" s="65" t="n">
        <v>444.32</v>
      </c>
      <c r="C78" s="65" t="n">
        <v>98.3</v>
      </c>
      <c r="D78" s="65" t="n">
        <v>728.28</v>
      </c>
      <c r="E78" s="65" t="n">
        <v>215.51</v>
      </c>
      <c r="F78" s="65" t="n">
        <v>101.67</v>
      </c>
      <c r="G78" s="65" t="n">
        <v>74.51</v>
      </c>
      <c r="H78" s="65" t="n">
        <v>98.46</v>
      </c>
      <c r="I78" s="65" t="n">
        <v>134.08</v>
      </c>
      <c r="J78" s="65" t="n">
        <v>114.14</v>
      </c>
      <c r="K78" s="65" t="n">
        <v>101.35</v>
      </c>
      <c r="L78" s="65" t="n">
        <v>194.08</v>
      </c>
      <c r="M78" s="65" t="n">
        <v>95.79</v>
      </c>
      <c r="N78" s="65" t="n">
        <v>484.24</v>
      </c>
      <c r="O78" s="65" t="n">
        <v>91.47</v>
      </c>
      <c r="P78" s="65" t="n">
        <v>128.59</v>
      </c>
      <c r="Q78" s="65" t="n">
        <v>62.17</v>
      </c>
      <c r="R78" s="65" t="n">
        <v>47.49</v>
      </c>
      <c r="S78" s="65" t="n">
        <v>98.53</v>
      </c>
      <c r="T78" s="65" t="n">
        <v>34.71</v>
      </c>
      <c r="U78" s="65" t="n">
        <v>26.49</v>
      </c>
      <c r="V78" s="65" t="n">
        <v>344.59</v>
      </c>
      <c r="W78" s="65" t="n">
        <v>127.66</v>
      </c>
      <c r="X78" s="65"/>
      <c r="Y78" s="65" t="n">
        <v>51.55</v>
      </c>
      <c r="Z78" s="65" t="n">
        <v>198.16</v>
      </c>
      <c r="AA78" s="65" t="n">
        <v>100.32</v>
      </c>
    </row>
    <row r="79" customFormat="false" ht="15" hidden="false" customHeight="true" outlineLevel="0" collapsed="false">
      <c r="A79" s="68" t="n">
        <v>45716</v>
      </c>
      <c r="B79" s="65" t="n">
        <v>438.56</v>
      </c>
      <c r="C79" s="65" t="n">
        <v>93.05</v>
      </c>
      <c r="D79" s="65" t="n">
        <v>700.49</v>
      </c>
      <c r="E79" s="65" t="n">
        <v>196.56</v>
      </c>
      <c r="F79" s="65" t="n">
        <v>97.42</v>
      </c>
      <c r="G79" s="65" t="n">
        <v>70.18</v>
      </c>
      <c r="H79" s="65" t="n">
        <v>93.27</v>
      </c>
      <c r="I79" s="65" t="n">
        <v>124.59</v>
      </c>
      <c r="J79" s="65" t="n">
        <v>116.92</v>
      </c>
      <c r="K79" s="65" t="n">
        <v>84.92</v>
      </c>
      <c r="L79" s="65" t="n">
        <v>176.74</v>
      </c>
      <c r="M79" s="65" t="n">
        <v>94.97</v>
      </c>
      <c r="N79" s="65" t="n">
        <v>479.79</v>
      </c>
      <c r="O79" s="65" t="n">
        <v>90.44</v>
      </c>
      <c r="P79" s="65" t="n">
        <v>129.91</v>
      </c>
      <c r="Q79" s="65" t="n">
        <v>61.77</v>
      </c>
      <c r="R79" s="65" t="n">
        <v>46.18</v>
      </c>
      <c r="S79" s="65" t="n">
        <v>98.42</v>
      </c>
      <c r="T79" s="65" t="n">
        <v>34.55</v>
      </c>
      <c r="U79" s="65" t="n">
        <v>26.8</v>
      </c>
      <c r="V79" s="65" t="n">
        <v>358.6</v>
      </c>
      <c r="W79" s="65" t="n">
        <v>128.36</v>
      </c>
      <c r="X79" s="65"/>
      <c r="Y79" s="65" t="n">
        <v>51.79</v>
      </c>
      <c r="Z79" s="65" t="n">
        <v>205.25</v>
      </c>
      <c r="AA79" s="65" t="n">
        <v>98.06</v>
      </c>
    </row>
    <row r="80" customFormat="false" ht="15" hidden="false" customHeight="true" outlineLevel="0" collapsed="false">
      <c r="A80" s="68" t="n">
        <v>45723</v>
      </c>
      <c r="B80" s="65" t="n">
        <v>449.4</v>
      </c>
      <c r="C80" s="65" t="n">
        <v>83.36</v>
      </c>
      <c r="D80" s="65" t="n">
        <v>723.35</v>
      </c>
      <c r="E80" s="65" t="n">
        <v>192.16</v>
      </c>
      <c r="F80" s="65" t="n">
        <v>83.38</v>
      </c>
      <c r="G80" s="65" t="n">
        <v>70.42</v>
      </c>
      <c r="H80" s="65" t="n">
        <v>92.6</v>
      </c>
      <c r="I80" s="65" t="n">
        <v>112.4</v>
      </c>
      <c r="J80" s="65" t="n">
        <v>113.14</v>
      </c>
      <c r="K80" s="65" t="n">
        <v>84.91</v>
      </c>
      <c r="L80" s="65" t="n">
        <v>173.38</v>
      </c>
      <c r="M80" s="65" t="n">
        <v>84.86</v>
      </c>
      <c r="N80" s="65" t="n">
        <v>488.29</v>
      </c>
      <c r="O80" s="65" t="n">
        <v>86.38</v>
      </c>
      <c r="P80" s="65" t="n">
        <v>126.34</v>
      </c>
      <c r="Q80" s="65" t="n">
        <v>60.69</v>
      </c>
      <c r="R80" s="65" t="n">
        <v>44.73</v>
      </c>
      <c r="S80" s="65" t="n">
        <v>93.24</v>
      </c>
      <c r="T80" s="65" t="n">
        <v>34.05</v>
      </c>
      <c r="U80" s="65" t="n">
        <v>26.73</v>
      </c>
      <c r="V80" s="65" t="n">
        <v>341.41</v>
      </c>
      <c r="W80" s="65" t="n">
        <v>125.66</v>
      </c>
      <c r="X80" s="65"/>
      <c r="Y80" s="65" t="n">
        <v>51.02</v>
      </c>
      <c r="Z80" s="65" t="n">
        <v>192.23</v>
      </c>
      <c r="AA80" s="65" t="n">
        <v>89.11</v>
      </c>
    </row>
    <row r="81" customFormat="false" ht="15" hidden="false" customHeight="true" outlineLevel="0" collapsed="false">
      <c r="A81" s="68" t="n">
        <v>45730</v>
      </c>
      <c r="B81" s="65" t="n">
        <v>394.74</v>
      </c>
      <c r="C81" s="65" t="n">
        <v>83.51</v>
      </c>
      <c r="D81" s="65" t="n">
        <v>705.35</v>
      </c>
      <c r="E81" s="65" t="n">
        <v>192.73</v>
      </c>
      <c r="F81" s="65" t="n">
        <v>88.43</v>
      </c>
      <c r="G81" s="65" t="n">
        <v>70.59</v>
      </c>
      <c r="H81" s="65" t="n">
        <v>100.4</v>
      </c>
      <c r="I81" s="65" t="n">
        <v>121.36</v>
      </c>
      <c r="J81" s="65" t="n">
        <v>105.57</v>
      </c>
      <c r="K81" s="65" t="n">
        <v>86.24</v>
      </c>
      <c r="L81" s="65" t="n">
        <v>170.44</v>
      </c>
      <c r="M81" s="65" t="n">
        <v>87.27</v>
      </c>
      <c r="N81" s="65" t="n">
        <v>504.77</v>
      </c>
      <c r="O81" s="65" t="n">
        <v>84.76</v>
      </c>
      <c r="P81" s="65" t="n">
        <v>125.28</v>
      </c>
      <c r="Q81" s="65" t="n">
        <v>59.83</v>
      </c>
      <c r="R81" s="65" t="n">
        <v>43.78</v>
      </c>
      <c r="S81" s="65" t="n">
        <v>92.57</v>
      </c>
      <c r="T81" s="65" t="n">
        <v>33.41</v>
      </c>
      <c r="U81" s="65" t="n">
        <v>25.96</v>
      </c>
      <c r="V81" s="65" t="n">
        <v>328.04</v>
      </c>
      <c r="W81" s="65" t="n">
        <v>122.84</v>
      </c>
      <c r="X81" s="65"/>
      <c r="Y81" s="65" t="n">
        <v>49.93</v>
      </c>
      <c r="Z81" s="65" t="n">
        <v>195.83</v>
      </c>
      <c r="AA81" s="65" t="n">
        <v>91.8</v>
      </c>
    </row>
    <row r="82" customFormat="false" ht="15" hidden="false" customHeight="true" outlineLevel="0" collapsed="false">
      <c r="A82" s="68" t="n">
        <v>45737</v>
      </c>
      <c r="B82" s="65" t="n">
        <v>387.26</v>
      </c>
      <c r="C82" s="65" t="n">
        <v>83.13</v>
      </c>
      <c r="D82" s="65" t="n">
        <v>707.54</v>
      </c>
      <c r="E82" s="65" t="n">
        <v>189.47</v>
      </c>
      <c r="F82" s="65" t="n">
        <v>90.56</v>
      </c>
      <c r="G82" s="65" t="n">
        <v>69.95</v>
      </c>
      <c r="H82" s="65" t="n">
        <v>94.36</v>
      </c>
      <c r="I82" s="65" t="n">
        <v>117.4</v>
      </c>
      <c r="J82" s="65" t="n">
        <v>103.21</v>
      </c>
      <c r="K82" s="65" t="n">
        <v>90.96</v>
      </c>
      <c r="L82" s="65" t="n">
        <v>173.69</v>
      </c>
      <c r="M82" s="65" t="n">
        <v>88.48</v>
      </c>
      <c r="N82" s="65" t="n">
        <v>503.2</v>
      </c>
      <c r="O82" s="65" t="n">
        <v>85.58</v>
      </c>
      <c r="P82" s="65" t="n">
        <v>125.88</v>
      </c>
      <c r="Q82" s="65" t="n">
        <v>59.71</v>
      </c>
      <c r="R82" s="65" t="n">
        <v>43.94</v>
      </c>
      <c r="S82" s="65" t="n">
        <v>92.92</v>
      </c>
      <c r="T82" s="65" t="n">
        <v>33.98</v>
      </c>
      <c r="U82" s="65" t="n">
        <v>26.07</v>
      </c>
      <c r="V82" s="65" t="n">
        <v>331.86</v>
      </c>
      <c r="W82" s="65" t="n">
        <v>123.76</v>
      </c>
      <c r="X82" s="65"/>
      <c r="Y82" s="65" t="n">
        <v>50.07</v>
      </c>
      <c r="Z82" s="65" t="n">
        <v>202.8</v>
      </c>
      <c r="AA82" s="65" t="n">
        <v>96.03</v>
      </c>
    </row>
    <row r="83" customFormat="false" ht="15" hidden="false" customHeight="true" outlineLevel="0" collapsed="false">
      <c r="A83" s="68" t="n">
        <v>45744</v>
      </c>
      <c r="B83" s="65" t="n">
        <v>385.71</v>
      </c>
      <c r="C83" s="65" t="n">
        <v>77.94</v>
      </c>
      <c r="D83" s="65" t="n">
        <v>666.41</v>
      </c>
      <c r="E83" s="65" t="n">
        <v>167.19</v>
      </c>
      <c r="F83" s="65" t="n">
        <v>89.28</v>
      </c>
      <c r="G83" s="65" t="n">
        <v>66.69</v>
      </c>
      <c r="H83" s="65" t="n">
        <v>88.1</v>
      </c>
      <c r="I83" s="65" t="n">
        <v>109.39</v>
      </c>
      <c r="J83" s="65" t="n">
        <v>105.14</v>
      </c>
      <c r="K83" s="65" t="n">
        <v>85.85</v>
      </c>
      <c r="L83" s="65" t="n">
        <v>162.41</v>
      </c>
      <c r="M83" s="65" t="n">
        <v>74.12</v>
      </c>
      <c r="N83" s="65" t="n">
        <v>492.69</v>
      </c>
      <c r="O83" s="65" t="n">
        <v>85.18</v>
      </c>
      <c r="P83" s="65" t="n">
        <v>125.85</v>
      </c>
      <c r="Q83" s="65" t="n">
        <v>59.02</v>
      </c>
      <c r="R83" s="65" t="n">
        <v>43.11</v>
      </c>
      <c r="S83" s="65" t="n">
        <v>91.09</v>
      </c>
      <c r="T83" s="65" t="n">
        <v>33.42</v>
      </c>
      <c r="U83" s="65" t="n">
        <v>26.14</v>
      </c>
      <c r="V83" s="65" t="n">
        <v>338.97</v>
      </c>
      <c r="W83" s="65" t="n">
        <v>122.94</v>
      </c>
      <c r="X83" s="65"/>
      <c r="Y83" s="65" t="n">
        <v>49.69</v>
      </c>
      <c r="Z83" s="65" t="n">
        <v>198.58</v>
      </c>
      <c r="AA83" s="65" t="n">
        <v>93.39</v>
      </c>
    </row>
    <row r="84" customFormat="false" ht="15" hidden="false" customHeight="true" outlineLevel="0" collapsed="false">
      <c r="A84" s="68" t="n">
        <v>45751</v>
      </c>
      <c r="B84" s="65" t="n">
        <v>349.07</v>
      </c>
      <c r="C84" s="65" t="n">
        <v>64.37</v>
      </c>
      <c r="D84" s="65" t="n">
        <v>598.21</v>
      </c>
      <c r="E84" s="65" t="n">
        <v>144.62</v>
      </c>
      <c r="F84" s="65" t="n">
        <v>80.41</v>
      </c>
      <c r="G84" s="65" t="n">
        <v>57.08</v>
      </c>
      <c r="H84" s="65" t="n">
        <v>64.56</v>
      </c>
      <c r="I84" s="65" t="n">
        <v>94.07</v>
      </c>
      <c r="J84" s="65" t="n">
        <v>93.51</v>
      </c>
      <c r="K84" s="65" t="n">
        <v>74.01</v>
      </c>
      <c r="L84" s="65" t="n">
        <v>144.28</v>
      </c>
      <c r="M84" s="65" t="n">
        <v>59.31</v>
      </c>
      <c r="N84" s="65" t="n">
        <v>474.62</v>
      </c>
      <c r="O84" s="65" t="n">
        <v>76.26</v>
      </c>
      <c r="P84" s="65" t="n">
        <v>115.74</v>
      </c>
      <c r="Q84" s="65" t="n">
        <v>56.73</v>
      </c>
      <c r="R84" s="65" t="n">
        <v>39.19</v>
      </c>
      <c r="S84" s="65" t="n">
        <v>81.34</v>
      </c>
      <c r="T84" s="65" t="n">
        <v>30.33</v>
      </c>
      <c r="U84" s="65" t="n">
        <v>23.96</v>
      </c>
      <c r="V84" s="65" t="n">
        <v>309.59</v>
      </c>
      <c r="W84" s="65" t="n">
        <v>112.8</v>
      </c>
      <c r="X84" s="65"/>
      <c r="Y84" s="65" t="n">
        <v>46.04</v>
      </c>
      <c r="Z84" s="65" t="n">
        <v>165.73</v>
      </c>
      <c r="AA84" s="65" t="n">
        <v>85.59</v>
      </c>
    </row>
    <row r="85" customFormat="false" ht="15" hidden="false" customHeight="true" outlineLevel="0" collapsed="false">
      <c r="A85" s="68" t="n">
        <v>45758</v>
      </c>
      <c r="B85" s="65" t="n">
        <v>352.47</v>
      </c>
      <c r="C85" s="65" t="n">
        <v>72.67</v>
      </c>
      <c r="D85" s="65" t="n">
        <v>660.71</v>
      </c>
      <c r="E85" s="65" t="n">
        <v>179.86</v>
      </c>
      <c r="F85" s="65" t="n">
        <v>94.47</v>
      </c>
      <c r="G85" s="65" t="n">
        <v>66.36</v>
      </c>
      <c r="H85" s="65" t="n">
        <v>69.37</v>
      </c>
      <c r="I85" s="65" t="n">
        <v>110.65</v>
      </c>
      <c r="J85" s="65" t="n">
        <v>91.6</v>
      </c>
      <c r="K85" s="65" t="n">
        <v>88.55</v>
      </c>
      <c r="L85" s="65" t="n">
        <v>154.38</v>
      </c>
      <c r="M85" s="65" t="n">
        <v>69.49</v>
      </c>
      <c r="N85" s="65" t="n">
        <v>484.22</v>
      </c>
      <c r="O85" s="65" t="n">
        <v>77.22</v>
      </c>
      <c r="P85" s="65" t="n">
        <v>117.6</v>
      </c>
      <c r="Q85" s="65" t="n">
        <v>57.8</v>
      </c>
      <c r="R85" s="65" t="n">
        <v>41.66</v>
      </c>
      <c r="S85" s="65" t="n">
        <v>88.75</v>
      </c>
      <c r="T85" s="65" t="n">
        <v>30.97</v>
      </c>
      <c r="U85" s="65" t="n">
        <v>23.98</v>
      </c>
      <c r="V85" s="65" t="n">
        <v>329.63</v>
      </c>
      <c r="W85" s="65" t="n">
        <v>116.65</v>
      </c>
      <c r="X85" s="65"/>
      <c r="Y85" s="65" t="n">
        <v>47.66</v>
      </c>
      <c r="Z85" s="65" t="n">
        <v>180.49</v>
      </c>
      <c r="AA85" s="65" t="n">
        <v>91.83</v>
      </c>
    </row>
    <row r="86" customFormat="false" ht="15" hidden="false" customHeight="true" outlineLevel="0" collapsed="false">
      <c r="A86" s="68" t="n">
        <v>45765</v>
      </c>
      <c r="B86" s="65" t="n">
        <v>348.8</v>
      </c>
      <c r="C86" s="65" t="n">
        <v>71.2</v>
      </c>
      <c r="D86" s="65" t="n">
        <v>632.4</v>
      </c>
      <c r="E86" s="65" t="n">
        <v>169.04</v>
      </c>
      <c r="F86" s="65" t="n">
        <v>93.9</v>
      </c>
      <c r="G86" s="65" t="n">
        <v>62.81</v>
      </c>
      <c r="H86" s="65" t="n">
        <v>68.63</v>
      </c>
      <c r="I86" s="65" t="n">
        <v>101.23</v>
      </c>
      <c r="J86" s="65" t="n">
        <v>97.19</v>
      </c>
      <c r="K86" s="65" t="n">
        <v>93.78</v>
      </c>
      <c r="L86" s="65" t="n">
        <v>149.13</v>
      </c>
      <c r="M86" s="65" t="n">
        <v>73.09</v>
      </c>
      <c r="N86" s="65" t="n">
        <v>489.1</v>
      </c>
      <c r="O86" s="65" t="n">
        <v>78.66</v>
      </c>
      <c r="P86" s="65" t="n">
        <v>119.33</v>
      </c>
      <c r="Q86" s="65" t="n">
        <v>57.45</v>
      </c>
      <c r="R86" s="65" t="n">
        <v>40.99</v>
      </c>
      <c r="S86" s="65" t="n">
        <v>87.21</v>
      </c>
      <c r="T86" s="65" t="n">
        <v>31.18</v>
      </c>
      <c r="U86" s="65" t="n">
        <v>24.09</v>
      </c>
      <c r="V86" s="65" t="n">
        <v>325.88</v>
      </c>
      <c r="W86" s="65" t="n">
        <v>116.47</v>
      </c>
      <c r="X86" s="65"/>
      <c r="Y86" s="65" t="n">
        <v>47.47</v>
      </c>
      <c r="Z86" s="65" t="n">
        <v>180.61</v>
      </c>
      <c r="AA86" s="65" t="n">
        <v>97.3</v>
      </c>
    </row>
    <row r="87" customFormat="false" ht="15" hidden="false" customHeight="true" outlineLevel="0" collapsed="false">
      <c r="A87" s="68" t="n">
        <v>45772</v>
      </c>
      <c r="B87" s="65" t="n">
        <v>367.72</v>
      </c>
      <c r="C87" s="65" t="n">
        <v>77.91</v>
      </c>
      <c r="D87" s="65" t="n">
        <v>669.06</v>
      </c>
      <c r="E87" s="65" t="n">
        <v>190.12</v>
      </c>
      <c r="F87" s="65" t="n">
        <v>106.22</v>
      </c>
      <c r="G87" s="65" t="n">
        <v>68.77</v>
      </c>
      <c r="H87" s="65" t="n">
        <v>79.58</v>
      </c>
      <c r="I87" s="65" t="n">
        <v>110.73</v>
      </c>
      <c r="J87" s="65" t="n">
        <v>97.32</v>
      </c>
      <c r="K87" s="65" t="n">
        <v>112.78</v>
      </c>
      <c r="L87" s="65" t="n">
        <v>162.26</v>
      </c>
      <c r="M87" s="65" t="n">
        <v>86.8</v>
      </c>
      <c r="N87" s="65" t="n">
        <v>493.84</v>
      </c>
      <c r="O87" s="65" t="n">
        <v>80.87</v>
      </c>
      <c r="P87" s="65" t="n">
        <v>121.04</v>
      </c>
      <c r="Q87" s="65" t="n">
        <v>58.47</v>
      </c>
      <c r="R87" s="65" t="n">
        <v>42.96</v>
      </c>
      <c r="S87" s="65" t="n">
        <v>92.9</v>
      </c>
      <c r="T87" s="65" t="n">
        <v>32.21</v>
      </c>
      <c r="U87" s="65" t="n">
        <v>24.33</v>
      </c>
      <c r="V87" s="65" t="n">
        <v>331.38</v>
      </c>
      <c r="W87" s="65" t="n">
        <v>118.85</v>
      </c>
      <c r="X87" s="65"/>
      <c r="Y87" s="65" t="n">
        <v>48.54</v>
      </c>
      <c r="Z87" s="65" t="n">
        <v>197.14</v>
      </c>
      <c r="AA87" s="65" t="n">
        <v>110.15</v>
      </c>
    </row>
    <row r="88" customFormat="false" ht="15" hidden="false" customHeight="true" outlineLevel="0" collapsed="false">
      <c r="A88" s="68" t="n">
        <v>45779</v>
      </c>
      <c r="B88" s="65" t="n">
        <v>380.87</v>
      </c>
      <c r="C88" s="65" t="n">
        <v>91.02</v>
      </c>
      <c r="D88" s="65" t="n">
        <v>684.08</v>
      </c>
      <c r="E88" s="65" t="n">
        <v>201.32</v>
      </c>
      <c r="F88" s="65" t="n">
        <v>110.14</v>
      </c>
      <c r="G88" s="65" t="n">
        <v>69.12</v>
      </c>
      <c r="H88" s="65" t="n">
        <v>80.51</v>
      </c>
      <c r="I88" s="65" t="n">
        <v>114.21</v>
      </c>
      <c r="J88" s="65" t="n">
        <v>100.34</v>
      </c>
      <c r="K88" s="65" t="n">
        <v>124.28</v>
      </c>
      <c r="L88" s="65" t="n">
        <v>176.2</v>
      </c>
      <c r="M88" s="65" t="n">
        <v>94.84</v>
      </c>
      <c r="N88" s="65" t="n">
        <v>501.15</v>
      </c>
      <c r="O88" s="65" t="n">
        <v>83.61</v>
      </c>
      <c r="P88" s="65" t="n">
        <v>123.05</v>
      </c>
      <c r="Q88" s="65" t="n">
        <v>59.43</v>
      </c>
      <c r="R88" s="65" t="n">
        <v>43.81</v>
      </c>
      <c r="S88" s="65" t="n">
        <v>96.64</v>
      </c>
      <c r="T88" s="65" t="n">
        <v>32.83</v>
      </c>
      <c r="U88" s="65" t="n">
        <v>24.7</v>
      </c>
      <c r="V88" s="65" t="n">
        <v>343.67</v>
      </c>
      <c r="W88" s="65" t="n">
        <v>121.35</v>
      </c>
      <c r="X88" s="65"/>
      <c r="Y88" s="65" t="n">
        <v>49.58</v>
      </c>
      <c r="Z88" s="65" t="n">
        <v>206.35</v>
      </c>
      <c r="AA88" s="65" t="n">
        <v>115.65</v>
      </c>
    </row>
    <row r="89" customFormat="false" ht="15" hidden="false" customHeight="true" outlineLevel="0" collapsed="false">
      <c r="A89" s="68" t="n">
        <v>45786</v>
      </c>
      <c r="B89" s="65" t="n">
        <v>383.28</v>
      </c>
      <c r="C89" s="65" t="n">
        <v>86.52</v>
      </c>
      <c r="D89" s="65" t="n">
        <v>699.81</v>
      </c>
      <c r="E89" s="65" t="n">
        <v>205.83</v>
      </c>
      <c r="F89" s="65" t="n">
        <v>102.64</v>
      </c>
      <c r="G89" s="65" t="n">
        <v>69.43</v>
      </c>
      <c r="H89" s="65" t="n">
        <v>85.64</v>
      </c>
      <c r="I89" s="65" t="n">
        <v>116.36</v>
      </c>
      <c r="J89" s="65" t="n">
        <v>101.77</v>
      </c>
      <c r="K89" s="65" t="n">
        <v>117.3</v>
      </c>
      <c r="L89" s="65" t="n">
        <v>173.49</v>
      </c>
      <c r="M89" s="65" t="n">
        <v>93.9</v>
      </c>
      <c r="N89" s="65" t="n">
        <v>424.99</v>
      </c>
      <c r="O89" s="65" t="n">
        <v>84.58</v>
      </c>
      <c r="P89" s="65" t="n">
        <v>122.9</v>
      </c>
      <c r="Q89" s="65" t="n">
        <v>59.28</v>
      </c>
      <c r="R89" s="65" t="n">
        <v>43.93</v>
      </c>
      <c r="S89" s="65" t="n">
        <v>97.31</v>
      </c>
      <c r="T89" s="65" t="n">
        <v>32.78</v>
      </c>
      <c r="U89" s="65" t="n">
        <v>24.38</v>
      </c>
      <c r="V89" s="65" t="n">
        <v>348.55</v>
      </c>
      <c r="W89" s="65" t="n">
        <v>121.2</v>
      </c>
      <c r="X89" s="65"/>
      <c r="Y89" s="65" t="n">
        <v>49.57</v>
      </c>
      <c r="Z89" s="65" t="n">
        <v>213.56</v>
      </c>
      <c r="AA89" s="65" t="n">
        <v>114.02</v>
      </c>
    </row>
    <row r="90" customFormat="false" ht="15" hidden="false" customHeight="true" outlineLevel="0" collapsed="false">
      <c r="A90" s="68" t="n">
        <v>45793</v>
      </c>
      <c r="B90" s="65" t="n">
        <v>417.13</v>
      </c>
      <c r="C90" s="65" t="n">
        <v>96.42</v>
      </c>
      <c r="D90" s="65" t="n">
        <v>741.32</v>
      </c>
      <c r="E90" s="65" t="n">
        <v>226</v>
      </c>
      <c r="F90" s="65" t="n">
        <v>109.82</v>
      </c>
      <c r="G90" s="65" t="n">
        <v>78.33</v>
      </c>
      <c r="H90" s="65" t="n">
        <v>97.75</v>
      </c>
      <c r="I90" s="65" t="n">
        <v>135.06</v>
      </c>
      <c r="J90" s="65" t="n">
        <v>105.23</v>
      </c>
      <c r="K90" s="65" t="n">
        <v>129.52</v>
      </c>
      <c r="L90" s="65" t="n">
        <v>190.88</v>
      </c>
      <c r="M90" s="65" t="n">
        <v>105.86</v>
      </c>
      <c r="N90" s="65" t="n">
        <v>438.65</v>
      </c>
      <c r="O90" s="65" t="n">
        <v>88.72</v>
      </c>
      <c r="P90" s="65" t="n">
        <v>126.84</v>
      </c>
      <c r="Q90" s="65" t="n">
        <v>61.02</v>
      </c>
      <c r="R90" s="65" t="n">
        <v>44.69</v>
      </c>
      <c r="S90" s="65" t="n">
        <v>103.95</v>
      </c>
      <c r="T90" s="65" t="n">
        <v>34.19</v>
      </c>
      <c r="U90" s="65" t="n">
        <v>25.21</v>
      </c>
      <c r="V90" s="65" t="n">
        <v>361.59</v>
      </c>
      <c r="W90" s="65" t="n">
        <v>125.26</v>
      </c>
      <c r="X90" s="65"/>
      <c r="Y90" s="65" t="n">
        <v>50.1</v>
      </c>
      <c r="Z90" s="65" t="n">
        <v>230.27</v>
      </c>
      <c r="AA90" s="65" t="n">
        <v>119.15</v>
      </c>
    </row>
    <row r="91" customFormat="false" ht="15" hidden="false" customHeight="true" outlineLevel="0" collapsed="false">
      <c r="A91" s="68" t="n">
        <v>45800</v>
      </c>
      <c r="B91" s="65" t="n">
        <v>407.69</v>
      </c>
      <c r="C91" s="65" t="n">
        <v>91.2</v>
      </c>
      <c r="D91" s="65" t="n">
        <v>725.86</v>
      </c>
      <c r="E91" s="65" t="n">
        <v>226.11</v>
      </c>
      <c r="F91" s="65" t="n">
        <v>113.9</v>
      </c>
      <c r="G91" s="65" t="n">
        <v>75.15</v>
      </c>
      <c r="H91" s="65" t="n">
        <v>93.13</v>
      </c>
      <c r="I91" s="65" t="n">
        <v>130.96</v>
      </c>
      <c r="J91" s="65" t="n">
        <v>99.04</v>
      </c>
      <c r="K91" s="65" t="n">
        <v>123.31</v>
      </c>
      <c r="L91" s="65" t="n">
        <v>188.68</v>
      </c>
      <c r="M91" s="65" t="n">
        <v>103.96</v>
      </c>
      <c r="N91" s="65" t="n">
        <v>436</v>
      </c>
      <c r="O91" s="65" t="n">
        <v>85.17</v>
      </c>
      <c r="P91" s="65" t="n">
        <v>123.56</v>
      </c>
      <c r="Q91" s="65" t="n">
        <v>60.01</v>
      </c>
      <c r="R91" s="65" t="n">
        <v>44.28</v>
      </c>
      <c r="S91" s="65" t="n">
        <v>101.63</v>
      </c>
      <c r="T91" s="65" t="n">
        <v>33</v>
      </c>
      <c r="U91" s="65" t="n">
        <v>24.53</v>
      </c>
      <c r="V91" s="65" t="n">
        <v>350.12</v>
      </c>
      <c r="W91" s="65" t="n">
        <v>122.5</v>
      </c>
      <c r="X91" s="65"/>
      <c r="Y91" s="65" t="n">
        <v>49.46</v>
      </c>
      <c r="Z91" s="65" t="n">
        <v>231.28</v>
      </c>
      <c r="AA91" s="65" t="n">
        <v>118.54</v>
      </c>
    </row>
    <row r="92" customFormat="false" ht="15" hidden="false" customHeight="true" outlineLevel="0" collapsed="false">
      <c r="A92" s="68" t="n">
        <v>45807</v>
      </c>
      <c r="B92" s="65" t="n">
        <v>415.09</v>
      </c>
      <c r="C92" s="65" t="n">
        <v>86.64</v>
      </c>
      <c r="D92" s="65" t="n">
        <v>730.1</v>
      </c>
      <c r="E92" s="65" t="n">
        <v>239.31</v>
      </c>
      <c r="F92" s="65" t="n">
        <v>117.84</v>
      </c>
      <c r="G92" s="65" t="n">
        <v>75.12</v>
      </c>
      <c r="H92" s="65" t="n">
        <v>94.22</v>
      </c>
      <c r="I92" s="65" t="n">
        <v>134.79</v>
      </c>
      <c r="J92" s="65" t="n">
        <v>103.38</v>
      </c>
      <c r="K92" s="65" t="n">
        <v>131.78</v>
      </c>
      <c r="L92" s="65" t="n">
        <v>190</v>
      </c>
      <c r="M92" s="65" t="n">
        <v>107.75</v>
      </c>
      <c r="N92" s="65" t="n">
        <v>442.05</v>
      </c>
      <c r="O92" s="65" t="n">
        <v>86.17</v>
      </c>
      <c r="P92" s="65" t="n">
        <v>124.36</v>
      </c>
      <c r="Q92" s="65" t="n">
        <v>60.66</v>
      </c>
      <c r="R92" s="65" t="n">
        <v>44.78</v>
      </c>
      <c r="S92" s="65" t="n">
        <v>104.1</v>
      </c>
      <c r="T92" s="65" t="n">
        <v>33.26</v>
      </c>
      <c r="U92" s="65" t="n">
        <v>24.8</v>
      </c>
      <c r="V92" s="65" t="n">
        <v>361.66</v>
      </c>
      <c r="W92" s="65" t="n">
        <v>124.36</v>
      </c>
      <c r="X92" s="65"/>
      <c r="Y92" s="65" t="n">
        <v>49.96</v>
      </c>
      <c r="Z92" s="65" t="n">
        <v>244.31</v>
      </c>
      <c r="AA92" s="65" t="n">
        <v>120.72</v>
      </c>
    </row>
    <row r="93" customFormat="false" ht="15" hidden="false" customHeight="true" outlineLevel="0" collapsed="false">
      <c r="A93" s="68" t="n">
        <v>45814</v>
      </c>
      <c r="B93" s="65" t="n">
        <v>416.92</v>
      </c>
      <c r="C93" s="65" t="n">
        <v>97.25</v>
      </c>
      <c r="D93" s="65" t="n">
        <v>746.2</v>
      </c>
      <c r="E93" s="65" t="n">
        <v>244.11</v>
      </c>
      <c r="F93" s="65" t="n">
        <v>117.1</v>
      </c>
      <c r="G93" s="65" t="n">
        <v>80.19</v>
      </c>
      <c r="H93" s="65" t="n">
        <v>108.28</v>
      </c>
      <c r="I93" s="65" t="n">
        <v>141.36</v>
      </c>
      <c r="J93" s="65" t="n">
        <v>103.56</v>
      </c>
      <c r="K93" s="65" t="n">
        <v>127.72</v>
      </c>
      <c r="L93" s="65" t="n">
        <v>201.66</v>
      </c>
      <c r="M93" s="65" t="n">
        <v>115.17</v>
      </c>
      <c r="N93" s="65" t="n">
        <v>450.5</v>
      </c>
      <c r="O93" s="65" t="n">
        <v>87.76</v>
      </c>
      <c r="P93" s="65" t="n">
        <v>124.82</v>
      </c>
      <c r="Q93" s="65" t="n">
        <v>61.25</v>
      </c>
      <c r="R93" s="65" t="n">
        <v>45.37</v>
      </c>
      <c r="S93" s="65" t="n">
        <v>105.65</v>
      </c>
      <c r="T93" s="65" t="n">
        <v>34.04</v>
      </c>
      <c r="U93" s="65" t="n">
        <v>25.15</v>
      </c>
      <c r="V93" s="65" t="n">
        <v>366.64</v>
      </c>
      <c r="W93" s="65" t="n">
        <v>125.73</v>
      </c>
      <c r="X93" s="65"/>
      <c r="Y93" s="65" t="n">
        <v>50.4</v>
      </c>
      <c r="Z93" s="65" t="n">
        <v>253.97</v>
      </c>
      <c r="AA93" s="65" t="n">
        <v>124.15</v>
      </c>
    </row>
    <row r="94" customFormat="false" ht="15" hidden="false" customHeight="true" outlineLevel="0" collapsed="false">
      <c r="A94" s="68" t="n">
        <v>45821</v>
      </c>
      <c r="B94" s="65" t="n">
        <v>391.68</v>
      </c>
      <c r="C94" s="65" t="n">
        <v>92.35</v>
      </c>
      <c r="D94" s="65" t="n">
        <v>754.11</v>
      </c>
      <c r="E94" s="65" t="n">
        <v>245.86</v>
      </c>
      <c r="F94" s="65" t="n">
        <v>120.15</v>
      </c>
      <c r="G94" s="65" t="n">
        <v>86.11</v>
      </c>
      <c r="H94" s="65" t="n">
        <v>115.31</v>
      </c>
      <c r="I94" s="65" t="n">
        <v>141.62</v>
      </c>
      <c r="J94" s="65" t="n">
        <v>102.12</v>
      </c>
      <c r="K94" s="65" t="n">
        <v>137.4</v>
      </c>
      <c r="L94" s="65" t="n">
        <v>208.23</v>
      </c>
      <c r="M94" s="65" t="n">
        <v>110.78</v>
      </c>
      <c r="N94" s="65" t="n">
        <v>455.45</v>
      </c>
      <c r="O94" s="65" t="n">
        <v>87.23</v>
      </c>
      <c r="P94" s="65" t="n">
        <v>124.38</v>
      </c>
      <c r="Q94" s="65" t="n">
        <v>61.24</v>
      </c>
      <c r="R94" s="65" t="n">
        <v>45.28</v>
      </c>
      <c r="S94" s="65" t="n">
        <v>104.9</v>
      </c>
      <c r="T94" s="65" t="n">
        <v>34.49</v>
      </c>
      <c r="U94" s="65" t="n">
        <v>25.49</v>
      </c>
      <c r="V94" s="65" t="n">
        <v>349.44</v>
      </c>
      <c r="W94" s="65" t="n">
        <v>125.82</v>
      </c>
      <c r="X94" s="65"/>
      <c r="Y94" s="65" t="n">
        <v>50.4</v>
      </c>
      <c r="Z94" s="65" t="n">
        <v>235.06</v>
      </c>
      <c r="AA94" s="65" t="n">
        <v>121.21</v>
      </c>
    </row>
    <row r="95" customFormat="false" ht="15" hidden="false" customHeight="true" outlineLevel="0" collapsed="false">
      <c r="A95" s="68" t="n">
        <v>45828</v>
      </c>
      <c r="B95" s="65" t="n">
        <v>376.92</v>
      </c>
      <c r="C95" s="65" t="n">
        <v>86.25</v>
      </c>
      <c r="D95" s="65" t="n">
        <v>749.68</v>
      </c>
      <c r="E95" s="65" t="n">
        <v>247.72</v>
      </c>
      <c r="F95" s="65" t="n">
        <v>119.07</v>
      </c>
      <c r="G95" s="65" t="n">
        <v>84.36</v>
      </c>
      <c r="H95" s="65" t="n">
        <v>123.29</v>
      </c>
      <c r="I95" s="65" t="n">
        <v>143.5</v>
      </c>
      <c r="J95" s="65" t="n">
        <v>101.57</v>
      </c>
      <c r="K95" s="65" t="n">
        <v>137.3</v>
      </c>
      <c r="L95" s="65" t="n">
        <v>206.66</v>
      </c>
      <c r="M95" s="65" t="n">
        <v>118.38</v>
      </c>
      <c r="N95" s="65" t="n">
        <v>440.87</v>
      </c>
      <c r="O95" s="65" t="n">
        <v>87.38</v>
      </c>
      <c r="P95" s="65" t="n">
        <v>124.75</v>
      </c>
      <c r="Q95" s="65" t="n">
        <v>61.29</v>
      </c>
      <c r="R95" s="65" t="n">
        <v>45.42</v>
      </c>
      <c r="S95" s="65" t="n">
        <v>105.64</v>
      </c>
      <c r="T95" s="65" t="n">
        <v>34.45</v>
      </c>
      <c r="U95" s="65" t="n">
        <v>25.3</v>
      </c>
      <c r="V95" s="65" t="n">
        <v>335.29</v>
      </c>
      <c r="W95" s="65" t="n">
        <v>125.77</v>
      </c>
      <c r="X95" s="65"/>
      <c r="Y95" s="65" t="n">
        <v>50.14</v>
      </c>
      <c r="Z95" s="65" t="n">
        <v>237.81</v>
      </c>
      <c r="AA95" s="65" t="n">
        <v>123.14</v>
      </c>
    </row>
    <row r="96" customFormat="false" ht="15" hidden="false" customHeight="true" outlineLevel="0" collapsed="false">
      <c r="A96" s="68" t="n">
        <v>45835</v>
      </c>
      <c r="B96" s="65" t="n">
        <v>385.83</v>
      </c>
      <c r="C96" s="65" t="n">
        <v>99.39</v>
      </c>
      <c r="D96" s="65" t="n">
        <v>788.74</v>
      </c>
      <c r="E96" s="65" t="n">
        <v>266.9</v>
      </c>
      <c r="F96" s="65" t="n">
        <v>124.83</v>
      </c>
      <c r="G96" s="65" t="n">
        <v>88.32</v>
      </c>
      <c r="H96" s="65" t="n">
        <v>124.44</v>
      </c>
      <c r="I96" s="65" t="n">
        <v>157.36</v>
      </c>
      <c r="J96" s="65" t="n">
        <v>101.5</v>
      </c>
      <c r="K96" s="65" t="n">
        <v>130.74</v>
      </c>
      <c r="L96" s="65" t="n">
        <v>225.46</v>
      </c>
      <c r="M96" s="65" t="n">
        <v>126.99</v>
      </c>
      <c r="N96" s="65" t="n">
        <v>441.3</v>
      </c>
      <c r="O96" s="65" t="n">
        <v>89.61</v>
      </c>
      <c r="P96" s="65" t="n">
        <v>126.47</v>
      </c>
      <c r="Q96" s="65" t="n">
        <v>62.05</v>
      </c>
      <c r="R96" s="65" t="n">
        <v>46.73</v>
      </c>
      <c r="S96" s="65" t="n">
        <v>110.73</v>
      </c>
      <c r="T96" s="65" t="n">
        <v>34.75</v>
      </c>
      <c r="U96" s="65" t="n">
        <v>25.25</v>
      </c>
      <c r="V96" s="65" t="n">
        <v>345.24</v>
      </c>
      <c r="W96" s="65" t="n">
        <v>128.58</v>
      </c>
      <c r="X96" s="65"/>
      <c r="Y96" s="65" t="n">
        <v>50.96</v>
      </c>
      <c r="Z96" s="65" t="n">
        <v>252.85</v>
      </c>
      <c r="AA96" s="65" t="n">
        <v>132.31</v>
      </c>
    </row>
    <row r="97" customFormat="false" ht="15" hidden="false" customHeight="true" outlineLevel="0" collapsed="false">
      <c r="A97" s="68" t="n">
        <v>45842</v>
      </c>
      <c r="B97" s="65" t="n">
        <v>379.31</v>
      </c>
      <c r="C97" s="65" t="n">
        <v>102.52</v>
      </c>
      <c r="D97" s="65" t="n">
        <v>787.3</v>
      </c>
      <c r="E97" s="65" t="n">
        <v>272.68</v>
      </c>
      <c r="F97" s="65" t="n">
        <v>128.52</v>
      </c>
      <c r="G97" s="65" t="n">
        <v>91.76</v>
      </c>
      <c r="H97" s="65" t="n">
        <v>121.98</v>
      </c>
      <c r="I97" s="65" t="n">
        <v>158.95</v>
      </c>
      <c r="J97" s="65" t="n">
        <v>103.81</v>
      </c>
      <c r="K97" s="65" t="n">
        <v>134.36</v>
      </c>
      <c r="L97" s="65" t="n">
        <v>231.61</v>
      </c>
      <c r="M97" s="65" t="n">
        <v>127.67</v>
      </c>
      <c r="N97" s="65" t="n">
        <v>459.62</v>
      </c>
      <c r="O97" s="65" t="n">
        <v>93.34</v>
      </c>
      <c r="P97" s="65" t="n">
        <v>130.79</v>
      </c>
      <c r="Q97" s="65" t="n">
        <v>62.46</v>
      </c>
      <c r="R97" s="65" t="n">
        <v>47.06</v>
      </c>
      <c r="S97" s="65" t="n">
        <v>111.39</v>
      </c>
      <c r="T97" s="65" t="n">
        <v>35.18</v>
      </c>
      <c r="U97" s="65" t="n">
        <v>26.17</v>
      </c>
      <c r="V97" s="65" t="n">
        <v>355.39</v>
      </c>
      <c r="W97" s="65" t="n">
        <v>131.78</v>
      </c>
      <c r="X97" s="65"/>
      <c r="Y97" s="65" t="n">
        <v>51.59</v>
      </c>
      <c r="Z97" s="65" t="n">
        <v>245.27</v>
      </c>
      <c r="AA97" s="65" t="n">
        <v>129.72</v>
      </c>
    </row>
    <row r="98" customFormat="false" ht="15" hidden="false" customHeight="true" outlineLevel="0" collapsed="false">
      <c r="A98" s="68" t="n">
        <v>45849</v>
      </c>
      <c r="B98" s="65" t="n">
        <v>363.35</v>
      </c>
      <c r="C98" s="65" t="n">
        <v>108.57</v>
      </c>
      <c r="D98" s="65" t="n">
        <v>794.67</v>
      </c>
      <c r="E98" s="65" t="n">
        <v>271.89</v>
      </c>
      <c r="F98" s="65" t="n">
        <v>119.61</v>
      </c>
      <c r="G98" s="65" t="n">
        <v>91.76</v>
      </c>
      <c r="H98" s="65" t="n">
        <v>124.33</v>
      </c>
      <c r="I98" s="65" t="n">
        <v>164.52</v>
      </c>
      <c r="J98" s="65" t="n">
        <v>104.91</v>
      </c>
      <c r="K98" s="65" t="n">
        <v>142.1</v>
      </c>
      <c r="L98" s="65" t="n">
        <v>227.27</v>
      </c>
      <c r="M98" s="65" t="n">
        <v>123.13</v>
      </c>
      <c r="N98" s="65" t="n">
        <v>468.85</v>
      </c>
      <c r="O98" s="65" t="n">
        <v>93.22</v>
      </c>
      <c r="P98" s="65" t="n">
        <v>130.35</v>
      </c>
      <c r="Q98" s="65" t="n">
        <v>62.56</v>
      </c>
      <c r="R98" s="65" t="n">
        <v>47.23</v>
      </c>
      <c r="S98" s="65" t="n">
        <v>111.05</v>
      </c>
      <c r="T98" s="65" t="n">
        <v>35.27</v>
      </c>
      <c r="U98" s="65" t="n">
        <v>26.15</v>
      </c>
      <c r="V98" s="65" t="n">
        <v>344.56</v>
      </c>
      <c r="W98" s="65" t="n">
        <v>130.89</v>
      </c>
      <c r="X98" s="65"/>
      <c r="Y98" s="65" t="n">
        <v>51.41</v>
      </c>
      <c r="Z98" s="65" t="n">
        <v>254.13</v>
      </c>
      <c r="AA98" s="65" t="n">
        <v>124.51</v>
      </c>
    </row>
    <row r="99" customFormat="false" ht="15" hidden="false" customHeight="true" outlineLevel="0" collapsed="false">
      <c r="A99" s="68" t="n">
        <v>45856</v>
      </c>
      <c r="B99" s="65" t="n">
        <v>365.79</v>
      </c>
      <c r="C99" s="65" t="n">
        <v>111.78</v>
      </c>
      <c r="D99" s="65" t="n">
        <v>727.93</v>
      </c>
      <c r="E99" s="65" t="n">
        <v>280.77</v>
      </c>
      <c r="F99" s="65" t="n">
        <v>118.99</v>
      </c>
      <c r="G99" s="65" t="n">
        <v>92.41</v>
      </c>
      <c r="H99" s="65" t="n">
        <v>114.21</v>
      </c>
      <c r="I99" s="65" t="n">
        <v>171.99</v>
      </c>
      <c r="J99" s="65" t="n">
        <v>102.61</v>
      </c>
      <c r="K99" s="65" t="n">
        <v>153.52</v>
      </c>
      <c r="L99" s="65" t="n">
        <v>237.13</v>
      </c>
      <c r="M99" s="65" t="n">
        <v>128.89</v>
      </c>
      <c r="N99" s="65" t="n">
        <v>459.81</v>
      </c>
      <c r="O99" s="65" t="n">
        <v>92.12</v>
      </c>
      <c r="P99" s="65" t="n">
        <v>129.8</v>
      </c>
      <c r="Q99" s="65" t="n">
        <v>62.78</v>
      </c>
      <c r="R99" s="65" t="n">
        <v>47.52</v>
      </c>
      <c r="S99" s="65" t="n">
        <v>112.7</v>
      </c>
      <c r="T99" s="65" t="n">
        <v>34.52</v>
      </c>
      <c r="U99" s="65" t="n">
        <v>25.86</v>
      </c>
      <c r="V99" s="65" t="n">
        <v>345.67</v>
      </c>
      <c r="W99" s="65" t="n">
        <v>130.69</v>
      </c>
      <c r="X99" s="65"/>
      <c r="Y99" s="65" t="n">
        <v>51.6</v>
      </c>
      <c r="Z99" s="65" t="n">
        <v>261.94</v>
      </c>
      <c r="AA99" s="65" t="n">
        <v>120.92</v>
      </c>
    </row>
    <row r="100" customFormat="false" ht="15" hidden="false" customHeight="true" outlineLevel="0" collapsed="false">
      <c r="A100" s="68" t="n">
        <v>45863</v>
      </c>
      <c r="B100" s="65" t="n">
        <v>370.74</v>
      </c>
      <c r="C100" s="65" t="n">
        <v>114.28</v>
      </c>
      <c r="D100" s="65" t="n">
        <v>704.81</v>
      </c>
      <c r="E100" s="65" t="n">
        <v>287.55</v>
      </c>
      <c r="F100" s="65" t="n">
        <v>116.98</v>
      </c>
      <c r="G100" s="65" t="n">
        <v>89.53</v>
      </c>
      <c r="H100" s="65" t="n">
        <v>111.08</v>
      </c>
      <c r="I100" s="65" t="n">
        <v>173.08</v>
      </c>
      <c r="J100" s="65" t="n">
        <v>105.99</v>
      </c>
      <c r="K100" s="65" t="n">
        <v>158.8</v>
      </c>
      <c r="L100" s="65" t="n">
        <v>242.26</v>
      </c>
      <c r="M100" s="65" t="n">
        <v>137.29</v>
      </c>
      <c r="N100" s="65" t="n">
        <v>469.65</v>
      </c>
      <c r="O100" s="65" t="n">
        <v>93.48</v>
      </c>
      <c r="P100" s="65" t="n">
        <v>132.16</v>
      </c>
      <c r="Q100" s="65" t="n">
        <v>62.92</v>
      </c>
      <c r="R100" s="65" t="n">
        <v>47.86</v>
      </c>
      <c r="S100" s="65" t="n">
        <v>113.89</v>
      </c>
      <c r="T100" s="65" t="n">
        <v>35.28</v>
      </c>
      <c r="U100" s="65" t="n">
        <v>26.14</v>
      </c>
      <c r="V100" s="65" t="n">
        <v>353.59</v>
      </c>
      <c r="W100" s="65" t="n">
        <v>132.54</v>
      </c>
      <c r="X100" s="65"/>
      <c r="Y100" s="65" t="n">
        <v>51.92</v>
      </c>
      <c r="Z100" s="65" t="n">
        <v>270.22</v>
      </c>
      <c r="AA100" s="65" t="n">
        <v>118.05</v>
      </c>
    </row>
    <row r="101" customFormat="false" ht="15" hidden="false" customHeight="true" outlineLevel="0" collapsed="false">
      <c r="A101" s="68" t="n">
        <v>45870</v>
      </c>
      <c r="B101" s="65" t="n">
        <v>347.8</v>
      </c>
      <c r="C101" s="65" t="n">
        <v>117.57</v>
      </c>
      <c r="D101" s="65" t="n">
        <v>685.31</v>
      </c>
      <c r="E101" s="65" t="n">
        <v>286.02</v>
      </c>
      <c r="F101" s="65" t="n">
        <v>111.67</v>
      </c>
      <c r="G101" s="65" t="n">
        <v>88</v>
      </c>
      <c r="H101" s="65" t="n">
        <v>104.71</v>
      </c>
      <c r="I101" s="65" t="n">
        <v>173.3</v>
      </c>
      <c r="J101" s="65" t="n">
        <v>100.82</v>
      </c>
      <c r="K101" s="65" t="n">
        <v>154.27</v>
      </c>
      <c r="L101" s="65" t="n">
        <v>232.01</v>
      </c>
      <c r="M101" s="65" t="n">
        <v>141.4</v>
      </c>
      <c r="N101" s="65" t="n">
        <v>462.13</v>
      </c>
      <c r="O101" s="65" t="n">
        <v>88.78</v>
      </c>
      <c r="P101" s="65" t="n">
        <v>128.19</v>
      </c>
      <c r="Q101" s="65" t="n">
        <v>62.26</v>
      </c>
      <c r="R101" s="65" t="n">
        <v>47.13</v>
      </c>
      <c r="S101" s="65" t="n">
        <v>112.1</v>
      </c>
      <c r="T101" s="65" t="n">
        <v>33.8</v>
      </c>
      <c r="U101" s="65" t="n">
        <v>25.24</v>
      </c>
      <c r="V101" s="65" t="n">
        <v>336.07</v>
      </c>
      <c r="W101" s="65" t="n">
        <v>128.95</v>
      </c>
      <c r="X101" s="65"/>
      <c r="Y101" s="65" t="n">
        <v>50.69</v>
      </c>
      <c r="Z101" s="65" t="n">
        <v>268.02</v>
      </c>
      <c r="AA101" s="65" t="n">
        <v>115.86</v>
      </c>
    </row>
    <row r="102" customFormat="false" ht="15" hidden="false" customHeight="true" outlineLevel="0" collapsed="false">
      <c r="A102" s="68" t="n">
        <v>45877</v>
      </c>
      <c r="B102" s="65" t="n">
        <v>341.05</v>
      </c>
      <c r="C102" s="65" t="n">
        <v>139.18</v>
      </c>
      <c r="D102" s="65" t="n">
        <v>717.59</v>
      </c>
      <c r="E102" s="65" t="n">
        <v>302.2</v>
      </c>
      <c r="F102" s="65" t="n">
        <v>106.12</v>
      </c>
      <c r="G102" s="65" t="n">
        <v>90.79</v>
      </c>
      <c r="H102" s="65" t="n">
        <v>118.7</v>
      </c>
      <c r="I102" s="65" t="n">
        <v>182.25</v>
      </c>
      <c r="J102" s="65" t="n">
        <v>101.56</v>
      </c>
      <c r="K102" s="65" t="n">
        <v>186.96</v>
      </c>
      <c r="L102" s="65" t="n">
        <v>238.54</v>
      </c>
      <c r="M102" s="65" t="n">
        <v>139.74</v>
      </c>
      <c r="N102" s="65" t="n">
        <v>366.54</v>
      </c>
      <c r="O102" s="65" t="n">
        <v>90.85</v>
      </c>
      <c r="P102" s="65" t="n">
        <v>130.26</v>
      </c>
      <c r="Q102" s="65" t="n">
        <v>62.98</v>
      </c>
      <c r="R102" s="65" t="n">
        <v>48.46</v>
      </c>
      <c r="S102" s="65" t="n">
        <v>116.02</v>
      </c>
      <c r="T102" s="65" t="n">
        <v>34.14</v>
      </c>
      <c r="U102" s="65" t="n">
        <v>25.72</v>
      </c>
      <c r="V102" s="65" t="n">
        <v>333.52</v>
      </c>
      <c r="W102" s="65" t="n">
        <v>131.32</v>
      </c>
      <c r="X102" s="65"/>
      <c r="Y102" s="65" t="n">
        <v>51.1</v>
      </c>
      <c r="Z102" s="65" t="n">
        <v>273.62</v>
      </c>
      <c r="AA102" s="65" t="n">
        <v>121.16</v>
      </c>
    </row>
    <row r="103" customFormat="false" ht="15" hidden="false" customHeight="true" outlineLevel="0" collapsed="false">
      <c r="A103" s="68" t="n">
        <v>45884</v>
      </c>
      <c r="B103" s="65" t="n">
        <v>354.85</v>
      </c>
      <c r="C103" s="65" t="n">
        <v>137.3</v>
      </c>
      <c r="D103" s="65" t="n">
        <v>737.3</v>
      </c>
      <c r="E103" s="65" t="n">
        <v>303.56</v>
      </c>
      <c r="F103" s="65" t="n">
        <v>106.97</v>
      </c>
      <c r="G103" s="65" t="n">
        <v>86.84</v>
      </c>
      <c r="H103" s="65" t="n">
        <v>120.68</v>
      </c>
      <c r="I103" s="65" t="n">
        <v>180.01</v>
      </c>
      <c r="J103" s="65" t="n">
        <v>102.43</v>
      </c>
      <c r="K103" s="65" t="n">
        <v>177.17</v>
      </c>
      <c r="L103" s="65" t="n">
        <v>235.63</v>
      </c>
      <c r="M103" s="65" t="n">
        <v>132.89</v>
      </c>
      <c r="N103" s="65" t="n">
        <v>392.79</v>
      </c>
      <c r="O103" s="65" t="n">
        <v>93.56</v>
      </c>
      <c r="P103" s="65" t="n">
        <v>132.26</v>
      </c>
      <c r="Q103" s="65" t="n">
        <v>63.44</v>
      </c>
      <c r="R103" s="65" t="n">
        <v>48.88</v>
      </c>
      <c r="S103" s="65" t="n">
        <v>116.14</v>
      </c>
      <c r="T103" s="65" t="n">
        <v>35.49</v>
      </c>
      <c r="U103" s="65" t="n">
        <v>26.15</v>
      </c>
      <c r="V103" s="65" t="n">
        <v>341.74</v>
      </c>
      <c r="W103" s="65" t="n">
        <v>132.92</v>
      </c>
      <c r="X103" s="65"/>
      <c r="Y103" s="65" t="n">
        <v>51.68</v>
      </c>
      <c r="Z103" s="65" t="n">
        <v>266.5</v>
      </c>
      <c r="AA103" s="65" t="n">
        <v>123.89</v>
      </c>
    </row>
    <row r="104" customFormat="false" ht="15" hidden="false" customHeight="true" outlineLevel="0" collapsed="false">
      <c r="A104" s="68" t="n">
        <v>45891</v>
      </c>
      <c r="B104" s="65" t="n">
        <v>362.09</v>
      </c>
      <c r="C104" s="65" t="n">
        <v>133.25</v>
      </c>
      <c r="D104" s="65" t="n">
        <v>749.95</v>
      </c>
      <c r="E104" s="65" t="n">
        <v>291.33</v>
      </c>
      <c r="F104" s="65" t="n">
        <v>105.14</v>
      </c>
      <c r="G104" s="65" t="n">
        <v>86.56</v>
      </c>
      <c r="H104" s="65" t="n">
        <v>117.49</v>
      </c>
      <c r="I104" s="65" t="n">
        <v>177.55</v>
      </c>
      <c r="J104" s="65" t="n">
        <v>107.9</v>
      </c>
      <c r="K104" s="65" t="n">
        <v>158.74</v>
      </c>
      <c r="L104" s="65" t="n">
        <v>229.82</v>
      </c>
      <c r="M104" s="65" t="n">
        <v>125.8</v>
      </c>
      <c r="N104" s="65" t="n">
        <v>395.12</v>
      </c>
      <c r="O104" s="65" t="n">
        <v>97.28</v>
      </c>
      <c r="P104" s="65" t="n">
        <v>136.08</v>
      </c>
      <c r="Q104" s="65" t="n">
        <v>63.67</v>
      </c>
      <c r="R104" s="65" t="n">
        <v>48.76</v>
      </c>
      <c r="S104" s="65" t="n">
        <v>115.35</v>
      </c>
      <c r="T104" s="65" t="n">
        <v>36.41</v>
      </c>
      <c r="U104" s="65" t="n">
        <v>26.75</v>
      </c>
      <c r="V104" s="65" t="n">
        <v>347.26</v>
      </c>
      <c r="W104" s="65" t="n">
        <v>135.03</v>
      </c>
      <c r="X104" s="65"/>
      <c r="Y104" s="65" t="n">
        <v>52.3</v>
      </c>
      <c r="Z104" s="65" t="n">
        <v>265.18</v>
      </c>
      <c r="AA104" s="65" t="n">
        <v>120.46</v>
      </c>
    </row>
    <row r="105" customFormat="false" ht="15" hidden="false" customHeight="true" outlineLevel="0" collapsed="false">
      <c r="A105" s="68" t="n">
        <v>45898</v>
      </c>
      <c r="B105" s="65" t="n">
        <v>356.7</v>
      </c>
      <c r="C105" s="65" t="n">
        <v>136.55</v>
      </c>
      <c r="D105" s="65" t="n">
        <v>737.76</v>
      </c>
      <c r="E105" s="65" t="n">
        <v>294.69</v>
      </c>
      <c r="F105" s="65" t="n">
        <v>105.93</v>
      </c>
      <c r="G105" s="65" t="n">
        <v>86.73</v>
      </c>
      <c r="H105" s="65" t="n">
        <v>118.82</v>
      </c>
      <c r="I105" s="65" t="n">
        <v>173.75</v>
      </c>
      <c r="J105" s="65" t="n">
        <v>109.34</v>
      </c>
      <c r="K105" s="65" t="n">
        <v>156.71</v>
      </c>
      <c r="L105" s="65" t="n">
        <v>227.73</v>
      </c>
      <c r="M105" s="65" t="n">
        <v>127.38</v>
      </c>
      <c r="N105" s="65" t="n">
        <v>391.02</v>
      </c>
      <c r="O105" s="65" t="n">
        <v>98.1</v>
      </c>
      <c r="P105" s="65" t="n">
        <v>135.78</v>
      </c>
      <c r="Q105" s="65" t="n">
        <v>63.68</v>
      </c>
      <c r="R105" s="65" t="n">
        <v>48.77</v>
      </c>
      <c r="S105" s="65" t="n">
        <v>115.32</v>
      </c>
      <c r="T105" s="65" t="n">
        <v>36.74</v>
      </c>
      <c r="U105" s="65" t="n">
        <v>26.72</v>
      </c>
      <c r="V105" s="65" t="n">
        <v>348.99</v>
      </c>
      <c r="W105" s="65" t="n">
        <v>135.05</v>
      </c>
      <c r="X105" s="65"/>
      <c r="Y105" s="65" t="n">
        <v>52.1</v>
      </c>
      <c r="Z105" s="65" t="n">
        <v>273.81</v>
      </c>
      <c r="AA105" s="65" t="n">
        <v>120.82</v>
      </c>
    </row>
    <row r="106" customFormat="false" ht="15" hidden="false" customHeight="true" outlineLevel="0" collapsed="false">
      <c r="A106" s="68" t="n">
        <v>45905</v>
      </c>
      <c r="B106" s="65" t="n">
        <v>348.97</v>
      </c>
      <c r="C106" s="65" t="n">
        <v>142.85</v>
      </c>
      <c r="D106" s="65" t="n">
        <v>776.58</v>
      </c>
      <c r="E106" s="65" t="n">
        <v>331.85</v>
      </c>
      <c r="F106" s="65" t="n">
        <v>104.41</v>
      </c>
      <c r="G106" s="65" t="n">
        <v>90.02</v>
      </c>
      <c r="H106" s="65" t="n">
        <v>131.16</v>
      </c>
      <c r="I106" s="65" t="n">
        <v>166.61</v>
      </c>
      <c r="J106" s="65" t="n">
        <v>109.22</v>
      </c>
      <c r="K106" s="65" t="n">
        <v>153.11</v>
      </c>
      <c r="L106" s="65" t="n">
        <v>240.1</v>
      </c>
      <c r="M106" s="65" t="n">
        <v>123.83</v>
      </c>
      <c r="N106" s="65" t="n">
        <v>396.12</v>
      </c>
      <c r="O106" s="65" t="n">
        <v>99.17</v>
      </c>
      <c r="P106" s="65" t="n">
        <v>135.66</v>
      </c>
      <c r="Q106" s="65" t="n">
        <v>63.82</v>
      </c>
      <c r="R106" s="65" t="n">
        <v>49.25</v>
      </c>
      <c r="S106" s="65" t="n">
        <v>115.89</v>
      </c>
      <c r="T106" s="65" t="n">
        <v>37.02</v>
      </c>
      <c r="U106" s="65" t="n">
        <v>26.45</v>
      </c>
      <c r="V106" s="65" t="n">
        <v>340.5</v>
      </c>
      <c r="W106" s="65" t="n">
        <v>135.4</v>
      </c>
      <c r="X106" s="65"/>
      <c r="Y106" s="65" t="n">
        <v>52.1</v>
      </c>
      <c r="Z106" s="65" t="n">
        <v>277.82</v>
      </c>
      <c r="AA106" s="65" t="n">
        <v>124.38</v>
      </c>
    </row>
    <row r="107" customFormat="false" ht="15" hidden="false" customHeight="true" outlineLevel="0" collapsed="false">
      <c r="A107" s="68" t="n">
        <v>45912</v>
      </c>
      <c r="B107" s="65" t="n">
        <v>349.36</v>
      </c>
      <c r="C107" s="65" t="n">
        <v>139.39</v>
      </c>
      <c r="D107" s="65" t="n">
        <v>808.54</v>
      </c>
      <c r="E107" s="65" t="n">
        <v>356.6</v>
      </c>
      <c r="F107" s="65" t="n">
        <v>109.03</v>
      </c>
      <c r="G107" s="65" t="n">
        <v>95.88</v>
      </c>
      <c r="H107" s="65" t="n">
        <v>156.98</v>
      </c>
      <c r="I107" s="65" t="n">
        <v>177.4</v>
      </c>
      <c r="J107" s="65" t="n">
        <v>110.85</v>
      </c>
      <c r="K107" s="65" t="n">
        <v>171.43</v>
      </c>
      <c r="L107" s="65" t="n">
        <v>255.81</v>
      </c>
      <c r="M107" s="65" t="n">
        <v>134.66</v>
      </c>
      <c r="N107" s="65" t="n">
        <v>394.53</v>
      </c>
      <c r="O107" s="65" t="n">
        <v>98.38</v>
      </c>
      <c r="P107" s="65" t="n">
        <v>135.84</v>
      </c>
      <c r="Q107" s="65" t="n">
        <v>64.36</v>
      </c>
      <c r="R107" s="65" t="n">
        <v>49.92</v>
      </c>
      <c r="S107" s="65" t="n">
        <v>119.28</v>
      </c>
      <c r="T107" s="65" t="n">
        <v>37.05</v>
      </c>
      <c r="U107" s="65" t="n">
        <v>26.3</v>
      </c>
      <c r="V107" s="65" t="n">
        <v>336.74</v>
      </c>
      <c r="W107" s="65" t="n">
        <v>137.18</v>
      </c>
      <c r="X107" s="65"/>
      <c r="Y107" s="65" t="n">
        <v>52.21</v>
      </c>
      <c r="Z107" s="65" t="n">
        <v>280.27</v>
      </c>
      <c r="AA107" s="65" t="n">
        <v>118.84</v>
      </c>
    </row>
    <row r="108" customFormat="false" ht="15" hidden="false" customHeight="true" outlineLevel="0" collapsed="false">
      <c r="A108" s="68" t="n">
        <v>45919</v>
      </c>
      <c r="B108" s="65" t="n">
        <v>365.9</v>
      </c>
      <c r="C108" s="65" t="n">
        <v>149.61</v>
      </c>
      <c r="D108" s="65" t="n">
        <v>926.05</v>
      </c>
      <c r="E108" s="65" t="n">
        <v>341.81</v>
      </c>
      <c r="F108" s="65" t="n">
        <v>125.64</v>
      </c>
      <c r="G108" s="65" t="n">
        <v>103.92</v>
      </c>
      <c r="H108" s="65" t="n">
        <v>162.47</v>
      </c>
      <c r="I108" s="65" t="n">
        <v>176.25</v>
      </c>
      <c r="J108" s="65" t="n">
        <v>110.05</v>
      </c>
      <c r="K108" s="65" t="n">
        <v>182.39</v>
      </c>
      <c r="L108" s="65" t="n">
        <v>262.1</v>
      </c>
      <c r="M108" s="65" t="n">
        <v>143.45</v>
      </c>
      <c r="N108" s="65" t="n">
        <v>383.12</v>
      </c>
      <c r="O108" s="65" t="n">
        <v>98.94</v>
      </c>
      <c r="P108" s="65" t="n">
        <v>135.46</v>
      </c>
      <c r="Q108" s="65" t="n">
        <v>64.49</v>
      </c>
      <c r="R108" s="65" t="n">
        <v>50.47</v>
      </c>
      <c r="S108" s="65" t="n">
        <v>120.72</v>
      </c>
      <c r="T108" s="65" t="n">
        <v>37</v>
      </c>
      <c r="U108" s="65" t="n">
        <v>26.15</v>
      </c>
      <c r="V108" s="65" t="n">
        <v>338.9</v>
      </c>
      <c r="W108" s="65" t="n">
        <v>137.1</v>
      </c>
      <c r="X108" s="65"/>
      <c r="Y108" s="65" t="n">
        <v>52.17</v>
      </c>
      <c r="Z108" s="65" t="n">
        <v>299.62</v>
      </c>
      <c r="AA108" s="65" t="n">
        <v>122.7</v>
      </c>
    </row>
    <row r="109" customFormat="false" ht="15" hidden="false" customHeight="true" outlineLevel="0" collapsed="false">
      <c r="A109" s="68" t="n">
        <v>45926</v>
      </c>
      <c r="B109" s="65" t="n">
        <v>360.37</v>
      </c>
      <c r="C109" s="65" t="n">
        <v>142.5</v>
      </c>
      <c r="D109" s="65" t="n">
        <v>945.29</v>
      </c>
      <c r="E109" s="65" t="n">
        <v>332.06</v>
      </c>
      <c r="F109" s="65" t="n">
        <v>120.36</v>
      </c>
      <c r="G109" s="65" t="n">
        <v>105.86</v>
      </c>
      <c r="H109" s="65" t="n">
        <v>157.02</v>
      </c>
      <c r="I109" s="65" t="n">
        <v>177.76</v>
      </c>
      <c r="J109" s="65" t="n">
        <v>110.71</v>
      </c>
      <c r="K109" s="65" t="n">
        <v>177.57</v>
      </c>
      <c r="L109" s="65" t="n">
        <v>270.5</v>
      </c>
      <c r="M109" s="65" t="n">
        <v>138.47</v>
      </c>
      <c r="N109" s="65" t="n">
        <v>385.74</v>
      </c>
      <c r="O109" s="65" t="n">
        <v>99.24</v>
      </c>
      <c r="P109" s="65" t="n">
        <v>136.5</v>
      </c>
      <c r="Q109" s="65" t="n">
        <v>64.51</v>
      </c>
      <c r="R109" s="65" t="n">
        <v>50.55</v>
      </c>
      <c r="S109" s="65" t="n">
        <v>119.57</v>
      </c>
      <c r="T109" s="65" t="n">
        <v>37.29</v>
      </c>
      <c r="U109" s="65" t="n">
        <v>26.29</v>
      </c>
      <c r="V109" s="65" t="n">
        <v>334.69</v>
      </c>
      <c r="W109" s="65" t="n">
        <v>137.42</v>
      </c>
      <c r="X109" s="65"/>
      <c r="Y109" s="65" t="n">
        <v>52.24</v>
      </c>
      <c r="Z109" s="65" t="n">
        <v>293.49</v>
      </c>
      <c r="AA109" s="65" t="n">
        <v>121.06</v>
      </c>
    </row>
    <row r="110" customFormat="false" ht="15" hidden="false" customHeight="true" outlineLevel="0" collapsed="false">
      <c r="A110" s="68" t="n">
        <v>45933</v>
      </c>
      <c r="B110" s="65" t="n">
        <v>346.74</v>
      </c>
      <c r="C110" s="65" t="n">
        <v>145.5</v>
      </c>
      <c r="D110" s="65" t="n">
        <v>1025.47</v>
      </c>
      <c r="E110" s="65" t="n">
        <v>335.87</v>
      </c>
      <c r="F110" s="65" t="n">
        <v>122.47</v>
      </c>
      <c r="G110" s="65" t="n">
        <v>109.56</v>
      </c>
      <c r="H110" s="65" t="n">
        <v>187.65</v>
      </c>
      <c r="I110" s="65" t="n">
        <v>187.17</v>
      </c>
      <c r="J110" s="65" t="n">
        <v>113.5</v>
      </c>
      <c r="K110" s="65" t="n">
        <v>173.07</v>
      </c>
      <c r="L110" s="65" t="n">
        <v>289.13</v>
      </c>
      <c r="M110" s="65" t="n">
        <v>160.03</v>
      </c>
      <c r="N110" s="65" t="n">
        <v>403.3</v>
      </c>
      <c r="O110" s="65" t="n">
        <v>99.35</v>
      </c>
      <c r="P110" s="65" t="n">
        <v>138.19</v>
      </c>
      <c r="Q110" s="65" t="n">
        <v>64.72</v>
      </c>
      <c r="R110" s="65" t="n">
        <v>50.97</v>
      </c>
      <c r="S110" s="65" t="n">
        <v>119.08</v>
      </c>
      <c r="T110" s="65" t="n">
        <v>37.42</v>
      </c>
      <c r="U110" s="65" t="n">
        <v>26.48</v>
      </c>
      <c r="V110" s="65" t="n">
        <v>347.06</v>
      </c>
      <c r="W110" s="65" t="n">
        <v>138.17</v>
      </c>
      <c r="X110" s="65"/>
      <c r="Y110" s="65" t="n">
        <v>52.66</v>
      </c>
      <c r="Z110" s="65" t="n">
        <v>295.86</v>
      </c>
      <c r="AA110" s="65" t="n">
        <v>115.33</v>
      </c>
    </row>
    <row r="111" customFormat="false" ht="15" hidden="false" customHeight="true" outlineLevel="0" collapsed="false">
      <c r="A111" s="68" t="n">
        <v>45940</v>
      </c>
      <c r="B111" s="65" t="n">
        <v>337.51</v>
      </c>
      <c r="C111" s="65" t="n">
        <v>154.1</v>
      </c>
      <c r="D111" s="65" t="n">
        <v>930.06</v>
      </c>
      <c r="E111" s="65" t="n">
        <v>322.23</v>
      </c>
      <c r="F111" s="65" t="n">
        <v>123.42</v>
      </c>
      <c r="G111" s="65" t="n">
        <v>97.75</v>
      </c>
      <c r="H111" s="65" t="n">
        <v>181.42</v>
      </c>
      <c r="I111" s="65" t="n">
        <v>182.72</v>
      </c>
      <c r="J111" s="65" t="n">
        <v>107.84</v>
      </c>
      <c r="K111" s="65" t="n">
        <v>175.44</v>
      </c>
      <c r="L111" s="65" t="n">
        <v>277.72</v>
      </c>
      <c r="M111" s="65" t="n">
        <v>168.83</v>
      </c>
      <c r="N111" s="65" t="n">
        <v>407.79</v>
      </c>
      <c r="O111" s="65" t="n">
        <v>93.95</v>
      </c>
      <c r="P111" s="65" t="n">
        <v>133.41</v>
      </c>
      <c r="Q111" s="65" t="n">
        <v>63.9</v>
      </c>
      <c r="R111" s="65" t="n">
        <v>50.12</v>
      </c>
      <c r="S111" s="65" t="n">
        <v>117.51</v>
      </c>
      <c r="T111" s="65" t="n">
        <v>36.18</v>
      </c>
      <c r="U111" s="65" t="n">
        <v>25.64</v>
      </c>
      <c r="V111" s="65" t="n">
        <v>340.92</v>
      </c>
      <c r="W111" s="65" t="n">
        <v>134.19</v>
      </c>
      <c r="X111" s="65"/>
      <c r="Y111" s="65" t="n">
        <v>51.71</v>
      </c>
      <c r="Z111" s="65" t="n">
        <v>290.37</v>
      </c>
      <c r="AA111" s="65" t="n">
        <v>122.01</v>
      </c>
    </row>
    <row r="112" customFormat="false" ht="15" hidden="false" customHeight="true" outlineLevel="0" collapsed="false">
      <c r="A112" s="68" t="n">
        <v>45947</v>
      </c>
      <c r="B112" s="65" t="n">
        <v>333.26</v>
      </c>
      <c r="C112" s="65" t="n">
        <v>143.1</v>
      </c>
      <c r="D112" s="65" t="n">
        <v>1022.53</v>
      </c>
      <c r="E112" s="65" t="n">
        <v>346.75</v>
      </c>
      <c r="F112" s="65" t="n">
        <v>121.16</v>
      </c>
      <c r="G112" s="65" t="n">
        <v>110.07</v>
      </c>
      <c r="H112" s="65" t="n">
        <v>202.18</v>
      </c>
      <c r="I112" s="65" t="n">
        <v>182.78</v>
      </c>
      <c r="J112" s="65" t="n">
        <v>120.3</v>
      </c>
      <c r="K112" s="65" t="n">
        <v>178.15</v>
      </c>
      <c r="L112" s="65" t="n">
        <v>291.99</v>
      </c>
      <c r="M112" s="65" t="n">
        <v>173.81</v>
      </c>
      <c r="N112" s="65" t="n">
        <v>416.81</v>
      </c>
      <c r="O112" s="65" t="n">
        <v>95.79</v>
      </c>
      <c r="P112" s="65" t="n">
        <v>135.37</v>
      </c>
      <c r="Q112" s="65" t="n">
        <v>64.53</v>
      </c>
      <c r="R112" s="65" t="n">
        <v>51.15</v>
      </c>
      <c r="S112" s="65" t="n">
        <v>119.41</v>
      </c>
      <c r="T112" s="65" t="n">
        <v>36.69</v>
      </c>
      <c r="U112" s="65" t="n">
        <v>25.88</v>
      </c>
      <c r="V112" s="65" t="n">
        <v>339.18</v>
      </c>
      <c r="W112" s="65" t="n">
        <v>136.76</v>
      </c>
      <c r="X112" s="65"/>
      <c r="Y112" s="65" t="n">
        <v>52.5</v>
      </c>
      <c r="Z112" s="65" t="n">
        <v>298.99</v>
      </c>
      <c r="AA112" s="65" t="n">
        <v>119.94</v>
      </c>
    </row>
    <row r="113" customFormat="false" ht="15" hidden="false" customHeight="true" outlineLevel="0" collapsed="false">
      <c r="A113" s="68" t="n">
        <v>45954</v>
      </c>
      <c r="B113" s="65" t="n">
        <v>353.52</v>
      </c>
      <c r="C113" s="65" t="n">
        <v>153.82</v>
      </c>
      <c r="D113" s="65" t="n">
        <v>1026.34</v>
      </c>
      <c r="E113" s="65" t="n">
        <v>351.52</v>
      </c>
      <c r="F113" s="65" t="n">
        <v>131.83</v>
      </c>
      <c r="G113" s="65" t="n">
        <v>117.65</v>
      </c>
      <c r="H113" s="65" t="n">
        <v>218.81</v>
      </c>
      <c r="I113" s="65" t="n">
        <v>185.81</v>
      </c>
      <c r="J113" s="65" t="n">
        <v>122.58</v>
      </c>
      <c r="K113" s="65" t="n">
        <v>184.63</v>
      </c>
      <c r="L113" s="65" t="n">
        <v>291.87</v>
      </c>
      <c r="M113" s="65" t="n">
        <v>185.86</v>
      </c>
      <c r="N113" s="65" t="n">
        <v>421.39</v>
      </c>
      <c r="O113" s="65" t="n">
        <v>98.61</v>
      </c>
      <c r="P113" s="65" t="n">
        <v>137.67</v>
      </c>
      <c r="Q113" s="65" t="n">
        <v>65.18</v>
      </c>
      <c r="R113" s="65" t="n">
        <v>52.1</v>
      </c>
      <c r="S113" s="65" t="n">
        <v>120.69</v>
      </c>
      <c r="T113" s="65" t="n">
        <v>37.64</v>
      </c>
      <c r="U113" s="65" t="n">
        <v>26.11</v>
      </c>
      <c r="V113" s="65" t="n">
        <v>344.62</v>
      </c>
      <c r="W113" s="65" t="n">
        <v>138.24</v>
      </c>
      <c r="X113" s="65"/>
      <c r="Y113" s="65" t="n">
        <v>53.05</v>
      </c>
      <c r="Z113" s="65" t="n">
        <v>302.7</v>
      </c>
      <c r="AA113" s="65" t="n">
        <v>109.47</v>
      </c>
    </row>
    <row r="114" customFormat="false" ht="15" hidden="false" customHeight="true" outlineLevel="0" collapsed="false">
      <c r="A114" s="68" t="n">
        <v>45961</v>
      </c>
      <c r="B114" s="65" t="n">
        <v>340.31</v>
      </c>
      <c r="C114" s="65" t="n">
        <v>157.69</v>
      </c>
      <c r="D114" s="65" t="n">
        <v>1054.17</v>
      </c>
      <c r="E114" s="65" t="n">
        <v>366.9</v>
      </c>
      <c r="F114" s="65" t="n">
        <v>135.75</v>
      </c>
      <c r="G114" s="65" t="n">
        <v>120.23</v>
      </c>
      <c r="H114" s="65" t="n">
        <v>223.55</v>
      </c>
      <c r="I114" s="65" t="n">
        <v>202.01</v>
      </c>
      <c r="J114" s="65" t="n">
        <v>120.31</v>
      </c>
      <c r="K114" s="65" t="n">
        <v>200.47</v>
      </c>
      <c r="L114" s="65" t="n">
        <v>297.28</v>
      </c>
      <c r="M114" s="65" t="n">
        <v>192.65</v>
      </c>
      <c r="N114" s="65" t="n">
        <v>425.57</v>
      </c>
      <c r="O114" s="65" t="n">
        <v>96.52</v>
      </c>
      <c r="P114" s="65" t="n">
        <v>134.39</v>
      </c>
      <c r="Q114" s="65" t="n">
        <v>65.22</v>
      </c>
      <c r="R114" s="65" t="n">
        <v>52.59</v>
      </c>
      <c r="S114" s="65" t="n">
        <v>120.68</v>
      </c>
      <c r="T114" s="65" t="n">
        <v>37.41</v>
      </c>
      <c r="U114" s="65" t="n">
        <v>25.84</v>
      </c>
      <c r="V114" s="65" t="n">
        <v>338.04</v>
      </c>
      <c r="W114" s="65" t="n">
        <v>137.22</v>
      </c>
      <c r="X114" s="65"/>
      <c r="Y114" s="65" t="n">
        <v>52.52</v>
      </c>
      <c r="Z114" s="65" t="n">
        <v>307.76</v>
      </c>
      <c r="AA114" s="65" t="n">
        <v>111.89</v>
      </c>
    </row>
    <row r="115" customFormat="false" ht="15" hidden="false" customHeight="true" outlineLevel="0" collapsed="false">
      <c r="A115" s="68" t="n">
        <v>45968</v>
      </c>
      <c r="B115" s="65" t="n">
        <v>326.95</v>
      </c>
      <c r="C115" s="65" t="n">
        <v>134.65</v>
      </c>
      <c r="D115" s="65" t="n">
        <v>1012.1</v>
      </c>
      <c r="E115" s="65" t="n">
        <v>346.85</v>
      </c>
      <c r="F115" s="65" t="n">
        <v>134.95</v>
      </c>
      <c r="G115" s="65" t="n">
        <v>118.7</v>
      </c>
      <c r="H115" s="65" t="n">
        <v>237.69</v>
      </c>
      <c r="I115" s="65" t="n">
        <v>187.7</v>
      </c>
      <c r="J115" s="65" t="n">
        <v>121.78</v>
      </c>
      <c r="K115" s="65" t="n">
        <v>177.93</v>
      </c>
      <c r="L115" s="65" t="n">
        <v>283.5</v>
      </c>
      <c r="M115" s="65" t="n">
        <v>179.61</v>
      </c>
      <c r="N115" s="65" t="n">
        <v>409.47</v>
      </c>
      <c r="O115" s="65" t="n">
        <v>96.46</v>
      </c>
      <c r="P115" s="65" t="n">
        <v>135.39</v>
      </c>
      <c r="Q115" s="65" t="n">
        <v>64.89</v>
      </c>
      <c r="R115" s="65" t="n">
        <v>51.77</v>
      </c>
      <c r="S115" s="65" t="n">
        <v>117.54</v>
      </c>
      <c r="T115" s="65" t="n">
        <v>37.49</v>
      </c>
      <c r="U115" s="65" t="n">
        <v>25.81</v>
      </c>
      <c r="V115" s="65" t="n">
        <v>333.35</v>
      </c>
      <c r="W115" s="65" t="n">
        <v>136.92</v>
      </c>
      <c r="X115" s="65"/>
      <c r="Y115" s="65" t="n">
        <v>52.44</v>
      </c>
      <c r="Z115" s="65" t="n">
        <v>306.09</v>
      </c>
      <c r="AA115" s="65" t="n">
        <v>110.37</v>
      </c>
    </row>
    <row r="116" customFormat="false" ht="15" hidden="false" customHeight="true" outlineLevel="0" collapsed="false">
      <c r="A116" s="68" t="n">
        <v>45975</v>
      </c>
      <c r="B116" s="65" t="n">
        <v>331.11</v>
      </c>
      <c r="C116" s="65" t="n">
        <v>131.37</v>
      </c>
      <c r="D116" s="65" t="n">
        <v>1002.17</v>
      </c>
      <c r="E116" s="65" t="n">
        <v>339.93</v>
      </c>
      <c r="F116" s="65" t="n">
        <v>134.39</v>
      </c>
      <c r="G116" s="65" t="n">
        <v>112.82</v>
      </c>
      <c r="H116" s="65" t="n">
        <v>246.59</v>
      </c>
      <c r="I116" s="65" t="n">
        <v>189.72</v>
      </c>
      <c r="J116" s="65" t="n">
        <v>119.09</v>
      </c>
      <c r="K116" s="65" t="n">
        <v>174.01</v>
      </c>
      <c r="L116" s="65" t="n">
        <v>281.84</v>
      </c>
      <c r="M116" s="65" t="n">
        <v>170.79</v>
      </c>
      <c r="N116" s="65" t="n">
        <v>437.15</v>
      </c>
      <c r="O116" s="65" t="n">
        <v>96.32</v>
      </c>
      <c r="P116" s="65" t="n">
        <v>135.81</v>
      </c>
      <c r="Q116" s="65" t="n">
        <v>64.99</v>
      </c>
      <c r="R116" s="65" t="n">
        <v>51.87</v>
      </c>
      <c r="S116" s="65" t="n">
        <v>116.84</v>
      </c>
      <c r="T116" s="65" t="n">
        <v>37.91</v>
      </c>
      <c r="U116" s="65" t="n">
        <v>26.32</v>
      </c>
      <c r="V116" s="65" t="n">
        <v>328.05</v>
      </c>
      <c r="W116" s="65" t="n">
        <v>137.64</v>
      </c>
      <c r="X116" s="65"/>
      <c r="Y116" s="65" t="n">
        <v>52.71</v>
      </c>
      <c r="Z116" s="65" t="n">
        <v>303.65</v>
      </c>
      <c r="AA116" s="65" t="n">
        <v>111.22</v>
      </c>
    </row>
    <row r="117" customFormat="false" ht="15" hidden="false" customHeight="true" outlineLevel="0" collapsed="false">
      <c r="A117" s="68" t="n">
        <v>45982</v>
      </c>
      <c r="B117" s="65" t="n">
        <v>324.19</v>
      </c>
      <c r="C117" s="65" t="n">
        <v>117.43</v>
      </c>
      <c r="D117" s="65" t="n">
        <v>961.95</v>
      </c>
      <c r="E117" s="65" t="n">
        <v>337.69</v>
      </c>
      <c r="F117" s="65" t="n">
        <v>122.67</v>
      </c>
      <c r="G117" s="65" t="n">
        <v>109.31</v>
      </c>
      <c r="H117" s="65" t="n">
        <v>207.17</v>
      </c>
      <c r="I117" s="65" t="n">
        <v>178.45</v>
      </c>
      <c r="J117" s="65" t="n">
        <v>121.96</v>
      </c>
      <c r="K117" s="65" t="n">
        <v>154.85</v>
      </c>
      <c r="L117" s="65" t="n">
        <v>272.18</v>
      </c>
      <c r="M117" s="65" t="n">
        <v>159.66</v>
      </c>
      <c r="N117" s="65" t="n">
        <v>426.76</v>
      </c>
      <c r="O117" s="65" t="n">
        <v>95.57</v>
      </c>
      <c r="P117" s="65" t="n">
        <v>135.14</v>
      </c>
      <c r="Q117" s="65" t="n">
        <v>64.41</v>
      </c>
      <c r="R117" s="65" t="n">
        <v>50.45</v>
      </c>
      <c r="S117" s="65" t="n">
        <v>113.34</v>
      </c>
      <c r="T117" s="65" t="n">
        <v>37.15</v>
      </c>
      <c r="U117" s="65" t="n">
        <v>26.18</v>
      </c>
      <c r="V117" s="65" t="n">
        <v>326.02</v>
      </c>
      <c r="W117" s="65" t="n">
        <v>136.75</v>
      </c>
      <c r="X117" s="65"/>
      <c r="Y117" s="65" t="n">
        <v>52.57</v>
      </c>
      <c r="Z117" s="65" t="n">
        <v>286.34</v>
      </c>
      <c r="AA117" s="65" t="n">
        <v>104.31</v>
      </c>
    </row>
    <row r="118" customFormat="false" ht="15" hidden="false" customHeight="true" outlineLevel="0" collapsed="false">
      <c r="A118" s="68" t="n">
        <v>45989</v>
      </c>
      <c r="B118" s="65" t="n">
        <v>320.13</v>
      </c>
      <c r="C118" s="65" t="n">
        <v>130.68</v>
      </c>
      <c r="D118" s="65" t="n">
        <v>1054.93</v>
      </c>
      <c r="E118" s="65" t="n">
        <v>399.99</v>
      </c>
      <c r="F118" s="65" t="n">
        <v>127.29</v>
      </c>
      <c r="G118" s="65" t="n">
        <v>117.11</v>
      </c>
      <c r="H118" s="65" t="n">
        <v>236.25</v>
      </c>
      <c r="I118" s="65" t="n">
        <v>176.58</v>
      </c>
      <c r="J118" s="65" t="n">
        <v>124.62</v>
      </c>
      <c r="K118" s="65" t="n">
        <v>168.45</v>
      </c>
      <c r="L118" s="65" t="n">
        <v>288.46</v>
      </c>
      <c r="M118" s="65" t="n">
        <v>179.61</v>
      </c>
      <c r="N118" s="65" t="n">
        <v>433.61</v>
      </c>
      <c r="O118" s="65" t="n">
        <v>99.81</v>
      </c>
      <c r="P118" s="65" t="n">
        <v>138.62</v>
      </c>
      <c r="Q118" s="65" t="n">
        <v>65.81</v>
      </c>
      <c r="R118" s="65" t="n">
        <v>52.76</v>
      </c>
      <c r="S118" s="65" t="n">
        <v>119.11</v>
      </c>
      <c r="T118" s="65" t="n">
        <v>38.42</v>
      </c>
      <c r="U118" s="65" t="n">
        <v>26.66</v>
      </c>
      <c r="V118" s="65" t="n">
        <v>332.44</v>
      </c>
      <c r="W118" s="65" t="n">
        <v>141.96</v>
      </c>
      <c r="X118" s="65"/>
      <c r="Y118" s="65" t="n">
        <v>53.8</v>
      </c>
      <c r="Z118" s="65" t="n">
        <v>297.3</v>
      </c>
      <c r="AA118" s="65" t="n">
        <v>107.58</v>
      </c>
    </row>
    <row r="119" customFormat="false" ht="15" hidden="false" customHeight="true" outlineLevel="0" collapsed="false">
      <c r="A119" s="68" t="n">
        <v>45996</v>
      </c>
      <c r="B119" s="65" t="n">
        <v>346.26</v>
      </c>
      <c r="C119" s="65" t="n">
        <v>128.59</v>
      </c>
      <c r="D119" s="65" t="n">
        <v>1094.21</v>
      </c>
      <c r="E119" s="65" t="n">
        <v>387.36</v>
      </c>
      <c r="F119" s="65" t="n">
        <v>128.01</v>
      </c>
      <c r="G119" s="65" t="n">
        <v>121</v>
      </c>
      <c r="H119" s="65" t="n">
        <v>236.99</v>
      </c>
      <c r="I119" s="65" t="n">
        <v>181.98</v>
      </c>
      <c r="J119" s="65" t="n">
        <v>124.08</v>
      </c>
      <c r="K119" s="65" t="n">
        <v>181.76</v>
      </c>
      <c r="L119" s="65" t="n">
        <v>291.63</v>
      </c>
      <c r="M119" s="65" t="n">
        <v>188.89</v>
      </c>
      <c r="N119" s="65" t="n">
        <v>455.48</v>
      </c>
      <c r="O119" s="65" t="n">
        <v>101.56</v>
      </c>
      <c r="P119" s="65" t="n">
        <v>136.97</v>
      </c>
      <c r="Q119" s="65" t="n">
        <v>65.96</v>
      </c>
      <c r="R119" s="65" t="n">
        <v>53.27</v>
      </c>
      <c r="S119" s="65" t="n">
        <v>119.84</v>
      </c>
      <c r="T119" s="65" t="n">
        <v>39.02</v>
      </c>
      <c r="U119" s="65" t="n">
        <v>26.77</v>
      </c>
      <c r="V119" s="65" t="n">
        <v>329.26</v>
      </c>
      <c r="W119" s="65" t="n">
        <v>141.74</v>
      </c>
      <c r="X119" s="65"/>
      <c r="Y119" s="65" t="n">
        <v>53.7</v>
      </c>
      <c r="Z119" s="65" t="n">
        <v>282.85</v>
      </c>
      <c r="AA119" s="65" t="n">
        <v>100.24</v>
      </c>
    </row>
    <row r="120" customFormat="false" ht="15" hidden="false" customHeight="true" outlineLevel="0" collapsed="false">
      <c r="A120" s="68" t="n">
        <v>46003</v>
      </c>
      <c r="B120" s="65" t="n">
        <v>356.43</v>
      </c>
      <c r="C120" s="65" t="n">
        <v>124.76</v>
      </c>
      <c r="D120" s="65" t="n">
        <v>1075.68</v>
      </c>
      <c r="E120" s="65" t="n">
        <v>357.27</v>
      </c>
      <c r="F120" s="65" t="n">
        <v>126.19</v>
      </c>
      <c r="G120" s="65" t="n">
        <v>118.95</v>
      </c>
      <c r="H120" s="65" t="n">
        <v>240.9</v>
      </c>
      <c r="I120" s="65" t="n">
        <v>174.61</v>
      </c>
      <c r="J120" s="65" t="n">
        <v>126.22</v>
      </c>
      <c r="K120" s="65" t="n">
        <v>183.57</v>
      </c>
      <c r="L120" s="65" t="n">
        <v>289.76</v>
      </c>
      <c r="M120" s="65" t="n">
        <v>161.16</v>
      </c>
      <c r="N120" s="65" t="n">
        <v>452.04</v>
      </c>
      <c r="O120" s="65" t="n">
        <v>103.74</v>
      </c>
      <c r="P120" s="65" t="n">
        <v>139.19</v>
      </c>
      <c r="Q120" s="65" t="n">
        <v>65.88</v>
      </c>
      <c r="R120" s="65" t="n">
        <v>52.69</v>
      </c>
      <c r="S120" s="65" t="n">
        <v>118.1</v>
      </c>
      <c r="T120" s="65" t="n">
        <v>39.44</v>
      </c>
      <c r="U120" s="65" t="n">
        <v>27.02</v>
      </c>
      <c r="V120" s="65" t="n">
        <v>345.75</v>
      </c>
      <c r="W120" s="65" t="n">
        <v>142.52</v>
      </c>
      <c r="X120" s="65"/>
      <c r="Y120" s="65" t="n">
        <v>53.98</v>
      </c>
      <c r="Z120" s="65" t="n">
        <v>298.66</v>
      </c>
      <c r="AA120" s="65" t="n">
        <v>95.19</v>
      </c>
    </row>
    <row r="121" customFormat="false" ht="15" hidden="false" customHeight="true" outlineLevel="0" collapsed="false">
      <c r="A121" s="68" t="n">
        <v>46010</v>
      </c>
      <c r="B121" s="65" t="n">
        <v>355.86</v>
      </c>
      <c r="C121" s="65" t="n">
        <v>131.12</v>
      </c>
      <c r="D121" s="65" t="n">
        <v>1050.97</v>
      </c>
      <c r="E121" s="65" t="n">
        <v>337.85</v>
      </c>
      <c r="F121" s="65" t="n">
        <v>120.32</v>
      </c>
      <c r="G121" s="65" t="n">
        <v>124.11</v>
      </c>
      <c r="H121" s="65" t="n">
        <v>265.66</v>
      </c>
      <c r="I121" s="65" t="n">
        <v>180.57</v>
      </c>
      <c r="J121" s="65" t="n">
        <v>124.32</v>
      </c>
      <c r="K121" s="65" t="n">
        <v>193.38</v>
      </c>
      <c r="L121" s="65" t="n">
        <v>286.7</v>
      </c>
      <c r="M121" s="65" t="n">
        <v>159.71</v>
      </c>
      <c r="N121" s="65" t="n">
        <v>456.2</v>
      </c>
      <c r="O121" s="65" t="n">
        <v>102.8</v>
      </c>
      <c r="P121" s="65" t="n">
        <v>138.55</v>
      </c>
      <c r="Q121" s="65" t="n">
        <v>66.03</v>
      </c>
      <c r="R121" s="65" t="n">
        <v>53.08</v>
      </c>
      <c r="S121" s="65" t="n">
        <v>118.53</v>
      </c>
      <c r="T121" s="65" t="n">
        <v>39.27</v>
      </c>
      <c r="U121" s="65" t="n">
        <v>26.8</v>
      </c>
      <c r="V121" s="65" t="n">
        <v>347.17</v>
      </c>
      <c r="W121" s="65" t="n">
        <v>140.83</v>
      </c>
      <c r="X121" s="65" t="n">
        <v>44.15</v>
      </c>
      <c r="Y121" s="65" t="n">
        <v>53.8</v>
      </c>
      <c r="Z121" s="65" t="n">
        <v>306.03</v>
      </c>
      <c r="AA121" s="65" t="n">
        <v>94.39</v>
      </c>
    </row>
    <row r="122" customFormat="false" ht="15" hidden="false" customHeight="true" outlineLevel="0" collapsed="false">
      <c r="A122" s="68" t="n">
        <v>46017</v>
      </c>
      <c r="B122" s="65" t="n">
        <v>353.8</v>
      </c>
      <c r="C122" s="65" t="n">
        <v>131.84</v>
      </c>
      <c r="D122" s="65" t="n">
        <v>1067.62</v>
      </c>
      <c r="E122" s="65" t="n">
        <v>350.2</v>
      </c>
      <c r="F122" s="65" t="n">
        <v>120.3</v>
      </c>
      <c r="G122" s="65" t="n">
        <v>127.49</v>
      </c>
      <c r="H122" s="65" t="n">
        <v>284.51</v>
      </c>
      <c r="I122" s="65" t="n">
        <v>190.09</v>
      </c>
      <c r="J122" s="65" t="n">
        <v>125.76</v>
      </c>
      <c r="K122" s="65" t="n">
        <v>188.71</v>
      </c>
      <c r="L122" s="65" t="n">
        <v>300.48</v>
      </c>
      <c r="M122" s="65" t="n">
        <v>167.46</v>
      </c>
      <c r="N122" s="65" t="n">
        <v>462.9</v>
      </c>
      <c r="O122" s="65" t="n">
        <v>102.71</v>
      </c>
      <c r="P122" s="65" t="n">
        <v>139.28</v>
      </c>
      <c r="Q122" s="65" t="n">
        <v>66.73</v>
      </c>
      <c r="R122" s="65" t="n">
        <v>53.74</v>
      </c>
      <c r="S122" s="65" t="n">
        <v>120.66</v>
      </c>
      <c r="T122" s="65" t="n">
        <v>39.53</v>
      </c>
      <c r="U122" s="65" t="n">
        <v>26.98</v>
      </c>
      <c r="V122" s="65" t="n">
        <v>352.88</v>
      </c>
      <c r="W122" s="65" t="n">
        <v>142.56</v>
      </c>
      <c r="X122" s="65" t="n">
        <v>44.85</v>
      </c>
      <c r="Y122" s="65" t="n">
        <v>54.25</v>
      </c>
      <c r="Z122" s="65" t="n">
        <v>313.93</v>
      </c>
      <c r="AA122" s="65" t="n">
        <v>94.47</v>
      </c>
    </row>
    <row r="123" customFormat="false" ht="15" hidden="false" customHeight="true" outlineLevel="0" collapsed="false">
      <c r="A123" s="68" t="n">
        <v>46024</v>
      </c>
      <c r="B123" s="65" t="n">
        <v>333.3</v>
      </c>
      <c r="C123" s="65" t="n">
        <v>133.6</v>
      </c>
      <c r="D123" s="65" t="n">
        <v>1158.22</v>
      </c>
      <c r="E123" s="65" t="n">
        <v>345.71</v>
      </c>
      <c r="F123" s="65" t="n">
        <v>113.39</v>
      </c>
      <c r="G123" s="65" t="n">
        <v>126.98</v>
      </c>
      <c r="H123" s="65" t="n">
        <v>315.24</v>
      </c>
      <c r="I123" s="65" t="n">
        <v>188.41</v>
      </c>
      <c r="J123" s="65" t="n">
        <v>126.1</v>
      </c>
      <c r="K123" s="65" t="n">
        <v>167.86</v>
      </c>
      <c r="L123" s="65" t="n">
        <v>317.12</v>
      </c>
      <c r="M123" s="65" t="n">
        <v>175.49</v>
      </c>
      <c r="N123" s="65" t="n">
        <v>452.13</v>
      </c>
      <c r="O123" s="65" t="n">
        <v>102.14</v>
      </c>
      <c r="P123" s="65" t="n">
        <v>139.29</v>
      </c>
      <c r="Q123" s="65" t="n">
        <v>66.18</v>
      </c>
      <c r="R123" s="65" t="n">
        <v>53.12</v>
      </c>
      <c r="S123" s="65" t="n">
        <v>118.96</v>
      </c>
      <c r="T123" s="65" t="n">
        <v>39.16</v>
      </c>
      <c r="U123" s="65" t="n">
        <v>27.06</v>
      </c>
      <c r="V123" s="65" t="n">
        <v>344.41</v>
      </c>
      <c r="W123" s="65" t="n">
        <v>142.24</v>
      </c>
      <c r="X123" s="65" t="n">
        <v>45.31</v>
      </c>
      <c r="Y123" s="65" t="n">
        <v>53.99</v>
      </c>
      <c r="Z123" s="65" t="n">
        <v>319.88</v>
      </c>
      <c r="AA123" s="65" t="n">
        <v>90.99</v>
      </c>
    </row>
    <row r="124" customFormat="false" ht="15" hidden="false" customHeight="true" outlineLevel="0" collapsed="false">
      <c r="A124" s="68" t="n">
        <v>46031</v>
      </c>
      <c r="B124" s="65" t="n">
        <v>333.95</v>
      </c>
      <c r="C124" s="65" t="n">
        <v>122.89</v>
      </c>
      <c r="D124" s="65" t="n">
        <v>1267.79</v>
      </c>
      <c r="E124" s="65" t="n">
        <v>343.08</v>
      </c>
      <c r="F124" s="65" t="n">
        <v>117.65</v>
      </c>
      <c r="G124" s="65" t="n">
        <v>139.48</v>
      </c>
      <c r="H124" s="65" t="n">
        <v>344.89</v>
      </c>
      <c r="I124" s="65" t="n">
        <v>184.43</v>
      </c>
      <c r="J124" s="65" t="n">
        <v>126.44</v>
      </c>
      <c r="K124" s="65" t="n">
        <v>177.49</v>
      </c>
      <c r="L124" s="65" t="n">
        <v>321.11</v>
      </c>
      <c r="M124" s="65" t="n">
        <v>163.47</v>
      </c>
      <c r="N124" s="65" t="n">
        <v>463.86</v>
      </c>
      <c r="O124" s="65" t="n">
        <v>106.31</v>
      </c>
      <c r="P124" s="65" t="n">
        <v>142.21</v>
      </c>
      <c r="Q124" s="65" t="n">
        <v>66.78</v>
      </c>
      <c r="R124" s="65" t="n">
        <v>54.1</v>
      </c>
      <c r="S124" s="65" t="n">
        <v>119.31</v>
      </c>
      <c r="T124" s="65" t="n">
        <v>40.17</v>
      </c>
      <c r="U124" s="65" t="n">
        <v>27.86</v>
      </c>
      <c r="V124" s="65" t="n">
        <v>347.68</v>
      </c>
      <c r="W124" s="65" t="n">
        <v>144.69</v>
      </c>
      <c r="X124" s="65" t="n">
        <v>44.4</v>
      </c>
      <c r="Y124" s="65" t="n">
        <v>54.87</v>
      </c>
      <c r="Z124" s="65" t="n">
        <v>320.72</v>
      </c>
      <c r="AA124" s="65" t="n">
        <v>89.46</v>
      </c>
    </row>
    <row r="125" customFormat="false" ht="15" hidden="false" customHeight="true" outlineLevel="0" collapsed="false">
      <c r="A125" s="68" t="n">
        <v>46038</v>
      </c>
      <c r="B125" s="65" t="n">
        <v>296.12</v>
      </c>
      <c r="C125" s="65" t="n">
        <v>129.83</v>
      </c>
      <c r="D125" s="65" t="n">
        <v>1352.07</v>
      </c>
      <c r="E125" s="65" t="n">
        <v>349.78</v>
      </c>
      <c r="F125" s="65" t="n">
        <v>113.47</v>
      </c>
      <c r="G125" s="65" t="n">
        <v>156.2</v>
      </c>
      <c r="H125" s="65" t="n">
        <v>362.54</v>
      </c>
      <c r="I125" s="65" t="n">
        <v>185.8</v>
      </c>
      <c r="J125" s="65" t="n">
        <v>130.16</v>
      </c>
      <c r="K125" s="65" t="n">
        <v>170.96</v>
      </c>
      <c r="L125" s="65" t="n">
        <v>339.73</v>
      </c>
      <c r="M125" s="65" t="n">
        <v>176.81</v>
      </c>
      <c r="N125" s="65" t="n">
        <v>441.36</v>
      </c>
      <c r="O125" s="65" t="n">
        <v>107.48</v>
      </c>
      <c r="P125" s="65" t="n">
        <v>144.06</v>
      </c>
      <c r="Q125" s="65" t="n">
        <v>66.48</v>
      </c>
      <c r="R125" s="65" t="n">
        <v>53.88</v>
      </c>
      <c r="S125" s="65" t="n">
        <v>119.28</v>
      </c>
      <c r="T125" s="65" t="n">
        <v>39.35</v>
      </c>
      <c r="U125" s="65" t="n">
        <v>28.21</v>
      </c>
      <c r="V125" s="65" t="n">
        <v>326.34</v>
      </c>
      <c r="W125" s="65" t="n">
        <v>146.28</v>
      </c>
      <c r="X125" s="65" t="n">
        <v>45.69</v>
      </c>
      <c r="Y125" s="65" t="n">
        <v>55.02</v>
      </c>
      <c r="Z125" s="65" t="n">
        <v>324.24</v>
      </c>
      <c r="AA125" s="65" t="n">
        <v>88</v>
      </c>
    </row>
    <row r="126" customFormat="false" ht="15" hidden="false" customHeight="true" outlineLevel="0" collapsed="false">
      <c r="A126" s="68" t="n">
        <v>46045</v>
      </c>
      <c r="B126" s="65" t="n">
        <v>301.07</v>
      </c>
      <c r="C126" s="65" t="n">
        <v>136.34</v>
      </c>
      <c r="D126" s="65" t="n">
        <v>1382.4</v>
      </c>
      <c r="E126" s="65" t="n">
        <v>318.3</v>
      </c>
      <c r="F126" s="65" t="n">
        <v>113.12</v>
      </c>
      <c r="G126" s="65" t="n">
        <v>150.72</v>
      </c>
      <c r="H126" s="65" t="n">
        <v>399.42</v>
      </c>
      <c r="I126" s="65" t="n">
        <v>187.23</v>
      </c>
      <c r="J126" s="65" t="n">
        <v>124.24</v>
      </c>
      <c r="K126" s="65" t="n">
        <v>169.6</v>
      </c>
      <c r="L126" s="65" t="n">
        <v>332.26</v>
      </c>
      <c r="M126" s="65" t="n">
        <v>182.36</v>
      </c>
      <c r="N126" s="65" t="n">
        <v>468.41</v>
      </c>
      <c r="O126" s="65" t="n">
        <v>107.46</v>
      </c>
      <c r="P126" s="65" t="n">
        <v>144.42</v>
      </c>
      <c r="Q126" s="65" t="n">
        <v>66.46</v>
      </c>
      <c r="R126" s="65" t="n">
        <v>54.16</v>
      </c>
      <c r="S126" s="65" t="n">
        <v>117.22</v>
      </c>
      <c r="T126" s="65" t="n">
        <v>39.6</v>
      </c>
      <c r="U126" s="65" t="n">
        <v>28.44</v>
      </c>
      <c r="V126" s="65" t="n">
        <v>324.23</v>
      </c>
      <c r="W126" s="65" t="n">
        <v>145.12</v>
      </c>
      <c r="X126" s="65" t="n">
        <v>46.75</v>
      </c>
      <c r="Y126" s="65" t="n">
        <v>54.99</v>
      </c>
      <c r="Z126" s="65" t="n">
        <v>293.08</v>
      </c>
      <c r="AA126" s="65" t="n">
        <v>86.12</v>
      </c>
    </row>
    <row r="127" customFormat="false" ht="15" hidden="false" customHeight="true" outlineLevel="0" collapsed="false">
      <c r="A127" s="68" t="n">
        <v>46052</v>
      </c>
      <c r="B127" s="65" t="n">
        <v>293.25</v>
      </c>
      <c r="C127" s="65" t="n">
        <v>141.74</v>
      </c>
      <c r="D127" s="65" t="n">
        <v>1416.2</v>
      </c>
      <c r="E127" s="65" t="n">
        <v>329.48</v>
      </c>
      <c r="F127" s="65" t="n">
        <v>110.35</v>
      </c>
      <c r="G127" s="65" t="n">
        <v>142.27</v>
      </c>
      <c r="H127" s="65" t="n">
        <v>414.64</v>
      </c>
      <c r="I127" s="65" t="n">
        <v>190.68</v>
      </c>
      <c r="J127" s="65" t="n">
        <v>127.57</v>
      </c>
      <c r="K127" s="65" t="n">
        <v>146.59</v>
      </c>
      <c r="L127" s="65" t="n">
        <v>327.98</v>
      </c>
      <c r="M127" s="65" t="n">
        <v>186.05</v>
      </c>
      <c r="N127" s="65" t="n">
        <v>469.9</v>
      </c>
      <c r="O127" s="65" t="n">
        <v>108.24</v>
      </c>
      <c r="P127" s="65" t="n">
        <v>146.93</v>
      </c>
      <c r="Q127" s="65" t="n">
        <v>66.7</v>
      </c>
      <c r="R127" s="65" t="n">
        <v>54.35</v>
      </c>
      <c r="S127" s="65" t="n">
        <v>119.15</v>
      </c>
      <c r="T127" s="65" t="n">
        <v>39.21</v>
      </c>
      <c r="U127" s="65" t="n">
        <v>29.1</v>
      </c>
      <c r="V127" s="65" t="n">
        <v>319.91</v>
      </c>
      <c r="W127" s="65" t="n">
        <v>147.35</v>
      </c>
      <c r="X127" s="65" t="n">
        <v>47.61</v>
      </c>
      <c r="Y127" s="65" t="n">
        <v>55.16</v>
      </c>
      <c r="Z127" s="65" t="n">
        <v>305.96</v>
      </c>
      <c r="AA127" s="65" t="n">
        <v>83.49</v>
      </c>
    </row>
    <row r="128" customFormat="false" ht="15" hidden="false" customHeight="true" outlineLevel="0" collapsed="false">
      <c r="A128" s="68" t="n">
        <v>46059</v>
      </c>
      <c r="B128" s="65" t="n">
        <v>268.38</v>
      </c>
      <c r="C128" s="65" t="n">
        <v>137.49</v>
      </c>
      <c r="D128" s="65" t="n">
        <v>1406.25</v>
      </c>
      <c r="E128" s="65" t="n">
        <v>331.1</v>
      </c>
      <c r="F128" s="65" t="n">
        <v>98.88</v>
      </c>
      <c r="G128" s="65" t="n">
        <v>143.76</v>
      </c>
      <c r="H128" s="65" t="n">
        <v>394.46</v>
      </c>
      <c r="I128" s="65" t="n">
        <v>184.98</v>
      </c>
      <c r="J128" s="65" t="n">
        <v>133.82</v>
      </c>
      <c r="K128" s="65" t="n">
        <v>135.9</v>
      </c>
      <c r="L128" s="65" t="n">
        <v>346.13</v>
      </c>
      <c r="M128" s="65" t="n">
        <v>195.44</v>
      </c>
      <c r="N128" s="65" t="n">
        <v>477.92</v>
      </c>
      <c r="O128" s="65" t="n">
        <v>114.1</v>
      </c>
      <c r="P128" s="65" t="n">
        <v>151.79</v>
      </c>
      <c r="Q128" s="65" t="n">
        <v>66.89</v>
      </c>
      <c r="R128" s="65" t="n">
        <v>53.51</v>
      </c>
      <c r="S128" s="65" t="n">
        <v>119.12</v>
      </c>
      <c r="T128" s="65" t="n">
        <v>40.17</v>
      </c>
      <c r="U128" s="65" t="n">
        <v>30.71</v>
      </c>
      <c r="V128" s="65" t="n">
        <v>329.6</v>
      </c>
      <c r="W128" s="65" t="n">
        <v>152.76</v>
      </c>
      <c r="X128" s="65" t="n">
        <v>48.53</v>
      </c>
      <c r="Y128" s="65" t="n">
        <v>56.01</v>
      </c>
      <c r="Z128" s="65" t="n">
        <v>320.13</v>
      </c>
      <c r="AA128" s="65" t="n">
        <v>82.2</v>
      </c>
    </row>
    <row r="129" customFormat="false" ht="15" hidden="false" customHeight="true" outlineLevel="0" collapsed="false">
      <c r="A129" s="68" t="n">
        <v>46066</v>
      </c>
      <c r="B129" s="65" t="n">
        <v>263.97</v>
      </c>
      <c r="C129" s="65" t="n">
        <v>141.59</v>
      </c>
      <c r="D129" s="65" t="n">
        <v>1401.73</v>
      </c>
      <c r="E129" s="65" t="n">
        <v>323.39</v>
      </c>
      <c r="F129" s="65" t="n">
        <v>107.41</v>
      </c>
      <c r="G129" s="65" t="n">
        <v>145.87</v>
      </c>
      <c r="H129" s="65" t="n">
        <v>411.42</v>
      </c>
      <c r="I129" s="65" t="n">
        <v>182.38</v>
      </c>
      <c r="J129" s="65" t="n">
        <v>135.79</v>
      </c>
      <c r="K129" s="65" t="n">
        <v>131.41</v>
      </c>
      <c r="L129" s="65" t="n">
        <v>363.5</v>
      </c>
      <c r="M129" s="65" t="n">
        <v>234.37</v>
      </c>
      <c r="N129" s="65" t="n">
        <v>491.47</v>
      </c>
      <c r="O129" s="65" t="n">
        <v>113.81</v>
      </c>
      <c r="P129" s="65" t="n">
        <v>154.23</v>
      </c>
      <c r="Q129" s="65" t="n">
        <v>66.31</v>
      </c>
      <c r="R129" s="65" t="n">
        <v>53.01</v>
      </c>
      <c r="S129" s="65" t="n">
        <v>117.54</v>
      </c>
      <c r="T129" s="65" t="n">
        <v>40</v>
      </c>
      <c r="U129" s="65" t="n">
        <v>30.85</v>
      </c>
      <c r="V129" s="65" t="n">
        <v>312.85</v>
      </c>
      <c r="W129" s="65" t="n">
        <v>152.66</v>
      </c>
      <c r="X129" s="65" t="n">
        <v>50.42</v>
      </c>
      <c r="Y129" s="65" t="n">
        <v>56.19</v>
      </c>
      <c r="Z129" s="65" t="n">
        <v>314.56</v>
      </c>
      <c r="AA129" s="65" t="n">
        <v>76.87</v>
      </c>
    </row>
    <row r="130" customFormat="false" ht="15" hidden="false" customHeight="true" outlineLevel="0" collapsed="false">
      <c r="A130" s="68" t="n">
        <v>46073</v>
      </c>
      <c r="B130" s="65" t="n">
        <v>258.61</v>
      </c>
      <c r="C130" s="65" t="n">
        <v>132.79</v>
      </c>
      <c r="D130" s="65" t="n">
        <v>1464.49</v>
      </c>
      <c r="E130" s="65" t="n">
        <v>330.83</v>
      </c>
      <c r="F130" s="65" t="n">
        <v>97.15</v>
      </c>
      <c r="G130" s="65" t="n">
        <v>149.24</v>
      </c>
      <c r="H130" s="65" t="n">
        <v>427.92</v>
      </c>
      <c r="I130" s="65" t="n">
        <v>189.38</v>
      </c>
      <c r="J130" s="65" t="n">
        <v>138.27</v>
      </c>
      <c r="K130" s="65" t="n">
        <v>135.24</v>
      </c>
      <c r="L130" s="65" t="n">
        <v>367.65</v>
      </c>
      <c r="M130" s="65" t="n">
        <v>243.58</v>
      </c>
      <c r="N130" s="65" t="n">
        <v>476.9</v>
      </c>
      <c r="O130" s="65" t="n">
        <v>114.45</v>
      </c>
      <c r="P130" s="65" t="n">
        <v>153.13</v>
      </c>
      <c r="Q130" s="65" t="n">
        <v>66.76</v>
      </c>
      <c r="R130" s="65" t="n">
        <v>53.6</v>
      </c>
      <c r="S130" s="65" t="n">
        <v>119.24</v>
      </c>
      <c r="T130" s="65" t="n">
        <v>40.08</v>
      </c>
      <c r="U130" s="65" t="n">
        <v>30.85</v>
      </c>
      <c r="V130" s="65" t="n">
        <v>319.69</v>
      </c>
      <c r="W130" s="65" t="n">
        <v>152.85</v>
      </c>
      <c r="X130" s="65" t="n">
        <v>50.57</v>
      </c>
      <c r="Y130" s="65" t="n">
        <v>56.37</v>
      </c>
      <c r="Z130" s="65" t="n">
        <v>342.29</v>
      </c>
      <c r="AA130" s="65" t="n">
        <v>78.67</v>
      </c>
    </row>
    <row r="131" customFormat="false" ht="15" hidden="false" customHeight="true" outlineLevel="0" collapsed="false">
      <c r="A131" s="68" t="n">
        <v>46080</v>
      </c>
      <c r="B131" s="65" t="n">
        <v>262.41</v>
      </c>
      <c r="C131" s="65" t="n">
        <v>133.5</v>
      </c>
      <c r="D131" s="65" t="n">
        <v>1445.53</v>
      </c>
      <c r="E131" s="65" t="n">
        <v>317.8</v>
      </c>
      <c r="F131" s="65" t="n">
        <v>93</v>
      </c>
      <c r="G131" s="65" t="n">
        <v>152.09</v>
      </c>
      <c r="H131" s="65" t="n">
        <v>412.13</v>
      </c>
      <c r="I131" s="65" t="n">
        <v>176.78</v>
      </c>
      <c r="J131" s="65" t="n">
        <v>139.31</v>
      </c>
      <c r="K131" s="65" t="n">
        <v>137.19</v>
      </c>
      <c r="L131" s="65" t="n">
        <v>371.66</v>
      </c>
      <c r="M131" s="65" t="n">
        <v>254.71</v>
      </c>
      <c r="N131" s="65" t="n">
        <v>496.83</v>
      </c>
      <c r="O131" s="65" t="n">
        <v>111.91</v>
      </c>
      <c r="P131" s="65" t="n">
        <v>152.62</v>
      </c>
      <c r="Q131" s="65" t="n">
        <v>66.38</v>
      </c>
      <c r="R131" s="65" t="n">
        <v>53.5</v>
      </c>
      <c r="S131" s="65" t="n">
        <v>118.76</v>
      </c>
      <c r="T131" s="65" t="n">
        <v>40.22</v>
      </c>
      <c r="U131" s="65" t="n">
        <v>31.01</v>
      </c>
      <c r="V131" s="65" t="n">
        <v>318.89</v>
      </c>
      <c r="W131" s="65" t="n">
        <v>152.35</v>
      </c>
      <c r="X131" s="65" t="n">
        <v>51.08</v>
      </c>
      <c r="Y131" s="65" t="n">
        <v>56.73</v>
      </c>
      <c r="Z131" s="65" t="n">
        <v>341.34</v>
      </c>
      <c r="AA131" s="65" t="n">
        <v>96.24</v>
      </c>
    </row>
    <row r="132" customFormat="false" ht="15" hidden="false" customHeight="true" outlineLevel="0" collapsed="false">
      <c r="A132" s="68" t="n">
        <v>46087</v>
      </c>
      <c r="B132" s="65" t="n">
        <v>283.62</v>
      </c>
      <c r="C132" s="65" t="n">
        <v>132.89</v>
      </c>
      <c r="D132" s="65" t="n">
        <v>1288.32</v>
      </c>
      <c r="E132" s="65" t="n">
        <v>328.67</v>
      </c>
      <c r="F132" s="65" t="n">
        <v>107.25</v>
      </c>
      <c r="G132" s="65" t="n">
        <v>134.13</v>
      </c>
      <c r="H132" s="65" t="n">
        <v>370.09</v>
      </c>
      <c r="I132" s="65" t="n">
        <v>177.4</v>
      </c>
      <c r="J132" s="65" t="n">
        <v>131.46</v>
      </c>
      <c r="K132" s="65" t="n">
        <v>157.16</v>
      </c>
      <c r="L132" s="65" t="n">
        <v>336.25</v>
      </c>
      <c r="M132" s="65" t="n">
        <v>241.61</v>
      </c>
      <c r="N132" s="65" t="n">
        <v>456.69</v>
      </c>
      <c r="O132" s="65" t="n">
        <v>107.62</v>
      </c>
      <c r="P132" s="65" t="n">
        <v>148.85</v>
      </c>
      <c r="Q132" s="65" t="n">
        <v>65.63</v>
      </c>
      <c r="R132" s="65" t="n">
        <v>52.86</v>
      </c>
      <c r="S132" s="65" t="n">
        <v>117.53</v>
      </c>
      <c r="T132" s="65" t="n">
        <v>39.85</v>
      </c>
      <c r="U132" s="65" t="n">
        <v>30.38</v>
      </c>
      <c r="V132" s="65" t="n">
        <v>316.12</v>
      </c>
      <c r="W132" s="65" t="n">
        <v>148.11</v>
      </c>
      <c r="X132" s="65" t="n">
        <v>51.59</v>
      </c>
      <c r="Y132" s="65" t="n">
        <v>55.36</v>
      </c>
      <c r="Z132" s="65" t="n">
        <v>322.24</v>
      </c>
      <c r="AA132" s="65" t="n">
        <v>99.02</v>
      </c>
    </row>
    <row r="133" customFormat="false" ht="15" hidden="false" customHeight="true" outlineLevel="0" collapsed="false">
      <c r="A133" s="68" t="n">
        <v>46094</v>
      </c>
      <c r="B133" s="65" t="n">
        <v>249.32</v>
      </c>
      <c r="C133" s="65" t="n">
        <v>133.57</v>
      </c>
      <c r="D133" s="65" t="n">
        <v>1341.02</v>
      </c>
      <c r="E133" s="65" t="n">
        <v>320.39</v>
      </c>
      <c r="F133" s="65" t="n">
        <v>110.44</v>
      </c>
      <c r="G133" s="65" t="n">
        <v>141.52</v>
      </c>
      <c r="H133" s="65" t="n">
        <v>425.89</v>
      </c>
      <c r="I133" s="65" t="n">
        <v>179.84</v>
      </c>
      <c r="J133" s="65" t="n">
        <v>128.73</v>
      </c>
      <c r="K133" s="65" t="n">
        <v>150.95</v>
      </c>
      <c r="L133" s="65" t="n">
        <v>335.67</v>
      </c>
      <c r="M133" s="65" t="n">
        <v>258.7</v>
      </c>
      <c r="N133" s="65" t="n">
        <v>469.34</v>
      </c>
      <c r="O133" s="65" t="n">
        <v>105.56</v>
      </c>
      <c r="P133" s="65" t="n">
        <v>147.04</v>
      </c>
      <c r="Q133" s="65" t="n">
        <v>64.75</v>
      </c>
      <c r="R133" s="65" t="n">
        <v>52.59</v>
      </c>
      <c r="S133" s="65" t="n">
        <v>115.49</v>
      </c>
      <c r="T133" s="65" t="n">
        <v>38.99</v>
      </c>
      <c r="U133" s="65" t="n">
        <v>30.06</v>
      </c>
      <c r="V133" s="65" t="n">
        <v>305.94</v>
      </c>
      <c r="W133" s="65" t="n">
        <v>145.84</v>
      </c>
      <c r="X133" s="65" t="n">
        <v>51.37</v>
      </c>
      <c r="Y133" s="65" t="n">
        <v>54.41</v>
      </c>
      <c r="Z133" s="65" t="n">
        <v>299.32</v>
      </c>
      <c r="AA133" s="65" t="n">
        <v>95.31</v>
      </c>
    </row>
    <row r="134" customFormat="false" ht="15" hidden="false" customHeight="true" outlineLevel="0" collapsed="false">
      <c r="A134" s="68" t="n">
        <v>46101</v>
      </c>
      <c r="B134" s="65" t="n">
        <v>248.15</v>
      </c>
      <c r="C134" s="65" t="n">
        <v>131.22</v>
      </c>
      <c r="D134" s="65" t="n">
        <v>1312.68</v>
      </c>
      <c r="E134" s="65" t="n">
        <v>308.81</v>
      </c>
      <c r="F134" s="65" t="n">
        <v>102.25</v>
      </c>
      <c r="G134" s="65" t="n">
        <v>149.51</v>
      </c>
      <c r="H134" s="65" t="n">
        <v>422.66</v>
      </c>
      <c r="I134" s="65" t="n">
        <v>172.31</v>
      </c>
      <c r="J134" s="65" t="n">
        <v>126.09</v>
      </c>
      <c r="K134" s="65" t="n">
        <v>150.68</v>
      </c>
      <c r="L134" s="65" t="n">
        <v>327.59</v>
      </c>
      <c r="M134" s="65" t="n">
        <v>255.76</v>
      </c>
      <c r="N134" s="65" t="n">
        <v>454</v>
      </c>
      <c r="O134" s="65" t="n">
        <v>105.35</v>
      </c>
      <c r="P134" s="65" t="n">
        <v>143.6</v>
      </c>
      <c r="Q134" s="65" t="n">
        <v>64.03</v>
      </c>
      <c r="R134" s="65" t="n">
        <v>51.85</v>
      </c>
      <c r="S134" s="65" t="n">
        <v>113.1</v>
      </c>
      <c r="T134" s="65" t="n">
        <v>39.03</v>
      </c>
      <c r="U134" s="65" t="n">
        <v>29.66</v>
      </c>
      <c r="V134" s="65" t="n">
        <v>300.44</v>
      </c>
      <c r="W134" s="65" t="n">
        <v>143.48</v>
      </c>
      <c r="X134" s="65" t="n">
        <v>51.9</v>
      </c>
      <c r="Y134" s="65" t="n">
        <v>53.46</v>
      </c>
      <c r="Z134" s="65" t="n">
        <v>286.43</v>
      </c>
      <c r="AA134" s="65" t="n">
        <v>91.82</v>
      </c>
    </row>
    <row r="135" customFormat="false" ht="15" hidden="false" customHeight="true" outlineLevel="0" collapsed="false">
      <c r="A135" s="68" t="n">
        <v>46108</v>
      </c>
      <c r="B135" s="65" t="n">
        <v>234.84</v>
      </c>
      <c r="C135" s="65" t="n">
        <v>120.77</v>
      </c>
      <c r="D135" s="65" t="n">
        <v>1297.95</v>
      </c>
      <c r="E135" s="65" t="n">
        <v>299.66</v>
      </c>
      <c r="F135" s="65" t="n">
        <v>92.39</v>
      </c>
      <c r="G135" s="65" t="n">
        <v>143.97</v>
      </c>
      <c r="H135" s="65" t="n">
        <v>357.02</v>
      </c>
      <c r="I135" s="65" t="n">
        <v>167.14</v>
      </c>
      <c r="J135" s="65" t="n">
        <v>126.96</v>
      </c>
      <c r="K135" s="65" t="n">
        <v>143.06</v>
      </c>
      <c r="L135" s="65" t="n">
        <v>325.1</v>
      </c>
      <c r="M135" s="65" t="n">
        <v>250.96</v>
      </c>
      <c r="N135" s="65" t="n">
        <v>433.07</v>
      </c>
      <c r="O135" s="65" t="n">
        <v>108.47</v>
      </c>
      <c r="P135" s="65" t="n">
        <v>147.11</v>
      </c>
      <c r="Q135" s="65" t="n">
        <v>63.21</v>
      </c>
      <c r="R135" s="65" t="n">
        <v>50.33</v>
      </c>
      <c r="S135" s="65" t="n">
        <v>109.96</v>
      </c>
      <c r="T135" s="65" t="n">
        <v>38.55</v>
      </c>
      <c r="U135" s="65" t="n">
        <v>29.96</v>
      </c>
      <c r="V135" s="65" t="n">
        <v>294.36</v>
      </c>
      <c r="W135" s="65" t="n">
        <v>144</v>
      </c>
      <c r="X135" s="65" t="n">
        <v>53.27</v>
      </c>
      <c r="Y135" s="65" t="n">
        <v>52.94</v>
      </c>
      <c r="Z135" s="65" t="n">
        <v>282.46</v>
      </c>
      <c r="AA135" s="65" t="n">
        <v>93.43</v>
      </c>
    </row>
    <row r="136" customFormat="false" ht="15" hidden="false" customHeight="true" outlineLevel="0" collapsed="false">
      <c r="A136" s="68" t="n">
        <v>46115</v>
      </c>
      <c r="B136" s="65" t="n">
        <v>242.92</v>
      </c>
      <c r="C136" s="65" t="n">
        <v>126.68</v>
      </c>
      <c r="D136" s="65" t="n">
        <v>1312.66</v>
      </c>
      <c r="E136" s="65" t="n">
        <v>313.48</v>
      </c>
      <c r="F136" s="65" t="n">
        <v>99.78</v>
      </c>
      <c r="G136" s="65" t="n">
        <v>151.32</v>
      </c>
      <c r="H136" s="65" t="n">
        <v>366.18</v>
      </c>
      <c r="I136" s="65" t="n">
        <v>176.99</v>
      </c>
      <c r="J136" s="65" t="n">
        <v>131.76</v>
      </c>
      <c r="K136" s="65" t="n">
        <v>148.46</v>
      </c>
      <c r="L136" s="65" t="n">
        <v>337.34</v>
      </c>
      <c r="M136" s="65" t="n">
        <v>261.17</v>
      </c>
      <c r="N136" s="65" t="n">
        <v>438.71</v>
      </c>
      <c r="O136" s="65" t="n">
        <v>110.65</v>
      </c>
      <c r="P136" s="65" t="n">
        <v>149.24</v>
      </c>
      <c r="Q136" s="65" t="n">
        <v>63.95</v>
      </c>
      <c r="R136" s="65" t="n">
        <v>52.22</v>
      </c>
      <c r="S136" s="65" t="n">
        <v>114.38</v>
      </c>
      <c r="T136" s="65" t="n">
        <v>39.63</v>
      </c>
      <c r="U136" s="65" t="n">
        <v>30.08</v>
      </c>
      <c r="V136" s="65" t="n">
        <v>299.62</v>
      </c>
      <c r="W136" s="65" t="n">
        <v>146.38</v>
      </c>
      <c r="X136" s="65" t="n">
        <v>52.29</v>
      </c>
      <c r="Y136" s="65" t="n">
        <v>54.2</v>
      </c>
      <c r="Z136" s="65" t="n">
        <v>280.81</v>
      </c>
      <c r="AA136" s="65" t="n">
        <v>98.66</v>
      </c>
    </row>
    <row r="137" customFormat="false" ht="15" hidden="false" customHeight="true" outlineLevel="0" collapsed="false">
      <c r="A137" s="68" t="n">
        <v>46122</v>
      </c>
      <c r="B137" s="65" t="n">
        <v>225.35</v>
      </c>
      <c r="C137" s="65" t="n">
        <v>147.35</v>
      </c>
      <c r="D137" s="65" t="n">
        <v>1473.15</v>
      </c>
      <c r="E137" s="65" t="n">
        <v>370.29</v>
      </c>
      <c r="F137" s="65" t="n">
        <v>94.75</v>
      </c>
      <c r="G137" s="65" t="n">
        <v>173.31</v>
      </c>
      <c r="H137" s="65" t="n">
        <v>420.53</v>
      </c>
      <c r="I137" s="65" t="n">
        <v>188.2</v>
      </c>
      <c r="J137" s="65" t="n">
        <v>135.13</v>
      </c>
      <c r="K137" s="65" t="n">
        <v>128.06</v>
      </c>
      <c r="L137" s="65" t="n">
        <v>368.74</v>
      </c>
      <c r="M137" s="65" t="n">
        <v>294.98</v>
      </c>
      <c r="N137" s="65" t="n">
        <v>436.27</v>
      </c>
      <c r="O137" s="65" t="n">
        <v>113.94</v>
      </c>
      <c r="P137" s="65" t="n">
        <v>150.01</v>
      </c>
      <c r="Q137" s="65" t="n">
        <v>65.25</v>
      </c>
      <c r="R137" s="65" t="n">
        <v>54.12</v>
      </c>
      <c r="S137" s="65" t="n">
        <v>122.95</v>
      </c>
      <c r="T137" s="65" t="n">
        <v>39.46</v>
      </c>
      <c r="U137" s="65" t="n">
        <v>30.08</v>
      </c>
      <c r="V137" s="65" t="n">
        <v>303.17</v>
      </c>
      <c r="W137" s="65" t="n">
        <v>150.29</v>
      </c>
      <c r="X137" s="65" t="n">
        <v>52.23</v>
      </c>
      <c r="Y137" s="65" t="n">
        <v>55.25</v>
      </c>
      <c r="Z137" s="65" t="n">
        <v>307.97</v>
      </c>
      <c r="AA137" s="65" t="n">
        <v>103.01</v>
      </c>
    </row>
    <row r="138" customFormat="false" ht="15" hidden="false" customHeight="true" outlineLevel="0" collapsed="false">
      <c r="A138" s="68" t="n">
        <v>46129</v>
      </c>
      <c r="B138" s="65" t="n">
        <v>244.45</v>
      </c>
      <c r="C138" s="65" t="n">
        <v>164.23</v>
      </c>
      <c r="D138" s="65" t="n">
        <v>1454.74</v>
      </c>
      <c r="E138" s="65" t="n">
        <v>405.16</v>
      </c>
      <c r="F138" s="65" t="n">
        <v>105.99</v>
      </c>
      <c r="G138" s="65" t="n">
        <v>178.71</v>
      </c>
      <c r="H138" s="65" t="n">
        <v>455</v>
      </c>
      <c r="I138" s="65" t="n">
        <v>201.22</v>
      </c>
      <c r="J138" s="65" t="n">
        <v>142.92</v>
      </c>
      <c r="K138" s="65" t="n">
        <v>146.39</v>
      </c>
      <c r="L138" s="65" t="n">
        <v>368.65</v>
      </c>
      <c r="M138" s="65" t="n">
        <v>307.2</v>
      </c>
      <c r="N138" s="65" t="n">
        <v>441.2</v>
      </c>
      <c r="O138" s="65" t="n">
        <v>116.71</v>
      </c>
      <c r="P138" s="65" t="n">
        <v>150.7</v>
      </c>
      <c r="Q138" s="65" t="n">
        <v>66.93</v>
      </c>
      <c r="R138" s="65" t="n">
        <v>55.1</v>
      </c>
      <c r="S138" s="65" t="n">
        <v>127.89</v>
      </c>
      <c r="T138" s="65" t="n">
        <v>41.57</v>
      </c>
      <c r="U138" s="65" t="n">
        <v>30.56</v>
      </c>
      <c r="V138" s="65" t="n">
        <v>315.78</v>
      </c>
      <c r="W138" s="65" t="n">
        <v>153.3</v>
      </c>
      <c r="X138" s="65" t="n">
        <v>50.92</v>
      </c>
      <c r="Y138" s="65" t="n">
        <v>55.49</v>
      </c>
      <c r="Z138" s="65" t="n">
        <v>303.75</v>
      </c>
      <c r="AA138" s="65" t="n">
        <v>97.31</v>
      </c>
    </row>
    <row r="139" customFormat="false" ht="15" hidden="false" customHeight="true" outlineLevel="0" collapsed="false">
      <c r="A139" s="68" t="n">
        <v>46136</v>
      </c>
      <c r="B139" s="65" t="n">
        <v>245.44</v>
      </c>
      <c r="C139" s="65" t="n">
        <v>176.91</v>
      </c>
      <c r="D139" s="65" t="n">
        <v>1452.64</v>
      </c>
      <c r="E139" s="65" t="n">
        <v>421.32</v>
      </c>
      <c r="F139" s="65" t="n">
        <v>112.03</v>
      </c>
      <c r="G139" s="65" t="n">
        <v>193.04</v>
      </c>
      <c r="H139" s="65" t="n">
        <v>496.64</v>
      </c>
      <c r="I139" s="65" t="n">
        <v>207.8</v>
      </c>
      <c r="J139" s="65" t="n">
        <v>139.96</v>
      </c>
      <c r="K139" s="65" t="n">
        <v>143.09</v>
      </c>
      <c r="L139" s="65" t="n">
        <v>400.45</v>
      </c>
      <c r="M139" s="65" t="n">
        <v>323.31</v>
      </c>
      <c r="N139" s="65" t="n">
        <v>430.29</v>
      </c>
      <c r="O139" s="65" t="n">
        <v>118.14</v>
      </c>
      <c r="P139" s="65" t="n">
        <v>149.48</v>
      </c>
      <c r="Q139" s="65" t="n">
        <v>67.08</v>
      </c>
      <c r="R139" s="65" t="n">
        <v>55.41</v>
      </c>
      <c r="S139" s="65" t="n">
        <v>131.1</v>
      </c>
      <c r="T139" s="65" t="n">
        <v>41.34</v>
      </c>
      <c r="U139" s="65" t="n">
        <v>30.71</v>
      </c>
      <c r="V139" s="65" t="n">
        <v>308.21</v>
      </c>
      <c r="W139" s="65" t="n">
        <v>153.14</v>
      </c>
      <c r="X139" s="65" t="n">
        <v>51.6</v>
      </c>
      <c r="Y139" s="65" t="n">
        <v>55.04</v>
      </c>
      <c r="Z139" s="65" t="n">
        <v>284.25</v>
      </c>
      <c r="AA139" s="65" t="n">
        <v>92.44</v>
      </c>
    </row>
    <row r="140" customFormat="false" ht="15" hidden="false" customHeight="true" outlineLevel="0" collapsed="false">
      <c r="A140" s="68" t="n">
        <v>46143</v>
      </c>
      <c r="B140" s="65" t="n">
        <v>250.71</v>
      </c>
      <c r="C140" s="65" t="n">
        <v>172.7</v>
      </c>
      <c r="D140" s="65" t="n">
        <v>1425.18</v>
      </c>
      <c r="E140" s="65" t="n">
        <v>419.85</v>
      </c>
      <c r="F140" s="65" t="n">
        <v>113.91</v>
      </c>
      <c r="G140" s="65" t="n">
        <v>172.21</v>
      </c>
      <c r="H140" s="65" t="n">
        <v>542.13</v>
      </c>
      <c r="I140" s="65" t="n">
        <v>198</v>
      </c>
      <c r="J140" s="65" t="n">
        <v>139.29</v>
      </c>
      <c r="K140" s="65" t="n">
        <v>144.07</v>
      </c>
      <c r="L140" s="65" t="n">
        <v>395.68</v>
      </c>
      <c r="M140" s="65" t="n">
        <v>328.16</v>
      </c>
      <c r="N140" s="65" t="n">
        <v>423.92</v>
      </c>
      <c r="O140" s="65" t="n">
        <v>119.13</v>
      </c>
      <c r="P140" s="65" t="n">
        <v>152.16</v>
      </c>
      <c r="Q140" s="65" t="n">
        <v>67.35</v>
      </c>
      <c r="R140" s="65" t="n">
        <v>55.85</v>
      </c>
      <c r="S140" s="65" t="n">
        <v>134</v>
      </c>
      <c r="T140" s="65" t="n">
        <v>42.4</v>
      </c>
      <c r="U140" s="65" t="n">
        <v>31.36</v>
      </c>
      <c r="V140" s="65" t="n">
        <v>326.74</v>
      </c>
      <c r="W140" s="65" t="n">
        <v>154.69</v>
      </c>
      <c r="X140" s="65" t="n">
        <v>54.25</v>
      </c>
      <c r="Y140" s="65" t="n">
        <v>54.99</v>
      </c>
      <c r="Z140" s="65" t="n">
        <v>286.15</v>
      </c>
      <c r="AA140" s="65" t="n">
        <v>92.06</v>
      </c>
    </row>
    <row r="141" customFormat="false" ht="15" hidden="false" customHeight="true" outlineLevel="0" collapsed="false">
      <c r="A141" s="68" t="n">
        <v>46150</v>
      </c>
      <c r="B141" s="65" t="n">
        <v>253.04</v>
      </c>
      <c r="C141" s="65" t="n">
        <v>141.77</v>
      </c>
      <c r="D141" s="65" t="n">
        <v>1589.96</v>
      </c>
      <c r="E141" s="65" t="n">
        <v>428.54</v>
      </c>
      <c r="F141" s="65" t="n">
        <v>131.94</v>
      </c>
      <c r="G141" s="65" t="n">
        <v>186.47</v>
      </c>
      <c r="H141" s="65" t="n">
        <v>746.7</v>
      </c>
      <c r="I141" s="65" t="n">
        <v>214.71</v>
      </c>
      <c r="J141" s="65" t="n">
        <v>141.92</v>
      </c>
      <c r="K141" s="65" t="n">
        <v>137.8</v>
      </c>
      <c r="L141" s="65" t="n">
        <v>409.62</v>
      </c>
      <c r="M141" s="65" t="n">
        <v>339.82</v>
      </c>
      <c r="N141" s="65" t="n">
        <v>429.82</v>
      </c>
      <c r="O141" s="65" t="n">
        <v>119.01</v>
      </c>
      <c r="P141" s="65" t="n">
        <v>149.85</v>
      </c>
      <c r="Q141" s="65" t="n">
        <v>67.48</v>
      </c>
      <c r="R141" s="65" t="n">
        <v>56.56</v>
      </c>
      <c r="S141" s="65" t="n">
        <v>143.36</v>
      </c>
      <c r="T141" s="65" t="n">
        <v>43.44</v>
      </c>
      <c r="U141" s="65" t="n">
        <v>31.12</v>
      </c>
      <c r="V141" s="65" t="n">
        <v>317.54</v>
      </c>
      <c r="W141" s="65" t="n">
        <v>153.65</v>
      </c>
      <c r="X141" s="65" t="n">
        <v>52.34</v>
      </c>
      <c r="Y141" s="65" t="n">
        <v>54.15</v>
      </c>
      <c r="Z141" s="65" t="n">
        <v>296.78</v>
      </c>
      <c r="AA141" s="65" t="n">
        <v>87.49</v>
      </c>
    </row>
    <row r="142" customFormat="false" ht="15" hidden="false" customHeight="true" outlineLevel="0" collapsed="false">
      <c r="A142" s="68" t="n">
        <v>46157</v>
      </c>
      <c r="B142" s="65" t="n">
        <v>247.6</v>
      </c>
      <c r="C142" s="65" t="n">
        <v>141.97</v>
      </c>
      <c r="D142" s="65" t="n">
        <v>1499.87</v>
      </c>
      <c r="E142" s="65" t="n">
        <v>423.75</v>
      </c>
      <c r="F142" s="65" t="n">
        <v>148.52</v>
      </c>
      <c r="G142" s="65" t="n">
        <v>180</v>
      </c>
      <c r="H142" s="65" t="n">
        <v>724.55</v>
      </c>
      <c r="I142" s="65" t="n">
        <v>224.81</v>
      </c>
      <c r="J142" s="65" t="n">
        <v>138.42</v>
      </c>
      <c r="K142" s="65" t="n">
        <v>133.99</v>
      </c>
      <c r="L142" s="65" t="n">
        <v>402.33</v>
      </c>
      <c r="M142" s="65" t="n">
        <v>370.77</v>
      </c>
      <c r="N142" s="65" t="n">
        <v>436.95</v>
      </c>
      <c r="O142" s="65" t="n">
        <v>116.44</v>
      </c>
      <c r="P142" s="65" t="n">
        <v>148.55</v>
      </c>
      <c r="Q142" s="65" t="n">
        <v>67.5</v>
      </c>
      <c r="R142" s="65" t="n">
        <v>56.71</v>
      </c>
      <c r="S142" s="65" t="n">
        <v>143.03</v>
      </c>
      <c r="T142" s="65" t="n">
        <v>42.32</v>
      </c>
      <c r="U142" s="65" t="n">
        <v>31.22</v>
      </c>
      <c r="V142" s="65" t="n">
        <v>325.15</v>
      </c>
      <c r="W142" s="65" t="n">
        <v>153.95</v>
      </c>
      <c r="X142" s="65" t="n">
        <v>54.5</v>
      </c>
      <c r="Y142" s="65" t="n">
        <v>54.09</v>
      </c>
      <c r="Z142" s="65" t="n">
        <v>281.18</v>
      </c>
      <c r="AA142" s="65" t="n">
        <v>87.02</v>
      </c>
    </row>
    <row r="143" customFormat="false" ht="15" hidden="false" customHeight="true" outlineLevel="0" collapsed="false">
      <c r="A143" s="68" t="n">
        <v>46164</v>
      </c>
      <c r="B143" s="65" t="n">
        <v>244.76</v>
      </c>
      <c r="C143" s="65" t="n">
        <v>154.03</v>
      </c>
      <c r="D143" s="65" t="n">
        <v>1630.79</v>
      </c>
      <c r="E143" s="65" t="n">
        <v>412.73</v>
      </c>
      <c r="F143" s="65" t="n">
        <v>165.87</v>
      </c>
      <c r="G143" s="65" t="n">
        <v>188.62</v>
      </c>
      <c r="H143" s="65" t="n">
        <v>750.88</v>
      </c>
      <c r="I143" s="65" t="n">
        <v>214.84</v>
      </c>
      <c r="J143" s="65" t="n">
        <v>143.71</v>
      </c>
      <c r="K143" s="65" t="n">
        <v>136.88</v>
      </c>
      <c r="L143" s="65" t="n">
        <v>402.5</v>
      </c>
      <c r="M143" s="65" t="n">
        <v>327.31</v>
      </c>
      <c r="N143" s="65" t="n">
        <v>434.52</v>
      </c>
      <c r="O143" s="65" t="n">
        <v>119.2</v>
      </c>
      <c r="P143" s="65" t="n">
        <v>153.27</v>
      </c>
      <c r="Q143" s="65" t="n">
        <v>67.55</v>
      </c>
      <c r="R143" s="65" t="n">
        <v>57.13</v>
      </c>
      <c r="S143" s="65" t="n">
        <v>144.48</v>
      </c>
      <c r="T143" s="65" t="n">
        <v>44</v>
      </c>
      <c r="U143" s="65" t="n">
        <v>32.31</v>
      </c>
      <c r="V143" s="65" t="n">
        <v>328.27</v>
      </c>
      <c r="W143" s="65" t="n">
        <v>156.85</v>
      </c>
      <c r="X143" s="65" t="n">
        <v>54.94</v>
      </c>
      <c r="Y143" s="65" t="n">
        <v>54.51</v>
      </c>
      <c r="Z143" s="65" t="n">
        <v>302.46</v>
      </c>
      <c r="AA143" s="65" t="n">
        <v>88.6</v>
      </c>
    </row>
    <row r="144" customFormat="false" ht="15" hidden="false" customHeight="true" outlineLevel="0" collapsed="false">
      <c r="A144" s="68" t="n">
        <v>46171</v>
      </c>
      <c r="B144" s="65" t="n">
        <v>259.21</v>
      </c>
      <c r="C144" s="65" t="n">
        <v>159.47</v>
      </c>
      <c r="D144" s="65" t="n">
        <v>1610.68</v>
      </c>
      <c r="E144" s="65" t="n">
        <v>445.25</v>
      </c>
      <c r="F144" s="65" t="n">
        <v>182.75</v>
      </c>
      <c r="G144" s="65" t="n">
        <v>191.95</v>
      </c>
      <c r="H144" s="65" t="n">
        <v>970.85</v>
      </c>
      <c r="I144" s="65" t="n">
        <v>210.66</v>
      </c>
      <c r="J144" s="65" t="n">
        <v>141.31</v>
      </c>
      <c r="K144" s="65" t="n">
        <v>156.54</v>
      </c>
      <c r="L144" s="65" t="n">
        <v>416.36</v>
      </c>
      <c r="M144" s="65" t="n">
        <v>315.57</v>
      </c>
      <c r="N144" s="65" t="n">
        <v>447.54</v>
      </c>
      <c r="O144" s="65" t="n">
        <v>119.22</v>
      </c>
      <c r="P144" s="65" t="n">
        <v>152.49</v>
      </c>
      <c r="Q144" s="65" t="n">
        <v>67.84</v>
      </c>
      <c r="R144" s="65" t="n">
        <v>58.02</v>
      </c>
      <c r="S144" s="65" t="n">
        <v>150.11</v>
      </c>
      <c r="T144" s="65" t="n">
        <v>46.38</v>
      </c>
      <c r="U144" s="65" t="n">
        <v>31.99</v>
      </c>
      <c r="V144" s="65" t="n">
        <v>325.75</v>
      </c>
      <c r="W144" s="65" t="n">
        <v>157.34</v>
      </c>
      <c r="X144" s="65" t="n">
        <v>51.99</v>
      </c>
      <c r="Y144" s="65" t="n">
        <v>54.23</v>
      </c>
      <c r="Z144" s="65" t="n">
        <v>323.36</v>
      </c>
      <c r="AA144" s="65" t="n">
        <v>86.02</v>
      </c>
    </row>
    <row r="145" customFormat="false" ht="15" hidden="false" customHeight="true" outlineLevel="0" collapsed="false">
      <c r="A145" s="68" t="n">
        <v>46178</v>
      </c>
      <c r="B145" s="65" t="n">
        <v>251.44</v>
      </c>
      <c r="C145" s="65" t="n">
        <v>154.27</v>
      </c>
      <c r="D145" s="65" t="n">
        <v>1639.62</v>
      </c>
      <c r="E145" s="65" t="n">
        <v>384.42</v>
      </c>
      <c r="F145" s="65" t="n">
        <v>167.76</v>
      </c>
      <c r="G145" s="65" t="n">
        <v>192.7</v>
      </c>
      <c r="H145" s="65" t="n">
        <v>863.88</v>
      </c>
      <c r="I145" s="65" t="n">
        <v>204.87</v>
      </c>
      <c r="J145" s="65" t="n">
        <v>142.37</v>
      </c>
      <c r="K145" s="65" t="n">
        <v>135.53</v>
      </c>
      <c r="L145" s="65" t="n">
        <v>413.09</v>
      </c>
      <c r="M145" s="65" t="n">
        <v>300.37</v>
      </c>
      <c r="N145" s="65" t="n">
        <v>446.83</v>
      </c>
      <c r="O145" s="65" t="n">
        <v>118.87</v>
      </c>
      <c r="P145" s="65" t="n">
        <v>152.92</v>
      </c>
      <c r="Q145" s="65" t="n">
        <v>67.13</v>
      </c>
      <c r="R145" s="65" t="n">
        <v>56.4</v>
      </c>
      <c r="S145" s="65" t="n">
        <v>143.82</v>
      </c>
      <c r="T145" s="65" t="n">
        <v>45.86</v>
      </c>
      <c r="U145" s="65" t="n">
        <v>31.79</v>
      </c>
      <c r="V145" s="65" t="n">
        <v>322.97</v>
      </c>
      <c r="W145" s="65" t="n">
        <v>156.4</v>
      </c>
      <c r="X145" s="65" t="n">
        <v>53.21</v>
      </c>
      <c r="Y145" s="65" t="n">
        <v>54.1</v>
      </c>
      <c r="Z145" s="65" t="n">
        <v>327.59</v>
      </c>
      <c r="AA145" s="65" t="n">
        <v>82.18</v>
      </c>
    </row>
    <row r="146" customFormat="false" ht="15" hidden="false" customHeight="true" outlineLevel="0" collapsed="false">
      <c r="A146" s="68" t="n">
        <v>46185</v>
      </c>
      <c r="B146" s="65" t="n">
        <v>204.02</v>
      </c>
      <c r="C146" s="65" t="n">
        <v>163.24</v>
      </c>
      <c r="D146" s="65" t="n">
        <v>1861.14</v>
      </c>
      <c r="E146" s="65" t="n">
        <v>380.77</v>
      </c>
      <c r="F146" s="65" t="n">
        <v>170.7</v>
      </c>
      <c r="G146" s="65" t="n">
        <v>254.25</v>
      </c>
      <c r="H146" s="65" t="n">
        <v>981.46</v>
      </c>
      <c r="I146" s="65" t="n">
        <v>204.96</v>
      </c>
      <c r="J146" s="65" t="n">
        <v>146.51</v>
      </c>
      <c r="K146" s="65" t="n">
        <v>127.99</v>
      </c>
      <c r="L146" s="65" t="n">
        <v>422.8</v>
      </c>
      <c r="M146" s="65" t="n">
        <v>302.73</v>
      </c>
      <c r="N146" s="65" t="n">
        <v>444.93</v>
      </c>
      <c r="O146" s="65" t="n">
        <v>123.97</v>
      </c>
      <c r="P146" s="65" t="n">
        <v>156.3</v>
      </c>
      <c r="Q146" s="65" t="n">
        <v>67.16</v>
      </c>
      <c r="R146" s="65" t="n">
        <v>57.32</v>
      </c>
      <c r="S146" s="65" t="n">
        <v>152</v>
      </c>
      <c r="T146" s="65" t="n">
        <v>46.14</v>
      </c>
      <c r="U146" s="65" t="n">
        <v>32.3</v>
      </c>
      <c r="V146" s="65" t="n">
        <v>321.79</v>
      </c>
      <c r="W146" s="65" t="n">
        <v>158.46</v>
      </c>
      <c r="X146" s="65" t="n">
        <v>53.55</v>
      </c>
      <c r="Y146" s="65" t="n">
        <v>54.61</v>
      </c>
      <c r="Z146" s="65" t="n">
        <v>334.88</v>
      </c>
      <c r="AA146" s="65" t="n">
        <v>80.34</v>
      </c>
    </row>
    <row r="147" customFormat="false" ht="15" hidden="false" customHeight="true" outlineLevel="0" collapsed="false">
      <c r="A147" s="68" t="n">
        <v>46192</v>
      </c>
      <c r="B147" s="65" t="n">
        <v>195.16</v>
      </c>
      <c r="C147" s="65" t="n">
        <v>169.67</v>
      </c>
      <c r="D147" s="65" t="n">
        <v>1927.19</v>
      </c>
      <c r="E147" s="65" t="n">
        <v>409.95</v>
      </c>
      <c r="F147" s="65" t="n">
        <v>171.21</v>
      </c>
      <c r="G147" s="65" t="n">
        <v>259.27</v>
      </c>
      <c r="H147" s="65" t="n">
        <v>1133.82</v>
      </c>
      <c r="I147" s="65" t="n">
        <v>210.45</v>
      </c>
      <c r="J147" s="65" t="n">
        <v>139.43</v>
      </c>
      <c r="K147" s="65" t="n">
        <v>128.47</v>
      </c>
      <c r="L147" s="65" t="n">
        <v>460.88</v>
      </c>
      <c r="M147" s="65" t="n">
        <v>332.97</v>
      </c>
      <c r="N147" s="65" t="n">
        <v>451.63</v>
      </c>
      <c r="O147" s="65" t="n">
        <v>121.6</v>
      </c>
      <c r="P147" s="65" t="n">
        <v>152.05</v>
      </c>
      <c r="Q147" s="65" t="n">
        <v>67.72</v>
      </c>
      <c r="R147" s="65" t="n">
        <v>58.74</v>
      </c>
      <c r="S147" s="65" t="n">
        <v>159.39</v>
      </c>
      <c r="T147" s="65" t="n">
        <v>45.11</v>
      </c>
      <c r="U147" s="65" t="n">
        <v>31.36</v>
      </c>
      <c r="V147" s="65" t="n">
        <v>326.63</v>
      </c>
      <c r="W147" s="65" t="n">
        <v>157.34</v>
      </c>
      <c r="X147" s="65" t="n">
        <v>52.37</v>
      </c>
      <c r="Y147" s="65" t="n">
        <v>54.67</v>
      </c>
      <c r="Z147" s="65" t="n">
        <v>357.19</v>
      </c>
      <c r="AA147" s="65" t="n">
        <v>77.38</v>
      </c>
    </row>
    <row r="148" customFormat="false" ht="15" hidden="false" customHeight="true" outlineLevel="0" collapsed="false">
      <c r="A148" s="68" t="n">
        <v>46199</v>
      </c>
      <c r="B148" s="65" t="n">
        <v>202.73</v>
      </c>
      <c r="C148" s="65" t="n">
        <v>157.6</v>
      </c>
      <c r="D148" s="65" t="n">
        <v>1792.3</v>
      </c>
      <c r="E148" s="65" t="n">
        <v>364.36</v>
      </c>
      <c r="F148" s="65" t="n">
        <v>175.27</v>
      </c>
      <c r="G148" s="65" t="n">
        <v>248.36</v>
      </c>
      <c r="H148" s="65" t="n">
        <v>1132.16</v>
      </c>
      <c r="I148" s="65" t="n">
        <v>192.31</v>
      </c>
      <c r="J148" s="65" t="n">
        <v>138.87</v>
      </c>
      <c r="K148" s="65" t="n">
        <v>112.93</v>
      </c>
      <c r="L148" s="65" t="n">
        <v>431.19</v>
      </c>
      <c r="M148" s="65" t="n">
        <v>303.88</v>
      </c>
      <c r="N148" s="65" t="n">
        <v>491.34</v>
      </c>
      <c r="O148" s="65" t="n">
        <v>124.53</v>
      </c>
      <c r="P148" s="65" t="n">
        <v>156.87</v>
      </c>
      <c r="Q148" s="65" t="n">
        <v>66.99</v>
      </c>
      <c r="R148" s="65" t="n">
        <v>56.9</v>
      </c>
      <c r="S148" s="65" t="n">
        <v>153.95</v>
      </c>
      <c r="T148" s="65" t="n">
        <v>46.04</v>
      </c>
      <c r="U148" s="65" t="n">
        <v>31.84</v>
      </c>
      <c r="V148" s="65" t="n">
        <v>335.61</v>
      </c>
      <c r="W148" s="65" t="n">
        <v>157.35</v>
      </c>
      <c r="X148" s="65" t="n">
        <v>54.1</v>
      </c>
      <c r="Y148" s="65" t="n">
        <v>54.73</v>
      </c>
      <c r="Z148" s="65" t="n">
        <v>368.54</v>
      </c>
      <c r="AA148" s="65" t="n">
        <v>73.81</v>
      </c>
    </row>
    <row r="149" customFormat="false" ht="15" hidden="false" customHeight="true" outlineLevel="0" collapsed="false">
      <c r="A149" s="68" t="n">
        <v>46206</v>
      </c>
      <c r="B149" s="65" t="n">
        <v>219.72</v>
      </c>
      <c r="C149" s="65" t="n">
        <v>159.99</v>
      </c>
      <c r="D149" s="65" t="n">
        <v>1767.03</v>
      </c>
      <c r="E149" s="65" t="n">
        <v>359.79</v>
      </c>
      <c r="F149" s="65" t="n">
        <v>193.98</v>
      </c>
      <c r="G149" s="65" t="n">
        <v>235.28</v>
      </c>
      <c r="H149" s="65" t="n">
        <v>975.41</v>
      </c>
      <c r="I149" s="65" t="n">
        <v>194.61</v>
      </c>
      <c r="J149" s="65" t="n">
        <v>138.33</v>
      </c>
      <c r="K149" s="65" t="n">
        <v>129.3</v>
      </c>
      <c r="L149" s="65" t="n">
        <v>433</v>
      </c>
      <c r="M149" s="65" t="n">
        <v>300.46</v>
      </c>
      <c r="N149" s="65" t="n">
        <v>528.04</v>
      </c>
      <c r="O149" s="65" t="n">
        <v>123.11</v>
      </c>
      <c r="P149" s="65" t="n">
        <v>157.78</v>
      </c>
      <c r="Q149" s="65" t="n">
        <v>67.5</v>
      </c>
      <c r="R149" s="65" t="n">
        <v>57.47</v>
      </c>
      <c r="S149" s="65" t="n">
        <v>150.58</v>
      </c>
      <c r="T149" s="65" t="n">
        <v>46.85</v>
      </c>
      <c r="U149" s="65" t="n">
        <v>32.13</v>
      </c>
      <c r="V149" s="65" t="n">
        <v>361.46</v>
      </c>
      <c r="W149" s="65" t="n">
        <v>158.6</v>
      </c>
      <c r="X149" s="65" t="n">
        <v>53.12</v>
      </c>
      <c r="Y149" s="65" t="n">
        <v>55.64</v>
      </c>
      <c r="Z149" s="65" t="n">
        <v>377.05</v>
      </c>
      <c r="AA149" s="65" t="n">
        <v>77.65</v>
      </c>
    </row>
    <row r="150" customFormat="false" ht="15" hidden="false" customHeight="true" outlineLevel="0" collapsed="false">
      <c r="A150" s="68" t="n">
        <v>46213</v>
      </c>
      <c r="B150" s="65" t="n">
        <v>223.64</v>
      </c>
      <c r="C150" s="65" t="n">
        <v>186.96</v>
      </c>
      <c r="D150" s="65" t="n">
        <v>1795</v>
      </c>
      <c r="E150" s="65" t="n">
        <v>399.24</v>
      </c>
      <c r="F150" s="65" t="n">
        <v>187.18</v>
      </c>
      <c r="G150" s="65" t="n">
        <v>231.26</v>
      </c>
      <c r="H150" s="65" t="n">
        <v>979.3</v>
      </c>
      <c r="I150" s="65" t="n">
        <v>210.72</v>
      </c>
      <c r="J150" s="65" t="n">
        <v>139.76</v>
      </c>
      <c r="K150" s="65" t="n">
        <v>126.79</v>
      </c>
      <c r="L150" s="65" t="n">
        <v>432.95</v>
      </c>
      <c r="M150" s="65" t="n">
        <v>318.78</v>
      </c>
      <c r="N150" s="65" t="n">
        <v>485.39</v>
      </c>
      <c r="O150" s="65" t="n">
        <v>123.55</v>
      </c>
      <c r="P150" s="65" t="n">
        <v>158.15</v>
      </c>
      <c r="Q150" s="65" t="n">
        <v>68.24</v>
      </c>
      <c r="R150" s="65" t="n">
        <v>58.55</v>
      </c>
      <c r="S150" s="65" t="n">
        <v>153.5</v>
      </c>
      <c r="T150" s="65" t="n">
        <v>47.27</v>
      </c>
      <c r="U150" s="65" t="n">
        <v>32.14</v>
      </c>
      <c r="V150" s="65" t="n">
        <v>348.32</v>
      </c>
      <c r="W150" s="65" t="n">
        <v>160.17</v>
      </c>
      <c r="X150" s="65" t="n">
        <v>53.54</v>
      </c>
      <c r="Y150" s="65" t="n">
        <v>55.69</v>
      </c>
      <c r="Z150" s="65" t="n">
        <v>359.27</v>
      </c>
      <c r="AA150" s="65" t="n">
        <v>73.37</v>
      </c>
    </row>
    <row r="151" customFormat="false" ht="15" hidden="false" customHeight="true" outlineLevel="0" collapsed="false">
      <c r="A151" s="68" t="n">
        <v>46220</v>
      </c>
      <c r="B151" s="65" t="n">
        <v>237.25</v>
      </c>
      <c r="C151" s="65" t="n">
        <v>168.61</v>
      </c>
      <c r="D151" s="65" t="n">
        <v>1745.32</v>
      </c>
      <c r="E151" s="65" t="n">
        <v>370.16</v>
      </c>
      <c r="F151" s="65" t="n">
        <v>203.08</v>
      </c>
      <c r="G151" s="65" t="n">
        <v>212.51</v>
      </c>
      <c r="H151" s="65" t="n">
        <v>848.95</v>
      </c>
      <c r="I151" s="65" t="n">
        <v>202.58</v>
      </c>
      <c r="J151" s="65" t="n">
        <v>148.61</v>
      </c>
      <c r="K151" s="65" t="n">
        <v>132.38</v>
      </c>
      <c r="L151" s="65" t="n">
        <v>397.3</v>
      </c>
      <c r="M151" s="65" t="n">
        <v>289.49</v>
      </c>
      <c r="N151" s="65" t="n">
        <v>485.65</v>
      </c>
      <c r="O151" s="65" t="n">
        <v>124.94</v>
      </c>
      <c r="P151" s="65" t="n">
        <v>160.51</v>
      </c>
      <c r="Q151" s="65" t="n">
        <v>67.61</v>
      </c>
      <c r="R151" s="65" t="n">
        <v>56.62</v>
      </c>
      <c r="S151" s="65" t="n">
        <v>143.66</v>
      </c>
      <c r="T151" s="65" t="n">
        <v>47.68</v>
      </c>
      <c r="U151" s="65" t="n">
        <v>32.65</v>
      </c>
      <c r="V151" s="65" t="n">
        <v>357.9</v>
      </c>
      <c r="W151" s="65" t="n">
        <v>159.28</v>
      </c>
      <c r="X151" s="65" t="n">
        <v>54.28</v>
      </c>
      <c r="Y151" s="65" t="n">
        <v>55.49</v>
      </c>
      <c r="Z151" s="65" t="n">
        <v>348.83</v>
      </c>
      <c r="AA151" s="65" t="n">
        <v>68.95</v>
      </c>
    </row>
    <row r="152" customFormat="false" ht="15" hidden="false" customHeight="true" outlineLevel="0" collapsed="false">
      <c r="A152" s="68" t="n">
        <v>46227</v>
      </c>
      <c r="B152" s="65" t="n">
        <v>225.11</v>
      </c>
      <c r="C152" s="65" t="n">
        <v>173.99</v>
      </c>
      <c r="D152" s="65" t="n">
        <v>1754.82</v>
      </c>
      <c r="E152" s="65" t="n">
        <v>381.23</v>
      </c>
      <c r="F152" s="65" t="n">
        <v>183.28</v>
      </c>
      <c r="G152" s="65" t="n">
        <v>210.28</v>
      </c>
      <c r="H152" s="65" t="n">
        <v>920.95</v>
      </c>
      <c r="I152" s="65" t="n">
        <v>206.61</v>
      </c>
      <c r="J152" s="65" t="n">
        <v>146.47</v>
      </c>
      <c r="K152" s="65" t="n">
        <v>122.92</v>
      </c>
      <c r="L152" s="65" t="n">
        <v>402.33</v>
      </c>
      <c r="M152" s="65" t="n">
        <v>290.29</v>
      </c>
      <c r="N152" s="65" t="n">
        <v>477.36</v>
      </c>
      <c r="O152" s="65" t="n">
        <v>124.87</v>
      </c>
      <c r="P152" s="65" t="n">
        <v>161.66</v>
      </c>
      <c r="Q152" s="65" t="n">
        <v>67.49</v>
      </c>
      <c r="R152" s="65" t="n">
        <v>56.09</v>
      </c>
      <c r="S152" s="65" t="n">
        <v>146.27</v>
      </c>
      <c r="T152" s="65" t="n">
        <v>48.01</v>
      </c>
      <c r="U152" s="65" t="n">
        <v>33.03</v>
      </c>
      <c r="V152" s="65" t="n">
        <v>355.08</v>
      </c>
      <c r="W152" s="65" t="n">
        <v>161.33</v>
      </c>
      <c r="X152" s="65" t="n">
        <v>54.27</v>
      </c>
      <c r="Y152" s="65" t="n">
        <v>55.73</v>
      </c>
      <c r="Z152" s="65" t="n">
        <v>353.73</v>
      </c>
      <c r="AA152" s="65" t="n">
        <v>70.09</v>
      </c>
    </row>
    <row r="153" customFormat="false" ht="15" hidden="false" customHeight="true" outlineLevel="0" collapsed="false">
      <c r="A153" s="68" t="n">
        <v>46234</v>
      </c>
      <c r="B153" s="65" t="n">
        <v>250.41</v>
      </c>
      <c r="C153" s="65" t="n">
        <v>180.35</v>
      </c>
      <c r="D153" s="65" t="n">
        <v>1629</v>
      </c>
      <c r="E153" s="65" t="n">
        <v>388.57</v>
      </c>
      <c r="F153" s="65" t="n">
        <v>190.86</v>
      </c>
      <c r="G153" s="65" t="n">
        <v>182.61</v>
      </c>
      <c r="H153" s="65" t="n">
        <v>823.03</v>
      </c>
      <c r="I153" s="65" t="n">
        <v>200.53</v>
      </c>
      <c r="J153" s="65" t="n">
        <v>143.47</v>
      </c>
      <c r="K153" s="65" t="n">
        <v>123.06</v>
      </c>
      <c r="L153" s="65" t="n">
        <v>403.17</v>
      </c>
      <c r="M153" s="65" t="n">
        <v>241.51</v>
      </c>
      <c r="N153" s="65" t="n">
        <v>477.1</v>
      </c>
      <c r="O153" s="65" t="n">
        <v>124.87</v>
      </c>
      <c r="P153" s="65" t="n">
        <v>159.89</v>
      </c>
      <c r="Q153" s="88" t="n">
        <v>68.36</v>
      </c>
      <c r="R153" s="65" t="n">
        <v>56.37</v>
      </c>
      <c r="S153" s="65" t="n">
        <v>143.6</v>
      </c>
      <c r="T153" s="65" t="n">
        <v>49.61</v>
      </c>
      <c r="U153" s="65" t="n">
        <v>33.21</v>
      </c>
      <c r="V153" s="65" t="n">
        <v>365.45</v>
      </c>
      <c r="W153" s="65" t="n">
        <v>161.07</v>
      </c>
      <c r="X153" s="65" t="n">
        <v>53.09</v>
      </c>
      <c r="Y153" s="65" t="n">
        <v>56.35</v>
      </c>
      <c r="Z153" s="65" t="n">
        <v>360.07</v>
      </c>
      <c r="AA153" s="65" t="n">
        <v>71.71</v>
      </c>
    </row>
    <row r="154" customFormat="false" ht="15" hidden="false" customHeight="true" outlineLevel="0" collapsed="false">
      <c r="A154" s="68" t="n">
        <v>46241</v>
      </c>
      <c r="B154" s="65" t="n">
        <v>265.21</v>
      </c>
      <c r="C154" s="65" t="n">
        <v>188.67</v>
      </c>
      <c r="D154" s="65" t="n">
        <v>1740.99</v>
      </c>
      <c r="E154" s="65" t="n">
        <v>426.98</v>
      </c>
      <c r="F154" s="65" t="n">
        <v>214.42</v>
      </c>
      <c r="G154" s="65" t="n">
        <v>197.89</v>
      </c>
      <c r="H154" s="65" t="n">
        <v>877.57</v>
      </c>
      <c r="I154" s="65" t="n">
        <v>223.71</v>
      </c>
      <c r="J154" s="65" t="n">
        <v>139.06</v>
      </c>
      <c r="K154" s="65" t="n">
        <v>172.01</v>
      </c>
      <c r="L154" s="65" t="n">
        <v>418.92</v>
      </c>
      <c r="M154" s="65" t="n">
        <v>272.33</v>
      </c>
      <c r="N154" s="65" t="n">
        <v>496.07</v>
      </c>
      <c r="O154" s="65" t="n">
        <v>126.47</v>
      </c>
      <c r="P154" s="65" t="n">
        <v>160.58</v>
      </c>
      <c r="Q154" s="65" t="n">
        <v>69.77</v>
      </c>
      <c r="R154" s="65" t="n">
        <v>58.52</v>
      </c>
      <c r="S154" s="65" t="n">
        <v>149.45</v>
      </c>
      <c r="T154" s="65" t="n">
        <v>51.36</v>
      </c>
      <c r="U154" s="65" t="n">
        <v>33.63</v>
      </c>
      <c r="V154" s="65" t="n">
        <v>361.83</v>
      </c>
      <c r="W154" s="65" t="n">
        <v>164.72</v>
      </c>
      <c r="X154" s="65" t="n">
        <v>51.7</v>
      </c>
      <c r="Y154" s="65" t="n">
        <v>56.86</v>
      </c>
      <c r="Z154" s="65" t="n">
        <v>370.08</v>
      </c>
      <c r="AA154" s="65" t="n">
        <v>74.14</v>
      </c>
    </row>
    <row r="155" customFormat="false" ht="15" hidden="false" customHeight="true" outlineLevel="0" collapsed="false">
      <c r="A155" s="68" t="n">
        <v>46248</v>
      </c>
      <c r="B155" s="65" t="n">
        <v>264.02</v>
      </c>
      <c r="C155" s="65" t="n">
        <v>198.82</v>
      </c>
      <c r="D155" s="65" t="n">
        <v>1844.08</v>
      </c>
      <c r="E155" s="65" t="n">
        <v>392.28</v>
      </c>
      <c r="F155" s="65" t="n">
        <v>216.95</v>
      </c>
      <c r="G155" s="65" t="n">
        <v>203.49</v>
      </c>
      <c r="H155" s="65" t="n">
        <v>971.66</v>
      </c>
      <c r="I155" s="65" t="n">
        <v>224.91</v>
      </c>
      <c r="J155" s="65" t="n">
        <v>139.92</v>
      </c>
      <c r="K155" s="65" t="n">
        <v>174.04</v>
      </c>
      <c r="L155" s="65" t="n">
        <v>425.21</v>
      </c>
      <c r="M155" s="65" t="n">
        <v>293.77</v>
      </c>
      <c r="N155" s="65" t="n">
        <v>505.75</v>
      </c>
      <c r="O155" s="65" t="n">
        <v>128.31</v>
      </c>
      <c r="P155" s="65" t="n">
        <v>164.15</v>
      </c>
      <c r="Q155" s="88" t="n">
        <v>70.06</v>
      </c>
      <c r="R155" s="65" t="n">
        <v>59.29</v>
      </c>
      <c r="S155" s="65" t="n">
        <v>153.06</v>
      </c>
      <c r="T155" s="65" t="n">
        <v>53.6</v>
      </c>
      <c r="U155" s="65" t="n">
        <v>34.25</v>
      </c>
      <c r="V155" s="65" t="n">
        <v>364.15</v>
      </c>
      <c r="W155" s="65" t="n">
        <v>165.6</v>
      </c>
      <c r="X155" s="65" t="n">
        <v>53.75</v>
      </c>
      <c r="Y155" s="65" t="n">
        <v>57.3</v>
      </c>
      <c r="Z155" s="65" t="n">
        <v>368.38</v>
      </c>
      <c r="AA155" s="65" t="n">
        <v>78.16</v>
      </c>
    </row>
    <row r="156" customFormat="false" ht="15" hidden="false" customHeight="true" outlineLevel="0" collapsed="false">
      <c r="A156" s="68" t="n">
        <v>46255</v>
      </c>
      <c r="B156" s="65" t="n">
        <v>275.3</v>
      </c>
      <c r="C156" s="65" t="n">
        <v>188.65</v>
      </c>
      <c r="D156" s="65" t="n">
        <v>1763.76</v>
      </c>
      <c r="E156" s="65" t="n">
        <v>367.78</v>
      </c>
      <c r="F156" s="65" t="n">
        <v>191.95</v>
      </c>
      <c r="G156" s="65" t="n">
        <v>183.99</v>
      </c>
      <c r="H156" s="65" t="n">
        <v>966.78</v>
      </c>
      <c r="I156" s="65" t="n">
        <v>214.48</v>
      </c>
      <c r="J156" s="65" t="n">
        <v>140.68</v>
      </c>
      <c r="K156" s="65" t="n">
        <v>179.94</v>
      </c>
      <c r="L156" s="65" t="n">
        <v>417.83</v>
      </c>
      <c r="M156" s="65" t="n">
        <v>261.89</v>
      </c>
      <c r="N156" s="65" t="n">
        <v>548.05</v>
      </c>
      <c r="O156" s="65" t="n">
        <v>126.04</v>
      </c>
      <c r="P156" s="65" t="n">
        <v>162.75</v>
      </c>
      <c r="Q156" s="65" t="n">
        <v>69.32</v>
      </c>
      <c r="R156" s="65" t="n">
        <v>58.61</v>
      </c>
      <c r="S156" s="65" t="n">
        <v>148.49</v>
      </c>
      <c r="T156" s="65" t="n">
        <v>55.34</v>
      </c>
      <c r="U156" s="65" t="n">
        <v>34.83</v>
      </c>
      <c r="V156" s="65" t="n">
        <v>371.04</v>
      </c>
      <c r="W156" s="65" t="n">
        <v>164.06</v>
      </c>
      <c r="X156" s="65" t="n">
        <v>53.23</v>
      </c>
      <c r="Y156" s="65" t="n">
        <v>57.2</v>
      </c>
      <c r="Z156" s="65" t="n">
        <v>348.37</v>
      </c>
      <c r="AA156" s="65" t="n">
        <v>79.59</v>
      </c>
    </row>
    <row r="157" customFormat="false" ht="15" hidden="false" customHeight="true" outlineLevel="0" collapsed="false">
      <c r="A157" s="68" t="n">
        <v>46262</v>
      </c>
      <c r="B157" s="65" t="n">
        <v>291.52</v>
      </c>
      <c r="C157" s="65" t="n">
        <v>195.38</v>
      </c>
      <c r="D157" s="65" t="n">
        <v>1696.16</v>
      </c>
      <c r="E157" s="65" t="n">
        <v>368.12</v>
      </c>
      <c r="F157" s="65" t="n">
        <v>218.4</v>
      </c>
      <c r="G157" s="65" t="n">
        <v>175.54</v>
      </c>
      <c r="H157" s="65" t="n">
        <v>932.86</v>
      </c>
      <c r="I157" s="65" t="n">
        <v>217.31</v>
      </c>
      <c r="J157" s="65" t="n">
        <v>139.59</v>
      </c>
      <c r="K157" s="65" t="n">
        <v>186.29</v>
      </c>
      <c r="L157" s="65" t="n">
        <v>416.4</v>
      </c>
      <c r="M157" s="65" t="n">
        <v>257.02</v>
      </c>
      <c r="N157" s="65" t="n">
        <v>541.69</v>
      </c>
      <c r="O157" s="65" t="n">
        <v>125.16</v>
      </c>
      <c r="P157" s="65" t="n">
        <v>162.46</v>
      </c>
      <c r="Q157" s="65" t="n">
        <v>69.6</v>
      </c>
      <c r="R157" s="65" t="n">
        <v>58.92</v>
      </c>
      <c r="S157" s="65" t="n">
        <v>146.54</v>
      </c>
      <c r="T157" s="65" t="n">
        <v>55.55</v>
      </c>
      <c r="U157" s="65" t="n">
        <v>34.62</v>
      </c>
      <c r="V157" s="65" t="n">
        <v>381.6</v>
      </c>
      <c r="W157" s="65" t="n">
        <v>163.34</v>
      </c>
      <c r="X157" s="65" t="n">
        <v>53.64</v>
      </c>
      <c r="Y157" s="65" t="n">
        <v>57.07</v>
      </c>
      <c r="Z157" s="65" t="n">
        <v>342.58</v>
      </c>
      <c r="AA157" s="65" t="n">
        <v>81.72</v>
      </c>
    </row>
    <row r="158" customFormat="false" ht="15" hidden="false" customHeight="true" outlineLevel="0" collapsed="false">
      <c r="A158" s="68" t="n">
        <v>46269</v>
      </c>
      <c r="B158" s="65" t="n">
        <v>266.51</v>
      </c>
      <c r="C158" s="65" t="n">
        <v>193.78</v>
      </c>
      <c r="D158" s="65" t="n">
        <v>1714.88</v>
      </c>
      <c r="E158" s="65" t="n">
        <v>357.25</v>
      </c>
      <c r="F158" s="65" t="n">
        <v>213.1</v>
      </c>
      <c r="G158" s="65" t="n">
        <v>185.6</v>
      </c>
      <c r="H158" s="65" t="n">
        <v>1016.59</v>
      </c>
      <c r="I158" s="65" t="n">
        <v>230.1</v>
      </c>
      <c r="J158" s="65" t="n">
        <v>136.26</v>
      </c>
      <c r="K158" s="65" t="n">
        <v>174.33</v>
      </c>
      <c r="L158" s="65" t="n">
        <v>427.76</v>
      </c>
      <c r="M158" s="65" t="n">
        <v>280.46</v>
      </c>
      <c r="N158" s="65" t="n">
        <v>546.12</v>
      </c>
      <c r="O158" s="65" t="n">
        <v>126.52</v>
      </c>
      <c r="P158" s="65" t="n">
        <v>162.91</v>
      </c>
      <c r="Q158" s="65" t="n">
        <v>69.63</v>
      </c>
      <c r="R158" s="65" t="n">
        <v>59.32</v>
      </c>
      <c r="S158" s="65" t="n">
        <v>149.48</v>
      </c>
      <c r="T158" s="65" t="n">
        <v>55.18</v>
      </c>
      <c r="U158" s="65" t="n">
        <v>34.52</v>
      </c>
      <c r="V158" s="65" t="n">
        <v>375.07</v>
      </c>
      <c r="W158" s="65" t="n">
        <v>163.32</v>
      </c>
      <c r="X158" s="65" t="n">
        <v>53.99</v>
      </c>
      <c r="Y158" s="65" t="n">
        <v>56.87</v>
      </c>
      <c r="Z158" s="65" t="n">
        <v>337.12</v>
      </c>
      <c r="AA158" s="65" t="n">
        <v>78.25</v>
      </c>
    </row>
    <row r="159" customFormat="false" ht="15" hidden="false" customHeight="true" outlineLevel="0" collapsed="false">
      <c r="A159" s="68" t="n">
        <v>46276</v>
      </c>
      <c r="B159" s="65" t="n">
        <v>252.23</v>
      </c>
      <c r="C159" s="65" t="n">
        <v>199.59</v>
      </c>
      <c r="D159" s="65" t="n">
        <v>1698.3</v>
      </c>
      <c r="E159" s="65" t="n">
        <v>361.33</v>
      </c>
      <c r="F159" s="65" t="n">
        <v>206.74</v>
      </c>
      <c r="G159" s="65" t="n">
        <v>180.64</v>
      </c>
      <c r="H159" s="65" t="n">
        <v>975.26</v>
      </c>
      <c r="I159" s="65" t="n">
        <v>218.29</v>
      </c>
      <c r="J159" s="65" t="n">
        <v>134.68</v>
      </c>
      <c r="K159" s="65" t="n">
        <v>167.23</v>
      </c>
      <c r="L159" s="65" t="n">
        <v>432.08</v>
      </c>
      <c r="M159" s="65" t="n">
        <v>257</v>
      </c>
      <c r="N159" s="65" t="n">
        <v>515.44</v>
      </c>
      <c r="O159" s="65" t="n">
        <v>124.5</v>
      </c>
      <c r="P159" s="65" t="n">
        <v>161.03</v>
      </c>
      <c r="Q159" s="65" t="n">
        <v>69.15</v>
      </c>
      <c r="R159" s="65" t="n">
        <v>59.23</v>
      </c>
      <c r="S159" s="65" t="n">
        <v>148.07</v>
      </c>
      <c r="T159" s="65" t="n">
        <v>53.88</v>
      </c>
      <c r="U159" s="65" t="n">
        <v>33.85</v>
      </c>
      <c r="V159" s="65" t="n">
        <v>370.45</v>
      </c>
      <c r="W159" s="65" t="n">
        <v>162.02</v>
      </c>
      <c r="X159" s="65" t="n">
        <v>53.36</v>
      </c>
      <c r="Y159" s="65" t="n">
        <v>56.31</v>
      </c>
      <c r="Z159" s="65" t="n">
        <v>323.66</v>
      </c>
      <c r="AA159" s="65" t="n">
        <v>77.4</v>
      </c>
    </row>
    <row r="160" customFormat="false" ht="15" hidden="false" customHeight="true" outlineLevel="0" collapsed="false">
      <c r="A160" s="68" t="n">
        <v>46283</v>
      </c>
      <c r="B160" s="65" t="n">
        <v>248.92</v>
      </c>
      <c r="C160" s="65" t="n">
        <v>199.39</v>
      </c>
      <c r="D160" s="65" t="n">
        <v>1679.92</v>
      </c>
      <c r="E160" s="65" t="n">
        <v>356.96</v>
      </c>
      <c r="F160" s="65" t="n">
        <v>237.65</v>
      </c>
      <c r="G160" s="65" t="n">
        <v>176.99</v>
      </c>
      <c r="H160" s="65" t="n">
        <v>1015.8</v>
      </c>
      <c r="I160" s="65" t="n">
        <v>222.27</v>
      </c>
      <c r="J160" s="65" t="n">
        <v>134.84</v>
      </c>
      <c r="K160" s="65" t="n">
        <v>177.64</v>
      </c>
      <c r="L160" s="65" t="n">
        <v>434.67</v>
      </c>
      <c r="M160" s="65" t="n">
        <v>249.39</v>
      </c>
      <c r="N160" s="65" t="n">
        <v>508.34</v>
      </c>
      <c r="O160" s="65" t="n">
        <v>121.96</v>
      </c>
      <c r="P160" s="65" t="n">
        <v>158.24</v>
      </c>
      <c r="Q160" s="65" t="n">
        <v>68.99</v>
      </c>
      <c r="R160" s="65" t="n">
        <v>59.68</v>
      </c>
      <c r="S160" s="65" t="n">
        <v>148.97</v>
      </c>
      <c r="T160" s="65" t="n">
        <v>53</v>
      </c>
      <c r="U160" s="65" t="n">
        <v>33.41</v>
      </c>
      <c r="V160" s="65" t="n">
        <v>368.29</v>
      </c>
      <c r="W160" s="65" t="n">
        <v>159.26</v>
      </c>
      <c r="X160" s="65" t="n">
        <v>52.81</v>
      </c>
      <c r="Y160" s="65" t="n">
        <v>55.9</v>
      </c>
      <c r="Z160" s="65" t="n">
        <v>314.27</v>
      </c>
      <c r="AA160" s="65" t="n">
        <v>71.79</v>
      </c>
    </row>
    <row r="161" customFormat="false" ht="15" hidden="false" customHeight="true" outlineLevel="0" collapsed="false">
      <c r="A161" s="68" t="n">
        <v>46290</v>
      </c>
      <c r="B161" s="65" t="n">
        <v>235.47</v>
      </c>
      <c r="C161" s="65" t="n">
        <v>206.55</v>
      </c>
      <c r="D161" s="65" t="n">
        <v>1743.94</v>
      </c>
      <c r="E161" s="65" t="n">
        <v>352.81</v>
      </c>
      <c r="F161" s="65" t="n">
        <v>252.13</v>
      </c>
      <c r="G161" s="65" t="n">
        <v>187.92</v>
      </c>
      <c r="H161" s="65" t="n">
        <v>1082.28</v>
      </c>
      <c r="I161" s="65" t="n">
        <v>225.07</v>
      </c>
      <c r="J161" s="65" t="n">
        <v>133.05</v>
      </c>
      <c r="K161" s="65" t="n">
        <v>189.67</v>
      </c>
      <c r="L161" s="65" t="n">
        <v>450.61</v>
      </c>
      <c r="M161" s="65" t="n">
        <v>253.28</v>
      </c>
      <c r="N161" s="65" t="n">
        <v>526.19</v>
      </c>
      <c r="O161" s="65" t="n">
        <v>120.41</v>
      </c>
      <c r="P161" s="65" t="n">
        <v>154.73</v>
      </c>
      <c r="Q161" s="65" t="n">
        <v>69.58</v>
      </c>
      <c r="R161" s="65" t="n">
        <v>60.67</v>
      </c>
      <c r="S161" s="65" t="n">
        <v>152.92</v>
      </c>
      <c r="T161" s="65" t="n">
        <v>51.6</v>
      </c>
      <c r="U161" s="65" t="n">
        <v>33.21</v>
      </c>
      <c r="V161" s="65" t="n">
        <v>367.38</v>
      </c>
      <c r="W161" s="65" t="n">
        <v>157.68</v>
      </c>
      <c r="X161" s="65" t="n">
        <v>51.1</v>
      </c>
      <c r="Y161" s="65" t="n">
        <v>56.42</v>
      </c>
      <c r="Z161" s="65" t="n">
        <v>327.09</v>
      </c>
      <c r="AA161" s="65" t="n">
        <v>71.15</v>
      </c>
    </row>
    <row r="162" customFormat="false" ht="15" hidden="false" customHeight="true" outlineLevel="0" collapsed="false">
      <c r="A162" s="68" t="n">
        <v>46297</v>
      </c>
      <c r="B162" s="65" t="n">
        <v>237.69</v>
      </c>
      <c r="C162" s="65" t="n">
        <v>207.35</v>
      </c>
      <c r="D162" s="65" t="n">
        <v>1867.31</v>
      </c>
      <c r="E162" s="65" t="n">
        <v>355.14</v>
      </c>
      <c r="F162" s="65" t="n">
        <v>270.04</v>
      </c>
      <c r="G162" s="65" t="n">
        <v>206.89</v>
      </c>
      <c r="H162" s="65" t="n">
        <v>1074.89</v>
      </c>
      <c r="I162" s="65" t="n">
        <v>233.95</v>
      </c>
      <c r="J162" s="65" t="n">
        <v>128.91</v>
      </c>
      <c r="K162" s="65" t="n">
        <v>188.75</v>
      </c>
      <c r="L162" s="65" t="n">
        <v>472.78</v>
      </c>
      <c r="M162" s="65" t="n">
        <v>252.18</v>
      </c>
      <c r="N162" s="65" t="n">
        <v>504.73</v>
      </c>
      <c r="O162" s="65" t="n">
        <v>120.03</v>
      </c>
      <c r="P162" s="65" t="n">
        <v>153.05</v>
      </c>
      <c r="Q162" s="65" t="n">
        <v>69.42</v>
      </c>
      <c r="R162" s="65" t="n">
        <v>61.04</v>
      </c>
      <c r="S162" s="65" t="n">
        <v>153.23</v>
      </c>
      <c r="T162" s="65" t="n">
        <v>51.82</v>
      </c>
      <c r="U162" s="65" t="n">
        <v>32.72</v>
      </c>
      <c r="V162" s="65" t="n">
        <v>360.66</v>
      </c>
      <c r="W162" s="65" t="n">
        <v>156.46</v>
      </c>
      <c r="X162" s="65" t="n">
        <v>51.17</v>
      </c>
      <c r="Y162" s="65" t="n">
        <v>56.1</v>
      </c>
      <c r="Z162" s="65" t="n">
        <v>309.56</v>
      </c>
      <c r="AA162" s="65" t="n">
        <v>67.06</v>
      </c>
    </row>
    <row r="163" customFormat="false" ht="15" hidden="false" customHeight="true" outlineLevel="0" collapsed="false">
      <c r="A163" s="68"/>
      <c r="B163" s="65"/>
      <c r="C163" s="65"/>
      <c r="D163" s="65"/>
      <c r="E163" s="65"/>
      <c r="F163" s="65"/>
      <c r="G163" s="65"/>
      <c r="H163" s="65"/>
      <c r="I163" s="65"/>
      <c r="J163" s="65"/>
      <c r="K163" s="65"/>
      <c r="L163" s="65"/>
      <c r="M163" s="65"/>
      <c r="N163" s="65"/>
      <c r="O163" s="65"/>
      <c r="P163" s="65"/>
      <c r="Q163" s="65"/>
      <c r="R163" s="65"/>
      <c r="S163" s="65"/>
      <c r="T163" s="65"/>
      <c r="U163" s="65"/>
      <c r="V163" s="65"/>
      <c r="W163" s="65"/>
      <c r="X163" s="65"/>
      <c r="Y163" s="65"/>
      <c r="Z163" s="65"/>
      <c r="AA163" s="65"/>
    </row>
    <row r="164" customFormat="false" ht="15" hidden="false" customHeight="true" outlineLevel="0" collapsed="false"/>
    <row r="165" customFormat="false" ht="15" hidden="false" customHeight="true" outlineLevel="0" collapsed="false">
      <c r="A165" s="89" t="n">
        <f aca="false">COUNT(A3:A163)</f>
        <v>160</v>
      </c>
      <c r="B165" s="89" t="s">
        <v>279</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H53" activeCellId="0" sqref="H53"/>
    </sheetView>
  </sheetViews>
  <sheetFormatPr defaultColWidth="8.66796875" defaultRowHeight="14.2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2"/>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0" t="s">
        <v>81</v>
      </c>
      <c r="B1" s="90" t="s">
        <v>280</v>
      </c>
      <c r="C1" s="90" t="s">
        <v>281</v>
      </c>
      <c r="D1" s="91" t="s">
        <v>282</v>
      </c>
      <c r="E1" s="91" t="s">
        <v>283</v>
      </c>
      <c r="F1" s="90" t="s">
        <v>284</v>
      </c>
      <c r="G1" s="90" t="s">
        <v>285</v>
      </c>
      <c r="H1" s="90" t="s">
        <v>286</v>
      </c>
      <c r="I1" s="90" t="s">
        <v>287</v>
      </c>
      <c r="J1" s="90" t="s">
        <v>288</v>
      </c>
    </row>
    <row r="2" customFormat="false" ht="15" hidden="false" customHeight="true" outlineLevel="0" collapsed="false">
      <c r="A2" s="92" t="str">
        <f aca="false">IF(Scoring!A3="","",Scoring!A3)</f>
        <v>MU</v>
      </c>
      <c r="B2" s="93" t="str">
        <f aca="false">IF(Scoring!B3="","",Scoring!B3)</f>
        <v>Micron Technology</v>
      </c>
      <c r="C2" s="94" t="n">
        <f aca="false">IF(Scoring!C3="","",Scoring!C3)</f>
        <v>46295</v>
      </c>
      <c r="D2" s="95" t="n">
        <f aca="false">IF(Scoring!N3="","",Scoring!N3)</f>
        <v>3.35714285714286</v>
      </c>
      <c r="E2" s="96" t="n">
        <f aca="false">IF(Scoring!AF3="","",Scoring!AF3)</f>
        <v>67.8</v>
      </c>
      <c r="F2" s="64" t="str">
        <f aca="false">IF(Scoring!AG3&lt;&gt;"",Scoring!AG3,IF(Scoring!AH3="OK","PENDING",""))</f>
        <v>BUY</v>
      </c>
      <c r="G2" s="64" t="str">
        <f aca="false">IF(Scoring!AH3="","",Scoring!AH3)</f>
        <v>OK</v>
      </c>
      <c r="H2" s="64" t="str">
        <f aca="false">IF(Scoring!AI3="","",Scoring!AI3)</f>
        <v>OK</v>
      </c>
      <c r="I2" s="64" t="str">
        <f aca="false">IF(Scoring!AJ3="","",Scoring!AJ3)</f>
        <v>OK</v>
      </c>
      <c r="J2" s="64" t="str">
        <f aca="false">IF(Scoring!AK3="","",Scoring!AK3)</f>
        <v>OK</v>
      </c>
    </row>
    <row r="3" customFormat="false" ht="15" hidden="false" customHeight="true" outlineLevel="0" collapsed="false">
      <c r="A3" s="92" t="str">
        <f aca="false">IF(Scoring!A4="","",Scoring!A4)</f>
        <v>AVGO</v>
      </c>
      <c r="B3" s="93" t="str">
        <f aca="false">IF(Scoring!B4="","",Scoring!B4)</f>
        <v>Broadcom Inc.</v>
      </c>
      <c r="C3" s="94" t="n">
        <f aca="false">IF(Scoring!C4="","",Scoring!C4)</f>
        <v>46295</v>
      </c>
      <c r="D3" s="95" t="n">
        <f aca="false">IF(Scoring!N4="","",Scoring!N4)</f>
        <v>3.14285714285714</v>
      </c>
      <c r="E3" s="96" t="n">
        <f aca="false">IF(Scoring!AF4="","",Scoring!AF4)</f>
        <v>67.8</v>
      </c>
      <c r="F3" s="64" t="str">
        <f aca="false">IF(Scoring!AG4&lt;&gt;"",Scoring!AG4,IF(Scoring!AH4="OK","PENDING",""))</f>
        <v>BUY</v>
      </c>
      <c r="G3" s="64" t="str">
        <f aca="false">IF(Scoring!AH4="","",Scoring!AH4)</f>
        <v>OK</v>
      </c>
      <c r="H3" s="64" t="str">
        <f aca="false">IF(Scoring!AI4="","",Scoring!AI4)</f>
        <v>OK</v>
      </c>
      <c r="I3" s="64" t="str">
        <f aca="false">IF(Scoring!AJ4="","",Scoring!AJ4)</f>
        <v>AVOID</v>
      </c>
      <c r="J3" s="64" t="str">
        <f aca="false">IF(Scoring!AK4="","",Scoring!AK4)</f>
        <v>OK</v>
      </c>
    </row>
    <row r="4" customFormat="false" ht="15" hidden="false" customHeight="true" outlineLevel="0" collapsed="false">
      <c r="A4" s="92" t="str">
        <f aca="false">IF(Scoring!A5="","",Scoring!A5)</f>
        <v>PLTR</v>
      </c>
      <c r="B4" s="93" t="str">
        <f aca="false">IF(Scoring!B5="","",Scoring!B5)</f>
        <v>Palantir Technologies</v>
      </c>
      <c r="C4" s="94" t="n">
        <f aca="false">IF(Scoring!C5="","",Scoring!C5)</f>
        <v>46295</v>
      </c>
      <c r="D4" s="95" t="n">
        <f aca="false">IF(Scoring!N5="","",Scoring!N5)</f>
        <v>4.07142857142857</v>
      </c>
      <c r="E4" s="96" t="n">
        <f aca="false">IF(Scoring!AF5="","",Scoring!AF5)</f>
        <v>76.2</v>
      </c>
      <c r="F4" s="64" t="str">
        <f aca="false">IF(Scoring!AG5&lt;&gt;"",Scoring!AG5,IF(Scoring!AH5="OK","PENDING",""))</f>
        <v>BUY</v>
      </c>
      <c r="G4" s="64" t="str">
        <f aca="false">IF(Scoring!AH5="","",Scoring!AH5)</f>
        <v>OK</v>
      </c>
      <c r="H4" s="64" t="str">
        <f aca="false">IF(Scoring!AI5="","",Scoring!AI5)</f>
        <v>OK</v>
      </c>
      <c r="I4" s="64" t="str">
        <f aca="false">IF(Scoring!AJ5="","",Scoring!AJ5)</f>
        <v>OK</v>
      </c>
      <c r="J4" s="64" t="str">
        <f aca="false">IF(Scoring!AK5="","",Scoring!AK5)</f>
        <v>OK</v>
      </c>
    </row>
    <row r="5" customFormat="false" ht="15" hidden="false" customHeight="true" outlineLevel="0" collapsed="false">
      <c r="A5" s="92" t="str">
        <f aca="false">IF(Scoring!A6="","",Scoring!A6)</f>
        <v>NVDA</v>
      </c>
      <c r="B5" s="93" t="str">
        <f aca="false">IF(Scoring!B6="","",Scoring!B6)</f>
        <v>NVIDIA Corporation</v>
      </c>
      <c r="C5" s="94" t="n">
        <f aca="false">IF(Scoring!C6="","",Scoring!C6)</f>
        <v>46295</v>
      </c>
      <c r="D5" s="95" t="n">
        <f aca="false">IF(Scoring!N6="","",Scoring!N6)</f>
        <v>4.28571428571429</v>
      </c>
      <c r="E5" s="96" t="n">
        <f aca="false">IF(Scoring!AF6="","",Scoring!AF6)</f>
        <v>89.2</v>
      </c>
      <c r="F5" s="64" t="str">
        <f aca="false">IF(Scoring!AG6&lt;&gt;"",Scoring!AG6,IF(Scoring!AH6="OK","PENDING",""))</f>
        <v>STRONG BUY</v>
      </c>
      <c r="G5" s="64" t="str">
        <f aca="false">IF(Scoring!AH6="","",Scoring!AH6)</f>
        <v>OK</v>
      </c>
      <c r="H5" s="64" t="str">
        <f aca="false">IF(Scoring!AI6="","",Scoring!AI6)</f>
        <v>OK</v>
      </c>
      <c r="I5" s="64" t="str">
        <f aca="false">IF(Scoring!AJ6="","",Scoring!AJ6)</f>
        <v>OK</v>
      </c>
      <c r="J5" s="64" t="str">
        <f aca="false">IF(Scoring!AK6="","",Scoring!AK6)</f>
        <v>OK</v>
      </c>
    </row>
    <row r="6" customFormat="false" ht="15" hidden="false" customHeight="true" outlineLevel="0" collapsed="false">
      <c r="A6" s="92" t="str">
        <f aca="false">IF(Scoring!A7="","",Scoring!A7)</f>
        <v>VRTX</v>
      </c>
      <c r="B6" s="93" t="str">
        <f aca="false">IF(Scoring!B7="","",Scoring!B7)</f>
        <v>Vertex Pharmaceuticals</v>
      </c>
      <c r="C6" s="94" t="n">
        <f aca="false">IF(Scoring!C7="","",Scoring!C7)</f>
        <v>46295</v>
      </c>
      <c r="D6" s="95" t="n">
        <f aca="false">IF(Scoring!N7="","",Scoring!N7)</f>
        <v>3.14285714285714</v>
      </c>
      <c r="E6" s="96" t="n">
        <f aca="false">IF(Scoring!AF7="","",Scoring!AF7)</f>
        <v>66.6</v>
      </c>
      <c r="F6" s="64" t="str">
        <f aca="false">IF(Scoring!AG7&lt;&gt;"",Scoring!AG7,IF(Scoring!AH7="OK","PENDING",""))</f>
        <v>BUY</v>
      </c>
      <c r="G6" s="64" t="str">
        <f aca="false">IF(Scoring!AH7="","",Scoring!AH7)</f>
        <v>OK</v>
      </c>
      <c r="H6" s="64" t="str">
        <f aca="false">IF(Scoring!AI7="","",Scoring!AI7)</f>
        <v>OK</v>
      </c>
      <c r="I6" s="64" t="str">
        <f aca="false">IF(Scoring!AJ7="","",Scoring!AJ7)</f>
        <v>AVOID</v>
      </c>
      <c r="J6" s="64" t="str">
        <f aca="false">IF(Scoring!AK7="","",Scoring!AK7)</f>
        <v>OK</v>
      </c>
    </row>
    <row r="7" customFormat="false" ht="15" hidden="false" customHeight="true" outlineLevel="0" collapsed="false">
      <c r="A7" s="92" t="str">
        <f aca="false">IF(Scoring!A8="","",Scoring!A8)</f>
        <v>PLD</v>
      </c>
      <c r="B7" s="93" t="str">
        <f aca="false">IF(Scoring!B8="","",Scoring!B8)</f>
        <v>Prologis Inc. (REIT-adapted)</v>
      </c>
      <c r="C7" s="94" t="n">
        <f aca="false">IF(Scoring!C8="","",Scoring!C8)</f>
        <v>46295</v>
      </c>
      <c r="D7" s="95" t="n">
        <f aca="false">IF(Scoring!N8="","",Scoring!N8)</f>
        <v>3.92857142857143</v>
      </c>
      <c r="E7" s="96" t="n">
        <f aca="false">IF(Scoring!AF8="","",Scoring!AF8)</f>
        <v>76</v>
      </c>
      <c r="F7" s="64" t="str">
        <f aca="false">IF(Scoring!AG8&lt;&gt;"",Scoring!AG8,IF(Scoring!AH8="OK","PENDING",""))</f>
        <v>BUY</v>
      </c>
      <c r="G7" s="64" t="str">
        <f aca="false">IF(Scoring!AH8="","",Scoring!AH8)</f>
        <v>OK</v>
      </c>
      <c r="H7" s="64" t="str">
        <f aca="false">IF(Scoring!AI8="","",Scoring!AI8)</f>
        <v>OK</v>
      </c>
      <c r="I7" s="64" t="str">
        <f aca="false">IF(Scoring!AJ8="","",Scoring!AJ8)</f>
        <v>OK</v>
      </c>
      <c r="J7" s="64" t="str">
        <f aca="false">IF(Scoring!AK8="","",Scoring!AK8)</f>
        <v>OK</v>
      </c>
    </row>
    <row r="8" customFormat="false" ht="15" hidden="true" customHeight="true" outlineLevel="1" collapsed="false">
      <c r="A8" s="92" t="str">
        <f aca="false">IF(Scoring!A9="","",Scoring!A9)</f>
        <v>SFM</v>
      </c>
      <c r="B8" s="93" t="str">
        <f aca="false">IF(Scoring!B9="","",Scoring!B9)</f>
        <v>Sprouts Farmers Market</v>
      </c>
      <c r="C8" s="94" t="n">
        <f aca="false">IF(Scoring!C9="","",Scoring!C9)</f>
        <v>46240</v>
      </c>
      <c r="D8" s="95" t="n">
        <f aca="false">IF(Scoring!N9="","",Scoring!N9)</f>
        <v>1.85714285714286</v>
      </c>
      <c r="E8" s="96" t="str">
        <f aca="false">IF(Scoring!AF9="","",Scoring!AF9)</f>
        <v/>
      </c>
      <c r="F8" s="64" t="str">
        <f aca="false">IF(Scoring!AG9&lt;&gt;"",Scoring!AG9,IF(Scoring!AH9="OK","PENDING",""))</f>
        <v/>
      </c>
      <c r="G8" s="64" t="str">
        <f aca="false">IF(Scoring!AH9="","",Scoring!AH9)</f>
        <v>FAIL</v>
      </c>
      <c r="H8" s="64" t="str">
        <f aca="false">IF(Scoring!AI9="","",Scoring!AI9)</f>
        <v>REVIEW</v>
      </c>
      <c r="I8" s="64" t="str">
        <f aca="false">IF(Scoring!AJ9="","",Scoring!AJ9)</f>
        <v>AVOID</v>
      </c>
      <c r="J8" s="64" t="str">
        <f aca="false">IF(Scoring!AK9="","",Scoring!AK9)</f>
        <v>OK</v>
      </c>
    </row>
    <row r="9" customFormat="false" ht="15" hidden="true" customHeight="true" outlineLevel="1" collapsed="false">
      <c r="A9" s="92" t="str">
        <f aca="false">IF(Scoring!A10="","",Scoring!A10)</f>
        <v>ONON</v>
      </c>
      <c r="B9" s="93" t="str">
        <f aca="false">IF(Scoring!B10="","",Scoring!B10)</f>
        <v>On Holding AG</v>
      </c>
      <c r="C9" s="94" t="n">
        <f aca="false">IF(Scoring!C10="","",Scoring!C10)</f>
        <v>46240</v>
      </c>
      <c r="D9" s="95" t="n">
        <f aca="false">IF(Scoring!N10="","",Scoring!N10)</f>
        <v>2.64285714285714</v>
      </c>
      <c r="E9" s="96" t="str">
        <f aca="false">IF(Scoring!AF10="","",Scoring!AF10)</f>
        <v/>
      </c>
      <c r="F9" s="64" t="str">
        <f aca="false">IF(Scoring!AG10&lt;&gt;"",Scoring!AG10,IF(Scoring!AH10="OK","PENDING",""))</f>
        <v/>
      </c>
      <c r="G9" s="64" t="str">
        <f aca="false">IF(Scoring!AH10="","",Scoring!AH10)</f>
        <v>FAIL</v>
      </c>
      <c r="H9" s="64" t="str">
        <f aca="false">IF(Scoring!AI10="","",Scoring!AI10)</f>
        <v>OK</v>
      </c>
      <c r="I9" s="64" t="str">
        <f aca="false">IF(Scoring!AJ10="","",Scoring!AJ10)</f>
        <v>AVOID</v>
      </c>
      <c r="J9" s="64" t="str">
        <f aca="false">IF(Scoring!AK10="","",Scoring!AK10)</f>
        <v>OK</v>
      </c>
    </row>
    <row r="10" customFormat="false" ht="15" hidden="true" customHeight="true" outlineLevel="1" collapsed="false">
      <c r="A10" s="92" t="str">
        <f aca="false">IF(Scoring!A11="","",Scoring!A11)</f>
        <v>TSLA</v>
      </c>
      <c r="B10" s="93" t="str">
        <f aca="false">IF(Scoring!B11="","",Scoring!B11)</f>
        <v>Tesla Inc.</v>
      </c>
      <c r="C10" s="94" t="n">
        <f aca="false">IF(Scoring!C11="","",Scoring!C11)</f>
        <v>46240</v>
      </c>
      <c r="D10" s="95" t="n">
        <f aca="false">IF(Scoring!N11="","",Scoring!N11)</f>
        <v>1.92857142857143</v>
      </c>
      <c r="E10" s="96" t="str">
        <f aca="false">IF(Scoring!AF11="","",Scoring!AF11)</f>
        <v/>
      </c>
      <c r="F10" s="64" t="str">
        <f aca="false">IF(Scoring!AG11&lt;&gt;"",Scoring!AG11,IF(Scoring!AH11="OK","PENDING",""))</f>
        <v/>
      </c>
      <c r="G10" s="64" t="str">
        <f aca="false">IF(Scoring!AH11="","",Scoring!AH11)</f>
        <v>FAIL</v>
      </c>
      <c r="H10" s="64" t="str">
        <f aca="false">IF(Scoring!AI11="","",Scoring!AI11)</f>
        <v>REVIEW</v>
      </c>
      <c r="I10" s="64" t="str">
        <f aca="false">IF(Scoring!AJ11="","",Scoring!AJ11)</f>
        <v>AVOID</v>
      </c>
      <c r="J10" s="64" t="str">
        <f aca="false">IF(Scoring!AK11="","",Scoring!AK11)</f>
        <v>OK</v>
      </c>
    </row>
    <row r="11" customFormat="false" ht="15" hidden="false" customHeight="true" outlineLevel="0" collapsed="false">
      <c r="A11" s="92" t="str">
        <f aca="false">IF(Scoring!A12="","",Scoring!A12)</f>
        <v>ADBE</v>
      </c>
      <c r="B11" s="93" t="str">
        <f aca="false">IF(Scoring!B12="","",Scoring!B12)</f>
        <v>Adobe Inc.</v>
      </c>
      <c r="C11" s="94" t="n">
        <f aca="false">IF(Scoring!C12="","",Scoring!C12)</f>
        <v>46295</v>
      </c>
      <c r="D11" s="95" t="n">
        <f aca="false">IF(Scoring!N12="","",Scoring!N12)</f>
        <v>4.57142857142857</v>
      </c>
      <c r="E11" s="96" t="n">
        <f aca="false">IF(Scoring!AF12="","",Scoring!AF12)</f>
        <v>85.8</v>
      </c>
      <c r="F11" s="64" t="str">
        <f aca="false">IF(Scoring!AG12&lt;&gt;"",Scoring!AG12,IF(Scoring!AH12="OK","PENDING",""))</f>
        <v>STRONG BUY</v>
      </c>
      <c r="G11" s="64" t="str">
        <f aca="false">IF(Scoring!AH12="","",Scoring!AH12)</f>
        <v>OK</v>
      </c>
      <c r="H11" s="64" t="str">
        <f aca="false">IF(Scoring!AI12="","",Scoring!AI12)</f>
        <v>OK</v>
      </c>
      <c r="I11" s="64" t="str">
        <f aca="false">IF(Scoring!AJ12="","",Scoring!AJ12)</f>
        <v>OK</v>
      </c>
      <c r="J11" s="64" t="str">
        <f aca="false">IF(Scoring!AK12="","",Scoring!AK12)</f>
        <v>OK</v>
      </c>
    </row>
    <row r="12" customFormat="false" ht="15" hidden="false" customHeight="true" outlineLevel="0" collapsed="false">
      <c r="A12" s="92" t="str">
        <f aca="false">IF(Scoring!A13="","",Scoring!A13)</f>
        <v>ANET</v>
      </c>
      <c r="B12" s="93" t="str">
        <f aca="false">IF(Scoring!B13="","",Scoring!B13)</f>
        <v>Arista Networks</v>
      </c>
      <c r="C12" s="94" t="n">
        <f aca="false">IF(Scoring!C13="","",Scoring!C13)</f>
        <v>46295</v>
      </c>
      <c r="D12" s="95" t="n">
        <f aca="false">IF(Scoring!N13="","",Scoring!N13)</f>
        <v>4.28571428571429</v>
      </c>
      <c r="E12" s="96" t="n">
        <f aca="false">IF(Scoring!AF13="","",Scoring!AF13)</f>
        <v>81</v>
      </c>
      <c r="F12" s="64" t="str">
        <f aca="false">IF(Scoring!AG13&lt;&gt;"",Scoring!AG13,IF(Scoring!AH13="OK","PENDING",""))</f>
        <v>STRONG BUY</v>
      </c>
      <c r="G12" s="64" t="str">
        <f aca="false">IF(Scoring!AH13="","",Scoring!AH13)</f>
        <v>OK</v>
      </c>
      <c r="H12" s="64" t="str">
        <f aca="false">IF(Scoring!AI13="","",Scoring!AI13)</f>
        <v>OK</v>
      </c>
      <c r="I12" s="64" t="str">
        <f aca="false">IF(Scoring!AJ13="","",Scoring!AJ13)</f>
        <v>OK</v>
      </c>
      <c r="J12" s="64" t="str">
        <f aca="false">IF(Scoring!AK13="","",Scoring!AK13)</f>
        <v>OK</v>
      </c>
    </row>
    <row r="13" customFormat="false" ht="15" hidden="false" customHeight="true" outlineLevel="0" collapsed="false">
      <c r="A13" s="92" t="str">
        <f aca="false">IF(Scoring!A14="","",Scoring!A14)</f>
        <v>ASML</v>
      </c>
      <c r="B13" s="93" t="str">
        <f aca="false">IF(Scoring!B14="","",Scoring!B14)</f>
        <v>ASML Holding</v>
      </c>
      <c r="C13" s="94" t="n">
        <f aca="false">IF(Scoring!C14="","",Scoring!C14)</f>
        <v>46295</v>
      </c>
      <c r="D13" s="95" t="n">
        <f aca="false">IF(Scoring!N14="","",Scoring!N14)</f>
        <v>3.85714285714286</v>
      </c>
      <c r="E13" s="96" t="n">
        <f aca="false">IF(Scoring!AF14="","",Scoring!AF14)</f>
        <v>77.2</v>
      </c>
      <c r="F13" s="64" t="str">
        <f aca="false">IF(Scoring!AG14&lt;&gt;"",Scoring!AG14,IF(Scoring!AH14="OK","PENDING",""))</f>
        <v>BUY</v>
      </c>
      <c r="G13" s="64" t="str">
        <f aca="false">IF(Scoring!AH14="","",Scoring!AH14)</f>
        <v>OK</v>
      </c>
      <c r="H13" s="64" t="str">
        <f aca="false">IF(Scoring!AI14="","",Scoring!AI14)</f>
        <v>OK</v>
      </c>
      <c r="I13" s="64" t="str">
        <f aca="false">IF(Scoring!AJ14="","",Scoring!AJ14)</f>
        <v>OK</v>
      </c>
      <c r="J13" s="64" t="str">
        <f aca="false">IF(Scoring!AK14="","",Scoring!AK14)</f>
        <v>OK</v>
      </c>
    </row>
    <row r="14" customFormat="false" ht="15" hidden="false" customHeight="true" outlineLevel="0" collapsed="false">
      <c r="A14" s="92" t="str">
        <f aca="false">IF(Scoring!A15="","",Scoring!A15)</f>
        <v>CRWD</v>
      </c>
      <c r="B14" s="93" t="str">
        <f aca="false">IF(Scoring!B15="","",Scoring!B15)</f>
        <v>CrowdStrike Holdings</v>
      </c>
      <c r="C14" s="94" t="n">
        <f aca="false">IF(Scoring!C15="","",Scoring!C15)</f>
        <v>46295</v>
      </c>
      <c r="D14" s="95" t="n">
        <f aca="false">IF(Scoring!N15="","",Scoring!N15)</f>
        <v>3.5</v>
      </c>
      <c r="E14" s="96" t="n">
        <f aca="false">IF(Scoring!AF15="","",Scoring!AF15)</f>
        <v>63.4</v>
      </c>
      <c r="F14" s="64" t="str">
        <f aca="false">IF(Scoring!AG15&lt;&gt;"",Scoring!AG15,IF(Scoring!AH15="OK","PENDING",""))</f>
        <v>WATCH LIST</v>
      </c>
      <c r="G14" s="64" t="str">
        <f aca="false">IF(Scoring!AH15="","",Scoring!AH15)</f>
        <v>OK</v>
      </c>
      <c r="H14" s="64" t="str">
        <f aca="false">IF(Scoring!AI15="","",Scoring!AI15)</f>
        <v>OK</v>
      </c>
      <c r="I14" s="64" t="str">
        <f aca="false">IF(Scoring!AJ15="","",Scoring!AJ15)</f>
        <v>AVOID</v>
      </c>
      <c r="J14" s="64" t="str">
        <f aca="false">IF(Scoring!AK15="","",Scoring!AK15)</f>
        <v>OK</v>
      </c>
    </row>
    <row r="15" customFormat="false" ht="15" hidden="false" customHeight="true" outlineLevel="0" collapsed="false">
      <c r="A15" s="92" t="str">
        <f aca="false">IF(Scoring!A16="","",Scoring!A16)</f>
        <v>KLAC</v>
      </c>
      <c r="B15" s="93" t="str">
        <f aca="false">IF(Scoring!B16="","",Scoring!B16)</f>
        <v>KLA Corporation</v>
      </c>
      <c r="C15" s="94" t="n">
        <f aca="false">IF(Scoring!C16="","",Scoring!C16)</f>
        <v>46295</v>
      </c>
      <c r="D15" s="95" t="n">
        <f aca="false">IF(Scoring!N16="","",Scoring!N16)</f>
        <v>3.71428571428572</v>
      </c>
      <c r="E15" s="96" t="n">
        <f aca="false">IF(Scoring!AF16="","",Scoring!AF16)</f>
        <v>72.6</v>
      </c>
      <c r="F15" s="64" t="str">
        <f aca="false">IF(Scoring!AG16&lt;&gt;"",Scoring!AG16,IF(Scoring!AH16="OK","PENDING",""))</f>
        <v>BUY</v>
      </c>
      <c r="G15" s="64" t="str">
        <f aca="false">IF(Scoring!AH16="","",Scoring!AH16)</f>
        <v>OK</v>
      </c>
      <c r="H15" s="64" t="str">
        <f aca="false">IF(Scoring!AI16="","",Scoring!AI16)</f>
        <v>OK</v>
      </c>
      <c r="I15" s="64" t="str">
        <f aca="false">IF(Scoring!AJ16="","",Scoring!AJ16)</f>
        <v>OK</v>
      </c>
      <c r="J15" s="64" t="str">
        <f aca="false">IF(Scoring!AK16="","",Scoring!AK16)</f>
        <v>OK</v>
      </c>
    </row>
    <row r="16" customFormat="false" ht="15" hidden="false" customHeight="true" outlineLevel="0" collapsed="false">
      <c r="A16" s="92" t="str">
        <f aca="false">IF(Scoring!A17="","",Scoring!A17)</f>
        <v>TSM</v>
      </c>
      <c r="B16" s="93" t="str">
        <f aca="false">IF(Scoring!B17="","",Scoring!B17)</f>
        <v>Taiwan Semiconductor Mfg.</v>
      </c>
      <c r="C16" s="94" t="n">
        <f aca="false">IF(Scoring!C17="","",Scoring!C17)</f>
        <v>46295</v>
      </c>
      <c r="D16" s="95" t="n">
        <f aca="false">IF(Scoring!N17="","",Scoring!N17)</f>
        <v>4.21428571428571</v>
      </c>
      <c r="E16" s="96" t="n">
        <f aca="false">IF(Scoring!AF17="","",Scoring!AF17)</f>
        <v>84</v>
      </c>
      <c r="F16" s="64" t="str">
        <f aca="false">IF(Scoring!AG17&lt;&gt;"",Scoring!AG17,IF(Scoring!AH17="OK","PENDING",""))</f>
        <v>STRONG BUY</v>
      </c>
      <c r="G16" s="64" t="str">
        <f aca="false">IF(Scoring!AH17="","",Scoring!AH17)</f>
        <v>OK</v>
      </c>
      <c r="H16" s="64" t="str">
        <f aca="false">IF(Scoring!AI17="","",Scoring!AI17)</f>
        <v>OK</v>
      </c>
      <c r="I16" s="64" t="str">
        <f aca="false">IF(Scoring!AJ17="","",Scoring!AJ17)</f>
        <v>OK</v>
      </c>
      <c r="J16" s="64" t="str">
        <f aca="false">IF(Scoring!AK17="","",Scoring!AK17)</f>
        <v>OK</v>
      </c>
    </row>
    <row r="17" customFormat="false" ht="15" hidden="false" customHeight="true" outlineLevel="0" collapsed="false">
      <c r="A17" s="92" t="str">
        <f aca="false">IF(Scoring!A18="","",Scoring!A18)</f>
        <v>VRT</v>
      </c>
      <c r="B17" s="93" t="str">
        <f aca="false">IF(Scoring!B18="","",Scoring!B18)</f>
        <v>Vertiv Holdings</v>
      </c>
      <c r="C17" s="94" t="n">
        <f aca="false">IF(Scoring!C18="","",Scoring!C18)</f>
        <v>46295</v>
      </c>
      <c r="D17" s="95" t="n">
        <f aca="false">IF(Scoring!N18="","",Scoring!N18)</f>
        <v>3.92857142857143</v>
      </c>
      <c r="E17" s="96" t="n">
        <f aca="false">IF(Scoring!AF18="","",Scoring!AF18)</f>
        <v>76.8</v>
      </c>
      <c r="F17" s="64" t="str">
        <f aca="false">IF(Scoring!AG18&lt;&gt;"",Scoring!AG18,IF(Scoring!AH18="OK","PENDING",""))</f>
        <v>BUY</v>
      </c>
      <c r="G17" s="64" t="str">
        <f aca="false">IF(Scoring!AH18="","",Scoring!AH18)</f>
        <v>OK</v>
      </c>
      <c r="H17" s="64" t="str">
        <f aca="false">IF(Scoring!AI18="","",Scoring!AI18)</f>
        <v>OK</v>
      </c>
      <c r="I17" s="64" t="str">
        <f aca="false">IF(Scoring!AJ18="","",Scoring!AJ18)</f>
        <v>OK</v>
      </c>
      <c r="J17" s="64" t="str">
        <f aca="false">IF(Scoring!AK18="","",Scoring!AK18)</f>
        <v>OK</v>
      </c>
    </row>
    <row r="18" customFormat="false" ht="15" hidden="false" customHeight="true" outlineLevel="0" collapsed="false">
      <c r="A18" s="92" t="str">
        <f aca="false">IF(Scoring!A19="","",Scoring!A19)</f>
        <v>COST</v>
      </c>
      <c r="B18" s="93" t="str">
        <f aca="false">IF(Scoring!B19="","",Scoring!B19)</f>
        <v>Costco Wholesale Corp.</v>
      </c>
      <c r="C18" s="94" t="n">
        <f aca="false">IF(Scoring!C19="","",Scoring!C19)</f>
        <v>46245</v>
      </c>
      <c r="D18" s="95" t="n">
        <f aca="false">IF(Scoring!N19="","",Scoring!N19)</f>
        <v>4.14285714285714</v>
      </c>
      <c r="E18" s="96" t="n">
        <f aca="false">IF(Scoring!AF19="","",Scoring!AF19)</f>
        <v>77.4</v>
      </c>
      <c r="F18" s="64" t="str">
        <f aca="false">IF(Scoring!AG19&lt;&gt;"",Scoring!AG19,IF(Scoring!AH19="OK","PENDING",""))</f>
        <v>BUY</v>
      </c>
      <c r="G18" s="64" t="str">
        <f aca="false">IF(Scoring!AH19="","",Scoring!AH19)</f>
        <v>OK</v>
      </c>
      <c r="H18" s="64" t="str">
        <f aca="false">IF(Scoring!AI19="","",Scoring!AI19)</f>
        <v>OK</v>
      </c>
      <c r="I18" s="64" t="str">
        <f aca="false">IF(Scoring!AJ19="","",Scoring!AJ19)</f>
        <v>OK</v>
      </c>
      <c r="J18" s="64" t="str">
        <f aca="false">IF(Scoring!AK19="","",Scoring!AK19)</f>
        <v>OK</v>
      </c>
    </row>
    <row r="19" customFormat="false" ht="15" hidden="false" customHeight="true" outlineLevel="0" collapsed="false">
      <c r="A19" s="92" t="str">
        <f aca="false">IF(Scoring!A20="","",Scoring!A20)</f>
        <v>V</v>
      </c>
      <c r="B19" s="93" t="str">
        <f aca="false">IF(Scoring!B20="","",Scoring!B20)</f>
        <v>Visa Inc.</v>
      </c>
      <c r="C19" s="94" t="n">
        <f aca="false">IF(Scoring!C20="","",Scoring!C20)</f>
        <v>46295</v>
      </c>
      <c r="D19" s="95" t="n">
        <f aca="false">IF(Scoring!N20="","",Scoring!N20)</f>
        <v>3.64285714285714</v>
      </c>
      <c r="E19" s="96" t="n">
        <f aca="false">IF(Scoring!AF20="","",Scoring!AF20)</f>
        <v>73.4</v>
      </c>
      <c r="F19" s="64" t="str">
        <f aca="false">IF(Scoring!AG20&lt;&gt;"",Scoring!AG20,IF(Scoring!AH20="OK","PENDING",""))</f>
        <v>BUY</v>
      </c>
      <c r="G19" s="64" t="str">
        <f aca="false">IF(Scoring!AH20="","",Scoring!AH20)</f>
        <v>OK</v>
      </c>
      <c r="H19" s="64" t="str">
        <f aca="false">IF(Scoring!AI20="","",Scoring!AI20)</f>
        <v>OK</v>
      </c>
      <c r="I19" s="64" t="str">
        <f aca="false">IF(Scoring!AJ20="","",Scoring!AJ20)</f>
        <v>OK</v>
      </c>
      <c r="J19" s="64" t="str">
        <f aca="false">IF(Scoring!AK20="","",Scoring!AK20)</f>
        <v>OK</v>
      </c>
    </row>
    <row r="20" customFormat="false" ht="15" hidden="true" customHeight="true" outlineLevel="1" collapsed="false">
      <c r="A20" s="92" t="str">
        <f aca="false">IF(Scoring!A21="","",Scoring!A21)</f>
        <v>NEE</v>
      </c>
      <c r="B20" s="93" t="str">
        <f aca="false">IF(Scoring!B21="","",Scoring!B21)</f>
        <v>NextEra Energy Inc.</v>
      </c>
      <c r="C20" s="94" t="n">
        <f aca="false">IF(Scoring!C21="","",Scoring!C21)</f>
        <v>46245</v>
      </c>
      <c r="D20" s="95" t="n">
        <f aca="false">IF(Scoring!N21="","",Scoring!N21)</f>
        <v>2.5</v>
      </c>
      <c r="E20" s="96" t="str">
        <f aca="false">IF(Scoring!AF21="","",Scoring!AF21)</f>
        <v/>
      </c>
      <c r="F20" s="64" t="str">
        <f aca="false">IF(Scoring!AG21&lt;&gt;"",Scoring!AG21,IF(Scoring!AH21="OK","PENDING",""))</f>
        <v/>
      </c>
      <c r="G20" s="64" t="str">
        <f aca="false">IF(Scoring!AH21="","",Scoring!AH21)</f>
        <v>FAIL</v>
      </c>
      <c r="H20" s="64" t="str">
        <f aca="false">IF(Scoring!AI21="","",Scoring!AI21)</f>
        <v>REVIEW</v>
      </c>
      <c r="I20" s="64" t="str">
        <f aca="false">IF(Scoring!AJ21="","",Scoring!AJ21)</f>
        <v>AVOID</v>
      </c>
      <c r="J20" s="64" t="str">
        <f aca="false">IF(Scoring!AK21="","",Scoring!AK21)</f>
        <v>OK</v>
      </c>
    </row>
    <row r="21" customFormat="false" ht="15" hidden="true" customHeight="true" outlineLevel="1" collapsed="false">
      <c r="A21" s="92" t="str">
        <f aca="false">IF(Scoring!A22="","",Scoring!A22)</f>
        <v>CRK</v>
      </c>
      <c r="B21" s="93" t="str">
        <f aca="false">IF(Scoring!B22="","",Scoring!B22)</f>
        <v>Comstock Resources Inc.</v>
      </c>
      <c r="C21" s="94" t="n">
        <f aca="false">IF(Scoring!C22="","",Scoring!C22)</f>
        <v>46245</v>
      </c>
      <c r="D21" s="95" t="n">
        <f aca="false">IF(Scoring!N22="","",Scoring!N22)</f>
        <v>1.21428571428571</v>
      </c>
      <c r="E21" s="96" t="str">
        <f aca="false">IF(Scoring!AF22="","",Scoring!AF22)</f>
        <v/>
      </c>
      <c r="F21" s="64" t="str">
        <f aca="false">IF(Scoring!AG22&lt;&gt;"",Scoring!AG22,IF(Scoring!AH22="OK","PENDING",""))</f>
        <v/>
      </c>
      <c r="G21" s="64" t="str">
        <f aca="false">IF(Scoring!AH22="","",Scoring!AH22)</f>
        <v>FAIL</v>
      </c>
      <c r="H21" s="64" t="str">
        <f aca="false">IF(Scoring!AI22="","",Scoring!AI22)</f>
        <v>REVIEW</v>
      </c>
      <c r="I21" s="64" t="str">
        <f aca="false">IF(Scoring!AJ22="","",Scoring!AJ22)</f>
        <v>AVOID</v>
      </c>
      <c r="J21" s="64" t="str">
        <f aca="false">IF(Scoring!AK22="","",Scoring!AK22)</f>
        <v>OK</v>
      </c>
    </row>
    <row r="22" customFormat="false" ht="15" hidden="false" customHeight="true" outlineLevel="0" collapsed="false">
      <c r="A22" s="92" t="str">
        <f aca="false">IF(Scoring!A23="","",Scoring!A23)</f>
        <v>ET</v>
      </c>
      <c r="B22" s="93" t="str">
        <f aca="false">IF(Scoring!B23="","",Scoring!B23)</f>
        <v>Energy Transfer LP</v>
      </c>
      <c r="C22" s="94" t="n">
        <f aca="false">IF(Scoring!C23="","",Scoring!C23)</f>
        <v>46276</v>
      </c>
      <c r="D22" s="95" t="n">
        <f aca="false">IF(Scoring!N23="","",Scoring!N23)</f>
        <v>3.07142857142857</v>
      </c>
      <c r="E22" s="96" t="str">
        <f aca="false">IF(Scoring!AF23="","",Scoring!AF23)</f>
        <v/>
      </c>
      <c r="F22" s="64" t="str">
        <f aca="false">IF(Scoring!AG23&lt;&gt;"",Scoring!AG23,IF(Scoring!AH23="OK","PENDING",""))</f>
        <v>PENDING</v>
      </c>
      <c r="G22" s="64" t="str">
        <f aca="false">IF(Scoring!AH23="","",Scoring!AH23)</f>
        <v>OK</v>
      </c>
      <c r="H22" s="64" t="str">
        <f aca="false">IF(Scoring!AI23="","",Scoring!AI23)</f>
        <v>REVIEW</v>
      </c>
      <c r="I22" s="64" t="str">
        <f aca="false">IF(Scoring!AJ23="","",Scoring!AJ23)</f>
        <v>AVOID</v>
      </c>
      <c r="J22" s="64" t="str">
        <f aca="false">IF(Scoring!AK23="","",Scoring!AK23)</f>
        <v>OK</v>
      </c>
    </row>
    <row r="23" customFormat="false" ht="15" hidden="true" customHeight="true" outlineLevel="1" collapsed="false">
      <c r="A23" s="92" t="str">
        <f aca="false">IF(Scoring!A24="","",Scoring!A24)</f>
        <v>LBRT</v>
      </c>
      <c r="B23" s="93" t="str">
        <f aca="false">IF(Scoring!B24="","",Scoring!B24)</f>
        <v>Liberty Energy Inc.</v>
      </c>
      <c r="C23" s="94" t="n">
        <f aca="false">IF(Scoring!C24="","",Scoring!C24)</f>
        <v>46245</v>
      </c>
      <c r="D23" s="95" t="n">
        <f aca="false">IF(Scoring!N24="","",Scoring!N24)</f>
        <v>2.07142857142857</v>
      </c>
      <c r="E23" s="96" t="str">
        <f aca="false">IF(Scoring!AF24="","",Scoring!AF24)</f>
        <v/>
      </c>
      <c r="F23" s="64" t="str">
        <f aca="false">IF(Scoring!AG24&lt;&gt;"",Scoring!AG24,IF(Scoring!AH24="OK","PENDING",""))</f>
        <v/>
      </c>
      <c r="G23" s="64" t="str">
        <f aca="false">IF(Scoring!AH24="","",Scoring!AH24)</f>
        <v>FAIL</v>
      </c>
      <c r="H23" s="64" t="str">
        <f aca="false">IF(Scoring!AI24="","",Scoring!AI24)</f>
        <v>REVIEW</v>
      </c>
      <c r="I23" s="64" t="str">
        <f aca="false">IF(Scoring!AJ24="","",Scoring!AJ24)</f>
        <v>AVOID</v>
      </c>
      <c r="J23" s="64" t="str">
        <f aca="false">IF(Scoring!AK24="","",Scoring!AK24)</f>
        <v>OK</v>
      </c>
    </row>
    <row r="24" customFormat="false" ht="15" hidden="true" customHeight="true" outlineLevel="1" collapsed="false">
      <c r="A24" s="92" t="str">
        <f aca="false">IF(Scoring!A25="","",Scoring!A25)</f>
        <v>NOV</v>
      </c>
      <c r="B24" s="93" t="str">
        <f aca="false">IF(Scoring!B25="","",Scoring!B25)</f>
        <v>NOV Inc.</v>
      </c>
      <c r="C24" s="94" t="n">
        <f aca="false">IF(Scoring!C25="","",Scoring!C25)</f>
        <v>46245</v>
      </c>
      <c r="D24" s="95" t="n">
        <f aca="false">IF(Scoring!N25="","",Scoring!N25)</f>
        <v>2.64285714285714</v>
      </c>
      <c r="E24" s="96" t="str">
        <f aca="false">IF(Scoring!AF25="","",Scoring!AF25)</f>
        <v/>
      </c>
      <c r="F24" s="64" t="str">
        <f aca="false">IF(Scoring!AG25&lt;&gt;"",Scoring!AG25,IF(Scoring!AH25="OK","PENDING",""))</f>
        <v/>
      </c>
      <c r="G24" s="64" t="str">
        <f aca="false">IF(Scoring!AH25="","",Scoring!AH25)</f>
        <v>FAIL</v>
      </c>
      <c r="H24" s="64" t="str">
        <f aca="false">IF(Scoring!AI25="","",Scoring!AI25)</f>
        <v>OK</v>
      </c>
      <c r="I24" s="64" t="str">
        <f aca="false">IF(Scoring!AJ25="","",Scoring!AJ25)</f>
        <v>AVOID</v>
      </c>
      <c r="J24" s="64" t="str">
        <f aca="false">IF(Scoring!AK25="","",Scoring!AK25)</f>
        <v>OK</v>
      </c>
    </row>
    <row r="25" customFormat="false" ht="15" hidden="true" customHeight="true" outlineLevel="1" collapsed="false">
      <c r="A25" s="92" t="str">
        <f aca="false">IF(Scoring!A26="","",Scoring!A26)</f>
        <v>CE</v>
      </c>
      <c r="B25" s="93" t="str">
        <f aca="false">IF(Scoring!B26="","",Scoring!B26)</f>
        <v>Celanese Corp.</v>
      </c>
      <c r="C25" s="94" t="n">
        <f aca="false">IF(Scoring!C26="","",Scoring!C26)</f>
        <v>46245</v>
      </c>
      <c r="D25" s="95" t="n">
        <f aca="false">IF(Scoring!N26="","",Scoring!N26)</f>
        <v>1.78571428571429</v>
      </c>
      <c r="E25" s="96" t="str">
        <f aca="false">IF(Scoring!AF26="","",Scoring!AF26)</f>
        <v/>
      </c>
      <c r="F25" s="64" t="str">
        <f aca="false">IF(Scoring!AG26&lt;&gt;"",Scoring!AG26,IF(Scoring!AH26="OK","PENDING",""))</f>
        <v/>
      </c>
      <c r="G25" s="64" t="str">
        <f aca="false">IF(Scoring!AH26="","",Scoring!AH26)</f>
        <v>FAIL</v>
      </c>
      <c r="H25" s="64" t="str">
        <f aca="false">IF(Scoring!AI26="","",Scoring!AI26)</f>
        <v>REVIEW</v>
      </c>
      <c r="I25" s="64" t="str">
        <f aca="false">IF(Scoring!AJ26="","",Scoring!AJ26)</f>
        <v>AVOID</v>
      </c>
      <c r="J25" s="64" t="str">
        <f aca="false">IF(Scoring!AK26="","",Scoring!AK26)</f>
        <v>OK</v>
      </c>
    </row>
    <row r="26" customFormat="false" ht="15" hidden="true" customHeight="true" outlineLevel="1" collapsed="false">
      <c r="A26" s="92" t="str">
        <f aca="false">IF(Scoring!A27="","",Scoring!A27)</f>
        <v>CLF</v>
      </c>
      <c r="B26" s="93" t="str">
        <f aca="false">IF(Scoring!B27="","",Scoring!B27)</f>
        <v>Cleveland-Cliffs Inc.</v>
      </c>
      <c r="C26" s="94" t="n">
        <f aca="false">IF(Scoring!C27="","",Scoring!C27)</f>
        <v>46245</v>
      </c>
      <c r="D26" s="95" t="n">
        <f aca="false">IF(Scoring!N27="","",Scoring!N27)</f>
        <v>1.85714285714286</v>
      </c>
      <c r="E26" s="96" t="str">
        <f aca="false">IF(Scoring!AF27="","",Scoring!AF27)</f>
        <v/>
      </c>
      <c r="F26" s="64" t="str">
        <f aca="false">IF(Scoring!AG27&lt;&gt;"",Scoring!AG27,IF(Scoring!AH27="OK","PENDING",""))</f>
        <v/>
      </c>
      <c r="G26" s="64" t="str">
        <f aca="false">IF(Scoring!AH27="","",Scoring!AH27)</f>
        <v>FAIL</v>
      </c>
      <c r="H26" s="64" t="str">
        <f aca="false">IF(Scoring!AI27="","",Scoring!AI27)</f>
        <v>REVIEW</v>
      </c>
      <c r="I26" s="64" t="str">
        <f aca="false">IF(Scoring!AJ27="","",Scoring!AJ27)</f>
        <v>AVOID</v>
      </c>
      <c r="J26" s="64" t="str">
        <f aca="false">IF(Scoring!AK27="","",Scoring!AK27)</f>
        <v>OK</v>
      </c>
    </row>
    <row r="27" customFormat="false" ht="15" hidden="false" customHeight="true" outlineLevel="0" collapsed="false">
      <c r="A27" s="92" t="str">
        <f aca="false">IF(Scoring!A28="","",Scoring!A28)</f>
        <v>LIN</v>
      </c>
      <c r="B27" s="93" t="str">
        <f aca="false">IF(Scoring!B28="","",Scoring!B28)</f>
        <v>Linde plc</v>
      </c>
      <c r="C27" s="94" t="n">
        <f aca="false">IF(Scoring!C28="","",Scoring!C28)</f>
        <v>46276</v>
      </c>
      <c r="D27" s="95" t="n">
        <f aca="false">IF(Scoring!N28="","",Scoring!N28)</f>
        <v>3.07142857142857</v>
      </c>
      <c r="E27" s="96" t="str">
        <f aca="false">IF(Scoring!AF28="","",Scoring!AF28)</f>
        <v/>
      </c>
      <c r="F27" s="64" t="str">
        <f aca="false">IF(Scoring!AG28&lt;&gt;"",Scoring!AG28,IF(Scoring!AH28="OK","PENDING",""))</f>
        <v>PENDING</v>
      </c>
      <c r="G27" s="64" t="str">
        <f aca="false">IF(Scoring!AH28="","",Scoring!AH28)</f>
        <v>OK</v>
      </c>
      <c r="H27" s="64" t="str">
        <f aca="false">IF(Scoring!AI28="","",Scoring!AI28)</f>
        <v>OK</v>
      </c>
      <c r="I27" s="64" t="str">
        <f aca="false">IF(Scoring!AJ28="","",Scoring!AJ28)</f>
        <v>AVOID</v>
      </c>
      <c r="J27" s="64" t="str">
        <f aca="false">IF(Scoring!AK28="","",Scoring!AK28)</f>
        <v>OK</v>
      </c>
    </row>
    <row r="28" customFormat="false" ht="15" hidden="true" customHeight="true" outlineLevel="1" collapsed="false">
      <c r="A28" s="92" t="str">
        <f aca="false">IF(Scoring!A29="","",Scoring!A29)</f>
        <v>DEO</v>
      </c>
      <c r="B28" s="93" t="str">
        <f aca="false">IF(Scoring!B29="","",Scoring!B29)</f>
        <v>Diageo plc</v>
      </c>
      <c r="C28" s="94" t="n">
        <f aca="false">IF(Scoring!C29="","",Scoring!C29)</f>
        <v>46245</v>
      </c>
      <c r="D28" s="95" t="n">
        <f aca="false">IF(Scoring!N29="","",Scoring!N29)</f>
        <v>2.35714285714286</v>
      </c>
      <c r="E28" s="96" t="str">
        <f aca="false">IF(Scoring!AF29="","",Scoring!AF29)</f>
        <v/>
      </c>
      <c r="F28" s="64" t="str">
        <f aca="false">IF(Scoring!AG29&lt;&gt;"",Scoring!AG29,IF(Scoring!AH29="OK","PENDING",""))</f>
        <v/>
      </c>
      <c r="G28" s="64" t="str">
        <f aca="false">IF(Scoring!AH29="","",Scoring!AH29)</f>
        <v>FAIL</v>
      </c>
      <c r="H28" s="64" t="str">
        <f aca="false">IF(Scoring!AI29="","",Scoring!AI29)</f>
        <v>OK</v>
      </c>
      <c r="I28" s="64" t="str">
        <f aca="false">IF(Scoring!AJ29="","",Scoring!AJ29)</f>
        <v>AVOID</v>
      </c>
      <c r="J28" s="64" t="str">
        <f aca="false">IF(Scoring!AK29="","",Scoring!AK29)</f>
        <v>OK</v>
      </c>
    </row>
    <row r="29" customFormat="false" ht="15" hidden="true" customHeight="true" outlineLevel="1" collapsed="false">
      <c r="A29" s="92" t="str">
        <f aca="false">IF(Scoring!A30="","",Scoring!A30)</f>
        <v>EL</v>
      </c>
      <c r="B29" s="93" t="str">
        <f aca="false">IF(Scoring!B30="","",Scoring!B30)</f>
        <v>Estee Lauder Companies</v>
      </c>
      <c r="C29" s="94" t="n">
        <f aca="false">IF(Scoring!C30="","",Scoring!C30)</f>
        <v>46245</v>
      </c>
      <c r="D29" s="95" t="n">
        <f aca="false">IF(Scoring!N30="","",Scoring!N30)</f>
        <v>2.14285714285714</v>
      </c>
      <c r="E29" s="96" t="str">
        <f aca="false">IF(Scoring!AF30="","",Scoring!AF30)</f>
        <v/>
      </c>
      <c r="F29" s="64" t="str">
        <f aca="false">IF(Scoring!AG30&lt;&gt;"",Scoring!AG30,IF(Scoring!AH30="OK","PENDING",""))</f>
        <v/>
      </c>
      <c r="G29" s="64" t="str">
        <f aca="false">IF(Scoring!AH30="","",Scoring!AH30)</f>
        <v>FAIL</v>
      </c>
      <c r="H29" s="64" t="str">
        <f aca="false">IF(Scoring!AI30="","",Scoring!AI30)</f>
        <v>REVIEW</v>
      </c>
      <c r="I29" s="64" t="str">
        <f aca="false">IF(Scoring!AJ30="","",Scoring!AJ30)</f>
        <v>AVOID</v>
      </c>
      <c r="J29" s="64" t="str">
        <f aca="false">IF(Scoring!AK30="","",Scoring!AK30)</f>
        <v>OK</v>
      </c>
    </row>
    <row r="30" customFormat="false" ht="15" hidden="true" customHeight="true" outlineLevel="1" collapsed="false">
      <c r="A30" s="92" t="str">
        <f aca="false">IF(Scoring!A31="","",Scoring!A31)</f>
        <v>HRL</v>
      </c>
      <c r="B30" s="93" t="str">
        <f aca="false">IF(Scoring!B31="","",Scoring!B31)</f>
        <v>Hormel Foods Corp.</v>
      </c>
      <c r="C30" s="94" t="n">
        <f aca="false">IF(Scoring!C31="","",Scoring!C31)</f>
        <v>46245</v>
      </c>
      <c r="D30" s="95" t="n">
        <f aca="false">IF(Scoring!N31="","",Scoring!N31)</f>
        <v>1.92857142857143</v>
      </c>
      <c r="E30" s="96" t="str">
        <f aca="false">IF(Scoring!AF31="","",Scoring!AF31)</f>
        <v/>
      </c>
      <c r="F30" s="64" t="str">
        <f aca="false">IF(Scoring!AG31&lt;&gt;"",Scoring!AG31,IF(Scoring!AH31="OK","PENDING",""))</f>
        <v/>
      </c>
      <c r="G30" s="64" t="str">
        <f aca="false">IF(Scoring!AH31="","",Scoring!AH31)</f>
        <v>FAIL</v>
      </c>
      <c r="H30" s="64" t="str">
        <f aca="false">IF(Scoring!AI31="","",Scoring!AI31)</f>
        <v>REVIEW</v>
      </c>
      <c r="I30" s="64" t="str">
        <f aca="false">IF(Scoring!AJ31="","",Scoring!AJ31)</f>
        <v>AVOID</v>
      </c>
      <c r="J30" s="64" t="str">
        <f aca="false">IF(Scoring!AK31="","",Scoring!AK31)</f>
        <v>OK</v>
      </c>
    </row>
    <row r="31" customFormat="false" ht="15" hidden="false" customHeight="true" outlineLevel="0" collapsed="false">
      <c r="A31" s="92" t="str">
        <f aca="false">IF(Scoring!A32="","",Scoring!A32)</f>
        <v>PG</v>
      </c>
      <c r="B31" s="93" t="str">
        <f aca="false">IF(Scoring!B32="","",Scoring!B32)</f>
        <v>Procter &amp; Gamble Co.</v>
      </c>
      <c r="C31" s="94" t="n">
        <f aca="false">IF(Scoring!C32="","",Scoring!C32)</f>
        <v>46295</v>
      </c>
      <c r="D31" s="95" t="n">
        <f aca="false">IF(Scoring!N32="","",Scoring!N32)</f>
        <v>4</v>
      </c>
      <c r="E31" s="96" t="str">
        <f aca="false">IF(Scoring!AF32="","",Scoring!AF32)</f>
        <v/>
      </c>
      <c r="F31" s="64" t="str">
        <f aca="false">IF(Scoring!AG32&lt;&gt;"",Scoring!AG32,IF(Scoring!AH32="OK","PENDING",""))</f>
        <v>PENDING</v>
      </c>
      <c r="G31" s="64" t="str">
        <f aca="false">IF(Scoring!AH32="","",Scoring!AH32)</f>
        <v>OK</v>
      </c>
      <c r="H31" s="64" t="str">
        <f aca="false">IF(Scoring!AI32="","",Scoring!AI32)</f>
        <v>OK</v>
      </c>
      <c r="I31" s="64" t="str">
        <f aca="false">IF(Scoring!AJ32="","",Scoring!AJ32)</f>
        <v>OK</v>
      </c>
      <c r="J31" s="64" t="str">
        <f aca="false">IF(Scoring!AK32="","",Scoring!AK32)</f>
        <v>OK</v>
      </c>
    </row>
    <row r="32" customFormat="false" ht="15" hidden="false" customHeight="true" outlineLevel="0" collapsed="false">
      <c r="A32" s="92" t="str">
        <f aca="false">IF(Scoring!A33="","",Scoring!A33)</f>
        <v>CMG</v>
      </c>
      <c r="B32" s="93" t="str">
        <f aca="false">IF(Scoring!B33="","",Scoring!B33)</f>
        <v>Chipotle Mexican Grill</v>
      </c>
      <c r="C32" s="94" t="n">
        <f aca="false">IF(Scoring!C33="","",Scoring!C33)</f>
        <v>46245</v>
      </c>
      <c r="D32" s="95" t="n">
        <f aca="false">IF(Scoring!N33="","",Scoring!N33)</f>
        <v>3.71428571428571</v>
      </c>
      <c r="E32" s="96" t="str">
        <f aca="false">IF(Scoring!AF33="","",Scoring!AF33)</f>
        <v/>
      </c>
      <c r="F32" s="64" t="str">
        <f aca="false">IF(Scoring!AG33&lt;&gt;"",Scoring!AG33,IF(Scoring!AH33="OK","PENDING",""))</f>
        <v>PENDING</v>
      </c>
      <c r="G32" s="64" t="str">
        <f aca="false">IF(Scoring!AH33="","",Scoring!AH33)</f>
        <v>OK</v>
      </c>
      <c r="H32" s="64" t="str">
        <f aca="false">IF(Scoring!AI33="","",Scoring!AI33)</f>
        <v>OK</v>
      </c>
      <c r="I32" s="64" t="str">
        <f aca="false">IF(Scoring!AJ33="","",Scoring!AJ33)</f>
        <v>OK</v>
      </c>
      <c r="J32" s="64" t="str">
        <f aca="false">IF(Scoring!AK33="","",Scoring!AK33)</f>
        <v>OK</v>
      </c>
    </row>
    <row r="33" customFormat="false" ht="15" hidden="false" customHeight="true" outlineLevel="0" collapsed="false">
      <c r="A33" s="92" t="str">
        <f aca="false">IF(Scoring!A34="","",Scoring!A34)</f>
        <v>DPZ</v>
      </c>
      <c r="B33" s="93" t="str">
        <f aca="false">IF(Scoring!B34="","",Scoring!B34)</f>
        <v>Domino's Pizza Inc.</v>
      </c>
      <c r="C33" s="94" t="n">
        <f aca="false">IF(Scoring!C34="","",Scoring!C34)</f>
        <v>46295</v>
      </c>
      <c r="D33" s="95" t="n">
        <f aca="false">IF(Scoring!N34="","",Scoring!N34)</f>
        <v>3.92857142857143</v>
      </c>
      <c r="E33" s="96" t="str">
        <f aca="false">IF(Scoring!AF34="","",Scoring!AF34)</f>
        <v/>
      </c>
      <c r="F33" s="64" t="str">
        <f aca="false">IF(Scoring!AG34&lt;&gt;"",Scoring!AG34,IF(Scoring!AH34="OK","PENDING",""))</f>
        <v>PENDING</v>
      </c>
      <c r="G33" s="64" t="str">
        <f aca="false">IF(Scoring!AH34="","",Scoring!AH34)</f>
        <v>OK</v>
      </c>
      <c r="H33" s="64" t="str">
        <f aca="false">IF(Scoring!AI34="","",Scoring!AI34)</f>
        <v>OK</v>
      </c>
      <c r="I33" s="64" t="str">
        <f aca="false">IF(Scoring!AJ34="","",Scoring!AJ34)</f>
        <v>OK</v>
      </c>
      <c r="J33" s="64" t="str">
        <f aca="false">IF(Scoring!AK34="","",Scoring!AK34)</f>
        <v>OK</v>
      </c>
    </row>
    <row r="34" customFormat="false" ht="15" hidden="true" customHeight="true" outlineLevel="1" collapsed="false">
      <c r="A34" s="92" t="str">
        <f aca="false">IF(Scoring!A35="","",Scoring!A35)</f>
        <v>PZZA</v>
      </c>
      <c r="B34" s="93" t="str">
        <f aca="false">IF(Scoring!B35="","",Scoring!B35)</f>
        <v>Papa John's Intl.</v>
      </c>
      <c r="C34" s="94" t="n">
        <f aca="false">IF(Scoring!C35="","",Scoring!C35)</f>
        <v>46245</v>
      </c>
      <c r="D34" s="95" t="n">
        <f aca="false">IF(Scoring!N35="","",Scoring!N35)</f>
        <v>1.35714285714286</v>
      </c>
      <c r="E34" s="96" t="str">
        <f aca="false">IF(Scoring!AF35="","",Scoring!AF35)</f>
        <v/>
      </c>
      <c r="F34" s="64" t="str">
        <f aca="false">IF(Scoring!AG35&lt;&gt;"",Scoring!AG35,IF(Scoring!AH35="OK","PENDING",""))</f>
        <v/>
      </c>
      <c r="G34" s="64" t="str">
        <f aca="false">IF(Scoring!AH35="","",Scoring!AH35)</f>
        <v>FAIL</v>
      </c>
      <c r="H34" s="64" t="str">
        <f aca="false">IF(Scoring!AI35="","",Scoring!AI35)</f>
        <v>REVIEW</v>
      </c>
      <c r="I34" s="64" t="str">
        <f aca="false">IF(Scoring!AJ35="","",Scoring!AJ35)</f>
        <v>AVOID</v>
      </c>
      <c r="J34" s="64" t="str">
        <f aca="false">IF(Scoring!AK35="","",Scoring!AK35)</f>
        <v>OK</v>
      </c>
    </row>
    <row r="35" customFormat="false" ht="15" hidden="false" customHeight="true" outlineLevel="0" collapsed="false">
      <c r="A35" s="92" t="str">
        <f aca="false">IF(Scoring!A36="","",Scoring!A36)</f>
        <v>YUM</v>
      </c>
      <c r="B35" s="93" t="str">
        <f aca="false">IF(Scoring!B36="","",Scoring!B36)</f>
        <v>Yum! Brands Inc.</v>
      </c>
      <c r="C35" s="94" t="n">
        <f aca="false">IF(Scoring!C36="","",Scoring!C36)</f>
        <v>46295</v>
      </c>
      <c r="D35" s="95" t="n">
        <f aca="false">IF(Scoring!N36="","",Scoring!N36)</f>
        <v>3.78571428571429</v>
      </c>
      <c r="E35" s="96" t="str">
        <f aca="false">IF(Scoring!AF36="","",Scoring!AF36)</f>
        <v/>
      </c>
      <c r="F35" s="64" t="str">
        <f aca="false">IF(Scoring!AG36&lt;&gt;"",Scoring!AG36,IF(Scoring!AH36="OK","PENDING",""))</f>
        <v>PENDING</v>
      </c>
      <c r="G35" s="64" t="str">
        <f aca="false">IF(Scoring!AH36="","",Scoring!AH36)</f>
        <v>OK</v>
      </c>
      <c r="H35" s="64" t="str">
        <f aca="false">IF(Scoring!AI36="","",Scoring!AI36)</f>
        <v>OK</v>
      </c>
      <c r="I35" s="64" t="str">
        <f aca="false">IF(Scoring!AJ36="","",Scoring!AJ36)</f>
        <v>OK</v>
      </c>
      <c r="J35" s="64" t="str">
        <f aca="false">IF(Scoring!AK36="","",Scoring!AK36)</f>
        <v>OK</v>
      </c>
    </row>
    <row r="36" customFormat="false" ht="15" hidden="true" customHeight="true" outlineLevel="1" collapsed="false">
      <c r="A36" s="92" t="str">
        <f aca="false">IF(Scoring!A37="","",Scoring!A37)</f>
        <v>NKE</v>
      </c>
      <c r="B36" s="93" t="str">
        <f aca="false">IF(Scoring!B37="","",Scoring!B37)</f>
        <v>Nike Inc.</v>
      </c>
      <c r="C36" s="94" t="n">
        <f aca="false">IF(Scoring!C37="","",Scoring!C37)</f>
        <v>46246</v>
      </c>
      <c r="D36" s="95" t="n">
        <f aca="false">IF(Scoring!N37="","",Scoring!N37)</f>
        <v>1.57142857142857</v>
      </c>
      <c r="E36" s="96" t="str">
        <f aca="false">IF(Scoring!AF37="","",Scoring!AF37)</f>
        <v/>
      </c>
      <c r="F36" s="64" t="str">
        <f aca="false">IF(Scoring!AG37&lt;&gt;"",Scoring!AG37,IF(Scoring!AH37="OK","PENDING",""))</f>
        <v/>
      </c>
      <c r="G36" s="64" t="str">
        <f aca="false">IF(Scoring!AH37="","",Scoring!AH37)</f>
        <v>FAIL</v>
      </c>
      <c r="H36" s="64" t="str">
        <f aca="false">IF(Scoring!AI37="","",Scoring!AI37)</f>
        <v>REVIEW</v>
      </c>
      <c r="I36" s="64" t="str">
        <f aca="false">IF(Scoring!AJ37="","",Scoring!AJ37)</f>
        <v>AVOID</v>
      </c>
      <c r="J36" s="64" t="str">
        <f aca="false">IF(Scoring!AK37="","",Scoring!AK37)</f>
        <v>OK</v>
      </c>
    </row>
    <row r="37" customFormat="false" ht="15" hidden="true" customHeight="true" outlineLevel="1" collapsed="false">
      <c r="A37" s="92" t="str">
        <f aca="false">IF(Scoring!A38="","",Scoring!A38)</f>
        <v>VFC</v>
      </c>
      <c r="B37" s="93" t="str">
        <f aca="false">IF(Scoring!B38="","",Scoring!B38)</f>
        <v>V.F. Corporation</v>
      </c>
      <c r="C37" s="94" t="n">
        <f aca="false">IF(Scoring!C38="","",Scoring!C38)</f>
        <v>46246</v>
      </c>
      <c r="D37" s="95" t="n">
        <f aca="false">IF(Scoring!N38="","",Scoring!N38)</f>
        <v>2.85714285714286</v>
      </c>
      <c r="E37" s="96" t="str">
        <f aca="false">IF(Scoring!AF38="","",Scoring!AF38)</f>
        <v/>
      </c>
      <c r="F37" s="64" t="str">
        <f aca="false">IF(Scoring!AG38&lt;&gt;"",Scoring!AG38,IF(Scoring!AH38="OK","PENDING",""))</f>
        <v/>
      </c>
      <c r="G37" s="64" t="str">
        <f aca="false">IF(Scoring!AH38="","",Scoring!AH38)</f>
        <v>FAIL</v>
      </c>
      <c r="H37" s="64" t="str">
        <f aca="false">IF(Scoring!AI38="","",Scoring!AI38)</f>
        <v>OK</v>
      </c>
      <c r="I37" s="64" t="str">
        <f aca="false">IF(Scoring!AJ38="","",Scoring!AJ38)</f>
        <v>OK</v>
      </c>
      <c r="J37" s="64" t="str">
        <f aca="false">IF(Scoring!AK38="","",Scoring!AK38)</f>
        <v>OK</v>
      </c>
    </row>
    <row r="38" customFormat="false" ht="15" hidden="true" customHeight="true" outlineLevel="1" collapsed="false">
      <c r="A38" s="92" t="str">
        <f aca="false">IF(Scoring!A39="","",Scoring!A39)</f>
        <v>GOOS</v>
      </c>
      <c r="B38" s="93" t="str">
        <f aca="false">IF(Scoring!B39="","",Scoring!B39)</f>
        <v>Canada Goose Holdings</v>
      </c>
      <c r="C38" s="94" t="n">
        <f aca="false">IF(Scoring!C39="","",Scoring!C39)</f>
        <v>46246</v>
      </c>
      <c r="D38" s="95" t="n">
        <f aca="false">IF(Scoring!N39="","",Scoring!N39)</f>
        <v>2.5</v>
      </c>
      <c r="E38" s="96" t="str">
        <f aca="false">IF(Scoring!AF39="","",Scoring!AF39)</f>
        <v/>
      </c>
      <c r="F38" s="64" t="str">
        <f aca="false">IF(Scoring!AG39&lt;&gt;"",Scoring!AG39,IF(Scoring!AH39="OK","PENDING",""))</f>
        <v/>
      </c>
      <c r="G38" s="64" t="str">
        <f aca="false">IF(Scoring!AH39="","",Scoring!AH39)</f>
        <v>FAIL</v>
      </c>
      <c r="H38" s="64" t="str">
        <f aca="false">IF(Scoring!AI39="","",Scoring!AI39)</f>
        <v>REVIEW</v>
      </c>
      <c r="I38" s="64" t="str">
        <f aca="false">IF(Scoring!AJ39="","",Scoring!AJ39)</f>
        <v>AVOID</v>
      </c>
      <c r="J38" s="64" t="str">
        <f aca="false">IF(Scoring!AK39="","",Scoring!AK39)</f>
        <v>OK</v>
      </c>
    </row>
    <row r="39" customFormat="false" ht="15" hidden="true" customHeight="true" outlineLevel="1" collapsed="false">
      <c r="A39" s="92" t="str">
        <f aca="false">IF(Scoring!A40="","",Scoring!A40)</f>
        <v>AAP</v>
      </c>
      <c r="B39" s="93" t="str">
        <f aca="false">IF(Scoring!B40="","",Scoring!B40)</f>
        <v>Advance Auto Parts Inc.</v>
      </c>
      <c r="C39" s="94" t="n">
        <f aca="false">IF(Scoring!C40="","",Scoring!C40)</f>
        <v>46246</v>
      </c>
      <c r="D39" s="95" t="n">
        <f aca="false">IF(Scoring!N40="","",Scoring!N40)</f>
        <v>1.35714285714286</v>
      </c>
      <c r="E39" s="96" t="str">
        <f aca="false">IF(Scoring!AF40="","",Scoring!AF40)</f>
        <v/>
      </c>
      <c r="F39" s="64" t="str">
        <f aca="false">IF(Scoring!AG40&lt;&gt;"",Scoring!AG40,IF(Scoring!AH40="OK","PENDING",""))</f>
        <v/>
      </c>
      <c r="G39" s="64" t="str">
        <f aca="false">IF(Scoring!AH40="","",Scoring!AH40)</f>
        <v>FAIL</v>
      </c>
      <c r="H39" s="64" t="str">
        <f aca="false">IF(Scoring!AI40="","",Scoring!AI40)</f>
        <v>REVIEW</v>
      </c>
      <c r="I39" s="64" t="str">
        <f aca="false">IF(Scoring!AJ40="","",Scoring!AJ40)</f>
        <v>AVOID</v>
      </c>
      <c r="J39" s="64" t="str">
        <f aca="false">IF(Scoring!AK40="","",Scoring!AK40)</f>
        <v>OK</v>
      </c>
    </row>
    <row r="40" customFormat="false" ht="15" hidden="true" customHeight="true" outlineLevel="1" collapsed="false">
      <c r="A40" s="92" t="str">
        <f aca="false">IF(Scoring!A41="","",Scoring!A41)</f>
        <v>BABA</v>
      </c>
      <c r="B40" s="93" t="str">
        <f aca="false">IF(Scoring!B41="","",Scoring!B41)</f>
        <v>Alibaba Group Holding Ltd.</v>
      </c>
      <c r="C40" s="94" t="n">
        <f aca="false">IF(Scoring!C41="","",Scoring!C41)</f>
        <v>46246</v>
      </c>
      <c r="D40" s="95" t="n">
        <f aca="false">IF(Scoring!N41="","",Scoring!N41)</f>
        <v>2.78571428571429</v>
      </c>
      <c r="E40" s="96" t="str">
        <f aca="false">IF(Scoring!AF41="","",Scoring!AF41)</f>
        <v/>
      </c>
      <c r="F40" s="64" t="str">
        <f aca="false">IF(Scoring!AG41&lt;&gt;"",Scoring!AG41,IF(Scoring!AH41="OK","PENDING",""))</f>
        <v/>
      </c>
      <c r="G40" s="64" t="str">
        <f aca="false">IF(Scoring!AH41="","",Scoring!AH41)</f>
        <v>FAIL</v>
      </c>
      <c r="H40" s="64" t="str">
        <f aca="false">IF(Scoring!AI41="","",Scoring!AI41)</f>
        <v>OK</v>
      </c>
      <c r="I40" s="64" t="str">
        <f aca="false">IF(Scoring!AJ41="","",Scoring!AJ41)</f>
        <v>AVOID</v>
      </c>
      <c r="J40" s="64" t="str">
        <f aca="false">IF(Scoring!AK41="","",Scoring!AK41)</f>
        <v>OK</v>
      </c>
    </row>
    <row r="41" customFormat="false" ht="15" hidden="false" customHeight="true" outlineLevel="0" collapsed="false">
      <c r="A41" s="92" t="str">
        <f aca="false">IF(Scoring!A42="","",Scoring!A42)</f>
        <v>ETSY</v>
      </c>
      <c r="B41" s="93" t="str">
        <f aca="false">IF(Scoring!B42="","",Scoring!B42)</f>
        <v>Etsy Inc.</v>
      </c>
      <c r="C41" s="94" t="n">
        <f aca="false">IF(Scoring!C42="","",Scoring!C42)</f>
        <v>46246</v>
      </c>
      <c r="D41" s="95" t="n">
        <f aca="false">IF(Scoring!N42="","",Scoring!N42)</f>
        <v>3.42857142857143</v>
      </c>
      <c r="E41" s="96" t="str">
        <f aca="false">IF(Scoring!AF42="","",Scoring!AF42)</f>
        <v/>
      </c>
      <c r="F41" s="64" t="str">
        <f aca="false">IF(Scoring!AG42&lt;&gt;"",Scoring!AG42,IF(Scoring!AH42="OK","PENDING",""))</f>
        <v>PENDING</v>
      </c>
      <c r="G41" s="64" t="str">
        <f aca="false">IF(Scoring!AH42="","",Scoring!AH42)</f>
        <v>OK</v>
      </c>
      <c r="H41" s="64" t="str">
        <f aca="false">IF(Scoring!AI42="","",Scoring!AI42)</f>
        <v>OK</v>
      </c>
      <c r="I41" s="64" t="str">
        <f aca="false">IF(Scoring!AJ42="","",Scoring!AJ42)</f>
        <v>OK</v>
      </c>
      <c r="J41" s="64" t="str">
        <f aca="false">IF(Scoring!AK42="","",Scoring!AK42)</f>
        <v>OK</v>
      </c>
    </row>
    <row r="42" customFormat="false" ht="15" hidden="false" customHeight="true" outlineLevel="0" collapsed="false">
      <c r="A42" s="92" t="str">
        <f aca="false">IF(Scoring!A43="","",Scoring!A43)</f>
        <v>GE</v>
      </c>
      <c r="B42" s="93" t="str">
        <f aca="false">IF(Scoring!B43="","",Scoring!B43)</f>
        <v>GE Aerospace</v>
      </c>
      <c r="C42" s="94" t="n">
        <f aca="false">IF(Scoring!C43="","",Scoring!C43)</f>
        <v>46295</v>
      </c>
      <c r="D42" s="95" t="n">
        <f aca="false">IF(Scoring!N43="","",Scoring!N43)</f>
        <v>4.14285714285714</v>
      </c>
      <c r="E42" s="96" t="n">
        <f aca="false">IF(Scoring!AF43="","",Scoring!AF43)</f>
        <v>84.2</v>
      </c>
      <c r="F42" s="64" t="str">
        <f aca="false">IF(Scoring!AG43&lt;&gt;"",Scoring!AG43,IF(Scoring!AH43="OK","PENDING",""))</f>
        <v>STRONG BUY</v>
      </c>
      <c r="G42" s="64" t="str">
        <f aca="false">IF(Scoring!AH43="","",Scoring!AH43)</f>
        <v>OK</v>
      </c>
      <c r="H42" s="64" t="str">
        <f aca="false">IF(Scoring!AI43="","",Scoring!AI43)</f>
        <v>OK</v>
      </c>
      <c r="I42" s="64" t="str">
        <f aca="false">IF(Scoring!AJ43="","",Scoring!AJ43)</f>
        <v>OK</v>
      </c>
      <c r="J42" s="64" t="str">
        <f aca="false">IF(Scoring!AK43="","",Scoring!AK43)</f>
        <v>OK</v>
      </c>
    </row>
    <row r="43" customFormat="false" ht="15" hidden="false" customHeight="true" outlineLevel="0" collapsed="false">
      <c r="A43" s="92" t="str">
        <f aca="false">IF(Scoring!A44="","",Scoring!A44)</f>
        <v>PH</v>
      </c>
      <c r="B43" s="93" t="str">
        <f aca="false">IF(Scoring!B44="","",Scoring!B44)</f>
        <v>Parker-Hannifin Corporation</v>
      </c>
      <c r="C43" s="94" t="n">
        <f aca="false">IF(Scoring!C44="","",Scoring!C44)</f>
        <v>46247</v>
      </c>
      <c r="D43" s="95" t="n">
        <f aca="false">IF(Scoring!N44="","",Scoring!N44)</f>
        <v>3.28571428571429</v>
      </c>
      <c r="E43" s="96" t="str">
        <f aca="false">IF(Scoring!AF44="","",Scoring!AF44)</f>
        <v/>
      </c>
      <c r="F43" s="64" t="str">
        <f aca="false">IF(Scoring!AG44&lt;&gt;"",Scoring!AG44,IF(Scoring!AH44="OK","PENDING",""))</f>
        <v>PENDING</v>
      </c>
      <c r="G43" s="64" t="str">
        <f aca="false">IF(Scoring!AH44="","",Scoring!AH44)</f>
        <v>OK</v>
      </c>
      <c r="H43" s="64" t="str">
        <f aca="false">IF(Scoring!AI44="","",Scoring!AI44)</f>
        <v>OK</v>
      </c>
      <c r="I43" s="64" t="str">
        <f aca="false">IF(Scoring!AJ44="","",Scoring!AJ44)</f>
        <v>OK</v>
      </c>
      <c r="J43" s="64" t="str">
        <f aca="false">IF(Scoring!AK44="","",Scoring!AK44)</f>
        <v>OK</v>
      </c>
    </row>
    <row r="44" customFormat="false" ht="15" hidden="false" customHeight="true" outlineLevel="0" collapsed="false">
      <c r="A44" s="92" t="str">
        <f aca="false">IF(Scoring!A45="","",Scoring!A45)</f>
        <v>ETN</v>
      </c>
      <c r="B44" s="93" t="str">
        <f aca="false">IF(Scoring!B45="","",Scoring!B45)</f>
        <v>Eaton Corporation plc</v>
      </c>
      <c r="C44" s="94" t="n">
        <f aca="false">IF(Scoring!C45="","",Scoring!C45)</f>
        <v>46247</v>
      </c>
      <c r="D44" s="95" t="n">
        <f aca="false">IF(Scoring!N45="","",Scoring!N45)</f>
        <v>3.5</v>
      </c>
      <c r="E44" s="96" t="str">
        <f aca="false">IF(Scoring!AF45="","",Scoring!AF45)</f>
        <v/>
      </c>
      <c r="F44" s="64" t="str">
        <f aca="false">IF(Scoring!AG45&lt;&gt;"",Scoring!AG45,IF(Scoring!AH45="OK","PENDING",""))</f>
        <v>PENDING</v>
      </c>
      <c r="G44" s="64" t="str">
        <f aca="false">IF(Scoring!AH45="","",Scoring!AH45)</f>
        <v>OK</v>
      </c>
      <c r="H44" s="64" t="str">
        <f aca="false">IF(Scoring!AI45="","",Scoring!AI45)</f>
        <v>OK</v>
      </c>
      <c r="I44" s="64" t="str">
        <f aca="false">IF(Scoring!AJ45="","",Scoring!AJ45)</f>
        <v>OK</v>
      </c>
      <c r="J44" s="64" t="str">
        <f aca="false">IF(Scoring!AK45="","",Scoring!AK45)</f>
        <v>OK</v>
      </c>
    </row>
    <row r="45" customFormat="false" ht="15" hidden="true" customHeight="true" outlineLevel="1" collapsed="false">
      <c r="A45" s="92" t="str">
        <f aca="false">IF(Scoring!A46="","",Scoring!A46)</f>
        <v>DIS</v>
      </c>
      <c r="B45" s="93" t="str">
        <f aca="false">IF(Scoring!B46="","",Scoring!B46)</f>
        <v>The Walt Disney Company</v>
      </c>
      <c r="C45" s="94" t="n">
        <f aca="false">IF(Scoring!C46="","",Scoring!C46)</f>
        <v>46258</v>
      </c>
      <c r="D45" s="95" t="n">
        <f aca="false">IF(Scoring!N46="","",Scoring!N46)</f>
        <v>2.92857142857143</v>
      </c>
      <c r="E45" s="96" t="str">
        <f aca="false">IF(Scoring!AF46="","",Scoring!AF46)</f>
        <v/>
      </c>
      <c r="F45" s="64" t="str">
        <f aca="false">IF(Scoring!AG46&lt;&gt;"",Scoring!AG46,IF(Scoring!AH46="OK","PENDING",""))</f>
        <v/>
      </c>
      <c r="G45" s="64" t="str">
        <f aca="false">IF(Scoring!AH46="","",Scoring!AH46)</f>
        <v>FAIL</v>
      </c>
      <c r="H45" s="64" t="str">
        <f aca="false">IF(Scoring!AI46="","",Scoring!AI46)</f>
        <v>OK</v>
      </c>
      <c r="I45" s="64" t="str">
        <f aca="false">IF(Scoring!AJ46="","",Scoring!AJ46)</f>
        <v>AVOID</v>
      </c>
      <c r="J45" s="64" t="str">
        <f aca="false">IF(Scoring!AK46="","",Scoring!AK46)</f>
        <v>OK</v>
      </c>
    </row>
    <row r="46" customFormat="false" ht="15" hidden="false" customHeight="true" outlineLevel="0" collapsed="false">
      <c r="A46" s="92" t="str">
        <f aca="false">IF(Scoring!A47="","",Scoring!A47)</f>
        <v>NFLX</v>
      </c>
      <c r="B46" s="93" t="str">
        <f aca="false">IF(Scoring!B47="","",Scoring!B47)</f>
        <v>Netflix, Inc.</v>
      </c>
      <c r="C46" s="94" t="n">
        <f aca="false">IF(Scoring!C47="","",Scoring!C47)</f>
        <v>46295</v>
      </c>
      <c r="D46" s="95" t="n">
        <f aca="false">IF(Scoring!N47="","",Scoring!N47)</f>
        <v>4.21428571428571</v>
      </c>
      <c r="E46" s="96" t="n">
        <f aca="false">IF(Scoring!AF47="","",Scoring!AF47)</f>
        <v>83.8</v>
      </c>
      <c r="F46" s="64" t="str">
        <f aca="false">IF(Scoring!AG47&lt;&gt;"",Scoring!AG47,IF(Scoring!AH47="OK","PENDING",""))</f>
        <v>STRONG BUY</v>
      </c>
      <c r="G46" s="64" t="str">
        <f aca="false">IF(Scoring!AH47="","",Scoring!AH47)</f>
        <v>OK</v>
      </c>
      <c r="H46" s="64" t="str">
        <f aca="false">IF(Scoring!AI47="","",Scoring!AI47)</f>
        <v>OK</v>
      </c>
      <c r="I46" s="64" t="str">
        <f aca="false">IF(Scoring!AJ47="","",Scoring!AJ47)</f>
        <v>OK</v>
      </c>
      <c r="J46" s="64" t="str">
        <f aca="false">IF(Scoring!AK47="","",Scoring!AK47)</f>
        <v>OK</v>
      </c>
    </row>
    <row r="47" customFormat="false" ht="14.25" hidden="false" customHeight="true" outlineLevel="0" collapsed="false">
      <c r="A47" s="97" t="str">
        <f aca="false">IF(Scoring!A48="","",Scoring!A48)</f>
        <v>KGS</v>
      </c>
      <c r="B47" s="97" t="str">
        <f aca="false">IF(Scoring!B48="","",Scoring!B48)</f>
        <v>Kodiak Gas Services, Inc.</v>
      </c>
      <c r="C47" s="98" t="n">
        <f aca="false">IF(Scoring!C48="","",Scoring!C48)</f>
        <v>46276</v>
      </c>
      <c r="D47" s="99" t="n">
        <f aca="false">IF(Scoring!N48="","",Scoring!N48)</f>
        <v>4</v>
      </c>
      <c r="E47" s="97" t="str">
        <f aca="false">IF(Scoring!AF48="","",Scoring!AF48)</f>
        <v/>
      </c>
      <c r="F47" s="97" t="str">
        <f aca="false">IF(Scoring!AG48&lt;&gt;"",Scoring!AG48,IF(Scoring!AH48="OK","PENDING",""))</f>
        <v>PENDING</v>
      </c>
      <c r="G47" s="97" t="str">
        <f aca="false">IF(Scoring!AH48="","",Scoring!AH48)</f>
        <v>OK</v>
      </c>
      <c r="H47" s="97" t="str">
        <f aca="false">IF(Scoring!AI48="","",Scoring!AI48)</f>
        <v>OK</v>
      </c>
      <c r="I47" s="97" t="str">
        <f aca="false">IF(Scoring!AJ48="","",Scoring!AJ48)</f>
        <v>OK</v>
      </c>
      <c r="J47" s="97" t="str">
        <f aca="false">IF(Scoring!AK48="","",Scoring!AK48)</f>
        <v>OK</v>
      </c>
    </row>
    <row r="48" customFormat="false" ht="15" hidden="false" customHeight="true" outlineLevel="0" collapsed="false">
      <c r="A48" s="97" t="str">
        <f aca="false">IF(Scoring!A49="","",Scoring!A49)</f>
        <v>ABT</v>
      </c>
      <c r="B48" s="97" t="str">
        <f aca="false">IF(Scoring!B49="","",Scoring!B49)</f>
        <v>Abbott Laboratories</v>
      </c>
      <c r="C48" s="100" t="n">
        <f aca="false">IF(Scoring!C49="","",Scoring!C49)</f>
        <v>46295</v>
      </c>
      <c r="D48" s="99" t="n">
        <f aca="false">IF(Scoring!N49="","",Scoring!N49)</f>
        <v>3.5</v>
      </c>
      <c r="E48" s="97" t="n">
        <f aca="false">IF(Scoring!AF49="","",Scoring!AF49)</f>
        <v>70.8</v>
      </c>
      <c r="F48" s="97" t="str">
        <f aca="false">IF(Scoring!AG49&lt;&gt;"",Scoring!AG49,IF(Scoring!AH49="OK","PENDING",""))</f>
        <v>BUY</v>
      </c>
      <c r="G48" s="97" t="str">
        <f aca="false">IF(Scoring!AH49="","",Scoring!AH49)</f>
        <v>OK</v>
      </c>
      <c r="H48" s="97" t="str">
        <f aca="false">IF(Scoring!AI49="","",Scoring!AI49)</f>
        <v>OK</v>
      </c>
      <c r="I48" s="97" t="str">
        <f aca="false">IF(Scoring!AJ49="","",Scoring!AJ49)</f>
        <v>OK</v>
      </c>
      <c r="J48" s="97" t="str">
        <f aca="false">IF(Scoring!AK49="","",Scoring!AK49)</f>
        <v>OK</v>
      </c>
    </row>
    <row r="49" customFormat="false" ht="15.75" hidden="false" customHeight="true" outlineLevel="0" collapsed="false">
      <c r="A49" s="101" t="str">
        <f aca="false">IF(Scoring!A50="","",Scoring!A50)</f>
        <v>SLB</v>
      </c>
      <c r="B49" s="102" t="str">
        <f aca="false">IF(Scoring!B50="","",Scoring!B50)</f>
        <v>SLB N.V.</v>
      </c>
      <c r="C49" s="100" t="n">
        <f aca="false">IF(Scoring!C50="","",Scoring!C50)</f>
        <v>46295</v>
      </c>
      <c r="D49" s="99" t="n">
        <f aca="false">IF(Scoring!N50="","",Scoring!N50)</f>
        <v>3.5</v>
      </c>
      <c r="E49" s="97" t="n">
        <f aca="false">IF(Scoring!AF50="","",Scoring!AF50)</f>
        <v>72.4</v>
      </c>
      <c r="F49" s="97" t="str">
        <f aca="false">IF(Scoring!AG50&lt;&gt;"",Scoring!AG50,IF(Scoring!AH50="OK","PENDING",""))</f>
        <v>BUY</v>
      </c>
      <c r="G49" s="97" t="str">
        <f aca="false">IF(Scoring!AH50="","",Scoring!AH50)</f>
        <v>OK</v>
      </c>
      <c r="H49" s="97" t="str">
        <f aca="false">IF(Scoring!AI50="","",Scoring!AI50)</f>
        <v>OK</v>
      </c>
      <c r="I49" s="97" t="str">
        <f aca="false">IF(Scoring!AJ50="","",Scoring!AJ50)</f>
        <v>OK</v>
      </c>
      <c r="J49" s="97" t="str">
        <f aca="false">IF(Scoring!AK50="","",Scoring!AK50)</f>
        <v>OK</v>
      </c>
    </row>
    <row r="50" customFormat="false" ht="15.75" hidden="false" customHeight="true" outlineLevel="0" collapsed="false">
      <c r="A50" s="101" t="str">
        <f aca="false">IF(Scoring!A51="","",Scoring!A51)</f>
        <v>VEEV</v>
      </c>
      <c r="B50" s="102" t="str">
        <f aca="false">IF(Scoring!B51="","",Scoring!B51)</f>
        <v>Veeva Systems Inc.</v>
      </c>
      <c r="C50" s="100" t="n">
        <f aca="false">IF(Scoring!C51="","",Scoring!C51)</f>
        <v>46297</v>
      </c>
      <c r="D50" s="99" t="n">
        <f aca="false">IF(Scoring!N51="","",Scoring!N51)</f>
        <v>4.28571428571429</v>
      </c>
      <c r="E50" s="97" t="n">
        <f aca="false">IF(Scoring!AF51="","",Scoring!AF51)</f>
        <v>81.6</v>
      </c>
      <c r="F50" s="97" t="str">
        <f aca="false">IF(Scoring!AG51&lt;&gt;"",Scoring!AG51,IF(Scoring!AH51="OK","PENDING",""))</f>
        <v>STRONG BUY</v>
      </c>
      <c r="G50" s="97" t="str">
        <f aca="false">IF(Scoring!AH51="","",Scoring!AH51)</f>
        <v>OK</v>
      </c>
      <c r="H50" s="97" t="str">
        <f aca="false">IF(Scoring!AI51="","",Scoring!AI51)</f>
        <v>OK</v>
      </c>
      <c r="I50" s="97" t="str">
        <f aca="false">IF(Scoring!AJ51="","",Scoring!AJ51)</f>
        <v>OK</v>
      </c>
      <c r="J50" s="97" t="str">
        <f aca="false">IF(Scoring!AK51="","",Scoring!AK51)</f>
        <v>OK</v>
      </c>
    </row>
    <row r="51" customFormat="false" ht="14.25" hidden="false" customHeight="true" outlineLevel="0" collapsed="false">
      <c r="A51" s="1" t="s">
        <v>289</v>
      </c>
    </row>
    <row r="52" customFormat="false" ht="15" hidden="false" customHeight="true" outlineLevel="0" collapsed="false">
      <c r="A52" s="103" t="n">
        <f aca="false">SUBTOTAL(103,A2:A50)</f>
        <v>30</v>
      </c>
      <c r="B52" s="103" t="s">
        <v>290</v>
      </c>
    </row>
  </sheetData>
  <conditionalFormatting sqref="F2:F5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50">
    <cfRule type="cellIs" priority="7" operator="equal" aboveAverage="0" equalAverage="0" bottom="0" percent="0" rank="0" text="" dxfId="0">
      <formula>"FAIL"</formula>
    </cfRule>
  </conditionalFormatting>
  <conditionalFormatting sqref="I2:I50">
    <cfRule type="cellIs" priority="8" operator="equal" aboveAverage="0" equalAverage="0" bottom="0" percent="0" rank="0" text="" dxfId="0">
      <formula>"AVOID"</formula>
    </cfRule>
  </conditionalFormatting>
  <conditionalFormatting sqref="H2:H50">
    <cfRule type="cellIs" priority="9" operator="equal" aboveAverage="0" equalAverage="0" bottom="0" percent="0" rank="0" text="" dxfId="19">
      <formula>"REVIEW"</formula>
    </cfRule>
  </conditionalFormatting>
  <conditionalFormatting sqref="J2:J50">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AI43" activePane="bottomRight" state="frozen"/>
      <selection pane="topLeft" activeCell="A1" activeCellId="0" sqref="A1"/>
      <selection pane="topRight" activeCell="AI1" activeCellId="0" sqref="AI1"/>
      <selection pane="bottomLeft" activeCell="A43" activeCellId="0" sqref="A4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79"/>
    <col collapsed="false" customWidth="true" hidden="false" outlineLevel="0" max="3" min="3" style="24" width="10"/>
    <col collapsed="false" customWidth="true" hidden="false" outlineLevel="1" max="4" min="4" style="24" width="8.76"/>
    <col collapsed="false" customWidth="true" hidden="false" outlineLevel="1" max="5" min="5" style="24" width="7.11"/>
    <col collapsed="false" customWidth="true" hidden="false" outlineLevel="1" max="6" min="6" style="24" width="7.67"/>
    <col collapsed="false" customWidth="true" hidden="false" outlineLevel="1" max="7" min="7" style="24" width="6.77"/>
    <col collapsed="false" customWidth="true" hidden="false" outlineLevel="1" max="8" min="8" style="24" width="7.22"/>
    <col collapsed="false" customWidth="true" hidden="false" outlineLevel="1" max="9" min="9" style="24" width="6.44"/>
    <col collapsed="false" customWidth="true" hidden="false" outlineLevel="1" max="10" min="10" style="24" width="7.88"/>
    <col collapsed="false" customWidth="true" hidden="false" outlineLevel="1" max="11" min="11" style="24" width="6.44"/>
    <col collapsed="false" customWidth="true" hidden="false" outlineLevel="1" max="12" min="12" style="24" width="7.44"/>
    <col collapsed="false" customWidth="true" hidden="false" outlineLevel="1" max="13" min="13" style="24" width="9.56"/>
    <col collapsed="false" customWidth="true" hidden="false" outlineLevel="1" max="14" min="14" style="24" width="8.76"/>
    <col collapsed="false" customWidth="true" hidden="false" outlineLevel="1" max="15" min="15" style="24" width="7.56"/>
    <col collapsed="false" customWidth="true" hidden="false" outlineLevel="1" max="16" min="16" style="24" width="8.76"/>
    <col collapsed="false" customWidth="true" hidden="false" outlineLevel="1" max="17" min="17" style="24" width="6.44"/>
    <col collapsed="false" customWidth="true" hidden="false" outlineLevel="1" max="18" min="18" style="24" width="6.88"/>
    <col collapsed="false" customWidth="true" hidden="false" outlineLevel="1" max="19" min="19" style="24" width="6.33"/>
    <col collapsed="false" customWidth="true" hidden="false" outlineLevel="1" max="20" min="20" style="24" width="7.76"/>
    <col collapsed="false" customWidth="true" hidden="false" outlineLevel="1" max="21" min="21" style="24" width="6.33"/>
    <col collapsed="false" customWidth="true" hidden="false" outlineLevel="1" max="22" min="22" style="24" width="8.76"/>
    <col collapsed="false" customWidth="true" hidden="false" outlineLevel="1" max="23" min="23" style="24" width="6.33"/>
    <col collapsed="false" customWidth="true" hidden="false" outlineLevel="1" max="24" min="24" style="24" width="7.11"/>
    <col collapsed="false" customWidth="true" hidden="false" outlineLevel="1" max="25" min="25" style="24" width="8"/>
    <col collapsed="false" customWidth="true" hidden="false" outlineLevel="1" max="26" min="26" style="24" width="6.11"/>
    <col collapsed="false" customWidth="true" hidden="false" outlineLevel="1" max="27" min="27" style="24" width="9.56"/>
    <col collapsed="false" customWidth="true" hidden="false" outlineLevel="1" max="28" min="28" style="24" width="6.88"/>
    <col collapsed="false" customWidth="true" hidden="false" outlineLevel="1" max="29" min="29" style="24" width="8"/>
    <col collapsed="false" customWidth="true" hidden="false" outlineLevel="1" max="30" min="30" style="24" width="6.56"/>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44"/>
    <col collapsed="false" customWidth="true" hidden="false" outlineLevel="0" max="36" min="36" style="24" width="7"/>
    <col collapsed="false" customWidth="true" hidden="false" outlineLevel="0" max="37" min="37" style="24" width="7.67"/>
    <col collapsed="false" customWidth="true" hidden="false" outlineLevel="0" max="38" min="38" style="24" width="16.22"/>
    <col collapsed="false" customWidth="true" hidden="false" outlineLevel="0" max="39" min="39" style="24" width="24.78"/>
    <col collapsed="false" customWidth="true" hidden="true" outlineLevel="1" max="40" min="40" style="24" width="13.67"/>
    <col collapsed="false" customWidth="true" hidden="true" outlineLevel="1" max="41" min="41" style="24" width="14.11"/>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104" t="s">
        <v>291</v>
      </c>
      <c r="E1" s="104"/>
      <c r="F1" s="104"/>
      <c r="G1" s="104"/>
      <c r="H1" s="104"/>
      <c r="I1" s="104"/>
      <c r="J1" s="104"/>
      <c r="K1" s="104"/>
      <c r="L1" s="104"/>
      <c r="M1" s="104"/>
      <c r="N1" s="104"/>
      <c r="O1" s="104"/>
      <c r="P1" s="104" t="s">
        <v>292</v>
      </c>
      <c r="Q1" s="104"/>
      <c r="R1" s="104"/>
      <c r="S1" s="104"/>
      <c r="T1" s="104"/>
      <c r="U1" s="104"/>
      <c r="V1" s="104"/>
      <c r="W1" s="104"/>
      <c r="X1" s="104"/>
      <c r="Y1" s="105" t="s">
        <v>293</v>
      </c>
      <c r="Z1" s="105"/>
      <c r="AA1" s="105"/>
      <c r="AB1" s="105"/>
      <c r="AC1" s="105"/>
      <c r="AD1" s="105"/>
      <c r="AE1" s="105"/>
      <c r="AH1" s="106" t="s">
        <v>294</v>
      </c>
      <c r="AI1" s="106"/>
      <c r="AJ1" s="106"/>
      <c r="AK1" s="106"/>
      <c r="AL1" s="106" t="s">
        <v>295</v>
      </c>
      <c r="AM1" s="106"/>
      <c r="AN1" s="107" t="s">
        <v>296</v>
      </c>
      <c r="AO1" s="107"/>
      <c r="AP1" s="107"/>
      <c r="AQ1" s="107"/>
      <c r="AR1" s="107"/>
      <c r="AS1" s="107"/>
    </row>
    <row r="2" customFormat="false" ht="39.75" hidden="false" customHeight="true" outlineLevel="0" collapsed="false">
      <c r="A2" s="108" t="s">
        <v>81</v>
      </c>
      <c r="B2" s="108" t="s">
        <v>280</v>
      </c>
      <c r="C2" s="108" t="s">
        <v>297</v>
      </c>
      <c r="D2" s="108" t="s">
        <v>298</v>
      </c>
      <c r="E2" s="108" t="s">
        <v>299</v>
      </c>
      <c r="F2" s="108" t="s">
        <v>300</v>
      </c>
      <c r="G2" s="108" t="s">
        <v>299</v>
      </c>
      <c r="H2" s="108" t="s">
        <v>301</v>
      </c>
      <c r="I2" s="108" t="s">
        <v>299</v>
      </c>
      <c r="J2" s="108" t="s">
        <v>302</v>
      </c>
      <c r="K2" s="108" t="s">
        <v>299</v>
      </c>
      <c r="L2" s="108" t="s">
        <v>303</v>
      </c>
      <c r="M2" s="108" t="s">
        <v>304</v>
      </c>
      <c r="N2" s="108" t="s">
        <v>305</v>
      </c>
      <c r="O2" s="108" t="s">
        <v>306</v>
      </c>
      <c r="P2" s="108" t="s">
        <v>307</v>
      </c>
      <c r="Q2" s="108" t="s">
        <v>299</v>
      </c>
      <c r="R2" s="108" t="s">
        <v>308</v>
      </c>
      <c r="S2" s="108" t="s">
        <v>299</v>
      </c>
      <c r="T2" s="108" t="s">
        <v>309</v>
      </c>
      <c r="U2" s="108" t="s">
        <v>299</v>
      </c>
      <c r="V2" s="108" t="s">
        <v>310</v>
      </c>
      <c r="W2" s="108" t="s">
        <v>299</v>
      </c>
      <c r="X2" s="108" t="s">
        <v>311</v>
      </c>
      <c r="Y2" s="108" t="s">
        <v>312</v>
      </c>
      <c r="Z2" s="108" t="s">
        <v>299</v>
      </c>
      <c r="AA2" s="108" t="s">
        <v>313</v>
      </c>
      <c r="AB2" s="108" t="s">
        <v>299</v>
      </c>
      <c r="AC2" s="108" t="s">
        <v>314</v>
      </c>
      <c r="AD2" s="108" t="s">
        <v>299</v>
      </c>
      <c r="AE2" s="108" t="s">
        <v>315</v>
      </c>
      <c r="AF2" s="108" t="s">
        <v>316</v>
      </c>
      <c r="AG2" s="108" t="s">
        <v>284</v>
      </c>
      <c r="AH2" s="109" t="s">
        <v>317</v>
      </c>
      <c r="AI2" s="109" t="s">
        <v>318</v>
      </c>
      <c r="AJ2" s="109" t="s">
        <v>319</v>
      </c>
      <c r="AK2" s="109" t="s">
        <v>320</v>
      </c>
      <c r="AL2" s="106" t="s">
        <v>321</v>
      </c>
      <c r="AM2" s="91" t="s">
        <v>322</v>
      </c>
      <c r="AN2" s="110" t="s">
        <v>323</v>
      </c>
      <c r="AO2" s="110" t="s">
        <v>324</v>
      </c>
      <c r="AP2" s="110" t="s">
        <v>325</v>
      </c>
      <c r="AQ2" s="110" t="s">
        <v>326</v>
      </c>
      <c r="AR2" s="110" t="s">
        <v>327</v>
      </c>
      <c r="AS2" s="111" t="s">
        <v>328</v>
      </c>
    </row>
    <row r="3" customFormat="false" ht="15" hidden="false" customHeight="true" outlineLevel="0" collapsed="false">
      <c r="A3" s="61" t="s">
        <v>108</v>
      </c>
      <c r="B3" s="112" t="s">
        <v>109</v>
      </c>
      <c r="C3" s="113" t="n">
        <v>46295</v>
      </c>
      <c r="D3" s="114" t="n">
        <v>3</v>
      </c>
      <c r="E3" s="114" t="s">
        <v>329</v>
      </c>
      <c r="F3" s="114" t="n">
        <v>3</v>
      </c>
      <c r="G3" s="114" t="s">
        <v>329</v>
      </c>
      <c r="H3" s="114" t="n">
        <v>4</v>
      </c>
      <c r="I3" s="114" t="s">
        <v>330</v>
      </c>
      <c r="J3" s="114" t="n">
        <v>5</v>
      </c>
      <c r="K3" s="114" t="s">
        <v>330</v>
      </c>
      <c r="L3" s="114" t="n">
        <v>2</v>
      </c>
      <c r="M3" s="114" t="s">
        <v>329</v>
      </c>
      <c r="N3" s="115" t="n">
        <f aca="false">IF(COUNT(D3,F3,H3,J3,L3)=0,"",(D3*0.2+F3*0.15+H3*0.15+J3*0.1+L3*0.1)/(IF(D3&lt;&gt;"",0.2,0)+IF(F3&lt;&gt;"",0.15,0)+IF(H3&lt;&gt;"",0.15,0)+IF(J3&lt;&gt;"",0.1,0)+IF(L3&lt;&gt;"",0.1,0)))</f>
        <v>3.35714285714286</v>
      </c>
      <c r="O3" s="116" t="n">
        <f aca="false">IF(COUNT(D3,F3,H3,J3,L3)=0,"",D3*0.2+F3*0.15+H3*0.15+J3*0.1+L3*0.1)</f>
        <v>2.35</v>
      </c>
      <c r="P3" s="114" t="n">
        <v>4</v>
      </c>
      <c r="Q3" s="114" t="s">
        <v>329</v>
      </c>
      <c r="R3" s="114" t="n">
        <v>5</v>
      </c>
      <c r="S3" s="114" t="s">
        <v>329</v>
      </c>
      <c r="T3" s="114" t="n">
        <v>5</v>
      </c>
      <c r="U3" s="114" t="s">
        <v>330</v>
      </c>
      <c r="V3" s="114" t="n">
        <v>1</v>
      </c>
      <c r="W3" s="114" t="s">
        <v>330</v>
      </c>
      <c r="X3" s="116" t="n">
        <f aca="false">IF(COUNT(P3,R3,T3,V3)=0,"",P3*0.08+R3*0.06+T3*0.03+V3*0.08)</f>
        <v>0.85</v>
      </c>
      <c r="Y3" s="114" t="n">
        <v>5</v>
      </c>
      <c r="Z3" s="114" t="s">
        <v>330</v>
      </c>
      <c r="AA3" s="114" t="n">
        <v>3</v>
      </c>
      <c r="AB3" s="114" t="s">
        <v>329</v>
      </c>
      <c r="AC3" s="114" t="n">
        <v>3</v>
      </c>
      <c r="AD3" s="114" t="s">
        <v>331</v>
      </c>
      <c r="AE3" s="116" t="n">
        <f aca="false">IF(COUNT(Y3,AA3,AC3)=0,"",Y3*0.02+AA3*0.02+AC3*0.01)</f>
        <v>0.19</v>
      </c>
      <c r="AF3" s="96" t="n">
        <f aca="false">IF(OR(COUNT(D3,F3,H3,J3,L3)&lt;5,COUNT(P3,R3,T3,V3)&lt;4,COUNT(Y3,AA3,AC3)&lt;3),"",(O3+X3+AE3)*20)</f>
        <v>67.8</v>
      </c>
      <c r="AG3" s="92" t="str">
        <f aca="false">IF(AF3="","",IF(AF3&gt;=80,"STRONG BUY",IF(AF3&gt;=65,"BUY",IF(AF3&gt;=50,"WATCH LIST",IF(AF3&gt;=35,"AVOID","PASS")))))</f>
        <v>BUY</v>
      </c>
      <c r="AH3" s="92" t="str">
        <f aca="false">IF(N3="","",IF(N3&lt;3,"FAIL","OK"))</f>
        <v>OK</v>
      </c>
      <c r="AI3" s="92" t="str">
        <f aca="false">IF(COUNT(D3:L3)=0,"",IF(COUNTIF(D3:L3,1)&gt;0,"REVIEW","OK"))</f>
        <v>OK</v>
      </c>
      <c r="AJ3" s="92" t="str">
        <f aca="false">IF(COUNT(D3:L3)=0,"",IF(COUNTIF(D3:L3,"&lt;=2")&gt;=2,"AVOID","OK"))</f>
        <v>OK</v>
      </c>
      <c r="AK3" s="92" t="str">
        <f aca="false">IF(COUNTA(E3:M3)=0,"",IF(COUNTIF(E3:M3,"L")&gt;=2,"CAP AT BUY","OK"))</f>
        <v>OK</v>
      </c>
      <c r="AL3" s="117" t="s">
        <v>332</v>
      </c>
      <c r="AM3" s="118" t="s">
        <v>333</v>
      </c>
      <c r="AN3" s="119" t="n">
        <v>17525000000</v>
      </c>
      <c r="AO3" s="120" t="n">
        <v>8539000000</v>
      </c>
      <c r="AP3" s="114" t="str">
        <f aca="false">IF(OR(AN3="",AO3=""),"",IF(AN3&gt;AO3,"OK","LOW CONF"))</f>
        <v>OK</v>
      </c>
      <c r="AQ3" s="121" t="n">
        <v>9.159</v>
      </c>
      <c r="AR3" s="116" t="n">
        <v>115.76</v>
      </c>
      <c r="AS3" s="122" t="str">
        <f aca="false">IF(OR(AQ3="",AR3=""),"",IF(AQ3&lt;AR3,"Decreased",IF(AQ3&gt;AR3,"Increased","Flat")))</f>
        <v>Decreased</v>
      </c>
    </row>
    <row r="4" customFormat="false" ht="15" hidden="false" customHeight="true" outlineLevel="0" collapsed="false">
      <c r="A4" s="61" t="s">
        <v>165</v>
      </c>
      <c r="B4" s="112" t="s">
        <v>166</v>
      </c>
      <c r="C4" s="113" t="n">
        <v>46295</v>
      </c>
      <c r="D4" s="114" t="n">
        <v>2</v>
      </c>
      <c r="E4" s="114" t="s">
        <v>329</v>
      </c>
      <c r="F4" s="114" t="n">
        <v>3</v>
      </c>
      <c r="G4" s="114" t="s">
        <v>329</v>
      </c>
      <c r="H4" s="114" t="n">
        <v>5</v>
      </c>
      <c r="I4" s="114" t="s">
        <v>330</v>
      </c>
      <c r="J4" s="114" t="n">
        <v>4</v>
      </c>
      <c r="K4" s="114" t="s">
        <v>329</v>
      </c>
      <c r="L4" s="114" t="n">
        <v>2</v>
      </c>
      <c r="M4" s="114" t="s">
        <v>329</v>
      </c>
      <c r="N4" s="115" t="n">
        <f aca="false">IF(COUNT(D4,F4,H4,J4,L4)=0,"",(D4*0.2+F4*0.15+H4*0.15+J4*0.1+L4*0.1)/(IF(D4&lt;&gt;"",0.2,0)+IF(F4&lt;&gt;"",0.15,0)+IF(H4&lt;&gt;"",0.15,0)+IF(J4&lt;&gt;"",0.1,0)+IF(L4&lt;&gt;"",0.1,0)))</f>
        <v>3.14285714285714</v>
      </c>
      <c r="O4" s="116" t="n">
        <f aca="false">IF(COUNT(D4,F4,H4,J4,L4)=0,"",D4*0.2+F4*0.15+H4*0.15+J4*0.1+L4*0.1)</f>
        <v>2.2</v>
      </c>
      <c r="P4" s="114" t="n">
        <v>4</v>
      </c>
      <c r="Q4" s="114" t="s">
        <v>330</v>
      </c>
      <c r="R4" s="114" t="n">
        <v>4</v>
      </c>
      <c r="S4" s="114" t="s">
        <v>331</v>
      </c>
      <c r="T4" s="114" t="n">
        <v>4</v>
      </c>
      <c r="U4" s="114" t="s">
        <v>329</v>
      </c>
      <c r="V4" s="114" t="n">
        <v>4</v>
      </c>
      <c r="W4" s="114" t="s">
        <v>329</v>
      </c>
      <c r="X4" s="116" t="n">
        <f aca="false">IF(COUNT(P4,R4,T4,V4)=0,"",P4*0.08+R4*0.06+T4*0.03+V4*0.08)</f>
        <v>1</v>
      </c>
      <c r="Y4" s="114" t="n">
        <v>3</v>
      </c>
      <c r="Z4" s="114" t="s">
        <v>329</v>
      </c>
      <c r="AA4" s="114" t="n">
        <v>5</v>
      </c>
      <c r="AB4" s="114" t="s">
        <v>330</v>
      </c>
      <c r="AC4" s="114" t="n">
        <v>3</v>
      </c>
      <c r="AD4" s="114" t="s">
        <v>329</v>
      </c>
      <c r="AE4" s="116" t="n">
        <f aca="false">IF(COUNT(Y4,AA4,AC4)=0,"",Y4*0.02+AA4*0.02+AC4*0.01)</f>
        <v>0.19</v>
      </c>
      <c r="AF4" s="96" t="n">
        <f aca="false">IF(OR(COUNT(D4,F4,H4,J4,L4)&lt;5,COUNT(P4,R4,T4,V4)&lt;4,COUNT(Y4,AA4,AC4)&lt;3),"",(O4+X4+AE4)*20)</f>
        <v>67.8</v>
      </c>
      <c r="AG4" s="92" t="str">
        <f aca="false">IF(AF4="","",IF(AF4&gt;=80,"STRONG BUY",IF(AF4&gt;=65,"BUY",IF(AF4&gt;=50,"WATCH LIST",IF(AF4&gt;=35,"AVOID","PASS")))))</f>
        <v>BUY</v>
      </c>
      <c r="AH4" s="92" t="str">
        <f aca="false">IF(N4="","",IF(N4&lt;3,"FAIL","OK"))</f>
        <v>OK</v>
      </c>
      <c r="AI4" s="92" t="str">
        <f aca="false">IF(COUNT(D4:L4)=0,"",IF(COUNTIF(D4:L4,1)&gt;0,"REVIEW","OK"))</f>
        <v>OK</v>
      </c>
      <c r="AJ4" s="92" t="str">
        <f aca="false">IF(COUNT(D4:L4)=0,"",IF(COUNTIF(D4:L4,"&lt;=2")&gt;=2,"AVOID","OK"))</f>
        <v>AVOID</v>
      </c>
      <c r="AK4" s="92" t="str">
        <f aca="false">IF(COUNTA(E4:M4)=0,"",IF(COUNTIF(E4:M4,"L")&gt;=2,"CAP AT BUY","OK"))</f>
        <v>OK</v>
      </c>
      <c r="AL4" s="117" t="s">
        <v>332</v>
      </c>
      <c r="AM4" s="118" t="s">
        <v>333</v>
      </c>
      <c r="AN4" s="114"/>
      <c r="AO4" s="92"/>
      <c r="AP4" s="114" t="str">
        <f aca="false">IF(OR(AN4="",AO4=""),"",IF(AN4&gt;AO4,"OK","LOW CONF"))</f>
        <v/>
      </c>
      <c r="AQ4" s="114"/>
      <c r="AR4" s="92"/>
      <c r="AS4" s="122" t="str">
        <f aca="false">IF(OR(AQ4="",AR4=""),"",IF(AQ4&lt;AR4,"Decreased",IF(AQ4&gt;AR4,"Increased","Flat")))</f>
        <v/>
      </c>
    </row>
    <row r="5" customFormat="false" ht="15" hidden="false" customHeight="true" outlineLevel="0" collapsed="false">
      <c r="A5" s="61" t="s">
        <v>112</v>
      </c>
      <c r="B5" s="112" t="s">
        <v>113</v>
      </c>
      <c r="C5" s="113" t="n">
        <v>46295</v>
      </c>
      <c r="D5" s="114" t="n">
        <v>3</v>
      </c>
      <c r="E5" s="114" t="s">
        <v>329</v>
      </c>
      <c r="F5" s="114" t="n">
        <v>4</v>
      </c>
      <c r="G5" s="114" t="s">
        <v>329</v>
      </c>
      <c r="H5" s="114" t="n">
        <v>5</v>
      </c>
      <c r="I5" s="114" t="s">
        <v>329</v>
      </c>
      <c r="J5" s="114" t="n">
        <v>4</v>
      </c>
      <c r="K5" s="114" t="s">
        <v>329</v>
      </c>
      <c r="L5" s="114" t="n">
        <v>5</v>
      </c>
      <c r="M5" s="114" t="s">
        <v>329</v>
      </c>
      <c r="N5" s="115" t="n">
        <f aca="false">IF(COUNT(D5,F5,H5,J5,L5)=0,"",(D5*0.2+F5*0.15+H5*0.15+J5*0.1+L5*0.1)/(IF(D5&lt;&gt;"",0.2,0)+IF(F5&lt;&gt;"",0.15,0)+IF(H5&lt;&gt;"",0.15,0)+IF(J5&lt;&gt;"",0.1,0)+IF(L5&lt;&gt;"",0.1,0)))</f>
        <v>4.07142857142857</v>
      </c>
      <c r="O5" s="116" t="n">
        <f aca="false">IF(COUNT(D5,F5,H5,J5,L5)=0,"",D5*0.2+F5*0.15+H5*0.15+J5*0.1+L5*0.1)</f>
        <v>2.85</v>
      </c>
      <c r="P5" s="114" t="n">
        <v>3</v>
      </c>
      <c r="Q5" s="114" t="s">
        <v>329</v>
      </c>
      <c r="R5" s="114" t="n">
        <v>5</v>
      </c>
      <c r="S5" s="114" t="s">
        <v>330</v>
      </c>
      <c r="T5" s="114" t="n">
        <v>3</v>
      </c>
      <c r="U5" s="114" t="s">
        <v>329</v>
      </c>
      <c r="V5" s="114" t="n">
        <v>2</v>
      </c>
      <c r="W5" s="114" t="s">
        <v>329</v>
      </c>
      <c r="X5" s="116" t="n">
        <f aca="false">IF(COUNT(P5,R5,T5,V5)=0,"",P5*0.08+R5*0.06+T5*0.03+V5*0.08)</f>
        <v>0.79</v>
      </c>
      <c r="Y5" s="114" t="n">
        <v>3</v>
      </c>
      <c r="Z5" s="114" t="s">
        <v>331</v>
      </c>
      <c r="AA5" s="114" t="n">
        <v>4</v>
      </c>
      <c r="AB5" s="114" t="s">
        <v>329</v>
      </c>
      <c r="AC5" s="114" t="n">
        <v>3</v>
      </c>
      <c r="AD5" s="114" t="s">
        <v>331</v>
      </c>
      <c r="AE5" s="116" t="n">
        <f aca="false">IF(COUNT(Y5,AA5,AC5)=0,"",Y5*0.02+AA5*0.02+AC5*0.01)</f>
        <v>0.17</v>
      </c>
      <c r="AF5" s="96" t="n">
        <f aca="false">IF(OR(COUNT(D5,F5,H5,J5,L5)&lt;5,COUNT(P5,R5,T5,V5)&lt;4,COUNT(Y5,AA5,AC5)&lt;3),"",(O5+X5+AE5)*20)</f>
        <v>76.2</v>
      </c>
      <c r="AG5" s="92" t="str">
        <f aca="false">IF(AF5="","",IF(AF5&gt;=80,"STRONG BUY",IF(AF5&gt;=65,"BUY",IF(AF5&gt;=50,"WATCH LIST",IF(AF5&gt;=35,"AVOID","PASS")))))</f>
        <v>BUY</v>
      </c>
      <c r="AH5" s="92" t="str">
        <f aca="false">IF(N5="","",IF(N5&lt;3,"FAIL","OK"))</f>
        <v>OK</v>
      </c>
      <c r="AI5" s="92" t="str">
        <f aca="false">IF(COUNT(D5:L5)=0,"",IF(COUNTIF(D5:L5,1)&gt;0,"REVIEW","OK"))</f>
        <v>OK</v>
      </c>
      <c r="AJ5" s="92" t="str">
        <f aca="false">IF(COUNT(D5:L5)=0,"",IF(COUNTIF(D5:L5,"&lt;=2")&gt;=2,"AVOID","OK"))</f>
        <v>OK</v>
      </c>
      <c r="AK5" s="92" t="str">
        <f aca="false">IF(COUNTA(E5:M5)=0,"",IF(COUNTIF(E5:M5,"L")&gt;=2,"CAP AT BUY","OK"))</f>
        <v>OK</v>
      </c>
      <c r="AL5" s="117" t="s">
        <v>332</v>
      </c>
      <c r="AM5" s="118" t="s">
        <v>334</v>
      </c>
      <c r="AN5" s="114"/>
      <c r="AO5" s="92"/>
      <c r="AP5" s="114" t="str">
        <f aca="false">IF(OR(AN5="",AO5=""),"",IF(AN5&gt;AO5,"OK","LOW CONF"))</f>
        <v/>
      </c>
      <c r="AQ5" s="114"/>
      <c r="AR5" s="92"/>
      <c r="AS5" s="122" t="str">
        <f aca="false">IF(OR(AQ5="",AR5=""),"",IF(AQ5&lt;AR5,"Decreased",IF(AQ5&gt;AR5,"Increased","Flat")))</f>
        <v/>
      </c>
    </row>
    <row r="6" customFormat="false" ht="15" hidden="false" customHeight="true" outlineLevel="0" collapsed="false">
      <c r="A6" s="61" t="s">
        <v>110</v>
      </c>
      <c r="B6" s="112" t="s">
        <v>111</v>
      </c>
      <c r="C6" s="113" t="n">
        <v>46295</v>
      </c>
      <c r="D6" s="114" t="n">
        <v>3</v>
      </c>
      <c r="E6" s="114" t="s">
        <v>329</v>
      </c>
      <c r="F6" s="114" t="n">
        <v>5</v>
      </c>
      <c r="G6" s="114" t="s">
        <v>329</v>
      </c>
      <c r="H6" s="114" t="n">
        <v>5</v>
      </c>
      <c r="I6" s="114" t="s">
        <v>330</v>
      </c>
      <c r="J6" s="114" t="n">
        <v>4</v>
      </c>
      <c r="K6" s="114" t="s">
        <v>330</v>
      </c>
      <c r="L6" s="114" t="n">
        <v>5</v>
      </c>
      <c r="M6" s="114" t="s">
        <v>329</v>
      </c>
      <c r="N6" s="115" t="n">
        <f aca="false">IF(COUNT(D6,F6,H6,J6,L6)=0,"",(D6*0.2+F6*0.15+H6*0.15+J6*0.1+L6*0.1)/(IF(D6&lt;&gt;"",0.2,0)+IF(F6&lt;&gt;"",0.15,0)+IF(H6&lt;&gt;"",0.15,0)+IF(J6&lt;&gt;"",0.1,0)+IF(L6&lt;&gt;"",0.1,0)))</f>
        <v>4.28571428571429</v>
      </c>
      <c r="O6" s="116" t="n">
        <f aca="false">IF(COUNT(D6,F6,H6,J6,L6)=0,"",D6*0.2+F6*0.15+H6*0.15+J6*0.1+L6*0.1)</f>
        <v>3</v>
      </c>
      <c r="P6" s="114" t="n">
        <v>5</v>
      </c>
      <c r="Q6" s="114" t="s">
        <v>330</v>
      </c>
      <c r="R6" s="114" t="n">
        <v>5</v>
      </c>
      <c r="S6" s="114" t="s">
        <v>330</v>
      </c>
      <c r="T6" s="114" t="n">
        <v>5</v>
      </c>
      <c r="U6" s="114" t="s">
        <v>330</v>
      </c>
      <c r="V6" s="114" t="n">
        <v>5</v>
      </c>
      <c r="W6" s="114" t="s">
        <v>329</v>
      </c>
      <c r="X6" s="116" t="n">
        <f aca="false">IF(COUNT(P6,R6,T6,V6)=0,"",P6*0.08+R6*0.06+T6*0.03+V6*0.08)</f>
        <v>1.25</v>
      </c>
      <c r="Y6" s="114" t="n">
        <v>4</v>
      </c>
      <c r="Z6" s="114" t="s">
        <v>329</v>
      </c>
      <c r="AA6" s="114" t="n">
        <v>5</v>
      </c>
      <c r="AB6" s="114" t="s">
        <v>329</v>
      </c>
      <c r="AC6" s="114" t="n">
        <v>3</v>
      </c>
      <c r="AD6" s="114" t="s">
        <v>331</v>
      </c>
      <c r="AE6" s="116" t="n">
        <f aca="false">IF(COUNT(Y6,AA6,AC6)=0,"",Y6*0.02+AA6*0.02+AC6*0.01)</f>
        <v>0.21</v>
      </c>
      <c r="AF6" s="96" t="n">
        <f aca="false">IF(OR(COUNT(D6,F6,H6,J6,L6)&lt;5,COUNT(P6,R6,T6,V6)&lt;4,COUNT(Y6,AA6,AC6)&lt;3),"",(O6+X6+AE6)*20)</f>
        <v>89.2</v>
      </c>
      <c r="AG6" s="92" t="str">
        <f aca="false">IF(AF6="","",IF(AF6&gt;=80,"STRONG BUY",IF(AF6&gt;=65,"BUY",IF(AF6&gt;=50,"WATCH LIST",IF(AF6&gt;=35,"AVOID","PASS")))))</f>
        <v>STRONG BUY</v>
      </c>
      <c r="AH6" s="92" t="str">
        <f aca="false">IF(N6="","",IF(N6&lt;3,"FAIL","OK"))</f>
        <v>OK</v>
      </c>
      <c r="AI6" s="92" t="str">
        <f aca="false">IF(COUNT(D6:L6)=0,"",IF(COUNTIF(D6:L6,1)&gt;0,"REVIEW","OK"))</f>
        <v>OK</v>
      </c>
      <c r="AJ6" s="92" t="str">
        <f aca="false">IF(COUNT(D6:L6)=0,"",IF(COUNTIF(D6:L6,"&lt;=2")&gt;=2,"AVOID","OK"))</f>
        <v>OK</v>
      </c>
      <c r="AK6" s="92" t="str">
        <f aca="false">IF(COUNTA(E6:M6)=0,"",IF(COUNTIF(E6:M6,"L")&gt;=2,"CAP AT BUY","OK"))</f>
        <v>OK</v>
      </c>
      <c r="AL6" s="117" t="s">
        <v>332</v>
      </c>
      <c r="AM6" s="118" t="s">
        <v>333</v>
      </c>
      <c r="AN6" s="114"/>
      <c r="AO6" s="92"/>
      <c r="AP6" s="114" t="str">
        <f aca="false">IF(OR(AN6="",AO6=""),"",IF(AN6&gt;AO6,"OK","LOW CONF"))</f>
        <v/>
      </c>
      <c r="AQ6" s="114"/>
      <c r="AR6" s="92"/>
      <c r="AS6" s="122" t="str">
        <f aca="false">IF(OR(AQ6="",AR6=""),"",IF(AQ6&lt;AR6,"Decreased",IF(AQ6&gt;AR6,"Increased","Flat")))</f>
        <v/>
      </c>
    </row>
    <row r="7" customFormat="false" ht="15" hidden="false" customHeight="true" outlineLevel="0" collapsed="false">
      <c r="A7" s="61" t="s">
        <v>167</v>
      </c>
      <c r="B7" s="112" t="s">
        <v>168</v>
      </c>
      <c r="C7" s="113" t="n">
        <v>46295</v>
      </c>
      <c r="D7" s="114" t="n">
        <v>2</v>
      </c>
      <c r="E7" s="114" t="s">
        <v>329</v>
      </c>
      <c r="F7" s="114" t="n">
        <v>4</v>
      </c>
      <c r="G7" s="114" t="s">
        <v>329</v>
      </c>
      <c r="H7" s="114" t="n">
        <v>4</v>
      </c>
      <c r="I7" s="114" t="s">
        <v>329</v>
      </c>
      <c r="J7" s="114" t="n">
        <v>4</v>
      </c>
      <c r="K7" s="114" t="s">
        <v>329</v>
      </c>
      <c r="L7" s="114" t="n">
        <v>2</v>
      </c>
      <c r="M7" s="114" t="s">
        <v>329</v>
      </c>
      <c r="N7" s="115" t="n">
        <f aca="false">IF(COUNT(D7,F7,H7,J7,L7)=0,"",(D7*0.2+F7*0.15+H7*0.15+J7*0.1+L7*0.1)/(IF(D7&lt;&gt;"",0.2,0)+IF(F7&lt;&gt;"",0.15,0)+IF(H7&lt;&gt;"",0.15,0)+IF(J7&lt;&gt;"",0.1,0)+IF(L7&lt;&gt;"",0.1,0)))</f>
        <v>3.14285714285714</v>
      </c>
      <c r="O7" s="116" t="n">
        <f aca="false">IF(COUNT(D7,F7,H7,J7,L7)=0,"",D7*0.2+F7*0.15+H7*0.15+J7*0.1+L7*0.1)</f>
        <v>2.2</v>
      </c>
      <c r="P7" s="114" t="n">
        <v>3</v>
      </c>
      <c r="Q7" s="114" t="s">
        <v>329</v>
      </c>
      <c r="R7" s="114" t="n">
        <v>4</v>
      </c>
      <c r="S7" s="114" t="s">
        <v>329</v>
      </c>
      <c r="T7" s="114" t="n">
        <v>4</v>
      </c>
      <c r="U7" s="114" t="s">
        <v>329</v>
      </c>
      <c r="V7" s="114" t="n">
        <v>4</v>
      </c>
      <c r="W7" s="114" t="s">
        <v>329</v>
      </c>
      <c r="X7" s="116" t="n">
        <f aca="false">IF(COUNT(P7,R7,T7,V7)=0,"",P7*0.08+R7*0.06+T7*0.03+V7*0.08)</f>
        <v>0.92</v>
      </c>
      <c r="Y7" s="114" t="n">
        <v>4</v>
      </c>
      <c r="Z7" s="114" t="s">
        <v>329</v>
      </c>
      <c r="AA7" s="114" t="n">
        <v>5</v>
      </c>
      <c r="AB7" s="114" t="s">
        <v>330</v>
      </c>
      <c r="AC7" s="114" t="n">
        <v>3</v>
      </c>
      <c r="AD7" s="114" t="s">
        <v>331</v>
      </c>
      <c r="AE7" s="116" t="n">
        <f aca="false">IF(COUNT(Y7,AA7,AC7)=0,"",Y7*0.02+AA7*0.02+AC7*0.01)</f>
        <v>0.21</v>
      </c>
      <c r="AF7" s="96" t="n">
        <f aca="false">IF(OR(COUNT(D7,F7,H7,J7,L7)&lt;5,COUNT(P7,R7,T7,V7)&lt;4,COUNT(Y7,AA7,AC7)&lt;3),"",(O7+X7+AE7)*20)</f>
        <v>66.6</v>
      </c>
      <c r="AG7" s="92" t="str">
        <f aca="false">IF(AF7="","",IF(AF7&gt;=80,"STRONG BUY",IF(AF7&gt;=65,"BUY",IF(AF7&gt;=50,"WATCH LIST",IF(AF7&gt;=35,"AVOID","PASS")))))</f>
        <v>BUY</v>
      </c>
      <c r="AH7" s="92" t="str">
        <f aca="false">IF(N7="","",IF(N7&lt;3,"FAIL","OK"))</f>
        <v>OK</v>
      </c>
      <c r="AI7" s="92" t="str">
        <f aca="false">IF(COUNT(D7:L7)=0,"",IF(COUNTIF(D7:L7,1)&gt;0,"REVIEW","OK"))</f>
        <v>OK</v>
      </c>
      <c r="AJ7" s="92" t="str">
        <f aca="false">IF(COUNT(D7:L7)=0,"",IF(COUNTIF(D7:L7,"&lt;=2")&gt;=2,"AVOID","OK"))</f>
        <v>AVOID</v>
      </c>
      <c r="AK7" s="92" t="str">
        <f aca="false">IF(COUNTA(E7:M7)=0,"",IF(COUNTIF(E7:M7,"L")&gt;=2,"CAP AT BUY","OK"))</f>
        <v>OK</v>
      </c>
      <c r="AL7" s="117" t="s">
        <v>335</v>
      </c>
      <c r="AM7" s="118" t="s">
        <v>336</v>
      </c>
      <c r="AN7" s="119" t="n">
        <v>3631400000</v>
      </c>
      <c r="AO7" s="120" t="n">
        <v>3953200000</v>
      </c>
      <c r="AP7" s="114" t="str">
        <f aca="false">IF(OR(AN7="",AO7=""),"",IF(AN7&gt;AO7,"OK","LOW CONF"))</f>
        <v>LOW CONF</v>
      </c>
      <c r="AQ7" s="121" t="n">
        <v>0.636</v>
      </c>
      <c r="AR7" s="116" t="n">
        <v>-1.784</v>
      </c>
      <c r="AS7" s="122" t="str">
        <f aca="false">IF(OR(AQ7="",AR7=""),"",IF(AQ7&lt;AR7,"Decreased",IF(AQ7&gt;AR7,"Increased","Flat")))</f>
        <v>Increased</v>
      </c>
    </row>
    <row r="8" customFormat="false" ht="15" hidden="false" customHeight="true" outlineLevel="0" collapsed="false">
      <c r="A8" s="61" t="s">
        <v>170</v>
      </c>
      <c r="B8" s="112" t="s">
        <v>337</v>
      </c>
      <c r="C8" s="113" t="n">
        <v>46295</v>
      </c>
      <c r="D8" s="114" t="n">
        <v>4</v>
      </c>
      <c r="E8" s="114" t="s">
        <v>329</v>
      </c>
      <c r="F8" s="114" t="n">
        <v>2</v>
      </c>
      <c r="G8" s="114" t="s">
        <v>331</v>
      </c>
      <c r="H8" s="114" t="n">
        <v>5</v>
      </c>
      <c r="I8" s="114" t="s">
        <v>330</v>
      </c>
      <c r="J8" s="114" t="n">
        <v>4</v>
      </c>
      <c r="K8" s="114" t="s">
        <v>329</v>
      </c>
      <c r="L8" s="114" t="n">
        <v>5</v>
      </c>
      <c r="M8" s="114" t="s">
        <v>330</v>
      </c>
      <c r="N8" s="115" t="n">
        <f aca="false">IF(COUNT(D8,F8,H8,J8,L8)=0,"",(D8*0.2+F8*0.15+H8*0.15+J8*0.1+L8*0.1)/(IF(D8&lt;&gt;"",0.2,0)+IF(F8&lt;&gt;"",0.15,0)+IF(H8&lt;&gt;"",0.15,0)+IF(J8&lt;&gt;"",0.1,0)+IF(L8&lt;&gt;"",0.1,0)))</f>
        <v>3.92857142857143</v>
      </c>
      <c r="O8" s="116" t="n">
        <f aca="false">IF(COUNT(D8,F8,H8,J8,L8)=0,"",D8*0.2+F8*0.15+H8*0.15+J8*0.1+L8*0.1)</f>
        <v>2.75</v>
      </c>
      <c r="P8" s="114" t="n">
        <v>5</v>
      </c>
      <c r="Q8" s="114" t="s">
        <v>330</v>
      </c>
      <c r="R8" s="114" t="n">
        <v>3</v>
      </c>
      <c r="S8" s="114" t="s">
        <v>331</v>
      </c>
      <c r="T8" s="114" t="n">
        <v>4</v>
      </c>
      <c r="U8" s="114" t="s">
        <v>331</v>
      </c>
      <c r="V8" s="114" t="n">
        <v>2</v>
      </c>
      <c r="W8" s="114" t="s">
        <v>330</v>
      </c>
      <c r="X8" s="116" t="n">
        <f aca="false">IF(COUNT(P8,R8,T8,V8)=0,"",P8*0.08+R8*0.06+T8*0.03+V8*0.08)</f>
        <v>0.86</v>
      </c>
      <c r="Y8" s="114" t="n">
        <v>4</v>
      </c>
      <c r="Z8" s="114" t="s">
        <v>331</v>
      </c>
      <c r="AA8" s="114" t="n">
        <v>4</v>
      </c>
      <c r="AB8" s="114" t="s">
        <v>329</v>
      </c>
      <c r="AC8" s="114" t="n">
        <v>3</v>
      </c>
      <c r="AD8" s="114" t="s">
        <v>331</v>
      </c>
      <c r="AE8" s="116" t="n">
        <f aca="false">IF(COUNT(Y8,AA8,AC8)=0,"",Y8*0.02+AA8*0.02+AC8*0.01)</f>
        <v>0.19</v>
      </c>
      <c r="AF8" s="96" t="n">
        <f aca="false">IF(OR(COUNT(D8,F8,H8,J8,L8)&lt;5,COUNT(P8,R8,T8,V8)&lt;4,COUNT(Y8,AA8,AC8)&lt;3),"",(O8+X8+AE8)*20)</f>
        <v>76</v>
      </c>
      <c r="AG8" s="92" t="str">
        <f aca="false">IF(AF8="","",IF(AF8&gt;=80,"STRONG BUY",IF(AF8&gt;=65,"BUY",IF(AF8&gt;=50,"WATCH LIST",IF(AF8&gt;=35,"AVOID","PASS")))))</f>
        <v>BUY</v>
      </c>
      <c r="AH8" s="92" t="str">
        <f aca="false">IF(N8="","",IF(N8&lt;3,"FAIL","OK"))</f>
        <v>OK</v>
      </c>
      <c r="AI8" s="92" t="str">
        <f aca="false">IF(COUNT(D8:L8)=0,"",IF(COUNTIF(D8:L8,1)&gt;0,"REVIEW","OK"))</f>
        <v>OK</v>
      </c>
      <c r="AJ8" s="92" t="str">
        <f aca="false">IF(COUNT(D8:L8)=0,"",IF(COUNTIF(D8:L8,"&lt;=2")&gt;=2,"AVOID","OK"))</f>
        <v>OK</v>
      </c>
      <c r="AK8" s="92" t="str">
        <f aca="false">IF(COUNTA(E8:M8)=0,"",IF(COUNTIF(E8:M8,"L")&gt;=2,"CAP AT BUY","OK"))</f>
        <v>OK</v>
      </c>
      <c r="AL8" s="117" t="s">
        <v>338</v>
      </c>
      <c r="AM8" s="118" t="s">
        <v>339</v>
      </c>
      <c r="AN8" s="114"/>
      <c r="AO8" s="92"/>
      <c r="AP8" s="114" t="str">
        <f aca="false">IF(OR(AN8="",AO8=""),"",IF(AN8&gt;AO8,"OK","LOW CONF"))</f>
        <v/>
      </c>
      <c r="AQ8" s="114"/>
      <c r="AR8" s="92"/>
      <c r="AS8" s="122" t="str">
        <f aca="false">IF(OR(AQ8="",AR8=""),"",IF(AQ8&lt;AR8,"Decreased",IF(AQ8&gt;AR8,"Increased","Flat")))</f>
        <v/>
      </c>
    </row>
    <row r="9" customFormat="false" ht="15" hidden="true" customHeight="true" outlineLevel="1" collapsed="false">
      <c r="A9" s="61" t="s">
        <v>173</v>
      </c>
      <c r="B9" s="112" t="s">
        <v>174</v>
      </c>
      <c r="C9" s="113" t="n">
        <v>46240</v>
      </c>
      <c r="D9" s="114" t="n">
        <v>2</v>
      </c>
      <c r="E9" s="114" t="s">
        <v>329</v>
      </c>
      <c r="F9" s="114" t="n">
        <v>2</v>
      </c>
      <c r="G9" s="114" t="s">
        <v>329</v>
      </c>
      <c r="H9" s="114" t="n">
        <v>2</v>
      </c>
      <c r="I9" s="114" t="s">
        <v>329</v>
      </c>
      <c r="J9" s="114" t="n">
        <v>2</v>
      </c>
      <c r="K9" s="114" t="s">
        <v>329</v>
      </c>
      <c r="L9" s="114" t="n">
        <v>1</v>
      </c>
      <c r="M9" s="114" t="s">
        <v>330</v>
      </c>
      <c r="N9" s="115" t="n">
        <f aca="false">IF(COUNT(D9,F9,H9,J9,L9)=0,"",(D9*0.2+F9*0.15+H9*0.15+J9*0.1+L9*0.1)/(IF(D9&lt;&gt;"",0.2,0)+IF(F9&lt;&gt;"",0.15,0)+IF(H9&lt;&gt;"",0.15,0)+IF(J9&lt;&gt;"",0.1,0)+IF(L9&lt;&gt;"",0.1,0)))</f>
        <v>1.85714285714286</v>
      </c>
      <c r="O9" s="116" t="n">
        <f aca="false">IF(COUNT(D9,F9,H9,J9,L9)=0,"",D9*0.2+F9*0.15+H9*0.15+J9*0.1+L9*0.1)</f>
        <v>1.3</v>
      </c>
      <c r="P9" s="114"/>
      <c r="Q9" s="114"/>
      <c r="R9" s="114"/>
      <c r="S9" s="114"/>
      <c r="T9" s="114"/>
      <c r="U9" s="114"/>
      <c r="V9" s="114"/>
      <c r="W9" s="114"/>
      <c r="X9" s="116" t="str">
        <f aca="false">IF(COUNT(P9,R9,T9,V9)=0,"",P9*0.08+R9*0.06+T9*0.03+V9*0.08)</f>
        <v/>
      </c>
      <c r="Y9" s="114"/>
      <c r="Z9" s="114"/>
      <c r="AA9" s="114"/>
      <c r="AB9" s="114"/>
      <c r="AC9" s="114"/>
      <c r="AD9" s="114"/>
      <c r="AE9" s="116" t="str">
        <f aca="false">IF(COUNT(Y9,AA9,AC9)=0,"",Y9*0.02+AA9*0.02+AC9*0.01)</f>
        <v/>
      </c>
      <c r="AF9" s="96" t="str">
        <f aca="false">IF(OR(COUNT(D9,F9,H9,J9,L9)&lt;5,COUNT(P9,R9,T9,V9)&lt;4,COUNT(Y9,AA9,AC9)&lt;3),"",(O9+X9+AE9)*20)</f>
        <v/>
      </c>
      <c r="AG9" s="92" t="str">
        <f aca="false">IF(AF9="","",IF(AF9&gt;=80,"STRONG BUY",IF(AF9&gt;=65,"BUY",IF(AF9&gt;=50,"WATCH LIST",IF(AF9&gt;=35,"AVOID","PASS")))))</f>
        <v/>
      </c>
      <c r="AH9" s="92" t="str">
        <f aca="false">IF(N9="","",IF(N9&lt;3,"FAIL","OK"))</f>
        <v>FAIL</v>
      </c>
      <c r="AI9" s="92" t="str">
        <f aca="false">IF(COUNT(D9:L9)=0,"",IF(COUNTIF(D9:L9,1)&gt;0,"REVIEW","OK"))</f>
        <v>REVIEW</v>
      </c>
      <c r="AJ9" s="92" t="str">
        <f aca="false">IF(COUNT(D9:L9)=0,"",IF(COUNTIF(D9:L9,"&lt;=2")&gt;=2,"AVOID","OK"))</f>
        <v>AVOID</v>
      </c>
      <c r="AK9" s="92" t="str">
        <f aca="false">IF(COUNTA(E9:M9)=0,"",IF(COUNTIF(E9:M9,"L")&gt;=2,"CAP AT BUY","OK"))</f>
        <v>OK</v>
      </c>
      <c r="AL9" s="117" t="s">
        <v>340</v>
      </c>
      <c r="AM9" s="118" t="s">
        <v>341</v>
      </c>
      <c r="AN9" s="119" t="n">
        <v>715998000</v>
      </c>
      <c r="AO9" s="120" t="n">
        <v>523670000</v>
      </c>
      <c r="AP9" s="114" t="str">
        <f aca="false">IF(OR(AN9="",AO9=""),"",IF(AN9&gt;AO9,"OK","LOW CONF"))</f>
        <v>OK</v>
      </c>
      <c r="AQ9" s="121" t="n">
        <v>4.155</v>
      </c>
      <c r="AR9" s="116" t="n">
        <v>4.048</v>
      </c>
      <c r="AS9" s="122" t="str">
        <f aca="false">IF(OR(AQ9="",AR9=""),"",IF(AQ9&lt;AR9,"Decreased",IF(AQ9&gt;AR9,"Increased","Flat")))</f>
        <v>Increased</v>
      </c>
    </row>
    <row r="10" customFormat="false" ht="15" hidden="true" customHeight="true" outlineLevel="1" collapsed="false">
      <c r="A10" s="61" t="s">
        <v>184</v>
      </c>
      <c r="B10" s="112" t="s">
        <v>185</v>
      </c>
      <c r="C10" s="113" t="n">
        <v>46240</v>
      </c>
      <c r="D10" s="114" t="n">
        <v>2</v>
      </c>
      <c r="E10" s="114" t="s">
        <v>329</v>
      </c>
      <c r="F10" s="114" t="n">
        <v>4</v>
      </c>
      <c r="G10" s="114" t="s">
        <v>330</v>
      </c>
      <c r="H10" s="114" t="n">
        <v>3</v>
      </c>
      <c r="I10" s="114" t="s">
        <v>329</v>
      </c>
      <c r="J10" s="114" t="n">
        <v>2</v>
      </c>
      <c r="K10" s="114" t="s">
        <v>329</v>
      </c>
      <c r="L10" s="114" t="n">
        <v>2</v>
      </c>
      <c r="M10" s="114" t="s">
        <v>330</v>
      </c>
      <c r="N10" s="115" t="n">
        <f aca="false">IF(COUNT(D10,F10,H10,J10,L10)=0,"",(D10*0.2+F10*0.15+H10*0.15+J10*0.1+L10*0.1)/(IF(D10&lt;&gt;"",0.2,0)+IF(F10&lt;&gt;"",0.15,0)+IF(H10&lt;&gt;"",0.15,0)+IF(J10&lt;&gt;"",0.1,0)+IF(L10&lt;&gt;"",0.1,0)))</f>
        <v>2.64285714285714</v>
      </c>
      <c r="O10" s="116" t="n">
        <f aca="false">IF(COUNT(D10,F10,H10,J10,L10)=0,"",D10*0.2+F10*0.15+H10*0.15+J10*0.1+L10*0.1)</f>
        <v>1.85</v>
      </c>
      <c r="P10" s="114"/>
      <c r="Q10" s="114"/>
      <c r="R10" s="114"/>
      <c r="S10" s="114"/>
      <c r="T10" s="114"/>
      <c r="U10" s="114"/>
      <c r="V10" s="114"/>
      <c r="W10" s="114"/>
      <c r="X10" s="116" t="str">
        <f aca="false">IF(COUNT(P10,R10,T10,V10)=0,"",P10*0.08+R10*0.06+T10*0.03+V10*0.08)</f>
        <v/>
      </c>
      <c r="Y10" s="114"/>
      <c r="Z10" s="114"/>
      <c r="AA10" s="114"/>
      <c r="AB10" s="114"/>
      <c r="AC10" s="114"/>
      <c r="AD10" s="114"/>
      <c r="AE10" s="116" t="str">
        <f aca="false">IF(COUNT(Y10,AA10,AC10)=0,"",Y10*0.02+AA10*0.02+AC10*0.01)</f>
        <v/>
      </c>
      <c r="AF10" s="96" t="str">
        <f aca="false">IF(OR(COUNT(D10,F10,H10,J10,L10)&lt;5,COUNT(P10,R10,T10,V10)&lt;4,COUNT(Y10,AA10,AC10)&lt;3),"",(O10+X10+AE10)*20)</f>
        <v/>
      </c>
      <c r="AG10" s="92" t="str">
        <f aca="false">IF(AF10="","",IF(AF10&gt;=80,"STRONG BUY",IF(AF10&gt;=65,"BUY",IF(AF10&gt;=50,"WATCH LIST",IF(AF10&gt;=35,"AVOID","PASS")))))</f>
        <v/>
      </c>
      <c r="AH10" s="92" t="str">
        <f aca="false">IF(N10="","",IF(N10&lt;3,"FAIL","OK"))</f>
        <v>FAIL</v>
      </c>
      <c r="AI10" s="92" t="str">
        <f aca="false">IF(COUNT(D10:L10)=0,"",IF(COUNTIF(D10:L10,1)&gt;0,"REVIEW","OK"))</f>
        <v>OK</v>
      </c>
      <c r="AJ10" s="92" t="str">
        <f aca="false">IF(COUNT(D10:L10)=0,"",IF(COUNTIF(D10:L10,"&lt;=2")&gt;=2,"AVOID","OK"))</f>
        <v>AVOID</v>
      </c>
      <c r="AK10" s="92" t="str">
        <f aca="false">IF(COUNTA(E10:M10)=0,"",IF(COUNTIF(E10:M10,"L")&gt;=2,"CAP AT BUY","OK"))</f>
        <v>OK</v>
      </c>
      <c r="AL10" s="117" t="s">
        <v>342</v>
      </c>
      <c r="AM10" s="118" t="s">
        <v>343</v>
      </c>
      <c r="AN10" s="119" t="n">
        <v>359500000</v>
      </c>
      <c r="AO10" s="120" t="n">
        <v>203700000</v>
      </c>
      <c r="AP10" s="114" t="str">
        <f aca="false">IF(OR(AN10="",AO10=""),"",IF(AN10&gt;AO10,"OK","LOW CONF"))</f>
        <v>OK</v>
      </c>
      <c r="AQ10" s="121" t="n">
        <v>1.857</v>
      </c>
      <c r="AR10" s="116" t="n">
        <v>0.78</v>
      </c>
      <c r="AS10" s="122" t="str">
        <f aca="false">IF(OR(AQ10="",AR10=""),"",IF(AQ10&lt;AR10,"Decreased",IF(AQ10&gt;AR10,"Increased","Flat")))</f>
        <v>Increased</v>
      </c>
    </row>
    <row r="11" customFormat="false" ht="15" hidden="true" customHeight="true" outlineLevel="1" collapsed="false">
      <c r="A11" s="61" t="s">
        <v>176</v>
      </c>
      <c r="B11" s="112" t="s">
        <v>177</v>
      </c>
      <c r="C11" s="113" t="n">
        <v>46240</v>
      </c>
      <c r="D11" s="114" t="n">
        <v>1</v>
      </c>
      <c r="E11" s="114" t="s">
        <v>330</v>
      </c>
      <c r="F11" s="114" t="n">
        <v>2</v>
      </c>
      <c r="G11" s="114" t="s">
        <v>329</v>
      </c>
      <c r="H11" s="114" t="n">
        <v>3</v>
      </c>
      <c r="I11" s="114" t="s">
        <v>329</v>
      </c>
      <c r="J11" s="114" t="n">
        <v>3</v>
      </c>
      <c r="K11" s="114" t="s">
        <v>329</v>
      </c>
      <c r="L11" s="114" t="n">
        <v>1</v>
      </c>
      <c r="M11" s="114" t="s">
        <v>330</v>
      </c>
      <c r="N11" s="115" t="n">
        <f aca="false">IF(COUNT(D11,F11,H11,J11,L11)=0,"",(D11*0.2+F11*0.15+H11*0.15+J11*0.1+L11*0.1)/(IF(D11&lt;&gt;"",0.2,0)+IF(F11&lt;&gt;"",0.15,0)+IF(H11&lt;&gt;"",0.15,0)+IF(J11&lt;&gt;"",0.1,0)+IF(L11&lt;&gt;"",0.1,0)))</f>
        <v>1.92857142857143</v>
      </c>
      <c r="O11" s="116" t="n">
        <f aca="false">IF(COUNT(D11,F11,H11,J11,L11)=0,"",D11*0.2+F11*0.15+H11*0.15+J11*0.1+L11*0.1)</f>
        <v>1.35</v>
      </c>
      <c r="P11" s="114"/>
      <c r="Q11" s="114"/>
      <c r="R11" s="114"/>
      <c r="S11" s="114"/>
      <c r="T11" s="114"/>
      <c r="U11" s="114"/>
      <c r="V11" s="114"/>
      <c r="W11" s="114"/>
      <c r="X11" s="116" t="str">
        <f aca="false">IF(COUNT(P11,R11,T11,V11)=0,"",P11*0.08+R11*0.06+T11*0.03+V11*0.08)</f>
        <v/>
      </c>
      <c r="Y11" s="114"/>
      <c r="Z11" s="114"/>
      <c r="AA11" s="114"/>
      <c r="AB11" s="114"/>
      <c r="AC11" s="114"/>
      <c r="AD11" s="114"/>
      <c r="AE11" s="116" t="str">
        <f aca="false">IF(COUNT(Y11,AA11,AC11)=0,"",Y11*0.02+AA11*0.02+AC11*0.01)</f>
        <v/>
      </c>
      <c r="AF11" s="96" t="str">
        <f aca="false">IF(OR(COUNT(D11,F11,H11,J11,L11)&lt;5,COUNT(P11,R11,T11,V11)&lt;4,COUNT(Y11,AA11,AC11)&lt;3),"",(O11+X11+AE11)*20)</f>
        <v/>
      </c>
      <c r="AG11" s="92" t="str">
        <f aca="false">IF(AF11="","",IF(AF11&gt;=80,"STRONG BUY",IF(AF11&gt;=65,"BUY",IF(AF11&gt;=50,"WATCH LIST",IF(AF11&gt;=35,"AVOID","PASS")))))</f>
        <v/>
      </c>
      <c r="AH11" s="92" t="str">
        <f aca="false">IF(N11="","",IF(N11&lt;3,"FAIL","OK"))</f>
        <v>FAIL</v>
      </c>
      <c r="AI11" s="92" t="str">
        <f aca="false">IF(COUNT(D11:L11)=0,"",IF(COUNTIF(D11:L11,1)&gt;0,"REVIEW","OK"))</f>
        <v>REVIEW</v>
      </c>
      <c r="AJ11" s="92" t="str">
        <f aca="false">IF(COUNT(D11:L11)=0,"",IF(COUNTIF(D11:L11,"&lt;=2")&gt;=2,"AVOID","OK"))</f>
        <v>AVOID</v>
      </c>
      <c r="AK11" s="92" t="str">
        <f aca="false">IF(COUNTA(E11:M11)=0,"",IF(COUNTIF(E11:M11,"L")&gt;=2,"CAP AT BUY","OK"))</f>
        <v>OK</v>
      </c>
      <c r="AL11" s="117" t="s">
        <v>342</v>
      </c>
      <c r="AM11" s="118" t="s">
        <v>344</v>
      </c>
      <c r="AN11" s="119" t="n">
        <v>14747000000</v>
      </c>
      <c r="AO11" s="120" t="n">
        <v>3794000000</v>
      </c>
      <c r="AP11" s="114" t="str">
        <f aca="false">IF(OR(AN11="",AO11=""),"",IF(AN11&gt;AO11,"OK","LOW CONF"))</f>
        <v>OK</v>
      </c>
      <c r="AQ11" s="121" t="n">
        <v>2.366</v>
      </c>
      <c r="AR11" s="116" t="n">
        <v>3.804</v>
      </c>
      <c r="AS11" s="122" t="str">
        <f aca="false">IF(OR(AQ11="",AR11=""),"",IF(AQ11&lt;AR11,"Decreased",IF(AQ11&gt;AR11,"Increased","Flat")))</f>
        <v>Decreased</v>
      </c>
    </row>
    <row r="12" customFormat="false" ht="15" hidden="false" customHeight="true" outlineLevel="0" collapsed="false">
      <c r="A12" s="61" t="s">
        <v>95</v>
      </c>
      <c r="B12" s="112" t="s">
        <v>96</v>
      </c>
      <c r="C12" s="113" t="n">
        <v>46295</v>
      </c>
      <c r="D12" s="114" t="n">
        <v>5</v>
      </c>
      <c r="E12" s="114" t="s">
        <v>329</v>
      </c>
      <c r="F12" s="114" t="n">
        <v>4</v>
      </c>
      <c r="G12" s="114" t="s">
        <v>329</v>
      </c>
      <c r="H12" s="114" t="n">
        <v>4</v>
      </c>
      <c r="I12" s="114" t="s">
        <v>329</v>
      </c>
      <c r="J12" s="114" t="n">
        <v>5</v>
      </c>
      <c r="K12" s="114" t="s">
        <v>330</v>
      </c>
      <c r="L12" s="114" t="n">
        <v>5</v>
      </c>
      <c r="M12" s="114" t="s">
        <v>329</v>
      </c>
      <c r="N12" s="115" t="n">
        <f aca="false">IF(COUNT(D12,F12,H12,J12,L12)=0,"",(D12*0.2+F12*0.15+H12*0.15+J12*0.1+L12*0.1)/(IF(D12&lt;&gt;"",0.2,0)+IF(F12&lt;&gt;"",0.15,0)+IF(H12&lt;&gt;"",0.15,0)+IF(J12&lt;&gt;"",0.1,0)+IF(L12&lt;&gt;"",0.1,0)))</f>
        <v>4.57142857142857</v>
      </c>
      <c r="O12" s="116" t="n">
        <f aca="false">IF(COUNT(D12,F12,H12,J12,L12)=0,"",D12*0.2+F12*0.15+H12*0.15+J12*0.1+L12*0.1)</f>
        <v>3.2</v>
      </c>
      <c r="P12" s="114" t="n">
        <v>3</v>
      </c>
      <c r="Q12" s="114" t="s">
        <v>329</v>
      </c>
      <c r="R12" s="114" t="n">
        <v>5</v>
      </c>
      <c r="S12" s="114" t="s">
        <v>330</v>
      </c>
      <c r="T12" s="114" t="n">
        <v>1</v>
      </c>
      <c r="U12" s="114" t="s">
        <v>330</v>
      </c>
      <c r="V12" s="114" t="n">
        <v>5</v>
      </c>
      <c r="W12" s="114" t="s">
        <v>330</v>
      </c>
      <c r="X12" s="116" t="n">
        <f aca="false">IF(COUNT(P12,R12,T12,V12)=0,"",P12*0.08+R12*0.06+T12*0.03+V12*0.08)</f>
        <v>0.97</v>
      </c>
      <c r="Y12" s="114" t="n">
        <v>2</v>
      </c>
      <c r="Z12" s="114" t="s">
        <v>329</v>
      </c>
      <c r="AA12" s="114" t="n">
        <v>3</v>
      </c>
      <c r="AB12" s="114" t="s">
        <v>329</v>
      </c>
      <c r="AC12" s="114" t="n">
        <v>2</v>
      </c>
      <c r="AD12" s="114" t="s">
        <v>331</v>
      </c>
      <c r="AE12" s="116" t="n">
        <f aca="false">IF(COUNT(Y12,AA12,AC12)=0,"",Y12*0.02+AA12*0.02+AC12*0.01)</f>
        <v>0.12</v>
      </c>
      <c r="AF12" s="96" t="n">
        <f aca="false">IF(OR(COUNT(D12,F12,H12,J12,L12)&lt;5,COUNT(P12,R12,T12,V12)&lt;4,COUNT(Y12,AA12,AC12)&lt;3),"",(O12+X12+AE12)*20)</f>
        <v>85.8</v>
      </c>
      <c r="AG12" s="92" t="str">
        <f aca="false">IF(AF12="","",IF(AF12&gt;=80,"STRONG BUY",IF(AF12&gt;=65,"BUY",IF(AF12&gt;=50,"WATCH LIST",IF(AF12&gt;=35,"AVOID","PASS")))))</f>
        <v>STRONG BUY</v>
      </c>
      <c r="AH12" s="92" t="str">
        <f aca="false">IF(N12="","",IF(N12&lt;3,"FAIL","OK"))</f>
        <v>OK</v>
      </c>
      <c r="AI12" s="92" t="str">
        <f aca="false">IF(COUNT(D12:L12)=0,"",IF(COUNTIF(D12:L12,1)&gt;0,"REVIEW","OK"))</f>
        <v>OK</v>
      </c>
      <c r="AJ12" s="92" t="str">
        <f aca="false">IF(COUNT(D12:L12)=0,"",IF(COUNTIF(D12:L12,"&lt;=2")&gt;=2,"AVOID","OK"))</f>
        <v>OK</v>
      </c>
      <c r="AK12" s="92" t="str">
        <f aca="false">IF(COUNTA(E12:M12)=0,"",IF(COUNTIF(E12:M12,"L")&gt;=2,"CAP AT BUY","OK"))</f>
        <v>OK</v>
      </c>
      <c r="AL12" s="117" t="s">
        <v>332</v>
      </c>
      <c r="AM12" s="118" t="s">
        <v>345</v>
      </c>
      <c r="AN12" s="114"/>
      <c r="AO12" s="92"/>
      <c r="AP12" s="114" t="str">
        <f aca="false">IF(OR(AN12="",AO12=""),"",IF(AN12&gt;AO12,"OK","LOW CONF"))</f>
        <v/>
      </c>
      <c r="AQ12" s="114"/>
      <c r="AR12" s="92"/>
      <c r="AS12" s="122" t="str">
        <f aca="false">IF(OR(AQ12="",AR12=""),"",IF(AQ12&lt;AR12,"Decreased",IF(AQ12&gt;AR12,"Increased","Flat")))</f>
        <v/>
      </c>
    </row>
    <row r="13" customFormat="false" ht="15" hidden="false" customHeight="true" outlineLevel="0" collapsed="false">
      <c r="A13" s="61" t="s">
        <v>100</v>
      </c>
      <c r="B13" s="112" t="s">
        <v>101</v>
      </c>
      <c r="C13" s="113" t="n">
        <v>46295</v>
      </c>
      <c r="D13" s="114" t="n">
        <v>3</v>
      </c>
      <c r="E13" s="114" t="s">
        <v>329</v>
      </c>
      <c r="F13" s="114" t="n">
        <v>5</v>
      </c>
      <c r="G13" s="114" t="s">
        <v>329</v>
      </c>
      <c r="H13" s="114" t="n">
        <v>5</v>
      </c>
      <c r="I13" s="114" t="s">
        <v>330</v>
      </c>
      <c r="J13" s="114" t="n">
        <v>4</v>
      </c>
      <c r="K13" s="114" t="s">
        <v>329</v>
      </c>
      <c r="L13" s="114" t="n">
        <v>5</v>
      </c>
      <c r="M13" s="114" t="s">
        <v>329</v>
      </c>
      <c r="N13" s="115" t="n">
        <f aca="false">IF(COUNT(D13,F13,H13,J13,L13)=0,"",(D13*0.2+F13*0.15+H13*0.15+J13*0.1+L13*0.1)/(IF(D13&lt;&gt;"",0.2,0)+IF(F13&lt;&gt;"",0.15,0)+IF(H13&lt;&gt;"",0.15,0)+IF(J13&lt;&gt;"",0.1,0)+IF(L13&lt;&gt;"",0.1,0)))</f>
        <v>4.28571428571429</v>
      </c>
      <c r="O13" s="116" t="n">
        <f aca="false">IF(COUNT(D13,F13,H13,J13,L13)=0,"",D13*0.2+F13*0.15+H13*0.15+J13*0.1+L13*0.1)</f>
        <v>3</v>
      </c>
      <c r="P13" s="114" t="n">
        <v>4</v>
      </c>
      <c r="Q13" s="114" t="s">
        <v>330</v>
      </c>
      <c r="R13" s="114" t="n">
        <v>5</v>
      </c>
      <c r="S13" s="114" t="s">
        <v>330</v>
      </c>
      <c r="T13" s="114" t="n">
        <v>5</v>
      </c>
      <c r="U13" s="114" t="s">
        <v>329</v>
      </c>
      <c r="V13" s="114" t="n">
        <v>1</v>
      </c>
      <c r="W13" s="114" t="s">
        <v>330</v>
      </c>
      <c r="X13" s="116" t="n">
        <f aca="false">IF(COUNT(P13,R13,T13,V13)=0,"",P13*0.08+R13*0.06+T13*0.03+V13*0.08)</f>
        <v>0.85</v>
      </c>
      <c r="Y13" s="114" t="n">
        <v>4</v>
      </c>
      <c r="Z13" s="114" t="s">
        <v>329</v>
      </c>
      <c r="AA13" s="114" t="n">
        <v>5</v>
      </c>
      <c r="AB13" s="114" t="s">
        <v>330</v>
      </c>
      <c r="AC13" s="114" t="n">
        <v>2</v>
      </c>
      <c r="AD13" s="114" t="s">
        <v>329</v>
      </c>
      <c r="AE13" s="116" t="n">
        <f aca="false">IF(COUNT(Y13,AA13,AC13)=0,"",Y13*0.02+AA13*0.02+AC13*0.01)</f>
        <v>0.2</v>
      </c>
      <c r="AF13" s="96" t="n">
        <f aca="false">IF(OR(COUNT(D13,F13,H13,J13,L13)&lt;5,COUNT(P13,R13,T13,V13)&lt;4,COUNT(Y13,AA13,AC13)&lt;3),"",(O13+X13+AE13)*20)</f>
        <v>81</v>
      </c>
      <c r="AG13" s="92" t="str">
        <f aca="false">IF(AF13="","",IF(AF13&gt;=80,"STRONG BUY",IF(AF13&gt;=65,"BUY",IF(AF13&gt;=50,"WATCH LIST",IF(AF13&gt;=35,"AVOID","PASS")))))</f>
        <v>STRONG BUY</v>
      </c>
      <c r="AH13" s="92" t="str">
        <f aca="false">IF(N13="","",IF(N13&lt;3,"FAIL","OK"))</f>
        <v>OK</v>
      </c>
      <c r="AI13" s="92" t="str">
        <f aca="false">IF(COUNT(D13:L13)=0,"",IF(COUNTIF(D13:L13,1)&gt;0,"REVIEW","OK"))</f>
        <v>OK</v>
      </c>
      <c r="AJ13" s="92" t="str">
        <f aca="false">IF(COUNT(D13:L13)=0,"",IF(COUNTIF(D13:L13,"&lt;=2")&gt;=2,"AVOID","OK"))</f>
        <v>OK</v>
      </c>
      <c r="AK13" s="92" t="str">
        <f aca="false">IF(COUNTA(E13:M13)=0,"",IF(COUNTIF(E13:M13,"L")&gt;=2,"CAP AT BUY","OK"))</f>
        <v>OK</v>
      </c>
      <c r="AL13" s="117" t="s">
        <v>332</v>
      </c>
      <c r="AM13" s="118" t="s">
        <v>346</v>
      </c>
      <c r="AN13" s="114"/>
      <c r="AO13" s="92"/>
      <c r="AP13" s="114" t="str">
        <f aca="false">IF(OR(AN13="",AO13=""),"",IF(AN13&gt;AO13,"OK","LOW CONF"))</f>
        <v/>
      </c>
      <c r="AQ13" s="114"/>
      <c r="AR13" s="92"/>
      <c r="AS13" s="122" t="str">
        <f aca="false">IF(OR(AQ13="",AR13=""),"",IF(AQ13&lt;AR13,"Decreased",IF(AQ13&gt;AR13,"Increased","Flat")))</f>
        <v/>
      </c>
    </row>
    <row r="14" customFormat="false" ht="15" hidden="false" customHeight="true" outlineLevel="0" collapsed="false">
      <c r="A14" s="61" t="s">
        <v>102</v>
      </c>
      <c r="B14" s="112" t="s">
        <v>103</v>
      </c>
      <c r="C14" s="113" t="n">
        <v>46295</v>
      </c>
      <c r="D14" s="114" t="n">
        <v>3</v>
      </c>
      <c r="E14" s="114" t="s">
        <v>329</v>
      </c>
      <c r="F14" s="114" t="n">
        <v>3</v>
      </c>
      <c r="G14" s="114" t="s">
        <v>329</v>
      </c>
      <c r="H14" s="114" t="n">
        <v>5</v>
      </c>
      <c r="I14" s="114" t="s">
        <v>330</v>
      </c>
      <c r="J14" s="114" t="n">
        <v>4</v>
      </c>
      <c r="K14" s="114" t="s">
        <v>329</v>
      </c>
      <c r="L14" s="114" t="n">
        <v>5</v>
      </c>
      <c r="M14" s="114" t="s">
        <v>329</v>
      </c>
      <c r="N14" s="115" t="n">
        <f aca="false">IF(COUNT(D14,F14,H14,J14,L14)=0,"",(D14*0.2+F14*0.15+H14*0.15+J14*0.1+L14*0.1)/(IF(D14&lt;&gt;"",0.2,0)+IF(F14&lt;&gt;"",0.15,0)+IF(H14&lt;&gt;"",0.15,0)+IF(J14&lt;&gt;"",0.1,0)+IF(L14&lt;&gt;"",0.1,0)))</f>
        <v>3.85714285714286</v>
      </c>
      <c r="O14" s="116" t="n">
        <f aca="false">IF(COUNT(D14,F14,H14,J14,L14)=0,"",D14*0.2+F14*0.15+H14*0.15+J14*0.1+L14*0.1)</f>
        <v>2.7</v>
      </c>
      <c r="P14" s="114" t="n">
        <v>4</v>
      </c>
      <c r="Q14" s="114" t="s">
        <v>329</v>
      </c>
      <c r="R14" s="114" t="n">
        <v>5</v>
      </c>
      <c r="S14" s="114" t="s">
        <v>330</v>
      </c>
      <c r="T14" s="114" t="n">
        <v>5</v>
      </c>
      <c r="U14" s="114" t="s">
        <v>330</v>
      </c>
      <c r="V14" s="114" t="n">
        <v>2</v>
      </c>
      <c r="W14" s="114" t="s">
        <v>329</v>
      </c>
      <c r="X14" s="116" t="n">
        <f aca="false">IF(COUNT(P14,R14,T14,V14)=0,"",P14*0.08+R14*0.06+T14*0.03+V14*0.08)</f>
        <v>0.93</v>
      </c>
      <c r="Y14" s="114" t="n">
        <v>5</v>
      </c>
      <c r="Z14" s="114" t="s">
        <v>329</v>
      </c>
      <c r="AA14" s="114" t="n">
        <v>5</v>
      </c>
      <c r="AB14" s="114" t="s">
        <v>330</v>
      </c>
      <c r="AC14" s="114" t="n">
        <v>3</v>
      </c>
      <c r="AD14" s="114" t="s">
        <v>331</v>
      </c>
      <c r="AE14" s="116" t="n">
        <f aca="false">IF(COUNT(Y14,AA14,AC14)=0,"",Y14*0.02+AA14*0.02+AC14*0.01)</f>
        <v>0.23</v>
      </c>
      <c r="AF14" s="96" t="n">
        <f aca="false">IF(OR(COUNT(D14,F14,H14,J14,L14)&lt;5,COUNT(P14,R14,T14,V14)&lt;4,COUNT(Y14,AA14,AC14)&lt;3),"",(O14+X14+AE14)*20)</f>
        <v>77.2</v>
      </c>
      <c r="AG14" s="92" t="str">
        <f aca="false">IF(AF14="","",IF(AF14&gt;=80,"STRONG BUY",IF(AF14&gt;=65,"BUY",IF(AF14&gt;=50,"WATCH LIST",IF(AF14&gt;=35,"AVOID","PASS")))))</f>
        <v>BUY</v>
      </c>
      <c r="AH14" s="92" t="str">
        <f aca="false">IF(N14="","",IF(N14&lt;3,"FAIL","OK"))</f>
        <v>OK</v>
      </c>
      <c r="AI14" s="92" t="str">
        <f aca="false">IF(COUNT(D14:L14)=0,"",IF(COUNTIF(D14:L14,1)&gt;0,"REVIEW","OK"))</f>
        <v>OK</v>
      </c>
      <c r="AJ14" s="92" t="str">
        <f aca="false">IF(COUNT(D14:L14)=0,"",IF(COUNTIF(D14:L14,"&lt;=2")&gt;=2,"AVOID","OK"))</f>
        <v>OK</v>
      </c>
      <c r="AK14" s="92" t="str">
        <f aca="false">IF(COUNTA(E14:M14)=0,"",IF(COUNTIF(E14:M14,"L")&gt;=2,"CAP AT BUY","OK"))</f>
        <v>OK</v>
      </c>
      <c r="AL14" s="117" t="s">
        <v>332</v>
      </c>
      <c r="AM14" s="118" t="s">
        <v>347</v>
      </c>
      <c r="AN14" s="114"/>
      <c r="AO14" s="92"/>
      <c r="AP14" s="114" t="str">
        <f aca="false">IF(OR(AN14="",AO14=""),"",IF(AN14&gt;AO14,"OK","LOW CONF"))</f>
        <v/>
      </c>
      <c r="AQ14" s="114"/>
      <c r="AR14" s="92"/>
      <c r="AS14" s="122" t="str">
        <f aca="false">IF(OR(AQ14="",AR14=""),"",IF(AQ14&lt;AR14,"Decreased",IF(AQ14&gt;AR14,"Increased","Flat")))</f>
        <v/>
      </c>
    </row>
    <row r="15" customFormat="false" ht="15" hidden="false" customHeight="true" outlineLevel="0" collapsed="false">
      <c r="A15" s="61" t="s">
        <v>104</v>
      </c>
      <c r="B15" s="112" t="s">
        <v>105</v>
      </c>
      <c r="C15" s="113" t="n">
        <v>46295</v>
      </c>
      <c r="D15" s="114" t="n">
        <v>2</v>
      </c>
      <c r="E15" s="114" t="s">
        <v>329</v>
      </c>
      <c r="F15" s="114" t="n">
        <v>5</v>
      </c>
      <c r="G15" s="114" t="s">
        <v>329</v>
      </c>
      <c r="H15" s="114" t="n">
        <v>4</v>
      </c>
      <c r="I15" s="114" t="s">
        <v>329</v>
      </c>
      <c r="J15" s="114" t="n">
        <v>5</v>
      </c>
      <c r="K15" s="114" t="s">
        <v>330</v>
      </c>
      <c r="L15" s="114" t="n">
        <v>2</v>
      </c>
      <c r="M15" s="114" t="s">
        <v>329</v>
      </c>
      <c r="N15" s="115" t="n">
        <f aca="false">IF(COUNT(D15,F15,H15,J15,L15)=0,"",(D15*0.2+F15*0.15+H15*0.15+J15*0.1+L15*0.1)/(IF(D15&lt;&gt;"",0.2,0)+IF(F15&lt;&gt;"",0.15,0)+IF(H15&lt;&gt;"",0.15,0)+IF(J15&lt;&gt;"",0.1,0)+IF(L15&lt;&gt;"",0.1,0)))</f>
        <v>3.5</v>
      </c>
      <c r="O15" s="116" t="n">
        <f aca="false">IF(COUNT(D15,F15,H15,J15,L15)=0,"",D15*0.2+F15*0.15+H15*0.15+J15*0.1+L15*0.1)</f>
        <v>2.45</v>
      </c>
      <c r="P15" s="114" t="n">
        <v>3</v>
      </c>
      <c r="Q15" s="114" t="s">
        <v>329</v>
      </c>
      <c r="R15" s="114" t="n">
        <v>2</v>
      </c>
      <c r="S15" s="114" t="s">
        <v>329</v>
      </c>
      <c r="T15" s="114" t="n">
        <v>4</v>
      </c>
      <c r="U15" s="114" t="s">
        <v>330</v>
      </c>
      <c r="V15" s="114" t="n">
        <v>1</v>
      </c>
      <c r="W15" s="114" t="s">
        <v>330</v>
      </c>
      <c r="X15" s="116" t="n">
        <f aca="false">IF(COUNT(P15,R15,T15,V15)=0,"",P15*0.08+R15*0.06+T15*0.03+V15*0.08)</f>
        <v>0.56</v>
      </c>
      <c r="Y15" s="114" t="n">
        <v>4</v>
      </c>
      <c r="Z15" s="114" t="s">
        <v>329</v>
      </c>
      <c r="AA15" s="114" t="n">
        <v>3</v>
      </c>
      <c r="AB15" s="114" t="s">
        <v>329</v>
      </c>
      <c r="AC15" s="114" t="n">
        <v>2</v>
      </c>
      <c r="AD15" s="114" t="s">
        <v>329</v>
      </c>
      <c r="AE15" s="116" t="n">
        <f aca="false">IF(COUNT(Y15,AA15,AC15)=0,"",Y15*0.02+AA15*0.02+AC15*0.01)</f>
        <v>0.16</v>
      </c>
      <c r="AF15" s="96" t="n">
        <f aca="false">IF(OR(COUNT(D15,F15,H15,J15,L15)&lt;5,COUNT(P15,R15,T15,V15)&lt;4,COUNT(Y15,AA15,AC15)&lt;3),"",(O15+X15+AE15)*20)</f>
        <v>63.4</v>
      </c>
      <c r="AG15" s="92" t="str">
        <f aca="false">IF(AF15="","",IF(AF15&gt;=80,"STRONG BUY",IF(AF15&gt;=65,"BUY",IF(AF15&gt;=50,"WATCH LIST",IF(AF15&gt;=35,"AVOID","PASS")))))</f>
        <v>WATCH LIST</v>
      </c>
      <c r="AH15" s="92" t="str">
        <f aca="false">IF(N15="","",IF(N15&lt;3,"FAIL","OK"))</f>
        <v>OK</v>
      </c>
      <c r="AI15" s="92" t="str">
        <f aca="false">IF(COUNT(D15:L15)=0,"",IF(COUNTIF(D15:L15,1)&gt;0,"REVIEW","OK"))</f>
        <v>OK</v>
      </c>
      <c r="AJ15" s="92" t="str">
        <f aca="false">IF(COUNT(D15:L15)=0,"",IF(COUNTIF(D15:L15,"&lt;=2")&gt;=2,"AVOID","OK"))</f>
        <v>AVOID</v>
      </c>
      <c r="AK15" s="92" t="str">
        <f aca="false">IF(COUNTA(E15:M15)=0,"",IF(COUNTIF(E15:M15,"L")&gt;=2,"CAP AT BUY","OK"))</f>
        <v>OK</v>
      </c>
      <c r="AL15" s="117" t="s">
        <v>332</v>
      </c>
      <c r="AM15" s="118" t="s">
        <v>334</v>
      </c>
      <c r="AN15" s="114"/>
      <c r="AO15" s="92"/>
      <c r="AP15" s="114" t="str">
        <f aca="false">IF(OR(AN15="",AO15=""),"",IF(AN15&gt;AO15,"OK","LOW CONF"))</f>
        <v/>
      </c>
      <c r="AQ15" s="114"/>
      <c r="AR15" s="92"/>
      <c r="AS15" s="122" t="str">
        <f aca="false">IF(OR(AQ15="",AR15=""),"",IF(AQ15&lt;AR15,"Decreased",IF(AQ15&gt;AR15,"Increased","Flat")))</f>
        <v/>
      </c>
    </row>
    <row r="16" customFormat="false" ht="15" hidden="false" customHeight="true" outlineLevel="0" collapsed="false">
      <c r="A16" s="61" t="s">
        <v>106</v>
      </c>
      <c r="B16" s="112" t="s">
        <v>107</v>
      </c>
      <c r="C16" s="113" t="n">
        <v>46295</v>
      </c>
      <c r="D16" s="114" t="n">
        <v>3</v>
      </c>
      <c r="E16" s="114" t="s">
        <v>329</v>
      </c>
      <c r="F16" s="114" t="n">
        <v>3</v>
      </c>
      <c r="G16" s="114" t="s">
        <v>329</v>
      </c>
      <c r="H16" s="114" t="n">
        <v>5</v>
      </c>
      <c r="I16" s="114" t="s">
        <v>330</v>
      </c>
      <c r="J16" s="114" t="n">
        <v>3</v>
      </c>
      <c r="K16" s="114" t="s">
        <v>329</v>
      </c>
      <c r="L16" s="114" t="n">
        <v>5</v>
      </c>
      <c r="M16" s="114" t="s">
        <v>329</v>
      </c>
      <c r="N16" s="115" t="n">
        <f aca="false">IF(COUNT(D16,F16,H16,J16,L16)=0,"",(D16*0.2+F16*0.15+H16*0.15+J16*0.1+L16*0.1)/(IF(D16&lt;&gt;"",0.2,0)+IF(F16&lt;&gt;"",0.15,0)+IF(H16&lt;&gt;"",0.15,0)+IF(J16&lt;&gt;"",0.1,0)+IF(L16&lt;&gt;"",0.1,0)))</f>
        <v>3.71428571428572</v>
      </c>
      <c r="O16" s="116" t="n">
        <f aca="false">IF(COUNT(D16,F16,H16,J16,L16)=0,"",D16*0.2+F16*0.15+H16*0.15+J16*0.1+L16*0.1)</f>
        <v>2.6</v>
      </c>
      <c r="P16" s="114" t="n">
        <v>4</v>
      </c>
      <c r="Q16" s="114" t="s">
        <v>330</v>
      </c>
      <c r="R16" s="114" t="n">
        <v>5</v>
      </c>
      <c r="S16" s="114" t="s">
        <v>330</v>
      </c>
      <c r="T16" s="114" t="n">
        <v>3</v>
      </c>
      <c r="U16" s="114" t="s">
        <v>329</v>
      </c>
      <c r="V16" s="114" t="n">
        <v>2</v>
      </c>
      <c r="W16" s="114" t="s">
        <v>329</v>
      </c>
      <c r="X16" s="116" t="n">
        <f aca="false">IF(COUNT(P16,R16,T16,V16)=0,"",P16*0.08+R16*0.06+T16*0.03+V16*0.08)</f>
        <v>0.87</v>
      </c>
      <c r="Y16" s="114" t="n">
        <v>2</v>
      </c>
      <c r="Z16" s="114" t="s">
        <v>329</v>
      </c>
      <c r="AA16" s="114" t="n">
        <v>5</v>
      </c>
      <c r="AB16" s="114" t="s">
        <v>330</v>
      </c>
      <c r="AC16" s="114" t="n">
        <v>2</v>
      </c>
      <c r="AD16" s="114" t="s">
        <v>331</v>
      </c>
      <c r="AE16" s="116" t="n">
        <f aca="false">IF(COUNT(Y16,AA16,AC16)=0,"",Y16*0.02+AA16*0.02+AC16*0.01)</f>
        <v>0.16</v>
      </c>
      <c r="AF16" s="96" t="n">
        <f aca="false">IF(OR(COUNT(D16,F16,H16,J16,L16)&lt;5,COUNT(P16,R16,T16,V16)&lt;4,COUNT(Y16,AA16,AC16)&lt;3),"",(O16+X16+AE16)*20)</f>
        <v>72.6</v>
      </c>
      <c r="AG16" s="92" t="str">
        <f aca="false">IF(AF16="","",IF(AF16&gt;=80,"STRONG BUY",IF(AF16&gt;=65,"BUY",IF(AF16&gt;=50,"WATCH LIST",IF(AF16&gt;=35,"AVOID","PASS")))))</f>
        <v>BUY</v>
      </c>
      <c r="AH16" s="92" t="str">
        <f aca="false">IF(N16="","",IF(N16&lt;3,"FAIL","OK"))</f>
        <v>OK</v>
      </c>
      <c r="AI16" s="92" t="str">
        <f aca="false">IF(COUNT(D16:L16)=0,"",IF(COUNTIF(D16:L16,1)&gt;0,"REVIEW","OK"))</f>
        <v>OK</v>
      </c>
      <c r="AJ16" s="92" t="str">
        <f aca="false">IF(COUNT(D16:L16)=0,"",IF(COUNTIF(D16:L16,"&lt;=2")&gt;=2,"AVOID","OK"))</f>
        <v>OK</v>
      </c>
      <c r="AK16" s="92" t="str">
        <f aca="false">IF(COUNTA(E16:M16)=0,"",IF(COUNTIF(E16:M16,"L")&gt;=2,"CAP AT BUY","OK"))</f>
        <v>OK</v>
      </c>
      <c r="AL16" s="117" t="s">
        <v>332</v>
      </c>
      <c r="AM16" s="118" t="s">
        <v>347</v>
      </c>
      <c r="AN16" s="119" t="n">
        <v>4143079000</v>
      </c>
      <c r="AO16" s="120" t="n">
        <v>4830771000</v>
      </c>
      <c r="AP16" s="114" t="str">
        <f aca="false">IF(OR(AN16="",AO16=""),"",IF(AN16&gt;AO16,"OK","LOW CONF"))</f>
        <v>LOW CONF</v>
      </c>
      <c r="AQ16" s="121" t="n">
        <v>1.633</v>
      </c>
      <c r="AR16" s="116" t="n">
        <v>1.625</v>
      </c>
      <c r="AS16" s="122" t="str">
        <f aca="false">IF(OR(AQ16="",AR16=""),"",IF(AQ16&lt;AR16,"Decreased",IF(AQ16&gt;AR16,"Increased","Flat")))</f>
        <v>Increased</v>
      </c>
    </row>
    <row r="17" customFormat="false" ht="15" hidden="false" customHeight="true" outlineLevel="0" collapsed="false">
      <c r="A17" s="61" t="s">
        <v>114</v>
      </c>
      <c r="B17" s="112" t="s">
        <v>348</v>
      </c>
      <c r="C17" s="113" t="n">
        <v>46295</v>
      </c>
      <c r="D17" s="114" t="n">
        <v>5</v>
      </c>
      <c r="E17" s="114" t="s">
        <v>329</v>
      </c>
      <c r="F17" s="114" t="n">
        <v>2</v>
      </c>
      <c r="G17" s="114" t="s">
        <v>329</v>
      </c>
      <c r="H17" s="114" t="n">
        <v>5</v>
      </c>
      <c r="I17" s="114" t="s">
        <v>330</v>
      </c>
      <c r="J17" s="114" t="n">
        <v>4</v>
      </c>
      <c r="K17" s="114" t="s">
        <v>329</v>
      </c>
      <c r="L17" s="114" t="n">
        <v>5</v>
      </c>
      <c r="M17" s="114" t="s">
        <v>329</v>
      </c>
      <c r="N17" s="115" t="n">
        <f aca="false">IF(COUNT(D17,F17,H17,J17,L17)=0,"",(D17*0.2+F17*0.15+H17*0.15+J17*0.1+L17*0.1)/(IF(D17&lt;&gt;"",0.2,0)+IF(F17&lt;&gt;"",0.15,0)+IF(H17&lt;&gt;"",0.15,0)+IF(J17&lt;&gt;"",0.1,0)+IF(L17&lt;&gt;"",0.1,0)))</f>
        <v>4.21428571428571</v>
      </c>
      <c r="O17" s="116" t="n">
        <f aca="false">IF(COUNT(D17,F17,H17,J17,L17)=0,"",D17*0.2+F17*0.15+H17*0.15+J17*0.1+L17*0.1)</f>
        <v>2.95</v>
      </c>
      <c r="P17" s="114" t="n">
        <v>4</v>
      </c>
      <c r="Q17" s="114" t="s">
        <v>330</v>
      </c>
      <c r="R17" s="114" t="n">
        <v>5</v>
      </c>
      <c r="S17" s="114" t="s">
        <v>330</v>
      </c>
      <c r="T17" s="114" t="n">
        <v>4</v>
      </c>
      <c r="U17" s="114" t="s">
        <v>329</v>
      </c>
      <c r="V17" s="114" t="n">
        <v>4</v>
      </c>
      <c r="W17" s="114" t="s">
        <v>329</v>
      </c>
      <c r="X17" s="116" t="n">
        <f aca="false">IF(COUNT(P17,R17,T17,V17)=0,"",P17*0.08+R17*0.06+T17*0.03+V17*0.08)</f>
        <v>1.06</v>
      </c>
      <c r="Y17" s="114" t="n">
        <v>3</v>
      </c>
      <c r="Z17" s="114" t="s">
        <v>329</v>
      </c>
      <c r="AA17" s="114" t="n">
        <v>5</v>
      </c>
      <c r="AB17" s="114" t="s">
        <v>330</v>
      </c>
      <c r="AC17" s="114" t="n">
        <v>3</v>
      </c>
      <c r="AD17" s="114" t="s">
        <v>331</v>
      </c>
      <c r="AE17" s="116" t="n">
        <f aca="false">IF(COUNT(Y17,AA17,AC17)=0,"",Y17*0.02+AA17*0.02+AC17*0.01)</f>
        <v>0.19</v>
      </c>
      <c r="AF17" s="96" t="n">
        <f aca="false">IF(OR(COUNT(D17,F17,H17,J17,L17)&lt;5,COUNT(P17,R17,T17,V17)&lt;4,COUNT(Y17,AA17,AC17)&lt;3),"",(O17+X17+AE17)*20)</f>
        <v>84</v>
      </c>
      <c r="AG17" s="92" t="str">
        <f aca="false">IF(AF17="","",IF(AF17&gt;=80,"STRONG BUY",IF(AF17&gt;=65,"BUY",IF(AF17&gt;=50,"WATCH LIST",IF(AF17&gt;=35,"AVOID","PASS")))))</f>
        <v>STRONG BUY</v>
      </c>
      <c r="AH17" s="92" t="str">
        <f aca="false">IF(N17="","",IF(N17&lt;3,"FAIL","OK"))</f>
        <v>OK</v>
      </c>
      <c r="AI17" s="92" t="str">
        <f aca="false">IF(COUNT(D17:L17)=0,"",IF(COUNTIF(D17:L17,1)&gt;0,"REVIEW","OK"))</f>
        <v>OK</v>
      </c>
      <c r="AJ17" s="92" t="str">
        <f aca="false">IF(COUNT(D17:L17)=0,"",IF(COUNTIF(D17:L17,"&lt;=2")&gt;=2,"AVOID","OK"))</f>
        <v>OK</v>
      </c>
      <c r="AK17" s="92" t="str">
        <f aca="false">IF(COUNTA(E17:M17)=0,"",IF(COUNTIF(E17:M17,"L")&gt;=2,"CAP AT BUY","OK"))</f>
        <v>OK</v>
      </c>
      <c r="AL17" s="118" t="s">
        <v>332</v>
      </c>
      <c r="AM17" s="118" t="s">
        <v>333</v>
      </c>
      <c r="AN17" s="114"/>
      <c r="AO17" s="92"/>
      <c r="AP17" s="114" t="str">
        <f aca="false">IF(OR(AN17="",AO17=""),"",IF(AN17&gt;AO17,"OK","LOW CONF"))</f>
        <v/>
      </c>
      <c r="AQ17" s="114"/>
      <c r="AR17" s="92"/>
      <c r="AS17" s="122" t="str">
        <f aca="false">IF(OR(AQ17="",AR17=""),"",IF(AQ17&lt;AR17,"Decreased",IF(AQ17&gt;AR17,"Increased","Flat")))</f>
        <v/>
      </c>
    </row>
    <row r="18" customFormat="false" ht="15" hidden="false" customHeight="true" outlineLevel="0" collapsed="false">
      <c r="A18" s="61" t="s">
        <v>116</v>
      </c>
      <c r="B18" s="112" t="s">
        <v>117</v>
      </c>
      <c r="C18" s="113" t="n">
        <v>46295</v>
      </c>
      <c r="D18" s="114" t="n">
        <v>3</v>
      </c>
      <c r="E18" s="114" t="s">
        <v>329</v>
      </c>
      <c r="F18" s="114" t="n">
        <v>5</v>
      </c>
      <c r="G18" s="114" t="s">
        <v>329</v>
      </c>
      <c r="H18" s="114" t="n">
        <v>4</v>
      </c>
      <c r="I18" s="114" t="s">
        <v>329</v>
      </c>
      <c r="J18" s="114" t="n">
        <v>4</v>
      </c>
      <c r="K18" s="114" t="s">
        <v>329</v>
      </c>
      <c r="L18" s="114" t="n">
        <v>4</v>
      </c>
      <c r="M18" s="114" t="s">
        <v>329</v>
      </c>
      <c r="N18" s="115" t="n">
        <f aca="false">IF(COUNT(D18,F18,H18,J18,L18)=0,"",(D18*0.2+F18*0.15+H18*0.15+J18*0.1+L18*0.1)/(IF(D18&lt;&gt;"",0.2,0)+IF(F18&lt;&gt;"",0.15,0)+IF(H18&lt;&gt;"",0.15,0)+IF(J18&lt;&gt;"",0.1,0)+IF(L18&lt;&gt;"",0.1,0)))</f>
        <v>3.92857142857143</v>
      </c>
      <c r="O18" s="116" t="n">
        <f aca="false">IF(COUNT(D18,F18,H18,J18,L18)=0,"",D18*0.2+F18*0.15+H18*0.15+J18*0.1+L18*0.1)</f>
        <v>2.75</v>
      </c>
      <c r="P18" s="114" t="n">
        <v>4</v>
      </c>
      <c r="Q18" s="114" t="s">
        <v>329</v>
      </c>
      <c r="R18" s="114" t="n">
        <v>5</v>
      </c>
      <c r="S18" s="114" t="s">
        <v>330</v>
      </c>
      <c r="T18" s="114" t="n">
        <v>4</v>
      </c>
      <c r="U18" s="114" t="s">
        <v>329</v>
      </c>
      <c r="V18" s="114" t="n">
        <v>2</v>
      </c>
      <c r="W18" s="114" t="s">
        <v>329</v>
      </c>
      <c r="X18" s="116" t="n">
        <f aca="false">IF(COUNT(P18,R18,T18,V18)=0,"",P18*0.08+R18*0.06+T18*0.03+V18*0.08)</f>
        <v>0.9</v>
      </c>
      <c r="Y18" s="114" t="n">
        <v>4</v>
      </c>
      <c r="Z18" s="114" t="s">
        <v>329</v>
      </c>
      <c r="AA18" s="114" t="n">
        <v>4</v>
      </c>
      <c r="AB18" s="114" t="s">
        <v>329</v>
      </c>
      <c r="AC18" s="114" t="n">
        <v>3</v>
      </c>
      <c r="AD18" s="114" t="s">
        <v>331</v>
      </c>
      <c r="AE18" s="116" t="n">
        <f aca="false">IF(COUNT(Y18,AA18,AC18)=0,"",Y18*0.02+AA18*0.02+AC18*0.01)</f>
        <v>0.19</v>
      </c>
      <c r="AF18" s="96" t="n">
        <f aca="false">IF(OR(COUNT(D18,F18,H18,J18,L18)&lt;5,COUNT(P18,R18,T18,V18)&lt;4,COUNT(Y18,AA18,AC18)&lt;3),"",(O18+X18+AE18)*20)</f>
        <v>76.8</v>
      </c>
      <c r="AG18" s="92" t="str">
        <f aca="false">IF(AF18="","",IF(AF18&gt;=80,"STRONG BUY",IF(AF18&gt;=65,"BUY",IF(AF18&gt;=50,"WATCH LIST",IF(AF18&gt;=35,"AVOID","PASS")))))</f>
        <v>BUY</v>
      </c>
      <c r="AH18" s="92" t="str">
        <f aca="false">IF(N18="","",IF(N18&lt;3,"FAIL","OK"))</f>
        <v>OK</v>
      </c>
      <c r="AI18" s="92" t="str">
        <f aca="false">IF(COUNT(D18:L18)=0,"",IF(COUNTIF(D18:L18,1)&gt;0,"REVIEW","OK"))</f>
        <v>OK</v>
      </c>
      <c r="AJ18" s="92" t="str">
        <f aca="false">IF(COUNT(D18:L18)=0,"",IF(COUNTIF(D18:L18,"&lt;=2")&gt;=2,"AVOID","OK"))</f>
        <v>OK</v>
      </c>
      <c r="AK18" s="92" t="str">
        <f aca="false">IF(COUNTA(E18:M18)=0,"",IF(COUNTIF(E18:M18,"L")&gt;=2,"CAP AT BUY","OK"))</f>
        <v>OK</v>
      </c>
      <c r="AL18" s="118" t="s">
        <v>349</v>
      </c>
      <c r="AM18" s="118" t="s">
        <v>350</v>
      </c>
      <c r="AN18" s="119" t="n">
        <v>2113800000</v>
      </c>
      <c r="AO18" s="120" t="n">
        <v>1332800000</v>
      </c>
      <c r="AP18" s="114" t="str">
        <f aca="false">IF(OR(AN18="",AO18=""),"",IF(AN18&gt;AO18,"OK","LOW CONF"))</f>
        <v>OK</v>
      </c>
      <c r="AQ18" s="121" t="n">
        <v>1.71</v>
      </c>
      <c r="AR18" s="116" t="n">
        <v>2.771</v>
      </c>
      <c r="AS18" s="122" t="str">
        <f aca="false">IF(OR(AQ18="",AR18=""),"",IF(AQ18&lt;AR18,"Decreased",IF(AQ18&gt;AR18,"Increased","Flat")))</f>
        <v>Decreased</v>
      </c>
    </row>
    <row r="19" customFormat="false" ht="15" hidden="false" customHeight="true" outlineLevel="0" collapsed="false">
      <c r="A19" s="61" t="s">
        <v>233</v>
      </c>
      <c r="B19" s="112" t="s">
        <v>351</v>
      </c>
      <c r="C19" s="113" t="n">
        <v>46245</v>
      </c>
      <c r="D19" s="114" t="n">
        <v>3</v>
      </c>
      <c r="E19" s="114" t="s">
        <v>329</v>
      </c>
      <c r="F19" s="114" t="n">
        <v>5</v>
      </c>
      <c r="G19" s="114" t="s">
        <v>330</v>
      </c>
      <c r="H19" s="114" t="n">
        <v>5</v>
      </c>
      <c r="I19" s="114" t="s">
        <v>330</v>
      </c>
      <c r="J19" s="114" t="n">
        <v>4</v>
      </c>
      <c r="K19" s="114" t="s">
        <v>329</v>
      </c>
      <c r="L19" s="114" t="n">
        <v>4</v>
      </c>
      <c r="M19" s="114" t="s">
        <v>330</v>
      </c>
      <c r="N19" s="115" t="n">
        <f aca="false">IF(COUNT(D19,F19,H19,J19,L19)=0,"",(D19*0.2+F19*0.15+H19*0.15+J19*0.1+L19*0.1)/(IF(D19&lt;&gt;"",0.2,0)+IF(F19&lt;&gt;"",0.15,0)+IF(H19&lt;&gt;"",0.15,0)+IF(J19&lt;&gt;"",0.1,0)+IF(L19&lt;&gt;"",0.1,0)))</f>
        <v>4.14285714285714</v>
      </c>
      <c r="O19" s="116" t="n">
        <f aca="false">IF(COUNT(D19,F19,H19,J19,L19)=0,"",D19*0.2+F19*0.15+H19*0.15+J19*0.1+L19*0.1)</f>
        <v>2.9</v>
      </c>
      <c r="P19" s="114" t="n">
        <v>3</v>
      </c>
      <c r="Q19" s="114" t="s">
        <v>331</v>
      </c>
      <c r="R19" s="114" t="n">
        <v>5</v>
      </c>
      <c r="S19" s="114" t="s">
        <v>330</v>
      </c>
      <c r="T19" s="114" t="n">
        <v>5</v>
      </c>
      <c r="U19" s="114" t="s">
        <v>330</v>
      </c>
      <c r="V19" s="114" t="n">
        <v>1</v>
      </c>
      <c r="W19" s="114" t="s">
        <v>330</v>
      </c>
      <c r="X19" s="116" t="n">
        <f aca="false">IF(COUNT(P19,R19,T19,V19)=0,"",P19*0.08+R19*0.06+T19*0.03+V19*0.08)</f>
        <v>0.77</v>
      </c>
      <c r="Y19" s="114" t="n">
        <v>4</v>
      </c>
      <c r="Z19" s="114" t="s">
        <v>329</v>
      </c>
      <c r="AA19" s="114" t="n">
        <v>4</v>
      </c>
      <c r="AB19" s="114" t="s">
        <v>329</v>
      </c>
      <c r="AC19" s="114" t="n">
        <v>4</v>
      </c>
      <c r="AD19" s="114" t="s">
        <v>329</v>
      </c>
      <c r="AE19" s="116" t="n">
        <f aca="false">IF(COUNT(Y19,AA19,AC19)=0,"",Y19*0.02+AA19*0.02+AC19*0.01)</f>
        <v>0.2</v>
      </c>
      <c r="AF19" s="96" t="n">
        <f aca="false">IF(OR(COUNT(D19,F19,H19,J19,L19)&lt;5,COUNT(P19,R19,T19,V19)&lt;4,COUNT(Y19,AA19,AC19)&lt;3),"",(O19+X19+AE19)*20)</f>
        <v>77.4</v>
      </c>
      <c r="AG19" s="92" t="str">
        <f aca="false">IF(AF19="","",IF(AF19&gt;=80,"STRONG BUY",IF(AF19&gt;=65,"BUY",IF(AF19&gt;=50,"WATCH LIST",IF(AF19&gt;=35,"AVOID","PASS")))))</f>
        <v>BUY</v>
      </c>
      <c r="AH19" s="92" t="str">
        <f aca="false">IF(N19="","",IF(N19&lt;3,"FAIL","OK"))</f>
        <v>OK</v>
      </c>
      <c r="AI19" s="92" t="str">
        <f aca="false">IF(COUNT(D19:L19)=0,"",IF(COUNTIF(D19:L19,1)&gt;0,"REVIEW","OK"))</f>
        <v>OK</v>
      </c>
      <c r="AJ19" s="92" t="str">
        <f aca="false">IF(COUNT(D19:L19)=0,"",IF(COUNTIF(D19:L19,"&lt;=2")&gt;=2,"AVOID","OK"))</f>
        <v>OK</v>
      </c>
      <c r="AK19" s="92" t="str">
        <f aca="false">IF(COUNTA(E19:M19)=0,"",IF(COUNTIF(E19:M19,"L")&gt;=2,"CAP AT BUY","OK"))</f>
        <v>OK</v>
      </c>
      <c r="AL19" s="118" t="s">
        <v>340</v>
      </c>
      <c r="AM19" s="118" t="s">
        <v>352</v>
      </c>
      <c r="AN19" s="114"/>
      <c r="AO19" s="92"/>
      <c r="AP19" s="114" t="str">
        <f aca="false">IF(OR(AN19="",AO19=""),"",IF(AN19&gt;AO19,"OK","LOW CONF"))</f>
        <v/>
      </c>
      <c r="AQ19" s="114"/>
      <c r="AR19" s="92"/>
      <c r="AS19" s="122" t="str">
        <f aca="false">IF(OR(AQ19="",AR19=""),"",IF(AQ19&lt;AR19,"Decreased",IF(AQ19&gt;AR19,"Increased","Flat")))</f>
        <v/>
      </c>
    </row>
    <row r="20" customFormat="false" ht="15" hidden="false" customHeight="true" outlineLevel="0" collapsed="false">
      <c r="A20" s="61" t="s">
        <v>118</v>
      </c>
      <c r="B20" s="112" t="s">
        <v>119</v>
      </c>
      <c r="C20" s="113" t="n">
        <v>46295</v>
      </c>
      <c r="D20" s="114" t="n">
        <v>3</v>
      </c>
      <c r="E20" s="114" t="s">
        <v>329</v>
      </c>
      <c r="F20" s="114" t="n">
        <v>4</v>
      </c>
      <c r="G20" s="114" t="s">
        <v>329</v>
      </c>
      <c r="H20" s="114" t="n">
        <v>5</v>
      </c>
      <c r="I20" s="114" t="s">
        <v>330</v>
      </c>
      <c r="J20" s="114" t="n">
        <v>4</v>
      </c>
      <c r="K20" s="114" t="s">
        <v>329</v>
      </c>
      <c r="L20" s="114" t="n">
        <v>2</v>
      </c>
      <c r="M20" s="114" t="s">
        <v>329</v>
      </c>
      <c r="N20" s="115" t="n">
        <f aca="false">IF(COUNT(D20,F20,H20,J20,L20)=0,"",(D20*0.2+F20*0.15+H20*0.15+J20*0.1+L20*0.1)/(IF(D20&lt;&gt;"",0.2,0)+IF(F20&lt;&gt;"",0.15,0)+IF(H20&lt;&gt;"",0.15,0)+IF(J20&lt;&gt;"",0.1,0)+IF(L20&lt;&gt;"",0.1,0)))</f>
        <v>3.64285714285714</v>
      </c>
      <c r="O20" s="116" t="n">
        <f aca="false">IF(COUNT(D20,F20,H20,J20,L20)=0,"",D20*0.2+F20*0.15+H20*0.15+J20*0.1+L20*0.1)</f>
        <v>2.55</v>
      </c>
      <c r="P20" s="114" t="n">
        <v>4</v>
      </c>
      <c r="Q20" s="114" t="s">
        <v>329</v>
      </c>
      <c r="R20" s="114" t="n">
        <v>5</v>
      </c>
      <c r="S20" s="114" t="s">
        <v>330</v>
      </c>
      <c r="T20" s="114" t="n">
        <v>3</v>
      </c>
      <c r="U20" s="114" t="s">
        <v>329</v>
      </c>
      <c r="V20" s="114" t="n">
        <v>3</v>
      </c>
      <c r="W20" s="114" t="s">
        <v>329</v>
      </c>
      <c r="X20" s="116" t="n">
        <f aca="false">IF(COUNT(P20,R20,T20,V20)=0,"",P20*0.08+R20*0.06+T20*0.03+V20*0.08)</f>
        <v>0.95</v>
      </c>
      <c r="Y20" s="114" t="n">
        <v>3</v>
      </c>
      <c r="Z20" s="114" t="s">
        <v>329</v>
      </c>
      <c r="AA20" s="114" t="n">
        <v>4</v>
      </c>
      <c r="AB20" s="114" t="s">
        <v>329</v>
      </c>
      <c r="AC20" s="114" t="n">
        <v>3</v>
      </c>
      <c r="AD20" s="114" t="s">
        <v>331</v>
      </c>
      <c r="AE20" s="116" t="n">
        <f aca="false">IF(COUNT(Y20,AA20,AC20)=0,"",Y20*0.02+AA20*0.02+AC20*0.01)</f>
        <v>0.17</v>
      </c>
      <c r="AF20" s="96" t="n">
        <f aca="false">IF(OR(COUNT(D20,F20,H20,J20,L20)&lt;5,COUNT(P20,R20,T20,V20)&lt;4,COUNT(Y20,AA20,AC20)&lt;3),"",(O20+X20+AE20)*20)</f>
        <v>73.4</v>
      </c>
      <c r="AG20" s="92" t="str">
        <f aca="false">IF(AF20="","",IF(AF20&gt;=80,"STRONG BUY",IF(AF20&gt;=65,"BUY",IF(AF20&gt;=50,"WATCH LIST",IF(AF20&gt;=35,"AVOID","PASS")))))</f>
        <v>BUY</v>
      </c>
      <c r="AH20" s="92" t="str">
        <f aca="false">IF(N20="","",IF(N20&lt;3,"FAIL","OK"))</f>
        <v>OK</v>
      </c>
      <c r="AI20" s="92" t="str">
        <f aca="false">IF(COUNT(D20:L20)=0,"",IF(COUNTIF(D20:L20,1)&gt;0,"REVIEW","OK"))</f>
        <v>OK</v>
      </c>
      <c r="AJ20" s="92" t="str">
        <f aca="false">IF(COUNT(D20:L20)=0,"",IF(COUNTIF(D20:L20,"&lt;=2")&gt;=2,"AVOID","OK"))</f>
        <v>OK</v>
      </c>
      <c r="AK20" s="92" t="str">
        <f aca="false">IF(COUNTA(E20:M20)=0,"",IF(COUNTIF(E20:M20,"L")&gt;=2,"CAP AT BUY","OK"))</f>
        <v>OK</v>
      </c>
      <c r="AL20" s="118" t="s">
        <v>353</v>
      </c>
      <c r="AM20" s="118" t="s">
        <v>354</v>
      </c>
      <c r="AN20" s="119" t="n">
        <v>23059000000</v>
      </c>
      <c r="AO20" s="120" t="n">
        <v>20058000000</v>
      </c>
      <c r="AP20" s="114" t="str">
        <f aca="false">IF(OR(AN20="",AO20=""),"",IF(AN20&gt;AO20,"OK","LOW CONF"))</f>
        <v>OK</v>
      </c>
      <c r="AQ20" s="121" t="n">
        <v>1.167</v>
      </c>
      <c r="AR20" s="116" t="n">
        <v>1.115</v>
      </c>
      <c r="AS20" s="122" t="str">
        <f aca="false">IF(OR(AQ20="",AR20=""),"",IF(AQ20&lt;AR20,"Decreased",IF(AQ20&gt;AR20,"Increased","Flat")))</f>
        <v>Increased</v>
      </c>
    </row>
    <row r="21" customFormat="false" ht="15" hidden="true" customHeight="true" outlineLevel="1" collapsed="false">
      <c r="A21" s="61" t="s">
        <v>254</v>
      </c>
      <c r="B21" s="112" t="s">
        <v>355</v>
      </c>
      <c r="C21" s="113" t="n">
        <v>46245</v>
      </c>
      <c r="D21" s="114" t="n">
        <v>1</v>
      </c>
      <c r="E21" s="114" t="s">
        <v>330</v>
      </c>
      <c r="F21" s="114" t="n">
        <v>3</v>
      </c>
      <c r="G21" s="114" t="s">
        <v>329</v>
      </c>
      <c r="H21" s="114" t="n">
        <v>4</v>
      </c>
      <c r="I21" s="114" t="s">
        <v>329</v>
      </c>
      <c r="J21" s="114" t="n">
        <v>4</v>
      </c>
      <c r="K21" s="114" t="s">
        <v>329</v>
      </c>
      <c r="L21" s="114" t="n">
        <v>1</v>
      </c>
      <c r="M21" s="114" t="s">
        <v>330</v>
      </c>
      <c r="N21" s="115" t="n">
        <f aca="false">IF(COUNT(D21,F21,H21,J21,L21)=0,"",(D21*0.2+F21*0.15+H21*0.15+J21*0.1+L21*0.1)/(IF(D21&lt;&gt;"",0.2,0)+IF(F21&lt;&gt;"",0.15,0)+IF(H21&lt;&gt;"",0.15,0)+IF(J21&lt;&gt;"",0.1,0)+IF(L21&lt;&gt;"",0.1,0)))</f>
        <v>2.5</v>
      </c>
      <c r="O21" s="116" t="n">
        <f aca="false">IF(COUNT(D21,F21,H21,J21,L21)=0,"",D21*0.2+F21*0.15+H21*0.15+J21*0.1+L21*0.1)</f>
        <v>1.75</v>
      </c>
      <c r="P21" s="114"/>
      <c r="Q21" s="114"/>
      <c r="R21" s="114"/>
      <c r="S21" s="114"/>
      <c r="T21" s="114"/>
      <c r="U21" s="114"/>
      <c r="V21" s="114"/>
      <c r="W21" s="114"/>
      <c r="X21" s="116" t="str">
        <f aca="false">IF(COUNT(P21,R21,T21,V21)=0,"",P21*0.08+R21*0.06+T21*0.03+V21*0.08)</f>
        <v/>
      </c>
      <c r="Y21" s="114"/>
      <c r="Z21" s="114"/>
      <c r="AA21" s="114"/>
      <c r="AB21" s="114"/>
      <c r="AC21" s="114"/>
      <c r="AD21" s="114"/>
      <c r="AE21" s="116" t="str">
        <f aca="false">IF(COUNT(Y21,AA21,AC21)=0,"",Y21*0.02+AA21*0.02+AC21*0.01)</f>
        <v/>
      </c>
      <c r="AF21" s="96" t="str">
        <f aca="false">IF(OR(COUNT(D21,F21,H21,J21,L21)&lt;5,COUNT(P21,R21,T21,V21)&lt;4,COUNT(Y21,AA21,AC21)&lt;3),"",(O21+X21+AE21)*20)</f>
        <v/>
      </c>
      <c r="AG21" s="92" t="str">
        <f aca="false">IF(AF21="","",IF(AF21&gt;=80,"STRONG BUY",IF(AF21&gt;=65,"BUY",IF(AF21&gt;=50,"WATCH LIST",IF(AF21&gt;=35,"AVOID","PASS")))))</f>
        <v/>
      </c>
      <c r="AH21" s="92" t="str">
        <f aca="false">IF(N21="","",IF(N21&lt;3,"FAIL","OK"))</f>
        <v>FAIL</v>
      </c>
      <c r="AI21" s="92" t="str">
        <f aca="false">IF(COUNT(D21:L21)=0,"",IF(COUNTIF(D21:L21,1)&gt;0,"REVIEW","OK"))</f>
        <v>REVIEW</v>
      </c>
      <c r="AJ21" s="92" t="str">
        <f aca="false">IF(COUNT(D21:L21)=0,"",IF(COUNTIF(D21:L21,"&lt;=2")&gt;=2,"AVOID","OK"))</f>
        <v>AVOID</v>
      </c>
      <c r="AK21" s="92" t="str">
        <f aca="false">IF(COUNTA(E21:M21)=0,"",IF(COUNTIF(E21:M21,"L")&gt;=2,"CAP AT BUY","OK"))</f>
        <v>OK</v>
      </c>
      <c r="AL21" s="118" t="s">
        <v>356</v>
      </c>
      <c r="AM21" s="118" t="s">
        <v>357</v>
      </c>
      <c r="AN21" s="114"/>
      <c r="AO21" s="92"/>
      <c r="AP21" s="114" t="str">
        <f aca="false">IF(OR(AN21="",AO21=""),"",IF(AN21&gt;AO21,"OK","LOW CONF"))</f>
        <v/>
      </c>
      <c r="AQ21" s="114"/>
      <c r="AR21" s="92"/>
      <c r="AS21" s="122" t="str">
        <f aca="false">IF(OR(AQ21="",AR21=""),"",IF(AQ21&lt;AR21,"Decreased",IF(AQ21&gt;AR21,"Increased","Flat")))</f>
        <v/>
      </c>
    </row>
    <row r="22" customFormat="false" ht="15" hidden="true" customHeight="true" outlineLevel="1" collapsed="false">
      <c r="A22" s="61" t="s">
        <v>234</v>
      </c>
      <c r="B22" s="112" t="s">
        <v>358</v>
      </c>
      <c r="C22" s="113" t="n">
        <v>46245</v>
      </c>
      <c r="D22" s="114" t="n">
        <v>1</v>
      </c>
      <c r="E22" s="114" t="s">
        <v>330</v>
      </c>
      <c r="F22" s="114" t="n">
        <v>1</v>
      </c>
      <c r="G22" s="114" t="s">
        <v>330</v>
      </c>
      <c r="H22" s="114" t="n">
        <v>2</v>
      </c>
      <c r="I22" s="114" t="s">
        <v>329</v>
      </c>
      <c r="J22" s="114" t="n">
        <v>1</v>
      </c>
      <c r="K22" s="114" t="s">
        <v>330</v>
      </c>
      <c r="L22" s="114" t="n">
        <v>1</v>
      </c>
      <c r="M22" s="114" t="s">
        <v>330</v>
      </c>
      <c r="N22" s="115" t="n">
        <f aca="false">IF(COUNT(D22,F22,H22,J22,L22)=0,"",(D22*0.2+F22*0.15+H22*0.15+J22*0.1+L22*0.1)/(IF(D22&lt;&gt;"",0.2,0)+IF(F22&lt;&gt;"",0.15,0)+IF(H22&lt;&gt;"",0.15,0)+IF(J22&lt;&gt;"",0.1,0)+IF(L22&lt;&gt;"",0.1,0)))</f>
        <v>1.21428571428571</v>
      </c>
      <c r="O22" s="116" t="n">
        <f aca="false">IF(COUNT(D22,F22,H22,J22,L22)=0,"",D22*0.2+F22*0.15+H22*0.15+J22*0.1+L22*0.1)</f>
        <v>0.85</v>
      </c>
      <c r="P22" s="114"/>
      <c r="Q22" s="114"/>
      <c r="R22" s="114"/>
      <c r="S22" s="114"/>
      <c r="T22" s="114"/>
      <c r="U22" s="114"/>
      <c r="V22" s="114"/>
      <c r="W22" s="114"/>
      <c r="X22" s="116" t="str">
        <f aca="false">IF(COUNT(P22,R22,T22,V22)=0,"",P22*0.08+R22*0.06+T22*0.03+V22*0.08)</f>
        <v/>
      </c>
      <c r="Y22" s="114"/>
      <c r="Z22" s="114"/>
      <c r="AA22" s="114"/>
      <c r="AB22" s="114"/>
      <c r="AC22" s="114"/>
      <c r="AD22" s="114"/>
      <c r="AE22" s="116" t="str">
        <f aca="false">IF(COUNT(Y22,AA22,AC22)=0,"",Y22*0.02+AA22*0.02+AC22*0.01)</f>
        <v/>
      </c>
      <c r="AF22" s="96" t="str">
        <f aca="false">IF(OR(COUNT(D22,F22,H22,J22,L22)&lt;5,COUNT(P22,R22,T22,V22)&lt;4,COUNT(Y22,AA22,AC22)&lt;3),"",(O22+X22+AE22)*20)</f>
        <v/>
      </c>
      <c r="AG22" s="92" t="str">
        <f aca="false">IF(AF22="","",IF(AF22&gt;=80,"STRONG BUY",IF(AF22&gt;=65,"BUY",IF(AF22&gt;=50,"WATCH LIST",IF(AF22&gt;=35,"AVOID","PASS")))))</f>
        <v/>
      </c>
      <c r="AH22" s="92" t="str">
        <f aca="false">IF(N22="","",IF(N22&lt;3,"FAIL","OK"))</f>
        <v>FAIL</v>
      </c>
      <c r="AI22" s="92" t="str">
        <f aca="false">IF(COUNT(D22:L22)=0,"",IF(COUNTIF(D22:L22,1)&gt;0,"REVIEW","OK"))</f>
        <v>REVIEW</v>
      </c>
      <c r="AJ22" s="92" t="str">
        <f aca="false">IF(COUNT(D22:L22)=0,"",IF(COUNTIF(D22:L22,"&lt;=2")&gt;=2,"AVOID","OK"))</f>
        <v>AVOID</v>
      </c>
      <c r="AK22" s="92" t="str">
        <f aca="false">IF(COUNTA(E22:M22)=0,"",IF(COUNTIF(E22:M22,"L")&gt;=2,"CAP AT BUY","OK"))</f>
        <v>OK</v>
      </c>
      <c r="AL22" s="118" t="s">
        <v>359</v>
      </c>
      <c r="AM22" s="118" t="s">
        <v>360</v>
      </c>
      <c r="AN22" s="114"/>
      <c r="AO22" s="92"/>
      <c r="AP22" s="114" t="str">
        <f aca="false">IF(OR(AN22="",AO22=""),"",IF(AN22&gt;AO22,"OK","LOW CONF"))</f>
        <v/>
      </c>
      <c r="AQ22" s="114"/>
      <c r="AR22" s="92"/>
      <c r="AS22" s="122" t="str">
        <f aca="false">IF(OR(AQ22="",AR22=""),"",IF(AQ22&lt;AR22,"Decreased",IF(AQ22&gt;AR22,"Increased","Flat")))</f>
        <v/>
      </c>
    </row>
    <row r="23" customFormat="false" ht="15" hidden="false" customHeight="true" outlineLevel="0" collapsed="false">
      <c r="A23" s="61" t="s">
        <v>241</v>
      </c>
      <c r="B23" s="112" t="s">
        <v>361</v>
      </c>
      <c r="C23" s="113" t="n">
        <v>46276</v>
      </c>
      <c r="D23" s="114" t="n">
        <v>4</v>
      </c>
      <c r="E23" s="114" t="s">
        <v>329</v>
      </c>
      <c r="F23" s="114" t="n">
        <v>1</v>
      </c>
      <c r="G23" s="114" t="s">
        <v>329</v>
      </c>
      <c r="H23" s="114" t="n">
        <v>4</v>
      </c>
      <c r="I23" s="114" t="s">
        <v>329</v>
      </c>
      <c r="J23" s="114" t="n">
        <v>4</v>
      </c>
      <c r="K23" s="114" t="s">
        <v>329</v>
      </c>
      <c r="L23" s="114" t="n">
        <v>2</v>
      </c>
      <c r="M23" s="114" t="s">
        <v>329</v>
      </c>
      <c r="N23" s="115" t="n">
        <f aca="false">IF(COUNT(D23,F23,H23,J23,L23)=0,"",(D23*0.2+F23*0.15+H23*0.15+J23*0.1+L23*0.1)/(IF(D23&lt;&gt;"",0.2,0)+IF(F23&lt;&gt;"",0.15,0)+IF(H23&lt;&gt;"",0.15,0)+IF(J23&lt;&gt;"",0.1,0)+IF(L23&lt;&gt;"",0.1,0)))</f>
        <v>3.07142857142857</v>
      </c>
      <c r="O23" s="116" t="n">
        <f aca="false">IF(COUNT(D23,F23,H23,J23,L23)=0,"",D23*0.2+F23*0.15+H23*0.15+J23*0.1+L23*0.1)</f>
        <v>2.15</v>
      </c>
      <c r="P23" s="114"/>
      <c r="Q23" s="114"/>
      <c r="R23" s="114"/>
      <c r="S23" s="114"/>
      <c r="T23" s="114"/>
      <c r="U23" s="114"/>
      <c r="V23" s="114"/>
      <c r="W23" s="114"/>
      <c r="X23" s="116" t="str">
        <f aca="false">IF(COUNT(P23,R23,T23,V23)=0,"",P23*0.08+R23*0.06+T23*0.03+V23*0.08)</f>
        <v/>
      </c>
      <c r="Y23" s="114"/>
      <c r="Z23" s="114"/>
      <c r="AA23" s="114"/>
      <c r="AB23" s="114"/>
      <c r="AC23" s="114"/>
      <c r="AD23" s="114"/>
      <c r="AE23" s="116" t="str">
        <f aca="false">IF(COUNT(Y23,AA23,AC23)=0,"",Y23*0.02+AA23*0.02+AC23*0.01)</f>
        <v/>
      </c>
      <c r="AF23" s="96" t="str">
        <f aca="false">IF(OR(COUNT(D23,F23,H23,J23,L23)&lt;5,COUNT(P23,R23,T23,V23)&lt;4,COUNT(Y23,AA23,AC23)&lt;3),"",(O23+X23+AE23)*20)</f>
        <v/>
      </c>
      <c r="AG23" s="92" t="str">
        <f aca="false">IF(AF23="","",IF(AF23&gt;=80,"STRONG BUY",IF(AF23&gt;=65,"BUY",IF(AF23&gt;=50,"WATCH LIST",IF(AF23&gt;=35,"AVOID","PASS")))))</f>
        <v/>
      </c>
      <c r="AH23" s="92" t="str">
        <f aca="false">IF(N23="","",IF(N23&lt;3,"FAIL","OK"))</f>
        <v>OK</v>
      </c>
      <c r="AI23" s="92" t="str">
        <f aca="false">IF(COUNT(D23:L23)=0,"",IF(COUNTIF(D23:L23,1)&gt;0,"REVIEW","OK"))</f>
        <v>REVIEW</v>
      </c>
      <c r="AJ23" s="92" t="str">
        <f aca="false">IF(COUNT(D23:L23)=0,"",IF(COUNTIF(D23:L23,"&lt;=2")&gt;=2,"AVOID","OK"))</f>
        <v>AVOID</v>
      </c>
      <c r="AK23" s="92" t="str">
        <f aca="false">IF(COUNTA(E23:M23)=0,"",IF(COUNTIF(E23:M23,"L")&gt;=2,"CAP AT BUY","OK"))</f>
        <v>OK</v>
      </c>
      <c r="AL23" s="118" t="s">
        <v>359</v>
      </c>
      <c r="AM23" s="118" t="s">
        <v>362</v>
      </c>
      <c r="AN23" s="114"/>
      <c r="AO23" s="92"/>
      <c r="AP23" s="114" t="str">
        <f aca="false">IF(OR(AN23="",AO23=""),"",IF(AN23&gt;AO23,"OK","LOW CONF"))</f>
        <v/>
      </c>
      <c r="AQ23" s="114"/>
      <c r="AR23" s="92"/>
      <c r="AS23" s="122" t="str">
        <f aca="false">IF(OR(AQ23="",AR23=""),"",IF(AQ23&lt;AR23,"Decreased",IF(AQ23&gt;AR23,"Increased","Flat")))</f>
        <v/>
      </c>
    </row>
    <row r="24" customFormat="false" ht="15" hidden="true" customHeight="true" outlineLevel="1" collapsed="false">
      <c r="A24" s="61" t="s">
        <v>250</v>
      </c>
      <c r="B24" s="112" t="s">
        <v>363</v>
      </c>
      <c r="C24" s="113" t="n">
        <v>46245</v>
      </c>
      <c r="D24" s="114" t="n">
        <v>2</v>
      </c>
      <c r="E24" s="114" t="s">
        <v>331</v>
      </c>
      <c r="F24" s="114" t="n">
        <v>2</v>
      </c>
      <c r="G24" s="114" t="s">
        <v>329</v>
      </c>
      <c r="H24" s="114" t="n">
        <v>3</v>
      </c>
      <c r="I24" s="114" t="s">
        <v>329</v>
      </c>
      <c r="J24" s="114" t="n">
        <v>2</v>
      </c>
      <c r="K24" s="114" t="s">
        <v>329</v>
      </c>
      <c r="L24" s="114" t="n">
        <v>1</v>
      </c>
      <c r="M24" s="114" t="s">
        <v>330</v>
      </c>
      <c r="N24" s="115" t="n">
        <f aca="false">IF(COUNT(D24,F24,H24,J24,L24)=0,"",(D24*0.2+F24*0.15+H24*0.15+J24*0.1+L24*0.1)/(IF(D24&lt;&gt;"",0.2,0)+IF(F24&lt;&gt;"",0.15,0)+IF(H24&lt;&gt;"",0.15,0)+IF(J24&lt;&gt;"",0.1,0)+IF(L24&lt;&gt;"",0.1,0)))</f>
        <v>2.07142857142857</v>
      </c>
      <c r="O24" s="116" t="n">
        <f aca="false">IF(COUNT(D24,F24,H24,J24,L24)=0,"",D24*0.2+F24*0.15+H24*0.15+J24*0.1+L24*0.1)</f>
        <v>1.45</v>
      </c>
      <c r="P24" s="114"/>
      <c r="Q24" s="114"/>
      <c r="R24" s="114"/>
      <c r="S24" s="114"/>
      <c r="T24" s="114"/>
      <c r="U24" s="114"/>
      <c r="V24" s="114"/>
      <c r="W24" s="114"/>
      <c r="X24" s="116" t="str">
        <f aca="false">IF(COUNT(P24,R24,T24,V24)=0,"",P24*0.08+R24*0.06+T24*0.03+V24*0.08)</f>
        <v/>
      </c>
      <c r="Y24" s="114"/>
      <c r="Z24" s="114"/>
      <c r="AA24" s="114"/>
      <c r="AB24" s="114"/>
      <c r="AC24" s="114"/>
      <c r="AD24" s="114"/>
      <c r="AE24" s="116" t="str">
        <f aca="false">IF(COUNT(Y24,AA24,AC24)=0,"",Y24*0.02+AA24*0.02+AC24*0.01)</f>
        <v/>
      </c>
      <c r="AF24" s="96" t="str">
        <f aca="false">IF(OR(COUNT(D24,F24,H24,J24,L24)&lt;5,COUNT(P24,R24,T24,V24)&lt;4,COUNT(Y24,AA24,AC24)&lt;3),"",(O24+X24+AE24)*20)</f>
        <v/>
      </c>
      <c r="AG24" s="92" t="str">
        <f aca="false">IF(AF24="","",IF(AF24&gt;=80,"STRONG BUY",IF(AF24&gt;=65,"BUY",IF(AF24&gt;=50,"WATCH LIST",IF(AF24&gt;=35,"AVOID","PASS")))))</f>
        <v/>
      </c>
      <c r="AH24" s="92" t="str">
        <f aca="false">IF(N24="","",IF(N24&lt;3,"FAIL","OK"))</f>
        <v>FAIL</v>
      </c>
      <c r="AI24" s="92" t="str">
        <f aca="false">IF(COUNT(D24:L24)=0,"",IF(COUNTIF(D24:L24,1)&gt;0,"REVIEW","OK"))</f>
        <v>REVIEW</v>
      </c>
      <c r="AJ24" s="92" t="str">
        <f aca="false">IF(COUNT(D24:L24)=0,"",IF(COUNTIF(D24:L24,"&lt;=2")&gt;=2,"AVOID","OK"))</f>
        <v>AVOID</v>
      </c>
      <c r="AK24" s="92" t="str">
        <f aca="false">IF(COUNTA(E24:M24)=0,"",IF(COUNTIF(E24:M24,"L")&gt;=2,"CAP AT BUY","OK"))</f>
        <v>OK</v>
      </c>
      <c r="AL24" s="118" t="s">
        <v>359</v>
      </c>
      <c r="AM24" s="118" t="s">
        <v>364</v>
      </c>
      <c r="AN24" s="114"/>
      <c r="AO24" s="92"/>
      <c r="AP24" s="114" t="str">
        <f aca="false">IF(OR(AN24="",AO24=""),"",IF(AN24&gt;AO24,"OK","LOW CONF"))</f>
        <v/>
      </c>
      <c r="AQ24" s="114"/>
      <c r="AR24" s="92"/>
      <c r="AS24" s="122" t="str">
        <f aca="false">IF(OR(AQ24="",AR24=""),"",IF(AQ24&lt;AR24,"Decreased",IF(AQ24&gt;AR24,"Increased","Flat")))</f>
        <v/>
      </c>
    </row>
    <row r="25" customFormat="false" ht="15" hidden="true" customHeight="true" outlineLevel="1" collapsed="false">
      <c r="A25" s="61" t="s">
        <v>259</v>
      </c>
      <c r="B25" s="112" t="s">
        <v>365</v>
      </c>
      <c r="C25" s="113" t="n">
        <v>46245</v>
      </c>
      <c r="D25" s="114" t="n">
        <v>3</v>
      </c>
      <c r="E25" s="114" t="s">
        <v>329</v>
      </c>
      <c r="F25" s="114" t="n">
        <v>2</v>
      </c>
      <c r="G25" s="114" t="s">
        <v>330</v>
      </c>
      <c r="H25" s="114" t="n">
        <v>3</v>
      </c>
      <c r="I25" s="114" t="s">
        <v>329</v>
      </c>
      <c r="J25" s="114" t="n">
        <v>3</v>
      </c>
      <c r="K25" s="114" t="s">
        <v>329</v>
      </c>
      <c r="L25" s="114" t="n">
        <v>2</v>
      </c>
      <c r="M25" s="114" t="s">
        <v>330</v>
      </c>
      <c r="N25" s="115" t="n">
        <f aca="false">IF(COUNT(D25,F25,H25,J25,L25)=0,"",(D25*0.2+F25*0.15+H25*0.15+J25*0.1+L25*0.1)/(IF(D25&lt;&gt;"",0.2,0)+IF(F25&lt;&gt;"",0.15,0)+IF(H25&lt;&gt;"",0.15,0)+IF(J25&lt;&gt;"",0.1,0)+IF(L25&lt;&gt;"",0.1,0)))</f>
        <v>2.64285714285714</v>
      </c>
      <c r="O25" s="116" t="n">
        <f aca="false">IF(COUNT(D25,F25,H25,J25,L25)=0,"",D25*0.2+F25*0.15+H25*0.15+J25*0.1+L25*0.1)</f>
        <v>1.85</v>
      </c>
      <c r="P25" s="114"/>
      <c r="Q25" s="114"/>
      <c r="R25" s="114"/>
      <c r="S25" s="114"/>
      <c r="T25" s="114"/>
      <c r="U25" s="114"/>
      <c r="V25" s="114"/>
      <c r="W25" s="114"/>
      <c r="X25" s="116" t="str">
        <f aca="false">IF(COUNT(P25,R25,T25,V25)=0,"",P25*0.08+R25*0.06+T25*0.03+V25*0.08)</f>
        <v/>
      </c>
      <c r="Y25" s="114"/>
      <c r="Z25" s="114"/>
      <c r="AA25" s="114"/>
      <c r="AB25" s="114"/>
      <c r="AC25" s="114"/>
      <c r="AD25" s="114"/>
      <c r="AE25" s="116" t="str">
        <f aca="false">IF(COUNT(Y25,AA25,AC25)=0,"",Y25*0.02+AA25*0.02+AC25*0.01)</f>
        <v/>
      </c>
      <c r="AF25" s="96" t="str">
        <f aca="false">IF(OR(COUNT(D25,F25,H25,J25,L25)&lt;5,COUNT(P25,R25,T25,V25)&lt;4,COUNT(Y25,AA25,AC25)&lt;3),"",(O25+X25+AE25)*20)</f>
        <v/>
      </c>
      <c r="AG25" s="92" t="str">
        <f aca="false">IF(AF25="","",IF(AF25&gt;=80,"STRONG BUY",IF(AF25&gt;=65,"BUY",IF(AF25&gt;=50,"WATCH LIST",IF(AF25&gt;=35,"AVOID","PASS")))))</f>
        <v/>
      </c>
      <c r="AH25" s="92" t="str">
        <f aca="false">IF(N25="","",IF(N25&lt;3,"FAIL","OK"))</f>
        <v>FAIL</v>
      </c>
      <c r="AI25" s="92" t="str">
        <f aca="false">IF(COUNT(D25:L25)=0,"",IF(COUNTIF(D25:L25,1)&gt;0,"REVIEW","OK"))</f>
        <v>OK</v>
      </c>
      <c r="AJ25" s="92" t="str">
        <f aca="false">IF(COUNT(D25:L25)=0,"",IF(COUNTIF(D25:L25,"&lt;=2")&gt;=2,"AVOID","OK"))</f>
        <v>AVOID</v>
      </c>
      <c r="AK25" s="92" t="str">
        <f aca="false">IF(COUNTA(E25:M25)=0,"",IF(COUNTIF(E25:M25,"L")&gt;=2,"CAP AT BUY","OK"))</f>
        <v>OK</v>
      </c>
      <c r="AL25" s="118" t="s">
        <v>359</v>
      </c>
      <c r="AM25" s="118" t="s">
        <v>364</v>
      </c>
      <c r="AN25" s="114"/>
      <c r="AO25" s="92"/>
      <c r="AP25" s="114" t="str">
        <f aca="false">IF(OR(AN25="",AO25=""),"",IF(AN25&gt;AO25,"OK","LOW CONF"))</f>
        <v/>
      </c>
      <c r="AQ25" s="114"/>
      <c r="AR25" s="92"/>
      <c r="AS25" s="122" t="str">
        <f aca="false">IF(OR(AQ25="",AR25=""),"",IF(AQ25&lt;AR25,"Decreased",IF(AQ25&gt;AR25,"Increased","Flat")))</f>
        <v/>
      </c>
    </row>
    <row r="26" customFormat="false" ht="15" hidden="true" customHeight="true" outlineLevel="1" collapsed="false">
      <c r="A26" s="61" t="s">
        <v>229</v>
      </c>
      <c r="B26" s="112" t="s">
        <v>366</v>
      </c>
      <c r="C26" s="113" t="n">
        <v>46245</v>
      </c>
      <c r="D26" s="114" t="n">
        <v>2</v>
      </c>
      <c r="E26" s="114" t="s">
        <v>329</v>
      </c>
      <c r="F26" s="114" t="n">
        <v>1</v>
      </c>
      <c r="G26" s="114" t="s">
        <v>330</v>
      </c>
      <c r="H26" s="114" t="n">
        <v>2</v>
      </c>
      <c r="I26" s="114" t="s">
        <v>329</v>
      </c>
      <c r="J26" s="114" t="n">
        <v>2</v>
      </c>
      <c r="K26" s="114" t="s">
        <v>329</v>
      </c>
      <c r="L26" s="114" t="n">
        <v>2</v>
      </c>
      <c r="M26" s="114" t="s">
        <v>329</v>
      </c>
      <c r="N26" s="115" t="n">
        <f aca="false">IF(COUNT(D26,F26,H26,J26,L26)=0,"",(D26*0.2+F26*0.15+H26*0.15+J26*0.1+L26*0.1)/(IF(D26&lt;&gt;"",0.2,0)+IF(F26&lt;&gt;"",0.15,0)+IF(H26&lt;&gt;"",0.15,0)+IF(J26&lt;&gt;"",0.1,0)+IF(L26&lt;&gt;"",0.1,0)))</f>
        <v>1.78571428571429</v>
      </c>
      <c r="O26" s="116" t="n">
        <f aca="false">IF(COUNT(D26,F26,H26,J26,L26)=0,"",D26*0.2+F26*0.15+H26*0.15+J26*0.1+L26*0.1)</f>
        <v>1.25</v>
      </c>
      <c r="P26" s="114"/>
      <c r="Q26" s="114"/>
      <c r="R26" s="114"/>
      <c r="S26" s="114"/>
      <c r="T26" s="114"/>
      <c r="U26" s="114"/>
      <c r="V26" s="114"/>
      <c r="W26" s="114"/>
      <c r="X26" s="116" t="str">
        <f aca="false">IF(COUNT(P26,R26,T26,V26)=0,"",P26*0.08+R26*0.06+T26*0.03+V26*0.08)</f>
        <v/>
      </c>
      <c r="Y26" s="114"/>
      <c r="Z26" s="114"/>
      <c r="AA26" s="114"/>
      <c r="AB26" s="114"/>
      <c r="AC26" s="114"/>
      <c r="AD26" s="114"/>
      <c r="AE26" s="116" t="str">
        <f aca="false">IF(COUNT(Y26,AA26,AC26)=0,"",Y26*0.02+AA26*0.02+AC26*0.01)</f>
        <v/>
      </c>
      <c r="AF26" s="96" t="str">
        <f aca="false">IF(OR(COUNT(D26,F26,H26,J26,L26)&lt;5,COUNT(P26,R26,T26,V26)&lt;4,COUNT(Y26,AA26,AC26)&lt;3),"",(O26+X26+AE26)*20)</f>
        <v/>
      </c>
      <c r="AG26" s="92" t="str">
        <f aca="false">IF(AF26="","",IF(AF26&gt;=80,"STRONG BUY",IF(AF26&gt;=65,"BUY",IF(AF26&gt;=50,"WATCH LIST",IF(AF26&gt;=35,"AVOID","PASS")))))</f>
        <v/>
      </c>
      <c r="AH26" s="92" t="str">
        <f aca="false">IF(N26="","",IF(N26&lt;3,"FAIL","OK"))</f>
        <v>FAIL</v>
      </c>
      <c r="AI26" s="92" t="str">
        <f aca="false">IF(COUNT(D26:L26)=0,"",IF(COUNTIF(D26:L26,1)&gt;0,"REVIEW","OK"))</f>
        <v>REVIEW</v>
      </c>
      <c r="AJ26" s="92" t="str">
        <f aca="false">IF(COUNT(D26:L26)=0,"",IF(COUNTIF(D26:L26,"&lt;=2")&gt;=2,"AVOID","OK"))</f>
        <v>AVOID</v>
      </c>
      <c r="AK26" s="92" t="str">
        <f aca="false">IF(COUNTA(E26:M26)=0,"",IF(COUNTIF(E26:M26,"L")&gt;=2,"CAP AT BUY","OK"))</f>
        <v>OK</v>
      </c>
      <c r="AL26" s="118" t="s">
        <v>367</v>
      </c>
      <c r="AM26" s="118" t="s">
        <v>368</v>
      </c>
      <c r="AN26" s="114"/>
      <c r="AO26" s="92"/>
      <c r="AP26" s="114" t="str">
        <f aca="false">IF(OR(AN26="",AO26=""),"",IF(AN26&gt;AO26,"OK","LOW CONF"))</f>
        <v/>
      </c>
      <c r="AQ26" s="114"/>
      <c r="AR26" s="92"/>
      <c r="AS26" s="122" t="str">
        <f aca="false">IF(OR(AQ26="",AR26=""),"",IF(AQ26&lt;AR26,"Decreased",IF(AQ26&gt;AR26,"Increased","Flat")))</f>
        <v/>
      </c>
    </row>
    <row r="27" customFormat="false" ht="15" hidden="true" customHeight="true" outlineLevel="1" collapsed="false">
      <c r="A27" s="61" t="s">
        <v>230</v>
      </c>
      <c r="B27" s="112" t="s">
        <v>369</v>
      </c>
      <c r="C27" s="113" t="n">
        <v>46245</v>
      </c>
      <c r="D27" s="114" t="n">
        <v>2</v>
      </c>
      <c r="E27" s="114" t="s">
        <v>330</v>
      </c>
      <c r="F27" s="114" t="n">
        <v>2</v>
      </c>
      <c r="G27" s="114" t="s">
        <v>329</v>
      </c>
      <c r="H27" s="114" t="n">
        <v>2</v>
      </c>
      <c r="I27" s="114" t="s">
        <v>329</v>
      </c>
      <c r="J27" s="114" t="n">
        <v>2</v>
      </c>
      <c r="K27" s="114" t="s">
        <v>329</v>
      </c>
      <c r="L27" s="114" t="n">
        <v>1</v>
      </c>
      <c r="M27" s="114" t="s">
        <v>330</v>
      </c>
      <c r="N27" s="115" t="n">
        <f aca="false">IF(COUNT(D27,F27,H27,J27,L27)=0,"",(D27*0.2+F27*0.15+H27*0.15+J27*0.1+L27*0.1)/(IF(D27&lt;&gt;"",0.2,0)+IF(F27&lt;&gt;"",0.15,0)+IF(H27&lt;&gt;"",0.15,0)+IF(J27&lt;&gt;"",0.1,0)+IF(L27&lt;&gt;"",0.1,0)))</f>
        <v>1.85714285714286</v>
      </c>
      <c r="O27" s="116" t="n">
        <f aca="false">IF(COUNT(D27,F27,H27,J27,L27)=0,"",D27*0.2+F27*0.15+H27*0.15+J27*0.1+L27*0.1)</f>
        <v>1.3</v>
      </c>
      <c r="P27" s="114"/>
      <c r="Q27" s="114"/>
      <c r="R27" s="114"/>
      <c r="S27" s="114"/>
      <c r="T27" s="114"/>
      <c r="U27" s="114"/>
      <c r="V27" s="114"/>
      <c r="W27" s="114"/>
      <c r="X27" s="116" t="str">
        <f aca="false">IF(COUNT(P27,R27,T27,V27)=0,"",P27*0.08+R27*0.06+T27*0.03+V27*0.08)</f>
        <v/>
      </c>
      <c r="Y27" s="114"/>
      <c r="Z27" s="114"/>
      <c r="AA27" s="114"/>
      <c r="AB27" s="114"/>
      <c r="AC27" s="114"/>
      <c r="AD27" s="114"/>
      <c r="AE27" s="116" t="str">
        <f aca="false">IF(COUNT(Y27,AA27,AC27)=0,"",Y27*0.02+AA27*0.02+AC27*0.01)</f>
        <v/>
      </c>
      <c r="AF27" s="96" t="str">
        <f aca="false">IF(OR(COUNT(D27,F27,H27,J27,L27)&lt;5,COUNT(P27,R27,T27,V27)&lt;4,COUNT(Y27,AA27,AC27)&lt;3),"",(O27+X27+AE27)*20)</f>
        <v/>
      </c>
      <c r="AG27" s="92" t="str">
        <f aca="false">IF(AF27="","",IF(AF27&gt;=80,"STRONG BUY",IF(AF27&gt;=65,"BUY",IF(AF27&gt;=50,"WATCH LIST",IF(AF27&gt;=35,"AVOID","PASS")))))</f>
        <v/>
      </c>
      <c r="AH27" s="92" t="str">
        <f aca="false">IF(N27="","",IF(N27&lt;3,"FAIL","OK"))</f>
        <v>FAIL</v>
      </c>
      <c r="AI27" s="92" t="str">
        <f aca="false">IF(COUNT(D27:L27)=0,"",IF(COUNTIF(D27:L27,1)&gt;0,"REVIEW","OK"))</f>
        <v>REVIEW</v>
      </c>
      <c r="AJ27" s="92" t="str">
        <f aca="false">IF(COUNT(D27:L27)=0,"",IF(COUNTIF(D27:L27,"&lt;=2")&gt;=2,"AVOID","OK"))</f>
        <v>AVOID</v>
      </c>
      <c r="AK27" s="92" t="str">
        <f aca="false">IF(COUNTA(E27:M27)=0,"",IF(COUNTIF(E27:M27,"L")&gt;=2,"CAP AT BUY","OK"))</f>
        <v>OK</v>
      </c>
      <c r="AL27" s="118" t="s">
        <v>367</v>
      </c>
      <c r="AM27" s="118" t="s">
        <v>370</v>
      </c>
      <c r="AN27" s="114"/>
      <c r="AO27" s="92"/>
      <c r="AP27" s="114" t="str">
        <f aca="false">IF(OR(AN27="",AO27=""),"",IF(AN27&gt;AO27,"OK","LOW CONF"))</f>
        <v/>
      </c>
      <c r="AQ27" s="114"/>
      <c r="AR27" s="92"/>
      <c r="AS27" s="122" t="str">
        <f aca="false">IF(OR(AQ27="",AR27=""),"",IF(AQ27&lt;AR27,"Decreased",IF(AQ27&gt;AR27,"Increased","Flat")))</f>
        <v/>
      </c>
    </row>
    <row r="28" customFormat="false" ht="15" hidden="false" customHeight="true" outlineLevel="0" collapsed="false">
      <c r="A28" s="61" t="s">
        <v>252</v>
      </c>
      <c r="B28" s="112" t="s">
        <v>371</v>
      </c>
      <c r="C28" s="123" t="n">
        <v>46276</v>
      </c>
      <c r="D28" s="114" t="n">
        <v>2</v>
      </c>
      <c r="E28" s="114" t="s">
        <v>329</v>
      </c>
      <c r="F28" s="114" t="n">
        <v>2</v>
      </c>
      <c r="G28" s="114" t="s">
        <v>329</v>
      </c>
      <c r="H28" s="114" t="n">
        <v>5</v>
      </c>
      <c r="I28" s="114" t="s">
        <v>330</v>
      </c>
      <c r="J28" s="114" t="n">
        <v>5</v>
      </c>
      <c r="K28" s="114" t="s">
        <v>330</v>
      </c>
      <c r="L28" s="114" t="n">
        <v>2</v>
      </c>
      <c r="M28" s="114" t="s">
        <v>329</v>
      </c>
      <c r="N28" s="115" t="n">
        <f aca="false">IF(COUNT(D28,F28,H28,J28,L28)=0,"",(D28*0.2+F28*0.15+H28*0.15+J28*0.1+L28*0.1)/(IF(D28&lt;&gt;"",0.2,0)+IF(F28&lt;&gt;"",0.15,0)+IF(H28&lt;&gt;"",0.15,0)+IF(J28&lt;&gt;"",0.1,0)+IF(L28&lt;&gt;"",0.1,0)))</f>
        <v>3.07142857142857</v>
      </c>
      <c r="O28" s="92" t="n">
        <f aca="false">IF(COUNT(D28,F28,H28,J28,L28)=0,"",D28*0.2+F28*0.15+H28*0.15+J28*0.1+L28*0.1)</f>
        <v>2.15</v>
      </c>
      <c r="P28" s="114"/>
      <c r="Q28" s="114"/>
      <c r="R28" s="114"/>
      <c r="S28" s="114"/>
      <c r="T28" s="114"/>
      <c r="U28" s="114"/>
      <c r="V28" s="114"/>
      <c r="W28" s="114"/>
      <c r="X28" s="64" t="str">
        <f aca="false">IF(COUNT(P28,R28,T28,V28)=0,"",P28*0.08+R28*0.06+T28*0.03+V28*0.08)</f>
        <v/>
      </c>
      <c r="Y28" s="114"/>
      <c r="Z28" s="114"/>
      <c r="AA28" s="114"/>
      <c r="AB28" s="114"/>
      <c r="AC28" s="114"/>
      <c r="AD28" s="114"/>
      <c r="AE28" s="64" t="str">
        <f aca="false">IF(COUNT(Y28,AA28,AC28)=0,"",Y28*0.02+AA28*0.02+AC28*0.01)</f>
        <v/>
      </c>
      <c r="AF28" s="92" t="str">
        <f aca="false">IF(OR(COUNT(D28,F28,H28,J28,L28)&lt;5,COUNT(P28,R28,T28,V28)&lt;4,COUNT(Y28,AA28,AC28)&lt;3),"",(O28+X28+AE28)*20)</f>
        <v/>
      </c>
      <c r="AG28" s="92" t="str">
        <f aca="false">IF(AF28="","",IF(AF28&gt;=80,"STRONG BUY",IF(AF28&gt;=65,"BUY",IF(AF28&gt;=50,"WATCH LIST",IF(AF28&gt;=35,"AVOID","PASS")))))</f>
        <v/>
      </c>
      <c r="AH28" s="92" t="str">
        <f aca="false">IF(N28="","",IF(N28&lt;3,"FAIL","OK"))</f>
        <v>OK</v>
      </c>
      <c r="AI28" s="92" t="str">
        <f aca="false">IF(COUNT(D28:L28)=0,"",IF(COUNTIF(D28:L28,1)&gt;0,"REVIEW","OK"))</f>
        <v>OK</v>
      </c>
      <c r="AJ28" s="92" t="str">
        <f aca="false">IF(COUNT(D28:L28)=0,"",IF(COUNTIF(D28:L28,"&lt;=2")&gt;=2,"AVOID","OK"))</f>
        <v>AVOID</v>
      </c>
      <c r="AK28" s="92" t="str">
        <f aca="false">IF(COUNTA(E28:M28)=0,"",IF(COUNTIF(E28:M28,"L")&gt;=2,"CAP AT BUY","OK"))</f>
        <v>OK</v>
      </c>
      <c r="AL28" s="118" t="s">
        <v>367</v>
      </c>
      <c r="AM28" s="118" t="s">
        <v>372</v>
      </c>
      <c r="AN28" s="114"/>
      <c r="AO28" s="92"/>
      <c r="AP28" s="114" t="str">
        <f aca="false">IF(OR(AN28="",AO28=""),"",IF(AN28&gt;AO28,"OK","LOW CONF"))</f>
        <v/>
      </c>
      <c r="AQ28" s="114"/>
      <c r="AR28" s="92"/>
      <c r="AS28" s="124" t="str">
        <f aca="false">IF(OR(AQ28="",AR28=""),"",IF(AQ28&lt;AR28,"Decreased",IF(AQ28&gt;AR28,"Increased","Flat")))</f>
        <v/>
      </c>
    </row>
    <row r="29" customFormat="false" ht="15" hidden="true" customHeight="true" outlineLevel="1" collapsed="false">
      <c r="A29" s="61" t="s">
        <v>235</v>
      </c>
      <c r="B29" s="112" t="s">
        <v>373</v>
      </c>
      <c r="C29" s="123" t="n">
        <v>46245</v>
      </c>
      <c r="D29" s="114" t="n">
        <v>2</v>
      </c>
      <c r="E29" s="114" t="s">
        <v>329</v>
      </c>
      <c r="F29" s="114" t="n">
        <v>2</v>
      </c>
      <c r="G29" s="114" t="s">
        <v>329</v>
      </c>
      <c r="H29" s="114" t="n">
        <v>3</v>
      </c>
      <c r="I29" s="114" t="s">
        <v>329</v>
      </c>
      <c r="J29" s="114" t="n">
        <v>3</v>
      </c>
      <c r="K29" s="114" t="s">
        <v>329</v>
      </c>
      <c r="L29" s="114" t="n">
        <v>2</v>
      </c>
      <c r="M29" s="114" t="s">
        <v>330</v>
      </c>
      <c r="N29" s="115" t="n">
        <f aca="false">IF(COUNT(D29,F29,H29,J29,L29)=0,"",(D29*0.2+F29*0.15+H29*0.15+J29*0.1+L29*0.1)/(IF(D29&lt;&gt;"",0.2,0)+IF(F29&lt;&gt;"",0.15,0)+IF(H29&lt;&gt;"",0.15,0)+IF(J29&lt;&gt;"",0.1,0)+IF(L29&lt;&gt;"",0.1,0)))</f>
        <v>2.35714285714286</v>
      </c>
      <c r="O29" s="92" t="n">
        <f aca="false">IF(COUNT(D29,F29,H29,J29,L29)=0,"",D29*0.2+F29*0.15+H29*0.15+J29*0.1+L29*0.1)</f>
        <v>1.65</v>
      </c>
      <c r="P29" s="114"/>
      <c r="Q29" s="114"/>
      <c r="R29" s="114"/>
      <c r="S29" s="114"/>
      <c r="T29" s="114"/>
      <c r="U29" s="114"/>
      <c r="V29" s="114"/>
      <c r="W29" s="114"/>
      <c r="X29" s="64" t="str">
        <f aca="false">IF(COUNT(P29,R29,T29,V29)=0,"",P29*0.08+R29*0.06+T29*0.03+V29*0.08)</f>
        <v/>
      </c>
      <c r="Y29" s="114"/>
      <c r="Z29" s="114"/>
      <c r="AA29" s="114"/>
      <c r="AB29" s="114"/>
      <c r="AC29" s="114"/>
      <c r="AD29" s="114"/>
      <c r="AE29" s="64" t="str">
        <f aca="false">IF(COUNT(Y29,AA29,AC29)=0,"",Y29*0.02+AA29*0.02+AC29*0.01)</f>
        <v/>
      </c>
      <c r="AF29" s="92" t="str">
        <f aca="false">IF(OR(COUNT(D29,F29,H29,J29,L29)&lt;5,COUNT(P29,R29,T29,V29)&lt;4,COUNT(Y29,AA29,AC29)&lt;3),"",(O29+X29+AE29)*20)</f>
        <v/>
      </c>
      <c r="AG29" s="92" t="str">
        <f aca="false">IF(AF29="","",IF(AF29&gt;=80,"STRONG BUY",IF(AF29&gt;=65,"BUY",IF(AF29&gt;=50,"WATCH LIST",IF(AF29&gt;=35,"AVOID","PASS")))))</f>
        <v/>
      </c>
      <c r="AH29" s="92" t="str">
        <f aca="false">IF(N29="","",IF(N29&lt;3,"FAIL","OK"))</f>
        <v>FAIL</v>
      </c>
      <c r="AI29" s="92" t="str">
        <f aca="false">IF(COUNT(D29:L29)=0,"",IF(COUNTIF(D29:L29,1)&gt;0,"REVIEW","OK"))</f>
        <v>OK</v>
      </c>
      <c r="AJ29" s="92" t="str">
        <f aca="false">IF(COUNT(D29:L29)=0,"",IF(COUNTIF(D29:L29,"&lt;=2")&gt;=2,"AVOID","OK"))</f>
        <v>AVOID</v>
      </c>
      <c r="AK29" s="92" t="str">
        <f aca="false">IF(COUNTA(E29:M29)=0,"",IF(COUNTIF(E29:M29,"L")&gt;=2,"CAP AT BUY","OK"))</f>
        <v>OK</v>
      </c>
      <c r="AL29" s="118" t="s">
        <v>340</v>
      </c>
      <c r="AM29" s="118" t="s">
        <v>374</v>
      </c>
      <c r="AN29" s="114"/>
      <c r="AO29" s="92"/>
      <c r="AP29" s="114" t="str">
        <f aca="false">IF(OR(AN29="",AO29=""),"",IF(AN29&gt;AO29,"OK","LOW CONF"))</f>
        <v/>
      </c>
      <c r="AQ29" s="114"/>
      <c r="AR29" s="92"/>
      <c r="AS29" s="124" t="str">
        <f aca="false">IF(OR(AQ29="",AR29=""),"",IF(AQ29&lt;AR29,"Decreased",IF(AQ29&gt;AR29,"Increased","Flat")))</f>
        <v/>
      </c>
    </row>
    <row r="30" customFormat="false" ht="15" hidden="true" customHeight="true" outlineLevel="1" collapsed="false">
      <c r="A30" s="61" t="s">
        <v>239</v>
      </c>
      <c r="B30" s="112" t="s">
        <v>375</v>
      </c>
      <c r="C30" s="123" t="n">
        <v>46245</v>
      </c>
      <c r="D30" s="114" t="n">
        <v>2</v>
      </c>
      <c r="E30" s="114" t="s">
        <v>329</v>
      </c>
      <c r="F30" s="114" t="n">
        <v>1</v>
      </c>
      <c r="G30" s="114" t="s">
        <v>330</v>
      </c>
      <c r="H30" s="114" t="n">
        <v>3</v>
      </c>
      <c r="I30" s="114" t="s">
        <v>329</v>
      </c>
      <c r="J30" s="114" t="n">
        <v>2</v>
      </c>
      <c r="K30" s="114" t="s">
        <v>329</v>
      </c>
      <c r="L30" s="114" t="n">
        <v>3</v>
      </c>
      <c r="M30" s="114" t="s">
        <v>329</v>
      </c>
      <c r="N30" s="115" t="n">
        <f aca="false">IF(COUNT(D30,F30,H30,J30,L30)=0,"",(D30*0.2+F30*0.15+H30*0.15+J30*0.1+L30*0.1)/(IF(D30&lt;&gt;"",0.2,0)+IF(F30&lt;&gt;"",0.15,0)+IF(H30&lt;&gt;"",0.15,0)+IF(J30&lt;&gt;"",0.1,0)+IF(L30&lt;&gt;"",0.1,0)))</f>
        <v>2.14285714285714</v>
      </c>
      <c r="O30" s="92" t="n">
        <f aca="false">IF(COUNT(D30,F30,H30,J30,L30)=0,"",D30*0.2+F30*0.15+H30*0.15+J30*0.1+L30*0.1)</f>
        <v>1.5</v>
      </c>
      <c r="P30" s="114"/>
      <c r="Q30" s="114"/>
      <c r="R30" s="114"/>
      <c r="S30" s="114"/>
      <c r="T30" s="114"/>
      <c r="U30" s="114"/>
      <c r="V30" s="114"/>
      <c r="W30" s="114"/>
      <c r="X30" s="64" t="str">
        <f aca="false">IF(COUNT(P30,R30,T30,V30)=0,"",P30*0.08+R30*0.06+T30*0.03+V30*0.08)</f>
        <v/>
      </c>
      <c r="Y30" s="114"/>
      <c r="Z30" s="114"/>
      <c r="AA30" s="114"/>
      <c r="AB30" s="114"/>
      <c r="AC30" s="114"/>
      <c r="AD30" s="114"/>
      <c r="AE30" s="64" t="str">
        <f aca="false">IF(COUNT(Y30,AA30,AC30)=0,"",Y30*0.02+AA30*0.02+AC30*0.01)</f>
        <v/>
      </c>
      <c r="AF30" s="92" t="str">
        <f aca="false">IF(OR(COUNT(D30,F30,H30,J30,L30)&lt;5,COUNT(P30,R30,T30,V30)&lt;4,COUNT(Y30,AA30,AC30)&lt;3),"",(O30+X30+AE30)*20)</f>
        <v/>
      </c>
      <c r="AG30" s="92" t="str">
        <f aca="false">IF(AF30="","",IF(AF30&gt;=80,"STRONG BUY",IF(AF30&gt;=65,"BUY",IF(AF30&gt;=50,"WATCH LIST",IF(AF30&gt;=35,"AVOID","PASS")))))</f>
        <v/>
      </c>
      <c r="AH30" s="92" t="str">
        <f aca="false">IF(N30="","",IF(N30&lt;3,"FAIL","OK"))</f>
        <v>FAIL</v>
      </c>
      <c r="AI30" s="92" t="str">
        <f aca="false">IF(COUNT(D30:L30)=0,"",IF(COUNTIF(D30:L30,1)&gt;0,"REVIEW","OK"))</f>
        <v>REVIEW</v>
      </c>
      <c r="AJ30" s="92" t="str">
        <f aca="false">IF(COUNT(D30:L30)=0,"",IF(COUNTIF(D30:L30,"&lt;=2")&gt;=2,"AVOID","OK"))</f>
        <v>AVOID</v>
      </c>
      <c r="AK30" s="92" t="str">
        <f aca="false">IF(COUNTA(E30:M30)=0,"",IF(COUNTIF(E30:M30,"L")&gt;=2,"CAP AT BUY","OK"))</f>
        <v>OK</v>
      </c>
      <c r="AL30" s="118" t="s">
        <v>340</v>
      </c>
      <c r="AM30" s="118" t="s">
        <v>376</v>
      </c>
      <c r="AN30" s="114"/>
      <c r="AO30" s="92"/>
      <c r="AP30" s="114" t="str">
        <f aca="false">IF(OR(AN30="",AO30=""),"",IF(AN30&gt;AO30,"OK","LOW CONF"))</f>
        <v/>
      </c>
      <c r="AQ30" s="114"/>
      <c r="AR30" s="92"/>
      <c r="AS30" s="124" t="str">
        <f aca="false">IF(OR(AQ30="",AR30=""),"",IF(AQ30&lt;AR30,"Decreased",IF(AQ30&gt;AR30,"Increased","Flat")))</f>
        <v/>
      </c>
    </row>
    <row r="31" customFormat="false" ht="15" hidden="true" customHeight="true" outlineLevel="1" collapsed="false">
      <c r="A31" s="61" t="s">
        <v>249</v>
      </c>
      <c r="B31" s="112" t="s">
        <v>377</v>
      </c>
      <c r="C31" s="123" t="n">
        <v>46245</v>
      </c>
      <c r="D31" s="114" t="n">
        <v>1</v>
      </c>
      <c r="E31" s="114" t="s">
        <v>330</v>
      </c>
      <c r="F31" s="114" t="n">
        <v>2</v>
      </c>
      <c r="G31" s="114" t="s">
        <v>329</v>
      </c>
      <c r="H31" s="114" t="n">
        <v>3</v>
      </c>
      <c r="I31" s="114" t="s">
        <v>329</v>
      </c>
      <c r="J31" s="114" t="n">
        <v>3</v>
      </c>
      <c r="K31" s="114" t="s">
        <v>329</v>
      </c>
      <c r="L31" s="114" t="n">
        <v>1</v>
      </c>
      <c r="M31" s="114" t="s">
        <v>330</v>
      </c>
      <c r="N31" s="115" t="n">
        <f aca="false">IF(COUNT(D31,F31,H31,J31,L31)=0,"",(D31*0.2+F31*0.15+H31*0.15+J31*0.1+L31*0.1)/(IF(D31&lt;&gt;"",0.2,0)+IF(F31&lt;&gt;"",0.15,0)+IF(H31&lt;&gt;"",0.15,0)+IF(J31&lt;&gt;"",0.1,0)+IF(L31&lt;&gt;"",0.1,0)))</f>
        <v>1.92857142857143</v>
      </c>
      <c r="O31" s="92" t="n">
        <f aca="false">IF(COUNT(D31,F31,H31,J31,L31)=0,"",D31*0.2+F31*0.15+H31*0.15+J31*0.1+L31*0.1)</f>
        <v>1.35</v>
      </c>
      <c r="P31" s="114"/>
      <c r="Q31" s="114"/>
      <c r="R31" s="114"/>
      <c r="S31" s="114"/>
      <c r="T31" s="114"/>
      <c r="U31" s="114"/>
      <c r="V31" s="114"/>
      <c r="W31" s="114"/>
      <c r="X31" s="64" t="str">
        <f aca="false">IF(COUNT(P31,R31,T31,V31)=0,"",P31*0.08+R31*0.06+T31*0.03+V31*0.08)</f>
        <v/>
      </c>
      <c r="Y31" s="114"/>
      <c r="Z31" s="114"/>
      <c r="AA31" s="114"/>
      <c r="AB31" s="114"/>
      <c r="AC31" s="114"/>
      <c r="AD31" s="114"/>
      <c r="AE31" s="64" t="str">
        <f aca="false">IF(COUNT(Y31,AA31,AC31)=0,"",Y31*0.02+AA31*0.02+AC31*0.01)</f>
        <v/>
      </c>
      <c r="AF31" s="92" t="str">
        <f aca="false">IF(OR(COUNT(D31,F31,H31,J31,L31)&lt;5,COUNT(P31,R31,T31,V31)&lt;4,COUNT(Y31,AA31,AC31)&lt;3),"",(O31+X31+AE31)*20)</f>
        <v/>
      </c>
      <c r="AG31" s="92" t="str">
        <f aca="false">IF(AF31="","",IF(AF31&gt;=80,"STRONG BUY",IF(AF31&gt;=65,"BUY",IF(AF31&gt;=50,"WATCH LIST",IF(AF31&gt;=35,"AVOID","PASS")))))</f>
        <v/>
      </c>
      <c r="AH31" s="92" t="str">
        <f aca="false">IF(N31="","",IF(N31&lt;3,"FAIL","OK"))</f>
        <v>FAIL</v>
      </c>
      <c r="AI31" s="92" t="str">
        <f aca="false">IF(COUNT(D31:L31)=0,"",IF(COUNTIF(D31:L31,1)&gt;0,"REVIEW","OK"))</f>
        <v>REVIEW</v>
      </c>
      <c r="AJ31" s="92" t="str">
        <f aca="false">IF(COUNT(D31:L31)=0,"",IF(COUNTIF(D31:L31,"&lt;=2")&gt;=2,"AVOID","OK"))</f>
        <v>AVOID</v>
      </c>
      <c r="AK31" s="92" t="str">
        <f aca="false">IF(COUNTA(E31:M31)=0,"",IF(COUNTIF(E31:M31,"L")&gt;=2,"CAP AT BUY","OK"))</f>
        <v>OK</v>
      </c>
      <c r="AL31" s="118" t="s">
        <v>340</v>
      </c>
      <c r="AM31" s="118" t="s">
        <v>378</v>
      </c>
      <c r="AN31" s="114"/>
      <c r="AO31" s="92"/>
      <c r="AP31" s="114" t="str">
        <f aca="false">IF(OR(AN31="",AO31=""),"",IF(AN31&gt;AO31,"OK","LOW CONF"))</f>
        <v/>
      </c>
      <c r="AQ31" s="114"/>
      <c r="AR31" s="92"/>
      <c r="AS31" s="124" t="str">
        <f aca="false">IF(OR(AQ31="",AR31=""),"",IF(AQ31&lt;AR31,"Decreased",IF(AQ31&gt;AR31,"Increased","Flat")))</f>
        <v/>
      </c>
    </row>
    <row r="32" customFormat="false" ht="15" hidden="false" customHeight="true" outlineLevel="0" collapsed="false">
      <c r="A32" s="61" t="s">
        <v>263</v>
      </c>
      <c r="B32" s="112" t="s">
        <v>379</v>
      </c>
      <c r="C32" s="123" t="n">
        <v>46295</v>
      </c>
      <c r="D32" s="114" t="n">
        <v>4</v>
      </c>
      <c r="E32" s="114" t="s">
        <v>329</v>
      </c>
      <c r="F32" s="114" t="n">
        <v>3</v>
      </c>
      <c r="G32" s="114" t="s">
        <v>329</v>
      </c>
      <c r="H32" s="114" t="n">
        <v>5</v>
      </c>
      <c r="I32" s="114" t="s">
        <v>330</v>
      </c>
      <c r="J32" s="114" t="n">
        <v>4</v>
      </c>
      <c r="K32" s="114" t="s">
        <v>329</v>
      </c>
      <c r="L32" s="114" t="n">
        <v>4</v>
      </c>
      <c r="M32" s="114" t="s">
        <v>329</v>
      </c>
      <c r="N32" s="115" t="n">
        <f aca="false">IF(COUNT(D32,F32,H32,J32,L32)=0,"",(D32*0.2+F32*0.15+H32*0.15+J32*0.1+L32*0.1)/(IF(D32&lt;&gt;"",0.2,0)+IF(F32&lt;&gt;"",0.15,0)+IF(H32&lt;&gt;"",0.15,0)+IF(J32&lt;&gt;"",0.1,0)+IF(L32&lt;&gt;"",0.1,0)))</f>
        <v>4</v>
      </c>
      <c r="O32" s="92" t="n">
        <f aca="false">IF(COUNT(D32,F32,H32,J32,L32)=0,"",D32*0.2+F32*0.15+H32*0.15+J32*0.1+L32*0.1)</f>
        <v>2.8</v>
      </c>
      <c r="P32" s="114"/>
      <c r="Q32" s="114"/>
      <c r="R32" s="114"/>
      <c r="S32" s="114"/>
      <c r="T32" s="114"/>
      <c r="U32" s="114"/>
      <c r="V32" s="114"/>
      <c r="W32" s="114"/>
      <c r="X32" s="64" t="str">
        <f aca="false">IF(COUNT(P32,R32,T32,V32)=0,"",P32*0.08+R32*0.06+T32*0.03+V32*0.08)</f>
        <v/>
      </c>
      <c r="Y32" s="114"/>
      <c r="Z32" s="114"/>
      <c r="AA32" s="114"/>
      <c r="AB32" s="114"/>
      <c r="AC32" s="114"/>
      <c r="AD32" s="114"/>
      <c r="AE32" s="64" t="str">
        <f aca="false">IF(COUNT(Y32,AA32,AC32)=0,"",Y32*0.02+AA32*0.02+AC32*0.01)</f>
        <v/>
      </c>
      <c r="AF32" s="92" t="str">
        <f aca="false">IF(OR(COUNT(D32,F32,H32,J32,L32)&lt;5,COUNT(P32,R32,T32,V32)&lt;4,COUNT(Y32,AA32,AC32)&lt;3),"",(O32+X32+AE32)*20)</f>
        <v/>
      </c>
      <c r="AG32" s="92" t="str">
        <f aca="false">IF(AF32="","",IF(AF32&gt;=80,"STRONG BUY",IF(AF32&gt;=65,"BUY",IF(AF32&gt;=50,"WATCH LIST",IF(AF32&gt;=35,"AVOID","PASS")))))</f>
        <v/>
      </c>
      <c r="AH32" s="92" t="str">
        <f aca="false">IF(N32="","",IF(N32&lt;3,"FAIL","OK"))</f>
        <v>OK</v>
      </c>
      <c r="AI32" s="92" t="str">
        <f aca="false">IF(COUNT(D32:L32)=0,"",IF(COUNTIF(D32:L32,1)&gt;0,"REVIEW","OK"))</f>
        <v>OK</v>
      </c>
      <c r="AJ32" s="92" t="str">
        <f aca="false">IF(COUNT(D32:L32)=0,"",IF(COUNTIF(D32:L32,"&lt;=2")&gt;=2,"AVOID","OK"))</f>
        <v>OK</v>
      </c>
      <c r="AK32" s="92" t="str">
        <f aca="false">IF(COUNTA(E32:M32)=0,"",IF(COUNTIF(E32:M32,"L")&gt;=2,"CAP AT BUY","OK"))</f>
        <v>OK</v>
      </c>
      <c r="AL32" s="118" t="s">
        <v>340</v>
      </c>
      <c r="AM32" s="118" t="s">
        <v>376</v>
      </c>
      <c r="AN32" s="114"/>
      <c r="AO32" s="92"/>
      <c r="AP32" s="114" t="str">
        <f aca="false">IF(OR(AN32="",AO32=""),"",IF(AN32&gt;AO32,"OK","LOW CONF"))</f>
        <v/>
      </c>
      <c r="AQ32" s="114"/>
      <c r="AR32" s="92"/>
      <c r="AS32" s="124" t="str">
        <f aca="false">IF(OR(AQ32="",AR32=""),"",IF(AQ32&lt;AR32,"Decreased",IF(AQ32&gt;AR32,"Increased","Flat")))</f>
        <v/>
      </c>
    </row>
    <row r="33" customFormat="false" ht="15" hidden="false" customHeight="true" outlineLevel="0" collapsed="false">
      <c r="A33" s="61" t="s">
        <v>231</v>
      </c>
      <c r="B33" s="112" t="s">
        <v>380</v>
      </c>
      <c r="C33" s="123" t="n">
        <v>46245</v>
      </c>
      <c r="D33" s="114" t="n">
        <v>4</v>
      </c>
      <c r="E33" s="114" t="s">
        <v>330</v>
      </c>
      <c r="F33" s="114" t="n">
        <v>4</v>
      </c>
      <c r="G33" s="114" t="s">
        <v>330</v>
      </c>
      <c r="H33" s="114" t="n">
        <v>4</v>
      </c>
      <c r="I33" s="114" t="s">
        <v>330</v>
      </c>
      <c r="J33" s="114" t="n">
        <v>3</v>
      </c>
      <c r="K33" s="114" t="s">
        <v>329</v>
      </c>
      <c r="L33" s="114" t="n">
        <v>3</v>
      </c>
      <c r="M33" s="114" t="s">
        <v>330</v>
      </c>
      <c r="N33" s="115" t="n">
        <f aca="false">IF(COUNT(D33,F33,H33,J33,L33)=0,"",(D33*0.2+F33*0.15+H33*0.15+J33*0.1+L33*0.1)/(IF(D33&lt;&gt;"",0.2,0)+IF(F33&lt;&gt;"",0.15,0)+IF(H33&lt;&gt;"",0.15,0)+IF(J33&lt;&gt;"",0.1,0)+IF(L33&lt;&gt;"",0.1,0)))</f>
        <v>3.71428571428571</v>
      </c>
      <c r="O33" s="92" t="n">
        <f aca="false">IF(COUNT(D33,F33,H33,J33,L33)=0,"",D33*0.2+F33*0.15+H33*0.15+J33*0.1+L33*0.1)</f>
        <v>2.6</v>
      </c>
      <c r="P33" s="114"/>
      <c r="Q33" s="114"/>
      <c r="R33" s="114"/>
      <c r="S33" s="114"/>
      <c r="T33" s="114"/>
      <c r="U33" s="114"/>
      <c r="V33" s="114"/>
      <c r="W33" s="114"/>
      <c r="X33" s="64" t="str">
        <f aca="false">IF(COUNT(P33,R33,T33,V33)=0,"",P33*0.08+R33*0.06+T33*0.03+V33*0.08)</f>
        <v/>
      </c>
      <c r="Y33" s="114"/>
      <c r="Z33" s="114"/>
      <c r="AA33" s="114"/>
      <c r="AB33" s="114"/>
      <c r="AC33" s="114"/>
      <c r="AD33" s="114"/>
      <c r="AE33" s="64" t="str">
        <f aca="false">IF(COUNT(Y33,AA33,AC33)=0,"",Y33*0.02+AA33*0.02+AC33*0.01)</f>
        <v/>
      </c>
      <c r="AF33" s="92" t="str">
        <f aca="false">IF(OR(COUNT(D33,F33,H33,J33,L33)&lt;5,COUNT(P33,R33,T33,V33)&lt;4,COUNT(Y33,AA33,AC33)&lt;3),"",(O33+X33+AE33)*20)</f>
        <v/>
      </c>
      <c r="AG33" s="92" t="str">
        <f aca="false">IF(AF33="","",IF(AF33&gt;=80,"STRONG BUY",IF(AF33&gt;=65,"BUY",IF(AF33&gt;=50,"WATCH LIST",IF(AF33&gt;=35,"AVOID","PASS")))))</f>
        <v/>
      </c>
      <c r="AH33" s="92" t="str">
        <f aca="false">IF(N33="","",IF(N33&lt;3,"FAIL","OK"))</f>
        <v>OK</v>
      </c>
      <c r="AI33" s="92" t="str">
        <f aca="false">IF(COUNT(D33:L33)=0,"",IF(COUNTIF(D33:L33,1)&gt;0,"REVIEW","OK"))</f>
        <v>OK</v>
      </c>
      <c r="AJ33" s="92" t="str">
        <f aca="false">IF(COUNT(D33:L33)=0,"",IF(COUNTIF(D33:L33,"&lt;=2")&gt;=2,"AVOID","OK"))</f>
        <v>OK</v>
      </c>
      <c r="AK33" s="92" t="str">
        <f aca="false">IF(COUNTA(E33:M33)=0,"",IF(COUNTIF(E33:M33,"L")&gt;=2,"CAP AT BUY","OK"))</f>
        <v>OK</v>
      </c>
      <c r="AL33" s="118" t="s">
        <v>342</v>
      </c>
      <c r="AM33" s="118" t="s">
        <v>381</v>
      </c>
      <c r="AN33" s="114"/>
      <c r="AO33" s="92"/>
      <c r="AP33" s="114" t="str">
        <f aca="false">IF(OR(AN33="",AO33=""),"",IF(AN33&gt;AO33,"OK","LOW CONF"))</f>
        <v/>
      </c>
      <c r="AQ33" s="114"/>
      <c r="AR33" s="92"/>
      <c r="AS33" s="124" t="str">
        <f aca="false">IF(OR(AQ33="",AR33=""),"",IF(AQ33&lt;AR33,"Decreased",IF(AQ33&gt;AR33,"Increased","Flat")))</f>
        <v/>
      </c>
    </row>
    <row r="34" customFormat="false" ht="15" hidden="false" customHeight="true" outlineLevel="0" collapsed="false">
      <c r="A34" s="61" t="s">
        <v>238</v>
      </c>
      <c r="B34" s="112" t="s">
        <v>382</v>
      </c>
      <c r="C34" s="123" t="n">
        <v>46295</v>
      </c>
      <c r="D34" s="114" t="n">
        <v>5</v>
      </c>
      <c r="E34" s="114" t="s">
        <v>329</v>
      </c>
      <c r="F34" s="114" t="n">
        <v>2</v>
      </c>
      <c r="G34" s="114" t="s">
        <v>329</v>
      </c>
      <c r="H34" s="114" t="n">
        <v>5</v>
      </c>
      <c r="I34" s="114" t="s">
        <v>330</v>
      </c>
      <c r="J34" s="114" t="n">
        <v>4</v>
      </c>
      <c r="K34" s="114" t="s">
        <v>330</v>
      </c>
      <c r="L34" s="114" t="n">
        <v>3</v>
      </c>
      <c r="M34" s="114" t="s">
        <v>329</v>
      </c>
      <c r="N34" s="115" t="n">
        <f aca="false">IF(COUNT(D34,F34,H34,J34,L34)=0,"",(D34*0.2+F34*0.15+H34*0.15+J34*0.1+L34*0.1)/(IF(D34&lt;&gt;"",0.2,0)+IF(F34&lt;&gt;"",0.15,0)+IF(H34&lt;&gt;"",0.15,0)+IF(J34&lt;&gt;"",0.1,0)+IF(L34&lt;&gt;"",0.1,0)))</f>
        <v>3.92857142857143</v>
      </c>
      <c r="O34" s="92" t="n">
        <f aca="false">IF(COUNT(D34,F34,H34,J34,L34)=0,"",D34*0.2+F34*0.15+H34*0.15+J34*0.1+L34*0.1)</f>
        <v>2.75</v>
      </c>
      <c r="P34" s="114"/>
      <c r="Q34" s="114"/>
      <c r="R34" s="114"/>
      <c r="S34" s="114"/>
      <c r="T34" s="114"/>
      <c r="U34" s="114"/>
      <c r="V34" s="114"/>
      <c r="W34" s="114"/>
      <c r="X34" s="64" t="str">
        <f aca="false">IF(COUNT(P34,R34,T34,V34)=0,"",P34*0.08+R34*0.06+T34*0.03+V34*0.08)</f>
        <v/>
      </c>
      <c r="Y34" s="114"/>
      <c r="Z34" s="114"/>
      <c r="AA34" s="114"/>
      <c r="AB34" s="114"/>
      <c r="AC34" s="114"/>
      <c r="AD34" s="114"/>
      <c r="AE34" s="64" t="str">
        <f aca="false">IF(COUNT(Y34,AA34,AC34)=0,"",Y34*0.02+AA34*0.02+AC34*0.01)</f>
        <v/>
      </c>
      <c r="AF34" s="92" t="str">
        <f aca="false">IF(OR(COUNT(D34,F34,H34,J34,L34)&lt;5,COUNT(P34,R34,T34,V34)&lt;4,COUNT(Y34,AA34,AC34)&lt;3),"",(O34+X34+AE34)*20)</f>
        <v/>
      </c>
      <c r="AG34" s="92" t="str">
        <f aca="false">IF(AF34="","",IF(AF34&gt;=80,"STRONG BUY",IF(AF34&gt;=65,"BUY",IF(AF34&gt;=50,"WATCH LIST",IF(AF34&gt;=35,"AVOID","PASS")))))</f>
        <v/>
      </c>
      <c r="AH34" s="92" t="str">
        <f aca="false">IF(N34="","",IF(N34&lt;3,"FAIL","OK"))</f>
        <v>OK</v>
      </c>
      <c r="AI34" s="92" t="str">
        <f aca="false">IF(COUNT(D34:L34)=0,"",IF(COUNTIF(D34:L34,1)&gt;0,"REVIEW","OK"))</f>
        <v>OK</v>
      </c>
      <c r="AJ34" s="92" t="str">
        <f aca="false">IF(COUNT(D34:L34)=0,"",IF(COUNTIF(D34:L34,"&lt;=2")&gt;=2,"AVOID","OK"))</f>
        <v>OK</v>
      </c>
      <c r="AK34" s="92" t="str">
        <f aca="false">IF(COUNTA(E34:M34)=0,"",IF(COUNTIF(E34:M34,"L")&gt;=2,"CAP AT BUY","OK"))</f>
        <v>OK</v>
      </c>
      <c r="AL34" s="118" t="s">
        <v>342</v>
      </c>
      <c r="AM34" s="118" t="s">
        <v>381</v>
      </c>
      <c r="AN34" s="114"/>
      <c r="AO34" s="92"/>
      <c r="AP34" s="114" t="str">
        <f aca="false">IF(OR(AN34="",AO34=""),"",IF(AN34&gt;AO34,"OK","LOW CONF"))</f>
        <v/>
      </c>
      <c r="AQ34" s="114"/>
      <c r="AR34" s="92"/>
      <c r="AS34" s="124" t="str">
        <f aca="false">IF(OR(AQ34="",AR34=""),"",IF(AQ34&lt;AR34,"Decreased",IF(AQ34&gt;AR34,"Increased","Flat")))</f>
        <v/>
      </c>
    </row>
    <row r="35" customFormat="false" ht="15" hidden="true" customHeight="true" outlineLevel="1" collapsed="false">
      <c r="A35" s="61" t="s">
        <v>267</v>
      </c>
      <c r="B35" s="112" t="s">
        <v>383</v>
      </c>
      <c r="C35" s="123" t="n">
        <v>46245</v>
      </c>
      <c r="D35" s="114" t="n">
        <v>1</v>
      </c>
      <c r="E35" s="114" t="s">
        <v>330</v>
      </c>
      <c r="F35" s="114" t="n">
        <v>1</v>
      </c>
      <c r="G35" s="114" t="s">
        <v>330</v>
      </c>
      <c r="H35" s="114" t="n">
        <v>2</v>
      </c>
      <c r="I35" s="114" t="s">
        <v>329</v>
      </c>
      <c r="J35" s="114" t="n">
        <v>2</v>
      </c>
      <c r="K35" s="114" t="s">
        <v>329</v>
      </c>
      <c r="L35" s="114" t="n">
        <v>1</v>
      </c>
      <c r="M35" s="114" t="s">
        <v>330</v>
      </c>
      <c r="N35" s="115" t="n">
        <f aca="false">IF(COUNT(D35,F35,H35,J35,L35)=0,"",(D35*0.2+F35*0.15+H35*0.15+J35*0.1+L35*0.1)/(IF(D35&lt;&gt;"",0.2,0)+IF(F35&lt;&gt;"",0.15,0)+IF(H35&lt;&gt;"",0.15,0)+IF(J35&lt;&gt;"",0.1,0)+IF(L35&lt;&gt;"",0.1,0)))</f>
        <v>1.35714285714286</v>
      </c>
      <c r="O35" s="92" t="n">
        <f aca="false">IF(COUNT(D35,F35,H35,J35,L35)=0,"",D35*0.2+F35*0.15+H35*0.15+J35*0.1+L35*0.1)</f>
        <v>0.95</v>
      </c>
      <c r="P35" s="114"/>
      <c r="Q35" s="114"/>
      <c r="R35" s="114"/>
      <c r="S35" s="114"/>
      <c r="T35" s="114"/>
      <c r="U35" s="114"/>
      <c r="V35" s="114"/>
      <c r="W35" s="114"/>
      <c r="X35" s="64" t="str">
        <f aca="false">IF(COUNT(P35,R35,T35,V35)=0,"",P35*0.08+R35*0.06+T35*0.03+V35*0.08)</f>
        <v/>
      </c>
      <c r="Y35" s="114"/>
      <c r="Z35" s="114"/>
      <c r="AA35" s="114"/>
      <c r="AB35" s="114"/>
      <c r="AC35" s="114"/>
      <c r="AD35" s="114"/>
      <c r="AE35" s="64" t="str">
        <f aca="false">IF(COUNT(Y35,AA35,AC35)=0,"",Y35*0.02+AA35*0.02+AC35*0.01)</f>
        <v/>
      </c>
      <c r="AF35" s="92" t="str">
        <f aca="false">IF(OR(COUNT(D35,F35,H35,J35,L35)&lt;5,COUNT(P35,R35,T35,V35)&lt;4,COUNT(Y35,AA35,AC35)&lt;3),"",(O35+X35+AE35)*20)</f>
        <v/>
      </c>
      <c r="AG35" s="92" t="str">
        <f aca="false">IF(AF35="","",IF(AF35&gt;=80,"STRONG BUY",IF(AF35&gt;=65,"BUY",IF(AF35&gt;=50,"WATCH LIST",IF(AF35&gt;=35,"AVOID","PASS")))))</f>
        <v/>
      </c>
      <c r="AH35" s="92" t="str">
        <f aca="false">IF(N35="","",IF(N35&lt;3,"FAIL","OK"))</f>
        <v>FAIL</v>
      </c>
      <c r="AI35" s="92" t="str">
        <f aca="false">IF(COUNT(D35:L35)=0,"",IF(COUNTIF(D35:L35,1)&gt;0,"REVIEW","OK"))</f>
        <v>REVIEW</v>
      </c>
      <c r="AJ35" s="92" t="str">
        <f aca="false">IF(COUNT(D35:L35)=0,"",IF(COUNTIF(D35:L35,"&lt;=2")&gt;=2,"AVOID","OK"))</f>
        <v>AVOID</v>
      </c>
      <c r="AK35" s="92" t="str">
        <f aca="false">IF(COUNTA(E35:M35)=0,"",IF(COUNTIF(E35:M35,"L")&gt;=2,"CAP AT BUY","OK"))</f>
        <v>OK</v>
      </c>
      <c r="AL35" s="118" t="s">
        <v>342</v>
      </c>
      <c r="AM35" s="118" t="s">
        <v>381</v>
      </c>
      <c r="AN35" s="114"/>
      <c r="AO35" s="92"/>
      <c r="AP35" s="114" t="str">
        <f aca="false">IF(OR(AN35="",AO35=""),"",IF(AN35&gt;AO35,"OK","LOW CONF"))</f>
        <v/>
      </c>
      <c r="AQ35" s="114"/>
      <c r="AR35" s="92"/>
      <c r="AS35" s="124" t="str">
        <f aca="false">IF(OR(AQ35="",AR35=""),"",IF(AQ35&lt;AR35,"Decreased",IF(AQ35&gt;AR35,"Increased","Flat")))</f>
        <v/>
      </c>
    </row>
    <row r="36" customFormat="false" ht="15" hidden="false" customHeight="true" outlineLevel="0" collapsed="false">
      <c r="A36" s="61" t="s">
        <v>273</v>
      </c>
      <c r="B36" s="112" t="s">
        <v>384</v>
      </c>
      <c r="C36" s="123" t="n">
        <v>46295</v>
      </c>
      <c r="D36" s="114" t="n">
        <v>4</v>
      </c>
      <c r="E36" s="114" t="s">
        <v>329</v>
      </c>
      <c r="F36" s="114" t="n">
        <v>3</v>
      </c>
      <c r="G36" s="114" t="s">
        <v>329</v>
      </c>
      <c r="H36" s="114" t="n">
        <v>4</v>
      </c>
      <c r="I36" s="114" t="s">
        <v>329</v>
      </c>
      <c r="J36" s="114" t="n">
        <v>4</v>
      </c>
      <c r="K36" s="114" t="s">
        <v>330</v>
      </c>
      <c r="L36" s="114" t="n">
        <v>4</v>
      </c>
      <c r="M36" s="114" t="s">
        <v>329</v>
      </c>
      <c r="N36" s="115" t="n">
        <f aca="false">IF(COUNT(D36,F36,H36,J36,L36)=0,"",(D36*0.2+F36*0.15+H36*0.15+J36*0.1+L36*0.1)/(IF(D36&lt;&gt;"",0.2,0)+IF(F36&lt;&gt;"",0.15,0)+IF(H36&lt;&gt;"",0.15,0)+IF(J36&lt;&gt;"",0.1,0)+IF(L36&lt;&gt;"",0.1,0)))</f>
        <v>3.78571428571429</v>
      </c>
      <c r="O36" s="92" t="n">
        <f aca="false">IF(COUNT(D36,F36,H36,J36,L36)=0,"",D36*0.2+F36*0.15+H36*0.15+J36*0.1+L36*0.1)</f>
        <v>2.65</v>
      </c>
      <c r="P36" s="114"/>
      <c r="Q36" s="114"/>
      <c r="R36" s="114"/>
      <c r="S36" s="114"/>
      <c r="T36" s="114"/>
      <c r="U36" s="114"/>
      <c r="V36" s="114"/>
      <c r="W36" s="114"/>
      <c r="X36" s="64" t="str">
        <f aca="false">IF(COUNT(P36,R36,T36,V36)=0,"",P36*0.08+R36*0.06+T36*0.03+V36*0.08)</f>
        <v/>
      </c>
      <c r="Y36" s="114"/>
      <c r="Z36" s="114"/>
      <c r="AA36" s="114"/>
      <c r="AB36" s="114"/>
      <c r="AC36" s="114"/>
      <c r="AD36" s="114"/>
      <c r="AE36" s="64" t="str">
        <f aca="false">IF(COUNT(Y36,AA36,AC36)=0,"",Y36*0.02+AA36*0.02+AC36*0.01)</f>
        <v/>
      </c>
      <c r="AF36" s="92" t="str">
        <f aca="false">IF(OR(COUNT(D36,F36,H36,J36,L36)&lt;5,COUNT(P36,R36,T36,V36)&lt;4,COUNT(Y36,AA36,AC36)&lt;3),"",(O36+X36+AE36)*20)</f>
        <v/>
      </c>
      <c r="AG36" s="92" t="str">
        <f aca="false">IF(AF36="","",IF(AF36&gt;=80,"STRONG BUY",IF(AF36&gt;=65,"BUY",IF(AF36&gt;=50,"WATCH LIST",IF(AF36&gt;=35,"AVOID","PASS")))))</f>
        <v/>
      </c>
      <c r="AH36" s="92" t="str">
        <f aca="false">IF(N36="","",IF(N36&lt;3,"FAIL","OK"))</f>
        <v>OK</v>
      </c>
      <c r="AI36" s="92" t="str">
        <f aca="false">IF(COUNT(D36:L36)=0,"",IF(COUNTIF(D36:L36,1)&gt;0,"REVIEW","OK"))</f>
        <v>OK</v>
      </c>
      <c r="AJ36" s="92" t="str">
        <f aca="false">IF(COUNT(D36:L36)=0,"",IF(COUNTIF(D36:L36,"&lt;=2")&gt;=2,"AVOID","OK"))</f>
        <v>OK</v>
      </c>
      <c r="AK36" s="92" t="str">
        <f aca="false">IF(COUNTA(E36:M36)=0,"",IF(COUNTIF(E36:M36,"L")&gt;=2,"CAP AT BUY","OK"))</f>
        <v>OK</v>
      </c>
      <c r="AL36" s="118" t="s">
        <v>342</v>
      </c>
      <c r="AM36" s="118" t="s">
        <v>381</v>
      </c>
      <c r="AN36" s="114"/>
      <c r="AO36" s="92"/>
      <c r="AP36" s="114" t="str">
        <f aca="false">IF(OR(AN36="",AO36=""),"",IF(AN36&gt;AO36,"OK","LOW CONF"))</f>
        <v/>
      </c>
      <c r="AQ36" s="114"/>
      <c r="AR36" s="92"/>
      <c r="AS36" s="124" t="str">
        <f aca="false">IF(OR(AQ36="",AR36=""),"",IF(AQ36&lt;AR36,"Decreased",IF(AQ36&gt;AR36,"Increased","Flat")))</f>
        <v/>
      </c>
    </row>
    <row r="37" customFormat="false" ht="15" hidden="true" customHeight="true" outlineLevel="1" collapsed="false">
      <c r="A37" s="61" t="s">
        <v>256</v>
      </c>
      <c r="B37" s="112" t="s">
        <v>385</v>
      </c>
      <c r="C37" s="123" t="n">
        <v>46246</v>
      </c>
      <c r="D37" s="114" t="n">
        <v>1</v>
      </c>
      <c r="E37" s="114" t="s">
        <v>330</v>
      </c>
      <c r="F37" s="114" t="n">
        <v>1</v>
      </c>
      <c r="G37" s="114" t="s">
        <v>330</v>
      </c>
      <c r="H37" s="114" t="n">
        <v>3</v>
      </c>
      <c r="I37" s="114" t="s">
        <v>329</v>
      </c>
      <c r="J37" s="114" t="n">
        <v>2</v>
      </c>
      <c r="K37" s="114" t="s">
        <v>329</v>
      </c>
      <c r="L37" s="114" t="n">
        <v>1</v>
      </c>
      <c r="M37" s="114" t="s">
        <v>330</v>
      </c>
      <c r="N37" s="115" t="n">
        <f aca="false">IF(COUNT(D37,F37,H37,J37,L37)=0,"",(D37*0.2+F37*0.15+H37*0.15+J37*0.1+L37*0.1)/(IF(D37&lt;&gt;"",0.2,0)+IF(F37&lt;&gt;"",0.15,0)+IF(H37&lt;&gt;"",0.15,0)+IF(J37&lt;&gt;"",0.1,0)+IF(L37&lt;&gt;"",0.1,0)))</f>
        <v>1.57142857142857</v>
      </c>
      <c r="O37" s="92" t="n">
        <f aca="false">IF(COUNT(D37,F37,H37,J37,L37)=0,"",D37*0.2+F37*0.15+H37*0.15+J37*0.1+L37*0.1)</f>
        <v>1.1</v>
      </c>
      <c r="P37" s="114"/>
      <c r="Q37" s="114"/>
      <c r="R37" s="114"/>
      <c r="S37" s="114"/>
      <c r="T37" s="114"/>
      <c r="U37" s="114"/>
      <c r="V37" s="114"/>
      <c r="W37" s="114"/>
      <c r="X37" s="64" t="str">
        <f aca="false">IF(COUNT(P37,R37,T37,V37)=0,"",P37*0.08+R37*0.06+T37*0.03+V37*0.08)</f>
        <v/>
      </c>
      <c r="Y37" s="114"/>
      <c r="Z37" s="114"/>
      <c r="AA37" s="114"/>
      <c r="AB37" s="114"/>
      <c r="AC37" s="114"/>
      <c r="AD37" s="114"/>
      <c r="AE37" s="64" t="str">
        <f aca="false">IF(COUNT(Y37,AA37,AC37)=0,"",Y37*0.02+AA37*0.02+AC37*0.01)</f>
        <v/>
      </c>
      <c r="AF37" s="92" t="str">
        <f aca="false">IF(OR(COUNT(D37,F37,H37,J37,L37)&lt;5,COUNT(P37,R37,T37,V37)&lt;4,COUNT(Y37,AA37,AC37)&lt;3),"",(O37+X37+AE37)*20)</f>
        <v/>
      </c>
      <c r="AG37" s="92" t="str">
        <f aca="false">IF(AF37="","",IF(AF37&gt;=80,"STRONG BUY",IF(AF37&gt;=65,"BUY",IF(AF37&gt;=50,"WATCH LIST",IF(AF37&gt;=35,"AVOID","PASS")))))</f>
        <v/>
      </c>
      <c r="AH37" s="92" t="str">
        <f aca="false">IF(N37="","",IF(N37&lt;3,"FAIL","OK"))</f>
        <v>FAIL</v>
      </c>
      <c r="AI37" s="92" t="str">
        <f aca="false">IF(COUNT(D37:L37)=0,"",IF(COUNTIF(D37:L37,1)&gt;0,"REVIEW","OK"))</f>
        <v>REVIEW</v>
      </c>
      <c r="AJ37" s="92" t="str">
        <f aca="false">IF(COUNT(D37:L37)=0,"",IF(COUNTIF(D37:L37,"&lt;=2")&gt;=2,"AVOID","OK"))</f>
        <v>AVOID</v>
      </c>
      <c r="AK37" s="92" t="str">
        <f aca="false">IF(COUNTA(E37:M37)=0,"",IF(COUNTIF(E37:M37,"L")&gt;=2,"CAP AT BUY","OK"))</f>
        <v>OK</v>
      </c>
      <c r="AL37" s="118" t="s">
        <v>342</v>
      </c>
      <c r="AM37" s="118" t="s">
        <v>343</v>
      </c>
      <c r="AN37" s="114"/>
      <c r="AO37" s="92"/>
      <c r="AP37" s="114" t="str">
        <f aca="false">IF(OR(AN37="",AO37=""),"",IF(AN37&gt;AO37,"OK","LOW CONF"))</f>
        <v/>
      </c>
      <c r="AQ37" s="114"/>
      <c r="AR37" s="92"/>
      <c r="AS37" s="124" t="str">
        <f aca="false">IF(OR(AQ37="",AR37=""),"",IF(AQ37&lt;AR37,"Decreased",IF(AQ37&gt;AR37,"Increased","Flat")))</f>
        <v/>
      </c>
    </row>
    <row r="38" customFormat="false" ht="15" hidden="true" customHeight="true" outlineLevel="1" collapsed="false">
      <c r="A38" s="61" t="s">
        <v>271</v>
      </c>
      <c r="B38" s="112" t="s">
        <v>386</v>
      </c>
      <c r="C38" s="123" t="n">
        <v>46246</v>
      </c>
      <c r="D38" s="114" t="n">
        <v>3</v>
      </c>
      <c r="E38" s="114" t="s">
        <v>329</v>
      </c>
      <c r="F38" s="114" t="n">
        <v>3</v>
      </c>
      <c r="G38" s="114" t="s">
        <v>329</v>
      </c>
      <c r="H38" s="114" t="n">
        <v>3</v>
      </c>
      <c r="I38" s="114" t="s">
        <v>329</v>
      </c>
      <c r="J38" s="114" t="n">
        <v>2</v>
      </c>
      <c r="K38" s="114" t="s">
        <v>329</v>
      </c>
      <c r="L38" s="114" t="n">
        <v>3</v>
      </c>
      <c r="M38" s="114" t="s">
        <v>329</v>
      </c>
      <c r="N38" s="115" t="n">
        <f aca="false">IF(COUNT(D38,F38,H38,J38,L38)=0,"",(D38*0.2+F38*0.15+H38*0.15+J38*0.1+L38*0.1)/(IF(D38&lt;&gt;"",0.2,0)+IF(F38&lt;&gt;"",0.15,0)+IF(H38&lt;&gt;"",0.15,0)+IF(J38&lt;&gt;"",0.1,0)+IF(L38&lt;&gt;"",0.1,0)))</f>
        <v>2.85714285714286</v>
      </c>
      <c r="O38" s="92" t="n">
        <f aca="false">IF(COUNT(D38,F38,H38,J38,L38)=0,"",D38*0.2+F38*0.15+H38*0.15+J38*0.1+L38*0.1)</f>
        <v>2</v>
      </c>
      <c r="P38" s="114"/>
      <c r="Q38" s="114"/>
      <c r="R38" s="114"/>
      <c r="S38" s="114"/>
      <c r="T38" s="114"/>
      <c r="U38" s="114"/>
      <c r="V38" s="114"/>
      <c r="W38" s="114"/>
      <c r="X38" s="64" t="str">
        <f aca="false">IF(COUNT(P38,R38,T38,V38)=0,"",P38*0.08+R38*0.06+T38*0.03+V38*0.08)</f>
        <v/>
      </c>
      <c r="Y38" s="114"/>
      <c r="Z38" s="114"/>
      <c r="AA38" s="114"/>
      <c r="AB38" s="114"/>
      <c r="AC38" s="114"/>
      <c r="AD38" s="114"/>
      <c r="AE38" s="64" t="str">
        <f aca="false">IF(COUNT(Y38,AA38,AC38)=0,"",Y38*0.02+AA38*0.02+AC38*0.01)</f>
        <v/>
      </c>
      <c r="AF38" s="92" t="str">
        <f aca="false">IF(OR(COUNT(D38,F38,H38,J38,L38)&lt;5,COUNT(P38,R38,T38,V38)&lt;4,COUNT(Y38,AA38,AC38)&lt;3),"",(O38+X38+AE38)*20)</f>
        <v/>
      </c>
      <c r="AG38" s="92" t="str">
        <f aca="false">IF(AF38="","",IF(AF38&gt;=80,"STRONG BUY",IF(AF38&gt;=65,"BUY",IF(AF38&gt;=50,"WATCH LIST",IF(AF38&gt;=35,"AVOID","PASS")))))</f>
        <v/>
      </c>
      <c r="AH38" s="92" t="str">
        <f aca="false">IF(N38="","",IF(N38&lt;3,"FAIL","OK"))</f>
        <v>FAIL</v>
      </c>
      <c r="AI38" s="92" t="str">
        <f aca="false">IF(COUNT(D38:L38)=0,"",IF(COUNTIF(D38:L38,1)&gt;0,"REVIEW","OK"))</f>
        <v>OK</v>
      </c>
      <c r="AJ38" s="92" t="str">
        <f aca="false">IF(COUNT(D38:L38)=0,"",IF(COUNTIF(D38:L38,"&lt;=2")&gt;=2,"AVOID","OK"))</f>
        <v>OK</v>
      </c>
      <c r="AK38" s="92" t="str">
        <f aca="false">IF(COUNTA(E38:M38)=0,"",IF(COUNTIF(E38:M38,"L")&gt;=2,"CAP AT BUY","OK"))</f>
        <v>OK</v>
      </c>
      <c r="AL38" s="118" t="s">
        <v>342</v>
      </c>
      <c r="AM38" s="118" t="s">
        <v>387</v>
      </c>
      <c r="AN38" s="114"/>
      <c r="AO38" s="92"/>
      <c r="AP38" s="114" t="str">
        <f aca="false">IF(OR(AN38="",AO38=""),"",IF(AN38&gt;AO38,"OK","LOW CONF"))</f>
        <v/>
      </c>
      <c r="AQ38" s="114"/>
      <c r="AR38" s="92"/>
      <c r="AS38" s="124" t="str">
        <f aca="false">IF(OR(AQ38="",AR38=""),"",IF(AQ38&lt;AR38,"Decreased",IF(AQ38&gt;AR38,"Increased","Flat")))</f>
        <v/>
      </c>
    </row>
    <row r="39" customFormat="false" ht="15" hidden="true" customHeight="true" outlineLevel="1" collapsed="false">
      <c r="A39" s="61" t="s">
        <v>248</v>
      </c>
      <c r="B39" s="112" t="s">
        <v>388</v>
      </c>
      <c r="C39" s="123" t="n">
        <v>46246</v>
      </c>
      <c r="D39" s="114" t="n">
        <v>2</v>
      </c>
      <c r="E39" s="114" t="s">
        <v>331</v>
      </c>
      <c r="F39" s="114" t="n">
        <v>4</v>
      </c>
      <c r="G39" s="114" t="s">
        <v>330</v>
      </c>
      <c r="H39" s="114" t="n">
        <v>3</v>
      </c>
      <c r="I39" s="114" t="s">
        <v>329</v>
      </c>
      <c r="J39" s="114" t="n">
        <v>2</v>
      </c>
      <c r="K39" s="114" t="s">
        <v>329</v>
      </c>
      <c r="L39" s="114" t="n">
        <v>1</v>
      </c>
      <c r="M39" s="114" t="s">
        <v>330</v>
      </c>
      <c r="N39" s="115" t="n">
        <f aca="false">IF(COUNT(D39,F39,H39,J39,L39)=0,"",(D39*0.2+F39*0.15+H39*0.15+J39*0.1+L39*0.1)/(IF(D39&lt;&gt;"",0.2,0)+IF(F39&lt;&gt;"",0.15,0)+IF(H39&lt;&gt;"",0.15,0)+IF(J39&lt;&gt;"",0.1,0)+IF(L39&lt;&gt;"",0.1,0)))</f>
        <v>2.5</v>
      </c>
      <c r="O39" s="92" t="n">
        <f aca="false">IF(COUNT(D39,F39,H39,J39,L39)=0,"",D39*0.2+F39*0.15+H39*0.15+J39*0.1+L39*0.1)</f>
        <v>1.75</v>
      </c>
      <c r="P39" s="114"/>
      <c r="Q39" s="114"/>
      <c r="R39" s="114"/>
      <c r="S39" s="114"/>
      <c r="T39" s="114"/>
      <c r="U39" s="114"/>
      <c r="V39" s="114"/>
      <c r="W39" s="114"/>
      <c r="X39" s="64" t="str">
        <f aca="false">IF(COUNT(P39,R39,T39,V39)=0,"",P39*0.08+R39*0.06+T39*0.03+V39*0.08)</f>
        <v/>
      </c>
      <c r="Y39" s="114"/>
      <c r="Z39" s="114"/>
      <c r="AA39" s="114"/>
      <c r="AB39" s="114"/>
      <c r="AC39" s="114"/>
      <c r="AD39" s="114"/>
      <c r="AE39" s="64" t="str">
        <f aca="false">IF(COUNT(Y39,AA39,AC39)=0,"",Y39*0.02+AA39*0.02+AC39*0.01)</f>
        <v/>
      </c>
      <c r="AF39" s="92" t="str">
        <f aca="false">IF(OR(COUNT(D39,F39,H39,J39,L39)&lt;5,COUNT(P39,R39,T39,V39)&lt;4,COUNT(Y39,AA39,AC39)&lt;3),"",(O39+X39+AE39)*20)</f>
        <v/>
      </c>
      <c r="AG39" s="92" t="str">
        <f aca="false">IF(AF39="","",IF(AF39&gt;=80,"STRONG BUY",IF(AF39&gt;=65,"BUY",IF(AF39&gt;=50,"WATCH LIST",IF(AF39&gt;=35,"AVOID","PASS")))))</f>
        <v/>
      </c>
      <c r="AH39" s="92" t="str">
        <f aca="false">IF(N39="","",IF(N39&lt;3,"FAIL","OK"))</f>
        <v>FAIL</v>
      </c>
      <c r="AI39" s="92" t="str">
        <f aca="false">IF(COUNT(D39:L39)=0,"",IF(COUNTIF(D39:L39,1)&gt;0,"REVIEW","OK"))</f>
        <v>REVIEW</v>
      </c>
      <c r="AJ39" s="92" t="str">
        <f aca="false">IF(COUNT(D39:L39)=0,"",IF(COUNTIF(D39:L39,"&lt;=2")&gt;=2,"AVOID","OK"))</f>
        <v>AVOID</v>
      </c>
      <c r="AK39" s="92" t="str">
        <f aca="false">IF(COUNTA(E39:M39)=0,"",IF(COUNTIF(E39:M39,"L")&gt;=2,"CAP AT BUY","OK"))</f>
        <v>OK</v>
      </c>
      <c r="AL39" s="118" t="s">
        <v>342</v>
      </c>
      <c r="AM39" s="118" t="s">
        <v>387</v>
      </c>
      <c r="AN39" s="114"/>
      <c r="AO39" s="92"/>
      <c r="AP39" s="114" t="str">
        <f aca="false">IF(OR(AN39="",AO39=""),"",IF(AN39&gt;AO39,"OK","LOW CONF"))</f>
        <v/>
      </c>
      <c r="AQ39" s="114"/>
      <c r="AR39" s="92"/>
      <c r="AS39" s="124" t="str">
        <f aca="false">IF(OR(AQ39="",AR39=""),"",IF(AQ39&lt;AR39,"Decreased",IF(AQ39&gt;AR39,"Increased","Flat")))</f>
        <v/>
      </c>
    </row>
    <row r="40" customFormat="false" ht="15" hidden="true" customHeight="true" outlineLevel="1" collapsed="false">
      <c r="A40" s="61" t="s">
        <v>225</v>
      </c>
      <c r="B40" s="112" t="s">
        <v>389</v>
      </c>
      <c r="C40" s="123" t="n">
        <v>46246</v>
      </c>
      <c r="D40" s="114" t="n">
        <v>1</v>
      </c>
      <c r="E40" s="114" t="s">
        <v>330</v>
      </c>
      <c r="F40" s="114" t="n">
        <v>1</v>
      </c>
      <c r="G40" s="114" t="s">
        <v>330</v>
      </c>
      <c r="H40" s="114" t="n">
        <v>2</v>
      </c>
      <c r="I40" s="114" t="s">
        <v>329</v>
      </c>
      <c r="J40" s="114" t="n">
        <v>2</v>
      </c>
      <c r="K40" s="114" t="s">
        <v>329</v>
      </c>
      <c r="L40" s="114" t="n">
        <v>1</v>
      </c>
      <c r="M40" s="114" t="s">
        <v>330</v>
      </c>
      <c r="N40" s="115" t="n">
        <f aca="false">IF(COUNT(D40,F40,H40,J40,L40)=0,"",(D40*0.2+F40*0.15+H40*0.15+J40*0.1+L40*0.1)/(IF(D40&lt;&gt;"",0.2,0)+IF(F40&lt;&gt;"",0.15,0)+IF(H40&lt;&gt;"",0.15,0)+IF(J40&lt;&gt;"",0.1,0)+IF(L40&lt;&gt;"",0.1,0)))</f>
        <v>1.35714285714286</v>
      </c>
      <c r="O40" s="92" t="n">
        <f aca="false">IF(COUNT(D40,F40,H40,J40,L40)=0,"",D40*0.2+F40*0.15+H40*0.15+J40*0.1+L40*0.1)</f>
        <v>0.95</v>
      </c>
      <c r="P40" s="114"/>
      <c r="Q40" s="114"/>
      <c r="R40" s="114"/>
      <c r="S40" s="114"/>
      <c r="T40" s="114"/>
      <c r="U40" s="114"/>
      <c r="V40" s="114"/>
      <c r="W40" s="114"/>
      <c r="X40" s="64" t="str">
        <f aca="false">IF(COUNT(P40,R40,T40,V40)=0,"",P40*0.08+R40*0.06+T40*0.03+V40*0.08)</f>
        <v/>
      </c>
      <c r="Y40" s="114"/>
      <c r="Z40" s="114"/>
      <c r="AA40" s="114"/>
      <c r="AB40" s="114"/>
      <c r="AC40" s="114"/>
      <c r="AD40" s="114"/>
      <c r="AE40" s="64" t="str">
        <f aca="false">IF(COUNT(Y40,AA40,AC40)=0,"",Y40*0.02+AA40*0.02+AC40*0.01)</f>
        <v/>
      </c>
      <c r="AF40" s="92" t="str">
        <f aca="false">IF(OR(COUNT(D40,F40,H40,J40,L40)&lt;5,COUNT(P40,R40,T40,V40)&lt;4,COUNT(Y40,AA40,AC40)&lt;3),"",(O40+X40+AE40)*20)</f>
        <v/>
      </c>
      <c r="AG40" s="92" t="str">
        <f aca="false">IF(AF40="","",IF(AF40&gt;=80,"STRONG BUY",IF(AF40&gt;=65,"BUY",IF(AF40&gt;=50,"WATCH LIST",IF(AF40&gt;=35,"AVOID","PASS")))))</f>
        <v/>
      </c>
      <c r="AH40" s="92" t="str">
        <f aca="false">IF(N40="","",IF(N40&lt;3,"FAIL","OK"))</f>
        <v>FAIL</v>
      </c>
      <c r="AI40" s="92" t="str">
        <f aca="false">IF(COUNT(D40:L40)=0,"",IF(COUNTIF(D40:L40,1)&gt;0,"REVIEW","OK"))</f>
        <v>REVIEW</v>
      </c>
      <c r="AJ40" s="92" t="str">
        <f aca="false">IF(COUNT(D40:L40)=0,"",IF(COUNTIF(D40:L40,"&lt;=2")&gt;=2,"AVOID","OK"))</f>
        <v>AVOID</v>
      </c>
      <c r="AK40" s="92" t="str">
        <f aca="false">IF(COUNTA(E40:M40)=0,"",IF(COUNTIF(E40:M40,"L")&gt;=2,"CAP AT BUY","OK"))</f>
        <v>OK</v>
      </c>
      <c r="AL40" s="118" t="s">
        <v>342</v>
      </c>
      <c r="AM40" s="118" t="s">
        <v>390</v>
      </c>
      <c r="AN40" s="114"/>
      <c r="AO40" s="92"/>
      <c r="AP40" s="114" t="str">
        <f aca="false">IF(OR(AN40="",AO40=""),"",IF(AN40&gt;AO40,"OK","LOW CONF"))</f>
        <v/>
      </c>
      <c r="AQ40" s="114"/>
      <c r="AR40" s="92"/>
      <c r="AS40" s="124" t="str">
        <f aca="false">IF(OR(AQ40="",AR40=""),"",IF(AQ40&lt;AR40,"Decreased",IF(AQ40&gt;AR40,"Increased","Flat")))</f>
        <v/>
      </c>
    </row>
    <row r="41" customFormat="false" ht="15" hidden="true" customHeight="true" outlineLevel="1" collapsed="false">
      <c r="A41" s="61" t="s">
        <v>227</v>
      </c>
      <c r="B41" s="112" t="s">
        <v>391</v>
      </c>
      <c r="C41" s="123" t="n">
        <v>46246</v>
      </c>
      <c r="D41" s="114" t="n">
        <v>2</v>
      </c>
      <c r="E41" s="114" t="s">
        <v>329</v>
      </c>
      <c r="F41" s="114" t="n">
        <v>3</v>
      </c>
      <c r="G41" s="114" t="s">
        <v>330</v>
      </c>
      <c r="H41" s="114" t="n">
        <v>4</v>
      </c>
      <c r="I41" s="114" t="s">
        <v>329</v>
      </c>
      <c r="J41" s="114" t="n">
        <v>3</v>
      </c>
      <c r="K41" s="114" t="s">
        <v>329</v>
      </c>
      <c r="L41" s="114" t="n">
        <v>2</v>
      </c>
      <c r="M41" s="114" t="s">
        <v>330</v>
      </c>
      <c r="N41" s="115" t="n">
        <f aca="false">IF(COUNT(D41,F41,H41,J41,L41)=0,"",(D41*0.2+F41*0.15+H41*0.15+J41*0.1+L41*0.1)/(IF(D41&lt;&gt;"",0.2,0)+IF(F41&lt;&gt;"",0.15,0)+IF(H41&lt;&gt;"",0.15,0)+IF(J41&lt;&gt;"",0.1,0)+IF(L41&lt;&gt;"",0.1,0)))</f>
        <v>2.78571428571429</v>
      </c>
      <c r="O41" s="92" t="n">
        <f aca="false">IF(COUNT(D41,F41,H41,J41,L41)=0,"",D41*0.2+F41*0.15+H41*0.15+J41*0.1+L41*0.1)</f>
        <v>1.95</v>
      </c>
      <c r="P41" s="114"/>
      <c r="Q41" s="114"/>
      <c r="R41" s="114"/>
      <c r="S41" s="114"/>
      <c r="T41" s="114"/>
      <c r="U41" s="114"/>
      <c r="V41" s="114"/>
      <c r="W41" s="114"/>
      <c r="X41" s="64" t="str">
        <f aca="false">IF(COUNT(P41,R41,T41,V41)=0,"",P41*0.08+R41*0.06+T41*0.03+V41*0.08)</f>
        <v/>
      </c>
      <c r="Y41" s="114"/>
      <c r="Z41" s="114"/>
      <c r="AA41" s="114"/>
      <c r="AB41" s="114"/>
      <c r="AC41" s="114"/>
      <c r="AD41" s="114"/>
      <c r="AE41" s="64" t="str">
        <f aca="false">IF(COUNT(Y41,AA41,AC41)=0,"",Y41*0.02+AA41*0.02+AC41*0.01)</f>
        <v/>
      </c>
      <c r="AF41" s="92" t="str">
        <f aca="false">IF(OR(COUNT(D41,F41,H41,J41,L41)&lt;5,COUNT(P41,R41,T41,V41)&lt;4,COUNT(Y41,AA41,AC41)&lt;3),"",(O41+X41+AE41)*20)</f>
        <v/>
      </c>
      <c r="AG41" s="92" t="str">
        <f aca="false">IF(AF41="","",IF(AF41&gt;=80,"STRONG BUY",IF(AF41&gt;=65,"BUY",IF(AF41&gt;=50,"WATCH LIST",IF(AF41&gt;=35,"AVOID","PASS")))))</f>
        <v/>
      </c>
      <c r="AH41" s="92" t="str">
        <f aca="false">IF(N41="","",IF(N41&lt;3,"FAIL","OK"))</f>
        <v>FAIL</v>
      </c>
      <c r="AI41" s="92" t="str">
        <f aca="false">IF(COUNT(D41:L41)=0,"",IF(COUNTIF(D41:L41,1)&gt;0,"REVIEW","OK"))</f>
        <v>OK</v>
      </c>
      <c r="AJ41" s="92" t="str">
        <f aca="false">IF(COUNT(D41:L41)=0,"",IF(COUNTIF(D41:L41,"&lt;=2")&gt;=2,"AVOID","OK"))</f>
        <v>AVOID</v>
      </c>
      <c r="AK41" s="92" t="str">
        <f aca="false">IF(COUNTA(E41:M41)=0,"",IF(COUNTIF(E41:M41,"L")&gt;=2,"CAP AT BUY","OK"))</f>
        <v>OK</v>
      </c>
      <c r="AL41" s="118" t="s">
        <v>342</v>
      </c>
      <c r="AM41" s="118" t="s">
        <v>392</v>
      </c>
      <c r="AN41" s="114"/>
      <c r="AO41" s="92"/>
      <c r="AP41" s="114" t="str">
        <f aca="false">IF(OR(AN41="",AO41=""),"",IF(AN41&gt;AO41,"OK","LOW CONF"))</f>
        <v/>
      </c>
      <c r="AQ41" s="114"/>
      <c r="AR41" s="92"/>
      <c r="AS41" s="124" t="str">
        <f aca="false">IF(OR(AQ41="",AR41=""),"",IF(AQ41&lt;AR41,"Decreased",IF(AQ41&gt;AR41,"Increased","Flat")))</f>
        <v/>
      </c>
    </row>
    <row r="42" customFormat="false" ht="15" hidden="false" customHeight="true" outlineLevel="0" collapsed="false">
      <c r="A42" s="61" t="s">
        <v>245</v>
      </c>
      <c r="B42" s="112" t="s">
        <v>393</v>
      </c>
      <c r="C42" s="123" t="n">
        <v>46246</v>
      </c>
      <c r="D42" s="114" t="n">
        <v>4</v>
      </c>
      <c r="E42" s="114" t="s">
        <v>330</v>
      </c>
      <c r="F42" s="114" t="n">
        <v>3</v>
      </c>
      <c r="G42" s="114" t="s">
        <v>330</v>
      </c>
      <c r="H42" s="114" t="n">
        <v>3</v>
      </c>
      <c r="I42" s="114" t="s">
        <v>329</v>
      </c>
      <c r="J42" s="114" t="n">
        <v>3</v>
      </c>
      <c r="K42" s="114" t="s">
        <v>329</v>
      </c>
      <c r="L42" s="114" t="n">
        <v>4</v>
      </c>
      <c r="M42" s="114" t="s">
        <v>330</v>
      </c>
      <c r="N42" s="115" t="n">
        <f aca="false">IF(COUNT(D42,F42,H42,J42,L42)=0,"",(D42*0.2+F42*0.15+H42*0.15+J42*0.1+L42*0.1)/(IF(D42&lt;&gt;"",0.2,0)+IF(F42&lt;&gt;"",0.15,0)+IF(H42&lt;&gt;"",0.15,0)+IF(J42&lt;&gt;"",0.1,0)+IF(L42&lt;&gt;"",0.1,0)))</f>
        <v>3.42857142857143</v>
      </c>
      <c r="O42" s="92" t="n">
        <f aca="false">IF(COUNT(D42,F42,H42,J42,L42)=0,"",D42*0.2+F42*0.15+H42*0.15+J42*0.1+L42*0.1)</f>
        <v>2.4</v>
      </c>
      <c r="P42" s="114"/>
      <c r="Q42" s="114"/>
      <c r="R42" s="114"/>
      <c r="S42" s="114"/>
      <c r="T42" s="114"/>
      <c r="U42" s="114"/>
      <c r="V42" s="114"/>
      <c r="W42" s="114"/>
      <c r="X42" s="64" t="str">
        <f aca="false">IF(COUNT(P42,R42,T42,V42)=0,"",P42*0.08+R42*0.06+T42*0.03+V42*0.08)</f>
        <v/>
      </c>
      <c r="Y42" s="114"/>
      <c r="Z42" s="114"/>
      <c r="AA42" s="114"/>
      <c r="AB42" s="114"/>
      <c r="AC42" s="114"/>
      <c r="AD42" s="114"/>
      <c r="AE42" s="64" t="str">
        <f aca="false">IF(COUNT(Y42,AA42,AC42)=0,"",Y42*0.02+AA42*0.02+AC42*0.01)</f>
        <v/>
      </c>
      <c r="AF42" s="92" t="str">
        <f aca="false">IF(OR(COUNT(D42,F42,H42,J42,L42)&lt;5,COUNT(P42,R42,T42,V42)&lt;4,COUNT(Y42,AA42,AC42)&lt;3),"",(O42+X42+AE42)*20)</f>
        <v/>
      </c>
      <c r="AG42" s="92" t="str">
        <f aca="false">IF(AF42="","",IF(AF42&gt;=80,"STRONG BUY",IF(AF42&gt;=65,"BUY",IF(AF42&gt;=50,"WATCH LIST",IF(AF42&gt;=35,"AVOID","PASS")))))</f>
        <v/>
      </c>
      <c r="AH42" s="92" t="str">
        <f aca="false">IF(N42="","",IF(N42&lt;3,"FAIL","OK"))</f>
        <v>OK</v>
      </c>
      <c r="AI42" s="92" t="str">
        <f aca="false">IF(COUNT(D42:L42)=0,"",IF(COUNTIF(D42:L42,1)&gt;0,"REVIEW","OK"))</f>
        <v>OK</v>
      </c>
      <c r="AJ42" s="92" t="str">
        <f aca="false">IF(COUNT(D42:L42)=0,"",IF(COUNTIF(D42:L42,"&lt;=2")&gt;=2,"AVOID","OK"))</f>
        <v>OK</v>
      </c>
      <c r="AK42" s="92" t="str">
        <f aca="false">IF(COUNTA(E42:M42)=0,"",IF(COUNTIF(E42:M42,"L")&gt;=2,"CAP AT BUY","OK"))</f>
        <v>OK</v>
      </c>
      <c r="AL42" s="118" t="s">
        <v>342</v>
      </c>
      <c r="AM42" s="118" t="s">
        <v>392</v>
      </c>
      <c r="AN42" s="114"/>
      <c r="AO42" s="92"/>
      <c r="AP42" s="114" t="str">
        <f aca="false">IF(OR(AN42="",AO42=""),"",IF(AN42&gt;AO42,"OK","LOW CONF"))</f>
        <v/>
      </c>
      <c r="AQ42" s="114"/>
      <c r="AR42" s="92"/>
      <c r="AS42" s="124" t="str">
        <f aca="false">IF(OR(AQ42="",AR42=""),"",IF(AQ42&lt;AR42,"Decreased",IF(AQ42&gt;AR42,"Increased","Flat")))</f>
        <v/>
      </c>
    </row>
    <row r="43" customFormat="false" ht="15" hidden="false" customHeight="true" outlineLevel="0" collapsed="false">
      <c r="A43" s="61" t="s">
        <v>140</v>
      </c>
      <c r="B43" s="112" t="s">
        <v>141</v>
      </c>
      <c r="C43" s="123" t="n">
        <v>46295</v>
      </c>
      <c r="D43" s="114" t="n">
        <v>4</v>
      </c>
      <c r="E43" s="114" t="s">
        <v>329</v>
      </c>
      <c r="F43" s="114" t="n">
        <v>5</v>
      </c>
      <c r="G43" s="114" t="s">
        <v>329</v>
      </c>
      <c r="H43" s="114" t="n">
        <v>5</v>
      </c>
      <c r="I43" s="114" t="s">
        <v>329</v>
      </c>
      <c r="J43" s="114" t="n">
        <v>4</v>
      </c>
      <c r="K43" s="114" t="s">
        <v>329</v>
      </c>
      <c r="L43" s="114" t="n">
        <v>2</v>
      </c>
      <c r="M43" s="114" t="s">
        <v>329</v>
      </c>
      <c r="N43" s="115" t="n">
        <f aca="false">IF(COUNT(D43,F43,H43,J43,L43)=0,"",(D43*0.2+F43*0.15+H43*0.15+J43*0.1+L43*0.1)/(IF(D43&lt;&gt;"",0.2,0)+IF(F43&lt;&gt;"",0.15,0)+IF(H43&lt;&gt;"",0.15,0)+IF(J43&lt;&gt;"",0.1,0)+IF(L43&lt;&gt;"",0.1,0)))</f>
        <v>4.14285714285714</v>
      </c>
      <c r="O43" s="92" t="n">
        <f aca="false">IF(COUNT(D43,F43,H43,J43,L43)=0,"",D43*0.2+F43*0.15+H43*0.15+J43*0.1+L43*0.1)</f>
        <v>2.9</v>
      </c>
      <c r="P43" s="114" t="n">
        <v>5</v>
      </c>
      <c r="Q43" s="114" t="s">
        <v>330</v>
      </c>
      <c r="R43" s="114" t="n">
        <v>5</v>
      </c>
      <c r="S43" s="114" t="s">
        <v>331</v>
      </c>
      <c r="T43" s="114" t="n">
        <v>3</v>
      </c>
      <c r="U43" s="114" t="s">
        <v>329</v>
      </c>
      <c r="V43" s="114" t="n">
        <v>4</v>
      </c>
      <c r="W43" s="114" t="s">
        <v>329</v>
      </c>
      <c r="X43" s="64" t="n">
        <f aca="false">IF(COUNT(P43,R43,T43,V43)=0,"",P43*0.08+R43*0.06+T43*0.03+V43*0.08)</f>
        <v>1.11</v>
      </c>
      <c r="Y43" s="114" t="n">
        <v>5</v>
      </c>
      <c r="Z43" s="114" t="s">
        <v>329</v>
      </c>
      <c r="AA43" s="114" t="n">
        <v>4</v>
      </c>
      <c r="AB43" s="114" t="s">
        <v>329</v>
      </c>
      <c r="AC43" s="114" t="n">
        <v>2</v>
      </c>
      <c r="AD43" s="114" t="s">
        <v>329</v>
      </c>
      <c r="AE43" s="64" t="n">
        <f aca="false">IF(COUNT(Y43,AA43,AC43)=0,"",Y43*0.02+AA43*0.02+AC43*0.01)</f>
        <v>0.2</v>
      </c>
      <c r="AF43" s="92" t="n">
        <f aca="false">IF(OR(COUNT(D43,F43,H43,J43,L43)&lt;5,COUNT(P43,R43,T43,V43)&lt;4,COUNT(Y43,AA43,AC43)&lt;3),"",(O43+X43+AE43)*20)</f>
        <v>84.2</v>
      </c>
      <c r="AG43" s="92" t="str">
        <f aca="false">IF(AF43="","",IF(AF43&gt;=80,"STRONG BUY",IF(AF43&gt;=65,"BUY",IF(AF43&gt;=50,"WATCH LIST",IF(AF43&gt;=35,"AVOID","PASS")))))</f>
        <v>STRONG BUY</v>
      </c>
      <c r="AH43" s="92" t="str">
        <f aca="false">IF(N43="","",IF(N43&lt;3,"FAIL","OK"))</f>
        <v>OK</v>
      </c>
      <c r="AI43" s="92" t="str">
        <f aca="false">IF(COUNT(D43:L43)=0,"",IF(COUNTIF(D43:L43,1)&gt;0,"REVIEW","OK"))</f>
        <v>OK</v>
      </c>
      <c r="AJ43" s="92" t="str">
        <f aca="false">IF(COUNT(D43:L43)=0,"",IF(COUNTIF(D43:L43,"&lt;=2")&gt;=2,"AVOID","OK"))</f>
        <v>OK</v>
      </c>
      <c r="AK43" s="92" t="str">
        <f aca="false">IF(COUNTA(E43:M43)=0,"",IF(COUNTIF(E43:M43,"L")&gt;=2,"CAP AT BUY","OK"))</f>
        <v>OK</v>
      </c>
      <c r="AL43" s="118" t="s">
        <v>349</v>
      </c>
      <c r="AM43" s="118" t="s">
        <v>394</v>
      </c>
      <c r="AN43" s="114"/>
      <c r="AO43" s="92"/>
      <c r="AP43" s="114" t="str">
        <f aca="false">IF(OR(AN43="",AO43=""),"",IF(AN43&gt;AO43,"OK","LOW CONF"))</f>
        <v/>
      </c>
      <c r="AQ43" s="114"/>
      <c r="AR43" s="92"/>
      <c r="AS43" s="124" t="str">
        <f aca="false">IF(OR(AQ43="",AR43=""),"",IF(AQ43&lt;AR43,"Decreased",IF(AQ43&gt;AR43,"Increased","Flat")))</f>
        <v/>
      </c>
    </row>
    <row r="44" customFormat="false" ht="15" hidden="false" customHeight="true" outlineLevel="0" collapsed="false">
      <c r="A44" s="61" t="s">
        <v>265</v>
      </c>
      <c r="B44" s="112" t="s">
        <v>395</v>
      </c>
      <c r="C44" s="123" t="n">
        <v>46247</v>
      </c>
      <c r="D44" s="114" t="n">
        <v>4</v>
      </c>
      <c r="E44" s="114" t="s">
        <v>329</v>
      </c>
      <c r="F44" s="114" t="n">
        <v>3</v>
      </c>
      <c r="G44" s="114" t="s">
        <v>329</v>
      </c>
      <c r="H44" s="114" t="n">
        <v>3</v>
      </c>
      <c r="I44" s="114" t="s">
        <v>329</v>
      </c>
      <c r="J44" s="114" t="n">
        <v>2</v>
      </c>
      <c r="K44" s="114" t="s">
        <v>329</v>
      </c>
      <c r="L44" s="114" t="n">
        <v>4</v>
      </c>
      <c r="M44" s="114" t="s">
        <v>329</v>
      </c>
      <c r="N44" s="115" t="n">
        <f aca="false">IF(COUNT(D44,F44,H44,J44,L44)=0,"",(D44*0.2+F44*0.15+H44*0.15+J44*0.1+L44*0.1)/(IF(D44&lt;&gt;"",0.2,0)+IF(F44&lt;&gt;"",0.15,0)+IF(H44&lt;&gt;"",0.15,0)+IF(J44&lt;&gt;"",0.1,0)+IF(L44&lt;&gt;"",0.1,0)))</f>
        <v>3.28571428571429</v>
      </c>
      <c r="O44" s="92" t="n">
        <f aca="false">IF(COUNT(D44,F44,H44,J44,L44)=0,"",D44*0.2+F44*0.15+H44*0.15+J44*0.1+L44*0.1)</f>
        <v>2.3</v>
      </c>
      <c r="P44" s="114"/>
      <c r="Q44" s="114"/>
      <c r="R44" s="114"/>
      <c r="S44" s="114"/>
      <c r="T44" s="114"/>
      <c r="U44" s="114"/>
      <c r="V44" s="114"/>
      <c r="W44" s="114"/>
      <c r="X44" s="64" t="str">
        <f aca="false">IF(COUNT(P44,R44,T44,V44)=0,"",P44*0.08+R44*0.06+T44*0.03+V44*0.08)</f>
        <v/>
      </c>
      <c r="Y44" s="114"/>
      <c r="Z44" s="114"/>
      <c r="AA44" s="114" t="n">
        <v>4</v>
      </c>
      <c r="AB44" s="114" t="s">
        <v>329</v>
      </c>
      <c r="AC44" s="114"/>
      <c r="AD44" s="114"/>
      <c r="AE44" s="64" t="n">
        <f aca="false">IF(COUNT(Y44,AA44,AC44)=0,"",Y44*0.02+AA44*0.02+AC44*0.01)</f>
        <v>0.08</v>
      </c>
      <c r="AF44" s="92" t="str">
        <f aca="false">IF(OR(COUNT(D44,F44,H44,J44,L44)&lt;5,COUNT(P44,R44,T44,V44)&lt;4,COUNT(Y44,AA44,AC44)&lt;3),"",(O44+X44+AE44)*20)</f>
        <v/>
      </c>
      <c r="AG44" s="92" t="str">
        <f aca="false">IF(AF44="","",IF(AF44&gt;=80,"STRONG BUY",IF(AF44&gt;=65,"BUY",IF(AF44&gt;=50,"WATCH LIST",IF(AF44&gt;=35,"AVOID","PASS")))))</f>
        <v/>
      </c>
      <c r="AH44" s="92" t="str">
        <f aca="false">IF(N44="","",IF(N44&lt;3,"FAIL","OK"))</f>
        <v>OK</v>
      </c>
      <c r="AI44" s="92" t="str">
        <f aca="false">IF(COUNT(D44:L44)=0,"",IF(COUNTIF(D44:L44,1)&gt;0,"REVIEW","OK"))</f>
        <v>OK</v>
      </c>
      <c r="AJ44" s="92" t="str">
        <f aca="false">IF(COUNT(D44:L44)=0,"",IF(COUNTIF(D44:L44,"&lt;=2")&gt;=2,"AVOID","OK"))</f>
        <v>OK</v>
      </c>
      <c r="AK44" s="92" t="str">
        <f aca="false">IF(COUNTA(E44:M44)=0,"",IF(COUNTIF(E44:M44,"L")&gt;=2,"CAP AT BUY","OK"))</f>
        <v>OK</v>
      </c>
      <c r="AL44" s="118" t="s">
        <v>349</v>
      </c>
      <c r="AM44" s="118" t="s">
        <v>396</v>
      </c>
      <c r="AN44" s="114"/>
      <c r="AO44" s="92"/>
      <c r="AP44" s="114" t="str">
        <f aca="false">IF(OR(AN44="",AO44=""),"",IF(AN44&gt;AO44,"OK","LOW CONF"))</f>
        <v/>
      </c>
      <c r="AQ44" s="114"/>
      <c r="AR44" s="92"/>
      <c r="AS44" s="124" t="str">
        <f aca="false">IF(OR(AQ44="",AR44=""),"",IF(AQ44&lt;AR44,"Decreased",IF(AQ44&gt;AR44,"Increased","Flat")))</f>
        <v/>
      </c>
    </row>
    <row r="45" customFormat="false" ht="15" hidden="false" customHeight="true" outlineLevel="0" collapsed="false">
      <c r="A45" s="61" t="s">
        <v>243</v>
      </c>
      <c r="B45" s="112" t="s">
        <v>397</v>
      </c>
      <c r="C45" s="123" t="n">
        <v>46247</v>
      </c>
      <c r="D45" s="114" t="n">
        <v>4</v>
      </c>
      <c r="E45" s="114" t="s">
        <v>329</v>
      </c>
      <c r="F45" s="114" t="n">
        <v>3</v>
      </c>
      <c r="G45" s="114" t="s">
        <v>329</v>
      </c>
      <c r="H45" s="114" t="n">
        <v>4</v>
      </c>
      <c r="I45" s="114" t="s">
        <v>329</v>
      </c>
      <c r="J45" s="114" t="n">
        <v>3</v>
      </c>
      <c r="K45" s="114" t="s">
        <v>329</v>
      </c>
      <c r="L45" s="114" t="n">
        <v>3</v>
      </c>
      <c r="M45" s="114" t="s">
        <v>329</v>
      </c>
      <c r="N45" s="115" t="n">
        <f aca="false">IF(COUNT(D45,F45,H45,J45,L45)=0,"",(D45*0.2+F45*0.15+H45*0.15+J45*0.1+L45*0.1)/(IF(D45&lt;&gt;"",0.2,0)+IF(F45&lt;&gt;"",0.15,0)+IF(H45&lt;&gt;"",0.15,0)+IF(J45&lt;&gt;"",0.1,0)+IF(L45&lt;&gt;"",0.1,0)))</f>
        <v>3.5</v>
      </c>
      <c r="O45" s="92" t="n">
        <f aca="false">IF(COUNT(D45,F45,H45,J45,L45)=0,"",D45*0.2+F45*0.15+H45*0.15+J45*0.1+L45*0.1)</f>
        <v>2.45</v>
      </c>
      <c r="P45" s="114"/>
      <c r="Q45" s="114"/>
      <c r="R45" s="114"/>
      <c r="S45" s="114"/>
      <c r="T45" s="114"/>
      <c r="U45" s="114"/>
      <c r="V45" s="114"/>
      <c r="W45" s="114"/>
      <c r="X45" s="64" t="str">
        <f aca="false">IF(COUNT(P45,R45,T45,V45)=0,"",P45*0.08+R45*0.06+T45*0.03+V45*0.08)</f>
        <v/>
      </c>
      <c r="Y45" s="114"/>
      <c r="Z45" s="114"/>
      <c r="AA45" s="114" t="n">
        <v>4</v>
      </c>
      <c r="AB45" s="114" t="s">
        <v>329</v>
      </c>
      <c r="AC45" s="114"/>
      <c r="AD45" s="114"/>
      <c r="AE45" s="64" t="n">
        <f aca="false">IF(COUNT(Y45,AA45,AC45)=0,"",Y45*0.02+AA45*0.02+AC45*0.01)</f>
        <v>0.08</v>
      </c>
      <c r="AF45" s="92" t="str">
        <f aca="false">IF(OR(COUNT(D45,F45,H45,J45,L45)&lt;5,COUNT(P45,R45,T45,V45)&lt;4,COUNT(Y45,AA45,AC45)&lt;3),"",(O45+X45+AE45)*20)</f>
        <v/>
      </c>
      <c r="AG45" s="92" t="str">
        <f aca="false">IF(AF45="","",IF(AF45&gt;=80,"STRONG BUY",IF(AF45&gt;=65,"BUY",IF(AF45&gt;=50,"WATCH LIST",IF(AF45&gt;=35,"AVOID","PASS")))))</f>
        <v/>
      </c>
      <c r="AH45" s="92" t="str">
        <f aca="false">IF(N45="","",IF(N45&lt;3,"FAIL","OK"))</f>
        <v>OK</v>
      </c>
      <c r="AI45" s="92" t="str">
        <f aca="false">IF(COUNT(D45:L45)=0,"",IF(COUNTIF(D45:L45,1)&gt;0,"REVIEW","OK"))</f>
        <v>OK</v>
      </c>
      <c r="AJ45" s="92" t="str">
        <f aca="false">IF(COUNT(D45:L45)=0,"",IF(COUNTIF(D45:L45,"&lt;=2")&gt;=2,"AVOID","OK"))</f>
        <v>OK</v>
      </c>
      <c r="AK45" s="92" t="str">
        <f aca="false">IF(COUNTA(E45:M45)=0,"",IF(COUNTIF(E45:M45,"L")&gt;=2,"CAP AT BUY","OK"))</f>
        <v>OK</v>
      </c>
      <c r="AL45" s="118" t="s">
        <v>349</v>
      </c>
      <c r="AM45" s="118" t="s">
        <v>396</v>
      </c>
      <c r="AN45" s="114"/>
      <c r="AO45" s="92"/>
      <c r="AP45" s="114" t="str">
        <f aca="false">IF(OR(AN45="",AO45=""),"",IF(AN45&gt;AO45,"OK","LOW CONF"))</f>
        <v/>
      </c>
      <c r="AQ45" s="114"/>
      <c r="AR45" s="92"/>
      <c r="AS45" s="124" t="str">
        <f aca="false">IF(OR(AQ45="",AR45=""),"",IF(AQ45&lt;AR45,"Decreased",IF(AQ45&gt;AR45,"Increased","Flat")))</f>
        <v/>
      </c>
    </row>
    <row r="46" customFormat="false" ht="15" hidden="true" customHeight="true" outlineLevel="1" collapsed="false">
      <c r="A46" s="61" t="s">
        <v>236</v>
      </c>
      <c r="B46" s="112" t="s">
        <v>398</v>
      </c>
      <c r="C46" s="123" t="n">
        <v>46258</v>
      </c>
      <c r="D46" s="114" t="n">
        <v>4</v>
      </c>
      <c r="E46" s="114" t="s">
        <v>329</v>
      </c>
      <c r="F46" s="114" t="n">
        <v>2</v>
      </c>
      <c r="G46" s="114" t="s">
        <v>329</v>
      </c>
      <c r="H46" s="114" t="n">
        <v>3</v>
      </c>
      <c r="I46" s="114" t="s">
        <v>329</v>
      </c>
      <c r="J46" s="114" t="n">
        <v>2</v>
      </c>
      <c r="K46" s="114" t="s">
        <v>329</v>
      </c>
      <c r="L46" s="114" t="n">
        <v>3</v>
      </c>
      <c r="M46" s="114" t="s">
        <v>329</v>
      </c>
      <c r="N46" s="115" t="n">
        <f aca="false">IF(COUNT(D46,F46,H46,J46,L46)=0,"",(D46*0.2+F46*0.15+H46*0.15+J46*0.1+L46*0.1)/(IF(D46&lt;&gt;"",0.2,0)+IF(F46&lt;&gt;"",0.15,0)+IF(H46&lt;&gt;"",0.15,0)+IF(J46&lt;&gt;"",0.1,0)+IF(L46&lt;&gt;"",0.1,0)))</f>
        <v>2.92857142857143</v>
      </c>
      <c r="O46" s="92" t="n">
        <f aca="false">IF(COUNT(D46,F46,H46,J46,L46)=0,"",D46*0.2+F46*0.15+H46*0.15+J46*0.1+L46*0.1)</f>
        <v>2.05</v>
      </c>
      <c r="P46" s="114"/>
      <c r="Q46" s="114"/>
      <c r="R46" s="114"/>
      <c r="S46" s="114"/>
      <c r="T46" s="114"/>
      <c r="U46" s="114"/>
      <c r="V46" s="114"/>
      <c r="W46" s="114"/>
      <c r="X46" s="64" t="str">
        <f aca="false">IF(COUNT(P46,R46,T46,V46)=0,"",P46*0.08+R46*0.06+T46*0.03+V46*0.08)</f>
        <v/>
      </c>
      <c r="Y46" s="114"/>
      <c r="Z46" s="114"/>
      <c r="AA46" s="114"/>
      <c r="AB46" s="114"/>
      <c r="AC46" s="114"/>
      <c r="AD46" s="114"/>
      <c r="AE46" s="64" t="str">
        <f aca="false">IF(COUNT(Y46,AA46,AC46)=0,"",Y46*0.02+AA46*0.02+AC46*0.01)</f>
        <v/>
      </c>
      <c r="AF46" s="92" t="str">
        <f aca="false">IF(OR(COUNT(D46,F46,H46,J46,L46)&lt;5,COUNT(P46,R46,T46,V46)&lt;4,COUNT(Y46,AA46,AC46)&lt;3),"",(O46+X46+AE46)*20)</f>
        <v/>
      </c>
      <c r="AG46" s="92" t="str">
        <f aca="false">IF(AF46="","",IF(AF46&gt;=80,"STRONG BUY",IF(AF46&gt;=65,"BUY",IF(AF46&gt;=50,"WATCH LIST",IF(AF46&gt;=35,"AVOID","PASS")))))</f>
        <v/>
      </c>
      <c r="AH46" s="92" t="str">
        <f aca="false">IF(N46="","",IF(N46&lt;3,"FAIL","OK"))</f>
        <v>FAIL</v>
      </c>
      <c r="AI46" s="92" t="str">
        <f aca="false">IF(COUNT(D46:L46)=0,"",IF(COUNTIF(D46:L46,1)&gt;0,"REVIEW","OK"))</f>
        <v>OK</v>
      </c>
      <c r="AJ46" s="92" t="str">
        <f aca="false">IF(COUNT(D46:L46)=0,"",IF(COUNTIF(D46:L46,"&lt;=2")&gt;=2,"AVOID","OK"))</f>
        <v>AVOID</v>
      </c>
      <c r="AK46" s="92" t="str">
        <f aca="false">IF(COUNTA(E46:M46)=0,"",IF(COUNTIF(E46:M46,"L")&gt;=2,"CAP AT BUY","OK"))</f>
        <v>OK</v>
      </c>
      <c r="AL46" s="118" t="s">
        <v>399</v>
      </c>
      <c r="AM46" s="118" t="s">
        <v>400</v>
      </c>
      <c r="AN46" s="114"/>
      <c r="AO46" s="92"/>
      <c r="AP46" s="114" t="str">
        <f aca="false">IF(OR(AN46="",AO46=""),"",IF(AN46&gt;AO46,"OK","LOW CONF"))</f>
        <v/>
      </c>
      <c r="AQ46" s="114"/>
      <c r="AR46" s="92"/>
      <c r="AS46" s="124" t="str">
        <f aca="false">IF(OR(AQ46="",AR46=""),"",IF(AQ46&lt;AR46,"Decreased",IF(AQ46&gt;AR46,"Increased","Flat")))</f>
        <v/>
      </c>
    </row>
    <row r="47" customFormat="false" ht="15" hidden="false" customHeight="true" outlineLevel="0" collapsed="false">
      <c r="A47" s="61" t="s">
        <v>143</v>
      </c>
      <c r="B47" s="112" t="s">
        <v>144</v>
      </c>
      <c r="C47" s="123" t="n">
        <v>46295</v>
      </c>
      <c r="D47" s="114" t="n">
        <v>4</v>
      </c>
      <c r="E47" s="114" t="s">
        <v>329</v>
      </c>
      <c r="F47" s="114" t="n">
        <v>4</v>
      </c>
      <c r="G47" s="114" t="s">
        <v>329</v>
      </c>
      <c r="H47" s="114" t="n">
        <v>5</v>
      </c>
      <c r="I47" s="114" t="s">
        <v>329</v>
      </c>
      <c r="J47" s="114" t="n">
        <v>4</v>
      </c>
      <c r="K47" s="114" t="s">
        <v>329</v>
      </c>
      <c r="L47" s="114" t="n">
        <v>4</v>
      </c>
      <c r="M47" s="114" t="s">
        <v>329</v>
      </c>
      <c r="N47" s="115" t="n">
        <f aca="false">IF(COUNT(D47,F47,H47,J47,L47)=0,"",(D47*0.2+F47*0.15+H47*0.15+J47*0.1+L47*0.1)/(IF(D47&lt;&gt;"",0.2,0)+IF(F47&lt;&gt;"",0.15,0)+IF(H47&lt;&gt;"",0.15,0)+IF(J47&lt;&gt;"",0.1,0)+IF(L47&lt;&gt;"",0.1,0)))</f>
        <v>4.21428571428571</v>
      </c>
      <c r="O47" s="92" t="n">
        <f aca="false">IF(COUNT(D47,F47,H47,J47,L47)=0,"",D47*0.2+F47*0.15+H47*0.15+J47*0.1+L47*0.1)</f>
        <v>2.95</v>
      </c>
      <c r="P47" s="114" t="n">
        <v>5</v>
      </c>
      <c r="Q47" s="114" t="s">
        <v>330</v>
      </c>
      <c r="R47" s="114" t="n">
        <v>5</v>
      </c>
      <c r="S47" s="114" t="s">
        <v>331</v>
      </c>
      <c r="T47" s="114" t="n">
        <v>1</v>
      </c>
      <c r="U47" s="114" t="s">
        <v>329</v>
      </c>
      <c r="V47" s="114" t="n">
        <v>4</v>
      </c>
      <c r="W47" s="114" t="s">
        <v>329</v>
      </c>
      <c r="X47" s="64" t="n">
        <f aca="false">IF(COUNT(P47,R47,T47,V47)=0,"",P47*0.08+R47*0.06+T47*0.03+V47*0.08)</f>
        <v>1.05</v>
      </c>
      <c r="Y47" s="114" t="n">
        <v>4</v>
      </c>
      <c r="Z47" s="114" t="s">
        <v>329</v>
      </c>
      <c r="AA47" s="114" t="n">
        <v>4</v>
      </c>
      <c r="AB47" s="114" t="s">
        <v>329</v>
      </c>
      <c r="AC47" s="114" t="n">
        <v>3</v>
      </c>
      <c r="AD47" s="114" t="s">
        <v>329</v>
      </c>
      <c r="AE47" s="64" t="n">
        <f aca="false">IF(COUNT(Y47,AA47,AC47)=0,"",Y47*0.02+AA47*0.02+AC47*0.01)</f>
        <v>0.19</v>
      </c>
      <c r="AF47" s="92" t="n">
        <f aca="false">IF(OR(COUNT(D47,F47,H47,J47,L47)&lt;5,COUNT(P47,R47,T47,V47)&lt;4,COUNT(Y47,AA47,AC47)&lt;3),"",(O47+X47+AE47)*20)</f>
        <v>83.8</v>
      </c>
      <c r="AG47" s="92" t="str">
        <f aca="false">IF(AF47="","",IF(AF47&gt;=80,"STRONG BUY",IF(AF47&gt;=65,"BUY",IF(AF47&gt;=50,"WATCH LIST",IF(AF47&gt;=35,"AVOID","PASS")))))</f>
        <v>STRONG BUY</v>
      </c>
      <c r="AH47" s="92" t="str">
        <f aca="false">IF(N47="","",IF(N47&lt;3,"FAIL","OK"))</f>
        <v>OK</v>
      </c>
      <c r="AI47" s="92" t="str">
        <f aca="false">IF(COUNT(D47:L47)=0,"",IF(COUNTIF(D47:L47,1)&gt;0,"REVIEW","OK"))</f>
        <v>OK</v>
      </c>
      <c r="AJ47" s="92" t="str">
        <f aca="false">IF(COUNT(D47:L47)=0,"",IF(COUNTIF(D47:L47,"&lt;=2")&gt;=2,"AVOID","OK"))</f>
        <v>OK</v>
      </c>
      <c r="AK47" s="92" t="str">
        <f aca="false">IF(COUNTA(E47:M47)=0,"",IF(COUNTIF(E47:M47,"L")&gt;=2,"CAP AT BUY","OK"))</f>
        <v>OK</v>
      </c>
      <c r="AL47" s="118" t="s">
        <v>399</v>
      </c>
      <c r="AM47" s="118" t="s">
        <v>400</v>
      </c>
      <c r="AN47" s="114"/>
      <c r="AO47" s="92"/>
      <c r="AP47" s="114" t="str">
        <f aca="false">IF(OR(AN47="",AO47=""),"",IF(AN47&gt;AO47,"OK","LOW CONF"))</f>
        <v/>
      </c>
      <c r="AQ47" s="114"/>
      <c r="AR47" s="92"/>
      <c r="AS47" s="124" t="str">
        <f aca="false">IF(OR(AQ47="",AR47=""),"",IF(AQ47&lt;AR47,"Decreased",IF(AQ47&gt;AR47,"Increased","Flat")))</f>
        <v/>
      </c>
    </row>
    <row r="48" customFormat="false" ht="15" hidden="false" customHeight="true" outlineLevel="0" collapsed="false">
      <c r="A48" s="61" t="s">
        <v>275</v>
      </c>
      <c r="B48" s="112" t="s">
        <v>401</v>
      </c>
      <c r="C48" s="113" t="n">
        <v>46276</v>
      </c>
      <c r="D48" s="114" t="n">
        <v>4</v>
      </c>
      <c r="E48" s="114" t="s">
        <v>329</v>
      </c>
      <c r="F48" s="114" t="n">
        <v>4</v>
      </c>
      <c r="G48" s="114" t="s">
        <v>329</v>
      </c>
      <c r="H48" s="114"/>
      <c r="I48" s="114"/>
      <c r="J48" s="114"/>
      <c r="K48" s="114"/>
      <c r="L48" s="114" t="n">
        <v>4</v>
      </c>
      <c r="M48" s="114" t="s">
        <v>329</v>
      </c>
      <c r="N48" s="115" t="n">
        <f aca="false">IF(COUNT(D48,F48,H48,J48,L48)=0,"",(D48*0.2+F48*0.15+H48*0.15+J48*0.1+L48*0.1)/(IF(D48&lt;&gt;"",0.2,0)+IF(F48&lt;&gt;"",0.15,0)+IF(H48&lt;&gt;"",0.15,0)+IF(J48&lt;&gt;"",0.1,0)+IF(L48&lt;&gt;"",0.1,0)))</f>
        <v>4</v>
      </c>
      <c r="O48" s="116" t="n">
        <f aca="false">IF(COUNT(D48,F48,H48,J48,L48)=0,"",D48*0.2+F48*0.15+H48*0.15+J48*0.1+L48*0.1)</f>
        <v>1.8</v>
      </c>
      <c r="P48" s="114"/>
      <c r="Q48" s="114"/>
      <c r="R48" s="114"/>
      <c r="S48" s="114"/>
      <c r="T48" s="114"/>
      <c r="U48" s="114"/>
      <c r="V48" s="114"/>
      <c r="W48" s="114"/>
      <c r="X48" s="116" t="str">
        <f aca="false">IF(COUNT(P48,R48,T48,V48)=0,"",P48*0.08+R48*0.06+T48*0.03+V48*0.08)</f>
        <v/>
      </c>
      <c r="Y48" s="114"/>
      <c r="Z48" s="114"/>
      <c r="AA48" s="114"/>
      <c r="AB48" s="114"/>
      <c r="AC48" s="114"/>
      <c r="AD48" s="114"/>
      <c r="AE48" s="116" t="str">
        <f aca="false">IF(COUNT(Y48,AA48,AC48)=0,"",Y48*0.02+AA48*0.02+AC48*0.01)</f>
        <v/>
      </c>
      <c r="AF48" s="92" t="str">
        <f aca="false">IF(OR(COUNT(D48,F48,H48,J48,L48)&lt;5,COUNT(P48,R48,T48,V48)&lt;4,COUNT(Y48,AA48,AC48)&lt;3),"",(O48+X48+AE48)*20)</f>
        <v/>
      </c>
      <c r="AG48" s="92" t="str">
        <f aca="false">IF(AF48="","",IF(AF48&gt;=80,"STRONG BUY",IF(AF48&gt;=65,"BUY",IF(AF48&gt;=50,"WATCH LIST",IF(AF48&gt;=35,"AVOID","PASS")))))</f>
        <v/>
      </c>
      <c r="AH48" s="92" t="str">
        <f aca="false">IF(N48="","",IF(N48&lt;3,"FAIL","OK"))</f>
        <v>OK</v>
      </c>
      <c r="AI48" s="92" t="str">
        <f aca="false">IF(COUNT(D48:L48)=0,"",IF(COUNTIF(D48:L48,1)&gt;0,"REVIEW","OK"))</f>
        <v>OK</v>
      </c>
      <c r="AJ48" s="92" t="str">
        <f aca="false">IF(COUNT(D48:L48)=0,"",IF(COUNTIF(D48:L48,"&lt;=2")&gt;=2,"AVOID","OK"))</f>
        <v>OK</v>
      </c>
      <c r="AK48" s="92" t="str">
        <f aca="false">IF(COUNTA(E48:M48)=0,"",IF(COUNTIF(E48:M48,"L")&gt;=2,"CAP AT BUY","OK"))</f>
        <v>OK</v>
      </c>
      <c r="AL48" s="118" t="s">
        <v>359</v>
      </c>
      <c r="AM48" s="118" t="s">
        <v>364</v>
      </c>
      <c r="AN48" s="114"/>
      <c r="AO48" s="92"/>
      <c r="AP48" s="114" t="str">
        <f aca="false">IF(OR(AN48="",AO48=""),"",IF(AN48&gt;AO48,"OK","LOW CONF"))</f>
        <v/>
      </c>
      <c r="AQ48" s="114"/>
      <c r="AR48" s="92"/>
      <c r="AS48" s="124" t="str">
        <f aca="false">IF(OR(AQ48="",AR48=""),"",IF(AQ48&lt;AR48,"Decreased",IF(AQ48&gt;AR48,"Increased","Flat")))</f>
        <v/>
      </c>
    </row>
    <row r="49" customFormat="false" ht="15" hidden="false" customHeight="true" outlineLevel="0" collapsed="false">
      <c r="A49" s="61" t="s">
        <v>402</v>
      </c>
      <c r="B49" s="112" t="s">
        <v>403</v>
      </c>
      <c r="C49" s="123" t="n">
        <v>46295</v>
      </c>
      <c r="D49" s="114" t="n">
        <v>3</v>
      </c>
      <c r="E49" s="114" t="s">
        <v>329</v>
      </c>
      <c r="F49" s="114" t="n">
        <v>2</v>
      </c>
      <c r="G49" s="114" t="s">
        <v>329</v>
      </c>
      <c r="H49" s="114" t="n">
        <v>5</v>
      </c>
      <c r="I49" s="114" t="s">
        <v>330</v>
      </c>
      <c r="J49" s="114" t="n">
        <v>4</v>
      </c>
      <c r="K49" s="114" t="s">
        <v>329</v>
      </c>
      <c r="L49" s="114" t="n">
        <v>4</v>
      </c>
      <c r="M49" s="114" t="s">
        <v>329</v>
      </c>
      <c r="N49" s="115" t="n">
        <f aca="false">IF(COUNT(D49,F49,H49,J49,L49)=0,"",(D49*0.2+F49*0.15+H49*0.15+J49*0.1+L49*0.1)/(IF(D49&lt;&gt;"",0.2,0)+IF(F49&lt;&gt;"",0.15,0)+IF(H49&lt;&gt;"",0.15,0)+IF(J49&lt;&gt;"",0.1,0)+IF(L49&lt;&gt;"",0.1,0)))</f>
        <v>3.5</v>
      </c>
      <c r="O49" s="92" t="n">
        <f aca="false">IF(COUNT(D49,F49,H49,J49,L49)=0,"",D49*0.2+F49*0.15+H49*0.15+J49*0.1+L49*0.1)</f>
        <v>2.45</v>
      </c>
      <c r="P49" s="114" t="n">
        <v>5</v>
      </c>
      <c r="Q49" s="114" t="s">
        <v>330</v>
      </c>
      <c r="R49" s="114" t="n">
        <v>3</v>
      </c>
      <c r="S49" s="114" t="s">
        <v>331</v>
      </c>
      <c r="T49" s="114" t="n">
        <v>1</v>
      </c>
      <c r="U49" s="114" t="s">
        <v>329</v>
      </c>
      <c r="V49" s="114" t="n">
        <v>4</v>
      </c>
      <c r="W49" s="114" t="s">
        <v>329</v>
      </c>
      <c r="X49" s="64" t="n">
        <f aca="false">IF(COUNT(P49,R49,T49,V49)=0,"",P49*0.08+R49*0.06+T49*0.03+V49*0.08)</f>
        <v>0.93</v>
      </c>
      <c r="Y49" s="114" t="n">
        <v>2</v>
      </c>
      <c r="Z49" s="114" t="s">
        <v>329</v>
      </c>
      <c r="AA49" s="114" t="n">
        <v>5</v>
      </c>
      <c r="AB49" s="114" t="s">
        <v>329</v>
      </c>
      <c r="AC49" s="114" t="n">
        <v>2</v>
      </c>
      <c r="AD49" s="114" t="s">
        <v>329</v>
      </c>
      <c r="AE49" s="64" t="n">
        <f aca="false">IF(COUNT(Y49,AA49,AC49)=0,"",Y49*0.02+AA49*0.02+AC49*0.01)</f>
        <v>0.16</v>
      </c>
      <c r="AF49" s="92" t="n">
        <f aca="false">IF(OR(COUNT(D49,F49,H49,J49,L49)&lt;5,COUNT(P49,R49,T49,V49)&lt;4,COUNT(Y49,AA49,AC49)&lt;3),"",(O49+X49+AE49)*20)</f>
        <v>70.8</v>
      </c>
      <c r="AG49" s="92" t="str">
        <f aca="false">IF(AF49="","",IF(AF49&gt;=80,"STRONG BUY",IF(AF49&gt;=65,"BUY",IF(AF49&gt;=50,"WATCH LIST",IF(AF49&gt;=35,"AVOID","PASS")))))</f>
        <v>BUY</v>
      </c>
      <c r="AH49" s="92" t="str">
        <f aca="false">IF(N49="","",IF(N49&lt;3,"FAIL","OK"))</f>
        <v>OK</v>
      </c>
      <c r="AI49" s="92" t="str">
        <f aca="false">IF(COUNT(D49:L49)=0,"",IF(COUNTIF(D49:L49,1)&gt;0,"REVIEW","OK"))</f>
        <v>OK</v>
      </c>
      <c r="AJ49" s="92" t="str">
        <f aca="false">IF(COUNT(D49:L49)=0,"",IF(COUNTIF(D49:L49,"&lt;=2")&gt;=2,"AVOID","OK"))</f>
        <v>OK</v>
      </c>
      <c r="AK49" s="92" t="str">
        <f aca="false">IF(COUNTA(E49:M49)=0,"",IF(COUNTIF(E49:M49,"L")&gt;=2,"CAP AT BUY","OK"))</f>
        <v>OK</v>
      </c>
      <c r="AL49" s="118" t="s">
        <v>335</v>
      </c>
      <c r="AM49" s="118" t="s">
        <v>404</v>
      </c>
      <c r="AN49" s="114"/>
      <c r="AO49" s="92"/>
      <c r="AP49" s="114" t="str">
        <f aca="false">IF(OR(AN49="",AO49=""),"",IF(AN49&gt;AO49,"OK","LOW CONF"))</f>
        <v/>
      </c>
      <c r="AQ49" s="114"/>
      <c r="AR49" s="92"/>
      <c r="AS49" s="124" t="str">
        <f aca="false">IF(OR(AQ49="",AR49=""),"",IF(AQ49&lt;AR49,"Decreased",IF(AQ49&gt;AR49,"Increased","Flat")))</f>
        <v/>
      </c>
    </row>
    <row r="50" customFormat="false" ht="15" hidden="false" customHeight="true" outlineLevel="0" collapsed="false">
      <c r="A50" s="61" t="s">
        <v>405</v>
      </c>
      <c r="B50" s="112" t="s">
        <v>406</v>
      </c>
      <c r="C50" s="123" t="n">
        <v>46295</v>
      </c>
      <c r="D50" s="114" t="n">
        <v>4</v>
      </c>
      <c r="E50" s="114" t="s">
        <v>329</v>
      </c>
      <c r="F50" s="114" t="n">
        <v>3</v>
      </c>
      <c r="G50" s="114" t="s">
        <v>329</v>
      </c>
      <c r="H50" s="114" t="n">
        <v>4</v>
      </c>
      <c r="I50" s="114" t="s">
        <v>329</v>
      </c>
      <c r="J50" s="114" t="n">
        <v>3</v>
      </c>
      <c r="K50" s="114" t="s">
        <v>329</v>
      </c>
      <c r="L50" s="114" t="n">
        <v>3</v>
      </c>
      <c r="M50" s="114" t="s">
        <v>329</v>
      </c>
      <c r="N50" s="115" t="n">
        <f aca="false">IF(COUNT(D50,F50,H50,J50,L50)=0,"",(D50*0.2+F50*0.15+H50*0.15+J50*0.1+L50*0.1)/(IF(D50&lt;&gt;"",0.2,0)+IF(F50&lt;&gt;"",0.15,0)+IF(H50&lt;&gt;"",0.15,0)+IF(J50&lt;&gt;"",0.1,0)+IF(L50&lt;&gt;"",0.1,0)))</f>
        <v>3.5</v>
      </c>
      <c r="O50" s="92" t="n">
        <f aca="false">IF(COUNT(D50,F50,H50,J50,L50)=0,"",D50*0.2+F50*0.15+H50*0.15+J50*0.1+L50*0.1)</f>
        <v>2.45</v>
      </c>
      <c r="P50" s="114" t="n">
        <v>4</v>
      </c>
      <c r="Q50" s="114" t="s">
        <v>329</v>
      </c>
      <c r="R50" s="114" t="n">
        <v>3</v>
      </c>
      <c r="S50" s="114" t="s">
        <v>331</v>
      </c>
      <c r="T50" s="114" t="n">
        <v>5</v>
      </c>
      <c r="U50" s="114" t="s">
        <v>329</v>
      </c>
      <c r="V50" s="114" t="n">
        <v>4</v>
      </c>
      <c r="W50" s="114" t="s">
        <v>329</v>
      </c>
      <c r="X50" s="64" t="n">
        <f aca="false">IF(COUNT(P50,R50,T50,V50)=0,"",P50*0.08+R50*0.06+T50*0.03+V50*0.08)</f>
        <v>0.97</v>
      </c>
      <c r="Y50" s="114" t="n">
        <v>5</v>
      </c>
      <c r="Z50" s="114" t="s">
        <v>329</v>
      </c>
      <c r="AA50" s="114" t="n">
        <v>4</v>
      </c>
      <c r="AB50" s="114" t="s">
        <v>329</v>
      </c>
      <c r="AC50" s="114" t="n">
        <v>2</v>
      </c>
      <c r="AD50" s="114" t="s">
        <v>329</v>
      </c>
      <c r="AE50" s="64" t="n">
        <f aca="false">IF(COUNT(Y50,AA50,AC50)=0,"",Y50*0.02+AA50*0.02+AC50*0.01)</f>
        <v>0.2</v>
      </c>
      <c r="AF50" s="92" t="n">
        <f aca="false">IF(OR(COUNT(D50,F50,H50,J50,L50)&lt;5,COUNT(P50,R50,T50,V50)&lt;4,COUNT(Y50,AA50,AC50)&lt;3),"",(O50+X50+AE50)*20)</f>
        <v>72.4</v>
      </c>
      <c r="AG50" s="92" t="str">
        <f aca="false">IF(AF50="","",IF(AF50&gt;=80,"STRONG BUY",IF(AF50&gt;=65,"BUY",IF(AF50&gt;=50,"WATCH LIST",IF(AF50&gt;=35,"AVOID","PASS")))))</f>
        <v>BUY</v>
      </c>
      <c r="AH50" s="92" t="str">
        <f aca="false">IF(N50="","",IF(N50&lt;3,"FAIL","OK"))</f>
        <v>OK</v>
      </c>
      <c r="AI50" s="92" t="str">
        <f aca="false">IF(COUNT(D50:L50)=0,"",IF(COUNTIF(D50:L50,1)&gt;0,"REVIEW","OK"))</f>
        <v>OK</v>
      </c>
      <c r="AJ50" s="92" t="str">
        <f aca="false">IF(COUNT(D50:L50)=0,"",IF(COUNTIF(D50:L50,"&lt;=2")&gt;=2,"AVOID","OK"))</f>
        <v>OK</v>
      </c>
      <c r="AK50" s="92" t="str">
        <f aca="false">IF(COUNTA(E50:M50)=0,"",IF(COUNTIF(E50:M50,"L")&gt;=2,"CAP AT BUY","OK"))</f>
        <v>OK</v>
      </c>
      <c r="AL50" s="118" t="s">
        <v>359</v>
      </c>
      <c r="AM50" s="118" t="s">
        <v>364</v>
      </c>
      <c r="AN50" s="114"/>
      <c r="AO50" s="92"/>
      <c r="AP50" s="114" t="str">
        <f aca="false">IF(OR(AN50="",AO50=""),"",IF(AN50&gt;AO50,"OK","LOW CONF"))</f>
        <v/>
      </c>
      <c r="AQ50" s="114"/>
      <c r="AR50" s="92"/>
      <c r="AS50" s="124" t="str">
        <f aca="false">IF(OR(AQ50="",AR50=""),"",IF(AQ50&lt;AR50,"Decreased",IF(AQ50&gt;AR50,"Increased","Flat")))</f>
        <v/>
      </c>
    </row>
    <row r="51" customFormat="false" ht="15" hidden="false" customHeight="true" outlineLevel="0" collapsed="false">
      <c r="A51" s="61" t="s">
        <v>407</v>
      </c>
      <c r="B51" s="112" t="s">
        <v>408</v>
      </c>
      <c r="C51" s="123" t="n">
        <v>46297</v>
      </c>
      <c r="D51" s="114" t="n">
        <v>4</v>
      </c>
      <c r="E51" s="114" t="s">
        <v>329</v>
      </c>
      <c r="F51" s="114" t="n">
        <v>4</v>
      </c>
      <c r="G51" s="114" t="s">
        <v>329</v>
      </c>
      <c r="H51" s="114" t="n">
        <v>4</v>
      </c>
      <c r="I51" s="114" t="s">
        <v>329</v>
      </c>
      <c r="J51" s="114" t="n">
        <v>5</v>
      </c>
      <c r="K51" s="114" t="s">
        <v>329</v>
      </c>
      <c r="L51" s="114" t="n">
        <v>5</v>
      </c>
      <c r="M51" s="114" t="s">
        <v>329</v>
      </c>
      <c r="N51" s="115" t="n">
        <f aca="false">IF(COUNT(D51,F51,H51,J51,L51)=0,"",(D51*0.2+F51*0.15+H51*0.15+J51*0.1+L51*0.1)/(IF(D51&lt;&gt;"",0.2,0)+IF(F51&lt;&gt;"",0.15,0)+IF(H51&lt;&gt;"",0.15,0)+IF(J51&lt;&gt;"",0.1,0)+IF(L51&lt;&gt;"",0.1,0)))</f>
        <v>4.28571428571429</v>
      </c>
      <c r="O51" s="92" t="n">
        <f aca="false">IF(COUNT(D51,F51,H51,J51,L51)=0,"",D51*0.2+F51*0.15+H51*0.15+J51*0.1+L51*0.1)</f>
        <v>3</v>
      </c>
      <c r="P51" s="114" t="n">
        <v>4</v>
      </c>
      <c r="Q51" s="114" t="s">
        <v>329</v>
      </c>
      <c r="R51" s="114" t="n">
        <v>2</v>
      </c>
      <c r="S51" s="114" t="s">
        <v>331</v>
      </c>
      <c r="T51" s="114" t="n">
        <v>4</v>
      </c>
      <c r="U51" s="114" t="s">
        <v>329</v>
      </c>
      <c r="V51" s="114" t="n">
        <v>4</v>
      </c>
      <c r="W51" s="114" t="s">
        <v>329</v>
      </c>
      <c r="X51" s="64" t="n">
        <f aca="false">IF(COUNT(P51,R51,T51,V51)=0,"",P51*0.08+R51*0.06+T51*0.03+V51*0.08)</f>
        <v>0.88</v>
      </c>
      <c r="Y51" s="114" t="n">
        <v>5</v>
      </c>
      <c r="Z51" s="114" t="s">
        <v>329</v>
      </c>
      <c r="AA51" s="114" t="n">
        <v>4</v>
      </c>
      <c r="AB51" s="114" t="s">
        <v>329</v>
      </c>
      <c r="AC51" s="114" t="n">
        <v>2</v>
      </c>
      <c r="AD51" s="114" t="s">
        <v>329</v>
      </c>
      <c r="AE51" s="64" t="n">
        <f aca="false">IF(COUNT(Y51,AA51,AC51)=0,"",Y51*0.02+AA51*0.02+AC51*0.01)</f>
        <v>0.2</v>
      </c>
      <c r="AF51" s="92" t="n">
        <f aca="false">IF(OR(COUNT(D51,F51,H51,J51,L51)&lt;5,COUNT(P51,R51,T51,V51)&lt;4,COUNT(Y51,AA51,AC51)&lt;3),"",(O51+X51+AE51)*20)</f>
        <v>81.6</v>
      </c>
      <c r="AG51" s="92" t="str">
        <f aca="false">IF(AF51="","",IF(AF51&gt;=80,"STRONG BUY",IF(AF51&gt;=65,"BUY",IF(AF51&gt;=50,"WATCH LIST",IF(AF51&gt;=35,"AVOID","PASS")))))</f>
        <v>STRONG BUY</v>
      </c>
      <c r="AH51" s="92" t="str">
        <f aca="false">IF(N51="","",IF(N51&lt;3,"FAIL","OK"))</f>
        <v>OK</v>
      </c>
      <c r="AI51" s="92" t="str">
        <f aca="false">IF(COUNT(D51:L51)=0,"",IF(COUNTIF(D51:L51,1)&gt;0,"REVIEW","OK"))</f>
        <v>OK</v>
      </c>
      <c r="AJ51" s="92" t="str">
        <f aca="false">IF(COUNT(D51:L51)=0,"",IF(COUNTIF(D51:L51,"&lt;=2")&gt;=2,"AVOID","OK"))</f>
        <v>OK</v>
      </c>
      <c r="AK51" s="92" t="str">
        <f aca="false">IF(COUNTA(E51:M51)=0,"",IF(COUNTIF(E51:M51,"L")&gt;=2,"CAP AT BUY","OK"))</f>
        <v>OK</v>
      </c>
      <c r="AL51" s="118" t="s">
        <v>335</v>
      </c>
      <c r="AM51" s="118" t="s">
        <v>409</v>
      </c>
      <c r="AN51" s="114"/>
      <c r="AO51" s="92"/>
      <c r="AP51" s="114" t="str">
        <f aca="false">IF(OR(AN51="",AO51=""),"",IF(AN51&gt;AO51,"OK","LOW CONF"))</f>
        <v/>
      </c>
      <c r="AQ51" s="114"/>
      <c r="AR51" s="92"/>
      <c r="AS51" s="124" t="str">
        <f aca="false">IF(OR(AQ51="",AR51=""),"",IF(AQ51&lt;AR51,"Decreased",IF(AQ51&gt;AR51,"Increased","Flat")))</f>
        <v/>
      </c>
    </row>
    <row r="52" customFormat="false" ht="15" hidden="false" customHeight="true" outlineLevel="0" collapsed="false">
      <c r="A52" s="61"/>
      <c r="B52" s="112"/>
      <c r="C52" s="114"/>
      <c r="D52" s="114"/>
      <c r="E52" s="114"/>
      <c r="F52" s="114"/>
      <c r="G52" s="114"/>
      <c r="H52" s="114"/>
      <c r="I52" s="114"/>
      <c r="J52" s="114"/>
      <c r="K52" s="114"/>
      <c r="L52" s="114"/>
      <c r="M52" s="114"/>
      <c r="N52" s="115" t="str">
        <f aca="false">IF(COUNT(D52,F52,H52,J52,L52)=0,"",(D52*0.2+F52*0.15+H52*0.15+J52*0.1+L52*0.1)/(IF(D52&lt;&gt;"",0.2,0)+IF(F52&lt;&gt;"",0.15,0)+IF(H52&lt;&gt;"",0.15,0)+IF(J52&lt;&gt;"",0.1,0)+IF(L52&lt;&gt;"",0.1,0)))</f>
        <v/>
      </c>
      <c r="O52" s="92" t="str">
        <f aca="false">IF(COUNT(D52,F52,H52,J52,L52)=0,"",D52*0.2+F52*0.15+H52*0.15+J52*0.1+L52*0.1)</f>
        <v/>
      </c>
      <c r="P52" s="114"/>
      <c r="Q52" s="114"/>
      <c r="R52" s="114"/>
      <c r="S52" s="114"/>
      <c r="T52" s="114"/>
      <c r="U52" s="114"/>
      <c r="V52" s="114"/>
      <c r="W52" s="114"/>
      <c r="X52" s="64" t="str">
        <f aca="false">IF(COUNT(P52,R52,T52,V52)=0,"",P52*0.08+R52*0.06+T52*0.03+V52*0.08)</f>
        <v/>
      </c>
      <c r="Y52" s="114"/>
      <c r="Z52" s="114"/>
      <c r="AA52" s="114"/>
      <c r="AB52" s="114"/>
      <c r="AC52" s="114"/>
      <c r="AD52" s="114"/>
      <c r="AE52" s="64" t="str">
        <f aca="false">IF(COUNT(Y52,AA52,AC52)=0,"",Y52*0.02+AA52*0.02+AC52*0.01)</f>
        <v/>
      </c>
      <c r="AF52" s="92" t="str">
        <f aca="false">IF(OR(COUNT(D52,F52,H52,J52,L52)&lt;5,COUNT(P52,R52,T52,V52)&lt;4,COUNT(Y52,AA52,AC52)&lt;3),"",(O52+X52+AE52)*20)</f>
        <v/>
      </c>
      <c r="AG52" s="92" t="str">
        <f aca="false">IF(AF52="","",IF(AF52&gt;=80,"STRONG BUY",IF(AF52&gt;=65,"BUY",IF(AF52&gt;=50,"WATCH LIST",IF(AF52&gt;=35,"AVOID","PASS")))))</f>
        <v/>
      </c>
      <c r="AH52" s="92" t="str">
        <f aca="false">IF(N52="","",IF(N52&lt;3,"FAIL","OK"))</f>
        <v/>
      </c>
      <c r="AI52" s="92" t="str">
        <f aca="false">IF(COUNT(D52:L52)=0,"",IF(COUNTIF(D52:L52,1)&gt;0,"REVIEW","OK"))</f>
        <v/>
      </c>
      <c r="AJ52" s="92" t="str">
        <f aca="false">IF(COUNT(D52:L52)=0,"",IF(COUNTIF(D52:L52,"&lt;=2")&gt;=2,"AVOID","OK"))</f>
        <v/>
      </c>
      <c r="AK52" s="92" t="str">
        <f aca="false">IF(COUNTA(E52:M52)=0,"",IF(COUNTIF(E52:M52,"L")&gt;=2,"CAP AT BUY","OK"))</f>
        <v/>
      </c>
      <c r="AL52" s="118"/>
      <c r="AM52" s="118"/>
      <c r="AN52" s="114"/>
      <c r="AO52" s="92"/>
      <c r="AP52" s="114" t="str">
        <f aca="false">IF(OR(AN52="",AO52=""),"",IF(AN52&gt;AO52,"OK","LOW CONF"))</f>
        <v/>
      </c>
      <c r="AQ52" s="114"/>
      <c r="AR52" s="92"/>
      <c r="AS52" s="124" t="str">
        <f aca="false">IF(OR(AQ52="",AR52=""),"",IF(AQ52&lt;AR52,"Decreased",IF(AQ52&gt;AR52,"Increased","Flat")))</f>
        <v/>
      </c>
    </row>
    <row r="53" customFormat="false" ht="15" hidden="false" customHeight="true" outlineLevel="0" collapsed="false">
      <c r="A53" s="61"/>
      <c r="B53" s="112"/>
      <c r="C53" s="114"/>
      <c r="D53" s="114"/>
      <c r="E53" s="114"/>
      <c r="F53" s="114"/>
      <c r="G53" s="114"/>
      <c r="H53" s="114"/>
      <c r="I53" s="114"/>
      <c r="J53" s="114"/>
      <c r="K53" s="114"/>
      <c r="L53" s="114"/>
      <c r="M53" s="114"/>
      <c r="N53" s="115" t="str">
        <f aca="false">IF(COUNT(D53,F53,H53,J53,L53)=0,"",(D53*0.2+F53*0.15+H53*0.15+J53*0.1+L53*0.1)/(IF(D53&lt;&gt;"",0.2,0)+IF(F53&lt;&gt;"",0.15,0)+IF(H53&lt;&gt;"",0.15,0)+IF(J53&lt;&gt;"",0.1,0)+IF(L53&lt;&gt;"",0.1,0)))</f>
        <v/>
      </c>
      <c r="O53" s="92" t="str">
        <f aca="false">IF(COUNT(D53,F53,H53,J53,L53)=0,"",D53*0.2+F53*0.15+H53*0.15+J53*0.1+L53*0.1)</f>
        <v/>
      </c>
      <c r="P53" s="114"/>
      <c r="Q53" s="114"/>
      <c r="R53" s="114"/>
      <c r="S53" s="114"/>
      <c r="T53" s="114"/>
      <c r="U53" s="114"/>
      <c r="V53" s="114"/>
      <c r="W53" s="114"/>
      <c r="X53" s="64" t="str">
        <f aca="false">IF(COUNT(P53,R53,T53,V53)=0,"",P53*0.08+R53*0.06+T53*0.03+V53*0.08)</f>
        <v/>
      </c>
      <c r="Y53" s="114"/>
      <c r="Z53" s="114"/>
      <c r="AA53" s="114"/>
      <c r="AB53" s="114"/>
      <c r="AC53" s="114"/>
      <c r="AD53" s="114"/>
      <c r="AE53" s="64" t="str">
        <f aca="false">IF(COUNT(Y53,AA53,AC53)=0,"",Y53*0.02+AA53*0.02+AC53*0.01)</f>
        <v/>
      </c>
      <c r="AF53" s="92" t="str">
        <f aca="false">IF(OR(COUNT(D53,F53,H53,J53,L53)&lt;5,COUNT(P53,R53,T53,V53)&lt;4,COUNT(Y53,AA53,AC53)&lt;3),"",(O53+X53+AE53)*20)</f>
        <v/>
      </c>
      <c r="AG53" s="92" t="str">
        <f aca="false">IF(AF53="","",IF(AF53&gt;=80,"STRONG BUY",IF(AF53&gt;=65,"BUY",IF(AF53&gt;=50,"WATCH LIST",IF(AF53&gt;=35,"AVOID","PASS")))))</f>
        <v/>
      </c>
      <c r="AH53" s="92" t="str">
        <f aca="false">IF(N53="","",IF(N53&lt;3,"FAIL","OK"))</f>
        <v/>
      </c>
      <c r="AI53" s="92" t="str">
        <f aca="false">IF(COUNT(D53:L53)=0,"",IF(COUNTIF(D53:L53,1)&gt;0,"REVIEW","OK"))</f>
        <v/>
      </c>
      <c r="AJ53" s="92" t="str">
        <f aca="false">IF(COUNT(D53:L53)=0,"",IF(COUNTIF(D53:L53,"&lt;=2")&gt;=2,"AVOID","OK"))</f>
        <v/>
      </c>
      <c r="AK53" s="92" t="str">
        <f aca="false">IF(COUNTA(E53:M53)=0,"",IF(COUNTIF(E53:M53,"L")&gt;=2,"CAP AT BUY","OK"))</f>
        <v/>
      </c>
      <c r="AL53" s="118"/>
      <c r="AM53" s="118"/>
      <c r="AN53" s="114"/>
      <c r="AO53" s="92"/>
      <c r="AP53" s="114" t="str">
        <f aca="false">IF(OR(AN53="",AO53=""),"",IF(AN53&gt;AO53,"OK","LOW CONF"))</f>
        <v/>
      </c>
      <c r="AQ53" s="114"/>
      <c r="AR53" s="92"/>
      <c r="AS53" s="124" t="str">
        <f aca="false">IF(OR(AQ53="",AR53=""),"",IF(AQ53&lt;AR53,"Decreased",IF(AQ53&gt;AR53,"Increased","Flat")))</f>
        <v/>
      </c>
    </row>
    <row r="54" customFormat="false" ht="15" hidden="false" customHeight="true" outlineLevel="0" collapsed="false">
      <c r="A54" s="61"/>
      <c r="B54" s="112"/>
      <c r="C54" s="114"/>
      <c r="D54" s="114"/>
      <c r="E54" s="114"/>
      <c r="F54" s="114"/>
      <c r="G54" s="114"/>
      <c r="H54" s="114"/>
      <c r="I54" s="114"/>
      <c r="J54" s="114"/>
      <c r="K54" s="114"/>
      <c r="L54" s="114"/>
      <c r="M54" s="114"/>
      <c r="N54" s="115" t="str">
        <f aca="false">IF(COUNT(D54,F54,H54,J54,L54)=0,"",(D54*0.2+F54*0.15+H54*0.15+J54*0.1+L54*0.1)/(IF(D54&lt;&gt;"",0.2,0)+IF(F54&lt;&gt;"",0.15,0)+IF(H54&lt;&gt;"",0.15,0)+IF(J54&lt;&gt;"",0.1,0)+IF(L54&lt;&gt;"",0.1,0)))</f>
        <v/>
      </c>
      <c r="O54" s="92" t="str">
        <f aca="false">IF(COUNT(D54,F54,H54,J54,L54)=0,"",D54*0.2+F54*0.15+H54*0.15+J54*0.1+L54*0.1)</f>
        <v/>
      </c>
      <c r="P54" s="114"/>
      <c r="Q54" s="114"/>
      <c r="R54" s="114"/>
      <c r="S54" s="114"/>
      <c r="T54" s="114"/>
      <c r="U54" s="114"/>
      <c r="V54" s="114"/>
      <c r="W54" s="114"/>
      <c r="X54" s="64" t="str">
        <f aca="false">IF(COUNT(P54,R54,T54,V54)=0,"",P54*0.08+R54*0.06+T54*0.03+V54*0.08)</f>
        <v/>
      </c>
      <c r="Y54" s="114"/>
      <c r="Z54" s="114"/>
      <c r="AA54" s="114"/>
      <c r="AB54" s="114"/>
      <c r="AC54" s="114"/>
      <c r="AD54" s="114"/>
      <c r="AE54" s="64" t="str">
        <f aca="false">IF(COUNT(Y54,AA54,AC54)=0,"",Y54*0.02+AA54*0.02+AC54*0.01)</f>
        <v/>
      </c>
      <c r="AF54" s="92" t="str">
        <f aca="false">IF(OR(COUNT(D54,F54,H54,J54,L54)&lt;5,COUNT(P54,R54,T54,V54)&lt;4,COUNT(Y54,AA54,AC54)&lt;3),"",(O54+X54+AE54)*20)</f>
        <v/>
      </c>
      <c r="AG54" s="92" t="str">
        <f aca="false">IF(AF54="","",IF(AF54&gt;=80,"STRONG BUY",IF(AF54&gt;=65,"BUY",IF(AF54&gt;=50,"WATCH LIST",IF(AF54&gt;=35,"AVOID","PASS")))))</f>
        <v/>
      </c>
      <c r="AH54" s="92" t="str">
        <f aca="false">IF(N54="","",IF(N54&lt;3,"FAIL","OK"))</f>
        <v/>
      </c>
      <c r="AI54" s="92" t="str">
        <f aca="false">IF(COUNT(D54:L54)=0,"",IF(COUNTIF(D54:L54,1)&gt;0,"REVIEW","OK"))</f>
        <v/>
      </c>
      <c r="AJ54" s="92" t="str">
        <f aca="false">IF(COUNT(D54:L54)=0,"",IF(COUNTIF(D54:L54,"&lt;=2")&gt;=2,"AVOID","OK"))</f>
        <v/>
      </c>
      <c r="AK54" s="92" t="str">
        <f aca="false">IF(COUNTA(E54:M54)=0,"",IF(COUNTIF(E54:M54,"L")&gt;=2,"CAP AT BUY","OK"))</f>
        <v/>
      </c>
      <c r="AL54" s="118"/>
      <c r="AM54" s="118"/>
      <c r="AN54" s="114"/>
      <c r="AO54" s="92"/>
      <c r="AP54" s="114" t="str">
        <f aca="false">IF(OR(AN54="",AO54=""),"",IF(AN54&gt;AO54,"OK","LOW CONF"))</f>
        <v/>
      </c>
      <c r="AQ54" s="114"/>
      <c r="AR54" s="92"/>
      <c r="AS54" s="124" t="str">
        <f aca="false">IF(OR(AQ54="",AR54=""),"",IF(AQ54&lt;AR54,"Decreased",IF(AQ54&gt;AR54,"Increased","Flat")))</f>
        <v/>
      </c>
    </row>
    <row r="55" customFormat="false" ht="15" hidden="false" customHeight="true" outlineLevel="0" collapsed="false">
      <c r="A55" s="61"/>
      <c r="B55" s="112"/>
      <c r="C55" s="114"/>
      <c r="D55" s="114"/>
      <c r="E55" s="114"/>
      <c r="F55" s="114"/>
      <c r="G55" s="114"/>
      <c r="H55" s="114"/>
      <c r="I55" s="114"/>
      <c r="J55" s="114"/>
      <c r="K55" s="114"/>
      <c r="L55" s="114"/>
      <c r="M55" s="114"/>
      <c r="N55" s="115" t="str">
        <f aca="false">IF(COUNT(D55,F55,H55,J55,L55)=0,"",(D55*0.2+F55*0.15+H55*0.15+J55*0.1+L55*0.1)/(IF(D55&lt;&gt;"",0.2,0)+IF(F55&lt;&gt;"",0.15,0)+IF(H55&lt;&gt;"",0.15,0)+IF(J55&lt;&gt;"",0.1,0)+IF(L55&lt;&gt;"",0.1,0)))</f>
        <v/>
      </c>
      <c r="O55" s="92" t="str">
        <f aca="false">IF(COUNT(D55,F55,H55,J55,L55)=0,"",D55*0.2+F55*0.15+H55*0.15+J55*0.1+L55*0.1)</f>
        <v/>
      </c>
      <c r="P55" s="114"/>
      <c r="Q55" s="114"/>
      <c r="R55" s="114"/>
      <c r="S55" s="114"/>
      <c r="T55" s="114"/>
      <c r="U55" s="114"/>
      <c r="V55" s="114"/>
      <c r="W55" s="114"/>
      <c r="X55" s="64" t="str">
        <f aca="false">IF(COUNT(P55,R55,T55,V55)=0,"",P55*0.08+R55*0.06+T55*0.03+V55*0.08)</f>
        <v/>
      </c>
      <c r="Y55" s="114"/>
      <c r="Z55" s="114"/>
      <c r="AA55" s="114"/>
      <c r="AB55" s="114"/>
      <c r="AC55" s="114"/>
      <c r="AD55" s="114"/>
      <c r="AE55" s="64" t="str">
        <f aca="false">IF(COUNT(Y55,AA55,AC55)=0,"",Y55*0.02+AA55*0.02+AC55*0.01)</f>
        <v/>
      </c>
      <c r="AF55" s="92" t="str">
        <f aca="false">IF(OR(COUNT(D55,F55,H55,J55,L55)&lt;5,COUNT(P55,R55,T55,V55)&lt;4,COUNT(Y55,AA55,AC55)&lt;3),"",(O55+X55+AE55)*20)</f>
        <v/>
      </c>
      <c r="AG55" s="92" t="str">
        <f aca="false">IF(AF55="","",IF(AF55&gt;=80,"STRONG BUY",IF(AF55&gt;=65,"BUY",IF(AF55&gt;=50,"WATCH LIST",IF(AF55&gt;=35,"AVOID","PASS")))))</f>
        <v/>
      </c>
      <c r="AH55" s="92" t="str">
        <f aca="false">IF(N55="","",IF(N55&lt;3,"FAIL","OK"))</f>
        <v/>
      </c>
      <c r="AI55" s="92" t="str">
        <f aca="false">IF(COUNT(D55:L55)=0,"",IF(COUNTIF(D55:L55,1)&gt;0,"REVIEW","OK"))</f>
        <v/>
      </c>
      <c r="AJ55" s="92" t="str">
        <f aca="false">IF(COUNT(D55:L55)=0,"",IF(COUNTIF(D55:L55,"&lt;=2")&gt;=2,"AVOID","OK"))</f>
        <v/>
      </c>
      <c r="AK55" s="92" t="str">
        <f aca="false">IF(COUNTA(E55:M55)=0,"",IF(COUNTIF(E55:M55,"L")&gt;=2,"CAP AT BUY","OK"))</f>
        <v/>
      </c>
      <c r="AL55" s="118"/>
      <c r="AM55" s="118"/>
      <c r="AN55" s="114"/>
      <c r="AO55" s="92"/>
      <c r="AP55" s="114" t="str">
        <f aca="false">IF(OR(AN55="",AO55=""),"",IF(AN55&gt;AO55,"OK","LOW CONF"))</f>
        <v/>
      </c>
      <c r="AQ55" s="114"/>
      <c r="AR55" s="92"/>
      <c r="AS55" s="124" t="str">
        <f aca="false">IF(OR(AQ55="",AR55=""),"",IF(AQ55&lt;AR55,"Decreased",IF(AQ55&gt;AR55,"Increased","Flat")))</f>
        <v/>
      </c>
    </row>
    <row r="56" customFormat="false" ht="15" hidden="false" customHeight="true" outlineLevel="0" collapsed="false">
      <c r="A56" s="61"/>
      <c r="B56" s="112"/>
      <c r="C56" s="114"/>
      <c r="D56" s="114"/>
      <c r="E56" s="114"/>
      <c r="F56" s="114"/>
      <c r="G56" s="114"/>
      <c r="H56" s="114"/>
      <c r="I56" s="114"/>
      <c r="J56" s="114"/>
      <c r="K56" s="114"/>
      <c r="L56" s="114"/>
      <c r="M56" s="114"/>
      <c r="N56" s="115" t="str">
        <f aca="false">IF(COUNT(D56,F56,H56,J56,L56)=0,"",(D56*0.2+F56*0.15+H56*0.15+J56*0.1+L56*0.1)/(IF(D56&lt;&gt;"",0.2,0)+IF(F56&lt;&gt;"",0.15,0)+IF(H56&lt;&gt;"",0.15,0)+IF(J56&lt;&gt;"",0.1,0)+IF(L56&lt;&gt;"",0.1,0)))</f>
        <v/>
      </c>
      <c r="O56" s="92" t="str">
        <f aca="false">IF(COUNT(D56,F56,H56,J56,L56)=0,"",D56*0.2+F56*0.15+H56*0.15+J56*0.1+L56*0.1)</f>
        <v/>
      </c>
      <c r="P56" s="114"/>
      <c r="Q56" s="114"/>
      <c r="R56" s="114"/>
      <c r="S56" s="114"/>
      <c r="T56" s="114"/>
      <c r="U56" s="114"/>
      <c r="V56" s="114"/>
      <c r="W56" s="114"/>
      <c r="X56" s="64" t="str">
        <f aca="false">IF(COUNT(P56,R56,T56,V56)=0,"",P56*0.08+R56*0.06+T56*0.03+V56*0.08)</f>
        <v/>
      </c>
      <c r="Y56" s="114"/>
      <c r="Z56" s="114"/>
      <c r="AA56" s="114"/>
      <c r="AB56" s="114"/>
      <c r="AC56" s="114"/>
      <c r="AD56" s="114"/>
      <c r="AE56" s="64" t="str">
        <f aca="false">IF(COUNT(Y56,AA56,AC56)=0,"",Y56*0.02+AA56*0.02+AC56*0.01)</f>
        <v/>
      </c>
      <c r="AF56" s="92" t="str">
        <f aca="false">IF(OR(COUNT(D56,F56,H56,J56,L56)&lt;5,COUNT(P56,R56,T56,V56)&lt;4,COUNT(Y56,AA56,AC56)&lt;3),"",(O56+X56+AE56)*20)</f>
        <v/>
      </c>
      <c r="AG56" s="92" t="str">
        <f aca="false">IF(AF56="","",IF(AF56&gt;=80,"STRONG BUY",IF(AF56&gt;=65,"BUY",IF(AF56&gt;=50,"WATCH LIST",IF(AF56&gt;=35,"AVOID","PASS")))))</f>
        <v/>
      </c>
      <c r="AH56" s="92" t="str">
        <f aca="false">IF(N56="","",IF(N56&lt;3,"FAIL","OK"))</f>
        <v/>
      </c>
      <c r="AI56" s="92" t="str">
        <f aca="false">IF(COUNT(D56:L56)=0,"",IF(COUNTIF(D56:L56,1)&gt;0,"REVIEW","OK"))</f>
        <v/>
      </c>
      <c r="AJ56" s="92" t="str">
        <f aca="false">IF(COUNT(D56:L56)=0,"",IF(COUNTIF(D56:L56,"&lt;=2")&gt;=2,"AVOID","OK"))</f>
        <v/>
      </c>
      <c r="AK56" s="92" t="str">
        <f aca="false">IF(COUNTA(E56:M56)=0,"",IF(COUNTIF(E56:M56,"L")&gt;=2,"CAP AT BUY","OK"))</f>
        <v/>
      </c>
      <c r="AL56" s="118"/>
      <c r="AM56" s="118"/>
      <c r="AN56" s="114"/>
      <c r="AO56" s="92"/>
      <c r="AP56" s="114" t="str">
        <f aca="false">IF(OR(AN56="",AO56=""),"",IF(AN56&gt;AO56,"OK","LOW CONF"))</f>
        <v/>
      </c>
      <c r="AQ56" s="114"/>
      <c r="AR56" s="92"/>
      <c r="AS56" s="124" t="str">
        <f aca="false">IF(OR(AQ56="",AR56=""),"",IF(AQ56&lt;AR56,"Decreased",IF(AQ56&gt;AR56,"Increased","Flat")))</f>
        <v/>
      </c>
    </row>
    <row r="57" customFormat="false" ht="15" hidden="false" customHeight="true" outlineLevel="0" collapsed="false">
      <c r="A57" s="61"/>
      <c r="B57" s="112"/>
      <c r="C57" s="114"/>
      <c r="D57" s="114"/>
      <c r="E57" s="114"/>
      <c r="F57" s="114"/>
      <c r="G57" s="114"/>
      <c r="H57" s="114"/>
      <c r="I57" s="114"/>
      <c r="J57" s="114"/>
      <c r="K57" s="114"/>
      <c r="L57" s="114"/>
      <c r="M57" s="114"/>
      <c r="N57" s="115" t="str">
        <f aca="false">IF(COUNT(D57,F57,H57,J57,L57)=0,"",(D57*0.2+F57*0.15+H57*0.15+J57*0.1+L57*0.1)/(IF(D57&lt;&gt;"",0.2,0)+IF(F57&lt;&gt;"",0.15,0)+IF(H57&lt;&gt;"",0.15,0)+IF(J57&lt;&gt;"",0.1,0)+IF(L57&lt;&gt;"",0.1,0)))</f>
        <v/>
      </c>
      <c r="O57" s="92" t="str">
        <f aca="false">IF(COUNT(D57,F57,H57,J57,L57)=0,"",D57*0.2+F57*0.15+H57*0.15+J57*0.1+L57*0.1)</f>
        <v/>
      </c>
      <c r="P57" s="114"/>
      <c r="Q57" s="114"/>
      <c r="R57" s="114"/>
      <c r="S57" s="114"/>
      <c r="T57" s="114"/>
      <c r="U57" s="114"/>
      <c r="V57" s="114"/>
      <c r="W57" s="114"/>
      <c r="X57" s="64" t="str">
        <f aca="false">IF(COUNT(P57,R57,T57,V57)=0,"",P57*0.08+R57*0.06+T57*0.03+V57*0.08)</f>
        <v/>
      </c>
      <c r="Y57" s="114"/>
      <c r="Z57" s="114"/>
      <c r="AA57" s="114"/>
      <c r="AB57" s="114"/>
      <c r="AC57" s="114"/>
      <c r="AD57" s="114"/>
      <c r="AE57" s="64" t="str">
        <f aca="false">IF(COUNT(Y57,AA57,AC57)=0,"",Y57*0.02+AA57*0.02+AC57*0.01)</f>
        <v/>
      </c>
      <c r="AF57" s="92" t="str">
        <f aca="false">IF(OR(COUNT(D57,F57,H57,J57,L57)&lt;5,COUNT(P57,R57,T57,V57)&lt;4,COUNT(Y57,AA57,AC57)&lt;3),"",(O57+X57+AE57)*20)</f>
        <v/>
      </c>
      <c r="AG57" s="92" t="str">
        <f aca="false">IF(AF57="","",IF(AF57&gt;=80,"STRONG BUY",IF(AF57&gt;=65,"BUY",IF(AF57&gt;=50,"WATCH LIST",IF(AF57&gt;=35,"AVOID","PASS")))))</f>
        <v/>
      </c>
      <c r="AH57" s="92" t="str">
        <f aca="false">IF(N57="","",IF(N57&lt;3,"FAIL","OK"))</f>
        <v/>
      </c>
      <c r="AI57" s="92" t="str">
        <f aca="false">IF(COUNT(D57:L57)=0,"",IF(COUNTIF(D57:L57,1)&gt;0,"REVIEW","OK"))</f>
        <v/>
      </c>
      <c r="AJ57" s="92" t="str">
        <f aca="false">IF(COUNT(D57:L57)=0,"",IF(COUNTIF(D57:L57,"&lt;=2")&gt;=2,"AVOID","OK"))</f>
        <v/>
      </c>
      <c r="AK57" s="92" t="str">
        <f aca="false">IF(COUNTA(E57:M57)=0,"",IF(COUNTIF(E57:M57,"L")&gt;=2,"CAP AT BUY","OK"))</f>
        <v/>
      </c>
      <c r="AL57" s="118"/>
      <c r="AM57" s="118"/>
      <c r="AN57" s="114"/>
      <c r="AO57" s="92"/>
      <c r="AP57" s="114" t="str">
        <f aca="false">IF(OR(AN57="",AO57=""),"",IF(AN57&gt;AO57,"OK","LOW CONF"))</f>
        <v/>
      </c>
      <c r="AQ57" s="114"/>
      <c r="AR57" s="92"/>
      <c r="AS57" s="124" t="str">
        <f aca="false">IF(OR(AQ57="",AR57=""),"",IF(AQ57&lt;AR57,"Decreased",IF(AQ57&gt;AR57,"Increased","Flat")))</f>
        <v/>
      </c>
    </row>
    <row r="58" customFormat="false" ht="15" hidden="false" customHeight="true" outlineLevel="0" collapsed="false">
      <c r="A58" s="61"/>
      <c r="B58" s="112"/>
      <c r="C58" s="114"/>
      <c r="D58" s="114"/>
      <c r="E58" s="114"/>
      <c r="F58" s="114"/>
      <c r="G58" s="114"/>
      <c r="H58" s="114"/>
      <c r="I58" s="114"/>
      <c r="J58" s="114"/>
      <c r="K58" s="114"/>
      <c r="L58" s="114"/>
      <c r="M58" s="114"/>
      <c r="N58" s="115" t="str">
        <f aca="false">IF(COUNT(D58,F58,H58,J58,L58)=0,"",(D58*0.2+F58*0.15+H58*0.15+J58*0.1+L58*0.1)/(IF(D58&lt;&gt;"",0.2,0)+IF(F58&lt;&gt;"",0.15,0)+IF(H58&lt;&gt;"",0.15,0)+IF(J58&lt;&gt;"",0.1,0)+IF(L58&lt;&gt;"",0.1,0)))</f>
        <v/>
      </c>
      <c r="O58" s="92" t="str">
        <f aca="false">IF(COUNT(D58,F58,H58,J58,L58)=0,"",D58*0.2+F58*0.15+H58*0.15+J58*0.1+L58*0.1)</f>
        <v/>
      </c>
      <c r="P58" s="114"/>
      <c r="Q58" s="114"/>
      <c r="R58" s="114"/>
      <c r="S58" s="114"/>
      <c r="T58" s="114"/>
      <c r="U58" s="114"/>
      <c r="V58" s="114"/>
      <c r="W58" s="114"/>
      <c r="X58" s="64" t="str">
        <f aca="false">IF(COUNT(P58,R58,T58,V58)=0,"",P58*0.08+R58*0.06+T58*0.03+V58*0.08)</f>
        <v/>
      </c>
      <c r="Y58" s="114"/>
      <c r="Z58" s="114"/>
      <c r="AA58" s="114"/>
      <c r="AB58" s="114"/>
      <c r="AC58" s="114"/>
      <c r="AD58" s="114"/>
      <c r="AE58" s="64" t="str">
        <f aca="false">IF(COUNT(Y58,AA58,AC58)=0,"",Y58*0.02+AA58*0.02+AC58*0.01)</f>
        <v/>
      </c>
      <c r="AF58" s="92" t="str">
        <f aca="false">IF(OR(COUNT(D58,F58,H58,J58,L58)&lt;5,COUNT(P58,R58,T58,V58)&lt;4,COUNT(Y58,AA58,AC58)&lt;3),"",(O58+X58+AE58)*20)</f>
        <v/>
      </c>
      <c r="AG58" s="92" t="str">
        <f aca="false">IF(AF58="","",IF(AF58&gt;=80,"STRONG BUY",IF(AF58&gt;=65,"BUY",IF(AF58&gt;=50,"WATCH LIST",IF(AF58&gt;=35,"AVOID","PASS")))))</f>
        <v/>
      </c>
      <c r="AH58" s="92" t="str">
        <f aca="false">IF(N58="","",IF(N58&lt;3,"FAIL","OK"))</f>
        <v/>
      </c>
      <c r="AI58" s="92" t="str">
        <f aca="false">IF(COUNT(D58:L58)=0,"",IF(COUNTIF(D58:L58,1)&gt;0,"REVIEW","OK"))</f>
        <v/>
      </c>
      <c r="AJ58" s="92" t="str">
        <f aca="false">IF(COUNT(D58:L58)=0,"",IF(COUNTIF(D58:L58,"&lt;=2")&gt;=2,"AVOID","OK"))</f>
        <v/>
      </c>
      <c r="AK58" s="92" t="str">
        <f aca="false">IF(COUNTA(E58:M58)=0,"",IF(COUNTIF(E58:M58,"L")&gt;=2,"CAP AT BUY","OK"))</f>
        <v/>
      </c>
      <c r="AL58" s="118"/>
      <c r="AM58" s="118"/>
      <c r="AN58" s="114"/>
      <c r="AO58" s="92"/>
      <c r="AP58" s="114" t="str">
        <f aca="false">IF(OR(AN58="",AO58=""),"",IF(AN58&gt;AO58,"OK","LOW CONF"))</f>
        <v/>
      </c>
      <c r="AQ58" s="114"/>
      <c r="AR58" s="92"/>
      <c r="AS58" s="124" t="str">
        <f aca="false">IF(OR(AQ58="",AR58=""),"",IF(AQ58&lt;AR58,"Decreased",IF(AQ58&gt;AR58,"Increased","Flat")))</f>
        <v/>
      </c>
    </row>
    <row r="59" customFormat="false" ht="15" hidden="false" customHeight="true" outlineLevel="0" collapsed="false">
      <c r="A59" s="61"/>
      <c r="B59" s="112"/>
      <c r="C59" s="114"/>
      <c r="D59" s="114"/>
      <c r="E59" s="114"/>
      <c r="F59" s="114"/>
      <c r="G59" s="114"/>
      <c r="H59" s="114"/>
      <c r="I59" s="114"/>
      <c r="J59" s="114"/>
      <c r="K59" s="114"/>
      <c r="L59" s="114"/>
      <c r="M59" s="114"/>
      <c r="N59" s="115" t="str">
        <f aca="false">IF(COUNT(D59,F59,H59,J59,L59)=0,"",(D59*0.2+F59*0.15+H59*0.15+J59*0.1+L59*0.1)/(IF(D59&lt;&gt;"",0.2,0)+IF(F59&lt;&gt;"",0.15,0)+IF(H59&lt;&gt;"",0.15,0)+IF(J59&lt;&gt;"",0.1,0)+IF(L59&lt;&gt;"",0.1,0)))</f>
        <v/>
      </c>
      <c r="O59" s="92" t="str">
        <f aca="false">IF(COUNT(D59,F59,H59,J59,L59)=0,"",D59*0.2+F59*0.15+H59*0.15+J59*0.1+L59*0.1)</f>
        <v/>
      </c>
      <c r="P59" s="114"/>
      <c r="Q59" s="114"/>
      <c r="R59" s="114"/>
      <c r="S59" s="114"/>
      <c r="T59" s="114"/>
      <c r="U59" s="114"/>
      <c r="V59" s="114"/>
      <c r="W59" s="114"/>
      <c r="X59" s="64" t="str">
        <f aca="false">IF(COUNT(P59,R59,T59,V59)=0,"",P59*0.08+R59*0.06+T59*0.03+V59*0.08)</f>
        <v/>
      </c>
      <c r="Y59" s="114"/>
      <c r="Z59" s="114"/>
      <c r="AA59" s="114"/>
      <c r="AB59" s="114"/>
      <c r="AC59" s="114"/>
      <c r="AD59" s="114"/>
      <c r="AE59" s="64" t="str">
        <f aca="false">IF(COUNT(Y59,AA59,AC59)=0,"",Y59*0.02+AA59*0.02+AC59*0.01)</f>
        <v/>
      </c>
      <c r="AF59" s="92" t="str">
        <f aca="false">IF(OR(COUNT(D59,F59,H59,J59,L59)&lt;5,COUNT(P59,R59,T59,V59)&lt;4,COUNT(Y59,AA59,AC59)&lt;3),"",(O59+X59+AE59)*20)</f>
        <v/>
      </c>
      <c r="AG59" s="92" t="str">
        <f aca="false">IF(AF59="","",IF(AF59&gt;=80,"STRONG BUY",IF(AF59&gt;=65,"BUY",IF(AF59&gt;=50,"WATCH LIST",IF(AF59&gt;=35,"AVOID","PASS")))))</f>
        <v/>
      </c>
      <c r="AH59" s="92" t="str">
        <f aca="false">IF(N59="","",IF(N59&lt;3,"FAIL","OK"))</f>
        <v/>
      </c>
      <c r="AI59" s="92" t="str">
        <f aca="false">IF(COUNT(D59:L59)=0,"",IF(COUNTIF(D59:L59,1)&gt;0,"REVIEW","OK"))</f>
        <v/>
      </c>
      <c r="AJ59" s="92" t="str">
        <f aca="false">IF(COUNT(D59:L59)=0,"",IF(COUNTIF(D59:L59,"&lt;=2")&gt;=2,"AVOID","OK"))</f>
        <v/>
      </c>
      <c r="AK59" s="92" t="str">
        <f aca="false">IF(COUNTA(E59:M59)=0,"",IF(COUNTIF(E59:M59,"L")&gt;=2,"CAP AT BUY","OK"))</f>
        <v/>
      </c>
      <c r="AL59" s="118"/>
      <c r="AM59" s="118"/>
      <c r="AN59" s="114"/>
      <c r="AO59" s="92"/>
      <c r="AP59" s="114" t="str">
        <f aca="false">IF(OR(AN59="",AO59=""),"",IF(AN59&gt;AO59,"OK","LOW CONF"))</f>
        <v/>
      </c>
      <c r="AQ59" s="114"/>
      <c r="AR59" s="92"/>
      <c r="AS59" s="124" t="str">
        <f aca="false">IF(OR(AQ59="",AR59=""),"",IF(AQ59&lt;AR59,"Decreased",IF(AQ59&gt;AR59,"Increased","Flat")))</f>
        <v/>
      </c>
    </row>
    <row r="60" customFormat="false" ht="15" hidden="false" customHeight="true" outlineLevel="0" collapsed="false">
      <c r="A60" s="61"/>
      <c r="B60" s="112"/>
      <c r="C60" s="114"/>
      <c r="D60" s="114"/>
      <c r="E60" s="114"/>
      <c r="F60" s="114"/>
      <c r="G60" s="114"/>
      <c r="H60" s="114"/>
      <c r="I60" s="114"/>
      <c r="J60" s="114"/>
      <c r="K60" s="114"/>
      <c r="L60" s="114"/>
      <c r="M60" s="114"/>
      <c r="N60" s="115" t="str">
        <f aca="false">IF(COUNT(D60,F60,H60,J60,L60)=0,"",(D60*0.2+F60*0.15+H60*0.15+J60*0.1+L60*0.1)/(IF(D60&lt;&gt;"",0.2,0)+IF(F60&lt;&gt;"",0.15,0)+IF(H60&lt;&gt;"",0.15,0)+IF(J60&lt;&gt;"",0.1,0)+IF(L60&lt;&gt;"",0.1,0)))</f>
        <v/>
      </c>
      <c r="O60" s="92" t="str">
        <f aca="false">IF(COUNT(D60,F60,H60,J60,L60)=0,"",D60*0.2+F60*0.15+H60*0.15+J60*0.1+L60*0.1)</f>
        <v/>
      </c>
      <c r="P60" s="114"/>
      <c r="Q60" s="114"/>
      <c r="R60" s="114"/>
      <c r="S60" s="114"/>
      <c r="T60" s="114"/>
      <c r="U60" s="114"/>
      <c r="V60" s="114"/>
      <c r="W60" s="114"/>
      <c r="X60" s="64" t="str">
        <f aca="false">IF(COUNT(P60,R60,T60,V60)=0,"",P60*0.08+R60*0.06+T60*0.03+V60*0.08)</f>
        <v/>
      </c>
      <c r="Y60" s="114"/>
      <c r="Z60" s="114"/>
      <c r="AA60" s="114"/>
      <c r="AB60" s="114"/>
      <c r="AC60" s="114"/>
      <c r="AD60" s="114"/>
      <c r="AE60" s="64" t="str">
        <f aca="false">IF(COUNT(Y60,AA60,AC60)=0,"",Y60*0.02+AA60*0.02+AC60*0.01)</f>
        <v/>
      </c>
      <c r="AF60" s="92" t="str">
        <f aca="false">IF(OR(COUNT(D60,F60,H60,J60,L60)&lt;5,COUNT(P60,R60,T60,V60)&lt;4,COUNT(Y60,AA60,AC60)&lt;3),"",(O60+X60+AE60)*20)</f>
        <v/>
      </c>
      <c r="AG60" s="92" t="str">
        <f aca="false">IF(AF60="","",IF(AF60&gt;=80,"STRONG BUY",IF(AF60&gt;=65,"BUY",IF(AF60&gt;=50,"WATCH LIST",IF(AF60&gt;=35,"AVOID","PASS")))))</f>
        <v/>
      </c>
      <c r="AH60" s="92" t="str">
        <f aca="false">IF(N60="","",IF(N60&lt;3,"FAIL","OK"))</f>
        <v/>
      </c>
      <c r="AI60" s="92" t="str">
        <f aca="false">IF(COUNT(D60:L60)=0,"",IF(COUNTIF(D60:L60,1)&gt;0,"REVIEW","OK"))</f>
        <v/>
      </c>
      <c r="AJ60" s="92" t="str">
        <f aca="false">IF(COUNT(D60:L60)=0,"",IF(COUNTIF(D60:L60,"&lt;=2")&gt;=2,"AVOID","OK"))</f>
        <v/>
      </c>
      <c r="AK60" s="92" t="str">
        <f aca="false">IF(COUNTA(E60:M60)=0,"",IF(COUNTIF(E60:M60,"L")&gt;=2,"CAP AT BUY","OK"))</f>
        <v/>
      </c>
      <c r="AL60" s="118"/>
      <c r="AM60" s="118"/>
      <c r="AN60" s="114"/>
      <c r="AO60" s="92"/>
      <c r="AP60" s="114" t="str">
        <f aca="false">IF(OR(AN60="",AO60=""),"",IF(AN60&gt;AO60,"OK","LOW CONF"))</f>
        <v/>
      </c>
      <c r="AQ60" s="114"/>
      <c r="AR60" s="92"/>
      <c r="AS60" s="124" t="str">
        <f aca="false">IF(OR(AQ60="",AR60=""),"",IF(AQ60&lt;AR60,"Decreased",IF(AQ60&gt;AR60,"Increased","Flat")))</f>
        <v/>
      </c>
    </row>
    <row r="61" customFormat="false" ht="13.5" hidden="false" customHeight="true" outlineLevel="0" collapsed="false">
      <c r="AM61" s="125"/>
    </row>
    <row r="62" customFormat="false" ht="15.75" hidden="false" customHeight="true" outlineLevel="0" collapsed="false">
      <c r="A62" s="126" t="n">
        <f aca="false">SUBTOTAL(103,A3:A60)</f>
        <v>30</v>
      </c>
      <c r="B62" s="103" t="s">
        <v>290</v>
      </c>
    </row>
    <row r="63" customFormat="false" ht="13.5" hidden="false" customHeight="true" outlineLevel="0" collapsed="false">
      <c r="A63" s="1"/>
      <c r="C63" s="127"/>
      <c r="D63" s="1"/>
      <c r="E63" s="1"/>
      <c r="F63" s="1"/>
      <c r="G63" s="1"/>
      <c r="H63" s="1"/>
      <c r="I63" s="1"/>
      <c r="J63" s="1"/>
      <c r="K63" s="1"/>
      <c r="L63" s="1"/>
      <c r="M63" s="1"/>
      <c r="R63" s="1"/>
      <c r="S63" s="1"/>
      <c r="T63" s="1"/>
      <c r="U63" s="1"/>
      <c r="V63" s="1"/>
      <c r="W63" s="1"/>
      <c r="Y63" s="1"/>
      <c r="Z63" s="1"/>
      <c r="AA63" s="1"/>
      <c r="AB63" s="1"/>
      <c r="AC63" s="1"/>
      <c r="AD63" s="1"/>
    </row>
    <row r="64" customFormat="false" ht="13.5" hidden="false" customHeight="true" outlineLevel="0" collapsed="false">
      <c r="A64" s="1"/>
      <c r="C64" s="127"/>
      <c r="D64" s="1"/>
      <c r="E64" s="1"/>
      <c r="F64" s="1"/>
      <c r="G64" s="1"/>
      <c r="H64" s="1"/>
      <c r="I64" s="1"/>
      <c r="J64" s="1"/>
      <c r="K64" s="1"/>
      <c r="L64" s="1"/>
      <c r="M64" s="1"/>
      <c r="R64" s="1"/>
      <c r="S64" s="1"/>
      <c r="T64" s="1"/>
      <c r="U64" s="1"/>
      <c r="V64" s="1"/>
      <c r="W64" s="1"/>
      <c r="Y64" s="1"/>
      <c r="Z64" s="1"/>
      <c r="AA64" s="1"/>
      <c r="AB64" s="1"/>
      <c r="AC64" s="1"/>
      <c r="AD64" s="1"/>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7" activePane="bottomRight" state="frozen"/>
      <selection pane="topLeft" activeCell="A1" activeCellId="0" sqref="A1"/>
      <selection pane="topRight" activeCell="G1" activeCellId="0" sqref="G1"/>
      <selection pane="bottomLeft" activeCell="A17" activeCellId="0" sqref="A17"/>
      <selection pane="bottomRight" activeCell="R9" activeCellId="0" sqref="R9"/>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24.78"/>
    <col collapsed="false" customWidth="true" hidden="false" outlineLevel="0" max="3" min="3" style="23" width="9"/>
    <col collapsed="false" customWidth="false" hidden="false" outlineLevel="0" max="5" min="4" style="23" width="8.67"/>
    <col collapsed="false" customWidth="true" hidden="false" outlineLevel="0" max="6" min="6" style="23" width="12.44"/>
    <col collapsed="false" customWidth="true" hidden="false" outlineLevel="0" max="7" min="7" style="23" width="13.34"/>
    <col collapsed="false" customWidth="true" hidden="false" outlineLevel="0" max="8" min="8" style="1" width="11.11"/>
    <col collapsed="false" customWidth="true" hidden="true" outlineLevel="0" max="9" min="9" style="23" width="10.88"/>
    <col collapsed="false" customWidth="true" hidden="false" outlineLevel="0" max="10" min="10" style="23" width="9"/>
    <col collapsed="false" customWidth="true" hidden="false" outlineLevel="0" max="11" min="11" style="23" width="8.56"/>
    <col collapsed="false" customWidth="true" hidden="false" outlineLevel="0" max="12" min="12" style="23" width="7.76"/>
    <col collapsed="false" customWidth="true" hidden="false" outlineLevel="0" max="13" min="13" style="23" width="6.77"/>
    <col collapsed="false" customWidth="true" hidden="false" outlineLevel="0" max="14" min="14" style="23" width="8"/>
    <col collapsed="false" customWidth="true" hidden="false" outlineLevel="0" max="15" min="15" style="23" width="7.44"/>
    <col collapsed="false" customWidth="true" hidden="false" outlineLevel="0" max="16" min="16" style="23" width="10.56"/>
    <col collapsed="false" customWidth="true" hidden="false" outlineLevel="0" max="18" min="18" style="1" width="28"/>
    <col collapsed="false" customWidth="true" hidden="false" outlineLevel="0" max="19" min="19" style="1" width="12.76"/>
  </cols>
  <sheetData>
    <row r="1" customFormat="false" ht="15" hidden="false" customHeight="true" outlineLevel="0" collapsed="false">
      <c r="A1" s="128" t="s">
        <v>410</v>
      </c>
      <c r="B1" s="128"/>
      <c r="C1" s="129"/>
      <c r="D1" s="129"/>
      <c r="E1" s="129"/>
      <c r="F1" s="129"/>
      <c r="G1" s="129"/>
      <c r="H1" s="128"/>
      <c r="I1" s="129"/>
      <c r="J1" s="129"/>
      <c r="K1" s="129"/>
      <c r="L1" s="129"/>
      <c r="M1" s="129"/>
      <c r="N1" s="129"/>
      <c r="O1" s="129"/>
      <c r="P1" s="129"/>
      <c r="Q1" s="128"/>
      <c r="R1" s="128"/>
      <c r="S1" s="128"/>
    </row>
    <row r="2" customFormat="false" ht="68.25" hidden="false" customHeight="true" outlineLevel="0" collapsed="false">
      <c r="A2" s="130" t="s">
        <v>81</v>
      </c>
      <c r="B2" s="130" t="s">
        <v>280</v>
      </c>
      <c r="C2" s="130" t="s">
        <v>411</v>
      </c>
      <c r="D2" s="130" t="s">
        <v>412</v>
      </c>
      <c r="E2" s="130" t="s">
        <v>413</v>
      </c>
      <c r="F2" s="130" t="s">
        <v>414</v>
      </c>
      <c r="G2" s="130" t="s">
        <v>415</v>
      </c>
      <c r="H2" s="130" t="s">
        <v>416</v>
      </c>
      <c r="I2" s="130" t="s">
        <v>417</v>
      </c>
      <c r="J2" s="130" t="s">
        <v>418</v>
      </c>
      <c r="K2" s="130" t="s">
        <v>419</v>
      </c>
      <c r="L2" s="130" t="s">
        <v>420</v>
      </c>
      <c r="M2" s="130" t="s">
        <v>421</v>
      </c>
      <c r="N2" s="130" t="s">
        <v>422</v>
      </c>
      <c r="O2" s="130" t="s">
        <v>423</v>
      </c>
      <c r="P2" s="130" t="s">
        <v>424</v>
      </c>
      <c r="Q2" s="130" t="s">
        <v>425</v>
      </c>
      <c r="R2" s="130" t="s">
        <v>426</v>
      </c>
      <c r="S2" s="130" t="s">
        <v>427</v>
      </c>
    </row>
    <row r="3" customFormat="false" ht="15" hidden="false" customHeight="true" outlineLevel="0" collapsed="false">
      <c r="A3" s="131" t="str">
        <f aca="false">IF(Scoring!A3="","",Scoring!A3)</f>
        <v>MU</v>
      </c>
      <c r="B3" s="131" t="str">
        <f aca="false">IF(Scoring!B3="","",Scoring!B3)</f>
        <v>Micron Technology</v>
      </c>
      <c r="C3" s="132" t="str">
        <f aca="false">IF(Scoring!AG3="","",IF(OR(Scoring!AG3="STRONG BUY",Scoring!AG3="BUY"),"PASS","FAIL"))</f>
        <v>PASS</v>
      </c>
      <c r="D3" s="132" t="str">
        <f aca="false">IF(Scoring!AH3="","",IF(Scoring!AH3="OK","PASS","FAIL"))</f>
        <v>PASS</v>
      </c>
      <c r="E3" s="132" t="str">
        <f aca="false">IF(Scoring!AI3="","",IF(Scoring!AI3="OK","PASS","FAIL — mandatory review required"))</f>
        <v>PASS</v>
      </c>
      <c r="F3" s="132"/>
      <c r="G3" s="132"/>
      <c r="H3" s="131" t="str">
        <f aca="false">IF(OR(F3="",G3=""),"",IF(AND(F3="Y",G3="Y"),"Standard initial size","50% of normal initial size + 90-day technical review"))</f>
        <v/>
      </c>
      <c r="I3" s="132"/>
      <c r="J3" s="132"/>
      <c r="K3" s="132" t="str">
        <f aca="false">IF(I3="","",IF(I3="N","PASS",IF(J3="Y","PASS — risk documented in thesis","FAIL — undocumented binary risk")))</f>
        <v/>
      </c>
      <c r="L3" s="132" t="str">
        <f aca="false">IF('Implied-Return Calculator'!S4="","",'Implied-Return Calculator'!S4)</f>
        <v/>
      </c>
      <c r="M3" s="132" t="str">
        <f aca="false">IF('Implied-Return Calculator'!T4="","",'Implied-Return Calculator'!T4)</f>
        <v/>
      </c>
      <c r="N3" s="132" t="str">
        <f aca="false">IF('Implied-Return Calculator'!U4="","",'Implied-Return Calculator'!U4)</f>
        <v/>
      </c>
      <c r="O3" s="132"/>
      <c r="P3" s="132"/>
      <c r="Q3" s="131" t="str">
        <f aca="false">IF(OR(N3="",O3=""),"",IF(N3&lt;=50,"PASS — within ceiling",IF(AND(O3&gt;0.3,L3="PASS"),"PASS — growth+bear case exception met","FAIL — exceeds 50x, exception not met")))</f>
        <v/>
      </c>
      <c r="R3" s="131" t="str">
        <f aca="false">IF(OR(C3="",D3="",E3="",K3="",L3="",M3="",N3="",Q3=""),"",IF(AND(C3="PASS",D3="PASS",LEFT(E3,4)="PASS",LEFT(K3,4)="PASS",L3="PASS",M3="PASS",N3="OK",LEFT(Q3,4)="PASS"),"YES","NO — see failing rule(s)"))</f>
        <v/>
      </c>
      <c r="S3" s="131" t="str">
        <f aca="false">IF(R3="","",IF(R3="YES","Initiate: "&amp;H3,"DO NOT ENTER — resolve failing Entry Rule(s) above first"))</f>
        <v/>
      </c>
    </row>
    <row r="4" customFormat="false" ht="15" hidden="false" customHeight="true" outlineLevel="0" collapsed="false">
      <c r="A4" s="131" t="str">
        <f aca="false">IF(Scoring!A4="","",Scoring!A4)</f>
        <v>AVGO</v>
      </c>
      <c r="B4" s="131" t="str">
        <f aca="false">IF(Scoring!B4="","",Scoring!B4)</f>
        <v>Broadcom Inc.</v>
      </c>
      <c r="C4" s="132" t="str">
        <f aca="false">IF(Scoring!AG4="","",IF(OR(Scoring!AG4="STRONG BUY",Scoring!AG4="BUY"),"PASS","FAIL"))</f>
        <v>PASS</v>
      </c>
      <c r="D4" s="132" t="str">
        <f aca="false">IF(Scoring!AH4="","",IF(Scoring!AH4="OK","PASS","FAIL"))</f>
        <v>PASS</v>
      </c>
      <c r="E4" s="132" t="str">
        <f aca="false">IF(Scoring!AI4="","",IF(Scoring!AI4="OK","PASS","FAIL — mandatory review required"))</f>
        <v>PASS</v>
      </c>
      <c r="F4" s="132"/>
      <c r="G4" s="132"/>
      <c r="H4" s="131" t="str">
        <f aca="false">IF(OR(F4="",G4=""),"",IF(AND(F4="Y",G4="Y"),"Standard initial size","50% of normal initial size + 90-day technical review"))</f>
        <v/>
      </c>
      <c r="I4" s="132"/>
      <c r="J4" s="132"/>
      <c r="K4" s="132" t="str">
        <f aca="false">IF(I4="","",IF(I4="N","PASS",IF(J4="Y","PASS — risk documented in thesis","FAIL — undocumented binary risk")))</f>
        <v/>
      </c>
      <c r="L4" s="132" t="str">
        <f aca="false">IF('Implied-Return Calculator'!S5="","",'Implied-Return Calculator'!S5)</f>
        <v/>
      </c>
      <c r="M4" s="132" t="str">
        <f aca="false">IF('Implied-Return Calculator'!T5="","",'Implied-Return Calculator'!T5)</f>
        <v/>
      </c>
      <c r="N4" s="132" t="str">
        <f aca="false">IF('Implied-Return Calculator'!U5="","",'Implied-Return Calculator'!U5)</f>
        <v/>
      </c>
      <c r="O4" s="132"/>
      <c r="P4" s="132"/>
      <c r="Q4" s="131" t="str">
        <f aca="false">IF(OR(N4="",O4=""),"",IF(N4&lt;=50,"PASS — within ceiling",IF(AND(O4&gt;0.3,L4="PASS"),"PASS — growth+bear case exception met","FAIL — exceeds 50x, exception not met")))</f>
        <v/>
      </c>
      <c r="R4" s="131" t="str">
        <f aca="false">IF(OR(C4="",D4="",E4="",K4="",L4="",M4="",N4="",Q4=""),"",IF(AND(C4="PASS",D4="PASS",LEFT(E4,4)="PASS",LEFT(K4,4)="PASS",L4="PASS",M4="PASS",N4="OK",LEFT(Q4,4)="PASS"),"YES","NO — see failing rule(s)"))</f>
        <v/>
      </c>
      <c r="S4" s="131" t="str">
        <f aca="false">IF(R4="","",IF(R4="YES","Initiate: "&amp;H4,"DO NOT ENTER — resolve failing Entry Rule(s) above first"))</f>
        <v/>
      </c>
    </row>
    <row r="5" customFormat="false" ht="15" hidden="false" customHeight="true" outlineLevel="0" collapsed="false">
      <c r="A5" s="131" t="str">
        <f aca="false">IF(Scoring!A5="","",Scoring!A5)</f>
        <v>PLTR</v>
      </c>
      <c r="B5" s="131" t="str">
        <f aca="false">IF(Scoring!B5="","",Scoring!B5)</f>
        <v>Palantir Technologies</v>
      </c>
      <c r="C5" s="132" t="str">
        <f aca="false">IF(Scoring!AG5="","",IF(OR(Scoring!AG5="STRONG BUY",Scoring!AG5="BUY"),"PASS","FAIL"))</f>
        <v>PASS</v>
      </c>
      <c r="D5" s="132" t="str">
        <f aca="false">IF(Scoring!AH5="","",IF(Scoring!AH5="OK","PASS","FAIL"))</f>
        <v>PASS</v>
      </c>
      <c r="E5" s="132" t="str">
        <f aca="false">IF(Scoring!AI5="","",IF(Scoring!AI5="OK","PASS","FAIL — mandatory review required"))</f>
        <v>PASS</v>
      </c>
      <c r="F5" s="132"/>
      <c r="G5" s="132"/>
      <c r="H5" s="131" t="str">
        <f aca="false">IF(OR(F5="",G5=""),"",IF(AND(F5="Y",G5="Y"),"Standard initial size","50% of normal initial size + 90-day technical review"))</f>
        <v/>
      </c>
      <c r="I5" s="132"/>
      <c r="J5" s="132"/>
      <c r="K5" s="132" t="str">
        <f aca="false">IF(I5="","",IF(I5="N","PASS",IF(J5="Y","PASS — risk documented in thesis","FAIL — undocumented binary risk")))</f>
        <v/>
      </c>
      <c r="L5" s="132" t="str">
        <f aca="false">IF('Implied-Return Calculator'!S6="","",'Implied-Return Calculator'!S6)</f>
        <v/>
      </c>
      <c r="M5" s="132" t="str">
        <f aca="false">IF('Implied-Return Calculator'!T6="","",'Implied-Return Calculator'!T6)</f>
        <v/>
      </c>
      <c r="N5" s="132" t="str">
        <f aca="false">IF('Implied-Return Calculator'!U6="","",'Implied-Return Calculator'!U6)</f>
        <v/>
      </c>
      <c r="O5" s="132"/>
      <c r="P5" s="132"/>
      <c r="Q5" s="131" t="str">
        <f aca="false">IF(OR(N5="",O5=""),"",IF(N5&lt;=50,"PASS — within ceiling",IF(AND(O5&gt;0.3,L5="PASS"),"PASS — growth+bear case exception met","FAIL — exceeds 50x, exception not met")))</f>
        <v/>
      </c>
      <c r="R5" s="131" t="str">
        <f aca="false">IF(OR(C5="",D5="",E5="",K5="",L5="",M5="",N5="",Q5=""),"",IF(AND(C5="PASS",D5="PASS",LEFT(E5,4)="PASS",LEFT(K5,4)="PASS",L5="PASS",M5="PASS",N5="OK",LEFT(Q5,4)="PASS"),"YES","NO — see failing rule(s)"))</f>
        <v/>
      </c>
      <c r="S5" s="131" t="str">
        <f aca="false">IF(R5="","",IF(R5="YES","Initiate: "&amp;H5,"DO NOT ENTER — resolve failing Entry Rule(s) above first"))</f>
        <v/>
      </c>
    </row>
    <row r="6" customFormat="false" ht="15" hidden="false" customHeight="true" outlineLevel="0" collapsed="false">
      <c r="A6" s="131" t="str">
        <f aca="false">IF(Scoring!A6="","",Scoring!A6)</f>
        <v>NVDA</v>
      </c>
      <c r="B6" s="131" t="str">
        <f aca="false">IF(Scoring!B6="","",Scoring!B6)</f>
        <v>NVIDIA Corporation</v>
      </c>
      <c r="C6" s="132" t="str">
        <f aca="false">IF(Scoring!AG6="","",IF(OR(Scoring!AG6="STRONG BUY",Scoring!AG6="BUY"),"PASS","FAIL"))</f>
        <v>PASS</v>
      </c>
      <c r="D6" s="132" t="str">
        <f aca="false">IF(Scoring!AH6="","",IF(Scoring!AH6="OK","PASS","FAIL"))</f>
        <v>PASS</v>
      </c>
      <c r="E6" s="132" t="str">
        <f aca="false">IF(Scoring!AI6="","",IF(Scoring!AI6="OK","PASS","FAIL — mandatory review required"))</f>
        <v>PASS</v>
      </c>
      <c r="F6" s="132"/>
      <c r="G6" s="132"/>
      <c r="H6" s="131" t="str">
        <f aca="false">IF(OR(F6="",G6=""),"",IF(AND(F6="Y",G6="Y"),"Standard initial size","50% of normal initial size + 90-day technical review"))</f>
        <v/>
      </c>
      <c r="I6" s="132"/>
      <c r="J6" s="132"/>
      <c r="K6" s="132" t="str">
        <f aca="false">IF(I6="","",IF(I6="N","PASS",IF(J6="Y","PASS — risk documented in thesis","FAIL — undocumented binary risk")))</f>
        <v/>
      </c>
      <c r="L6" s="132" t="str">
        <f aca="false">IF('Implied-Return Calculator'!S7="","",'Implied-Return Calculator'!S7)</f>
        <v/>
      </c>
      <c r="M6" s="132" t="str">
        <f aca="false">IF('Implied-Return Calculator'!T7="","",'Implied-Return Calculator'!T7)</f>
        <v/>
      </c>
      <c r="N6" s="132" t="str">
        <f aca="false">IF('Implied-Return Calculator'!U7="","",'Implied-Return Calculator'!U7)</f>
        <v/>
      </c>
      <c r="O6" s="132"/>
      <c r="P6" s="132"/>
      <c r="Q6" s="131" t="str">
        <f aca="false">IF(OR(N6="",O6=""),"",IF(N6&lt;=50,"PASS — within ceiling",IF(AND(O6&gt;0.3,L6="PASS"),"PASS — growth+bear case exception met","FAIL — exceeds 50x, exception not met")))</f>
        <v/>
      </c>
      <c r="R6" s="131" t="str">
        <f aca="false">IF(OR(C6="",D6="",E6="",K6="",L6="",M6="",N6="",Q6=""),"",IF(AND(C6="PASS",D6="PASS",LEFT(E6,4)="PASS",LEFT(K6,4)="PASS",L6="PASS",M6="PASS",N6="OK",LEFT(Q6,4)="PASS"),"YES","NO — see failing rule(s)"))</f>
        <v/>
      </c>
      <c r="S6" s="131" t="str">
        <f aca="false">IF(R6="","",IF(R6="YES","Initiate: "&amp;H6,"DO NOT ENTER — resolve failing Entry Rule(s) above first"))</f>
        <v/>
      </c>
    </row>
    <row r="7" customFormat="false" ht="15" hidden="false" customHeight="true" outlineLevel="0" collapsed="false">
      <c r="A7" s="131" t="str">
        <f aca="false">IF(Scoring!A7="","",Scoring!A7)</f>
        <v>VRTX</v>
      </c>
      <c r="B7" s="131" t="str">
        <f aca="false">IF(Scoring!B7="","",Scoring!B7)</f>
        <v>Vertex Pharmaceuticals</v>
      </c>
      <c r="C7" s="132" t="str">
        <f aca="false">IF(Scoring!AG7="","",IF(OR(Scoring!AG7="STRONG BUY",Scoring!AG7="BUY"),"PASS","FAIL"))</f>
        <v>PASS</v>
      </c>
      <c r="D7" s="132" t="str">
        <f aca="false">IF(Scoring!AH7="","",IF(Scoring!AH7="OK","PASS","FAIL"))</f>
        <v>PASS</v>
      </c>
      <c r="E7" s="132" t="str">
        <f aca="false">IF(Scoring!AI7="","",IF(Scoring!AI7="OK","PASS","FAIL — mandatory review required"))</f>
        <v>PASS</v>
      </c>
      <c r="F7" s="132"/>
      <c r="G7" s="132"/>
      <c r="H7" s="131" t="str">
        <f aca="false">IF(OR(F7="",G7=""),"",IF(AND(F7="Y",G7="Y"),"Standard initial size","50% of normal initial size + 90-day technical review"))</f>
        <v/>
      </c>
      <c r="I7" s="132"/>
      <c r="J7" s="132"/>
      <c r="K7" s="132" t="str">
        <f aca="false">IF(I7="","",IF(I7="N","PASS",IF(J7="Y","PASS — risk documented in thesis","FAIL — undocumented binary risk")))</f>
        <v/>
      </c>
      <c r="L7" s="132" t="str">
        <f aca="false">IF('Implied-Return Calculator'!S8="","",'Implied-Return Calculator'!S8)</f>
        <v/>
      </c>
      <c r="M7" s="132" t="str">
        <f aca="false">IF('Implied-Return Calculator'!T8="","",'Implied-Return Calculator'!T8)</f>
        <v/>
      </c>
      <c r="N7" s="132" t="str">
        <f aca="false">IF('Implied-Return Calculator'!U8="","",'Implied-Return Calculator'!U8)</f>
        <v/>
      </c>
      <c r="O7" s="132"/>
      <c r="P7" s="132"/>
      <c r="Q7" s="131" t="str">
        <f aca="false">IF(OR(N7="",O7=""),"",IF(N7&lt;=50,"PASS — within ceiling",IF(AND(O7&gt;0.3,L7="PASS"),"PASS — growth+bear case exception met","FAIL — exceeds 50x, exception not met")))</f>
        <v/>
      </c>
      <c r="R7" s="131" t="str">
        <f aca="false">IF(OR(C7="",D7="",E7="",K7="",L7="",M7="",N7="",Q7=""),"",IF(AND(C7="PASS",D7="PASS",LEFT(E7,4)="PASS",LEFT(K7,4)="PASS",L7="PASS",M7="PASS",N7="OK",LEFT(Q7,4)="PASS"),"YES","NO — see failing rule(s)"))</f>
        <v/>
      </c>
      <c r="S7" s="131" t="str">
        <f aca="false">IF(R7="","",IF(R7="YES","Initiate: "&amp;H7,"DO NOT ENTER — resolve failing Entry Rule(s) above first"))</f>
        <v/>
      </c>
    </row>
    <row r="8" customFormat="false" ht="15" hidden="false" customHeight="true" outlineLevel="0" collapsed="false">
      <c r="A8" s="131" t="str">
        <f aca="false">IF(Scoring!A8="","",Scoring!A8)</f>
        <v>PLD</v>
      </c>
      <c r="B8" s="131" t="str">
        <f aca="false">IF(Scoring!B8="","",Scoring!B8)</f>
        <v>Prologis Inc. (REIT-adapted)</v>
      </c>
      <c r="C8" s="132" t="str">
        <f aca="false">IF(Scoring!AG8="","",IF(OR(Scoring!AG8="STRONG BUY",Scoring!AG8="BUY"),"PASS","FAIL"))</f>
        <v>PASS</v>
      </c>
      <c r="D8" s="132" t="str">
        <f aca="false">IF(Scoring!AH8="","",IF(Scoring!AH8="OK","PASS","FAIL"))</f>
        <v>PASS</v>
      </c>
      <c r="E8" s="132" t="str">
        <f aca="false">IF(Scoring!AI8="","",IF(Scoring!AI8="OK","PASS","FAIL — mandatory review required"))</f>
        <v>PASS</v>
      </c>
      <c r="F8" s="132"/>
      <c r="G8" s="132"/>
      <c r="H8" s="131" t="str">
        <f aca="false">IF(OR(F8="",G8=""),"",IF(AND(F8="Y",G8="Y"),"Standard initial size","50% of normal initial size + 90-day technical review"))</f>
        <v/>
      </c>
      <c r="I8" s="132"/>
      <c r="J8" s="132"/>
      <c r="K8" s="132" t="str">
        <f aca="false">IF(I8="","",IF(I8="N","PASS",IF(J8="Y","PASS — risk documented in thesis","FAIL — undocumented binary risk")))</f>
        <v/>
      </c>
      <c r="L8" s="132" t="str">
        <f aca="false">IF('Implied-Return Calculator'!S9="","",'Implied-Return Calculator'!S9)</f>
        <v/>
      </c>
      <c r="M8" s="132" t="str">
        <f aca="false">IF('Implied-Return Calculator'!T9="","",'Implied-Return Calculator'!T9)</f>
        <v/>
      </c>
      <c r="N8" s="132" t="str">
        <f aca="false">IF('Implied-Return Calculator'!U9="","",'Implied-Return Calculator'!U9)</f>
        <v/>
      </c>
      <c r="O8" s="132"/>
      <c r="P8" s="132"/>
      <c r="Q8" s="131" t="str">
        <f aca="false">IF(OR(N8="",O8=""),"",IF(N8&lt;=50,"PASS — within ceiling",IF(AND(O8&gt;0.3,L8="PASS"),"PASS — growth+bear case exception met","FAIL — exceeds 50x, exception not met")))</f>
        <v/>
      </c>
      <c r="R8" s="131" t="str">
        <f aca="false">IF(OR(C8="",D8="",E8="",K8="",L8="",M8="",N8="",Q8=""),"",IF(AND(C8="PASS",D8="PASS",LEFT(E8,4)="PASS",LEFT(K8,4)="PASS",L8="PASS",M8="PASS",N8="OK",LEFT(Q8,4)="PASS"),"YES","NO — see failing rule(s)"))</f>
        <v/>
      </c>
      <c r="S8" s="131" t="str">
        <f aca="false">IF(R8="","",IF(R8="YES","Initiate: "&amp;H8,"DO NOT ENTER — resolve failing Entry Rule(s) above first"))</f>
        <v/>
      </c>
    </row>
    <row r="9" customFormat="false" ht="15" hidden="false" customHeight="true" outlineLevel="0" collapsed="false">
      <c r="A9" s="131" t="str">
        <f aca="false">IF(Scoring!A9="","",Scoring!A9)</f>
        <v>SFM</v>
      </c>
      <c r="B9" s="131" t="str">
        <f aca="false">IF(Scoring!B9="","",Scoring!B9)</f>
        <v>Sprouts Farmers Market</v>
      </c>
      <c r="C9" s="132" t="str">
        <f aca="false">IF(Scoring!AG9="","",IF(OR(Scoring!AG9="STRONG BUY",Scoring!AG9="BUY"),"PASS","FAIL"))</f>
        <v/>
      </c>
      <c r="D9" s="132" t="str">
        <f aca="false">IF(Scoring!AH9="","",IF(Scoring!AH9="OK","PASS","FAIL"))</f>
        <v>FAIL</v>
      </c>
      <c r="E9" s="132" t="str">
        <f aca="false">IF(Scoring!AI9="","",IF(Scoring!AI9="OK","PASS","FAIL — mandatory review required"))</f>
        <v>FAIL — mandatory review required</v>
      </c>
      <c r="F9" s="132"/>
      <c r="G9" s="132"/>
      <c r="H9" s="131" t="str">
        <f aca="false">IF(OR(F9="",G9=""),"",IF(AND(F9="Y",G9="Y"),"Standard initial size","50% of normal initial size + 90-day technical review"))</f>
        <v/>
      </c>
      <c r="I9" s="132"/>
      <c r="J9" s="132"/>
      <c r="K9" s="132" t="str">
        <f aca="false">IF(I9="","",IF(I9="N","PASS",IF(J9="Y","PASS — risk documented in thesis","FAIL — undocumented binary risk")))</f>
        <v/>
      </c>
      <c r="L9" s="132" t="str">
        <f aca="false">IF('Implied-Return Calculator'!S10="","",'Implied-Return Calculator'!S10)</f>
        <v/>
      </c>
      <c r="M9" s="132" t="str">
        <f aca="false">IF('Implied-Return Calculator'!T10="","",'Implied-Return Calculator'!T10)</f>
        <v/>
      </c>
      <c r="N9" s="132" t="str">
        <f aca="false">IF('Implied-Return Calculator'!U10="","",'Implied-Return Calculator'!U10)</f>
        <v/>
      </c>
      <c r="O9" s="132"/>
      <c r="P9" s="132"/>
      <c r="Q9" s="131" t="str">
        <f aca="false">IF(OR(N9="",O9=""),"",IF(N9&lt;=50,"PASS — within ceiling",IF(AND(O9&gt;0.3,L9="PASS"),"PASS — growth+bear case exception met","FAIL — exceeds 50x, exception not met")))</f>
        <v/>
      </c>
      <c r="R9" s="131" t="str">
        <f aca="false">IF(OR(C9="",D9="",E9="",K9="",L9="",M9="",N9="",Q9=""),"",IF(AND(C9="PASS",D9="PASS",LEFT(E9,4)="PASS",LEFT(K9,4)="PASS",L9="PASS",M9="PASS",N9="OK",LEFT(Q9,4)="PASS"),"YES","NO — see failing rule(s)"))</f>
        <v/>
      </c>
      <c r="S9" s="131" t="str">
        <f aca="false">IF(R9="","",IF(R9="YES","Initiate: "&amp;H9,"DO NOT ENTER — resolve failing Entry Rule(s) above first"))</f>
        <v/>
      </c>
    </row>
    <row r="10" customFormat="false" ht="15" hidden="false" customHeight="true" outlineLevel="0" collapsed="false">
      <c r="A10" s="131" t="str">
        <f aca="false">IF(Scoring!A10="","",Scoring!A10)</f>
        <v>ONON</v>
      </c>
      <c r="B10" s="131" t="str">
        <f aca="false">IF(Scoring!B10="","",Scoring!B10)</f>
        <v>On Holding AG</v>
      </c>
      <c r="C10" s="132" t="str">
        <f aca="false">IF(Scoring!AG10="","",IF(OR(Scoring!AG10="STRONG BUY",Scoring!AG10="BUY"),"PASS","FAIL"))</f>
        <v/>
      </c>
      <c r="D10" s="132" t="str">
        <f aca="false">IF(Scoring!AH10="","",IF(Scoring!AH10="OK","PASS","FAIL"))</f>
        <v>FAIL</v>
      </c>
      <c r="E10" s="132" t="str">
        <f aca="false">IF(Scoring!AI10="","",IF(Scoring!AI10="OK","PASS","FAIL — mandatory review required"))</f>
        <v>PASS</v>
      </c>
      <c r="F10" s="132"/>
      <c r="G10" s="132"/>
      <c r="H10" s="131" t="str">
        <f aca="false">IF(OR(F10="",G10=""),"",IF(AND(F10="Y",G10="Y"),"Standard initial size","50% of normal initial size + 90-day technical review"))</f>
        <v/>
      </c>
      <c r="I10" s="132"/>
      <c r="J10" s="132"/>
      <c r="K10" s="132" t="str">
        <f aca="false">IF(I10="","",IF(I10="N","PASS",IF(J10="Y","PASS — risk documented in thesis","FAIL — undocumented binary risk")))</f>
        <v/>
      </c>
      <c r="L10" s="132" t="str">
        <f aca="false">IF('Implied-Return Calculator'!S11="","",'Implied-Return Calculator'!S11)</f>
        <v/>
      </c>
      <c r="M10" s="132" t="str">
        <f aca="false">IF('Implied-Return Calculator'!T11="","",'Implied-Return Calculator'!T11)</f>
        <v/>
      </c>
      <c r="N10" s="132" t="str">
        <f aca="false">IF('Implied-Return Calculator'!U11="","",'Implied-Return Calculator'!U11)</f>
        <v/>
      </c>
      <c r="O10" s="132"/>
      <c r="P10" s="132"/>
      <c r="Q10" s="131" t="str">
        <f aca="false">IF(OR(N10="",O10=""),"",IF(N10&lt;=50,"PASS — within ceiling",IF(AND(O10&gt;0.3,L10="PASS"),"PASS — growth+bear case exception met","FAIL — exceeds 50x, exception not met")))</f>
        <v/>
      </c>
      <c r="R10" s="131" t="str">
        <f aca="false">IF(OR(C10="",D10="",E10="",K10="",L10="",M10="",N10="",Q10=""),"",IF(AND(C10="PASS",D10="PASS",LEFT(E10,4)="PASS",LEFT(K10,4)="PASS",L10="PASS",M10="PASS",N10="OK",LEFT(Q10,4)="PASS"),"YES","NO — see failing rule(s)"))</f>
        <v/>
      </c>
      <c r="S10" s="131" t="str">
        <f aca="false">IF(R10="","",IF(R10="YES","Initiate: "&amp;H10,"DO NOT ENTER — resolve failing Entry Rule(s) above first"))</f>
        <v/>
      </c>
    </row>
    <row r="11" customFormat="false" ht="15" hidden="false" customHeight="true" outlineLevel="0" collapsed="false">
      <c r="A11" s="131" t="str">
        <f aca="false">IF(Scoring!A11="","",Scoring!A11)</f>
        <v>TSLA</v>
      </c>
      <c r="B11" s="131" t="str">
        <f aca="false">IF(Scoring!B11="","",Scoring!B11)</f>
        <v>Tesla Inc.</v>
      </c>
      <c r="C11" s="132" t="str">
        <f aca="false">IF(Scoring!AG11="","",IF(OR(Scoring!AG11="STRONG BUY",Scoring!AG11="BUY"),"PASS","FAIL"))</f>
        <v/>
      </c>
      <c r="D11" s="132" t="str">
        <f aca="false">IF(Scoring!AH11="","",IF(Scoring!AH11="OK","PASS","FAIL"))</f>
        <v>FAIL</v>
      </c>
      <c r="E11" s="132" t="str">
        <f aca="false">IF(Scoring!AI11="","",IF(Scoring!AI11="OK","PASS","FAIL — mandatory review required"))</f>
        <v>FAIL — mandatory review required</v>
      </c>
      <c r="F11" s="132"/>
      <c r="G11" s="132"/>
      <c r="H11" s="131" t="str">
        <f aca="false">IF(OR(F11="",G11=""),"",IF(AND(F11="Y",G11="Y"),"Standard initial size","50% of normal initial size + 90-day technical review"))</f>
        <v/>
      </c>
      <c r="I11" s="132"/>
      <c r="J11" s="132"/>
      <c r="K11" s="132" t="str">
        <f aca="false">IF(I11="","",IF(I11="N","PASS",IF(J11="Y","PASS — risk documented in thesis","FAIL — undocumented binary risk")))</f>
        <v/>
      </c>
      <c r="L11" s="132" t="str">
        <f aca="false">IF('Implied-Return Calculator'!S12="","",'Implied-Return Calculator'!S12)</f>
        <v/>
      </c>
      <c r="M11" s="132" t="str">
        <f aca="false">IF('Implied-Return Calculator'!T12="","",'Implied-Return Calculator'!T12)</f>
        <v/>
      </c>
      <c r="N11" s="132" t="str">
        <f aca="false">IF('Implied-Return Calculator'!U12="","",'Implied-Return Calculator'!U12)</f>
        <v/>
      </c>
      <c r="O11" s="132"/>
      <c r="P11" s="132"/>
      <c r="Q11" s="131" t="str">
        <f aca="false">IF(OR(N11="",O11=""),"",IF(N11&lt;=50,"PASS — within ceiling",IF(AND(O11&gt;0.3,L11="PASS"),"PASS — growth+bear case exception met","FAIL — exceeds 50x, exception not met")))</f>
        <v/>
      </c>
      <c r="R11" s="131" t="str">
        <f aca="false">IF(OR(C11="",D11="",E11="",K11="",L11="",M11="",N11="",Q11=""),"",IF(AND(C11="PASS",D11="PASS",LEFT(E11,4)="PASS",LEFT(K11,4)="PASS",L11="PASS",M11="PASS",N11="OK",LEFT(Q11,4)="PASS"),"YES","NO — see failing rule(s)"))</f>
        <v/>
      </c>
      <c r="S11" s="131" t="str">
        <f aca="false">IF(R11="","",IF(R11="YES","Initiate: "&amp;H11,"DO NOT ENTER — resolve failing Entry Rule(s) above first"))</f>
        <v/>
      </c>
    </row>
    <row r="12" customFormat="false" ht="15" hidden="false" customHeight="true" outlineLevel="0" collapsed="false">
      <c r="A12" s="131" t="str">
        <f aca="false">IF(Scoring!A12="","",Scoring!A12)</f>
        <v>ADBE</v>
      </c>
      <c r="B12" s="131" t="str">
        <f aca="false">IF(Scoring!B12="","",Scoring!B12)</f>
        <v>Adobe Inc.</v>
      </c>
      <c r="C12" s="132" t="str">
        <f aca="false">IF(Scoring!AG12="","",IF(OR(Scoring!AG12="STRONG BUY",Scoring!AG12="BUY"),"PASS","FAIL"))</f>
        <v>PASS</v>
      </c>
      <c r="D12" s="132" t="str">
        <f aca="false">IF(Scoring!AH12="","",IF(Scoring!AH12="OK","PASS","FAIL"))</f>
        <v>PASS</v>
      </c>
      <c r="E12" s="132" t="str">
        <f aca="false">IF(Scoring!AI12="","",IF(Scoring!AI12="OK","PASS","FAIL — mandatory review required"))</f>
        <v>PASS</v>
      </c>
      <c r="F12" s="132"/>
      <c r="G12" s="132"/>
      <c r="H12" s="131" t="str">
        <f aca="false">IF(OR(F12="",G12=""),"",IF(AND(F12="Y",G12="Y"),"Standard initial size","50% of normal initial size + 90-day technical review"))</f>
        <v/>
      </c>
      <c r="I12" s="132"/>
      <c r="J12" s="132"/>
      <c r="K12" s="132" t="str">
        <f aca="false">IF(I12="","",IF(I12="N","PASS",IF(J12="Y","PASS — risk documented in thesis","FAIL — undocumented binary risk")))</f>
        <v/>
      </c>
      <c r="L12" s="132" t="str">
        <f aca="false">IF('Implied-Return Calculator'!S13="","",'Implied-Return Calculator'!S13)</f>
        <v/>
      </c>
      <c r="M12" s="132" t="str">
        <f aca="false">IF('Implied-Return Calculator'!T13="","",'Implied-Return Calculator'!T13)</f>
        <v/>
      </c>
      <c r="N12" s="132" t="str">
        <f aca="false">IF('Implied-Return Calculator'!U13="","",'Implied-Return Calculator'!U13)</f>
        <v/>
      </c>
      <c r="O12" s="132"/>
      <c r="P12" s="132"/>
      <c r="Q12" s="131" t="str">
        <f aca="false">IF(OR(N12="",O12=""),"",IF(N12&lt;=50,"PASS — within ceiling",IF(AND(O12&gt;0.3,L12="PASS"),"PASS — growth+bear case exception met","FAIL — exceeds 50x, exception not met")))</f>
        <v/>
      </c>
      <c r="R12" s="131" t="str">
        <f aca="false">IF(OR(C12="",D12="",E12="",K12="",L12="",M12="",N12="",Q12=""),"",IF(AND(C12="PASS",D12="PASS",LEFT(E12,4)="PASS",LEFT(K12,4)="PASS",L12="PASS",M12="PASS",N12="OK",LEFT(Q12,4)="PASS"),"YES","NO — see failing rule(s)"))</f>
        <v/>
      </c>
      <c r="S12" s="131" t="str">
        <f aca="false">IF(R12="","",IF(R12="YES","Initiate: "&amp;H12,"DO NOT ENTER — resolve failing Entry Rule(s) above first"))</f>
        <v/>
      </c>
    </row>
    <row r="13" customFormat="false" ht="15" hidden="false" customHeight="true" outlineLevel="0" collapsed="false">
      <c r="A13" s="131" t="str">
        <f aca="false">IF(Scoring!A13="","",Scoring!A13)</f>
        <v>ANET</v>
      </c>
      <c r="B13" s="131" t="str">
        <f aca="false">IF(Scoring!B13="","",Scoring!B13)</f>
        <v>Arista Networks</v>
      </c>
      <c r="C13" s="132" t="str">
        <f aca="false">IF(Scoring!AG13="","",IF(OR(Scoring!AG13="STRONG BUY",Scoring!AG13="BUY"),"PASS","FAIL"))</f>
        <v>PASS</v>
      </c>
      <c r="D13" s="132" t="str">
        <f aca="false">IF(Scoring!AH13="","",IF(Scoring!AH13="OK","PASS","FAIL"))</f>
        <v>PASS</v>
      </c>
      <c r="E13" s="132" t="str">
        <f aca="false">IF(Scoring!AI13="","",IF(Scoring!AI13="OK","PASS","FAIL — mandatory review required"))</f>
        <v>PASS</v>
      </c>
      <c r="F13" s="132"/>
      <c r="G13" s="132"/>
      <c r="H13" s="131" t="str">
        <f aca="false">IF(OR(F13="",G13=""),"",IF(AND(F13="Y",G13="Y"),"Standard initial size","50% of normal initial size + 90-day technical review"))</f>
        <v/>
      </c>
      <c r="I13" s="132"/>
      <c r="J13" s="132"/>
      <c r="K13" s="132" t="str">
        <f aca="false">IF(I13="","",IF(I13="N","PASS",IF(J13="Y","PASS — risk documented in thesis","FAIL — undocumented binary risk")))</f>
        <v/>
      </c>
      <c r="L13" s="132" t="str">
        <f aca="false">IF('Implied-Return Calculator'!S14="","",'Implied-Return Calculator'!S14)</f>
        <v/>
      </c>
      <c r="M13" s="132" t="str">
        <f aca="false">IF('Implied-Return Calculator'!T14="","",'Implied-Return Calculator'!T14)</f>
        <v/>
      </c>
      <c r="N13" s="132" t="str">
        <f aca="false">IF('Implied-Return Calculator'!U14="","",'Implied-Return Calculator'!U14)</f>
        <v/>
      </c>
      <c r="O13" s="132"/>
      <c r="P13" s="132"/>
      <c r="Q13" s="131" t="str">
        <f aca="false">IF(OR(N13="",O13=""),"",IF(N13&lt;=50,"PASS — within ceiling",IF(AND(O13&gt;0.3,L13="PASS"),"PASS — growth+bear case exception met","FAIL — exceeds 50x, exception not met")))</f>
        <v/>
      </c>
      <c r="R13" s="131" t="str">
        <f aca="false">IF(OR(C13="",D13="",E13="",K13="",L13="",M13="",N13="",Q13=""),"",IF(AND(C13="PASS",D13="PASS",LEFT(E13,4)="PASS",LEFT(K13,4)="PASS",L13="PASS",M13="PASS",N13="OK",LEFT(Q13,4)="PASS"),"YES","NO — see failing rule(s)"))</f>
        <v/>
      </c>
      <c r="S13" s="131" t="str">
        <f aca="false">IF(R13="","",IF(R13="YES","Initiate: "&amp;H13,"DO NOT ENTER — resolve failing Entry Rule(s) above first"))</f>
        <v/>
      </c>
    </row>
    <row r="14" customFormat="false" ht="15" hidden="false" customHeight="true" outlineLevel="0" collapsed="false">
      <c r="A14" s="131" t="str">
        <f aca="false">IF(Scoring!A14="","",Scoring!A14)</f>
        <v>ASML</v>
      </c>
      <c r="B14" s="131" t="str">
        <f aca="false">IF(Scoring!B14="","",Scoring!B14)</f>
        <v>ASML Holding</v>
      </c>
      <c r="C14" s="132" t="str">
        <f aca="false">IF(Scoring!AG14="","",IF(OR(Scoring!AG14="STRONG BUY",Scoring!AG14="BUY"),"PASS","FAIL"))</f>
        <v>PASS</v>
      </c>
      <c r="D14" s="132" t="str">
        <f aca="false">IF(Scoring!AH14="","",IF(Scoring!AH14="OK","PASS","FAIL"))</f>
        <v>PASS</v>
      </c>
      <c r="E14" s="132" t="str">
        <f aca="false">IF(Scoring!AI14="","",IF(Scoring!AI14="OK","PASS","FAIL — mandatory review required"))</f>
        <v>PASS</v>
      </c>
      <c r="F14" s="132"/>
      <c r="G14" s="132"/>
      <c r="H14" s="131" t="str">
        <f aca="false">IF(OR(F14="",G14=""),"",IF(AND(F14="Y",G14="Y"),"Standard initial size","50% of normal initial size + 90-day technical review"))</f>
        <v/>
      </c>
      <c r="I14" s="132"/>
      <c r="J14" s="132"/>
      <c r="K14" s="132" t="str">
        <f aca="false">IF(I14="","",IF(I14="N","PASS",IF(J14="Y","PASS — risk documented in thesis","FAIL — undocumented binary risk")))</f>
        <v/>
      </c>
      <c r="L14" s="132" t="str">
        <f aca="false">IF('Implied-Return Calculator'!S15="","",'Implied-Return Calculator'!S15)</f>
        <v/>
      </c>
      <c r="M14" s="132" t="str">
        <f aca="false">IF('Implied-Return Calculator'!T15="","",'Implied-Return Calculator'!T15)</f>
        <v/>
      </c>
      <c r="N14" s="132" t="str">
        <f aca="false">IF('Implied-Return Calculator'!U15="","",'Implied-Return Calculator'!U15)</f>
        <v/>
      </c>
      <c r="O14" s="132"/>
      <c r="P14" s="132"/>
      <c r="Q14" s="131" t="str">
        <f aca="false">IF(OR(N14="",O14=""),"",IF(N14&lt;=50,"PASS — within ceiling",IF(AND(O14&gt;0.3,L14="PASS"),"PASS — growth+bear case exception met","FAIL — exceeds 50x, exception not met")))</f>
        <v/>
      </c>
      <c r="R14" s="131" t="str">
        <f aca="false">IF(OR(C14="",D14="",E14="",K14="",L14="",M14="",N14="",Q14=""),"",IF(AND(C14="PASS",D14="PASS",LEFT(E14,4)="PASS",LEFT(K14,4)="PASS",L14="PASS",M14="PASS",N14="OK",LEFT(Q14,4)="PASS"),"YES","NO — see failing rule(s)"))</f>
        <v/>
      </c>
      <c r="S14" s="131" t="str">
        <f aca="false">IF(R14="","",IF(R14="YES","Initiate: "&amp;H14,"DO NOT ENTER — resolve failing Entry Rule(s) above first"))</f>
        <v/>
      </c>
    </row>
    <row r="15" customFormat="false" ht="15" hidden="false" customHeight="true" outlineLevel="0" collapsed="false">
      <c r="A15" s="131" t="str">
        <f aca="false">IF(Scoring!A15="","",Scoring!A15)</f>
        <v>CRWD</v>
      </c>
      <c r="B15" s="131" t="str">
        <f aca="false">IF(Scoring!B15="","",Scoring!B15)</f>
        <v>CrowdStrike Holdings</v>
      </c>
      <c r="C15" s="132" t="str">
        <f aca="false">IF(Scoring!AG15="","",IF(OR(Scoring!AG15="STRONG BUY",Scoring!AG15="BUY"),"PASS","FAIL"))</f>
        <v>FAIL</v>
      </c>
      <c r="D15" s="132" t="str">
        <f aca="false">IF(Scoring!AH15="","",IF(Scoring!AH15="OK","PASS","FAIL"))</f>
        <v>PASS</v>
      </c>
      <c r="E15" s="132" t="str">
        <f aca="false">IF(Scoring!AI15="","",IF(Scoring!AI15="OK","PASS","FAIL — mandatory review required"))</f>
        <v>PASS</v>
      </c>
      <c r="F15" s="132"/>
      <c r="G15" s="132"/>
      <c r="H15" s="131" t="str">
        <f aca="false">IF(OR(F15="",G15=""),"",IF(AND(F15="Y",G15="Y"),"Standard initial size","50% of normal initial size + 90-day technical review"))</f>
        <v/>
      </c>
      <c r="I15" s="132"/>
      <c r="J15" s="132"/>
      <c r="K15" s="132" t="str">
        <f aca="false">IF(I15="","",IF(I15="N","PASS",IF(J15="Y","PASS — risk documented in thesis","FAIL — undocumented binary risk")))</f>
        <v/>
      </c>
      <c r="L15" s="132" t="str">
        <f aca="false">IF('Implied-Return Calculator'!S16="","",'Implied-Return Calculator'!S16)</f>
        <v/>
      </c>
      <c r="M15" s="132" t="str">
        <f aca="false">IF('Implied-Return Calculator'!T16="","",'Implied-Return Calculator'!T16)</f>
        <v/>
      </c>
      <c r="N15" s="132" t="str">
        <f aca="false">IF('Implied-Return Calculator'!U16="","",'Implied-Return Calculator'!U16)</f>
        <v/>
      </c>
      <c r="O15" s="132"/>
      <c r="P15" s="132"/>
      <c r="Q15" s="131" t="str">
        <f aca="false">IF(OR(N15="",O15=""),"",IF(N15&lt;=50,"PASS — within ceiling",IF(AND(O15&gt;0.3,L15="PASS"),"PASS — growth+bear case exception met","FAIL — exceeds 50x, exception not met")))</f>
        <v/>
      </c>
      <c r="R15" s="131" t="str">
        <f aca="false">IF(OR(C15="",D15="",E15="",K15="",L15="",M15="",N15="",Q15=""),"",IF(AND(C15="PASS",D15="PASS",LEFT(E15,4)="PASS",LEFT(K15,4)="PASS",L15="PASS",M15="PASS",N15="OK",LEFT(Q15,4)="PASS"),"YES","NO — see failing rule(s)"))</f>
        <v/>
      </c>
      <c r="S15" s="131" t="str">
        <f aca="false">IF(R15="","",IF(R15="YES","Initiate: "&amp;H15,"DO NOT ENTER — resolve failing Entry Rule(s) above first"))</f>
        <v/>
      </c>
    </row>
    <row r="16" customFormat="false" ht="15" hidden="false" customHeight="true" outlineLevel="0" collapsed="false">
      <c r="A16" s="131" t="str">
        <f aca="false">IF(Scoring!A16="","",Scoring!A16)</f>
        <v>KLAC</v>
      </c>
      <c r="B16" s="131" t="str">
        <f aca="false">IF(Scoring!B16="","",Scoring!B16)</f>
        <v>KLA Corporation</v>
      </c>
      <c r="C16" s="132" t="str">
        <f aca="false">IF(Scoring!AG16="","",IF(OR(Scoring!AG16="STRONG BUY",Scoring!AG16="BUY"),"PASS","FAIL"))</f>
        <v>PASS</v>
      </c>
      <c r="D16" s="132" t="str">
        <f aca="false">IF(Scoring!AH16="","",IF(Scoring!AH16="OK","PASS","FAIL"))</f>
        <v>PASS</v>
      </c>
      <c r="E16" s="132" t="str">
        <f aca="false">IF(Scoring!AI16="","",IF(Scoring!AI16="OK","PASS","FAIL — mandatory review required"))</f>
        <v>PASS</v>
      </c>
      <c r="F16" s="132"/>
      <c r="G16" s="132"/>
      <c r="H16" s="131" t="str">
        <f aca="false">IF(OR(F16="",G16=""),"",IF(AND(F16="Y",G16="Y"),"Standard initial size","50% of normal initial size + 90-day technical review"))</f>
        <v/>
      </c>
      <c r="I16" s="132"/>
      <c r="J16" s="132"/>
      <c r="K16" s="132" t="str">
        <f aca="false">IF(I16="","",IF(I16="N","PASS",IF(J16="Y","PASS — risk documented in thesis","FAIL — undocumented binary risk")))</f>
        <v/>
      </c>
      <c r="L16" s="132" t="str">
        <f aca="false">IF('Implied-Return Calculator'!S17="","",'Implied-Return Calculator'!S17)</f>
        <v/>
      </c>
      <c r="M16" s="132" t="str">
        <f aca="false">IF('Implied-Return Calculator'!T17="","",'Implied-Return Calculator'!T17)</f>
        <v/>
      </c>
      <c r="N16" s="132" t="str">
        <f aca="false">IF('Implied-Return Calculator'!U17="","",'Implied-Return Calculator'!U17)</f>
        <v/>
      </c>
      <c r="O16" s="132"/>
      <c r="P16" s="132"/>
      <c r="Q16" s="131" t="str">
        <f aca="false">IF(OR(N16="",O16=""),"",IF(N16&lt;=50,"PASS — within ceiling",IF(AND(O16&gt;0.3,L16="PASS"),"PASS — growth+bear case exception met","FAIL — exceeds 50x, exception not met")))</f>
        <v/>
      </c>
      <c r="R16" s="131" t="str">
        <f aca="false">IF(OR(C16="",D16="",E16="",K16="",L16="",M16="",N16="",Q16=""),"",IF(AND(C16="PASS",D16="PASS",LEFT(E16,4)="PASS",LEFT(K16,4)="PASS",L16="PASS",M16="PASS",N16="OK",LEFT(Q16,4)="PASS"),"YES","NO — see failing rule(s)"))</f>
        <v/>
      </c>
      <c r="S16" s="131" t="str">
        <f aca="false">IF(R16="","",IF(R16="YES","Initiate: "&amp;H16,"DO NOT ENTER — resolve failing Entry Rule(s) above first"))</f>
        <v/>
      </c>
    </row>
    <row r="17" customFormat="false" ht="15" hidden="false" customHeight="true" outlineLevel="0" collapsed="false">
      <c r="A17" s="131" t="str">
        <f aca="false">IF(Scoring!A17="","",Scoring!A17)</f>
        <v>TSM</v>
      </c>
      <c r="B17" s="131" t="str">
        <f aca="false">IF(Scoring!B17="","",Scoring!B17)</f>
        <v>Taiwan Semiconductor Mfg.</v>
      </c>
      <c r="C17" s="132" t="str">
        <f aca="false">IF(Scoring!AG17="","",IF(OR(Scoring!AG17="STRONG BUY",Scoring!AG17="BUY"),"PASS","FAIL"))</f>
        <v>PASS</v>
      </c>
      <c r="D17" s="132" t="str">
        <f aca="false">IF(Scoring!AH17="","",IF(Scoring!AH17="OK","PASS","FAIL"))</f>
        <v>PASS</v>
      </c>
      <c r="E17" s="132" t="str">
        <f aca="false">IF(Scoring!AI17="","",IF(Scoring!AI17="OK","PASS","FAIL — mandatory review required"))</f>
        <v>PASS</v>
      </c>
      <c r="F17" s="132"/>
      <c r="G17" s="132"/>
      <c r="H17" s="131" t="str">
        <f aca="false">IF(OR(F17="",G17=""),"",IF(AND(F17="Y",G17="Y"),"Standard initial size","50% of normal initial size + 90-day technical review"))</f>
        <v/>
      </c>
      <c r="I17" s="132"/>
      <c r="J17" s="132"/>
      <c r="K17" s="132" t="str">
        <f aca="false">IF(I17="","",IF(I17="N","PASS",IF(J17="Y","PASS — risk documented in thesis","FAIL — undocumented binary risk")))</f>
        <v/>
      </c>
      <c r="L17" s="132" t="str">
        <f aca="false">IF('Implied-Return Calculator'!S18="","",'Implied-Return Calculator'!S18)</f>
        <v/>
      </c>
      <c r="M17" s="132" t="str">
        <f aca="false">IF('Implied-Return Calculator'!T18="","",'Implied-Return Calculator'!T18)</f>
        <v/>
      </c>
      <c r="N17" s="132" t="str">
        <f aca="false">IF('Implied-Return Calculator'!U18="","",'Implied-Return Calculator'!U18)</f>
        <v/>
      </c>
      <c r="O17" s="132"/>
      <c r="P17" s="132"/>
      <c r="Q17" s="131" t="str">
        <f aca="false">IF(OR(N17="",O17=""),"",IF(N17&lt;=50,"PASS — within ceiling",IF(AND(O17&gt;0.3,L17="PASS"),"PASS — growth+bear case exception met","FAIL — exceeds 50x, exception not met")))</f>
        <v/>
      </c>
      <c r="R17" s="131" t="str">
        <f aca="false">IF(OR(C17="",D17="",E17="",K17="",L17="",M17="",N17="",Q17=""),"",IF(AND(C17="PASS",D17="PASS",LEFT(E17,4)="PASS",LEFT(K17,4)="PASS",L17="PASS",M17="PASS",N17="OK",LEFT(Q17,4)="PASS"),"YES","NO — see failing rule(s)"))</f>
        <v/>
      </c>
      <c r="S17" s="131" t="str">
        <f aca="false">IF(R17="","",IF(R17="YES","Initiate: "&amp;H17,"DO NOT ENTER — resolve failing Entry Rule(s) above first"))</f>
        <v/>
      </c>
    </row>
    <row r="18" customFormat="false" ht="15" hidden="false" customHeight="true" outlineLevel="0" collapsed="false">
      <c r="A18" s="131" t="str">
        <f aca="false">IF(Scoring!A18="","",Scoring!A18)</f>
        <v>VRT</v>
      </c>
      <c r="B18" s="131" t="str">
        <f aca="false">IF(Scoring!B18="","",Scoring!B18)</f>
        <v>Vertiv Holdings</v>
      </c>
      <c r="C18" s="132" t="str">
        <f aca="false">IF(Scoring!AG18="","",IF(OR(Scoring!AG18="STRONG BUY",Scoring!AG18="BUY"),"PASS","FAIL"))</f>
        <v>PASS</v>
      </c>
      <c r="D18" s="132" t="str">
        <f aca="false">IF(Scoring!AH18="","",IF(Scoring!AH18="OK","PASS","FAIL"))</f>
        <v>PASS</v>
      </c>
      <c r="E18" s="132" t="str">
        <f aca="false">IF(Scoring!AI18="","",IF(Scoring!AI18="OK","PASS","FAIL — mandatory review required"))</f>
        <v>PASS</v>
      </c>
      <c r="F18" s="132"/>
      <c r="G18" s="132"/>
      <c r="H18" s="131" t="str">
        <f aca="false">IF(OR(F18="",G18=""),"",IF(AND(F18="Y",G18="Y"),"Standard initial size","50% of normal initial size + 90-day technical review"))</f>
        <v/>
      </c>
      <c r="I18" s="132"/>
      <c r="J18" s="132"/>
      <c r="K18" s="132" t="str">
        <f aca="false">IF(I18="","",IF(I18="N","PASS",IF(J18="Y","PASS — risk documented in thesis","FAIL — undocumented binary risk")))</f>
        <v/>
      </c>
      <c r="L18" s="132" t="str">
        <f aca="false">IF('Implied-Return Calculator'!S19="","",'Implied-Return Calculator'!S19)</f>
        <v/>
      </c>
      <c r="M18" s="132" t="str">
        <f aca="false">IF('Implied-Return Calculator'!T19="","",'Implied-Return Calculator'!T19)</f>
        <v/>
      </c>
      <c r="N18" s="132" t="str">
        <f aca="false">IF('Implied-Return Calculator'!U19="","",'Implied-Return Calculator'!U19)</f>
        <v/>
      </c>
      <c r="O18" s="132"/>
      <c r="P18" s="132"/>
      <c r="Q18" s="131" t="str">
        <f aca="false">IF(OR(N18="",O18=""),"",IF(N18&lt;=50,"PASS — within ceiling",IF(AND(O18&gt;0.3,L18="PASS"),"PASS — growth+bear case exception met","FAIL — exceeds 50x, exception not met")))</f>
        <v/>
      </c>
      <c r="R18" s="131" t="str">
        <f aca="false">IF(OR(C18="",D18="",E18="",K18="",L18="",M18="",N18="",Q18=""),"",IF(AND(C18="PASS",D18="PASS",LEFT(E18,4)="PASS",LEFT(K18,4)="PASS",L18="PASS",M18="PASS",N18="OK",LEFT(Q18,4)="PASS"),"YES","NO — see failing rule(s)"))</f>
        <v/>
      </c>
      <c r="S18" s="131" t="str">
        <f aca="false">IF(R18="","",IF(R18="YES","Initiate: "&amp;H18,"DO NOT ENTER — resolve failing Entry Rule(s) above first"))</f>
        <v/>
      </c>
    </row>
    <row r="19" customFormat="false" ht="15" hidden="false" customHeight="true" outlineLevel="0" collapsed="false">
      <c r="A19" s="131" t="str">
        <f aca="false">IF(Scoring!A19="","",Scoring!A19)</f>
        <v>COST</v>
      </c>
      <c r="B19" s="131" t="str">
        <f aca="false">IF(Scoring!B19="","",Scoring!B19)</f>
        <v>Costco Wholesale Corp.</v>
      </c>
      <c r="C19" s="132" t="str">
        <f aca="false">IF(Scoring!AG19="","",IF(OR(Scoring!AG19="STRONG BUY",Scoring!AG19="BUY"),"PASS","FAIL"))</f>
        <v>PASS</v>
      </c>
      <c r="D19" s="132" t="str">
        <f aca="false">IF(Scoring!AH19="","",IF(Scoring!AH19="OK","PASS","FAIL"))</f>
        <v>PASS</v>
      </c>
      <c r="E19" s="132" t="str">
        <f aca="false">IF(Scoring!AI19="","",IF(Scoring!AI19="OK","PASS","FAIL — mandatory review required"))</f>
        <v>PASS</v>
      </c>
      <c r="F19" s="132" t="s">
        <v>214</v>
      </c>
      <c r="G19" s="132" t="s">
        <v>214</v>
      </c>
      <c r="H19" s="131" t="str">
        <f aca="false">IF(OR(F19="",G19=""),"",IF(AND(F19="Y",G19="Y"),"Standard initial size","50% of normal initial size + 90-day technical review"))</f>
        <v>Standard initial size</v>
      </c>
      <c r="I19" s="132" t="s">
        <v>213</v>
      </c>
      <c r="J19" s="132"/>
      <c r="K19" s="132" t="str">
        <f aca="false">IF(I19="","",IF(I19="N","PASS",IF(J19="Y","PASS — risk documented in thesis","FAIL — undocumented binary risk")))</f>
        <v>PASS</v>
      </c>
      <c r="L19" s="132" t="str">
        <f aca="false">IF('Implied-Return Calculator'!S20="","",'Implied-Return Calculator'!S20)</f>
        <v>FAIL</v>
      </c>
      <c r="M19" s="132" t="str">
        <f aca="false">IF('Implied-Return Calculator'!T20="","",'Implied-Return Calculator'!T20)</f>
        <v>PASS</v>
      </c>
      <c r="N19" s="132" t="str">
        <f aca="false">IF('Implied-Return Calculator'!U20="","",'Implied-Return Calculator'!U20)</f>
        <v>OK</v>
      </c>
      <c r="O19" s="132" t="n">
        <v>61.48</v>
      </c>
      <c r="P19" s="132" t="n">
        <v>0.07</v>
      </c>
      <c r="Q19" s="131" t="str">
        <f aca="false">IF(OR(N19="",O19=""),"",IF(N19&lt;=50,"PASS — within ceiling",IF(AND(O19&gt;0.3,L19="PASS"),"PASS — growth+bear case exception met","FAIL — exceeds 50x, exception not met")))</f>
        <v>FAIL — exceeds 50x, exception not met</v>
      </c>
      <c r="R19" s="131" t="str">
        <f aca="false">IF(OR(C19="",D19="",E19="",K19="",L19="",M19="",N19="",Q19=""),"",IF(AND(C19="PASS",D19="PASS",LEFT(E19,4)="PASS",LEFT(K19,4)="PASS",L19="PASS",M19="PASS",N19="OK",LEFT(Q19,4)="PASS"),"YES","NO — see failing rule(s)"))</f>
        <v>NO — see failing rule(s)</v>
      </c>
      <c r="S19" s="131" t="str">
        <f aca="false">IF(R19="","",IF(R19="YES","Initiate: "&amp;H19,"DO NOT ENTER — resolve failing Entry Rule(s) above first"))</f>
        <v>DO NOT ENTER — resolve failing Entry Rule(s) above first</v>
      </c>
    </row>
    <row r="20" customFormat="false" ht="15" hidden="false" customHeight="true" outlineLevel="0" collapsed="false">
      <c r="A20" s="131" t="str">
        <f aca="false">IF(Scoring!A20="","",Scoring!A20)</f>
        <v>V</v>
      </c>
      <c r="B20" s="131" t="str">
        <f aca="false">IF(Scoring!B20="","",Scoring!B20)</f>
        <v>Visa Inc.</v>
      </c>
      <c r="C20" s="132" t="str">
        <f aca="false">IF(Scoring!AG20="","",IF(OR(Scoring!AG20="STRONG BUY",Scoring!AG20="BUY"),"PASS","FAIL"))</f>
        <v>PASS</v>
      </c>
      <c r="D20" s="132" t="str">
        <f aca="false">IF(Scoring!AH20="","",IF(Scoring!AH20="OK","PASS","FAIL"))</f>
        <v>PASS</v>
      </c>
      <c r="E20" s="132" t="str">
        <f aca="false">IF(Scoring!AI20="","",IF(Scoring!AI20="OK","PASS","FAIL — mandatory review required"))</f>
        <v>PASS</v>
      </c>
      <c r="F20" s="132" t="s">
        <v>214</v>
      </c>
      <c r="G20" s="132" t="s">
        <v>214</v>
      </c>
      <c r="H20" s="131" t="str">
        <f aca="false">IF(OR(F20="",G20=""),"",IF(AND(F20="Y",G20="Y"),"Standard initial size","50% of normal initial size + 90-day technical review"))</f>
        <v>Standard initial size</v>
      </c>
      <c r="I20" s="132" t="s">
        <v>214</v>
      </c>
      <c r="J20" s="132" t="s">
        <v>214</v>
      </c>
      <c r="K20" s="132" t="str">
        <f aca="false">IF(I20="","",IF(I20="N","PASS",IF(J20="Y","PASS — risk documented in thesis","FAIL — undocumented binary risk")))</f>
        <v>PASS — risk documented in thesis</v>
      </c>
      <c r="L20" s="132" t="str">
        <f aca="false">IF('Implied-Return Calculator'!S21="","",'Implied-Return Calculator'!S21)</f>
        <v>PASS</v>
      </c>
      <c r="M20" s="132" t="str">
        <f aca="false">IF('Implied-Return Calculator'!T21="","",'Implied-Return Calculator'!T21)</f>
        <v>PASS</v>
      </c>
      <c r="N20" s="132" t="str">
        <f aca="false">IF('Implied-Return Calculator'!U21="","",'Implied-Return Calculator'!U21)</f>
        <v>OK</v>
      </c>
      <c r="O20" s="132" t="n">
        <v>34.36</v>
      </c>
      <c r="P20" s="132" t="n">
        <v>0.11</v>
      </c>
      <c r="Q20" s="131" t="str">
        <f aca="false">IF(OR(N20="",O20=""),"",IF(N20&lt;=50,"PASS — within ceiling",IF(AND(O20&gt;0.3,L20="PASS"),"PASS — growth+bear case exception met","FAIL — exceeds 50x, exception not met")))</f>
        <v>PASS — growth+bear case exception met</v>
      </c>
      <c r="R20" s="131" t="str">
        <f aca="false">IF(OR(C20="",D20="",E20="",K20="",L20="",M20="",N20="",Q20=""),"",IF(AND(C20="PASS",D20="PASS",LEFT(E20,4)="PASS",LEFT(K20,4)="PASS",L20="PASS",M20="PASS",N20="OK",LEFT(Q20,4)="PASS"),"YES","NO — see failing rule(s)"))</f>
        <v>YES</v>
      </c>
      <c r="S20" s="131" t="str">
        <f aca="false">IF(R20="","",IF(R20="YES","Initiate: "&amp;H20,"DO NOT ENTER — resolve failing Entry Rule(s) above first"))</f>
        <v>Initiate: Standard initial size</v>
      </c>
    </row>
    <row r="21" customFormat="false" ht="15" hidden="false" customHeight="true" outlineLevel="0" collapsed="false">
      <c r="A21" s="131" t="str">
        <f aca="false">IF(Scoring!A21="","",Scoring!A21)</f>
        <v>NEE</v>
      </c>
      <c r="B21" s="131" t="str">
        <f aca="false">IF(Scoring!B21="","",Scoring!B21)</f>
        <v>NextEra Energy Inc.</v>
      </c>
      <c r="C21" s="132" t="str">
        <f aca="false">IF(Scoring!AG21="","",IF(OR(Scoring!AG21="STRONG BUY",Scoring!AG21="BUY"),"PASS","FAIL"))</f>
        <v/>
      </c>
      <c r="D21" s="132" t="str">
        <f aca="false">IF(Scoring!AH21="","",IF(Scoring!AH21="OK","PASS","FAIL"))</f>
        <v>FAIL</v>
      </c>
      <c r="E21" s="132" t="str">
        <f aca="false">IF(Scoring!AI21="","",IF(Scoring!AI21="OK","PASS","FAIL — mandatory review required"))</f>
        <v>FAIL — mandatory review required</v>
      </c>
      <c r="F21" s="132"/>
      <c r="G21" s="132"/>
      <c r="H21" s="131" t="str">
        <f aca="false">IF(OR(F21="",G21=""),"",IF(AND(F21="Y",G21="Y"),"Standard initial size","50% of normal initial size + 90-day technical review"))</f>
        <v/>
      </c>
      <c r="I21" s="132"/>
      <c r="J21" s="132"/>
      <c r="K21" s="132" t="str">
        <f aca="false">IF(I21="","",IF(I21="N","PASS",IF(J21="Y","PASS — risk documented in thesis","FAIL — undocumented binary risk")))</f>
        <v/>
      </c>
      <c r="L21" s="132" t="str">
        <f aca="false">IF('Implied-Return Calculator'!S22="","",'Implied-Return Calculator'!S22)</f>
        <v/>
      </c>
      <c r="M21" s="132" t="str">
        <f aca="false">IF('Implied-Return Calculator'!T22="","",'Implied-Return Calculator'!T22)</f>
        <v/>
      </c>
      <c r="N21" s="132" t="str">
        <f aca="false">IF('Implied-Return Calculator'!U22="","",'Implied-Return Calculator'!U22)</f>
        <v/>
      </c>
      <c r="O21" s="132"/>
      <c r="P21" s="132"/>
      <c r="Q21" s="131" t="str">
        <f aca="false">IF(OR(N21="",O21=""),"",IF(N21&lt;=50,"PASS — within ceiling",IF(AND(O21&gt;0.3,L21="PASS"),"PASS — growth+bear case exception met","FAIL — exceeds 50x, exception not met")))</f>
        <v/>
      </c>
      <c r="R21" s="131" t="str">
        <f aca="false">IF(OR(C21="",D21="",E21="",K21="",L21="",M21="",N21="",Q21=""),"",IF(AND(C21="PASS",D21="PASS",LEFT(E21,4)="PASS",LEFT(K21,4)="PASS",L21="PASS",M21="PASS",N21="OK",LEFT(Q21,4)="PASS"),"YES","NO — see failing rule(s)"))</f>
        <v/>
      </c>
      <c r="S21" s="131" t="str">
        <f aca="false">IF(R21="","",IF(R21="YES","Initiate: "&amp;H21,"DO NOT ENTER — resolve failing Entry Rule(s) above first"))</f>
        <v/>
      </c>
    </row>
    <row r="22" customFormat="false" ht="15" hidden="false" customHeight="true" outlineLevel="0" collapsed="false">
      <c r="A22" s="131" t="str">
        <f aca="false">IF(Scoring!A22="","",Scoring!A22)</f>
        <v>CRK</v>
      </c>
      <c r="B22" s="131" t="str">
        <f aca="false">IF(Scoring!B22="","",Scoring!B22)</f>
        <v>Comstock Resources Inc.</v>
      </c>
      <c r="C22" s="132" t="str">
        <f aca="false">IF(Scoring!AG22="","",IF(OR(Scoring!AG22="STRONG BUY",Scoring!AG22="BUY"),"PASS","FAIL"))</f>
        <v/>
      </c>
      <c r="D22" s="132" t="str">
        <f aca="false">IF(Scoring!AH22="","",IF(Scoring!AH22="OK","PASS","FAIL"))</f>
        <v>FAIL</v>
      </c>
      <c r="E22" s="132" t="str">
        <f aca="false">IF(Scoring!AI22="","",IF(Scoring!AI22="OK","PASS","FAIL — mandatory review required"))</f>
        <v>FAIL — mandatory review required</v>
      </c>
      <c r="F22" s="132"/>
      <c r="G22" s="132"/>
      <c r="H22" s="131" t="str">
        <f aca="false">IF(OR(F22="",G22=""),"",IF(AND(F22="Y",G22="Y"),"Standard initial size","50% of normal initial size + 90-day technical review"))</f>
        <v/>
      </c>
      <c r="I22" s="132"/>
      <c r="J22" s="132"/>
      <c r="K22" s="132" t="str">
        <f aca="false">IF(I22="","",IF(I22="N","PASS",IF(J22="Y","PASS — risk documented in thesis","FAIL — undocumented binary risk")))</f>
        <v/>
      </c>
      <c r="L22" s="132" t="str">
        <f aca="false">IF('Implied-Return Calculator'!S23="","",'Implied-Return Calculator'!S23)</f>
        <v/>
      </c>
      <c r="M22" s="132" t="str">
        <f aca="false">IF('Implied-Return Calculator'!T23="","",'Implied-Return Calculator'!T23)</f>
        <v/>
      </c>
      <c r="N22" s="132" t="str">
        <f aca="false">IF('Implied-Return Calculator'!U23="","",'Implied-Return Calculator'!U23)</f>
        <v/>
      </c>
      <c r="O22" s="132"/>
      <c r="P22" s="132"/>
      <c r="Q22" s="131" t="str">
        <f aca="false">IF(OR(N22="",O22=""),"",IF(N22&lt;=50,"PASS — within ceiling",IF(AND(O22&gt;0.3,L22="PASS"),"PASS — growth+bear case exception met","FAIL — exceeds 50x, exception not met")))</f>
        <v/>
      </c>
      <c r="R22" s="131" t="str">
        <f aca="false">IF(OR(C22="",D22="",E22="",K22="",L22="",M22="",N22="",Q22=""),"",IF(AND(C22="PASS",D22="PASS",LEFT(E22,4)="PASS",LEFT(K22,4)="PASS",L22="PASS",M22="PASS",N22="OK",LEFT(Q22,4)="PASS"),"YES","NO — see failing rule(s)"))</f>
        <v/>
      </c>
      <c r="S22" s="131" t="str">
        <f aca="false">IF(R22="","",IF(R22="YES","Initiate: "&amp;H22,"DO NOT ENTER — resolve failing Entry Rule(s) above first"))</f>
        <v/>
      </c>
    </row>
    <row r="23" customFormat="false" ht="15" hidden="false" customHeight="true" outlineLevel="0" collapsed="false">
      <c r="A23" s="131" t="str">
        <f aca="false">IF(Scoring!A23="","",Scoring!A23)</f>
        <v>ET</v>
      </c>
      <c r="B23" s="131" t="str">
        <f aca="false">IF(Scoring!B23="","",Scoring!B23)</f>
        <v>Energy Transfer LP</v>
      </c>
      <c r="C23" s="132" t="str">
        <f aca="false">IF(Scoring!AG23="","",IF(OR(Scoring!AG23="STRONG BUY",Scoring!AG23="BUY"),"PASS","FAIL"))</f>
        <v/>
      </c>
      <c r="D23" s="132" t="str">
        <f aca="false">IF(Scoring!AH23="","",IF(Scoring!AH23="OK","PASS","FAIL"))</f>
        <v>PASS</v>
      </c>
      <c r="E23" s="132" t="str">
        <f aca="false">IF(Scoring!AI23="","",IF(Scoring!AI23="OK","PASS","FAIL — mandatory review required"))</f>
        <v>FAIL — mandatory review required</v>
      </c>
      <c r="F23" s="132"/>
      <c r="G23" s="132"/>
      <c r="H23" s="131" t="str">
        <f aca="false">IF(OR(F23="",G23=""),"",IF(AND(F23="Y",G23="Y"),"Standard initial size","50% of normal initial size + 90-day technical review"))</f>
        <v/>
      </c>
      <c r="I23" s="132"/>
      <c r="J23" s="132"/>
      <c r="K23" s="132" t="str">
        <f aca="false">IF(I23="","",IF(I23="N","PASS",IF(J23="Y","PASS — risk documented in thesis","FAIL — undocumented binary risk")))</f>
        <v/>
      </c>
      <c r="L23" s="132" t="str">
        <f aca="false">IF('Implied-Return Calculator'!S24="","",'Implied-Return Calculator'!S24)</f>
        <v/>
      </c>
      <c r="M23" s="132" t="str">
        <f aca="false">IF('Implied-Return Calculator'!T24="","",'Implied-Return Calculator'!T24)</f>
        <v/>
      </c>
      <c r="N23" s="132" t="str">
        <f aca="false">IF('Implied-Return Calculator'!U24="","",'Implied-Return Calculator'!U24)</f>
        <v/>
      </c>
      <c r="O23" s="132"/>
      <c r="P23" s="132"/>
      <c r="Q23" s="131" t="str">
        <f aca="false">IF(OR(N23="",O23=""),"",IF(N23&lt;=50,"PASS — within ceiling",IF(AND(O23&gt;0.3,L23="PASS"),"PASS — growth+bear case exception met","FAIL — exceeds 50x, exception not met")))</f>
        <v/>
      </c>
      <c r="R23" s="131" t="str">
        <f aca="false">IF(OR(C23="",D23="",E23="",K23="",L23="",M23="",N23="",Q23=""),"",IF(AND(C23="PASS",D23="PASS",LEFT(E23,4)="PASS",LEFT(K23,4)="PASS",L23="PASS",M23="PASS",N23="OK",LEFT(Q23,4)="PASS"),"YES","NO — see failing rule(s)"))</f>
        <v/>
      </c>
      <c r="S23" s="131" t="str">
        <f aca="false">IF(R23="","",IF(R23="YES","Initiate: "&amp;H23,"DO NOT ENTER — resolve failing Entry Rule(s) above first"))</f>
        <v/>
      </c>
    </row>
    <row r="24" customFormat="false" ht="15" hidden="false" customHeight="true" outlineLevel="0" collapsed="false">
      <c r="A24" s="131" t="str">
        <f aca="false">IF(Scoring!A24="","",Scoring!A24)</f>
        <v>LBRT</v>
      </c>
      <c r="B24" s="131" t="str">
        <f aca="false">IF(Scoring!B24="","",Scoring!B24)</f>
        <v>Liberty Energy Inc.</v>
      </c>
      <c r="C24" s="132" t="str">
        <f aca="false">IF(Scoring!AG24="","",IF(OR(Scoring!AG24="STRONG BUY",Scoring!AG24="BUY"),"PASS","FAIL"))</f>
        <v/>
      </c>
      <c r="D24" s="132" t="str">
        <f aca="false">IF(Scoring!AH24="","",IF(Scoring!AH24="OK","PASS","FAIL"))</f>
        <v>FAIL</v>
      </c>
      <c r="E24" s="132" t="str">
        <f aca="false">IF(Scoring!AI24="","",IF(Scoring!AI24="OK","PASS","FAIL — mandatory review required"))</f>
        <v>FAIL — mandatory review required</v>
      </c>
      <c r="F24" s="132"/>
      <c r="G24" s="132"/>
      <c r="H24" s="131" t="str">
        <f aca="false">IF(OR(F24="",G24=""),"",IF(AND(F24="Y",G24="Y"),"Standard initial size","50% of normal initial size + 90-day technical review"))</f>
        <v/>
      </c>
      <c r="I24" s="132"/>
      <c r="J24" s="132"/>
      <c r="K24" s="132" t="str">
        <f aca="false">IF(I24="","",IF(I24="N","PASS",IF(J24="Y","PASS — risk documented in thesis","FAIL — undocumented binary risk")))</f>
        <v/>
      </c>
      <c r="L24" s="132" t="str">
        <f aca="false">IF('Implied-Return Calculator'!S25="","",'Implied-Return Calculator'!S25)</f>
        <v/>
      </c>
      <c r="M24" s="132" t="str">
        <f aca="false">IF('Implied-Return Calculator'!T25="","",'Implied-Return Calculator'!T25)</f>
        <v/>
      </c>
      <c r="N24" s="132" t="str">
        <f aca="false">IF('Implied-Return Calculator'!U25="","",'Implied-Return Calculator'!U25)</f>
        <v/>
      </c>
      <c r="O24" s="132"/>
      <c r="P24" s="132"/>
      <c r="Q24" s="131" t="str">
        <f aca="false">IF(OR(N24="",O24=""),"",IF(N24&lt;=50,"PASS — within ceiling",IF(AND(O24&gt;0.3,L24="PASS"),"PASS — growth+bear case exception met","FAIL — exceeds 50x, exception not met")))</f>
        <v/>
      </c>
      <c r="R24" s="131" t="str">
        <f aca="false">IF(OR(C24="",D24="",E24="",K24="",L24="",M24="",N24="",Q24=""),"",IF(AND(C24="PASS",D24="PASS",LEFT(E24,4)="PASS",LEFT(K24,4)="PASS",L24="PASS",M24="PASS",N24="OK",LEFT(Q24,4)="PASS"),"YES","NO — see failing rule(s)"))</f>
        <v/>
      </c>
      <c r="S24" s="131" t="str">
        <f aca="false">IF(R24="","",IF(R24="YES","Initiate: "&amp;H24,"DO NOT ENTER — resolve failing Entry Rule(s) above first"))</f>
        <v/>
      </c>
    </row>
    <row r="25" customFormat="false" ht="15" hidden="false" customHeight="true" outlineLevel="0" collapsed="false">
      <c r="A25" s="131" t="str">
        <f aca="false">IF(Scoring!A25="","",Scoring!A25)</f>
        <v>NOV</v>
      </c>
      <c r="B25" s="131" t="str">
        <f aca="false">IF(Scoring!B25="","",Scoring!B25)</f>
        <v>NOV Inc.</v>
      </c>
      <c r="C25" s="132" t="str">
        <f aca="false">IF(Scoring!AG25="","",IF(OR(Scoring!AG25="STRONG BUY",Scoring!AG25="BUY"),"PASS","FAIL"))</f>
        <v/>
      </c>
      <c r="D25" s="132" t="str">
        <f aca="false">IF(Scoring!AH25="","",IF(Scoring!AH25="OK","PASS","FAIL"))</f>
        <v>FAIL</v>
      </c>
      <c r="E25" s="132" t="str">
        <f aca="false">IF(Scoring!AI25="","",IF(Scoring!AI25="OK","PASS","FAIL — mandatory review required"))</f>
        <v>PASS</v>
      </c>
      <c r="F25" s="132"/>
      <c r="G25" s="132"/>
      <c r="H25" s="131" t="str">
        <f aca="false">IF(OR(F25="",G25=""),"",IF(AND(F25="Y",G25="Y"),"Standard initial size","50% of normal initial size + 90-day technical review"))</f>
        <v/>
      </c>
      <c r="I25" s="132"/>
      <c r="J25" s="132"/>
      <c r="K25" s="132" t="str">
        <f aca="false">IF(I25="","",IF(I25="N","PASS",IF(J25="Y","PASS — risk documented in thesis","FAIL — undocumented binary risk")))</f>
        <v/>
      </c>
      <c r="L25" s="132" t="str">
        <f aca="false">IF('Implied-Return Calculator'!S26="","",'Implied-Return Calculator'!S26)</f>
        <v/>
      </c>
      <c r="M25" s="132" t="str">
        <f aca="false">IF('Implied-Return Calculator'!T26="","",'Implied-Return Calculator'!T26)</f>
        <v/>
      </c>
      <c r="N25" s="132" t="str">
        <f aca="false">IF('Implied-Return Calculator'!U26="","",'Implied-Return Calculator'!U26)</f>
        <v/>
      </c>
      <c r="O25" s="132"/>
      <c r="P25" s="132"/>
      <c r="Q25" s="131" t="str">
        <f aca="false">IF(OR(N25="",O25=""),"",IF(N25&lt;=50,"PASS — within ceiling",IF(AND(O25&gt;0.3,L25="PASS"),"PASS — growth+bear case exception met","FAIL — exceeds 50x, exception not met")))</f>
        <v/>
      </c>
      <c r="R25" s="131" t="str">
        <f aca="false">IF(OR(C25="",D25="",E25="",K25="",L25="",M25="",N25="",Q25=""),"",IF(AND(C25="PASS",D25="PASS",LEFT(E25,4)="PASS",LEFT(K25,4)="PASS",L25="PASS",M25="PASS",N25="OK",LEFT(Q25,4)="PASS"),"YES","NO — see failing rule(s)"))</f>
        <v/>
      </c>
      <c r="S25" s="131" t="str">
        <f aca="false">IF(R25="","",IF(R25="YES","Initiate: "&amp;H25,"DO NOT ENTER — resolve failing Entry Rule(s) above first"))</f>
        <v/>
      </c>
    </row>
    <row r="26" customFormat="false" ht="15" hidden="false" customHeight="true" outlineLevel="0" collapsed="false">
      <c r="A26" s="131" t="str">
        <f aca="false">IF(Scoring!A26="","",Scoring!A26)</f>
        <v>CE</v>
      </c>
      <c r="B26" s="131" t="str">
        <f aca="false">IF(Scoring!B26="","",Scoring!B26)</f>
        <v>Celanese Corp.</v>
      </c>
      <c r="C26" s="132" t="str">
        <f aca="false">IF(Scoring!AG26="","",IF(OR(Scoring!AG26="STRONG BUY",Scoring!AG26="BUY"),"PASS","FAIL"))</f>
        <v/>
      </c>
      <c r="D26" s="132" t="str">
        <f aca="false">IF(Scoring!AH26="","",IF(Scoring!AH26="OK","PASS","FAIL"))</f>
        <v>FAIL</v>
      </c>
      <c r="E26" s="132" t="str">
        <f aca="false">IF(Scoring!AI26="","",IF(Scoring!AI26="OK","PASS","FAIL — mandatory review required"))</f>
        <v>FAIL — mandatory review required</v>
      </c>
      <c r="F26" s="132"/>
      <c r="G26" s="132"/>
      <c r="H26" s="131" t="str">
        <f aca="false">IF(OR(F26="",G26=""),"",IF(AND(F26="Y",G26="Y"),"Standard initial size","50% of normal initial size + 90-day technical review"))</f>
        <v/>
      </c>
      <c r="I26" s="132"/>
      <c r="J26" s="132"/>
      <c r="K26" s="132" t="str">
        <f aca="false">IF(I26="","",IF(I26="N","PASS",IF(J26="Y","PASS — risk documented in thesis","FAIL — undocumented binary risk")))</f>
        <v/>
      </c>
      <c r="L26" s="132" t="str">
        <f aca="false">IF('Implied-Return Calculator'!S27="","",'Implied-Return Calculator'!S27)</f>
        <v/>
      </c>
      <c r="M26" s="132" t="str">
        <f aca="false">IF('Implied-Return Calculator'!T27="","",'Implied-Return Calculator'!T27)</f>
        <v/>
      </c>
      <c r="N26" s="132" t="str">
        <f aca="false">IF('Implied-Return Calculator'!U27="","",'Implied-Return Calculator'!U27)</f>
        <v/>
      </c>
      <c r="O26" s="132"/>
      <c r="P26" s="132"/>
      <c r="Q26" s="131" t="str">
        <f aca="false">IF(OR(N26="",O26=""),"",IF(N26&lt;=50,"PASS — within ceiling",IF(AND(O26&gt;0.3,L26="PASS"),"PASS — growth+bear case exception met","FAIL — exceeds 50x, exception not met")))</f>
        <v/>
      </c>
      <c r="R26" s="131" t="str">
        <f aca="false">IF(OR(C26="",D26="",E26="",K26="",L26="",M26="",N26="",Q26=""),"",IF(AND(C26="PASS",D26="PASS",LEFT(E26,4)="PASS",LEFT(K26,4)="PASS",L26="PASS",M26="PASS",N26="OK",LEFT(Q26,4)="PASS"),"YES","NO — see failing rule(s)"))</f>
        <v/>
      </c>
      <c r="S26" s="131" t="str">
        <f aca="false">IF(R26="","",IF(R26="YES","Initiate: "&amp;H26,"DO NOT ENTER — resolve failing Entry Rule(s) above first"))</f>
        <v/>
      </c>
    </row>
    <row r="27" customFormat="false" ht="15" hidden="false" customHeight="true" outlineLevel="0" collapsed="false">
      <c r="A27" s="131" t="str">
        <f aca="false">IF(Scoring!A27="","",Scoring!A27)</f>
        <v>CLF</v>
      </c>
      <c r="B27" s="131" t="str">
        <f aca="false">IF(Scoring!B27="","",Scoring!B27)</f>
        <v>Cleveland-Cliffs Inc.</v>
      </c>
      <c r="C27" s="132" t="str">
        <f aca="false">IF(Scoring!AG27="","",IF(OR(Scoring!AG27="STRONG BUY",Scoring!AG27="BUY"),"PASS","FAIL"))</f>
        <v/>
      </c>
      <c r="D27" s="132" t="str">
        <f aca="false">IF(Scoring!AH27="","",IF(Scoring!AH27="OK","PASS","FAIL"))</f>
        <v>FAIL</v>
      </c>
      <c r="E27" s="132" t="str">
        <f aca="false">IF(Scoring!AI27="","",IF(Scoring!AI27="OK","PASS","FAIL — mandatory review required"))</f>
        <v>FAIL — mandatory review required</v>
      </c>
      <c r="F27" s="132"/>
      <c r="G27" s="132"/>
      <c r="H27" s="131" t="str">
        <f aca="false">IF(OR(F27="",G27=""),"",IF(AND(F27="Y",G27="Y"),"Standard initial size","50% of normal initial size + 90-day technical review"))</f>
        <v/>
      </c>
      <c r="I27" s="132"/>
      <c r="J27" s="132"/>
      <c r="K27" s="132" t="str">
        <f aca="false">IF(I27="","",IF(I27="N","PASS",IF(J27="Y","PASS — risk documented in thesis","FAIL — undocumented binary risk")))</f>
        <v/>
      </c>
      <c r="L27" s="132" t="str">
        <f aca="false">IF('Implied-Return Calculator'!S28="","",'Implied-Return Calculator'!S28)</f>
        <v/>
      </c>
      <c r="M27" s="132" t="str">
        <f aca="false">IF('Implied-Return Calculator'!T28="","",'Implied-Return Calculator'!T28)</f>
        <v/>
      </c>
      <c r="N27" s="132" t="str">
        <f aca="false">IF('Implied-Return Calculator'!U28="","",'Implied-Return Calculator'!U28)</f>
        <v/>
      </c>
      <c r="O27" s="132"/>
      <c r="P27" s="132"/>
      <c r="Q27" s="131" t="str">
        <f aca="false">IF(OR(N27="",O27=""),"",IF(N27&lt;=50,"PASS — within ceiling",IF(AND(O27&gt;0.3,L27="PASS"),"PASS — growth+bear case exception met","FAIL — exceeds 50x, exception not met")))</f>
        <v/>
      </c>
      <c r="R27" s="131" t="str">
        <f aca="false">IF(OR(C27="",D27="",E27="",K27="",L27="",M27="",N27="",Q27=""),"",IF(AND(C27="PASS",D27="PASS",LEFT(E27,4)="PASS",LEFT(K27,4)="PASS",L27="PASS",M27="PASS",N27="OK",LEFT(Q27,4)="PASS"),"YES","NO — see failing rule(s)"))</f>
        <v/>
      </c>
      <c r="S27" s="131" t="str">
        <f aca="false">IF(R27="","",IF(R27="YES","Initiate: "&amp;H27,"DO NOT ENTER — resolve failing Entry Rule(s) above first"))</f>
        <v/>
      </c>
    </row>
    <row r="28" customFormat="false" ht="15" hidden="false" customHeight="true" outlineLevel="0" collapsed="false">
      <c r="A28" s="131" t="str">
        <f aca="false">IF(Scoring!A28="","",Scoring!A28)</f>
        <v>LIN</v>
      </c>
      <c r="B28" s="131" t="str">
        <f aca="false">IF(Scoring!B28="","",Scoring!B28)</f>
        <v>Linde plc</v>
      </c>
      <c r="C28" s="132" t="str">
        <f aca="false">IF(Scoring!AG28="","",IF(OR(Scoring!AG28="STRONG BUY",Scoring!AG28="BUY"),"PASS","FAIL"))</f>
        <v/>
      </c>
      <c r="D28" s="132" t="str">
        <f aca="false">IF(Scoring!AH28="","",IF(Scoring!AH28="OK","PASS","FAIL"))</f>
        <v>PASS</v>
      </c>
      <c r="E28" s="132" t="str">
        <f aca="false">IF(Scoring!AI28="","",IF(Scoring!AI28="OK","PASS","FAIL — mandatory review required"))</f>
        <v>PASS</v>
      </c>
      <c r="F28" s="132"/>
      <c r="G28" s="132"/>
      <c r="H28" s="131" t="str">
        <f aca="false">IF(OR(F28="",G28=""),"",IF(AND(F28="Y",G28="Y"),"Standard initial size","50% of normal initial size + 90-day technical review"))</f>
        <v/>
      </c>
      <c r="I28" s="132"/>
      <c r="J28" s="132"/>
      <c r="K28" s="132" t="str">
        <f aca="false">IF(I28="","",IF(I28="N","PASS",IF(J28="Y","PASS — risk documented in thesis","FAIL — undocumented binary risk")))</f>
        <v/>
      </c>
      <c r="L28" s="132" t="str">
        <f aca="false">IF('Implied-Return Calculator'!S29="","",'Implied-Return Calculator'!S29)</f>
        <v/>
      </c>
      <c r="M28" s="132" t="str">
        <f aca="false">IF('Implied-Return Calculator'!T29="","",'Implied-Return Calculator'!T29)</f>
        <v/>
      </c>
      <c r="N28" s="132" t="str">
        <f aca="false">IF('Implied-Return Calculator'!U29="","",'Implied-Return Calculator'!U29)</f>
        <v/>
      </c>
      <c r="O28" s="132"/>
      <c r="P28" s="132"/>
      <c r="Q28" s="131" t="str">
        <f aca="false">IF(OR(N28="",O28=""),"",IF(N28&lt;=50,"PASS — within ceiling",IF(AND(O28&gt;0.3,L28="PASS"),"PASS — growth+bear case exception met","FAIL — exceeds 50x, exception not met")))</f>
        <v/>
      </c>
      <c r="R28" s="131" t="str">
        <f aca="false">IF(OR(C28="",D28="",E28="",K28="",L28="",M28="",N28="",Q28=""),"",IF(AND(C28="PASS",D28="PASS",LEFT(E28,4)="PASS",LEFT(K28,4)="PASS",L28="PASS",M28="PASS",N28="OK",LEFT(Q28,4)="PASS"),"YES","NO — see failing rule(s)"))</f>
        <v/>
      </c>
      <c r="S28" s="131" t="str">
        <f aca="false">IF(R28="","",IF(R28="YES","Initiate: "&amp;H28,"DO NOT ENTER — resolve failing Entry Rule(s) above first"))</f>
        <v/>
      </c>
    </row>
    <row r="29" customFormat="false" ht="15" hidden="false" customHeight="true" outlineLevel="0" collapsed="false">
      <c r="A29" s="131" t="str">
        <f aca="false">IF(Scoring!A29="","",Scoring!A29)</f>
        <v>DEO</v>
      </c>
      <c r="B29" s="131" t="str">
        <f aca="false">IF(Scoring!B29="","",Scoring!B29)</f>
        <v>Diageo plc</v>
      </c>
      <c r="C29" s="132" t="str">
        <f aca="false">IF(Scoring!AG29="","",IF(OR(Scoring!AG29="STRONG BUY",Scoring!AG29="BUY"),"PASS","FAIL"))</f>
        <v/>
      </c>
      <c r="D29" s="132" t="str">
        <f aca="false">IF(Scoring!AH29="","",IF(Scoring!AH29="OK","PASS","FAIL"))</f>
        <v>FAIL</v>
      </c>
      <c r="E29" s="132" t="str">
        <f aca="false">IF(Scoring!AI29="","",IF(Scoring!AI29="OK","PASS","FAIL — mandatory review required"))</f>
        <v>PASS</v>
      </c>
      <c r="F29" s="132"/>
      <c r="G29" s="132"/>
      <c r="H29" s="131" t="str">
        <f aca="false">IF(OR(F29="",G29=""),"",IF(AND(F29="Y",G29="Y"),"Standard initial size","50% of normal initial size + 90-day technical review"))</f>
        <v/>
      </c>
      <c r="I29" s="132"/>
      <c r="J29" s="132"/>
      <c r="K29" s="132" t="str">
        <f aca="false">IF(I29="","",IF(I29="N","PASS",IF(J29="Y","PASS — risk documented in thesis","FAIL — undocumented binary risk")))</f>
        <v/>
      </c>
      <c r="L29" s="132" t="str">
        <f aca="false">IF('Implied-Return Calculator'!S30="","",'Implied-Return Calculator'!S30)</f>
        <v/>
      </c>
      <c r="M29" s="132" t="str">
        <f aca="false">IF('Implied-Return Calculator'!T30="","",'Implied-Return Calculator'!T30)</f>
        <v/>
      </c>
      <c r="N29" s="132" t="str">
        <f aca="false">IF('Implied-Return Calculator'!U30="","",'Implied-Return Calculator'!U30)</f>
        <v/>
      </c>
      <c r="O29" s="132"/>
      <c r="P29" s="132"/>
      <c r="Q29" s="131" t="str">
        <f aca="false">IF(OR(N29="",O29=""),"",IF(N29&lt;=50,"PASS — within ceiling",IF(AND(O29&gt;0.3,L29="PASS"),"PASS — growth+bear case exception met","FAIL — exceeds 50x, exception not met")))</f>
        <v/>
      </c>
      <c r="R29" s="131" t="str">
        <f aca="false">IF(OR(C29="",D29="",E29="",K29="",L29="",M29="",N29="",Q29=""),"",IF(AND(C29="PASS",D29="PASS",LEFT(E29,4)="PASS",LEFT(K29,4)="PASS",L29="PASS",M29="PASS",N29="OK",LEFT(Q29,4)="PASS"),"YES","NO — see failing rule(s)"))</f>
        <v/>
      </c>
      <c r="S29" s="131" t="str">
        <f aca="false">IF(R29="","",IF(R29="YES","Initiate: "&amp;H29,"DO NOT ENTER — resolve failing Entry Rule(s) above first"))</f>
        <v/>
      </c>
    </row>
    <row r="30" customFormat="false" ht="15" hidden="false" customHeight="true" outlineLevel="0" collapsed="false">
      <c r="A30" s="131" t="str">
        <f aca="false">IF(Scoring!A30="","",Scoring!A30)</f>
        <v>EL</v>
      </c>
      <c r="B30" s="131" t="str">
        <f aca="false">IF(Scoring!B30="","",Scoring!B30)</f>
        <v>Estee Lauder Companies</v>
      </c>
      <c r="C30" s="132" t="str">
        <f aca="false">IF(Scoring!AG30="","",IF(OR(Scoring!AG30="STRONG BUY",Scoring!AG30="BUY"),"PASS","FAIL"))</f>
        <v/>
      </c>
      <c r="D30" s="132" t="str">
        <f aca="false">IF(Scoring!AH30="","",IF(Scoring!AH30="OK","PASS","FAIL"))</f>
        <v>FAIL</v>
      </c>
      <c r="E30" s="132" t="str">
        <f aca="false">IF(Scoring!AI30="","",IF(Scoring!AI30="OK","PASS","FAIL — mandatory review required"))</f>
        <v>FAIL — mandatory review required</v>
      </c>
      <c r="F30" s="132"/>
      <c r="G30" s="132"/>
      <c r="H30" s="131" t="str">
        <f aca="false">IF(OR(F30="",G30=""),"",IF(AND(F30="Y",G30="Y"),"Standard initial size","50% of normal initial size + 90-day technical review"))</f>
        <v/>
      </c>
      <c r="I30" s="132"/>
      <c r="J30" s="132"/>
      <c r="K30" s="132" t="str">
        <f aca="false">IF(I30="","",IF(I30="N","PASS",IF(J30="Y","PASS — risk documented in thesis","FAIL — undocumented binary risk")))</f>
        <v/>
      </c>
      <c r="L30" s="132" t="str">
        <f aca="false">IF('Implied-Return Calculator'!S31="","",'Implied-Return Calculator'!S31)</f>
        <v/>
      </c>
      <c r="M30" s="132" t="str">
        <f aca="false">IF('Implied-Return Calculator'!T31="","",'Implied-Return Calculator'!T31)</f>
        <v/>
      </c>
      <c r="N30" s="132" t="str">
        <f aca="false">IF('Implied-Return Calculator'!U31="","",'Implied-Return Calculator'!U31)</f>
        <v/>
      </c>
      <c r="O30" s="132"/>
      <c r="P30" s="132"/>
      <c r="Q30" s="131" t="str">
        <f aca="false">IF(OR(N30="",O30=""),"",IF(N30&lt;=50,"PASS — within ceiling",IF(AND(O30&gt;0.3,L30="PASS"),"PASS — growth+bear case exception met","FAIL — exceeds 50x, exception not met")))</f>
        <v/>
      </c>
      <c r="R30" s="131" t="str">
        <f aca="false">IF(OR(C30="",D30="",E30="",K30="",L30="",M30="",N30="",Q30=""),"",IF(AND(C30="PASS",D30="PASS",LEFT(E30,4)="PASS",LEFT(K30,4)="PASS",L30="PASS",M30="PASS",N30="OK",LEFT(Q30,4)="PASS"),"YES","NO — see failing rule(s)"))</f>
        <v/>
      </c>
      <c r="S30" s="131" t="str">
        <f aca="false">IF(R30="","",IF(R30="YES","Initiate: "&amp;H30,"DO NOT ENTER — resolve failing Entry Rule(s) above first"))</f>
        <v/>
      </c>
    </row>
    <row r="31" customFormat="false" ht="15" hidden="false" customHeight="true" outlineLevel="0" collapsed="false">
      <c r="A31" s="131" t="str">
        <f aca="false">IF(Scoring!A31="","",Scoring!A31)</f>
        <v>HRL</v>
      </c>
      <c r="B31" s="131" t="str">
        <f aca="false">IF(Scoring!B31="","",Scoring!B31)</f>
        <v>Hormel Foods Corp.</v>
      </c>
      <c r="C31" s="132" t="str">
        <f aca="false">IF(Scoring!AG31="","",IF(OR(Scoring!AG31="STRONG BUY",Scoring!AG31="BUY"),"PASS","FAIL"))</f>
        <v/>
      </c>
      <c r="D31" s="132" t="str">
        <f aca="false">IF(Scoring!AH31="","",IF(Scoring!AH31="OK","PASS","FAIL"))</f>
        <v>FAIL</v>
      </c>
      <c r="E31" s="132" t="str">
        <f aca="false">IF(Scoring!AI31="","",IF(Scoring!AI31="OK","PASS","FAIL — mandatory review required"))</f>
        <v>FAIL — mandatory review required</v>
      </c>
      <c r="F31" s="132"/>
      <c r="G31" s="132"/>
      <c r="H31" s="131" t="str">
        <f aca="false">IF(OR(F31="",G31=""),"",IF(AND(F31="Y",G31="Y"),"Standard initial size","50% of normal initial size + 90-day technical review"))</f>
        <v/>
      </c>
      <c r="I31" s="132"/>
      <c r="J31" s="132"/>
      <c r="K31" s="132" t="str">
        <f aca="false">IF(I31="","",IF(I31="N","PASS",IF(J31="Y","PASS — risk documented in thesis","FAIL — undocumented binary risk")))</f>
        <v/>
      </c>
      <c r="L31" s="132" t="str">
        <f aca="false">IF('Implied-Return Calculator'!S32="","",'Implied-Return Calculator'!S32)</f>
        <v/>
      </c>
      <c r="M31" s="132" t="str">
        <f aca="false">IF('Implied-Return Calculator'!T32="","",'Implied-Return Calculator'!T32)</f>
        <v/>
      </c>
      <c r="N31" s="132" t="str">
        <f aca="false">IF('Implied-Return Calculator'!U32="","",'Implied-Return Calculator'!U32)</f>
        <v/>
      </c>
      <c r="O31" s="132"/>
      <c r="P31" s="132"/>
      <c r="Q31" s="131" t="str">
        <f aca="false">IF(OR(N31="",O31=""),"",IF(N31&lt;=50,"PASS — within ceiling",IF(AND(O31&gt;0.3,L31="PASS"),"PASS — growth+bear case exception met","FAIL — exceeds 50x, exception not met")))</f>
        <v/>
      </c>
      <c r="R31" s="131" t="str">
        <f aca="false">IF(OR(C31="",D31="",E31="",K31="",L31="",M31="",N31="",Q31=""),"",IF(AND(C31="PASS",D31="PASS",LEFT(E31,4)="PASS",LEFT(K31,4)="PASS",L31="PASS",M31="PASS",N31="OK",LEFT(Q31,4)="PASS"),"YES","NO — see failing rule(s)"))</f>
        <v/>
      </c>
      <c r="S31" s="131" t="str">
        <f aca="false">IF(R31="","",IF(R31="YES","Initiate: "&amp;H31,"DO NOT ENTER — resolve failing Entry Rule(s) above first"))</f>
        <v/>
      </c>
    </row>
    <row r="32" customFormat="false" ht="15" hidden="false" customHeight="true" outlineLevel="0" collapsed="false">
      <c r="A32" s="131" t="str">
        <f aca="false">IF(Scoring!A32="","",Scoring!A32)</f>
        <v>PG</v>
      </c>
      <c r="B32" s="131" t="str">
        <f aca="false">IF(Scoring!B32="","",Scoring!B32)</f>
        <v>Procter &amp; Gamble Co.</v>
      </c>
      <c r="C32" s="132" t="str">
        <f aca="false">IF(Scoring!AG32="","",IF(OR(Scoring!AG32="STRONG BUY",Scoring!AG32="BUY"),"PASS","FAIL"))</f>
        <v/>
      </c>
      <c r="D32" s="132" t="str">
        <f aca="false">IF(Scoring!AH32="","",IF(Scoring!AH32="OK","PASS","FAIL"))</f>
        <v>PASS</v>
      </c>
      <c r="E32" s="132" t="str">
        <f aca="false">IF(Scoring!AI32="","",IF(Scoring!AI32="OK","PASS","FAIL — mandatory review required"))</f>
        <v>PASS</v>
      </c>
      <c r="F32" s="132"/>
      <c r="G32" s="132"/>
      <c r="H32" s="131" t="str">
        <f aca="false">IF(OR(F32="",G32=""),"",IF(AND(F32="Y",G32="Y"),"Standard initial size","50% of normal initial size + 90-day technical review"))</f>
        <v/>
      </c>
      <c r="I32" s="132"/>
      <c r="J32" s="132"/>
      <c r="K32" s="132" t="str">
        <f aca="false">IF(I32="","",IF(I32="N","PASS",IF(J32="Y","PASS — risk documented in thesis","FAIL — undocumented binary risk")))</f>
        <v/>
      </c>
      <c r="L32" s="132" t="str">
        <f aca="false">IF('Implied-Return Calculator'!S33="","",'Implied-Return Calculator'!S33)</f>
        <v/>
      </c>
      <c r="M32" s="132" t="str">
        <f aca="false">IF('Implied-Return Calculator'!T33="","",'Implied-Return Calculator'!T33)</f>
        <v/>
      </c>
      <c r="N32" s="132" t="str">
        <f aca="false">IF('Implied-Return Calculator'!U33="","",'Implied-Return Calculator'!U33)</f>
        <v/>
      </c>
      <c r="O32" s="132"/>
      <c r="P32" s="132"/>
      <c r="Q32" s="131" t="str">
        <f aca="false">IF(OR(N32="",O32=""),"",IF(N32&lt;=50,"PASS — within ceiling",IF(AND(O32&gt;0.3,L32="PASS"),"PASS — growth+bear case exception met","FAIL — exceeds 50x, exception not met")))</f>
        <v/>
      </c>
      <c r="R32" s="131" t="str">
        <f aca="false">IF(OR(C32="",D32="",E32="",K32="",L32="",M32="",N32="",Q32=""),"",IF(AND(C32="PASS",D32="PASS",LEFT(E32,4)="PASS",LEFT(K32,4)="PASS",L32="PASS",M32="PASS",N32="OK",LEFT(Q32,4)="PASS"),"YES","NO — see failing rule(s)"))</f>
        <v/>
      </c>
      <c r="S32" s="131" t="str">
        <f aca="false">IF(R32="","",IF(R32="YES","Initiate: "&amp;H32,"DO NOT ENTER — resolve failing Entry Rule(s) above first"))</f>
        <v/>
      </c>
    </row>
    <row r="33" customFormat="false" ht="15" hidden="false" customHeight="true" outlineLevel="0" collapsed="false">
      <c r="A33" s="131" t="str">
        <f aca="false">IF(Scoring!A33="","",Scoring!A33)</f>
        <v>CMG</v>
      </c>
      <c r="B33" s="131" t="str">
        <f aca="false">IF(Scoring!B33="","",Scoring!B33)</f>
        <v>Chipotle Mexican Grill</v>
      </c>
      <c r="C33" s="132" t="str">
        <f aca="false">IF(Scoring!AG33="","",IF(OR(Scoring!AG33="STRONG BUY",Scoring!AG33="BUY"),"PASS","FAIL"))</f>
        <v/>
      </c>
      <c r="D33" s="132" t="str">
        <f aca="false">IF(Scoring!AH33="","",IF(Scoring!AH33="OK","PASS","FAIL"))</f>
        <v>PASS</v>
      </c>
      <c r="E33" s="132" t="str">
        <f aca="false">IF(Scoring!AI33="","",IF(Scoring!AI33="OK","PASS","FAIL — mandatory review required"))</f>
        <v>PASS</v>
      </c>
      <c r="F33" s="132"/>
      <c r="G33" s="132"/>
      <c r="H33" s="131" t="str">
        <f aca="false">IF(OR(F33="",G33=""),"",IF(AND(F33="Y",G33="Y"),"Standard initial size","50% of normal initial size + 90-day technical review"))</f>
        <v/>
      </c>
      <c r="I33" s="132"/>
      <c r="J33" s="132"/>
      <c r="K33" s="132" t="str">
        <f aca="false">IF(I33="","",IF(I33="N","PASS",IF(J33="Y","PASS — risk documented in thesis","FAIL — undocumented binary risk")))</f>
        <v/>
      </c>
      <c r="L33" s="132" t="str">
        <f aca="false">IF('Implied-Return Calculator'!S34="","",'Implied-Return Calculator'!S34)</f>
        <v/>
      </c>
      <c r="M33" s="132" t="str">
        <f aca="false">IF('Implied-Return Calculator'!T34="","",'Implied-Return Calculator'!T34)</f>
        <v/>
      </c>
      <c r="N33" s="132" t="str">
        <f aca="false">IF('Implied-Return Calculator'!U34="","",'Implied-Return Calculator'!U34)</f>
        <v/>
      </c>
      <c r="O33" s="132"/>
      <c r="P33" s="132"/>
      <c r="Q33" s="131" t="str">
        <f aca="false">IF(OR(N33="",O33=""),"",IF(N33&lt;=50,"PASS — within ceiling",IF(AND(O33&gt;0.3,L33="PASS"),"PASS — growth+bear case exception met","FAIL — exceeds 50x, exception not met")))</f>
        <v/>
      </c>
      <c r="R33" s="131" t="str">
        <f aca="false">IF(OR(C33="",D33="",E33="",K33="",L33="",M33="",N33="",Q33=""),"",IF(AND(C33="PASS",D33="PASS",LEFT(E33,4)="PASS",LEFT(K33,4)="PASS",L33="PASS",M33="PASS",N33="OK",LEFT(Q33,4)="PASS"),"YES","NO — see failing rule(s)"))</f>
        <v/>
      </c>
      <c r="S33" s="131" t="str">
        <f aca="false">IF(R33="","",IF(R33="YES","Initiate: "&amp;H33,"DO NOT ENTER — resolve failing Entry Rule(s) above first"))</f>
        <v/>
      </c>
    </row>
    <row r="34" customFormat="false" ht="15" hidden="false" customHeight="true" outlineLevel="0" collapsed="false">
      <c r="A34" s="131" t="str">
        <f aca="false">IF(Scoring!A34="","",Scoring!A34)</f>
        <v>DPZ</v>
      </c>
      <c r="B34" s="131" t="str">
        <f aca="false">IF(Scoring!B34="","",Scoring!B34)</f>
        <v>Domino's Pizza Inc.</v>
      </c>
      <c r="C34" s="132" t="str">
        <f aca="false">IF(Scoring!AG34="","",IF(OR(Scoring!AG34="STRONG BUY",Scoring!AG34="BUY"),"PASS","FAIL"))</f>
        <v/>
      </c>
      <c r="D34" s="132" t="str">
        <f aca="false">IF(Scoring!AH34="","",IF(Scoring!AH34="OK","PASS","FAIL"))</f>
        <v>PASS</v>
      </c>
      <c r="E34" s="132" t="str">
        <f aca="false">IF(Scoring!AI34="","",IF(Scoring!AI34="OK","PASS","FAIL — mandatory review required"))</f>
        <v>PASS</v>
      </c>
      <c r="F34" s="132"/>
      <c r="G34" s="132"/>
      <c r="H34" s="131" t="str">
        <f aca="false">IF(OR(F34="",G34=""),"",IF(AND(F34="Y",G34="Y"),"Standard initial size","50% of normal initial size + 90-day technical review"))</f>
        <v/>
      </c>
      <c r="I34" s="132"/>
      <c r="J34" s="132"/>
      <c r="K34" s="132" t="str">
        <f aca="false">IF(I34="","",IF(I34="N","PASS",IF(J34="Y","PASS — risk documented in thesis","FAIL — undocumented binary risk")))</f>
        <v/>
      </c>
      <c r="L34" s="132" t="str">
        <f aca="false">IF('Implied-Return Calculator'!S35="","",'Implied-Return Calculator'!S35)</f>
        <v/>
      </c>
      <c r="M34" s="132" t="str">
        <f aca="false">IF('Implied-Return Calculator'!T35="","",'Implied-Return Calculator'!T35)</f>
        <v/>
      </c>
      <c r="N34" s="132" t="str">
        <f aca="false">IF('Implied-Return Calculator'!U35="","",'Implied-Return Calculator'!U35)</f>
        <v/>
      </c>
      <c r="O34" s="132"/>
      <c r="P34" s="132"/>
      <c r="Q34" s="131" t="str">
        <f aca="false">IF(OR(N34="",O34=""),"",IF(N34&lt;=50,"PASS — within ceiling",IF(AND(O34&gt;0.3,L34="PASS"),"PASS — growth+bear case exception met","FAIL — exceeds 50x, exception not met")))</f>
        <v/>
      </c>
      <c r="R34" s="131" t="str">
        <f aca="false">IF(OR(C34="",D34="",E34="",K34="",L34="",M34="",N34="",Q34=""),"",IF(AND(C34="PASS",D34="PASS",LEFT(E34,4)="PASS",LEFT(K34,4)="PASS",L34="PASS",M34="PASS",N34="OK",LEFT(Q34,4)="PASS"),"YES","NO — see failing rule(s)"))</f>
        <v/>
      </c>
      <c r="S34" s="131" t="str">
        <f aca="false">IF(R34="","",IF(R34="YES","Initiate: "&amp;H34,"DO NOT ENTER — resolve failing Entry Rule(s) above first"))</f>
        <v/>
      </c>
    </row>
    <row r="35" customFormat="false" ht="15" hidden="false" customHeight="true" outlineLevel="0" collapsed="false">
      <c r="A35" s="131" t="str">
        <f aca="false">IF(Scoring!A35="","",Scoring!A35)</f>
        <v>PZZA</v>
      </c>
      <c r="B35" s="131" t="str">
        <f aca="false">IF(Scoring!B35="","",Scoring!B35)</f>
        <v>Papa John's Intl.</v>
      </c>
      <c r="C35" s="132" t="str">
        <f aca="false">IF(Scoring!AG35="","",IF(OR(Scoring!AG35="STRONG BUY",Scoring!AG35="BUY"),"PASS","FAIL"))</f>
        <v/>
      </c>
      <c r="D35" s="132" t="str">
        <f aca="false">IF(Scoring!AH35="","",IF(Scoring!AH35="OK","PASS","FAIL"))</f>
        <v>FAIL</v>
      </c>
      <c r="E35" s="132" t="str">
        <f aca="false">IF(Scoring!AI35="","",IF(Scoring!AI35="OK","PASS","FAIL — mandatory review required"))</f>
        <v>FAIL — mandatory review required</v>
      </c>
      <c r="F35" s="132"/>
      <c r="G35" s="132"/>
      <c r="H35" s="131" t="str">
        <f aca="false">IF(OR(F35="",G35=""),"",IF(AND(F35="Y",G35="Y"),"Standard initial size","50% of normal initial size + 90-day technical review"))</f>
        <v/>
      </c>
      <c r="I35" s="132"/>
      <c r="J35" s="132"/>
      <c r="K35" s="132" t="str">
        <f aca="false">IF(I35="","",IF(I35="N","PASS",IF(J35="Y","PASS — risk documented in thesis","FAIL — undocumented binary risk")))</f>
        <v/>
      </c>
      <c r="L35" s="132" t="str">
        <f aca="false">IF('Implied-Return Calculator'!S36="","",'Implied-Return Calculator'!S36)</f>
        <v/>
      </c>
      <c r="M35" s="132" t="str">
        <f aca="false">IF('Implied-Return Calculator'!T36="","",'Implied-Return Calculator'!T36)</f>
        <v/>
      </c>
      <c r="N35" s="132" t="str">
        <f aca="false">IF('Implied-Return Calculator'!U36="","",'Implied-Return Calculator'!U36)</f>
        <v/>
      </c>
      <c r="O35" s="132"/>
      <c r="P35" s="132"/>
      <c r="Q35" s="131" t="str">
        <f aca="false">IF(OR(N35="",O35=""),"",IF(N35&lt;=50,"PASS — within ceiling",IF(AND(O35&gt;0.3,L35="PASS"),"PASS — growth+bear case exception met","FAIL — exceeds 50x, exception not met")))</f>
        <v/>
      </c>
      <c r="R35" s="131" t="str">
        <f aca="false">IF(OR(C35="",D35="",E35="",K35="",L35="",M35="",N35="",Q35=""),"",IF(AND(C35="PASS",D35="PASS",LEFT(E35,4)="PASS",LEFT(K35,4)="PASS",L35="PASS",M35="PASS",N35="OK",LEFT(Q35,4)="PASS"),"YES","NO — see failing rule(s)"))</f>
        <v/>
      </c>
      <c r="S35" s="131" t="str">
        <f aca="false">IF(R35="","",IF(R35="YES","Initiate: "&amp;H35,"DO NOT ENTER — resolve failing Entry Rule(s) above first"))</f>
        <v/>
      </c>
    </row>
    <row r="36" customFormat="false" ht="15" hidden="false" customHeight="true" outlineLevel="0" collapsed="false">
      <c r="A36" s="131" t="str">
        <f aca="false">IF(Scoring!A36="","",Scoring!A36)</f>
        <v>YUM</v>
      </c>
      <c r="B36" s="131" t="str">
        <f aca="false">IF(Scoring!B36="","",Scoring!B36)</f>
        <v>Yum! Brands Inc.</v>
      </c>
      <c r="C36" s="132" t="str">
        <f aca="false">IF(Scoring!AG36="","",IF(OR(Scoring!AG36="STRONG BUY",Scoring!AG36="BUY"),"PASS","FAIL"))</f>
        <v/>
      </c>
      <c r="D36" s="132" t="str">
        <f aca="false">IF(Scoring!AH36="","",IF(Scoring!AH36="OK","PASS","FAIL"))</f>
        <v>PASS</v>
      </c>
      <c r="E36" s="132" t="str">
        <f aca="false">IF(Scoring!AI36="","",IF(Scoring!AI36="OK","PASS","FAIL — mandatory review required"))</f>
        <v>PASS</v>
      </c>
      <c r="F36" s="132"/>
      <c r="G36" s="132"/>
      <c r="H36" s="131" t="str">
        <f aca="false">IF(OR(F36="",G36=""),"",IF(AND(F36="Y",G36="Y"),"Standard initial size","50% of normal initial size + 90-day technical review"))</f>
        <v/>
      </c>
      <c r="I36" s="132"/>
      <c r="J36" s="132"/>
      <c r="K36" s="132" t="str">
        <f aca="false">IF(I36="","",IF(I36="N","PASS",IF(J36="Y","PASS — risk documented in thesis","FAIL — undocumented binary risk")))</f>
        <v/>
      </c>
      <c r="L36" s="132" t="str">
        <f aca="false">IF('Implied-Return Calculator'!S37="","",'Implied-Return Calculator'!S37)</f>
        <v/>
      </c>
      <c r="M36" s="132" t="str">
        <f aca="false">IF('Implied-Return Calculator'!T37="","",'Implied-Return Calculator'!T37)</f>
        <v/>
      </c>
      <c r="N36" s="132" t="str">
        <f aca="false">IF('Implied-Return Calculator'!U37="","",'Implied-Return Calculator'!U37)</f>
        <v/>
      </c>
      <c r="O36" s="132"/>
      <c r="P36" s="132"/>
      <c r="Q36" s="131" t="str">
        <f aca="false">IF(OR(N36="",O36=""),"",IF(N36&lt;=50,"PASS — within ceiling",IF(AND(O36&gt;0.3,L36="PASS"),"PASS — growth+bear case exception met","FAIL — exceeds 50x, exception not met")))</f>
        <v/>
      </c>
      <c r="R36" s="131" t="str">
        <f aca="false">IF(OR(C36="",D36="",E36="",K36="",L36="",M36="",N36="",Q36=""),"",IF(AND(C36="PASS",D36="PASS",LEFT(E36,4)="PASS",LEFT(K36,4)="PASS",L36="PASS",M36="PASS",N36="OK",LEFT(Q36,4)="PASS"),"YES","NO — see failing rule(s)"))</f>
        <v/>
      </c>
      <c r="S36" s="131" t="str">
        <f aca="false">IF(R36="","",IF(R36="YES","Initiate: "&amp;H36,"DO NOT ENTER — resolve failing Entry Rule(s) above first"))</f>
        <v/>
      </c>
    </row>
    <row r="37" customFormat="false" ht="15" hidden="false" customHeight="true" outlineLevel="0" collapsed="false">
      <c r="A37" s="131" t="str">
        <f aca="false">IF(Scoring!A37="","",Scoring!A37)</f>
        <v>NKE</v>
      </c>
      <c r="B37" s="131" t="str">
        <f aca="false">IF(Scoring!B37="","",Scoring!B37)</f>
        <v>Nike Inc.</v>
      </c>
      <c r="C37" s="132" t="str">
        <f aca="false">IF(Scoring!AG37="","",IF(OR(Scoring!AG37="STRONG BUY",Scoring!AG37="BUY"),"PASS","FAIL"))</f>
        <v/>
      </c>
      <c r="D37" s="132" t="str">
        <f aca="false">IF(Scoring!AH37="","",IF(Scoring!AH37="OK","PASS","FAIL"))</f>
        <v>FAIL</v>
      </c>
      <c r="E37" s="132" t="str">
        <f aca="false">IF(Scoring!AI37="","",IF(Scoring!AI37="OK","PASS","FAIL — mandatory review required"))</f>
        <v>FAIL — mandatory review required</v>
      </c>
      <c r="F37" s="132"/>
      <c r="G37" s="132"/>
      <c r="H37" s="131" t="str">
        <f aca="false">IF(OR(F37="",G37=""),"",IF(AND(F37="Y",G37="Y"),"Standard initial size","50% of normal initial size + 90-day technical review"))</f>
        <v/>
      </c>
      <c r="I37" s="132"/>
      <c r="J37" s="132"/>
      <c r="K37" s="132" t="str">
        <f aca="false">IF(I37="","",IF(I37="N","PASS",IF(J37="Y","PASS — risk documented in thesis","FAIL — undocumented binary risk")))</f>
        <v/>
      </c>
      <c r="L37" s="132" t="str">
        <f aca="false">IF('Implied-Return Calculator'!S38="","",'Implied-Return Calculator'!S38)</f>
        <v/>
      </c>
      <c r="M37" s="132" t="str">
        <f aca="false">IF('Implied-Return Calculator'!T38="","",'Implied-Return Calculator'!T38)</f>
        <v/>
      </c>
      <c r="N37" s="132" t="str">
        <f aca="false">IF('Implied-Return Calculator'!U38="","",'Implied-Return Calculator'!U38)</f>
        <v/>
      </c>
      <c r="O37" s="132"/>
      <c r="P37" s="132"/>
      <c r="Q37" s="131" t="str">
        <f aca="false">IF(OR(N37="",O37=""),"",IF(N37&lt;=50,"PASS — within ceiling",IF(AND(O37&gt;0.3,L37="PASS"),"PASS — growth+bear case exception met","FAIL — exceeds 50x, exception not met")))</f>
        <v/>
      </c>
      <c r="R37" s="131" t="str">
        <f aca="false">IF(OR(C37="",D37="",E37="",K37="",L37="",M37="",N37="",Q37=""),"",IF(AND(C37="PASS",D37="PASS",LEFT(E37,4)="PASS",LEFT(K37,4)="PASS",L37="PASS",M37="PASS",N37="OK",LEFT(Q37,4)="PASS"),"YES","NO — see failing rule(s)"))</f>
        <v/>
      </c>
      <c r="S37" s="131" t="str">
        <f aca="false">IF(R37="","",IF(R37="YES","Initiate: "&amp;H37,"DO NOT ENTER — resolve failing Entry Rule(s) above first"))</f>
        <v/>
      </c>
    </row>
    <row r="38" customFormat="false" ht="15" hidden="false" customHeight="true" outlineLevel="0" collapsed="false">
      <c r="A38" s="131" t="str">
        <f aca="false">IF(Scoring!A38="","",Scoring!A38)</f>
        <v>VFC</v>
      </c>
      <c r="B38" s="131" t="str">
        <f aca="false">IF(Scoring!B38="","",Scoring!B38)</f>
        <v>V.F. Corporation</v>
      </c>
      <c r="C38" s="132" t="str">
        <f aca="false">IF(Scoring!AG38="","",IF(OR(Scoring!AG38="STRONG BUY",Scoring!AG38="BUY"),"PASS","FAIL"))</f>
        <v/>
      </c>
      <c r="D38" s="132" t="str">
        <f aca="false">IF(Scoring!AH38="","",IF(Scoring!AH38="OK","PASS","FAIL"))</f>
        <v>FAIL</v>
      </c>
      <c r="E38" s="132" t="str">
        <f aca="false">IF(Scoring!AI38="","",IF(Scoring!AI38="OK","PASS","FAIL — mandatory review required"))</f>
        <v>PASS</v>
      </c>
      <c r="F38" s="132"/>
      <c r="G38" s="132"/>
      <c r="H38" s="131" t="str">
        <f aca="false">IF(OR(F38="",G38=""),"",IF(AND(F38="Y",G38="Y"),"Standard initial size","50% of normal initial size + 90-day technical review"))</f>
        <v/>
      </c>
      <c r="I38" s="132"/>
      <c r="J38" s="132"/>
      <c r="K38" s="132" t="str">
        <f aca="false">IF(I38="","",IF(I38="N","PASS",IF(J38="Y","PASS — risk documented in thesis","FAIL — undocumented binary risk")))</f>
        <v/>
      </c>
      <c r="L38" s="132" t="str">
        <f aca="false">IF('Implied-Return Calculator'!S39="","",'Implied-Return Calculator'!S39)</f>
        <v/>
      </c>
      <c r="M38" s="132" t="str">
        <f aca="false">IF('Implied-Return Calculator'!T39="","",'Implied-Return Calculator'!T39)</f>
        <v/>
      </c>
      <c r="N38" s="132" t="str">
        <f aca="false">IF('Implied-Return Calculator'!U39="","",'Implied-Return Calculator'!U39)</f>
        <v/>
      </c>
      <c r="O38" s="132"/>
      <c r="P38" s="132"/>
      <c r="Q38" s="131" t="str">
        <f aca="false">IF(OR(N38="",O38=""),"",IF(N38&lt;=50,"PASS — within ceiling",IF(AND(O38&gt;0.3,L38="PASS"),"PASS — growth+bear case exception met","FAIL — exceeds 50x, exception not met")))</f>
        <v/>
      </c>
      <c r="R38" s="131" t="str">
        <f aca="false">IF(OR(C38="",D38="",E38="",K38="",L38="",M38="",N38="",Q38=""),"",IF(AND(C38="PASS",D38="PASS",LEFT(E38,4)="PASS",LEFT(K38,4)="PASS",L38="PASS",M38="PASS",N38="OK",LEFT(Q38,4)="PASS"),"YES","NO — see failing rule(s)"))</f>
        <v/>
      </c>
      <c r="S38" s="131" t="str">
        <f aca="false">IF(R38="","",IF(R38="YES","Initiate: "&amp;H38,"DO NOT ENTER — resolve failing Entry Rule(s) above first"))</f>
        <v/>
      </c>
    </row>
    <row r="39" customFormat="false" ht="15" hidden="false" customHeight="true" outlineLevel="0" collapsed="false">
      <c r="A39" s="131" t="str">
        <f aca="false">IF(Scoring!A39="","",Scoring!A39)</f>
        <v>GOOS</v>
      </c>
      <c r="B39" s="131" t="str">
        <f aca="false">IF(Scoring!B39="","",Scoring!B39)</f>
        <v>Canada Goose Holdings</v>
      </c>
      <c r="C39" s="132" t="str">
        <f aca="false">IF(Scoring!AG39="","",IF(OR(Scoring!AG39="STRONG BUY",Scoring!AG39="BUY"),"PASS","FAIL"))</f>
        <v/>
      </c>
      <c r="D39" s="132" t="str">
        <f aca="false">IF(Scoring!AH39="","",IF(Scoring!AH39="OK","PASS","FAIL"))</f>
        <v>FAIL</v>
      </c>
      <c r="E39" s="132" t="str">
        <f aca="false">IF(Scoring!AI39="","",IF(Scoring!AI39="OK","PASS","FAIL — mandatory review required"))</f>
        <v>FAIL — mandatory review required</v>
      </c>
      <c r="F39" s="132"/>
      <c r="G39" s="132"/>
      <c r="H39" s="131" t="str">
        <f aca="false">IF(OR(F39="",G39=""),"",IF(AND(F39="Y",G39="Y"),"Standard initial size","50% of normal initial size + 90-day technical review"))</f>
        <v/>
      </c>
      <c r="I39" s="132"/>
      <c r="J39" s="132"/>
      <c r="K39" s="132" t="str">
        <f aca="false">IF(I39="","",IF(I39="N","PASS",IF(J39="Y","PASS — risk documented in thesis","FAIL — undocumented binary risk")))</f>
        <v/>
      </c>
      <c r="L39" s="132" t="str">
        <f aca="false">IF('Implied-Return Calculator'!S40="","",'Implied-Return Calculator'!S40)</f>
        <v/>
      </c>
      <c r="M39" s="132" t="str">
        <f aca="false">IF('Implied-Return Calculator'!T40="","",'Implied-Return Calculator'!T40)</f>
        <v/>
      </c>
      <c r="N39" s="132" t="str">
        <f aca="false">IF('Implied-Return Calculator'!U40="","",'Implied-Return Calculator'!U40)</f>
        <v/>
      </c>
      <c r="O39" s="132"/>
      <c r="P39" s="132"/>
      <c r="Q39" s="131" t="str">
        <f aca="false">IF(OR(N39="",O39=""),"",IF(N39&lt;=50,"PASS — within ceiling",IF(AND(O39&gt;0.3,L39="PASS"),"PASS — growth+bear case exception met","FAIL — exceeds 50x, exception not met")))</f>
        <v/>
      </c>
      <c r="R39" s="131" t="str">
        <f aca="false">IF(OR(C39="",D39="",E39="",K39="",L39="",M39="",N39="",Q39=""),"",IF(AND(C39="PASS",D39="PASS",LEFT(E39,4)="PASS",LEFT(K39,4)="PASS",L39="PASS",M39="PASS",N39="OK",LEFT(Q39,4)="PASS"),"YES","NO — see failing rule(s)"))</f>
        <v/>
      </c>
      <c r="S39" s="131" t="str">
        <f aca="false">IF(R39="","",IF(R39="YES","Initiate: "&amp;H39,"DO NOT ENTER — resolve failing Entry Rule(s) above first"))</f>
        <v/>
      </c>
    </row>
    <row r="40" customFormat="false" ht="15" hidden="false" customHeight="true" outlineLevel="0" collapsed="false">
      <c r="A40" s="131" t="str">
        <f aca="false">IF(Scoring!A40="","",Scoring!A40)</f>
        <v>AAP</v>
      </c>
      <c r="B40" s="131" t="str">
        <f aca="false">IF(Scoring!B40="","",Scoring!B40)</f>
        <v>Advance Auto Parts Inc.</v>
      </c>
      <c r="C40" s="132" t="str">
        <f aca="false">IF(Scoring!AG40="","",IF(OR(Scoring!AG40="STRONG BUY",Scoring!AG40="BUY"),"PASS","FAIL"))</f>
        <v/>
      </c>
      <c r="D40" s="132" t="str">
        <f aca="false">IF(Scoring!AH40="","",IF(Scoring!AH40="OK","PASS","FAIL"))</f>
        <v>FAIL</v>
      </c>
      <c r="E40" s="132" t="str">
        <f aca="false">IF(Scoring!AI40="","",IF(Scoring!AI40="OK","PASS","FAIL — mandatory review required"))</f>
        <v>FAIL — mandatory review required</v>
      </c>
      <c r="F40" s="132"/>
      <c r="G40" s="132"/>
      <c r="H40" s="131" t="str">
        <f aca="false">IF(OR(F40="",G40=""),"",IF(AND(F40="Y",G40="Y"),"Standard initial size","50% of normal initial size + 90-day technical review"))</f>
        <v/>
      </c>
      <c r="I40" s="132"/>
      <c r="J40" s="132"/>
      <c r="K40" s="132" t="str">
        <f aca="false">IF(I40="","",IF(I40="N","PASS",IF(J40="Y","PASS — risk documented in thesis","FAIL — undocumented binary risk")))</f>
        <v/>
      </c>
      <c r="L40" s="132" t="str">
        <f aca="false">IF('Implied-Return Calculator'!S41="","",'Implied-Return Calculator'!S41)</f>
        <v/>
      </c>
      <c r="M40" s="132" t="str">
        <f aca="false">IF('Implied-Return Calculator'!T41="","",'Implied-Return Calculator'!T41)</f>
        <v/>
      </c>
      <c r="N40" s="132" t="str">
        <f aca="false">IF('Implied-Return Calculator'!U41="","",'Implied-Return Calculator'!U41)</f>
        <v/>
      </c>
      <c r="O40" s="132"/>
      <c r="P40" s="132"/>
      <c r="Q40" s="131" t="str">
        <f aca="false">IF(OR(N40="",O40=""),"",IF(N40&lt;=50,"PASS — within ceiling",IF(AND(O40&gt;0.3,L40="PASS"),"PASS — growth+bear case exception met","FAIL — exceeds 50x, exception not met")))</f>
        <v/>
      </c>
      <c r="R40" s="131" t="str">
        <f aca="false">IF(OR(C40="",D40="",E40="",K40="",L40="",M40="",N40="",Q40=""),"",IF(AND(C40="PASS",D40="PASS",LEFT(E40,4)="PASS",LEFT(K40,4)="PASS",L40="PASS",M40="PASS",N40="OK",LEFT(Q40,4)="PASS"),"YES","NO — see failing rule(s)"))</f>
        <v/>
      </c>
      <c r="S40" s="131" t="str">
        <f aca="false">IF(R40="","",IF(R40="YES","Initiate: "&amp;H40,"DO NOT ENTER — resolve failing Entry Rule(s) above first"))</f>
        <v/>
      </c>
    </row>
    <row r="41" customFormat="false" ht="15" hidden="false" customHeight="true" outlineLevel="0" collapsed="false">
      <c r="A41" s="131" t="str">
        <f aca="false">IF(Scoring!A41="","",Scoring!A41)</f>
        <v>BABA</v>
      </c>
      <c r="B41" s="131" t="str">
        <f aca="false">IF(Scoring!B41="","",Scoring!B41)</f>
        <v>Alibaba Group Holding Ltd.</v>
      </c>
      <c r="C41" s="132" t="str">
        <f aca="false">IF(Scoring!AG41="","",IF(OR(Scoring!AG41="STRONG BUY",Scoring!AG41="BUY"),"PASS","FAIL"))</f>
        <v/>
      </c>
      <c r="D41" s="132" t="str">
        <f aca="false">IF(Scoring!AH41="","",IF(Scoring!AH41="OK","PASS","FAIL"))</f>
        <v>FAIL</v>
      </c>
      <c r="E41" s="132" t="str">
        <f aca="false">IF(Scoring!AI41="","",IF(Scoring!AI41="OK","PASS","FAIL — mandatory review required"))</f>
        <v>PASS</v>
      </c>
      <c r="F41" s="132"/>
      <c r="G41" s="132"/>
      <c r="H41" s="131" t="str">
        <f aca="false">IF(OR(F41="",G41=""),"",IF(AND(F41="Y",G41="Y"),"Standard initial size","50% of normal initial size + 90-day technical review"))</f>
        <v/>
      </c>
      <c r="I41" s="132"/>
      <c r="J41" s="132"/>
      <c r="K41" s="132" t="str">
        <f aca="false">IF(I41="","",IF(I41="N","PASS",IF(J41="Y","PASS — risk documented in thesis","FAIL — undocumented binary risk")))</f>
        <v/>
      </c>
      <c r="L41" s="132" t="str">
        <f aca="false">IF('Implied-Return Calculator'!S42="","",'Implied-Return Calculator'!S42)</f>
        <v/>
      </c>
      <c r="M41" s="132" t="str">
        <f aca="false">IF('Implied-Return Calculator'!T42="","",'Implied-Return Calculator'!T42)</f>
        <v/>
      </c>
      <c r="N41" s="132" t="str">
        <f aca="false">IF('Implied-Return Calculator'!U42="","",'Implied-Return Calculator'!U42)</f>
        <v/>
      </c>
      <c r="O41" s="132"/>
      <c r="P41" s="132"/>
      <c r="Q41" s="131" t="str">
        <f aca="false">IF(OR(N41="",O41=""),"",IF(N41&lt;=50,"PASS — within ceiling",IF(AND(O41&gt;0.3,L41="PASS"),"PASS — growth+bear case exception met","FAIL — exceeds 50x, exception not met")))</f>
        <v/>
      </c>
      <c r="R41" s="131" t="str">
        <f aca="false">IF(OR(C41="",D41="",E41="",K41="",L41="",M41="",N41="",Q41=""),"",IF(AND(C41="PASS",D41="PASS",LEFT(E41,4)="PASS",LEFT(K41,4)="PASS",L41="PASS",M41="PASS",N41="OK",LEFT(Q41,4)="PASS"),"YES","NO — see failing rule(s)"))</f>
        <v/>
      </c>
      <c r="S41" s="131" t="str">
        <f aca="false">IF(R41="","",IF(R41="YES","Initiate: "&amp;H41,"DO NOT ENTER — resolve failing Entry Rule(s) above first"))</f>
        <v/>
      </c>
    </row>
    <row r="42" customFormat="false" ht="15" hidden="false" customHeight="true" outlineLevel="0" collapsed="false">
      <c r="A42" s="131" t="str">
        <f aca="false">IF(Scoring!A42="","",Scoring!A42)</f>
        <v>ETSY</v>
      </c>
      <c r="B42" s="131" t="str">
        <f aca="false">IF(Scoring!B42="","",Scoring!B42)</f>
        <v>Etsy Inc.</v>
      </c>
      <c r="C42" s="132" t="str">
        <f aca="false">IF(Scoring!AG42="","",IF(OR(Scoring!AG42="STRONG BUY",Scoring!AG42="BUY"),"PASS","FAIL"))</f>
        <v/>
      </c>
      <c r="D42" s="132" t="str">
        <f aca="false">IF(Scoring!AH42="","",IF(Scoring!AH42="OK","PASS","FAIL"))</f>
        <v>PASS</v>
      </c>
      <c r="E42" s="132" t="str">
        <f aca="false">IF(Scoring!AI42="","",IF(Scoring!AI42="OK","PASS","FAIL — mandatory review required"))</f>
        <v>PASS</v>
      </c>
      <c r="F42" s="132"/>
      <c r="G42" s="132"/>
      <c r="H42" s="131" t="str">
        <f aca="false">IF(OR(F42="",G42=""),"",IF(AND(F42="Y",G42="Y"),"Standard initial size","50% of normal initial size + 90-day technical review"))</f>
        <v/>
      </c>
      <c r="I42" s="132"/>
      <c r="J42" s="132"/>
      <c r="K42" s="132" t="str">
        <f aca="false">IF(I42="","",IF(I42="N","PASS",IF(J42="Y","PASS — risk documented in thesis","FAIL — undocumented binary risk")))</f>
        <v/>
      </c>
      <c r="L42" s="132" t="str">
        <f aca="false">IF('Implied-Return Calculator'!S43="","",'Implied-Return Calculator'!S43)</f>
        <v/>
      </c>
      <c r="M42" s="132" t="str">
        <f aca="false">IF('Implied-Return Calculator'!T43="","",'Implied-Return Calculator'!T43)</f>
        <v/>
      </c>
      <c r="N42" s="132" t="str">
        <f aca="false">IF('Implied-Return Calculator'!U43="","",'Implied-Return Calculator'!U43)</f>
        <v/>
      </c>
      <c r="O42" s="132"/>
      <c r="P42" s="132"/>
      <c r="Q42" s="131" t="str">
        <f aca="false">IF(OR(N42="",O42=""),"",IF(N42&lt;=50,"PASS — within ceiling",IF(AND(O42&gt;0.3,L42="PASS"),"PASS — growth+bear case exception met","FAIL — exceeds 50x, exception not met")))</f>
        <v/>
      </c>
      <c r="R42" s="131" t="str">
        <f aca="false">IF(OR(C42="",D42="",E42="",K42="",L42="",M42="",N42="",Q42=""),"",IF(AND(C42="PASS",D42="PASS",LEFT(E42,4)="PASS",LEFT(K42,4)="PASS",L42="PASS",M42="PASS",N42="OK",LEFT(Q42,4)="PASS"),"YES","NO — see failing rule(s)"))</f>
        <v/>
      </c>
      <c r="S42" s="131" t="str">
        <f aca="false">IF(R42="","",IF(R42="YES","Initiate: "&amp;H42,"DO NOT ENTER — resolve failing Entry Rule(s) above first"))</f>
        <v/>
      </c>
    </row>
    <row r="43" customFormat="false" ht="15" hidden="false" customHeight="true" outlineLevel="0" collapsed="false">
      <c r="A43" s="131" t="str">
        <f aca="false">IF(Scoring!A43="","",Scoring!A43)</f>
        <v>GE</v>
      </c>
      <c r="B43" s="131" t="str">
        <f aca="false">IF(Scoring!B43="","",Scoring!B43)</f>
        <v>GE Aerospace</v>
      </c>
      <c r="C43" s="132" t="str">
        <f aca="false">IF(Scoring!AG43="","",IF(OR(Scoring!AG43="STRONG BUY",Scoring!AG43="BUY"),"PASS","FAIL"))</f>
        <v>PASS</v>
      </c>
      <c r="D43" s="132" t="str">
        <f aca="false">IF(Scoring!AH43="","",IF(Scoring!AH43="OK","PASS","FAIL"))</f>
        <v>PASS</v>
      </c>
      <c r="E43" s="132" t="str">
        <f aca="false">IF(Scoring!AI43="","",IF(Scoring!AI43="OK","PASS","FAIL — mandatory review required"))</f>
        <v>PASS</v>
      </c>
      <c r="F43" s="132"/>
      <c r="G43" s="132"/>
      <c r="H43" s="131" t="str">
        <f aca="false">IF(OR(F43="",G43=""),"",IF(AND(F43="Y",G43="Y"),"Standard initial size","50% of normal initial size + 90-day technical review"))</f>
        <v/>
      </c>
      <c r="I43" s="132"/>
      <c r="J43" s="132"/>
      <c r="K43" s="132" t="str">
        <f aca="false">IF(I43="","",IF(I43="N","PASS",IF(J43="Y","PASS — risk documented in thesis","FAIL — undocumented binary risk")))</f>
        <v/>
      </c>
      <c r="L43" s="132" t="str">
        <f aca="false">IF('Implied-Return Calculator'!S44="","",'Implied-Return Calculator'!S44)</f>
        <v/>
      </c>
      <c r="M43" s="132" t="str">
        <f aca="false">IF('Implied-Return Calculator'!T44="","",'Implied-Return Calculator'!T44)</f>
        <v/>
      </c>
      <c r="N43" s="132" t="str">
        <f aca="false">IF('Implied-Return Calculator'!U44="","",'Implied-Return Calculator'!U44)</f>
        <v/>
      </c>
      <c r="O43" s="132"/>
      <c r="P43" s="132"/>
      <c r="Q43" s="131" t="str">
        <f aca="false">IF(OR(N43="",O43=""),"",IF(N43&lt;=50,"PASS — within ceiling",IF(AND(O43&gt;0.3,L43="PASS"),"PASS — growth+bear case exception met","FAIL — exceeds 50x, exception not met")))</f>
        <v/>
      </c>
      <c r="R43" s="131" t="str">
        <f aca="false">IF(OR(C43="",D43="",E43="",K43="",L43="",M43="",N43="",Q43=""),"",IF(AND(C43="PASS",D43="PASS",LEFT(E43,4)="PASS",LEFT(K43,4)="PASS",L43="PASS",M43="PASS",N43="OK",LEFT(Q43,4)="PASS"),"YES","NO — see failing rule(s)"))</f>
        <v/>
      </c>
      <c r="S43" s="131" t="str">
        <f aca="false">IF(R43="","",IF(R43="YES","Initiate: "&amp;H43,"DO NOT ENTER — resolve failing Entry Rule(s) above first"))</f>
        <v/>
      </c>
    </row>
    <row r="44" customFormat="false" ht="15" hidden="false" customHeight="true" outlineLevel="0" collapsed="false">
      <c r="A44" s="131" t="str">
        <f aca="false">IF(Scoring!A44="","",Scoring!A44)</f>
        <v>PH</v>
      </c>
      <c r="B44" s="131" t="str">
        <f aca="false">IF(Scoring!B44="","",Scoring!B44)</f>
        <v>Parker-Hannifin Corporation</v>
      </c>
      <c r="C44" s="132" t="str">
        <f aca="false">IF(Scoring!AG44="","",IF(OR(Scoring!AG44="STRONG BUY",Scoring!AG44="BUY"),"PASS","FAIL"))</f>
        <v/>
      </c>
      <c r="D44" s="132" t="str">
        <f aca="false">IF(Scoring!AH44="","",IF(Scoring!AH44="OK","PASS","FAIL"))</f>
        <v>PASS</v>
      </c>
      <c r="E44" s="132" t="str">
        <f aca="false">IF(Scoring!AI44="","",IF(Scoring!AI44="OK","PASS","FAIL — mandatory review required"))</f>
        <v>PASS</v>
      </c>
      <c r="F44" s="132"/>
      <c r="G44" s="132"/>
      <c r="H44" s="131" t="str">
        <f aca="false">IF(OR(F44="",G44=""),"",IF(AND(F44="Y",G44="Y"),"Standard initial size","50% of normal initial size + 90-day technical review"))</f>
        <v/>
      </c>
      <c r="I44" s="132"/>
      <c r="J44" s="132"/>
      <c r="K44" s="132" t="str">
        <f aca="false">IF(I44="","",IF(I44="N","PASS",IF(J44="Y","PASS — risk documented in thesis","FAIL — undocumented binary risk")))</f>
        <v/>
      </c>
      <c r="L44" s="132" t="str">
        <f aca="false">IF('Implied-Return Calculator'!S45="","",'Implied-Return Calculator'!S45)</f>
        <v/>
      </c>
      <c r="M44" s="132" t="str">
        <f aca="false">IF('Implied-Return Calculator'!T45="","",'Implied-Return Calculator'!T45)</f>
        <v/>
      </c>
      <c r="N44" s="132" t="str">
        <f aca="false">IF('Implied-Return Calculator'!U45="","",'Implied-Return Calculator'!U45)</f>
        <v/>
      </c>
      <c r="O44" s="132"/>
      <c r="P44" s="132"/>
      <c r="Q44" s="131" t="str">
        <f aca="false">IF(OR(N44="",O44=""),"",IF(N44&lt;=50,"PASS — within ceiling",IF(AND(O44&gt;0.3,L44="PASS"),"PASS — growth+bear case exception met","FAIL — exceeds 50x, exception not met")))</f>
        <v/>
      </c>
      <c r="R44" s="131" t="str">
        <f aca="false">IF(OR(C44="",D44="",E44="",K44="",L44="",M44="",N44="",Q44=""),"",IF(AND(C44="PASS",D44="PASS",LEFT(E44,4)="PASS",LEFT(K44,4)="PASS",L44="PASS",M44="PASS",N44="OK",LEFT(Q44,4)="PASS"),"YES","NO — see failing rule(s)"))</f>
        <v/>
      </c>
      <c r="S44" s="131" t="str">
        <f aca="false">IF(R44="","",IF(R44="YES","Initiate: "&amp;H44,"DO NOT ENTER — resolve failing Entry Rule(s) above first"))</f>
        <v/>
      </c>
    </row>
    <row r="45" customFormat="false" ht="15" hidden="false" customHeight="true" outlineLevel="0" collapsed="false">
      <c r="A45" s="131" t="str">
        <f aca="false">IF(Scoring!A45="","",Scoring!A45)</f>
        <v>ETN</v>
      </c>
      <c r="B45" s="131" t="str">
        <f aca="false">IF(Scoring!B45="","",Scoring!B45)</f>
        <v>Eaton Corporation plc</v>
      </c>
      <c r="C45" s="132" t="str">
        <f aca="false">IF(Scoring!AG45="","",IF(OR(Scoring!AG45="STRONG BUY",Scoring!AG45="BUY"),"PASS","FAIL"))</f>
        <v/>
      </c>
      <c r="D45" s="132" t="str">
        <f aca="false">IF(Scoring!AH45="","",IF(Scoring!AH45="OK","PASS","FAIL"))</f>
        <v>PASS</v>
      </c>
      <c r="E45" s="132" t="str">
        <f aca="false">IF(Scoring!AI45="","",IF(Scoring!AI45="OK","PASS","FAIL — mandatory review required"))</f>
        <v>PASS</v>
      </c>
      <c r="F45" s="132"/>
      <c r="G45" s="132"/>
      <c r="H45" s="131" t="str">
        <f aca="false">IF(OR(F45="",G45=""),"",IF(AND(F45="Y",G45="Y"),"Standard initial size","50% of normal initial size + 90-day technical review"))</f>
        <v/>
      </c>
      <c r="I45" s="132"/>
      <c r="J45" s="132"/>
      <c r="K45" s="132" t="str">
        <f aca="false">IF(I45="","",IF(I45="N","PASS",IF(J45="Y","PASS — risk documented in thesis","FAIL — undocumented binary risk")))</f>
        <v/>
      </c>
      <c r="L45" s="132" t="str">
        <f aca="false">IF('Implied-Return Calculator'!S46="","",'Implied-Return Calculator'!S46)</f>
        <v/>
      </c>
      <c r="M45" s="132" t="str">
        <f aca="false">IF('Implied-Return Calculator'!T46="","",'Implied-Return Calculator'!T46)</f>
        <v/>
      </c>
      <c r="N45" s="132" t="str">
        <f aca="false">IF('Implied-Return Calculator'!U46="","",'Implied-Return Calculator'!U46)</f>
        <v/>
      </c>
      <c r="O45" s="132"/>
      <c r="P45" s="132"/>
      <c r="Q45" s="131" t="str">
        <f aca="false">IF(OR(N45="",O45=""),"",IF(N45&lt;=50,"PASS — within ceiling",IF(AND(O45&gt;0.3,L45="PASS"),"PASS — growth+bear case exception met","FAIL — exceeds 50x, exception not met")))</f>
        <v/>
      </c>
      <c r="R45" s="131" t="str">
        <f aca="false">IF(OR(C45="",D45="",E45="",K45="",L45="",M45="",N45="",Q45=""),"",IF(AND(C45="PASS",D45="PASS",LEFT(E45,4)="PASS",LEFT(K45,4)="PASS",L45="PASS",M45="PASS",N45="OK",LEFT(Q45,4)="PASS"),"YES","NO — see failing rule(s)"))</f>
        <v/>
      </c>
      <c r="S45" s="131" t="str">
        <f aca="false">IF(R45="","",IF(R45="YES","Initiate: "&amp;H45,"DO NOT ENTER — resolve failing Entry Rule(s) above first"))</f>
        <v/>
      </c>
    </row>
    <row r="46" customFormat="false" ht="15" hidden="false" customHeight="true" outlineLevel="0" collapsed="false">
      <c r="A46" s="131" t="str">
        <f aca="false">IF(Scoring!A46="","",Scoring!A46)</f>
        <v>DIS</v>
      </c>
      <c r="B46" s="131" t="str">
        <f aca="false">IF(Scoring!B46="","",Scoring!B46)</f>
        <v>The Walt Disney Company</v>
      </c>
      <c r="C46" s="132" t="str">
        <f aca="false">IF(Scoring!AG46="","",IF(OR(Scoring!AG46="STRONG BUY",Scoring!AG46="BUY"),"PASS","FAIL"))</f>
        <v/>
      </c>
      <c r="D46" s="132" t="str">
        <f aca="false">IF(Scoring!AH46="","",IF(Scoring!AH46="OK","PASS","FAIL"))</f>
        <v>FAIL</v>
      </c>
      <c r="E46" s="132" t="str">
        <f aca="false">IF(Scoring!AI46="","",IF(Scoring!AI46="OK","PASS","FAIL — mandatory review required"))</f>
        <v>PASS</v>
      </c>
      <c r="F46" s="132"/>
      <c r="G46" s="132"/>
      <c r="H46" s="131" t="str">
        <f aca="false">IF(OR(F46="",G46=""),"",IF(AND(F46="Y",G46="Y"),"Standard initial size","50% of normal initial size + 90-day technical review"))</f>
        <v/>
      </c>
      <c r="I46" s="132"/>
      <c r="J46" s="132"/>
      <c r="K46" s="132" t="str">
        <f aca="false">IF(I46="","",IF(I46="N","PASS",IF(J46="Y","PASS — risk documented in thesis","FAIL — undocumented binary risk")))</f>
        <v/>
      </c>
      <c r="L46" s="132" t="str">
        <f aca="false">IF('Implied-Return Calculator'!S47="","",'Implied-Return Calculator'!S47)</f>
        <v/>
      </c>
      <c r="M46" s="132" t="str">
        <f aca="false">IF('Implied-Return Calculator'!T47="","",'Implied-Return Calculator'!T47)</f>
        <v/>
      </c>
      <c r="N46" s="132" t="str">
        <f aca="false">IF('Implied-Return Calculator'!U47="","",'Implied-Return Calculator'!U47)</f>
        <v/>
      </c>
      <c r="O46" s="132"/>
      <c r="P46" s="132"/>
      <c r="Q46" s="131" t="str">
        <f aca="false">IF(OR(N46="",O46=""),"",IF(N46&lt;=50,"PASS — within ceiling",IF(AND(O46&gt;0.3,L46="PASS"),"PASS — growth+bear case exception met","FAIL — exceeds 50x, exception not met")))</f>
        <v/>
      </c>
      <c r="R46" s="131" t="str">
        <f aca="false">IF(OR(C46="",D46="",E46="",K46="",L46="",M46="",N46="",Q46=""),"",IF(AND(C46="PASS",D46="PASS",LEFT(E46,4)="PASS",LEFT(K46,4)="PASS",L46="PASS",M46="PASS",N46="OK",LEFT(Q46,4)="PASS"),"YES","NO — see failing rule(s)"))</f>
        <v/>
      </c>
      <c r="S46" s="131" t="str">
        <f aca="false">IF(R46="","",IF(R46="YES","Initiate: "&amp;H46,"DO NOT ENTER — resolve failing Entry Rule(s) above first"))</f>
        <v/>
      </c>
    </row>
    <row r="47" customFormat="false" ht="15" hidden="false" customHeight="true" outlineLevel="0" collapsed="false">
      <c r="A47" s="131" t="str">
        <f aca="false">IF(Scoring!A47="","",Scoring!A47)</f>
        <v>NFLX</v>
      </c>
      <c r="B47" s="131" t="str">
        <f aca="false">IF(Scoring!B47="","",Scoring!B47)</f>
        <v>Netflix, Inc.</v>
      </c>
      <c r="C47" s="132" t="str">
        <f aca="false">IF(Scoring!AG47="","",IF(OR(Scoring!AG47="STRONG BUY",Scoring!AG47="BUY"),"PASS","FAIL"))</f>
        <v>PASS</v>
      </c>
      <c r="D47" s="132" t="str">
        <f aca="false">IF(Scoring!AH47="","",IF(Scoring!AH47="OK","PASS","FAIL"))</f>
        <v>PASS</v>
      </c>
      <c r="E47" s="132" t="str">
        <f aca="false">IF(Scoring!AI47="","",IF(Scoring!AI47="OK","PASS","FAIL — mandatory review required"))</f>
        <v>PASS</v>
      </c>
      <c r="F47" s="132"/>
      <c r="G47" s="132"/>
      <c r="H47" s="131" t="str">
        <f aca="false">IF(OR(F47="",G47=""),"",IF(AND(F47="Y",G47="Y"),"Standard initial size","50% of normal initial size + 90-day technical review"))</f>
        <v/>
      </c>
      <c r="I47" s="132"/>
      <c r="J47" s="132"/>
      <c r="K47" s="132" t="str">
        <f aca="false">IF(I47="","",IF(I47="N","PASS",IF(J47="Y","PASS — risk documented in thesis","FAIL — undocumented binary risk")))</f>
        <v/>
      </c>
      <c r="L47" s="132" t="str">
        <f aca="false">IF('Implied-Return Calculator'!S48="","",'Implied-Return Calculator'!S48)</f>
        <v/>
      </c>
      <c r="M47" s="132" t="str">
        <f aca="false">IF('Implied-Return Calculator'!T48="","",'Implied-Return Calculator'!T48)</f>
        <v/>
      </c>
      <c r="N47" s="132" t="str">
        <f aca="false">IF('Implied-Return Calculator'!U48="","",'Implied-Return Calculator'!U48)</f>
        <v/>
      </c>
      <c r="O47" s="132"/>
      <c r="P47" s="132"/>
      <c r="Q47" s="131" t="str">
        <f aca="false">IF(OR(N47="",O47=""),"",IF(N47&lt;=50,"PASS — within ceiling",IF(AND(O47&gt;0.3,L47="PASS"),"PASS — growth+bear case exception met","FAIL — exceeds 50x, exception not met")))</f>
        <v/>
      </c>
      <c r="R47" s="131" t="str">
        <f aca="false">IF(OR(C47="",D47="",E47="",K47="",L47="",M47="",N47="",Q47=""),"",IF(AND(C47="PASS",D47="PASS",LEFT(E47,4)="PASS",LEFT(K47,4)="PASS",L47="PASS",M47="PASS",N47="OK",LEFT(Q47,4)="PASS"),"YES","NO — see failing rule(s)"))</f>
        <v/>
      </c>
      <c r="S47" s="131" t="str">
        <f aca="false">IF(R47="","",IF(R47="YES","Initiate: "&amp;H47,"DO NOT ENTER — resolve failing Entry Rule(s) above first"))</f>
        <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20" activePane="bottomLeft" state="frozen"/>
      <selection pane="topLeft" activeCell="A1" activeCellId="0" sqref="A1"/>
      <selection pane="bottomLeft" activeCell="L31" activeCellId="0" sqref="L31"/>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133"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34" t="s">
        <v>428</v>
      </c>
      <c r="B1" s="134"/>
      <c r="C1" s="134"/>
      <c r="D1" s="134"/>
      <c r="E1" s="134"/>
      <c r="F1" s="134"/>
      <c r="G1" s="134"/>
      <c r="H1" s="134"/>
      <c r="I1" s="134"/>
    </row>
    <row r="2" customFormat="false" ht="25.5" hidden="false" customHeight="true" outlineLevel="0" collapsed="false">
      <c r="A2" s="110" t="s">
        <v>81</v>
      </c>
      <c r="B2" s="110" t="s">
        <v>280</v>
      </c>
      <c r="C2" s="110" t="s">
        <v>429</v>
      </c>
      <c r="D2" s="110" t="s">
        <v>430</v>
      </c>
      <c r="E2" s="110" t="s">
        <v>431</v>
      </c>
      <c r="F2" s="110" t="s">
        <v>432</v>
      </c>
      <c r="G2" s="110" t="s">
        <v>433</v>
      </c>
      <c r="H2" s="110" t="s">
        <v>434</v>
      </c>
      <c r="I2" s="110" t="s">
        <v>435</v>
      </c>
    </row>
    <row r="3" customFormat="false" ht="15" hidden="false" customHeight="true" outlineLevel="0" collapsed="false">
      <c r="A3" s="114" t="s">
        <v>402</v>
      </c>
      <c r="B3" s="112" t="s">
        <v>403</v>
      </c>
      <c r="C3" s="135" t="n">
        <v>97.5</v>
      </c>
      <c r="D3" s="119" t="n">
        <v>8644982</v>
      </c>
      <c r="E3" s="136" t="n">
        <v>168712.372224</v>
      </c>
      <c r="F3" s="137" t="n">
        <v>31.553398</v>
      </c>
      <c r="G3" s="135" t="n">
        <v>81.97</v>
      </c>
      <c r="H3" s="135" t="n">
        <v>135.24</v>
      </c>
      <c r="I3" s="121" t="n">
        <v>2.58</v>
      </c>
    </row>
    <row r="4" customFormat="false" ht="15" hidden="false" customHeight="true" outlineLevel="0" collapsed="false">
      <c r="A4" s="114" t="s">
        <v>95</v>
      </c>
      <c r="B4" s="112" t="s">
        <v>96</v>
      </c>
      <c r="C4" s="135" t="n">
        <v>237.69</v>
      </c>
      <c r="D4" s="119" t="n">
        <v>3115208</v>
      </c>
      <c r="E4" s="136" t="n">
        <v>92508.946432</v>
      </c>
      <c r="F4" s="137" t="n">
        <v>13.263951</v>
      </c>
      <c r="G4" s="135" t="n">
        <v>190.12</v>
      </c>
      <c r="H4" s="135" t="n">
        <v>363.7</v>
      </c>
      <c r="I4" s="121"/>
    </row>
    <row r="5" customFormat="false" ht="15" hidden="false" customHeight="true" outlineLevel="0" collapsed="false">
      <c r="A5" s="114" t="s">
        <v>100</v>
      </c>
      <c r="B5" s="112" t="s">
        <v>101</v>
      </c>
      <c r="C5" s="135" t="n">
        <v>207.35</v>
      </c>
      <c r="D5" s="119" t="n">
        <v>4113045</v>
      </c>
      <c r="E5" s="136" t="n">
        <v>261514.952704</v>
      </c>
      <c r="F5" s="137" t="n">
        <v>65.82539</v>
      </c>
      <c r="G5" s="135" t="n">
        <v>114.52</v>
      </c>
      <c r="H5" s="135" t="n">
        <v>214.89</v>
      </c>
      <c r="I5" s="121"/>
    </row>
    <row r="6" customFormat="false" ht="15" hidden="false" customHeight="true" outlineLevel="0" collapsed="false">
      <c r="A6" s="114" t="s">
        <v>102</v>
      </c>
      <c r="B6" s="112" t="s">
        <v>103</v>
      </c>
      <c r="C6" s="135" t="n">
        <v>1867.31</v>
      </c>
      <c r="D6" s="119" t="n">
        <v>1345027</v>
      </c>
      <c r="E6" s="136" t="n">
        <v>717233.782784</v>
      </c>
      <c r="F6" s="137" t="n">
        <v>64.92733</v>
      </c>
      <c r="G6" s="135" t="n">
        <v>935.41</v>
      </c>
      <c r="H6" s="135" t="n">
        <v>1999.96</v>
      </c>
      <c r="I6" s="121" t="n">
        <v>0.49</v>
      </c>
    </row>
    <row r="7" customFormat="false" ht="15" hidden="false" customHeight="true" outlineLevel="0" collapsed="false">
      <c r="A7" s="114" t="s">
        <v>165</v>
      </c>
      <c r="B7" s="112" t="s">
        <v>166</v>
      </c>
      <c r="C7" s="135" t="n">
        <v>355.14</v>
      </c>
      <c r="D7" s="119" t="n">
        <v>24639562</v>
      </c>
      <c r="E7" s="136" t="n">
        <v>1695307.005952</v>
      </c>
      <c r="F7" s="137" t="n">
        <v>45.24077</v>
      </c>
      <c r="G7" s="135" t="n">
        <v>289.96</v>
      </c>
      <c r="H7" s="135" t="n">
        <v>495</v>
      </c>
      <c r="I7" s="121" t="n">
        <v>0.73</v>
      </c>
    </row>
    <row r="8" customFormat="false" ht="15" hidden="false" customHeight="true" outlineLevel="0" collapsed="false">
      <c r="A8" s="114" t="s">
        <v>156</v>
      </c>
      <c r="B8" s="112" t="s">
        <v>157</v>
      </c>
      <c r="C8" s="135" t="n">
        <v>120.03</v>
      </c>
      <c r="D8" s="119" t="n">
        <v>1577333</v>
      </c>
      <c r="E8" s="136"/>
      <c r="F8" s="137" t="n">
        <v>11.920055</v>
      </c>
      <c r="G8" s="135" t="n">
        <v>93.87</v>
      </c>
      <c r="H8" s="135" t="n">
        <v>129.05</v>
      </c>
      <c r="I8" s="121" t="n">
        <v>1.25</v>
      </c>
    </row>
    <row r="9" customFormat="false" ht="15" hidden="false" customHeight="true" outlineLevel="0" collapsed="false">
      <c r="A9" s="114" t="s">
        <v>231</v>
      </c>
      <c r="B9" s="112" t="s">
        <v>380</v>
      </c>
      <c r="C9" s="135" t="n">
        <v>32.36</v>
      </c>
      <c r="D9" s="119" t="n">
        <v>15057494</v>
      </c>
      <c r="E9" s="136" t="n">
        <v>40948.928512</v>
      </c>
      <c r="F9" s="137" t="n">
        <v>29.962963</v>
      </c>
      <c r="G9" s="135" t="n">
        <v>28.04</v>
      </c>
      <c r="H9" s="135" t="n">
        <v>42.82</v>
      </c>
      <c r="I9" s="121"/>
    </row>
    <row r="10" customFormat="false" ht="15" hidden="false" customHeight="true" outlineLevel="0" collapsed="false">
      <c r="A10" s="114" t="s">
        <v>233</v>
      </c>
      <c r="B10" s="112" t="s">
        <v>351</v>
      </c>
      <c r="C10" s="135" t="n">
        <v>920.65</v>
      </c>
      <c r="D10" s="119" t="n">
        <v>2025566</v>
      </c>
      <c r="E10" s="136" t="n">
        <v>408092.83584</v>
      </c>
      <c r="F10" s="137" t="n">
        <v>44.454372</v>
      </c>
      <c r="G10" s="135" t="n">
        <v>844.06</v>
      </c>
      <c r="H10" s="135" t="n">
        <v>1096.5</v>
      </c>
      <c r="I10" s="121" t="n">
        <v>0.64</v>
      </c>
    </row>
    <row r="11" customFormat="false" ht="15" hidden="false" customHeight="true" outlineLevel="0" collapsed="false">
      <c r="A11" s="114" t="s">
        <v>104</v>
      </c>
      <c r="B11" s="112" t="s">
        <v>105</v>
      </c>
      <c r="C11" s="135" t="n">
        <v>270.04</v>
      </c>
      <c r="D11" s="119" t="n">
        <v>5857040</v>
      </c>
      <c r="E11" s="136" t="n">
        <v>276503.363584</v>
      </c>
      <c r="F11" s="137" t="n">
        <v>9001.334</v>
      </c>
      <c r="G11" s="135" t="n">
        <v>85.68</v>
      </c>
      <c r="H11" s="135" t="n">
        <v>273.5351</v>
      </c>
      <c r="I11" s="121"/>
    </row>
    <row r="12" customFormat="false" ht="15" hidden="false" customHeight="true" outlineLevel="0" collapsed="false">
      <c r="A12" s="114" t="s">
        <v>238</v>
      </c>
      <c r="B12" s="112" t="s">
        <v>382</v>
      </c>
      <c r="C12" s="135" t="n">
        <v>297.615</v>
      </c>
      <c r="D12" s="119" t="n">
        <v>579133</v>
      </c>
      <c r="E12" s="136" t="n">
        <v>9845.620736</v>
      </c>
      <c r="F12" s="137" t="n">
        <v>16.86204</v>
      </c>
      <c r="G12" s="135" t="n">
        <v>282</v>
      </c>
      <c r="H12" s="135" t="n">
        <v>442.35</v>
      </c>
      <c r="I12" s="121" t="n">
        <v>2.67</v>
      </c>
    </row>
    <row r="13" customFormat="false" ht="15" hidden="false" customHeight="true" outlineLevel="0" collapsed="false">
      <c r="A13" s="114" t="s">
        <v>126</v>
      </c>
      <c r="B13" s="112" t="s">
        <v>127</v>
      </c>
      <c r="C13" s="135" t="n">
        <v>153.05</v>
      </c>
      <c r="D13" s="119" t="n">
        <v>307298</v>
      </c>
      <c r="E13" s="136"/>
      <c r="F13" s="137" t="n">
        <v>14.554879</v>
      </c>
      <c r="G13" s="135" t="n">
        <v>137.16</v>
      </c>
      <c r="H13" s="135" t="n">
        <v>167.06</v>
      </c>
      <c r="I13" s="121" t="n">
        <v>3.24</v>
      </c>
    </row>
    <row r="14" customFormat="false" ht="15" hidden="false" customHeight="true" outlineLevel="0" collapsed="false">
      <c r="A14" s="114" t="s">
        <v>241</v>
      </c>
      <c r="B14" s="112" t="s">
        <v>361</v>
      </c>
      <c r="C14" s="135" t="n">
        <v>20.47</v>
      </c>
      <c r="D14" s="119" t="n">
        <v>11114908</v>
      </c>
      <c r="E14" s="136" t="n">
        <v>70484.33664</v>
      </c>
      <c r="F14" s="137" t="n">
        <v>14.020547</v>
      </c>
      <c r="G14" s="135" t="n">
        <v>16.18</v>
      </c>
      <c r="H14" s="135" t="n">
        <v>21.84</v>
      </c>
      <c r="I14" s="121" t="n">
        <v>6.64</v>
      </c>
    </row>
    <row r="15" customFormat="false" ht="15" hidden="false" customHeight="true" outlineLevel="0" collapsed="false">
      <c r="A15" s="114" t="s">
        <v>243</v>
      </c>
      <c r="B15" s="112" t="s">
        <v>397</v>
      </c>
      <c r="C15" s="135" t="n">
        <v>436.11</v>
      </c>
      <c r="D15" s="119" t="n">
        <v>2088721</v>
      </c>
      <c r="E15" s="136" t="n">
        <v>169385.115648</v>
      </c>
      <c r="F15" s="137" t="n">
        <v>44.455654</v>
      </c>
      <c r="G15" s="135" t="n">
        <v>311.92</v>
      </c>
      <c r="H15" s="135" t="n">
        <v>478</v>
      </c>
      <c r="I15" s="121" t="n">
        <v>1.01</v>
      </c>
    </row>
    <row r="16" customFormat="false" ht="15" hidden="false" customHeight="true" outlineLevel="0" collapsed="false">
      <c r="A16" s="114" t="s">
        <v>245</v>
      </c>
      <c r="B16" s="112" t="s">
        <v>393</v>
      </c>
      <c r="C16" s="135" t="n">
        <v>72.77</v>
      </c>
      <c r="D16" s="119" t="n">
        <v>1975132</v>
      </c>
      <c r="E16" s="136" t="n">
        <v>6678.957056</v>
      </c>
      <c r="F16" s="137" t="n">
        <v>23.028479</v>
      </c>
      <c r="G16" s="135" t="n">
        <v>44</v>
      </c>
      <c r="H16" s="135" t="n">
        <v>87.974</v>
      </c>
      <c r="I16" s="121"/>
    </row>
    <row r="17" customFormat="false" ht="15" hidden="false" customHeight="true" outlineLevel="0" collapsed="false">
      <c r="A17" s="114" t="s">
        <v>140</v>
      </c>
      <c r="B17" s="112" t="s">
        <v>141</v>
      </c>
      <c r="C17" s="135" t="n">
        <v>309.56</v>
      </c>
      <c r="D17" s="119" t="n">
        <v>4148627</v>
      </c>
      <c r="E17" s="136" t="n">
        <v>321187.84</v>
      </c>
      <c r="F17" s="137" t="n">
        <v>36.50472</v>
      </c>
      <c r="G17" s="135" t="n">
        <v>268.91</v>
      </c>
      <c r="H17" s="135" t="n">
        <v>388.84</v>
      </c>
      <c r="I17" s="121" t="n">
        <v>0.61</v>
      </c>
    </row>
    <row r="18" customFormat="false" ht="15" hidden="false" customHeight="true" outlineLevel="0" collapsed="false">
      <c r="A18" s="114" t="s">
        <v>162</v>
      </c>
      <c r="B18" s="112" t="s">
        <v>163</v>
      </c>
      <c r="C18" s="135" t="n">
        <v>69.42</v>
      </c>
      <c r="D18" s="119" t="n">
        <v>273443</v>
      </c>
      <c r="E18" s="136"/>
      <c r="F18" s="137" t="n">
        <v>24.468174</v>
      </c>
      <c r="G18" s="135" t="n">
        <v>63.24</v>
      </c>
      <c r="H18" s="135" t="n">
        <v>70.23</v>
      </c>
      <c r="I18" s="121" t="n">
        <v>0.62</v>
      </c>
    </row>
    <row r="19" customFormat="false" ht="15" hidden="false" customHeight="true" outlineLevel="0" collapsed="false">
      <c r="A19" s="114" t="s">
        <v>187</v>
      </c>
      <c r="B19" s="112" t="s">
        <v>188</v>
      </c>
      <c r="C19" s="135" t="n">
        <v>56.1</v>
      </c>
      <c r="D19" s="119" t="n">
        <v>4897921</v>
      </c>
      <c r="E19" s="136"/>
      <c r="F19" s="137" t="n">
        <v>24.939985</v>
      </c>
      <c r="G19" s="135" t="n">
        <v>55.1</v>
      </c>
      <c r="H19" s="135" t="n">
        <v>59.9</v>
      </c>
      <c r="I19" s="121" t="n">
        <v>7.97</v>
      </c>
    </row>
    <row r="20" customFormat="false" ht="15" hidden="false" customHeight="true" outlineLevel="0" collapsed="false">
      <c r="A20" s="114" t="s">
        <v>152</v>
      </c>
      <c r="B20" s="112" t="s">
        <v>153</v>
      </c>
      <c r="C20" s="135" t="n">
        <v>61.04</v>
      </c>
      <c r="D20" s="119" t="n">
        <v>7333590</v>
      </c>
      <c r="E20" s="136" t="n">
        <v>225986.3</v>
      </c>
      <c r="F20" s="137" t="n">
        <v>29.525686</v>
      </c>
      <c r="G20" s="135" t="n">
        <v>53.51</v>
      </c>
      <c r="H20" s="135" t="n">
        <v>61.72</v>
      </c>
      <c r="I20" s="121" t="n">
        <v>10.84</v>
      </c>
    </row>
    <row r="21" customFormat="false" ht="15" hidden="false" customHeight="true" outlineLevel="0" collapsed="false">
      <c r="A21" s="114" t="s">
        <v>275</v>
      </c>
      <c r="B21" s="112" t="s">
        <v>401</v>
      </c>
      <c r="C21" s="135" t="n">
        <v>54.33</v>
      </c>
      <c r="D21" s="119" t="n">
        <v>1354391</v>
      </c>
      <c r="E21" s="136" t="n">
        <v>5492.982272</v>
      </c>
      <c r="F21" s="137" t="n">
        <v>61.73864</v>
      </c>
      <c r="G21" s="135" t="n">
        <v>32.55</v>
      </c>
      <c r="H21" s="135" t="n">
        <v>77.68</v>
      </c>
      <c r="I21" s="121" t="n">
        <v>3.61</v>
      </c>
    </row>
    <row r="22" customFormat="false" ht="15" hidden="false" customHeight="true" outlineLevel="0" collapsed="false">
      <c r="A22" s="114" t="s">
        <v>106</v>
      </c>
      <c r="B22" s="112" t="s">
        <v>107</v>
      </c>
      <c r="C22" s="135" t="n">
        <v>206.89</v>
      </c>
      <c r="D22" s="119" t="n">
        <v>7356292</v>
      </c>
      <c r="E22" s="136" t="n">
        <v>269992.787968</v>
      </c>
      <c r="F22" s="137" t="n">
        <v>56.52732</v>
      </c>
      <c r="G22" s="135" t="n">
        <v>98.097</v>
      </c>
      <c r="H22" s="135" t="n">
        <v>307.37</v>
      </c>
      <c r="I22" s="121" t="n">
        <v>0.44</v>
      </c>
    </row>
    <row r="23" customFormat="false" ht="15" hidden="false" customHeight="true" outlineLevel="0" collapsed="false">
      <c r="A23" s="114" t="s">
        <v>252</v>
      </c>
      <c r="B23" s="112" t="s">
        <v>371</v>
      </c>
      <c r="C23" s="135" t="n">
        <v>479.48</v>
      </c>
      <c r="D23" s="119" t="n">
        <v>2534284</v>
      </c>
      <c r="E23" s="136" t="n">
        <v>221030.776832</v>
      </c>
      <c r="F23" s="137" t="n">
        <v>30.954165</v>
      </c>
      <c r="G23" s="135" t="n">
        <v>387.78</v>
      </c>
      <c r="H23" s="135" t="n">
        <v>548.2</v>
      </c>
      <c r="I23" s="121" t="n">
        <v>1.33</v>
      </c>
    </row>
    <row r="24" customFormat="false" ht="15" hidden="false" customHeight="true" outlineLevel="0" collapsed="false">
      <c r="A24" s="114" t="s">
        <v>136</v>
      </c>
      <c r="B24" s="112" t="s">
        <v>137</v>
      </c>
      <c r="C24" s="135" t="n">
        <v>51.17</v>
      </c>
      <c r="D24" s="119" t="n">
        <v>347350</v>
      </c>
      <c r="E24" s="136"/>
      <c r="F24" s="137" t="n">
        <v>17.65314</v>
      </c>
      <c r="G24" s="135" t="n">
        <v>49.15</v>
      </c>
      <c r="H24" s="135" t="n">
        <v>58.47</v>
      </c>
      <c r="I24" s="121"/>
    </row>
    <row r="25" customFormat="false" ht="15" hidden="false" customHeight="true" outlineLevel="0" collapsed="false">
      <c r="A25" s="114" t="s">
        <v>108</v>
      </c>
      <c r="B25" s="112" t="s">
        <v>109</v>
      </c>
      <c r="C25" s="135" t="n">
        <v>1074.89</v>
      </c>
      <c r="D25" s="119" t="n">
        <v>27337514</v>
      </c>
      <c r="E25" s="136" t="n">
        <v>1213973.397504</v>
      </c>
      <c r="F25" s="137" t="n">
        <v>14.451332</v>
      </c>
      <c r="G25" s="135" t="n">
        <v>179.61</v>
      </c>
      <c r="H25" s="135" t="n">
        <v>1255</v>
      </c>
      <c r="I25" s="121" t="n">
        <v>0.06</v>
      </c>
    </row>
    <row r="26" customFormat="false" ht="15" hidden="false" customHeight="true" outlineLevel="0" collapsed="false">
      <c r="A26" s="114" t="s">
        <v>143</v>
      </c>
      <c r="B26" s="112" t="s">
        <v>144</v>
      </c>
      <c r="C26" s="135" t="n">
        <v>67.06</v>
      </c>
      <c r="D26" s="119" t="n">
        <v>38672123</v>
      </c>
      <c r="E26" s="136" t="n">
        <v>279233.789952</v>
      </c>
      <c r="F26" s="137" t="n">
        <v>21.088049</v>
      </c>
      <c r="G26" s="135" t="n">
        <v>65.08</v>
      </c>
      <c r="H26" s="135" t="n">
        <v>124.86</v>
      </c>
      <c r="I26" s="121"/>
    </row>
    <row r="27" customFormat="false" ht="15" hidden="false" customHeight="true" outlineLevel="0" collapsed="false">
      <c r="A27" s="114" t="s">
        <v>110</v>
      </c>
      <c r="B27" s="112" t="s">
        <v>111</v>
      </c>
      <c r="C27" s="135" t="n">
        <v>233.95</v>
      </c>
      <c r="D27" s="119" t="n">
        <v>135167817</v>
      </c>
      <c r="E27" s="136" t="n">
        <v>5649190.617088</v>
      </c>
      <c r="F27" s="137" t="n">
        <v>29.576487</v>
      </c>
      <c r="G27" s="135" t="n">
        <v>164.27</v>
      </c>
      <c r="H27" s="135" t="n">
        <v>237.88</v>
      </c>
      <c r="I27" s="121" t="n">
        <v>0.43</v>
      </c>
    </row>
    <row r="28" customFormat="false" ht="15" hidden="false" customHeight="true" outlineLevel="0" collapsed="false">
      <c r="A28" s="114" t="s">
        <v>263</v>
      </c>
      <c r="B28" s="112" t="s">
        <v>379</v>
      </c>
      <c r="C28" s="135" t="n">
        <v>144.91</v>
      </c>
      <c r="D28" s="119" t="n">
        <v>6219527</v>
      </c>
      <c r="E28" s="136" t="n">
        <v>336578.47808</v>
      </c>
      <c r="F28" s="137" t="n">
        <v>21.889729</v>
      </c>
      <c r="G28" s="135" t="n">
        <v>137.62</v>
      </c>
      <c r="H28" s="135" t="n">
        <v>167.25</v>
      </c>
      <c r="I28" s="121" t="n">
        <v>3</v>
      </c>
    </row>
    <row r="29" customFormat="false" ht="15" hidden="false" customHeight="true" outlineLevel="0" collapsed="false">
      <c r="A29" s="114" t="s">
        <v>265</v>
      </c>
      <c r="B29" s="112" t="s">
        <v>395</v>
      </c>
      <c r="C29" s="135" t="n">
        <v>972.55</v>
      </c>
      <c r="D29" s="119" t="n">
        <v>343039</v>
      </c>
      <c r="E29" s="136" t="n">
        <v>122650.632192</v>
      </c>
      <c r="F29" s="137" t="n">
        <v>34.12456</v>
      </c>
      <c r="G29" s="135" t="n">
        <v>715.37</v>
      </c>
      <c r="H29" s="135" t="n">
        <v>1099.94</v>
      </c>
      <c r="I29" s="121" t="n">
        <v>0.82</v>
      </c>
    </row>
    <row r="30" customFormat="false" ht="15" hidden="false" customHeight="true" outlineLevel="0" collapsed="false">
      <c r="A30" s="114" t="s">
        <v>170</v>
      </c>
      <c r="B30" s="112" t="s">
        <v>337</v>
      </c>
      <c r="C30" s="135" t="n">
        <v>128.91</v>
      </c>
      <c r="D30" s="119" t="n">
        <v>3811300</v>
      </c>
      <c r="E30" s="136" t="n">
        <v>125312.303104</v>
      </c>
      <c r="F30" s="137" t="n">
        <v>28.71047</v>
      </c>
      <c r="G30" s="135" t="n">
        <v>111.03</v>
      </c>
      <c r="H30" s="135" t="n">
        <v>153.35</v>
      </c>
      <c r="I30" s="121" t="n">
        <v>3.32</v>
      </c>
    </row>
    <row r="31" customFormat="false" ht="15" hidden="false" customHeight="true" outlineLevel="0" collapsed="false">
      <c r="A31" s="114" t="s">
        <v>112</v>
      </c>
      <c r="B31" s="112" t="s">
        <v>113</v>
      </c>
      <c r="C31" s="135" t="n">
        <v>188.75</v>
      </c>
      <c r="D31" s="119" t="n">
        <v>17932108</v>
      </c>
      <c r="E31" s="136" t="n">
        <v>453577.27744</v>
      </c>
      <c r="F31" s="137" t="n">
        <v>161.3248</v>
      </c>
      <c r="G31" s="135" t="n">
        <v>106.37</v>
      </c>
      <c r="H31" s="135" t="n">
        <v>207.52</v>
      </c>
      <c r="I31" s="121"/>
    </row>
    <row r="32" customFormat="false" ht="15" hidden="false" customHeight="true" outlineLevel="0" collapsed="false">
      <c r="A32" s="114" t="s">
        <v>132</v>
      </c>
      <c r="B32" s="112" t="s">
        <v>133</v>
      </c>
      <c r="C32" s="135" t="n">
        <v>32.72</v>
      </c>
      <c r="D32" s="119" t="n">
        <v>20649814</v>
      </c>
      <c r="E32" s="136"/>
      <c r="F32" s="137" t="n">
        <v>18.057316</v>
      </c>
      <c r="G32" s="135" t="n">
        <v>26.32</v>
      </c>
      <c r="H32" s="135" t="n">
        <v>35.31</v>
      </c>
      <c r="I32" s="121" t="n">
        <v>3</v>
      </c>
    </row>
    <row r="33" customFormat="false" ht="15" hidden="false" customHeight="true" outlineLevel="0" collapsed="false">
      <c r="A33" s="114" t="s">
        <v>405</v>
      </c>
      <c r="B33" s="112" t="s">
        <v>406</v>
      </c>
      <c r="C33" s="135" t="n">
        <v>48.74</v>
      </c>
      <c r="D33" s="119" t="n">
        <v>11141176</v>
      </c>
      <c r="E33" s="136" t="n">
        <v>72337.145856</v>
      </c>
      <c r="F33" s="137" t="n">
        <v>23.775612</v>
      </c>
      <c r="G33" s="135" t="n">
        <v>31.64</v>
      </c>
      <c r="H33" s="135" t="n">
        <v>60.46</v>
      </c>
      <c r="I33" s="121" t="n">
        <v>2.42</v>
      </c>
    </row>
    <row r="34" customFormat="false" ht="15" hidden="false" customHeight="true" outlineLevel="0" collapsed="false">
      <c r="A34" s="114" t="s">
        <v>138</v>
      </c>
      <c r="B34" s="112" t="s">
        <v>139</v>
      </c>
      <c r="C34" s="135" t="n">
        <v>153.23</v>
      </c>
      <c r="D34" s="119" t="n">
        <v>2110789</v>
      </c>
      <c r="E34" s="136" t="n">
        <v>100824.6</v>
      </c>
      <c r="F34" s="137" t="n">
        <v>28.292862</v>
      </c>
      <c r="G34" s="135" t="n">
        <v>107.24</v>
      </c>
      <c r="H34" s="135" t="n">
        <v>162.3</v>
      </c>
      <c r="I34" s="121" t="n">
        <v>0.71</v>
      </c>
    </row>
    <row r="35" customFormat="false" ht="15" hidden="false" customHeight="true" outlineLevel="0" collapsed="false">
      <c r="A35" s="114" t="s">
        <v>114</v>
      </c>
      <c r="B35" s="112" t="s">
        <v>348</v>
      </c>
      <c r="C35" s="135" t="n">
        <v>472.78</v>
      </c>
      <c r="D35" s="119" t="n">
        <v>9722477</v>
      </c>
      <c r="E35" s="136" t="n">
        <v>2452061.159424</v>
      </c>
      <c r="F35" s="137" t="n">
        <v>35.334827</v>
      </c>
      <c r="G35" s="135" t="n">
        <v>266.82</v>
      </c>
      <c r="H35" s="135" t="n">
        <v>479</v>
      </c>
      <c r="I35" s="121" t="n">
        <v>0.86</v>
      </c>
    </row>
    <row r="36" customFormat="false" ht="15" hidden="false" customHeight="true" outlineLevel="0" collapsed="false">
      <c r="A36" s="114" t="s">
        <v>118</v>
      </c>
      <c r="B36" s="112" t="s">
        <v>119</v>
      </c>
      <c r="C36" s="135" t="n">
        <v>360.66</v>
      </c>
      <c r="D36" s="119" t="n">
        <v>3987848</v>
      </c>
      <c r="E36" s="136" t="n">
        <v>677086.953472</v>
      </c>
      <c r="F36" s="137" t="n">
        <v>30.668367</v>
      </c>
      <c r="G36" s="135" t="n">
        <v>293.89</v>
      </c>
      <c r="H36" s="135" t="n">
        <v>385.57</v>
      </c>
      <c r="I36" s="121" t="n">
        <v>0.74</v>
      </c>
    </row>
    <row r="37" customFormat="false" ht="15" hidden="false" customHeight="true" outlineLevel="0" collapsed="false">
      <c r="A37" s="114" t="s">
        <v>407</v>
      </c>
      <c r="B37" s="112" t="s">
        <v>408</v>
      </c>
      <c r="C37" s="135" t="n">
        <v>273.33</v>
      </c>
      <c r="D37" s="119" t="n">
        <v>1077706</v>
      </c>
      <c r="E37" s="136" t="n">
        <v>44254.543872</v>
      </c>
      <c r="F37" s="137" t="n">
        <v>44.808197</v>
      </c>
      <c r="G37" s="135" t="n">
        <v>148.05</v>
      </c>
      <c r="H37" s="135" t="n">
        <v>310.5</v>
      </c>
      <c r="I37" s="121"/>
    </row>
    <row r="38" customFormat="false" ht="15" hidden="false" customHeight="true" outlineLevel="0" collapsed="false">
      <c r="A38" s="114" t="s">
        <v>129</v>
      </c>
      <c r="B38" s="112" t="s">
        <v>130</v>
      </c>
      <c r="C38" s="135" t="n">
        <v>51.82</v>
      </c>
      <c r="D38" s="119" t="n">
        <v>3089053</v>
      </c>
      <c r="E38" s="136"/>
      <c r="F38" s="137" t="n">
        <v>16.458015</v>
      </c>
      <c r="G38" s="135" t="n">
        <v>36.56</v>
      </c>
      <c r="H38" s="135" t="n">
        <v>56.44</v>
      </c>
      <c r="I38" s="121" t="n">
        <v>1.01</v>
      </c>
    </row>
    <row r="39" customFormat="false" ht="15" hidden="false" customHeight="true" outlineLevel="0" collapsed="false">
      <c r="A39" s="114" t="s">
        <v>116</v>
      </c>
      <c r="B39" s="112" t="s">
        <v>117</v>
      </c>
      <c r="C39" s="135" t="n">
        <v>252.18</v>
      </c>
      <c r="D39" s="119" t="n">
        <v>3336969</v>
      </c>
      <c r="E39" s="136" t="n">
        <v>97086.308352</v>
      </c>
      <c r="F39" s="137" t="n">
        <v>57.183674</v>
      </c>
      <c r="G39" s="135" t="n">
        <v>147.82</v>
      </c>
      <c r="H39" s="135" t="n">
        <v>379.935</v>
      </c>
      <c r="I39" s="121" t="n">
        <v>0.1</v>
      </c>
    </row>
    <row r="40" customFormat="false" ht="15" hidden="false" customHeight="true" outlineLevel="0" collapsed="false">
      <c r="A40" s="114" t="s">
        <v>167</v>
      </c>
      <c r="B40" s="112" t="s">
        <v>168</v>
      </c>
      <c r="C40" s="135" t="n">
        <v>504.73</v>
      </c>
      <c r="D40" s="119" t="n">
        <v>939658</v>
      </c>
      <c r="E40" s="136" t="n">
        <v>127929.335808</v>
      </c>
      <c r="F40" s="137" t="n">
        <v>29.413172</v>
      </c>
      <c r="G40" s="135" t="n">
        <v>400.74</v>
      </c>
      <c r="H40" s="135" t="n">
        <v>560.25</v>
      </c>
      <c r="I40" s="121"/>
    </row>
    <row r="41" customFormat="false" ht="15" hidden="false" customHeight="true" outlineLevel="0" collapsed="false">
      <c r="A41" s="114" t="s">
        <v>134</v>
      </c>
      <c r="B41" s="112" t="s">
        <v>135</v>
      </c>
      <c r="C41" s="135" t="n">
        <v>156.46</v>
      </c>
      <c r="D41" s="119" t="n">
        <v>1229990</v>
      </c>
      <c r="E41" s="136"/>
      <c r="F41" s="137" t="n">
        <v>19.653795</v>
      </c>
      <c r="G41" s="135" t="n">
        <v>137.42</v>
      </c>
      <c r="H41" s="135" t="n">
        <v>167.61</v>
      </c>
      <c r="I41" s="121" t="n">
        <v>2.22</v>
      </c>
    </row>
    <row r="42" customFormat="false" ht="15" hidden="false" customHeight="true" outlineLevel="0" collapsed="false">
      <c r="A42" s="114" t="s">
        <v>273</v>
      </c>
      <c r="B42" s="112" t="s">
        <v>384</v>
      </c>
      <c r="C42" s="135" t="n">
        <v>136.12</v>
      </c>
      <c r="D42" s="119" t="n">
        <v>1751563</v>
      </c>
      <c r="E42" s="136" t="n">
        <v>37147.295744</v>
      </c>
      <c r="F42" s="137" t="n">
        <v>17.143576</v>
      </c>
      <c r="G42" s="135" t="n">
        <v>134.26</v>
      </c>
      <c r="H42" s="135" t="n">
        <v>170.14</v>
      </c>
      <c r="I42" s="121" t="n">
        <v>2.2</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V7" activeCellId="0" sqref="V7"/>
    </sheetView>
  </sheetViews>
  <sheetFormatPr defaultColWidth="8.66796875" defaultRowHeight="14.25" customHeight="false" zeroHeight="false" outlineLevelRow="0" outlineLevelCol="0"/>
  <cols>
    <col collapsed="false" customWidth="true" hidden="false" outlineLevel="0" max="1" min="1" style="1" width="10.78"/>
    <col collapsed="false" customWidth="true" hidden="false" outlineLevel="0" max="21" min="2" style="1" width="5.66"/>
    <col collapsed="false" customWidth="true" hidden="false" outlineLevel="0" max="22" min="22" style="1" width="4.11"/>
    <col collapsed="false" customWidth="true" hidden="false" outlineLevel="0" max="40" min="23" style="1" width="10.11"/>
    <col collapsed="false" customWidth="true" hidden="false" outlineLevel="0" max="46" min="42" style="1" width="4.11"/>
  </cols>
  <sheetData>
    <row r="1" customFormat="false" ht="27" hidden="false" customHeight="true" outlineLevel="0" collapsed="false">
      <c r="A1" s="138" t="s">
        <v>436</v>
      </c>
      <c r="B1" s="138"/>
      <c r="C1" s="138"/>
      <c r="D1" s="138"/>
      <c r="E1" s="138"/>
      <c r="F1" s="138"/>
      <c r="G1" s="138"/>
      <c r="H1" s="138"/>
      <c r="I1" s="138"/>
      <c r="J1" s="138"/>
      <c r="K1" s="138"/>
      <c r="L1" s="138"/>
      <c r="M1" s="138"/>
      <c r="N1" s="138"/>
      <c r="O1" s="138"/>
      <c r="P1" s="138"/>
      <c r="Q1" s="138"/>
      <c r="R1" s="138"/>
      <c r="S1" s="138"/>
      <c r="T1" s="138"/>
      <c r="U1" s="138"/>
    </row>
    <row r="2" customFormat="false" ht="15" hidden="false" customHeight="true" outlineLevel="0" collapsed="false">
      <c r="A2" s="110" t="s">
        <v>278</v>
      </c>
      <c r="B2" s="110" t="str">
        <f aca="false">'Price History'!B2</f>
        <v>ADBE</v>
      </c>
      <c r="C2" s="110" t="str">
        <f aca="false">'Price History'!C2</f>
        <v>ANET</v>
      </c>
      <c r="D2" s="110" t="str">
        <f aca="false">'Price History'!D2</f>
        <v>ASML</v>
      </c>
      <c r="E2" s="110" t="str">
        <f aca="false">'Price History'!E2</f>
        <v>AVGO</v>
      </c>
      <c r="F2" s="110" t="str">
        <f aca="false">'Price History'!F2</f>
        <v>CRWD</v>
      </c>
      <c r="G2" s="110" t="str">
        <f aca="false">'Price History'!G2</f>
        <v>KLAC</v>
      </c>
      <c r="H2" s="110" t="str">
        <f aca="false">'Price History'!H2</f>
        <v>MU</v>
      </c>
      <c r="I2" s="110" t="str">
        <f aca="false">'Price History'!I2</f>
        <v>NVDA</v>
      </c>
      <c r="J2" s="110" t="str">
        <f aca="false">'Price History'!J2</f>
        <v>PLD</v>
      </c>
      <c r="K2" s="110" t="str">
        <f aca="false">'Price History'!K2</f>
        <v>PLTR</v>
      </c>
      <c r="L2" s="110" t="str">
        <f aca="false">'Price History'!L2</f>
        <v>TSM</v>
      </c>
      <c r="M2" s="110" t="str">
        <f aca="false">'Price History'!M2</f>
        <v>VRT</v>
      </c>
      <c r="N2" s="110" t="str">
        <f aca="false">'Price History'!N2</f>
        <v>VRTX</v>
      </c>
      <c r="O2" s="110" t="str">
        <f aca="false">'Price History'!O2</f>
        <v>AVUV</v>
      </c>
      <c r="P2" s="110" t="str">
        <f aca="false">'Price History'!P2</f>
        <v>DVY</v>
      </c>
      <c r="Q2" s="110" t="str">
        <f aca="false">'Price History'!Q2</f>
        <v>HELO</v>
      </c>
      <c r="R2" s="110" t="str">
        <f aca="false">'Price History'!R2</f>
        <v>JEPQ</v>
      </c>
      <c r="S2" s="110" t="str">
        <f aca="false">'Price History'!S2</f>
        <v>SPMO</v>
      </c>
      <c r="T2" s="110" t="str">
        <f aca="false">'Price History'!T2</f>
        <v>VFLO</v>
      </c>
      <c r="U2" s="110" t="str">
        <f aca="false">'Price History'!U2</f>
        <v>SCHD</v>
      </c>
      <c r="V2" s="139" t="str">
        <f aca="false">'Price History'!V2</f>
        <v>V</v>
      </c>
      <c r="W2" s="140" t="s">
        <v>437</v>
      </c>
      <c r="X2" s="140" t="s">
        <v>438</v>
      </c>
      <c r="Y2" s="140" t="s">
        <v>439</v>
      </c>
      <c r="Z2" s="140" t="s">
        <v>440</v>
      </c>
      <c r="AA2" s="140" t="s">
        <v>441</v>
      </c>
      <c r="AB2" s="140" t="s">
        <v>442</v>
      </c>
      <c r="AC2" s="140" t="s">
        <v>443</v>
      </c>
      <c r="AD2" s="140" t="s">
        <v>444</v>
      </c>
      <c r="AE2" s="140" t="s">
        <v>445</v>
      </c>
      <c r="AF2" s="140" t="s">
        <v>446</v>
      </c>
      <c r="AG2" s="140" t="s">
        <v>447</v>
      </c>
      <c r="AH2" s="140" t="s">
        <v>448</v>
      </c>
      <c r="AI2" s="140" t="s">
        <v>449</v>
      </c>
      <c r="AJ2" s="140" t="s">
        <v>450</v>
      </c>
      <c r="AK2" s="140" t="s">
        <v>451</v>
      </c>
      <c r="AL2" s="140" t="s">
        <v>452</v>
      </c>
      <c r="AM2" s="140" t="s">
        <v>453</v>
      </c>
      <c r="AN2" s="140" t="s">
        <v>454</v>
      </c>
      <c r="AO2" s="139" t="s">
        <v>455</v>
      </c>
      <c r="AP2" s="139" t="str">
        <f aca="false">'Price History'!W2</f>
        <v>VYM</v>
      </c>
      <c r="AQ2" s="139" t="str">
        <f aca="false">'Price History'!X2</f>
        <v>MLPI</v>
      </c>
      <c r="AR2" s="139" t="str">
        <f aca="false">'Price History'!Y2</f>
        <v>JEPI</v>
      </c>
      <c r="AS2" s="139" t="str">
        <f aca="false">'Price History'!Z2</f>
        <v>GE</v>
      </c>
      <c r="AT2" s="139" t="str">
        <f aca="false">'Price History'!AA2</f>
        <v>NFLX</v>
      </c>
    </row>
    <row r="3" customFormat="false" ht="15" hidden="false" customHeight="true" outlineLevel="0" collapsed="false">
      <c r="A3" s="141" t="n">
        <f aca="false">IF('Price History'!A4="","",'Price History'!A4)</f>
        <v>45191</v>
      </c>
      <c r="B3" s="142" t="n">
        <f aca="false">IFERROR(IF(OR(NOT(ISNUMBER('Price History'!B4)),NOT(ISNUMBER('Price History'!B3)),'Price History'!B3=0),"",'Price History'!B4/'Price History'!B3-1),"")</f>
        <v>-0.0302331297623325</v>
      </c>
      <c r="C3" s="142" t="n">
        <f aca="false">IFERROR(IF(OR(NOT(ISNUMBER('Price History'!C4)),NOT(ISNUMBER('Price History'!C3)),'Price History'!C3=0),"",'Price History'!C4/'Price History'!C3-1),"")</f>
        <v>-0.0238198354265916</v>
      </c>
      <c r="D3" s="142" t="n">
        <f aca="false">IFERROR(IF(OR(NOT(ISNUMBER('Price History'!D4)),NOT(ISNUMBER('Price History'!D3)),'Price History'!D3=0),"",'Price History'!D4/'Price History'!D3-1),"")</f>
        <v>-0.016013470558925</v>
      </c>
      <c r="E3" s="142" t="n">
        <f aca="false">IFERROR(IF(OR(NOT(ISNUMBER('Price History'!E4)),NOT(ISNUMBER('Price History'!E3)),'Price History'!E3=0),"",'Price History'!E4/'Price History'!E3-1),"")</f>
        <v>-0.0212195121951219</v>
      </c>
      <c r="F3" s="142" t="n">
        <f aca="false">IFERROR(IF(OR(NOT(ISNUMBER('Price History'!F4)),NOT(ISNUMBER('Price History'!F3)),'Price History'!F3=0),"",'Price History'!F4/'Price History'!F3-1),"")</f>
        <v>-0.0174081237911025</v>
      </c>
      <c r="G3" s="142" t="n">
        <f aca="false">IFERROR(IF(OR(NOT(ISNUMBER('Price History'!G4)),NOT(ISNUMBER('Price History'!G3)),'Price History'!G3=0),"",'Price History'!G4/'Price History'!G3-1),"")</f>
        <v>-0.00518602029312298</v>
      </c>
      <c r="H3" s="142" t="n">
        <f aca="false">IFERROR(IF(OR(NOT(ISNUMBER('Price History'!H4)),NOT(ISNUMBER('Price History'!H3)),'Price History'!H3=0),"",'Price History'!H4/'Price History'!H3-1),"")</f>
        <v>-0.0143249891477354</v>
      </c>
      <c r="I3" s="142" t="n">
        <f aca="false">IFERROR(IF(OR(NOT(ISNUMBER('Price History'!I4)),NOT(ISNUMBER('Price History'!I3)),'Price History'!I3=0),"",'Price History'!I4/'Price History'!I3-1),"")</f>
        <v>-0.0520904729266621</v>
      </c>
      <c r="J3" s="142" t="n">
        <f aca="false">IFERROR(IF(OR(NOT(ISNUMBER('Price History'!J4)),NOT(ISNUMBER('Price History'!J3)),'Price History'!J3=0),"",'Price History'!J4/'Price History'!J3-1),"")</f>
        <v>-0.073944921316166</v>
      </c>
      <c r="K3" s="142" t="n">
        <f aca="false">IFERROR(IF(OR(NOT(ISNUMBER('Price History'!K4)),NOT(ISNUMBER('Price History'!K3)),'Price History'!K3=0),"",'Price History'!K4/'Price History'!K3-1),"")</f>
        <v>-0.0782778864970646</v>
      </c>
      <c r="L3" s="142" t="n">
        <f aca="false">IFERROR(IF(OR(NOT(ISNUMBER('Price History'!L4)),NOT(ISNUMBER('Price History'!L3)),'Price History'!L3=0),"",'Price History'!L4/'Price History'!L3-1),"")</f>
        <v>-0.040466472303207</v>
      </c>
      <c r="M3" s="142" t="n">
        <f aca="false">IFERROR(IF(OR(NOT(ISNUMBER('Price History'!M4)),NOT(ISNUMBER('Price History'!M3)),'Price History'!M3=0),"",'Price History'!M4/'Price History'!M3-1),"")</f>
        <v>-0.0449763282482903</v>
      </c>
      <c r="N3" s="142" t="n">
        <f aca="false">IFERROR(IF(OR(NOT(ISNUMBER('Price History'!N4)),NOT(ISNUMBER('Price History'!N3)),'Price History'!N3=0),"",'Price History'!N4/'Price History'!N3-1),"")</f>
        <v>0.00180567497850381</v>
      </c>
      <c r="O3" s="142" t="n">
        <f aca="false">IFERROR(IF(OR(NOT(ISNUMBER('Price History'!O4)),NOT(ISNUMBER('Price History'!O3)),'Price History'!O3=0),"",'Price History'!O4/'Price History'!O3-1),"")</f>
        <v>-0.0292125879697251</v>
      </c>
      <c r="P3" s="142" t="n">
        <f aca="false">IFERROR(IF(OR(NOT(ISNUMBER('Price History'!P4)),NOT(ISNUMBER('Price History'!P3)),'Price History'!P3=0),"",'Price History'!P4/'Price History'!P3-1),"")</f>
        <v>-0.021373894025251</v>
      </c>
      <c r="Q3" s="142" t="str">
        <f aca="false">IFERROR(IF(OR(NOT(ISNUMBER('Price History'!Q4)),NOT(ISNUMBER('Price History'!Q3)),'Price History'!Q3=0),"",'Price History'!Q4/'Price History'!Q3-1),"")</f>
        <v/>
      </c>
      <c r="R3" s="142" t="n">
        <f aca="false">IFERROR(IF(OR(NOT(ISNUMBER('Price History'!R4)),NOT(ISNUMBER('Price History'!R3)),'Price History'!R3=0),"",'Price History'!R4/'Price History'!R3-1),"")</f>
        <v>-0.0269721577726219</v>
      </c>
      <c r="S3" s="142" t="n">
        <f aca="false">IFERROR(IF(OR(NOT(ISNUMBER('Price History'!S4)),NOT(ISNUMBER('Price History'!S3)),'Price History'!S3=0),"",'Price History'!S4/'Price History'!S3-1),"")</f>
        <v>-0.0242929030019088</v>
      </c>
      <c r="T3" s="142" t="n">
        <f aca="false">IFERROR(IF(OR(NOT(ISNUMBER('Price History'!T4)),NOT(ISNUMBER('Price History'!T3)),'Price History'!T3=0),"",'Price History'!T4/'Price History'!T3-1),"")</f>
        <v>-0.0146592709984151</v>
      </c>
      <c r="U3" s="142" t="n">
        <f aca="false">IFERROR(IF(OR(NOT(ISNUMBER('Price History'!U4)),NOT(ISNUMBER('Price History'!U3)),'Price History'!U3=0),"",'Price History'!U4/'Price History'!U3-1),"")</f>
        <v>-0.0229357798165137</v>
      </c>
      <c r="V3" s="143" t="n">
        <f aca="false">IFERROR(IF(OR(NOT(ISNUMBER('Price History'!V4)),NOT(ISNUMBER('Price History'!V3)),'Price History'!V3=0),"",'Price History'!V4/'Price History'!V3-1),"")</f>
        <v>-0.0248270593727454</v>
      </c>
      <c r="W3" s="144" t="n">
        <f aca="false">IFERROR('Price History'!B3+(INDEX('Price History'!B:B,MATCH(9.99E+307,'Returns (Calc)'!$A:$A)+1)-'Price History'!B3)*(ROW()-3)/(MATCH(9.99E+307,'Returns (Calc)'!$A:$A)-3),"")</f>
        <v>528.89</v>
      </c>
      <c r="X3" s="144" t="n">
        <f aca="false">IFERROR('Price History'!C3+(INDEX('Price History'!C:C,MATCH(9.99E+307,'Returns (Calc)'!$A:$A)+1)-'Price History'!C3)*(ROW()-3)/(MATCH(9.99E+307,'Returns (Calc)'!$A:$A)-3),"")</f>
        <v>46.18</v>
      </c>
      <c r="Y3" s="144" t="n">
        <f aca="false">IFERROR('Price History'!D3+(INDEX('Price History'!D:D,MATCH(9.99E+307,'Returns (Calc)'!$A:$A)+1)-'Price History'!D3)*(ROW()-3)/(MATCH(9.99E+307,'Returns (Calc)'!$A:$A)-3),"")</f>
        <v>582.01</v>
      </c>
      <c r="Z3" s="144" t="n">
        <f aca="false">IFERROR('Price History'!E3+(INDEX('Price History'!E:E,MATCH(9.99E+307,'Returns (Calc)'!$A:$A)+1)-'Price History'!E3)*(ROW()-3)/(MATCH(9.99E+307,'Returns (Calc)'!$A:$A)-3),"")</f>
        <v>82</v>
      </c>
      <c r="AA3" s="144" t="n">
        <f aca="false">IFERROR('Price History'!F3+(INDEX('Price History'!F:F,MATCH(9.99E+307,'Returns (Calc)'!$A:$A)+1)-'Price History'!F3)*(ROW()-3)/(MATCH(9.99E+307,'Returns (Calc)'!$A:$A)-3),"")</f>
        <v>41.36</v>
      </c>
      <c r="AB3" s="144" t="n">
        <f aca="false">IFERROR('Price History'!G3+(INDEX('Price History'!G:G,MATCH(9.99E+307,'Returns (Calc)'!$A:$A)+1)-'Price History'!G3)*(ROW()-3)/(MATCH(9.99E+307,'Returns (Calc)'!$A:$A)-3),"")</f>
        <v>44.35</v>
      </c>
      <c r="AC3" s="144" t="n">
        <f aca="false">IFERROR('Price History'!H3+(INDEX('Price History'!H:H,MATCH(9.99E+307,'Returns (Calc)'!$A:$A)+1)-'Price History'!H3)*(ROW()-3)/(MATCH(9.99E+307,'Returns (Calc)'!$A:$A)-3),"")</f>
        <v>69.11</v>
      </c>
      <c r="AD3" s="144" t="n">
        <f aca="false">IFERROR('Price History'!I3+(INDEX('Price History'!I:I,MATCH(9.99E+307,'Returns (Calc)'!$A:$A)+1)-'Price History'!I3)*(ROW()-3)/(MATCH(9.99E+307,'Returns (Calc)'!$A:$A)-3),"")</f>
        <v>43.77</v>
      </c>
      <c r="AE3" s="144" t="n">
        <f aca="false">IFERROR('Price History'!J3+(INDEX('Price History'!J:J,MATCH(9.99E+307,'Returns (Calc)'!$A:$A)+1)-'Price History'!J3)*(ROW()-3)/(MATCH(9.99E+307,'Returns (Calc)'!$A:$A)-3),"")</f>
        <v>111.84</v>
      </c>
      <c r="AF3" s="144" t="n">
        <f aca="false">IFERROR('Price History'!K3+(INDEX('Price History'!K:K,MATCH(9.99E+307,'Returns (Calc)'!$A:$A)+1)-'Price History'!K3)*(ROW()-3)/(MATCH(9.99E+307,'Returns (Calc)'!$A:$A)-3),"")</f>
        <v>15.33</v>
      </c>
      <c r="AG3" s="144" t="n">
        <f aca="false">IFERROR('Price History'!L3+(INDEX('Price History'!L:L,MATCH(9.99E+307,'Returns (Calc)'!$A:$A)+1)-'Price History'!L3)*(ROW()-3)/(MATCH(9.99E+307,'Returns (Calc)'!$A:$A)-3),"")</f>
        <v>85.75</v>
      </c>
      <c r="AH3" s="144" t="n">
        <f aca="false">IFERROR('Price History'!M3+(INDEX('Price History'!M:M,MATCH(9.99E+307,'Returns (Calc)'!$A:$A)+1)-'Price History'!M3)*(ROW()-3)/(MATCH(9.99E+307,'Returns (Calc)'!$A:$A)-3),"")</f>
        <v>38.02</v>
      </c>
      <c r="AI3" s="144" t="n">
        <f aca="false">IFERROR('Price History'!N3+(INDEX('Price History'!N:N,MATCH(9.99E+307,'Returns (Calc)'!$A:$A)+1)-'Price History'!N3)*(ROW()-3)/(MATCH(9.99E+307,'Returns (Calc)'!$A:$A)-3),"")</f>
        <v>348.9</v>
      </c>
      <c r="AJ3" s="144" t="n">
        <f aca="false">IFERROR('Price History'!O3+(INDEX('Price History'!O:O,MATCH(9.99E+307,'Returns (Calc)'!$A:$A)+1)-'Price History'!O3)*(ROW()-3)/(MATCH(9.99E+307,'Returns (Calc)'!$A:$A)-3),"")</f>
        <v>75.31</v>
      </c>
      <c r="AK3" s="144" t="n">
        <f aca="false">IFERROR('Price History'!Q3+(INDEX('Price History'!Q:Q,MATCH(9.99E+307,'Returns (Calc)'!$A:$A)+1)-'Price History'!Q3)*(ROW()-3)/(MATCH(9.99E+307,'Returns (Calc)'!$A:$A)-3),"")</f>
        <v>0</v>
      </c>
      <c r="AL3" s="144" t="n">
        <f aca="false">IFERROR('Price History'!R3+(INDEX('Price History'!R:R,MATCH(9.99E+307,'Returns (Calc)'!$A:$A)+1)-'Price History'!R3)*(ROW()-3)/(MATCH(9.99E+307,'Returns (Calc)'!$A:$A)-3),"")</f>
        <v>34.48</v>
      </c>
      <c r="AM3" s="144" t="n">
        <f aca="false">IFERROR('Price History'!S3+(INDEX('Price History'!S:S,MATCH(9.99E+307,'Returns (Calc)'!$A:$A)+1)-'Price History'!S3)*(ROW()-3)/(MATCH(9.99E+307,'Returns (Calc)'!$A:$A)-3),"")</f>
        <v>57.63</v>
      </c>
      <c r="AN3" s="144" t="n">
        <f aca="false">IFERROR('Price History'!T3+(INDEX('Price History'!T:T,MATCH(9.99E+307,'Returns (Calc)'!$A:$A)+1)-'Price History'!T3)*(ROW()-3)/(MATCH(9.99E+307,'Returns (Calc)'!$A:$A)-3),"")</f>
        <v>25.24</v>
      </c>
      <c r="AO3" s="145" t="n">
        <f aca="false">IFERROR('Price History'!V3+(INDEX('Price History'!V:V,MATCH(9.99E+307,'Returns (Calc)'!$A:$A)+1)-'Price History'!V3)*(ROW()-3)/(MATCH(9.99E+307,'Returns (Calc)'!$A:$A)-3),"")</f>
        <v>235.63</v>
      </c>
      <c r="AP3" s="143" t="n">
        <f aca="false">IFERROR(IF(OR(NOT(ISNUMBER('Price History'!W4)),NOT(ISNUMBER('Price History'!W3)),'Price History'!W3=0),"",'Price History'!W4/'Price History'!W3-1),"")</f>
        <v>-0.0218074855462015</v>
      </c>
      <c r="AQ3" s="143" t="str">
        <f aca="false">IFERROR(IF(OR(NOT(ISNUMBER('Price History'!X4)),NOT(ISNUMBER('Price History'!X3)),'Price History'!X3=0),"",'Price History'!X4/'Price History'!X3-1),"")</f>
        <v/>
      </c>
      <c r="AR3" s="143" t="n">
        <f aca="false">IFERROR(IF(OR(NOT(ISNUMBER('Price History'!Y4)),NOT(ISNUMBER('Price History'!Y3)),'Price History'!Y3=0),"",'Price History'!Y4/'Price History'!Y3-1),"")</f>
        <v>-0.0187369882026369</v>
      </c>
      <c r="AS3" s="143" t="n">
        <f aca="false">IFERROR(IF(OR(NOT(ISNUMBER('Price History'!Z4)),NOT(ISNUMBER('Price History'!Z3)),'Price History'!Z3=0),"",'Price History'!Z4/'Price History'!Z3-1),"")</f>
        <v>-0.0367225408028232</v>
      </c>
      <c r="AT3" s="143" t="n">
        <f aca="false">IFERROR(IF(OR(NOT(ISNUMBER('Price History'!AA4)),NOT(ISNUMBER('Price History'!AA3)),'Price History'!AA3=0),"",'Price History'!AA4/'Price History'!AA3-1),"")</f>
        <v>-0.0430839002267573</v>
      </c>
    </row>
    <row r="4" customFormat="false" ht="15" hidden="false" customHeight="true" outlineLevel="0" collapsed="false">
      <c r="A4" s="141" t="n">
        <f aca="false">IF('Price History'!A5="","",'Price History'!A5)</f>
        <v>45198</v>
      </c>
      <c r="B4" s="142" t="n">
        <f aca="false">IFERROR(IF(OR(NOT(ISNUMBER('Price History'!B5)),NOT(ISNUMBER('Price History'!B4)),'Price History'!B4=0),"",'Price History'!B5/'Price History'!B4-1),"")</f>
        <v>-0.00584909339052442</v>
      </c>
      <c r="C4" s="142" t="n">
        <f aca="false">IFERROR(IF(OR(NOT(ISNUMBER('Price History'!C5)),NOT(ISNUMBER('Price History'!C4)),'Price History'!C4=0),"",'Price History'!C5/'Price History'!C4-1),"")</f>
        <v>0.0199645075421473</v>
      </c>
      <c r="D4" s="142" t="n">
        <f aca="false">IFERROR(IF(OR(NOT(ISNUMBER('Price History'!D5)),NOT(ISNUMBER('Price History'!D4)),'Price History'!D4=0),"",'Price History'!D5/'Price History'!D4-1),"")</f>
        <v>0.00265414098377836</v>
      </c>
      <c r="E4" s="142" t="n">
        <f aca="false">IFERROR(IF(OR(NOT(ISNUMBER('Price History'!E5)),NOT(ISNUMBER('Price History'!E4)),'Price History'!E4=0),"",'Price History'!E5/'Price History'!E4-1),"")</f>
        <v>0.00186892599053068</v>
      </c>
      <c r="F4" s="142" t="n">
        <f aca="false">IFERROR(IF(OR(NOT(ISNUMBER('Price History'!F5)),NOT(ISNUMBER('Price History'!F4)),'Price History'!F4=0),"",'Price History'!F5/'Price History'!F4-1),"")</f>
        <v>0.0297736220472442</v>
      </c>
      <c r="G4" s="142" t="n">
        <f aca="false">IFERROR(IF(OR(NOT(ISNUMBER('Price History'!G5)),NOT(ISNUMBER('Price History'!G4)),'Price History'!G4=0),"",'Price History'!G5/'Price History'!G4-1),"")</f>
        <v>0.0151858567543064</v>
      </c>
      <c r="H4" s="142" t="n">
        <f aca="false">IFERROR(IF(OR(NOT(ISNUMBER('Price History'!H5)),NOT(ISNUMBER('Price History'!H4)),'Price History'!H4=0),"",'Price History'!H5/'Price History'!H4-1),"")</f>
        <v>-0.0123311802701116</v>
      </c>
      <c r="I4" s="142" t="n">
        <f aca="false">IFERROR(IF(OR(NOT(ISNUMBER('Price History'!I5)),NOT(ISNUMBER('Price History'!I4)),'Price History'!I4=0),"",'Price History'!I5/'Price History'!I4-1),"")</f>
        <v>0.0453121234032297</v>
      </c>
      <c r="J4" s="142" t="n">
        <f aca="false">IFERROR(IF(OR(NOT(ISNUMBER('Price History'!J5)),NOT(ISNUMBER('Price History'!J4)),'Price History'!J4=0),"",'Price History'!J5/'Price History'!J4-1),"")</f>
        <v>-0.0163174664478131</v>
      </c>
      <c r="K4" s="142" t="n">
        <f aca="false">IFERROR(IF(OR(NOT(ISNUMBER('Price History'!K5)),NOT(ISNUMBER('Price History'!K4)),'Price History'!K4=0),"",'Price History'!K5/'Price History'!K4-1),"")</f>
        <v>0.132342533616419</v>
      </c>
      <c r="L4" s="142" t="n">
        <f aca="false">IFERROR(IF(OR(NOT(ISNUMBER('Price History'!L5)),NOT(ISNUMBER('Price History'!L4)),'Price History'!L4=0),"",'Price History'!L5/'Price History'!L4-1),"")</f>
        <v>0.0147058823529411</v>
      </c>
      <c r="M4" s="142" t="n">
        <f aca="false">IFERROR(IF(OR(NOT(ISNUMBER('Price History'!M5)),NOT(ISNUMBER('Price History'!M4)),'Price History'!M4=0),"",'Price History'!M5/'Price History'!M4-1),"")</f>
        <v>0.0206554668135499</v>
      </c>
      <c r="N4" s="142" t="n">
        <f aca="false">IFERROR(IF(OR(NOT(ISNUMBER('Price History'!N5)),NOT(ISNUMBER('Price History'!N4)),'Price History'!N4=0),"",'Price History'!N5/'Price History'!N4-1),"")</f>
        <v>-0.00512116270420271</v>
      </c>
      <c r="O4" s="142" t="n">
        <f aca="false">IFERROR(IF(OR(NOT(ISNUMBER('Price History'!O5)),NOT(ISNUMBER('Price History'!O4)),'Price History'!O4=0),"",'Price History'!O5/'Price History'!O4-1),"")</f>
        <v>0.0164136233073451</v>
      </c>
      <c r="P4" s="142" t="n">
        <f aca="false">IFERROR(IF(OR(NOT(ISNUMBER('Price History'!P5)),NOT(ISNUMBER('Price History'!P4)),'Price History'!P4=0),"",'Price History'!P5/'Price History'!P4-1),"")</f>
        <v>-0.0187931735067045</v>
      </c>
      <c r="Q4" s="142" t="str">
        <f aca="false">IFERROR(IF(OR(NOT(ISNUMBER('Price History'!Q5)),NOT(ISNUMBER('Price History'!Q4)),'Price History'!Q4=0),"",'Price History'!Q5/'Price History'!Q4-1),"")</f>
        <v/>
      </c>
      <c r="R4" s="142" t="n">
        <f aca="false">IFERROR(IF(OR(NOT(ISNUMBER('Price History'!R5)),NOT(ISNUMBER('Price History'!R4)),'Price History'!R4=0),"",'Price History'!R5/'Price History'!R4-1),"")</f>
        <v>0.000596125186289154</v>
      </c>
      <c r="S4" s="142" t="n">
        <f aca="false">IFERROR(IF(OR(NOT(ISNUMBER('Price History'!S5)),NOT(ISNUMBER('Price History'!S4)),'Price History'!S4=0),"",'Price History'!S5/'Price History'!S4-1),"")</f>
        <v>-0.00302329717232785</v>
      </c>
      <c r="T4" s="142" t="n">
        <f aca="false">IFERROR(IF(OR(NOT(ISNUMBER('Price History'!T5)),NOT(ISNUMBER('Price History'!T4)),'Price History'!T4=0),"",'Price History'!T5/'Price History'!T4-1),"")</f>
        <v>0.00281463610776034</v>
      </c>
      <c r="U4" s="142" t="n">
        <f aca="false">IFERROR(IF(OR(NOT(ISNUMBER('Price History'!U5)),NOT(ISNUMBER('Price History'!U4)),'Price History'!U4=0),"",'Price History'!U5/'Price History'!U4-1),"")</f>
        <v>-0.00751173708920183</v>
      </c>
      <c r="V4" s="143" t="n">
        <f aca="false">IFERROR(IF(OR(NOT(ISNUMBER('Price History'!V5)),NOT(ISNUMBER('Price History'!V4)),'Price History'!V4=0),"",'Price History'!V5/'Price History'!V4-1),"")</f>
        <v>-0.0215858647401863</v>
      </c>
      <c r="W4" s="144" t="n">
        <f aca="false">IFERROR('Price History'!B3+(INDEX('Price History'!B:B,MATCH(9.99E+307,'Returns (Calc)'!$A:$A)+1)-'Price History'!B3)*(ROW()-3)/(MATCH(9.99E+307,'Returns (Calc)'!$A:$A)-3),"")</f>
        <v>527.046962025317</v>
      </c>
      <c r="X4" s="144" t="n">
        <f aca="false">IFERROR('Price History'!C3+(INDEX('Price History'!C:C,MATCH(9.99E+307,'Returns (Calc)'!$A:$A)+1)-'Price History'!C3)*(ROW()-3)/(MATCH(9.99E+307,'Returns (Calc)'!$A:$A)-3),"")</f>
        <v>47.2000632911392</v>
      </c>
      <c r="Y4" s="144" t="n">
        <f aca="false">IFERROR('Price History'!D3+(INDEX('Price History'!D:D,MATCH(9.99E+307,'Returns (Calc)'!$A:$A)+1)-'Price History'!D3)*(ROW()-3)/(MATCH(9.99E+307,'Returns (Calc)'!$A:$A)-3),"")</f>
        <v>590.144810126582</v>
      </c>
      <c r="Z4" s="144" t="n">
        <f aca="false">IFERROR('Price History'!E3+(INDEX('Price History'!E:E,MATCH(9.99E+307,'Returns (Calc)'!$A:$A)+1)-'Price History'!E3)*(ROW()-3)/(MATCH(9.99E+307,'Returns (Calc)'!$A:$A)-3),"")</f>
        <v>83.7287341772152</v>
      </c>
      <c r="AA4" s="144" t="n">
        <f aca="false">IFERROR('Price History'!F3+(INDEX('Price History'!F:F,MATCH(9.99E+307,'Returns (Calc)'!$A:$A)+1)-'Price History'!F3)*(ROW()-3)/(MATCH(9.99E+307,'Returns (Calc)'!$A:$A)-3),"")</f>
        <v>42.8073417721519</v>
      </c>
      <c r="AB4" s="144" t="n">
        <f aca="false">IFERROR('Price History'!G3+(INDEX('Price History'!G:G,MATCH(9.99E+307,'Returns (Calc)'!$A:$A)+1)-'Price History'!G3)*(ROW()-3)/(MATCH(9.99E+307,'Returns (Calc)'!$A:$A)-3),"")</f>
        <v>45.3787341772152</v>
      </c>
      <c r="AC4" s="144" t="n">
        <f aca="false">IFERROR('Price History'!H3+(INDEX('Price History'!H:H,MATCH(9.99E+307,'Returns (Calc)'!$A:$A)+1)-'Price History'!H3)*(ROW()-3)/(MATCH(9.99E+307,'Returns (Calc)'!$A:$A)-3),"")</f>
        <v>75.4756962025317</v>
      </c>
      <c r="AD4" s="144" t="n">
        <f aca="false">IFERROR('Price History'!I3+(INDEX('Price History'!I:I,MATCH(9.99E+307,'Returns (Calc)'!$A:$A)+1)-'Price History'!I3)*(ROW()-3)/(MATCH(9.99E+307,'Returns (Calc)'!$A:$A)-3),"")</f>
        <v>44.973670886076</v>
      </c>
      <c r="AE4" s="144" t="n">
        <f aca="false">IFERROR('Price History'!J3+(INDEX('Price History'!J:J,MATCH(9.99E+307,'Returns (Calc)'!$A:$A)+1)-'Price History'!J3)*(ROW()-3)/(MATCH(9.99E+307,'Returns (Calc)'!$A:$A)-3),"")</f>
        <v>111.948037974684</v>
      </c>
      <c r="AF4" s="144" t="n">
        <f aca="false">IFERROR('Price History'!K3+(INDEX('Price History'!K:K,MATCH(9.99E+307,'Returns (Calc)'!$A:$A)+1)-'Price History'!K3)*(ROW()-3)/(MATCH(9.99E+307,'Returns (Calc)'!$A:$A)-3),"")</f>
        <v>16.4275949367089</v>
      </c>
      <c r="AG4" s="144" t="n">
        <f aca="false">IFERROR('Price History'!L3+(INDEX('Price History'!L:L,MATCH(9.99E+307,'Returns (Calc)'!$A:$A)+1)-'Price History'!L3)*(ROW()-3)/(MATCH(9.99E+307,'Returns (Calc)'!$A:$A)-3),"")</f>
        <v>88.1995569620253</v>
      </c>
      <c r="AH4" s="144" t="n">
        <f aca="false">IFERROR('Price History'!M3+(INDEX('Price History'!M:M,MATCH(9.99E+307,'Returns (Calc)'!$A:$A)+1)-'Price History'!M3)*(ROW()-3)/(MATCH(9.99E+307,'Returns (Calc)'!$A:$A)-3),"")</f>
        <v>39.3754430379747</v>
      </c>
      <c r="AI4" s="144" t="n">
        <f aca="false">IFERROR('Price History'!N3+(INDEX('Price History'!N:N,MATCH(9.99E+307,'Returns (Calc)'!$A:$A)+1)-'Price History'!N3)*(ROW()-3)/(MATCH(9.99E+307,'Returns (Calc)'!$A:$A)-3),"")</f>
        <v>349.886265822785</v>
      </c>
      <c r="AJ4" s="144" t="n">
        <f aca="false">IFERROR('Price History'!O3+(INDEX('Price History'!O:O,MATCH(9.99E+307,'Returns (Calc)'!$A:$A)+1)-'Price History'!O3)*(ROW()-3)/(MATCH(9.99E+307,'Returns (Calc)'!$A:$A)-3),"")</f>
        <v>75.5930379746835</v>
      </c>
      <c r="AK4" s="144" t="n">
        <f aca="false">IFERROR('Price History'!Q3+(INDEX('Price History'!Q:Q,MATCH(9.99E+307,'Returns (Calc)'!$A:$A)+1)-'Price History'!Q3)*(ROW()-3)/(MATCH(9.99E+307,'Returns (Calc)'!$A:$A)-3),"")</f>
        <v>0.439367088607595</v>
      </c>
      <c r="AL4" s="144" t="n">
        <f aca="false">IFERROR('Price History'!R3+(INDEX('Price History'!R:R,MATCH(9.99E+307,'Returns (Calc)'!$A:$A)+1)-'Price History'!R3)*(ROW()-3)/(MATCH(9.99E+307,'Returns (Calc)'!$A:$A)-3),"")</f>
        <v>34.6481012658228</v>
      </c>
      <c r="AM4" s="144" t="n">
        <f aca="false">IFERROR('Price History'!S3+(INDEX('Price History'!S:S,MATCH(9.99E+307,'Returns (Calc)'!$A:$A)+1)-'Price History'!S3)*(ROW()-3)/(MATCH(9.99E+307,'Returns (Calc)'!$A:$A)-3),"")</f>
        <v>58.2350632911392</v>
      </c>
      <c r="AN4" s="144" t="n">
        <f aca="false">IFERROR('Price History'!T3+(INDEX('Price History'!T:T,MATCH(9.99E+307,'Returns (Calc)'!$A:$A)+1)-'Price History'!T3)*(ROW()-3)/(MATCH(9.99E+307,'Returns (Calc)'!$A:$A)-3),"")</f>
        <v>25.4082278481013</v>
      </c>
      <c r="AO4" s="145" t="n">
        <f aca="false">IFERROR('Price History'!V3+(INDEX('Price History'!V:V,MATCH(9.99E+307,'Returns (Calc)'!$A:$A)+1)-'Price History'!V3)*(ROW()-3)/(MATCH(9.99E+307,'Returns (Calc)'!$A:$A)-3),"")</f>
        <v>236.421329113924</v>
      </c>
      <c r="AP4" s="143" t="n">
        <f aca="false">IFERROR(IF(OR(NOT(ISNUMBER('Price History'!W5)),NOT(ISNUMBER('Price History'!W4)),'Price History'!W4=0),"",'Price History'!W5/'Price History'!W4-1),"")</f>
        <v>-0.0127540439651598</v>
      </c>
      <c r="AQ4" s="143" t="str">
        <f aca="false">IFERROR(IF(OR(NOT(ISNUMBER('Price History'!X5)),NOT(ISNUMBER('Price History'!X4)),'Price History'!X4=0),"",'Price History'!X5/'Price History'!X4-1),"")</f>
        <v/>
      </c>
      <c r="AR4" s="143" t="n">
        <f aca="false">IFERROR(IF(OR(NOT(ISNUMBER('Price History'!Y5)),NOT(ISNUMBER('Price History'!Y4)),'Price History'!Y4=0),"",'Price History'!Y5/'Price History'!Y4-1),"")</f>
        <v>-0.011079679396511</v>
      </c>
      <c r="AS4" s="143" t="n">
        <f aca="false">IFERROR(IF(OR(NOT(ISNUMBER('Price History'!Z5)),NOT(ISNUMBER('Price History'!Z4)),'Price History'!Z4=0),"",'Price History'!Z5/'Price History'!Z4-1),"")</f>
        <v>-0.00560961648540348</v>
      </c>
      <c r="AT4" s="143" t="n">
        <f aca="false">IFERROR(IF(OR(NOT(ISNUMBER('Price History'!AA5)),NOT(ISNUMBER('Price History'!AA4)),'Price History'!AA4=0),"",'Price History'!AA5/'Price History'!AA4-1),"")</f>
        <v>-0.00579252238020012</v>
      </c>
    </row>
    <row r="5" customFormat="false" ht="15" hidden="false" customHeight="true" outlineLevel="0" collapsed="false">
      <c r="A5" s="141" t="n">
        <f aca="false">IF('Price History'!A6="","",'Price History'!A6)</f>
        <v>45205</v>
      </c>
      <c r="B5" s="142" t="n">
        <f aca="false">IFERROR(IF(OR(NOT(ISNUMBER('Price History'!B6)),NOT(ISNUMBER('Price History'!B5)),'Price History'!B5=0),"",'Price History'!B6/'Price History'!B5-1),"")</f>
        <v>0.0329084134143949</v>
      </c>
      <c r="C5" s="142" t="n">
        <f aca="false">IFERROR(IF(OR(NOT(ISNUMBER('Price History'!C6)),NOT(ISNUMBER('Price History'!C5)),'Price History'!C5=0),"",'Price History'!C6/'Price History'!C5-1),"")</f>
        <v>0.0550239234449761</v>
      </c>
      <c r="D5" s="142" t="n">
        <f aca="false">IFERROR(IF(OR(NOT(ISNUMBER('Price History'!D6)),NOT(ISNUMBER('Price History'!D5)),'Price History'!D5=0),"",'Price History'!D6/'Price History'!D5-1),"")</f>
        <v>0.0147681161944238</v>
      </c>
      <c r="E5" s="142" t="n">
        <f aca="false">IFERROR(IF(OR(NOT(ISNUMBER('Price History'!E6)),NOT(ISNUMBER('Price History'!E5)),'Price History'!E5=0),"",'Price History'!E6/'Price History'!E5-1),"")</f>
        <v>0.0176594950876756</v>
      </c>
      <c r="F5" s="142" t="n">
        <f aca="false">IFERROR(IF(OR(NOT(ISNUMBER('Price History'!F6)),NOT(ISNUMBER('Price History'!F5)),'Price History'!F5=0),"",'Price History'!F6/'Price History'!F5-1),"")</f>
        <v>0.055436081242533</v>
      </c>
      <c r="G5" s="142" t="n">
        <f aca="false">IFERROR(IF(OR(NOT(ISNUMBER('Price History'!G6)),NOT(ISNUMBER('Price History'!G5)),'Price History'!G5=0),"",'Price History'!G6/'Price History'!G5-1),"")</f>
        <v>0.0203170350524671</v>
      </c>
      <c r="H5" s="142" t="n">
        <f aca="false">IFERROR(IF(OR(NOT(ISNUMBER('Price History'!H6)),NOT(ISNUMBER('Price History'!H5)),'Price History'!H5=0),"",'Price History'!H6/'Price History'!H5-1),"")</f>
        <v>0.0300237812128419</v>
      </c>
      <c r="I5" s="142" t="n">
        <f aca="false">IFERROR(IF(OR(NOT(ISNUMBER('Price History'!I6)),NOT(ISNUMBER('Price History'!I5)),'Price History'!I5=0),"",'Price History'!I6/'Price History'!I5-1),"")</f>
        <v>0.0521097532856816</v>
      </c>
      <c r="J5" s="142" t="n">
        <f aca="false">IFERROR(IF(OR(NOT(ISNUMBER('Price History'!J6)),NOT(ISNUMBER('Price History'!J5)),'Price History'!J5=0),"",'Price History'!J6/'Price History'!J5-1),"")</f>
        <v>-0.0294464075382803</v>
      </c>
      <c r="K5" s="142" t="n">
        <f aca="false">IFERROR(IF(OR(NOT(ISNUMBER('Price History'!K6)),NOT(ISNUMBER('Price History'!K5)),'Price History'!K5=0),"",'Price History'!K6/'Price History'!K5-1),"")</f>
        <v>0.038125</v>
      </c>
      <c r="L5" s="142" t="n">
        <f aca="false">IFERROR(IF(OR(NOT(ISNUMBER('Price History'!L6)),NOT(ISNUMBER('Price History'!L5)),'Price History'!L5=0),"",'Price History'!L6/'Price History'!L5-1),"")</f>
        <v>0.0275482093663912</v>
      </c>
      <c r="M5" s="142" t="n">
        <f aca="false">IFERROR(IF(OR(NOT(ISNUMBER('Price History'!M6)),NOT(ISNUMBER('Price History'!M5)),'Price History'!M5=0),"",'Price History'!M6/'Price History'!M5-1),"")</f>
        <v>0.0690771721532648</v>
      </c>
      <c r="N5" s="142" t="n">
        <f aca="false">IFERROR(IF(OR(NOT(ISNUMBER('Price History'!N6)),NOT(ISNUMBER('Price History'!N5)),'Price History'!N5=0),"",'Price History'!N6/'Price History'!N5-1),"")</f>
        <v>0.0370391671938806</v>
      </c>
      <c r="O5" s="142" t="n">
        <f aca="false">IFERROR(IF(OR(NOT(ISNUMBER('Price History'!O6)),NOT(ISNUMBER('Price History'!O5)),'Price History'!O5=0),"",'Price History'!O6/'Price History'!O5-1),"")</f>
        <v>-0.0301439913874312</v>
      </c>
      <c r="P5" s="142" t="n">
        <f aca="false">IFERROR(IF(OR(NOT(ISNUMBER('Price History'!P6)),NOT(ISNUMBER('Price History'!P5)),'Price History'!P5=0),"",'Price History'!P6/'Price History'!P5-1),"")</f>
        <v>-0.0222590330261933</v>
      </c>
      <c r="Q5" s="142" t="n">
        <f aca="false">IFERROR(IF(OR(NOT(ISNUMBER('Price History'!Q6)),NOT(ISNUMBER('Price History'!Q5)),'Price History'!Q5=0),"",'Price History'!Q6/'Price History'!Q5-1),"")</f>
        <v>0.00327198364008185</v>
      </c>
      <c r="R5" s="142" t="n">
        <f aca="false">IFERROR(IF(OR(NOT(ISNUMBER('Price History'!R6)),NOT(ISNUMBER('Price History'!R5)),'Price History'!R5=0),"",'Price History'!R6/'Price History'!R5-1),"")</f>
        <v>0.0131069407208817</v>
      </c>
      <c r="S5" s="142" t="n">
        <f aca="false">IFERROR(IF(OR(NOT(ISNUMBER('Price History'!S6)),NOT(ISNUMBER('Price History'!S5)),'Price History'!S5=0),"",'Price History'!S6/'Price History'!S5-1),"")</f>
        <v>0.0110595790224759</v>
      </c>
      <c r="T5" s="142" t="n">
        <f aca="false">IFERROR(IF(OR(NOT(ISNUMBER('Price History'!T6)),NOT(ISNUMBER('Price History'!T5)),'Price History'!T5=0),"",'Price History'!T6/'Price History'!T5-1),"")</f>
        <v>-0.0188452285485166</v>
      </c>
      <c r="U5" s="142" t="n">
        <f aca="false">IFERROR(IF(OR(NOT(ISNUMBER('Price History'!U6)),NOT(ISNUMBER('Price History'!U5)),'Price History'!U5=0),"",'Price History'!U6/'Price History'!U5-1),"")</f>
        <v>-0.0160832544938505</v>
      </c>
      <c r="V5" s="143" t="n">
        <f aca="false">IFERROR(IF(OR(NOT(ISNUMBER('Price History'!V6)),NOT(ISNUMBER('Price History'!V5)),'Price History'!V5=0),"",'Price History'!V6/'Price History'!V5-1),"")</f>
        <v>0.0218841740058715</v>
      </c>
      <c r="W5" s="144" t="n">
        <f aca="false">IFERROR('Price History'!B3+(INDEX('Price History'!B:B,MATCH(9.99E+307,'Returns (Calc)'!$A:$A)+1)-'Price History'!B3)*(ROW()-3)/(MATCH(9.99E+307,'Returns (Calc)'!$A:$A)-3),"")</f>
        <v>525.203924050633</v>
      </c>
      <c r="X5" s="144" t="n">
        <f aca="false">IFERROR('Price History'!C3+(INDEX('Price History'!C:C,MATCH(9.99E+307,'Returns (Calc)'!$A:$A)+1)-'Price History'!C3)*(ROW()-3)/(MATCH(9.99E+307,'Returns (Calc)'!$A:$A)-3),"")</f>
        <v>48.2201265822785</v>
      </c>
      <c r="Y5" s="144" t="n">
        <f aca="false">IFERROR('Price History'!D3+(INDEX('Price History'!D:D,MATCH(9.99E+307,'Returns (Calc)'!$A:$A)+1)-'Price History'!D3)*(ROW()-3)/(MATCH(9.99E+307,'Returns (Calc)'!$A:$A)-3),"")</f>
        <v>598.279620253165</v>
      </c>
      <c r="Z5" s="144" t="n">
        <f aca="false">IFERROR('Price History'!E3+(INDEX('Price History'!E:E,MATCH(9.99E+307,'Returns (Calc)'!$A:$A)+1)-'Price History'!E3)*(ROW()-3)/(MATCH(9.99E+307,'Returns (Calc)'!$A:$A)-3),"")</f>
        <v>85.4574683544304</v>
      </c>
      <c r="AA5" s="144" t="n">
        <f aca="false">IFERROR('Price History'!F3+(INDEX('Price History'!F:F,MATCH(9.99E+307,'Returns (Calc)'!$A:$A)+1)-'Price History'!F3)*(ROW()-3)/(MATCH(9.99E+307,'Returns (Calc)'!$A:$A)-3),"")</f>
        <v>44.2546835443038</v>
      </c>
      <c r="AB5" s="144" t="n">
        <f aca="false">IFERROR('Price History'!G3+(INDEX('Price History'!G:G,MATCH(9.99E+307,'Returns (Calc)'!$A:$A)+1)-'Price History'!G3)*(ROW()-3)/(MATCH(9.99E+307,'Returns (Calc)'!$A:$A)-3),"")</f>
        <v>46.4074683544304</v>
      </c>
      <c r="AC5" s="144" t="n">
        <f aca="false">IFERROR('Price History'!H3+(INDEX('Price History'!H:H,MATCH(9.99E+307,'Returns (Calc)'!$A:$A)+1)-'Price History'!H3)*(ROW()-3)/(MATCH(9.99E+307,'Returns (Calc)'!$A:$A)-3),"")</f>
        <v>81.8413924050633</v>
      </c>
      <c r="AD5" s="144" t="n">
        <f aca="false">IFERROR('Price History'!I3+(INDEX('Price History'!I:I,MATCH(9.99E+307,'Returns (Calc)'!$A:$A)+1)-'Price History'!I3)*(ROW()-3)/(MATCH(9.99E+307,'Returns (Calc)'!$A:$A)-3),"")</f>
        <v>46.1773417721519</v>
      </c>
      <c r="AE5" s="144" t="n">
        <f aca="false">IFERROR('Price History'!J3+(INDEX('Price History'!J:J,MATCH(9.99E+307,'Returns (Calc)'!$A:$A)+1)-'Price History'!J3)*(ROW()-3)/(MATCH(9.99E+307,'Returns (Calc)'!$A:$A)-3),"")</f>
        <v>112.056075949367</v>
      </c>
      <c r="AF5" s="144" t="n">
        <f aca="false">IFERROR('Price History'!K3+(INDEX('Price History'!K:K,MATCH(9.99E+307,'Returns (Calc)'!$A:$A)+1)-'Price History'!K3)*(ROW()-3)/(MATCH(9.99E+307,'Returns (Calc)'!$A:$A)-3),"")</f>
        <v>17.5251898734177</v>
      </c>
      <c r="AG5" s="144" t="n">
        <f aca="false">IFERROR('Price History'!L3+(INDEX('Price History'!L:L,MATCH(9.99E+307,'Returns (Calc)'!$A:$A)+1)-'Price History'!L3)*(ROW()-3)/(MATCH(9.99E+307,'Returns (Calc)'!$A:$A)-3),"")</f>
        <v>90.6491139240506</v>
      </c>
      <c r="AH5" s="144" t="n">
        <f aca="false">IFERROR('Price History'!M3+(INDEX('Price History'!M:M,MATCH(9.99E+307,'Returns (Calc)'!$A:$A)+1)-'Price History'!M3)*(ROW()-3)/(MATCH(9.99E+307,'Returns (Calc)'!$A:$A)-3),"")</f>
        <v>40.7308860759494</v>
      </c>
      <c r="AI5" s="144" t="n">
        <f aca="false">IFERROR('Price History'!N3+(INDEX('Price History'!N:N,MATCH(9.99E+307,'Returns (Calc)'!$A:$A)+1)-'Price History'!N3)*(ROW()-3)/(MATCH(9.99E+307,'Returns (Calc)'!$A:$A)-3),"")</f>
        <v>350.87253164557</v>
      </c>
      <c r="AJ5" s="144" t="n">
        <f aca="false">IFERROR('Price History'!O3+(INDEX('Price History'!O:O,MATCH(9.99E+307,'Returns (Calc)'!$A:$A)+1)-'Price History'!O3)*(ROW()-3)/(MATCH(9.99E+307,'Returns (Calc)'!$A:$A)-3),"")</f>
        <v>75.8760759493671</v>
      </c>
      <c r="AK5" s="144" t="n">
        <f aca="false">IFERROR('Price History'!Q3+(INDEX('Price History'!Q:Q,MATCH(9.99E+307,'Returns (Calc)'!$A:$A)+1)-'Price History'!Q3)*(ROW()-3)/(MATCH(9.99E+307,'Returns (Calc)'!$A:$A)-3),"")</f>
        <v>0.87873417721519</v>
      </c>
      <c r="AL5" s="144" t="n">
        <f aca="false">IFERROR('Price History'!R3+(INDEX('Price History'!R:R,MATCH(9.99E+307,'Returns (Calc)'!$A:$A)+1)-'Price History'!R3)*(ROW()-3)/(MATCH(9.99E+307,'Returns (Calc)'!$A:$A)-3),"")</f>
        <v>34.8162025316456</v>
      </c>
      <c r="AM5" s="144" t="n">
        <f aca="false">IFERROR('Price History'!S3+(INDEX('Price History'!S:S,MATCH(9.99E+307,'Returns (Calc)'!$A:$A)+1)-'Price History'!S3)*(ROW()-3)/(MATCH(9.99E+307,'Returns (Calc)'!$A:$A)-3),"")</f>
        <v>58.8401265822785</v>
      </c>
      <c r="AN5" s="144" t="n">
        <f aca="false">IFERROR('Price History'!T3+(INDEX('Price History'!T:T,MATCH(9.99E+307,'Returns (Calc)'!$A:$A)+1)-'Price History'!T3)*(ROW()-3)/(MATCH(9.99E+307,'Returns (Calc)'!$A:$A)-3),"")</f>
        <v>25.5764556962025</v>
      </c>
      <c r="AO5" s="145" t="n">
        <f aca="false">IFERROR('Price History'!V3+(INDEX('Price History'!V:V,MATCH(9.99E+307,'Returns (Calc)'!$A:$A)+1)-'Price History'!V3)*(ROW()-3)/(MATCH(9.99E+307,'Returns (Calc)'!$A:$A)-3),"")</f>
        <v>237.212658227848</v>
      </c>
      <c r="AP5" s="143" t="n">
        <f aca="false">IFERROR(IF(OR(NOT(ISNUMBER('Price History'!W6)),NOT(ISNUMBER('Price History'!W5)),'Price History'!W5=0),"",'Price History'!W6/'Price History'!W5-1),"")</f>
        <v>-0.0194307320659594</v>
      </c>
      <c r="AQ5" s="143" t="str">
        <f aca="false">IFERROR(IF(OR(NOT(ISNUMBER('Price History'!X6)),NOT(ISNUMBER('Price History'!X5)),'Price History'!X5=0),"",'Price History'!X6/'Price History'!X5-1),"")</f>
        <v/>
      </c>
      <c r="AR5" s="143" t="n">
        <f aca="false">IFERROR(IF(OR(NOT(ISNUMBER('Price History'!Y6)),NOT(ISNUMBER('Price History'!Y5)),'Price History'!Y5=0),"",'Price History'!Y6/'Price History'!Y5-1),"")</f>
        <v>-0.00357568533969022</v>
      </c>
      <c r="AS5" s="143" t="n">
        <f aca="false">IFERROR(IF(OR(NOT(ISNUMBER('Price History'!Z6)),NOT(ISNUMBER('Price History'!Z5)),'Price History'!Z5=0),"",'Price History'!Z6/'Price History'!Z5-1),"")</f>
        <v>0.00840432880497355</v>
      </c>
      <c r="AT5" s="143" t="n">
        <f aca="false">IFERROR(IF(OR(NOT(ISNUMBER('Price History'!AA6)),NOT(ISNUMBER('Price History'!AA5)),'Price History'!AA5=0),"",'Price History'!AA6/'Price History'!AA5-1),"")</f>
        <v>0.0103283898305084</v>
      </c>
    </row>
    <row r="6" customFormat="false" ht="15" hidden="false" customHeight="true" outlineLevel="0" collapsed="false">
      <c r="A6" s="141" t="n">
        <f aca="false">IF('Price History'!A7="","",'Price History'!A7)</f>
        <v>45212</v>
      </c>
      <c r="B6" s="142" t="n">
        <f aca="false">IFERROR(IF(OR(NOT(ISNUMBER('Price History'!B7)),NOT(ISNUMBER('Price History'!B6)),'Price History'!B6=0),"",'Price History'!B7/'Price History'!B6-1),"")</f>
        <v>0.0419229892914104</v>
      </c>
      <c r="C6" s="142" t="n">
        <f aca="false">IFERROR(IF(OR(NOT(ISNUMBER('Price History'!C7)),NOT(ISNUMBER('Price History'!C6)),'Price History'!C6=0),"",'Price History'!C7/'Price History'!C6-1),"")</f>
        <v>-0.0216450216450216</v>
      </c>
      <c r="D6" s="142" t="n">
        <f aca="false">IFERROR(IF(OR(NOT(ISNUMBER('Price History'!D7)),NOT(ISNUMBER('Price History'!D6)),'Price History'!D6=0),"",'Price History'!D7/'Price History'!D6-1),"")</f>
        <v>0.00401585748854427</v>
      </c>
      <c r="E6" s="142" t="n">
        <f aca="false">IFERROR(IF(OR(NOT(ISNUMBER('Price History'!E7)),NOT(ISNUMBER('Price History'!E6)),'Price History'!E6=0),"",'Price History'!E7/'Price History'!E6-1),"")</f>
        <v>0.044849077355493</v>
      </c>
      <c r="F6" s="142" t="n">
        <f aca="false">IFERROR(IF(OR(NOT(ISNUMBER('Price History'!F7)),NOT(ISNUMBER('Price History'!F6)),'Price History'!F6=0),"",'Price History'!F7/'Price History'!F6-1),"")</f>
        <v>0.0511659497396422</v>
      </c>
      <c r="G6" s="142" t="n">
        <f aca="false">IFERROR(IF(OR(NOT(ISNUMBER('Price History'!G7)),NOT(ISNUMBER('Price History'!G6)),'Price History'!G6=0),"",'Price History'!G7/'Price History'!G6-1),"")</f>
        <v>0.0402625820568927</v>
      </c>
      <c r="H6" s="142" t="n">
        <f aca="false">IFERROR(IF(OR(NOT(ISNUMBER('Price History'!H7)),NOT(ISNUMBER('Price History'!H6)),'Price History'!H6=0),"",'Price History'!H7/'Price History'!H6-1),"")</f>
        <v>-0.0106782106782106</v>
      </c>
      <c r="I6" s="142" t="n">
        <f aca="false">IFERROR(IF(OR(NOT(ISNUMBER('Price History'!I7)),NOT(ISNUMBER('Price History'!I6)),'Price History'!I6=0),"",'Price History'!I7/'Price History'!I6-1),"")</f>
        <v>-0.00657462195923741</v>
      </c>
      <c r="J6" s="142" t="n">
        <f aca="false">IFERROR(IF(OR(NOT(ISNUMBER('Price History'!J7)),NOT(ISNUMBER('Price History'!J6)),'Price History'!J6=0),"",'Price History'!J7/'Price History'!J6-1),"")</f>
        <v>0.00687702265372181</v>
      </c>
      <c r="K6" s="142" t="n">
        <f aca="false">IFERROR(IF(OR(NOT(ISNUMBER('Price History'!K7)),NOT(ISNUMBER('Price History'!K6)),'Price History'!K6=0),"",'Price History'!K7/'Price History'!K6-1),"")</f>
        <v>0.0451535219747141</v>
      </c>
      <c r="L6" s="142" t="n">
        <f aca="false">IFERROR(IF(OR(NOT(ISNUMBER('Price History'!L7)),NOT(ISNUMBER('Price History'!L6)),'Price History'!L6=0),"",'Price History'!L7/'Price History'!L6-1),"")</f>
        <v>0.0131716983331389</v>
      </c>
      <c r="M6" s="142" t="n">
        <f aca="false">IFERROR(IF(OR(NOT(ISNUMBER('Price History'!M7)),NOT(ISNUMBER('Price History'!M6)),'Price History'!M6=0),"",'Price History'!M7/'Price History'!M6-1),"")</f>
        <v>-0.0169106511862694</v>
      </c>
      <c r="N6" s="142" t="n">
        <f aca="false">IFERROR(IF(OR(NOT(ISNUMBER('Price History'!N7)),NOT(ISNUMBER('Price History'!N6)),'Price History'!N6=0),"",'Price History'!N7/'Price History'!N6-1),"")</f>
        <v>0.0287837612999833</v>
      </c>
      <c r="O6" s="142" t="n">
        <f aca="false">IFERROR(IF(OR(NOT(ISNUMBER('Price History'!O7)),NOT(ISNUMBER('Price History'!O6)),'Price History'!O6=0),"",'Price History'!O7/'Price History'!O6-1),"")</f>
        <v>0.00263632579436668</v>
      </c>
      <c r="P6" s="142" t="n">
        <f aca="false">IFERROR(IF(OR(NOT(ISNUMBER('Price History'!P7)),NOT(ISNUMBER('Price History'!P6)),'Price History'!P6=0),"",'Price History'!P7/'Price History'!P6-1),"")</f>
        <v>0.0136594663278273</v>
      </c>
      <c r="Q6" s="142" t="n">
        <f aca="false">IFERROR(IF(OR(NOT(ISNUMBER('Price History'!Q7)),NOT(ISNUMBER('Price History'!Q6)),'Price History'!Q6=0),"",'Price History'!Q7/'Price History'!Q6-1),"")</f>
        <v>0.0034651447207501</v>
      </c>
      <c r="R6" s="142" t="n">
        <f aca="false">IFERROR(IF(OR(NOT(ISNUMBER('Price History'!R7)),NOT(ISNUMBER('Price History'!R6)),'Price History'!R6=0),"",'Price History'!R7/'Price History'!R6-1),"")</f>
        <v>0.00264628050573368</v>
      </c>
      <c r="S6" s="142" t="n">
        <f aca="false">IFERROR(IF(OR(NOT(ISNUMBER('Price History'!S7)),NOT(ISNUMBER('Price History'!S6)),'Price History'!S6=0),"",'Price History'!S7/'Price History'!S6-1),"")</f>
        <v>0.00564573041637262</v>
      </c>
      <c r="T6" s="142" t="n">
        <f aca="false">IFERROR(IF(OR(NOT(ISNUMBER('Price History'!T7)),NOT(ISNUMBER('Price History'!T6)),'Price History'!T6=0),"",'Price History'!T7/'Price History'!T6-1),"")</f>
        <v>0.0143032284429914</v>
      </c>
      <c r="U6" s="142" t="n">
        <f aca="false">IFERROR(IF(OR(NOT(ISNUMBER('Price History'!U7)),NOT(ISNUMBER('Price History'!U6)),'Price History'!U6=0),"",'Price History'!U7/'Price History'!U6-1),"")</f>
        <v>0.0100961538461539</v>
      </c>
      <c r="V6" s="143" t="n">
        <f aca="false">IFERROR(IF(OR(NOT(ISNUMBER('Price History'!V7)),NOT(ISNUMBER('Price History'!V6)),'Price History'!V6=0),"",'Price History'!V7/'Price History'!V6-1),"")</f>
        <v>0.0111865587185513</v>
      </c>
      <c r="W6" s="144" t="n">
        <f aca="false">IFERROR('Price History'!B3+(INDEX('Price History'!B:B,MATCH(9.99E+307,'Returns (Calc)'!$A:$A)+1)-'Price History'!B3)*(ROW()-3)/(MATCH(9.99E+307,'Returns (Calc)'!$A:$A)-3),"")</f>
        <v>523.360886075949</v>
      </c>
      <c r="X6" s="144" t="n">
        <f aca="false">IFERROR('Price History'!C3+(INDEX('Price History'!C:C,MATCH(9.99E+307,'Returns (Calc)'!$A:$A)+1)-'Price History'!C3)*(ROW()-3)/(MATCH(9.99E+307,'Returns (Calc)'!$A:$A)-3),"")</f>
        <v>49.2401898734177</v>
      </c>
      <c r="Y6" s="144" t="n">
        <f aca="false">IFERROR('Price History'!D3+(INDEX('Price History'!D:D,MATCH(9.99E+307,'Returns (Calc)'!$A:$A)+1)-'Price History'!D3)*(ROW()-3)/(MATCH(9.99E+307,'Returns (Calc)'!$A:$A)-3),"")</f>
        <v>606.414430379747</v>
      </c>
      <c r="Z6" s="144" t="n">
        <f aca="false">IFERROR('Price History'!E3+(INDEX('Price History'!E:E,MATCH(9.99E+307,'Returns (Calc)'!$A:$A)+1)-'Price History'!E3)*(ROW()-3)/(MATCH(9.99E+307,'Returns (Calc)'!$A:$A)-3),"")</f>
        <v>87.1862025316456</v>
      </c>
      <c r="AA6" s="144" t="n">
        <f aca="false">IFERROR('Price History'!F3+(INDEX('Price History'!F:F,MATCH(9.99E+307,'Returns (Calc)'!$A:$A)+1)-'Price History'!F3)*(ROW()-3)/(MATCH(9.99E+307,'Returns (Calc)'!$A:$A)-3),"")</f>
        <v>45.7020253164557</v>
      </c>
      <c r="AB6" s="144" t="n">
        <f aca="false">IFERROR('Price History'!G3+(INDEX('Price History'!G:G,MATCH(9.99E+307,'Returns (Calc)'!$A:$A)+1)-'Price History'!G3)*(ROW()-3)/(MATCH(9.99E+307,'Returns (Calc)'!$A:$A)-3),"")</f>
        <v>47.4362025316456</v>
      </c>
      <c r="AC6" s="144" t="n">
        <f aca="false">IFERROR('Price History'!H3+(INDEX('Price History'!H:H,MATCH(9.99E+307,'Returns (Calc)'!$A:$A)+1)-'Price History'!H3)*(ROW()-3)/(MATCH(9.99E+307,'Returns (Calc)'!$A:$A)-3),"")</f>
        <v>88.2070886075949</v>
      </c>
      <c r="AD6" s="144" t="n">
        <f aca="false">IFERROR('Price History'!I3+(INDEX('Price History'!I:I,MATCH(9.99E+307,'Returns (Calc)'!$A:$A)+1)-'Price History'!I3)*(ROW()-3)/(MATCH(9.99E+307,'Returns (Calc)'!$A:$A)-3),"")</f>
        <v>47.3810126582279</v>
      </c>
      <c r="AE6" s="144" t="n">
        <f aca="false">IFERROR('Price History'!J3+(INDEX('Price History'!J:J,MATCH(9.99E+307,'Returns (Calc)'!$A:$A)+1)-'Price History'!J3)*(ROW()-3)/(MATCH(9.99E+307,'Returns (Calc)'!$A:$A)-3),"")</f>
        <v>112.164113924051</v>
      </c>
      <c r="AF6" s="144" t="n">
        <f aca="false">IFERROR('Price History'!K3+(INDEX('Price History'!K:K,MATCH(9.99E+307,'Returns (Calc)'!$A:$A)+1)-'Price History'!K3)*(ROW()-3)/(MATCH(9.99E+307,'Returns (Calc)'!$A:$A)-3),"")</f>
        <v>18.6227848101266</v>
      </c>
      <c r="AG6" s="144" t="n">
        <f aca="false">IFERROR('Price History'!L3+(INDEX('Price History'!L:L,MATCH(9.99E+307,'Returns (Calc)'!$A:$A)+1)-'Price History'!L3)*(ROW()-3)/(MATCH(9.99E+307,'Returns (Calc)'!$A:$A)-3),"")</f>
        <v>93.098670886076</v>
      </c>
      <c r="AH6" s="144" t="n">
        <f aca="false">IFERROR('Price History'!M3+(INDEX('Price History'!M:M,MATCH(9.99E+307,'Returns (Calc)'!$A:$A)+1)-'Price History'!M3)*(ROW()-3)/(MATCH(9.99E+307,'Returns (Calc)'!$A:$A)-3),"")</f>
        <v>42.0863291139241</v>
      </c>
      <c r="AI6" s="144" t="n">
        <f aca="false">IFERROR('Price History'!N3+(INDEX('Price History'!N:N,MATCH(9.99E+307,'Returns (Calc)'!$A:$A)+1)-'Price History'!N3)*(ROW()-3)/(MATCH(9.99E+307,'Returns (Calc)'!$A:$A)-3),"")</f>
        <v>351.858797468354</v>
      </c>
      <c r="AJ6" s="144" t="n">
        <f aca="false">IFERROR('Price History'!O3+(INDEX('Price History'!O:O,MATCH(9.99E+307,'Returns (Calc)'!$A:$A)+1)-'Price History'!O3)*(ROW()-3)/(MATCH(9.99E+307,'Returns (Calc)'!$A:$A)-3),"")</f>
        <v>76.1591139240506</v>
      </c>
      <c r="AK6" s="144" t="n">
        <f aca="false">IFERROR('Price History'!Q3+(INDEX('Price History'!Q:Q,MATCH(9.99E+307,'Returns (Calc)'!$A:$A)+1)-'Price History'!Q3)*(ROW()-3)/(MATCH(9.99E+307,'Returns (Calc)'!$A:$A)-3),"")</f>
        <v>1.31810126582278</v>
      </c>
      <c r="AL6" s="144" t="n">
        <f aca="false">IFERROR('Price History'!R3+(INDEX('Price History'!R:R,MATCH(9.99E+307,'Returns (Calc)'!$A:$A)+1)-'Price History'!R3)*(ROW()-3)/(MATCH(9.99E+307,'Returns (Calc)'!$A:$A)-3),"")</f>
        <v>34.9843037974684</v>
      </c>
      <c r="AM6" s="144" t="n">
        <f aca="false">IFERROR('Price History'!S3+(INDEX('Price History'!S:S,MATCH(9.99E+307,'Returns (Calc)'!$A:$A)+1)-'Price History'!S3)*(ROW()-3)/(MATCH(9.99E+307,'Returns (Calc)'!$A:$A)-3),"")</f>
        <v>59.4451898734177</v>
      </c>
      <c r="AN6" s="144" t="n">
        <f aca="false">IFERROR('Price History'!T3+(INDEX('Price History'!T:T,MATCH(9.99E+307,'Returns (Calc)'!$A:$A)+1)-'Price History'!T3)*(ROW()-3)/(MATCH(9.99E+307,'Returns (Calc)'!$A:$A)-3),"")</f>
        <v>25.7446835443038</v>
      </c>
      <c r="AO6" s="145" t="n">
        <f aca="false">IFERROR('Price History'!V3+(INDEX('Price History'!V:V,MATCH(9.99E+307,'Returns (Calc)'!$A:$A)+1)-'Price History'!V3)*(ROW()-3)/(MATCH(9.99E+307,'Returns (Calc)'!$A:$A)-3),"")</f>
        <v>238.003987341772</v>
      </c>
      <c r="AP6" s="143" t="n">
        <f aca="false">IFERROR(IF(OR(NOT(ISNUMBER('Price History'!W7)),NOT(ISNUMBER('Price History'!W6)),'Price History'!W6=0),"",'Price History'!W7/'Price History'!W6-1),"")</f>
        <v>0.0113538988860327</v>
      </c>
      <c r="AQ6" s="143" t="str">
        <f aca="false">IFERROR(IF(OR(NOT(ISNUMBER('Price History'!X7)),NOT(ISNUMBER('Price History'!X6)),'Price History'!X6=0),"",'Price History'!X7/'Price History'!X6-1),"")</f>
        <v/>
      </c>
      <c r="AR6" s="143" t="n">
        <f aca="false">IFERROR(IF(OR(NOT(ISNUMBER('Price History'!Y7)),NOT(ISNUMBER('Price History'!Y6)),'Price History'!Y6=0),"",'Price History'!Y7/'Price History'!Y6-1),"")</f>
        <v>0.00861244019138763</v>
      </c>
      <c r="AS6" s="143" t="n">
        <f aca="false">IFERROR(IF(OR(NOT(ISNUMBER('Price History'!Z7)),NOT(ISNUMBER('Price History'!Z6)),'Price History'!Z6=0),"",'Price History'!Z7/'Price History'!Z6-1),"")</f>
        <v>-0.018837766868364</v>
      </c>
      <c r="AT6" s="143" t="n">
        <f aca="false">IFERROR(IF(OR(NOT(ISNUMBER('Price History'!AA7)),NOT(ISNUMBER('Price History'!AA6)),'Price History'!AA6=0),"",'Price History'!AA7/'Price History'!AA6-1),"")</f>
        <v>-0.0676277850589777</v>
      </c>
    </row>
    <row r="7" customFormat="false" ht="15" hidden="false" customHeight="true" outlineLevel="0" collapsed="false">
      <c r="A7" s="141" t="n">
        <f aca="false">IF('Price History'!A8="","",'Price History'!A8)</f>
        <v>45219</v>
      </c>
      <c r="B7" s="142" t="n">
        <f aca="false">IFERROR(IF(OR(NOT(ISNUMBER('Price History'!B8)),NOT(ISNUMBER('Price History'!B7)),'Price History'!B7=0),"",'Price History'!B8/'Price History'!B7-1),"")</f>
        <v>-0.0142138639842553</v>
      </c>
      <c r="C7" s="142" t="n">
        <f aca="false">IFERROR(IF(OR(NOT(ISNUMBER('Price History'!C8)),NOT(ISNUMBER('Price History'!C7)),'Price History'!C7=0),"",'Price History'!C8/'Price History'!C7-1),"")</f>
        <v>-0.0195954487989887</v>
      </c>
      <c r="D7" s="142" t="n">
        <f aca="false">IFERROR(IF(OR(NOT(ISNUMBER('Price History'!D8)),NOT(ISNUMBER('Price History'!D7)),'Price History'!D7=0),"",'Price History'!D8/'Price History'!D7-1),"")</f>
        <v>-0.0327675503820316</v>
      </c>
      <c r="E7" s="142" t="n">
        <f aca="false">IFERROR(IF(OR(NOT(ISNUMBER('Price History'!E8)),NOT(ISNUMBER('Price History'!E7)),'Price History'!E7=0),"",'Price History'!E8/'Price History'!E7-1),"")</f>
        <v>-0.0334502923976608</v>
      </c>
      <c r="F7" s="142" t="n">
        <f aca="false">IFERROR(IF(OR(NOT(ISNUMBER('Price History'!F8)),NOT(ISNUMBER('Price History'!F7)),'Price History'!F7=0),"",'Price History'!F8/'Price History'!F7-1),"")</f>
        <v>-0.0374757699763084</v>
      </c>
      <c r="G7" s="142" t="n">
        <f aca="false">IFERROR(IF(OR(NOT(ISNUMBER('Price History'!G8)),NOT(ISNUMBER('Price History'!G7)),'Price History'!G7=0),"",'Price History'!G8/'Price History'!G7-1),"")</f>
        <v>-0.0500631047538915</v>
      </c>
      <c r="H7" s="142" t="n">
        <f aca="false">IFERROR(IF(OR(NOT(ISNUMBER('Price History'!H8)),NOT(ISNUMBER('Price History'!H7)),'Price History'!H7=0),"",'Price History'!H8/'Price History'!H7-1),"")</f>
        <v>-0.0287339556592765</v>
      </c>
      <c r="I7" s="142" t="n">
        <f aca="false">IFERROR(IF(OR(NOT(ISNUMBER('Price History'!I8)),NOT(ISNUMBER('Price History'!I7)),'Price History'!I7=0),"",'Price History'!I8/'Price History'!I7-1),"")</f>
        <v>-0.0897860136774763</v>
      </c>
      <c r="J7" s="142" t="n">
        <f aca="false">IFERROR(IF(OR(NOT(ISNUMBER('Price History'!J8)),NOT(ISNUMBER('Price History'!J7)),'Price History'!J7=0),"",'Price History'!J8/'Price History'!J7-1),"")</f>
        <v>-0.0658899156287666</v>
      </c>
      <c r="K7" s="142" t="n">
        <f aca="false">IFERROR(IF(OR(NOT(ISNUMBER('Price History'!K8)),NOT(ISNUMBER('Price History'!K7)),'Price History'!K7=0),"",'Price History'!K8/'Price History'!K7-1),"")</f>
        <v>-0.0720046082949308</v>
      </c>
      <c r="L7" s="142" t="n">
        <f aca="false">IFERROR(IF(OR(NOT(ISNUMBER('Price History'!L8)),NOT(ISNUMBER('Price History'!L7)),'Price History'!L7=0),"",'Price History'!L8/'Price History'!L7-1),"")</f>
        <v>0.00931891394385653</v>
      </c>
      <c r="M7" s="142" t="n">
        <f aca="false">IFERROR(IF(OR(NOT(ISNUMBER('Price History'!M8)),NOT(ISNUMBER('Price History'!M7)),'Price History'!M7=0),"",'Price History'!M8/'Price History'!M7-1),"")</f>
        <v>-0.0603337612323492</v>
      </c>
      <c r="N7" s="142" t="n">
        <f aca="false">IFERROR(IF(OR(NOT(ISNUMBER('Price History'!N8)),NOT(ISNUMBER('Price History'!N7)),'Price History'!N7=0),"",'Price History'!N8/'Price History'!N7-1),"")</f>
        <v>-0.0246361185983827</v>
      </c>
      <c r="O7" s="142" t="n">
        <f aca="false">IFERROR(IF(OR(NOT(ISNUMBER('Price History'!O8)),NOT(ISNUMBER('Price History'!O7)),'Price History'!O7=0),"",'Price History'!O8/'Price History'!O7-1),"")</f>
        <v>-0.0167450871851648</v>
      </c>
      <c r="P7" s="142" t="n">
        <f aca="false">IFERROR(IF(OR(NOT(ISNUMBER('Price History'!P8)),NOT(ISNUMBER('Price History'!P7)),'Price History'!P7=0),"",'Price History'!P8/'Price History'!P7-1),"")</f>
        <v>-0.019011804032174</v>
      </c>
      <c r="Q7" s="142" t="n">
        <f aca="false">IFERROR(IF(OR(NOT(ISNUMBER('Price History'!Q8)),NOT(ISNUMBER('Price History'!Q7)),'Price History'!Q7=0),"",'Price History'!Q8/'Price History'!Q7-1),"")</f>
        <v>-0.011375177737152</v>
      </c>
      <c r="R7" s="142" t="n">
        <f aca="false">IFERROR(IF(OR(NOT(ISNUMBER('Price History'!R8)),NOT(ISNUMBER('Price History'!R7)),'Price History'!R7=0),"",'Price History'!R8/'Price History'!R7-1),"")</f>
        <v>-0.0196480938416422</v>
      </c>
      <c r="S7" s="142" t="n">
        <f aca="false">IFERROR(IF(OR(NOT(ISNUMBER('Price History'!S8)),NOT(ISNUMBER('Price History'!S7)),'Price History'!S7=0),"",'Price History'!S8/'Price History'!S7-1),"")</f>
        <v>-0.0289473684210526</v>
      </c>
      <c r="T7" s="142" t="n">
        <f aca="false">IFERROR(IF(OR(NOT(ISNUMBER('Price History'!T8)),NOT(ISNUMBER('Price History'!T7)),'Price History'!T7=0),"",'Price History'!T8/'Price History'!T7-1),"")</f>
        <v>-0.0124899274778404</v>
      </c>
      <c r="U7" s="142" t="n">
        <f aca="false">IFERROR(IF(OR(NOT(ISNUMBER('Price History'!U8)),NOT(ISNUMBER('Price History'!U7)),'Price History'!U7=0),"",'Price History'!U8/'Price History'!U7-1),"")</f>
        <v>-0.0147548786292243</v>
      </c>
      <c r="V7" s="143" t="n">
        <f aca="false">IFERROR(IF(OR(NOT(ISNUMBER('Price History'!V8)),NOT(ISNUMBER('Price History'!V7)),'Price History'!V7=0),"",'Price History'!V8/'Price History'!V7-1),"")</f>
        <v>-0.0180362446730662</v>
      </c>
      <c r="W7" s="144" t="n">
        <f aca="false">IFERROR('Price History'!B3+(INDEX('Price History'!B:B,MATCH(9.99E+307,'Returns (Calc)'!$A:$A)+1)-'Price History'!B3)*(ROW()-3)/(MATCH(9.99E+307,'Returns (Calc)'!$A:$A)-3),"")</f>
        <v>521.517848101266</v>
      </c>
      <c r="X7" s="144" t="n">
        <f aca="false">IFERROR('Price History'!C3+(INDEX('Price History'!C:C,MATCH(9.99E+307,'Returns (Calc)'!$A:$A)+1)-'Price History'!C3)*(ROW()-3)/(MATCH(9.99E+307,'Returns (Calc)'!$A:$A)-3),"")</f>
        <v>50.260253164557</v>
      </c>
      <c r="Y7" s="144" t="n">
        <f aca="false">IFERROR('Price History'!D3+(INDEX('Price History'!D:D,MATCH(9.99E+307,'Returns (Calc)'!$A:$A)+1)-'Price History'!D3)*(ROW()-3)/(MATCH(9.99E+307,'Returns (Calc)'!$A:$A)-3),"")</f>
        <v>614.549240506329</v>
      </c>
      <c r="Z7" s="144" t="n">
        <f aca="false">IFERROR('Price History'!E3+(INDEX('Price History'!E:E,MATCH(9.99E+307,'Returns (Calc)'!$A:$A)+1)-'Price History'!E3)*(ROW()-3)/(MATCH(9.99E+307,'Returns (Calc)'!$A:$A)-3),"")</f>
        <v>88.9149367088608</v>
      </c>
      <c r="AA7" s="144" t="n">
        <f aca="false">IFERROR('Price History'!F3+(INDEX('Price History'!F:F,MATCH(9.99E+307,'Returns (Calc)'!$A:$A)+1)-'Price History'!F3)*(ROW()-3)/(MATCH(9.99E+307,'Returns (Calc)'!$A:$A)-3),"")</f>
        <v>47.1493670886076</v>
      </c>
      <c r="AB7" s="144" t="n">
        <f aca="false">IFERROR('Price History'!G3+(INDEX('Price History'!G:G,MATCH(9.99E+307,'Returns (Calc)'!$A:$A)+1)-'Price History'!G3)*(ROW()-3)/(MATCH(9.99E+307,'Returns (Calc)'!$A:$A)-3),"")</f>
        <v>48.4649367088608</v>
      </c>
      <c r="AC7" s="144" t="n">
        <f aca="false">IFERROR('Price History'!H3+(INDEX('Price History'!H:H,MATCH(9.99E+307,'Returns (Calc)'!$A:$A)+1)-'Price History'!H3)*(ROW()-3)/(MATCH(9.99E+307,'Returns (Calc)'!$A:$A)-3),"")</f>
        <v>94.5727848101266</v>
      </c>
      <c r="AD7" s="144" t="n">
        <f aca="false">IFERROR('Price History'!I3+(INDEX('Price History'!I:I,MATCH(9.99E+307,'Returns (Calc)'!$A:$A)+1)-'Price History'!I3)*(ROW()-3)/(MATCH(9.99E+307,'Returns (Calc)'!$A:$A)-3),"")</f>
        <v>48.5846835443038</v>
      </c>
      <c r="AE7" s="144" t="n">
        <f aca="false">IFERROR('Price History'!J3+(INDEX('Price History'!J:J,MATCH(9.99E+307,'Returns (Calc)'!$A:$A)+1)-'Price History'!J3)*(ROW()-3)/(MATCH(9.99E+307,'Returns (Calc)'!$A:$A)-3),"")</f>
        <v>112.272151898734</v>
      </c>
      <c r="AF7" s="144" t="n">
        <f aca="false">IFERROR('Price History'!K3+(INDEX('Price History'!K:K,MATCH(9.99E+307,'Returns (Calc)'!$A:$A)+1)-'Price History'!K3)*(ROW()-3)/(MATCH(9.99E+307,'Returns (Calc)'!$A:$A)-3),"")</f>
        <v>19.7203797468354</v>
      </c>
      <c r="AG7" s="144" t="n">
        <f aca="false">IFERROR('Price History'!L3+(INDEX('Price History'!L:L,MATCH(9.99E+307,'Returns (Calc)'!$A:$A)+1)-'Price History'!L3)*(ROW()-3)/(MATCH(9.99E+307,'Returns (Calc)'!$A:$A)-3),"")</f>
        <v>95.5482278481013</v>
      </c>
      <c r="AH7" s="144" t="n">
        <f aca="false">IFERROR('Price History'!M3+(INDEX('Price History'!M:M,MATCH(9.99E+307,'Returns (Calc)'!$A:$A)+1)-'Price History'!M3)*(ROW()-3)/(MATCH(9.99E+307,'Returns (Calc)'!$A:$A)-3),"")</f>
        <v>43.4417721518987</v>
      </c>
      <c r="AI7" s="144" t="n">
        <f aca="false">IFERROR('Price History'!N3+(INDEX('Price History'!N:N,MATCH(9.99E+307,'Returns (Calc)'!$A:$A)+1)-'Price History'!N3)*(ROW()-3)/(MATCH(9.99E+307,'Returns (Calc)'!$A:$A)-3),"")</f>
        <v>352.845063291139</v>
      </c>
      <c r="AJ7" s="144" t="n">
        <f aca="false">IFERROR('Price History'!O3+(INDEX('Price History'!O:O,MATCH(9.99E+307,'Returns (Calc)'!$A:$A)+1)-'Price History'!O3)*(ROW()-3)/(MATCH(9.99E+307,'Returns (Calc)'!$A:$A)-3),"")</f>
        <v>76.4421518987342</v>
      </c>
      <c r="AK7" s="144" t="n">
        <f aca="false">IFERROR('Price History'!Q3+(INDEX('Price History'!Q:Q,MATCH(9.99E+307,'Returns (Calc)'!$A:$A)+1)-'Price History'!Q3)*(ROW()-3)/(MATCH(9.99E+307,'Returns (Calc)'!$A:$A)-3),"")</f>
        <v>1.75746835443038</v>
      </c>
      <c r="AL7" s="144" t="n">
        <f aca="false">IFERROR('Price History'!R3+(INDEX('Price History'!R:R,MATCH(9.99E+307,'Returns (Calc)'!$A:$A)+1)-'Price History'!R3)*(ROW()-3)/(MATCH(9.99E+307,'Returns (Calc)'!$A:$A)-3),"")</f>
        <v>35.1524050632911</v>
      </c>
      <c r="AM7" s="144" t="n">
        <f aca="false">IFERROR('Price History'!S3+(INDEX('Price History'!S:S,MATCH(9.99E+307,'Returns (Calc)'!$A:$A)+1)-'Price History'!S3)*(ROW()-3)/(MATCH(9.99E+307,'Returns (Calc)'!$A:$A)-3),"")</f>
        <v>60.050253164557</v>
      </c>
      <c r="AN7" s="144" t="n">
        <f aca="false">IFERROR('Price History'!T3+(INDEX('Price History'!T:T,MATCH(9.99E+307,'Returns (Calc)'!$A:$A)+1)-'Price History'!T3)*(ROW()-3)/(MATCH(9.99E+307,'Returns (Calc)'!$A:$A)-3),"")</f>
        <v>25.9129113924051</v>
      </c>
      <c r="AO7" s="145" t="n">
        <f aca="false">IFERROR('Price History'!V3+(INDEX('Price History'!V:V,MATCH(9.99E+307,'Returns (Calc)'!$A:$A)+1)-'Price History'!V3)*(ROW()-3)/(MATCH(9.99E+307,'Returns (Calc)'!$A:$A)-3),"")</f>
        <v>238.795316455696</v>
      </c>
      <c r="AP7" s="143" t="n">
        <f aca="false">IFERROR(IF(OR(NOT(ISNUMBER('Price History'!W8)),NOT(ISNUMBER('Price History'!W7)),'Price History'!W7=0),"",'Price History'!W8/'Price History'!W7-1),"")</f>
        <v>-0.0121796229612371</v>
      </c>
      <c r="AQ7" s="143" t="str">
        <f aca="false">IFERROR(IF(OR(NOT(ISNUMBER('Price History'!X8)),NOT(ISNUMBER('Price History'!X7)),'Price History'!X7=0),"",'Price History'!X8/'Price History'!X7-1),"")</f>
        <v/>
      </c>
      <c r="AR7" s="143" t="n">
        <f aca="false">IFERROR(IF(OR(NOT(ISNUMBER('Price History'!Y8)),NOT(ISNUMBER('Price History'!Y7)),'Price History'!Y7=0),"",'Price History'!Y8/'Price History'!Y7-1),"")</f>
        <v>-0.0147058823529411</v>
      </c>
      <c r="AS7" s="143" t="n">
        <f aca="false">IFERROR(IF(OR(NOT(ISNUMBER('Price History'!Z8)),NOT(ISNUMBER('Price History'!Z7)),'Price History'!Z7=0),"",'Price History'!Z8/'Price History'!Z7-1),"")</f>
        <v>-0.0301373050965791</v>
      </c>
      <c r="AT7" s="143" t="n">
        <f aca="false">IFERROR(IF(OR(NOT(ISNUMBER('Price History'!AA8)),NOT(ISNUMBER('Price History'!AA7)),'Price History'!AA7=0),"",'Price History'!AA8/'Price History'!AA7-1),"")</f>
        <v>0.127354512229407</v>
      </c>
    </row>
    <row r="8" customFormat="false" ht="15" hidden="false" customHeight="true" outlineLevel="0" collapsed="false">
      <c r="A8" s="141" t="n">
        <f aca="false">IF('Price History'!A9="","",'Price History'!A9)</f>
        <v>45226</v>
      </c>
      <c r="B8" s="142" t="n">
        <f aca="false">IFERROR(IF(OR(NOT(ISNUMBER('Price History'!B9)),NOT(ISNUMBER('Price History'!B8)),'Price History'!B8=0),"",'Price History'!B9/'Price History'!B8-1),"")</f>
        <v>-0.0607068914522331</v>
      </c>
      <c r="C8" s="142" t="n">
        <f aca="false">IFERROR(IF(OR(NOT(ISNUMBER('Price History'!C9)),NOT(ISNUMBER('Price History'!C8)),'Price History'!C8=0),"",'Price History'!C9/'Price History'!C8-1),"")</f>
        <v>-0.0532989469159683</v>
      </c>
      <c r="D8" s="142" t="n">
        <f aca="false">IFERROR(IF(OR(NOT(ISNUMBER('Price History'!D9)),NOT(ISNUMBER('Price History'!D8)),'Price History'!D8=0),"",'Price History'!D9/'Price History'!D8-1),"")</f>
        <v>0.0170713604071677</v>
      </c>
      <c r="E8" s="142" t="n">
        <f aca="false">IFERROR(IF(OR(NOT(ISNUMBER('Price History'!E9)),NOT(ISNUMBER('Price History'!E8)),'Price History'!E8=0),"",'Price History'!E9/'Price History'!E8-1),"")</f>
        <v>-0.0179090029041626</v>
      </c>
      <c r="F8" s="142" t="n">
        <f aca="false">IFERROR(IF(OR(NOT(ISNUMBER('Price History'!F9)),NOT(ISNUMBER('Price History'!F8)),'Price History'!F8=0),"",'Price History'!F9/'Price History'!F8-1),"")</f>
        <v>-0.0331170284179906</v>
      </c>
      <c r="G8" s="142" t="n">
        <f aca="false">IFERROR(IF(OR(NOT(ISNUMBER('Price History'!G9)),NOT(ISNUMBER('Price History'!G8)),'Price History'!G8=0),"",'Price History'!G9/'Price History'!G8-1),"")</f>
        <v>-0.00974313551815764</v>
      </c>
      <c r="H8" s="142" t="n">
        <f aca="false">IFERROR(IF(OR(NOT(ISNUMBER('Price History'!H9)),NOT(ISNUMBER('Price History'!H8)),'Price History'!H8=0),"",'Price History'!H9/'Price History'!H8-1),"")</f>
        <v>-0.0234269409821295</v>
      </c>
      <c r="I8" s="142" t="n">
        <f aca="false">IFERROR(IF(OR(NOT(ISNUMBER('Price History'!I9)),NOT(ISNUMBER('Price History'!I8)),'Price History'!I8=0),"",'Price History'!I9/'Price History'!I8-1),"")</f>
        <v>-0.0213281628696073</v>
      </c>
      <c r="J8" s="142" t="n">
        <f aca="false">IFERROR(IF(OR(NOT(ISNUMBER('Price History'!J9)),NOT(ISNUMBER('Price History'!J8)),'Price History'!J8=0),"",'Price History'!J9/'Price History'!J8-1),"")</f>
        <v>-0.0498924731182796</v>
      </c>
      <c r="K8" s="142" t="n">
        <f aca="false">IFERROR(IF(OR(NOT(ISNUMBER('Price History'!K9)),NOT(ISNUMBER('Price History'!K8)),'Price History'!K8=0),"",'Price History'!K9/'Price History'!K8-1),"")</f>
        <v>-0.0645561762880198</v>
      </c>
      <c r="L8" s="142" t="n">
        <f aca="false">IFERROR(IF(OR(NOT(ISNUMBER('Price History'!L9)),NOT(ISNUMBER('Price History'!L8)),'Price History'!L8=0),"",'Price History'!L9/'Price History'!L8-1),"")</f>
        <v>-0.0582468938789468</v>
      </c>
      <c r="M8" s="142" t="n">
        <f aca="false">IFERROR(IF(OR(NOT(ISNUMBER('Price History'!M9)),NOT(ISNUMBER('Price History'!M8)),'Price History'!M8=0),"",'Price History'!M9/'Price History'!M8-1),"")</f>
        <v>-0.00874316939890707</v>
      </c>
      <c r="N8" s="142" t="n">
        <f aca="false">IFERROR(IF(OR(NOT(ISNUMBER('Price History'!N9)),NOT(ISNUMBER('Price History'!N8)),'Price History'!N8=0),"",'Price History'!N9/'Price History'!N8-1),"")</f>
        <v>-0.018183827999779</v>
      </c>
      <c r="O8" s="142" t="n">
        <f aca="false">IFERROR(IF(OR(NOT(ISNUMBER('Price History'!O9)),NOT(ISNUMBER('Price History'!O8)),'Price History'!O8=0),"",'Price History'!O9/'Price History'!O8-1),"")</f>
        <v>-0.0154820548909218</v>
      </c>
      <c r="P8" s="142" t="n">
        <f aca="false">IFERROR(IF(OR(NOT(ISNUMBER('Price History'!P9)),NOT(ISNUMBER('Price History'!P8)),'Price History'!P8=0),"",'Price History'!P9/'Price History'!P8-1),"")</f>
        <v>-0.0160792247896921</v>
      </c>
      <c r="Q8" s="142" t="n">
        <f aca="false">IFERROR(IF(OR(NOT(ISNUMBER('Price History'!Q9)),NOT(ISNUMBER('Price History'!Q8)),'Price History'!Q8=0),"",'Price History'!Q9/'Price History'!Q8-1),"")</f>
        <v>-0.0172590918430245</v>
      </c>
      <c r="R8" s="142" t="n">
        <f aca="false">IFERROR(IF(OR(NOT(ISNUMBER('Price History'!R9)),NOT(ISNUMBER('Price History'!R8)),'Price History'!R8=0),"",'Price History'!R9/'Price History'!R8-1),"")</f>
        <v>-0.0209392760993121</v>
      </c>
      <c r="S8" s="142" t="n">
        <f aca="false">IFERROR(IF(OR(NOT(ISNUMBER('Price History'!S9)),NOT(ISNUMBER('Price History'!S8)),'Price History'!S8=0),"",'Price History'!S9/'Price History'!S8-1),"")</f>
        <v>-0.0202348690153569</v>
      </c>
      <c r="T8" s="142" t="n">
        <f aca="false">IFERROR(IF(OR(NOT(ISNUMBER('Price History'!T9)),NOT(ISNUMBER('Price History'!T8)),'Price History'!T8=0),"",'Price History'!T9/'Price History'!T8-1),"")</f>
        <v>-0.0330477356181151</v>
      </c>
      <c r="U8" s="142" t="n">
        <f aca="false">IFERROR(IF(OR(NOT(ISNUMBER('Price History'!U9)),NOT(ISNUMBER('Price History'!U8)),'Price History'!U8=0),"",'Price History'!U9/'Price History'!U8-1),"")</f>
        <v>-0.0342995169082126</v>
      </c>
      <c r="V8" s="143" t="n">
        <f aca="false">IFERROR(IF(OR(NOT(ISNUMBER('Price History'!V9)),NOT(ISNUMBER('Price History'!V8)),'Price History'!V8=0),"",'Price History'!V9/'Price History'!V8-1),"")</f>
        <v>-0.0176223040504998</v>
      </c>
      <c r="W8" s="144" t="n">
        <f aca="false">IFERROR('Price History'!B3+(INDEX('Price History'!B:B,MATCH(9.99E+307,'Returns (Calc)'!$A:$A)+1)-'Price History'!B3)*(ROW()-3)/(MATCH(9.99E+307,'Returns (Calc)'!$A:$A)-3),"")</f>
        <v>519.674810126582</v>
      </c>
      <c r="X8" s="144" t="n">
        <f aca="false">IFERROR('Price History'!C3+(INDEX('Price History'!C:C,MATCH(9.99E+307,'Returns (Calc)'!$A:$A)+1)-'Price History'!C3)*(ROW()-3)/(MATCH(9.99E+307,'Returns (Calc)'!$A:$A)-3),"")</f>
        <v>51.2803164556962</v>
      </c>
      <c r="Y8" s="144" t="n">
        <f aca="false">IFERROR('Price History'!D3+(INDEX('Price History'!D:D,MATCH(9.99E+307,'Returns (Calc)'!$A:$A)+1)-'Price History'!D3)*(ROW()-3)/(MATCH(9.99E+307,'Returns (Calc)'!$A:$A)-3),"")</f>
        <v>622.684050632911</v>
      </c>
      <c r="Z8" s="144" t="n">
        <f aca="false">IFERROR('Price History'!E3+(INDEX('Price History'!E:E,MATCH(9.99E+307,'Returns (Calc)'!$A:$A)+1)-'Price History'!E3)*(ROW()-3)/(MATCH(9.99E+307,'Returns (Calc)'!$A:$A)-3),"")</f>
        <v>90.643670886076</v>
      </c>
      <c r="AA8" s="144" t="n">
        <f aca="false">IFERROR('Price History'!F3+(INDEX('Price History'!F:F,MATCH(9.99E+307,'Returns (Calc)'!$A:$A)+1)-'Price History'!F3)*(ROW()-3)/(MATCH(9.99E+307,'Returns (Calc)'!$A:$A)-3),"")</f>
        <v>48.5967088607595</v>
      </c>
      <c r="AB8" s="144" t="n">
        <f aca="false">IFERROR('Price History'!G3+(INDEX('Price History'!G:G,MATCH(9.99E+307,'Returns (Calc)'!$A:$A)+1)-'Price History'!G3)*(ROW()-3)/(MATCH(9.99E+307,'Returns (Calc)'!$A:$A)-3),"")</f>
        <v>49.493670886076</v>
      </c>
      <c r="AC8" s="144" t="n">
        <f aca="false">IFERROR('Price History'!H3+(INDEX('Price History'!H:H,MATCH(9.99E+307,'Returns (Calc)'!$A:$A)+1)-'Price History'!H3)*(ROW()-3)/(MATCH(9.99E+307,'Returns (Calc)'!$A:$A)-3),"")</f>
        <v>100.938481012658</v>
      </c>
      <c r="AD8" s="144" t="n">
        <f aca="false">IFERROR('Price History'!I3+(INDEX('Price History'!I:I,MATCH(9.99E+307,'Returns (Calc)'!$A:$A)+1)-'Price History'!I3)*(ROW()-3)/(MATCH(9.99E+307,'Returns (Calc)'!$A:$A)-3),"")</f>
        <v>49.7883544303798</v>
      </c>
      <c r="AE8" s="144" t="n">
        <f aca="false">IFERROR('Price History'!J3+(INDEX('Price History'!J:J,MATCH(9.99E+307,'Returns (Calc)'!$A:$A)+1)-'Price History'!J3)*(ROW()-3)/(MATCH(9.99E+307,'Returns (Calc)'!$A:$A)-3),"")</f>
        <v>112.380189873418</v>
      </c>
      <c r="AF8" s="144" t="n">
        <f aca="false">IFERROR('Price History'!K3+(INDEX('Price History'!K:K,MATCH(9.99E+307,'Returns (Calc)'!$A:$A)+1)-'Price History'!K3)*(ROW()-3)/(MATCH(9.99E+307,'Returns (Calc)'!$A:$A)-3),"")</f>
        <v>20.8179746835443</v>
      </c>
      <c r="AG8" s="144" t="n">
        <f aca="false">IFERROR('Price History'!L3+(INDEX('Price History'!L:L,MATCH(9.99E+307,'Returns (Calc)'!$A:$A)+1)-'Price History'!L3)*(ROW()-3)/(MATCH(9.99E+307,'Returns (Calc)'!$A:$A)-3),"")</f>
        <v>97.9977848101266</v>
      </c>
      <c r="AH8" s="144" t="n">
        <f aca="false">IFERROR('Price History'!M3+(INDEX('Price History'!M:M,MATCH(9.99E+307,'Returns (Calc)'!$A:$A)+1)-'Price History'!M3)*(ROW()-3)/(MATCH(9.99E+307,'Returns (Calc)'!$A:$A)-3),"")</f>
        <v>44.7972151898734</v>
      </c>
      <c r="AI8" s="144" t="n">
        <f aca="false">IFERROR('Price History'!N3+(INDEX('Price History'!N:N,MATCH(9.99E+307,'Returns (Calc)'!$A:$A)+1)-'Price History'!N3)*(ROW()-3)/(MATCH(9.99E+307,'Returns (Calc)'!$A:$A)-3),"")</f>
        <v>353.831329113924</v>
      </c>
      <c r="AJ8" s="144" t="n">
        <f aca="false">IFERROR('Price History'!O3+(INDEX('Price History'!O:O,MATCH(9.99E+307,'Returns (Calc)'!$A:$A)+1)-'Price History'!O3)*(ROW()-3)/(MATCH(9.99E+307,'Returns (Calc)'!$A:$A)-3),"")</f>
        <v>76.7251898734177</v>
      </c>
      <c r="AK8" s="144" t="n">
        <f aca="false">IFERROR('Price History'!Q3+(INDEX('Price History'!Q:Q,MATCH(9.99E+307,'Returns (Calc)'!$A:$A)+1)-'Price History'!Q3)*(ROW()-3)/(MATCH(9.99E+307,'Returns (Calc)'!$A:$A)-3),"")</f>
        <v>2.19683544303798</v>
      </c>
      <c r="AL8" s="144" t="n">
        <f aca="false">IFERROR('Price History'!R3+(INDEX('Price History'!R:R,MATCH(9.99E+307,'Returns (Calc)'!$A:$A)+1)-'Price History'!R3)*(ROW()-3)/(MATCH(9.99E+307,'Returns (Calc)'!$A:$A)-3),"")</f>
        <v>35.3205063291139</v>
      </c>
      <c r="AM8" s="144" t="n">
        <f aca="false">IFERROR('Price History'!S3+(INDEX('Price History'!S:S,MATCH(9.99E+307,'Returns (Calc)'!$A:$A)+1)-'Price History'!S3)*(ROW()-3)/(MATCH(9.99E+307,'Returns (Calc)'!$A:$A)-3),"")</f>
        <v>60.6553164556962</v>
      </c>
      <c r="AN8" s="144" t="n">
        <f aca="false">IFERROR('Price History'!T3+(INDEX('Price History'!T:T,MATCH(9.99E+307,'Returns (Calc)'!$A:$A)+1)-'Price History'!T3)*(ROW()-3)/(MATCH(9.99E+307,'Returns (Calc)'!$A:$A)-3),"")</f>
        <v>26.0811392405063</v>
      </c>
      <c r="AO8" s="145" t="n">
        <f aca="false">IFERROR('Price History'!V3+(INDEX('Price History'!V:V,MATCH(9.99E+307,'Returns (Calc)'!$A:$A)+1)-'Price History'!V3)*(ROW()-3)/(MATCH(9.99E+307,'Returns (Calc)'!$A:$A)-3),"")</f>
        <v>239.58664556962</v>
      </c>
      <c r="AP8" s="143" t="n">
        <f aca="false">IFERROR(IF(OR(NOT(ISNUMBER('Price History'!W9)),NOT(ISNUMBER('Price History'!W8)),'Price History'!W8=0),"",'Price History'!W9/'Price History'!W8-1),"")</f>
        <v>-0.0247668060469605</v>
      </c>
      <c r="AQ8" s="143" t="str">
        <f aca="false">IFERROR(IF(OR(NOT(ISNUMBER('Price History'!X9)),NOT(ISNUMBER('Price History'!X8)),'Price History'!X8=0),"",'Price History'!X9/'Price History'!X8-1),"")</f>
        <v/>
      </c>
      <c r="AR8" s="143" t="n">
        <f aca="false">IFERROR(IF(OR(NOT(ISNUMBER('Price History'!Y9)),NOT(ISNUMBER('Price History'!Y8)),'Price History'!Y8=0),"",'Price History'!Y9/'Price History'!Y8-1),"")</f>
        <v>-0.0221473278767453</v>
      </c>
      <c r="AS8" s="143" t="n">
        <f aca="false">IFERROR(IF(OR(NOT(ISNUMBER('Price History'!Z9)),NOT(ISNUMBER('Price History'!Z8)),'Price History'!Z8=0),"",'Price History'!Z9/'Price History'!Z8-1),"")</f>
        <v>0.00251949610077995</v>
      </c>
      <c r="AT8" s="143" t="n">
        <f aca="false">IFERROR(IF(OR(NOT(ISNUMBER('Price History'!AA9)),NOT(ISNUMBER('Price History'!AA8)),'Price History'!AA8=0),"",'Price History'!AA9/'Price History'!AA8-1),"")</f>
        <v>-0.00773067331670829</v>
      </c>
    </row>
    <row r="9" customFormat="false" ht="15" hidden="false" customHeight="true" outlineLevel="0" collapsed="false">
      <c r="A9" s="141" t="n">
        <f aca="false">IF('Price History'!A10="","",'Price History'!A10)</f>
        <v>45233</v>
      </c>
      <c r="B9" s="142" t="n">
        <f aca="false">IFERROR(IF(OR(NOT(ISNUMBER('Price History'!B10)),NOT(ISNUMBER('Price History'!B9)),'Price History'!B9=0),"",'Price History'!B10/'Price History'!B9-1),"")</f>
        <v>0.10930488860899</v>
      </c>
      <c r="C9" s="142" t="n">
        <f aca="false">IFERROR(IF(OR(NOT(ISNUMBER('Price History'!C10)),NOT(ISNUMBER('Price History'!C9)),'Price History'!C9=0),"",'Price History'!C10/'Price History'!C9-1),"")</f>
        <v>0.205902383654938</v>
      </c>
      <c r="D9" s="142" t="n">
        <f aca="false">IFERROR(IF(OR(NOT(ISNUMBER('Price History'!D10)),NOT(ISNUMBER('Price History'!D9)),'Price History'!D9=0),"",'Price History'!D10/'Price History'!D9-1),"")</f>
        <v>0.0916041145398945</v>
      </c>
      <c r="E9" s="142" t="n">
        <f aca="false">IFERROR(IF(OR(NOT(ISNUMBER('Price History'!E10)),NOT(ISNUMBER('Price History'!E9)),'Price History'!E9=0),"",'Price History'!E10/'Price History'!E9-1),"")</f>
        <v>0.0528585510103501</v>
      </c>
      <c r="F9" s="142" t="n">
        <f aca="false">IFERROR(IF(OR(NOT(ISNUMBER('Price History'!F10)),NOT(ISNUMBER('Price History'!F9)),'Price History'!F9=0),"",'Price History'!F10/'Price History'!F9-1),"")</f>
        <v>0.0890997454292988</v>
      </c>
      <c r="G9" s="142" t="n">
        <f aca="false">IFERROR(IF(OR(NOT(ISNUMBER('Price History'!G10)),NOT(ISNUMBER('Price History'!G9)),'Price History'!G9=0),"",'Price History'!G10/'Price History'!G9-1),"")</f>
        <v>0.091010733452594</v>
      </c>
      <c r="H9" s="142" t="n">
        <f aca="false">IFERROR(IF(OR(NOT(ISNUMBER('Price History'!H10)),NOT(ISNUMBER('Price History'!H9)),'Price History'!H9=0),"",'Price History'!H10/'Price History'!H9-1),"")</f>
        <v>0.10564354913117</v>
      </c>
      <c r="I9" s="142" t="n">
        <f aca="false">IFERROR(IF(OR(NOT(ISNUMBER('Price History'!I10)),NOT(ISNUMBER('Price History'!I9)),'Price History'!I9=0),"",'Price History'!I10/'Price History'!I9-1),"")</f>
        <v>0.111193660227835</v>
      </c>
      <c r="J9" s="142" t="n">
        <f aca="false">IFERROR(IF(OR(NOT(ISNUMBER('Price History'!J10)),NOT(ISNUMBER('Price History'!J9)),'Price History'!J9=0),"",'Price History'!J10/'Price History'!J9-1),"")</f>
        <v>0.0948392937980986</v>
      </c>
      <c r="K9" s="142" t="n">
        <f aca="false">IFERROR(IF(OR(NOT(ISNUMBER('Price History'!K10)),NOT(ISNUMBER('Price History'!K9)),'Price History'!K9=0),"",'Price History'!K10/'Price History'!K9-1),"")</f>
        <v>0.253483742534838</v>
      </c>
      <c r="L9" s="142" t="n">
        <f aca="false">IFERROR(IF(OR(NOT(ISNUMBER('Price History'!L10)),NOT(ISNUMBER('Price History'!L9)),'Price History'!L9=0),"",'Price History'!L10/'Price History'!L9-1),"")</f>
        <v>0.0674170902929072</v>
      </c>
      <c r="M9" s="142" t="n">
        <f aca="false">IFERROR(IF(OR(NOT(ISNUMBER('Price History'!M10)),NOT(ISNUMBER('Price History'!M9)),'Price History'!M9=0),"",'Price History'!M10/'Price History'!M9-1),"")</f>
        <v>0.110253583241455</v>
      </c>
      <c r="N9" s="142" t="n">
        <f aca="false">IFERROR(IF(OR(NOT(ISNUMBER('Price History'!N10)),NOT(ISNUMBER('Price History'!N9)),'Price History'!N9=0),"",'Price History'!N10/'Price History'!N9-1),"")</f>
        <v>0.0588831344291827</v>
      </c>
      <c r="O9" s="142" t="n">
        <f aca="false">IFERROR(IF(OR(NOT(ISNUMBER('Price History'!O10)),NOT(ISNUMBER('Price History'!O9)),'Price History'!O9=0),"",'Price History'!O10/'Price History'!O9-1),"")</f>
        <v>0.0716225875625445</v>
      </c>
      <c r="P9" s="142" t="n">
        <f aca="false">IFERROR(IF(OR(NOT(ISNUMBER('Price History'!P10)),NOT(ISNUMBER('Price History'!P9)),'Price History'!P9=0),"",'Price History'!P10/'Price History'!P9-1),"")</f>
        <v>0.0586580086580084</v>
      </c>
      <c r="Q9" s="142" t="n">
        <f aca="false">IFERROR(IF(OR(NOT(ISNUMBER('Price History'!Q10)),NOT(ISNUMBER('Price History'!Q9)),'Price History'!Q9=0),"",'Price History'!Q10/'Price History'!Q9-1),"")</f>
        <v>0.0403512439891283</v>
      </c>
      <c r="R9" s="142" t="n">
        <f aca="false">IFERROR(IF(OR(NOT(ISNUMBER('Price History'!R10)),NOT(ISNUMBER('Price History'!R9)),'Price History'!R9=0),"",'Price History'!R10/'Price History'!R9-1),"")</f>
        <v>0.0574396578062939</v>
      </c>
      <c r="S9" s="142" t="n">
        <f aca="false">IFERROR(IF(OR(NOT(ISNUMBER('Price History'!S10)),NOT(ISNUMBER('Price History'!S9)),'Price History'!S9=0),"",'Price History'!S10/'Price History'!S9-1),"")</f>
        <v>0.0584547298543243</v>
      </c>
      <c r="T9" s="142" t="n">
        <f aca="false">IFERROR(IF(OR(NOT(ISNUMBER('Price History'!T10)),NOT(ISNUMBER('Price History'!T9)),'Price History'!T9=0),"",'Price History'!T10/'Price History'!T9-1),"")</f>
        <v>0.0586497890295359</v>
      </c>
      <c r="U9" s="142" t="n">
        <f aca="false">IFERROR(IF(OR(NOT(ISNUMBER('Price History'!U10)),NOT(ISNUMBER('Price History'!U9)),'Price History'!U9=0),"",'Price History'!U10/'Price History'!U9-1),"")</f>
        <v>0.0500250125062531</v>
      </c>
      <c r="V9" s="143" t="n">
        <f aca="false">IFERROR(IF(OR(NOT(ISNUMBER('Price History'!V10)),NOT(ISNUMBER('Price History'!V9)),'Price History'!V9=0),"",'Price History'!V10/'Price History'!V9-1),"")</f>
        <v>0.062516733601071</v>
      </c>
      <c r="W9" s="144" t="n">
        <f aca="false">IFERROR('Price History'!B3+(INDEX('Price History'!B:B,MATCH(9.99E+307,'Returns (Calc)'!$A:$A)+1)-'Price History'!B3)*(ROW()-3)/(MATCH(9.99E+307,'Returns (Calc)'!$A:$A)-3),"")</f>
        <v>517.831772151899</v>
      </c>
      <c r="X9" s="144" t="n">
        <f aca="false">IFERROR('Price History'!C3+(INDEX('Price History'!C:C,MATCH(9.99E+307,'Returns (Calc)'!$A:$A)+1)-'Price History'!C3)*(ROW()-3)/(MATCH(9.99E+307,'Returns (Calc)'!$A:$A)-3),"")</f>
        <v>52.3003797468354</v>
      </c>
      <c r="Y9" s="144" t="n">
        <f aca="false">IFERROR('Price History'!D3+(INDEX('Price History'!D:D,MATCH(9.99E+307,'Returns (Calc)'!$A:$A)+1)-'Price History'!D3)*(ROW()-3)/(MATCH(9.99E+307,'Returns (Calc)'!$A:$A)-3),"")</f>
        <v>630.818860759494</v>
      </c>
      <c r="Z9" s="144" t="n">
        <f aca="false">IFERROR('Price History'!E3+(INDEX('Price History'!E:E,MATCH(9.99E+307,'Returns (Calc)'!$A:$A)+1)-'Price History'!E3)*(ROW()-3)/(MATCH(9.99E+307,'Returns (Calc)'!$A:$A)-3),"")</f>
        <v>92.3724050632911</v>
      </c>
      <c r="AA9" s="144" t="n">
        <f aca="false">IFERROR('Price History'!F3+(INDEX('Price History'!F:F,MATCH(9.99E+307,'Returns (Calc)'!$A:$A)+1)-'Price History'!F3)*(ROW()-3)/(MATCH(9.99E+307,'Returns (Calc)'!$A:$A)-3),"")</f>
        <v>50.0440506329114</v>
      </c>
      <c r="AB9" s="144" t="n">
        <f aca="false">IFERROR('Price History'!G3+(INDEX('Price History'!G:G,MATCH(9.99E+307,'Returns (Calc)'!$A:$A)+1)-'Price History'!G3)*(ROW()-3)/(MATCH(9.99E+307,'Returns (Calc)'!$A:$A)-3),"")</f>
        <v>50.5224050632911</v>
      </c>
      <c r="AC9" s="144" t="n">
        <f aca="false">IFERROR('Price History'!H3+(INDEX('Price History'!H:H,MATCH(9.99E+307,'Returns (Calc)'!$A:$A)+1)-'Price History'!H3)*(ROW()-3)/(MATCH(9.99E+307,'Returns (Calc)'!$A:$A)-3),"")</f>
        <v>107.30417721519</v>
      </c>
      <c r="AD9" s="144" t="n">
        <f aca="false">IFERROR('Price History'!I3+(INDEX('Price History'!I:I,MATCH(9.99E+307,'Returns (Calc)'!$A:$A)+1)-'Price History'!I3)*(ROW()-3)/(MATCH(9.99E+307,'Returns (Calc)'!$A:$A)-3),"")</f>
        <v>50.9920253164557</v>
      </c>
      <c r="AE9" s="144" t="n">
        <f aca="false">IFERROR('Price History'!J3+(INDEX('Price History'!J:J,MATCH(9.99E+307,'Returns (Calc)'!$A:$A)+1)-'Price History'!J3)*(ROW()-3)/(MATCH(9.99E+307,'Returns (Calc)'!$A:$A)-3),"")</f>
        <v>112.488227848101</v>
      </c>
      <c r="AF9" s="144" t="n">
        <f aca="false">IFERROR('Price History'!K3+(INDEX('Price History'!K:K,MATCH(9.99E+307,'Returns (Calc)'!$A:$A)+1)-'Price History'!K3)*(ROW()-3)/(MATCH(9.99E+307,'Returns (Calc)'!$A:$A)-3),"")</f>
        <v>21.9155696202532</v>
      </c>
      <c r="AG9" s="144" t="n">
        <f aca="false">IFERROR('Price History'!L3+(INDEX('Price History'!L:L,MATCH(9.99E+307,'Returns (Calc)'!$A:$A)+1)-'Price History'!L3)*(ROW()-3)/(MATCH(9.99E+307,'Returns (Calc)'!$A:$A)-3),"")</f>
        <v>100.447341772152</v>
      </c>
      <c r="AH9" s="144" t="n">
        <f aca="false">IFERROR('Price History'!M3+(INDEX('Price History'!M:M,MATCH(9.99E+307,'Returns (Calc)'!$A:$A)+1)-'Price History'!M3)*(ROW()-3)/(MATCH(9.99E+307,'Returns (Calc)'!$A:$A)-3),"")</f>
        <v>46.1526582278481</v>
      </c>
      <c r="AI9" s="144" t="n">
        <f aca="false">IFERROR('Price History'!N3+(INDEX('Price History'!N:N,MATCH(9.99E+307,'Returns (Calc)'!$A:$A)+1)-'Price History'!N3)*(ROW()-3)/(MATCH(9.99E+307,'Returns (Calc)'!$A:$A)-3),"")</f>
        <v>354.817594936709</v>
      </c>
      <c r="AJ9" s="144" t="n">
        <f aca="false">IFERROR('Price History'!O3+(INDEX('Price History'!O:O,MATCH(9.99E+307,'Returns (Calc)'!$A:$A)+1)-'Price History'!O3)*(ROW()-3)/(MATCH(9.99E+307,'Returns (Calc)'!$A:$A)-3),"")</f>
        <v>77.0082278481013</v>
      </c>
      <c r="AK9" s="144" t="n">
        <f aca="false">IFERROR('Price History'!Q3+(INDEX('Price History'!Q:Q,MATCH(9.99E+307,'Returns (Calc)'!$A:$A)+1)-'Price History'!Q3)*(ROW()-3)/(MATCH(9.99E+307,'Returns (Calc)'!$A:$A)-3),"")</f>
        <v>2.63620253164557</v>
      </c>
      <c r="AL9" s="144" t="n">
        <f aca="false">IFERROR('Price History'!R3+(INDEX('Price History'!R:R,MATCH(9.99E+307,'Returns (Calc)'!$A:$A)+1)-'Price History'!R3)*(ROW()-3)/(MATCH(9.99E+307,'Returns (Calc)'!$A:$A)-3),"")</f>
        <v>35.4886075949367</v>
      </c>
      <c r="AM9" s="144" t="n">
        <f aca="false">IFERROR('Price History'!S3+(INDEX('Price History'!S:S,MATCH(9.99E+307,'Returns (Calc)'!$A:$A)+1)-'Price History'!S3)*(ROW()-3)/(MATCH(9.99E+307,'Returns (Calc)'!$A:$A)-3),"")</f>
        <v>61.2603797468355</v>
      </c>
      <c r="AN9" s="144" t="n">
        <f aca="false">IFERROR('Price History'!T3+(INDEX('Price History'!T:T,MATCH(9.99E+307,'Returns (Calc)'!$A:$A)+1)-'Price History'!T3)*(ROW()-3)/(MATCH(9.99E+307,'Returns (Calc)'!$A:$A)-3),"")</f>
        <v>26.2493670886076</v>
      </c>
      <c r="AO9" s="145" t="n">
        <f aca="false">IFERROR('Price History'!V3+(INDEX('Price History'!V:V,MATCH(9.99E+307,'Returns (Calc)'!$A:$A)+1)-'Price History'!V3)*(ROW()-3)/(MATCH(9.99E+307,'Returns (Calc)'!$A:$A)-3),"")</f>
        <v>240.377974683544</v>
      </c>
      <c r="AP9" s="143" t="n">
        <f aca="false">IFERROR(IF(OR(NOT(ISNUMBER('Price History'!W10)),NOT(ISNUMBER('Price History'!W9)),'Price History'!W9=0),"",'Price History'!W10/'Price History'!W9-1),"")</f>
        <v>0.0517810026385226</v>
      </c>
      <c r="AQ9" s="143" t="str">
        <f aca="false">IFERROR(IF(OR(NOT(ISNUMBER('Price History'!X10)),NOT(ISNUMBER('Price History'!X9)),'Price History'!X9=0),"",'Price History'!X10/'Price History'!X9-1),"")</f>
        <v/>
      </c>
      <c r="AR9" s="143" t="n">
        <f aca="false">IFERROR(IF(OR(NOT(ISNUMBER('Price History'!Y10)),NOT(ISNUMBER('Price History'!Y9)),'Price History'!Y9=0),"",'Price History'!Y10/'Price History'!Y9-1),"")</f>
        <v>0.0475135401280158</v>
      </c>
      <c r="AS9" s="143" t="n">
        <f aca="false">IFERROR(IF(OR(NOT(ISNUMBER('Price History'!Z10)),NOT(ISNUMBER('Price History'!Z9)),'Price History'!Z9=0),"",'Price History'!Z10/'Price History'!Z9-1),"")</f>
        <v>0.0241742460507419</v>
      </c>
      <c r="AT9" s="143" t="n">
        <f aca="false">IFERROR(IF(OR(NOT(ISNUMBER('Price History'!AA10)),NOT(ISNUMBER('Price History'!AA9)),'Price History'!AA9=0),"",'Price History'!AA10/'Price History'!AA9-1),"")</f>
        <v>0.0867052023121389</v>
      </c>
    </row>
    <row r="10" customFormat="false" ht="15" hidden="false" customHeight="true" outlineLevel="0" collapsed="false">
      <c r="A10" s="141" t="n">
        <f aca="false">IF('Price History'!A11="","",'Price History'!A11)</f>
        <v>45240</v>
      </c>
      <c r="B10" s="142" t="n">
        <f aca="false">IFERROR(IF(OR(NOT(ISNUMBER('Price History'!B11)),NOT(ISNUMBER('Price History'!B10)),'Price History'!B10=0),"",'Price History'!B11/'Price History'!B10-1),"")</f>
        <v>0.0595394386687012</v>
      </c>
      <c r="C10" s="142" t="n">
        <f aca="false">IFERROR(IF(OR(NOT(ISNUMBER('Price History'!C11)),NOT(ISNUMBER('Price History'!C10)),'Price History'!C10=0),"",'Price History'!C11/'Price History'!C10-1),"")</f>
        <v>-0.0265436746987952</v>
      </c>
      <c r="D10" s="142" t="n">
        <f aca="false">IFERROR(IF(OR(NOT(ISNUMBER('Price History'!D11)),NOT(ISNUMBER('Price History'!D10)),'Price History'!D10=0),"",'Price History'!D11/'Price History'!D10-1),"")</f>
        <v>0.0293836750286516</v>
      </c>
      <c r="E10" s="142" t="n">
        <f aca="false">IFERROR(IF(OR(NOT(ISNUMBER('Price History'!E11)),NOT(ISNUMBER('Price History'!E10)),'Price History'!E10=0),"",'Price History'!E11/'Price History'!E10-1),"")</f>
        <v>0.0847279110590988</v>
      </c>
      <c r="F10" s="142" t="n">
        <f aca="false">IFERROR(IF(OR(NOT(ISNUMBER('Price History'!F11)),NOT(ISNUMBER('Price History'!F10)),'Price History'!F10=0),"",'Price History'!F11/'Price History'!F10-1),"")</f>
        <v>0.0429239269018273</v>
      </c>
      <c r="G10" s="142" t="n">
        <f aca="false">IFERROR(IF(OR(NOT(ISNUMBER('Price History'!G11)),NOT(ISNUMBER('Price History'!G10)),'Price History'!G10=0),"",'Price History'!G11/'Price History'!G10-1),"")</f>
        <v>0.0692764910842387</v>
      </c>
      <c r="H10" s="142" t="n">
        <f aca="false">IFERROR(IF(OR(NOT(ISNUMBER('Price History'!H11)),NOT(ISNUMBER('Price History'!H10)),'Price History'!H10=0),"",'Price History'!H11/'Price History'!H10-1),"")</f>
        <v>0.0382475660639778</v>
      </c>
      <c r="I10" s="142" t="n">
        <f aca="false">IFERROR(IF(OR(NOT(ISNUMBER('Price History'!I11)),NOT(ISNUMBER('Price History'!I10)),'Price History'!I10=0),"",'Price History'!I11/'Price History'!I10-1),"")</f>
        <v>0.0739915310898149</v>
      </c>
      <c r="J10" s="142" t="n">
        <f aca="false">IFERROR(IF(OR(NOT(ISNUMBER('Price History'!J11)),NOT(ISNUMBER('Price History'!J10)),'Price History'!J10=0),"",'Price History'!J11/'Price History'!J10-1),"")</f>
        <v>-0.0187099441802769</v>
      </c>
      <c r="K10" s="142" t="n">
        <f aca="false">IFERROR(IF(OR(NOT(ISNUMBER('Price History'!K11)),NOT(ISNUMBER('Price History'!K10)),'Price History'!K10=0),"",'Price History'!K11/'Price History'!K10-1),"")</f>
        <v>0.0412916887241928</v>
      </c>
      <c r="L10" s="142" t="n">
        <f aca="false">IFERROR(IF(OR(NOT(ISNUMBER('Price History'!L11)),NOT(ISNUMBER('Price History'!L10)),'Price History'!L10=0),"",'Price History'!L11/'Price History'!L10-1),"")</f>
        <v>0.061571606758136</v>
      </c>
      <c r="M10" s="142" t="n">
        <f aca="false">IFERROR(IF(OR(NOT(ISNUMBER('Price History'!M11)),NOT(ISNUMBER('Price History'!M10)),'Price History'!M10=0),"",'Price History'!M11/'Price History'!M10-1),"")</f>
        <v>0.0345084409136047</v>
      </c>
      <c r="N10" s="142" t="n">
        <f aca="false">IFERROR(IF(OR(NOT(ISNUMBER('Price History'!N11)),NOT(ISNUMBER('Price History'!N10)),'Price History'!N10=0),"",'Price History'!N11/'Price History'!N10-1),"")</f>
        <v>-0.00677830940988844</v>
      </c>
      <c r="O10" s="142" t="n">
        <f aca="false">IFERROR(IF(OR(NOT(ISNUMBER('Price History'!O11)),NOT(ISNUMBER('Price History'!O10)),'Price History'!O10=0),"",'Price History'!O11/'Price History'!O10-1),"")</f>
        <v>-0.0341515474919956</v>
      </c>
      <c r="P10" s="142" t="n">
        <f aca="false">IFERROR(IF(OR(NOT(ISNUMBER('Price History'!P11)),NOT(ISNUMBER('Price History'!P10)),'Price History'!P10=0),"",'Price History'!P11/'Price History'!P10-1),"")</f>
        <v>-0.0225925168677161</v>
      </c>
      <c r="Q10" s="142" t="n">
        <f aca="false">IFERROR(IF(OR(NOT(ISNUMBER('Price History'!Q11)),NOT(ISNUMBER('Price History'!Q10)),'Price History'!Q10=0),"",'Price History'!Q11/'Price History'!Q10-1),"")</f>
        <v>0.010048231511254</v>
      </c>
      <c r="R10" s="142" t="n">
        <f aca="false">IFERROR(IF(OR(NOT(ISNUMBER('Price History'!R11)),NOT(ISNUMBER('Price History'!R10)),'Price History'!R10=0),"",'Price History'!R11/'Price History'!R10-1),"")</f>
        <v>0.0208032360589425</v>
      </c>
      <c r="S10" s="142" t="n">
        <f aca="false">IFERROR(IF(OR(NOT(ISNUMBER('Price History'!S11)),NOT(ISNUMBER('Price History'!S10)),'Price History'!S10=0),"",'Price History'!S11/'Price History'!S10-1),"")</f>
        <v>0.0294425087108015</v>
      </c>
      <c r="T10" s="142" t="n">
        <f aca="false">IFERROR(IF(OR(NOT(ISNUMBER('Price History'!T11)),NOT(ISNUMBER('Price History'!T10)),'Price History'!T10=0),"",'Price History'!T11/'Price History'!T10-1),"")</f>
        <v>-0.00637704264647265</v>
      </c>
      <c r="U10" s="142" t="n">
        <f aca="false">IFERROR(IF(OR(NOT(ISNUMBER('Price History'!U11)),NOT(ISNUMBER('Price History'!U10)),'Price History'!U10=0),"",'Price History'!U11/'Price History'!U10-1),"")</f>
        <v>-0.0114340161981895</v>
      </c>
      <c r="V10" s="143" t="n">
        <f aca="false">IFERROR(IF(OR(NOT(ISNUMBER('Price History'!V11)),NOT(ISNUMBER('Price History'!V10)),'Price History'!V10=0),"",'Price History'!V11/'Price History'!V10-1),"")</f>
        <v>0.00890344798622467</v>
      </c>
      <c r="W10" s="144" t="n">
        <f aca="false">IFERROR('Price History'!B3+(INDEX('Price History'!B:B,MATCH(9.99E+307,'Returns (Calc)'!$A:$A)+1)-'Price History'!B3)*(ROW()-3)/(MATCH(9.99E+307,'Returns (Calc)'!$A:$A)-3),"")</f>
        <v>515.988734177215</v>
      </c>
      <c r="X10" s="144" t="n">
        <f aca="false">IFERROR('Price History'!C3+(INDEX('Price History'!C:C,MATCH(9.99E+307,'Returns (Calc)'!$A:$A)+1)-'Price History'!C3)*(ROW()-3)/(MATCH(9.99E+307,'Returns (Calc)'!$A:$A)-3),"")</f>
        <v>53.3204430379747</v>
      </c>
      <c r="Y10" s="144" t="n">
        <f aca="false">IFERROR('Price History'!D3+(INDEX('Price History'!D:D,MATCH(9.99E+307,'Returns (Calc)'!$A:$A)+1)-'Price History'!D3)*(ROW()-3)/(MATCH(9.99E+307,'Returns (Calc)'!$A:$A)-3),"")</f>
        <v>638.953670886076</v>
      </c>
      <c r="Z10" s="144" t="n">
        <f aca="false">IFERROR('Price History'!E3+(INDEX('Price History'!E:E,MATCH(9.99E+307,'Returns (Calc)'!$A:$A)+1)-'Price History'!E3)*(ROW()-3)/(MATCH(9.99E+307,'Returns (Calc)'!$A:$A)-3),"")</f>
        <v>94.1011392405063</v>
      </c>
      <c r="AA10" s="144" t="n">
        <f aca="false">IFERROR('Price History'!F3+(INDEX('Price History'!F:F,MATCH(9.99E+307,'Returns (Calc)'!$A:$A)+1)-'Price History'!F3)*(ROW()-3)/(MATCH(9.99E+307,'Returns (Calc)'!$A:$A)-3),"")</f>
        <v>51.4913924050633</v>
      </c>
      <c r="AB10" s="144" t="n">
        <f aca="false">IFERROR('Price History'!G3+(INDEX('Price History'!G:G,MATCH(9.99E+307,'Returns (Calc)'!$A:$A)+1)-'Price History'!G3)*(ROW()-3)/(MATCH(9.99E+307,'Returns (Calc)'!$A:$A)-3),"")</f>
        <v>51.5511392405063</v>
      </c>
      <c r="AC10" s="144" t="n">
        <f aca="false">IFERROR('Price History'!H3+(INDEX('Price History'!H:H,MATCH(9.99E+307,'Returns (Calc)'!$A:$A)+1)-'Price History'!H3)*(ROW()-3)/(MATCH(9.99E+307,'Returns (Calc)'!$A:$A)-3),"")</f>
        <v>113.669873417722</v>
      </c>
      <c r="AD10" s="144" t="n">
        <f aca="false">IFERROR('Price History'!I3+(INDEX('Price History'!I:I,MATCH(9.99E+307,'Returns (Calc)'!$A:$A)+1)-'Price History'!I3)*(ROW()-3)/(MATCH(9.99E+307,'Returns (Calc)'!$A:$A)-3),"")</f>
        <v>52.1956962025317</v>
      </c>
      <c r="AE10" s="144" t="n">
        <f aca="false">IFERROR('Price History'!J3+(INDEX('Price History'!J:J,MATCH(9.99E+307,'Returns (Calc)'!$A:$A)+1)-'Price History'!J3)*(ROW()-3)/(MATCH(9.99E+307,'Returns (Calc)'!$A:$A)-3),"")</f>
        <v>112.596265822785</v>
      </c>
      <c r="AF10" s="144" t="n">
        <f aca="false">IFERROR('Price History'!K3+(INDEX('Price History'!K:K,MATCH(9.99E+307,'Returns (Calc)'!$A:$A)+1)-'Price History'!K3)*(ROW()-3)/(MATCH(9.99E+307,'Returns (Calc)'!$A:$A)-3),"")</f>
        <v>23.013164556962</v>
      </c>
      <c r="AG10" s="144" t="n">
        <f aca="false">IFERROR('Price History'!L3+(INDEX('Price History'!L:L,MATCH(9.99E+307,'Returns (Calc)'!$A:$A)+1)-'Price History'!L3)*(ROW()-3)/(MATCH(9.99E+307,'Returns (Calc)'!$A:$A)-3),"")</f>
        <v>102.896898734177</v>
      </c>
      <c r="AH10" s="144" t="n">
        <f aca="false">IFERROR('Price History'!M3+(INDEX('Price History'!M:M,MATCH(9.99E+307,'Returns (Calc)'!$A:$A)+1)-'Price History'!M3)*(ROW()-3)/(MATCH(9.99E+307,'Returns (Calc)'!$A:$A)-3),"")</f>
        <v>47.5081012658228</v>
      </c>
      <c r="AI10" s="144" t="n">
        <f aca="false">IFERROR('Price History'!N3+(INDEX('Price History'!N:N,MATCH(9.99E+307,'Returns (Calc)'!$A:$A)+1)-'Price History'!N3)*(ROW()-3)/(MATCH(9.99E+307,'Returns (Calc)'!$A:$A)-3),"")</f>
        <v>355.803860759494</v>
      </c>
      <c r="AJ10" s="144" t="n">
        <f aca="false">IFERROR('Price History'!O3+(INDEX('Price History'!O:O,MATCH(9.99E+307,'Returns (Calc)'!$A:$A)+1)-'Price History'!O3)*(ROW()-3)/(MATCH(9.99E+307,'Returns (Calc)'!$A:$A)-3),"")</f>
        <v>77.2912658227848</v>
      </c>
      <c r="AK10" s="144" t="n">
        <f aca="false">IFERROR('Price History'!Q3+(INDEX('Price History'!Q:Q,MATCH(9.99E+307,'Returns (Calc)'!$A:$A)+1)-'Price History'!Q3)*(ROW()-3)/(MATCH(9.99E+307,'Returns (Calc)'!$A:$A)-3),"")</f>
        <v>3.07556962025316</v>
      </c>
      <c r="AL10" s="144" t="n">
        <f aca="false">IFERROR('Price History'!R3+(INDEX('Price History'!R:R,MATCH(9.99E+307,'Returns (Calc)'!$A:$A)+1)-'Price History'!R3)*(ROW()-3)/(MATCH(9.99E+307,'Returns (Calc)'!$A:$A)-3),"")</f>
        <v>35.6567088607595</v>
      </c>
      <c r="AM10" s="144" t="n">
        <f aca="false">IFERROR('Price History'!S3+(INDEX('Price History'!S:S,MATCH(9.99E+307,'Returns (Calc)'!$A:$A)+1)-'Price History'!S3)*(ROW()-3)/(MATCH(9.99E+307,'Returns (Calc)'!$A:$A)-3),"")</f>
        <v>61.8654430379747</v>
      </c>
      <c r="AN10" s="144" t="n">
        <f aca="false">IFERROR('Price History'!T3+(INDEX('Price History'!T:T,MATCH(9.99E+307,'Returns (Calc)'!$A:$A)+1)-'Price History'!T3)*(ROW()-3)/(MATCH(9.99E+307,'Returns (Calc)'!$A:$A)-3),"")</f>
        <v>26.4175949367089</v>
      </c>
      <c r="AO10" s="145" t="n">
        <f aca="false">IFERROR('Price History'!V3+(INDEX('Price History'!V:V,MATCH(9.99E+307,'Returns (Calc)'!$A:$A)+1)-'Price History'!V3)*(ROW()-3)/(MATCH(9.99E+307,'Returns (Calc)'!$A:$A)-3),"")</f>
        <v>241.169303797468</v>
      </c>
      <c r="AP10" s="143" t="n">
        <f aca="false">IFERROR(IF(OR(NOT(ISNUMBER('Price History'!W11)),NOT(ISNUMBER('Price History'!W10)),'Price History'!W10=0),"",'Price History'!W11/'Price History'!W10-1),"")</f>
        <v>-0.0112888052681092</v>
      </c>
      <c r="AQ10" s="143" t="str">
        <f aca="false">IFERROR(IF(OR(NOT(ISNUMBER('Price History'!X11)),NOT(ISNUMBER('Price History'!X10)),'Price History'!X10=0),"",'Price History'!X11/'Price History'!X10-1),"")</f>
        <v/>
      </c>
      <c r="AR10" s="143" t="n">
        <f aca="false">IFERROR(IF(OR(NOT(ISNUMBER('Price History'!Y11)),NOT(ISNUMBER('Price History'!Y10)),'Price History'!Y10=0),"",'Price History'!Y11/'Price History'!Y10-1),"")</f>
        <v>0.00399529964747369</v>
      </c>
      <c r="AS10" s="143" t="n">
        <f aca="false">IFERROR(IF(OR(NOT(ISNUMBER('Price History'!Z11)),NOT(ISNUMBER('Price History'!Z10)),'Price History'!Z10=0),"",'Price History'!Z11/'Price History'!Z10-1),"")</f>
        <v>0.0583080158915634</v>
      </c>
      <c r="AT10" s="143" t="n">
        <f aca="false">IFERROR(IF(OR(NOT(ISNUMBER('Price History'!AA11)),NOT(ISNUMBER('Price History'!AA10)),'Price History'!AA10=0),"",'Price History'!AA11/'Price History'!AA10-1),"")</f>
        <v>0.0342275670675301</v>
      </c>
    </row>
    <row r="11" customFormat="false" ht="15" hidden="false" customHeight="true" outlineLevel="0" collapsed="false">
      <c r="A11" s="141" t="n">
        <f aca="false">IF('Price History'!A12="","",'Price History'!A12)</f>
        <v>45247</v>
      </c>
      <c r="B11" s="142" t="n">
        <f aca="false">IFERROR(IF(OR(NOT(ISNUMBER('Price History'!B12)),NOT(ISNUMBER('Price History'!B11)),'Price History'!B11=0),"",'Price History'!B12/'Price History'!B11-1),"")</f>
        <v>0.00910887110277603</v>
      </c>
      <c r="C11" s="142" t="n">
        <f aca="false">IFERROR(IF(OR(NOT(ISNUMBER('Price History'!C12)),NOT(ISNUMBER('Price History'!C11)),'Price History'!C11=0),"",'Price History'!C12/'Price History'!C11-1),"")</f>
        <v>0.0377103074840455</v>
      </c>
      <c r="D11" s="142" t="n">
        <f aca="false">IFERROR(IF(OR(NOT(ISNUMBER('Price History'!D12)),NOT(ISNUMBER('Price History'!D11)),'Price History'!D11=0),"",'Price History'!D12/'Price History'!D11-1),"")</f>
        <v>0.0375135302304004</v>
      </c>
      <c r="E11" s="142" t="n">
        <f aca="false">IFERROR(IF(OR(NOT(ISNUMBER('Price History'!E12)),NOT(ISNUMBER('Price History'!E11)),'Price History'!E11=0),"",'Price History'!E12/'Price History'!E11-1),"")</f>
        <v>0.0211457546660914</v>
      </c>
      <c r="F11" s="142" t="n">
        <f aca="false">IFERROR(IF(OR(NOT(ISNUMBER('Price History'!F12)),NOT(ISNUMBER('Price History'!F11)),'Price History'!F11=0),"",'Price History'!F12/'Price History'!F11-1),"")</f>
        <v>0.0548084759576204</v>
      </c>
      <c r="G11" s="142" t="n">
        <f aca="false">IFERROR(IF(OR(NOT(ISNUMBER('Price History'!G12)),NOT(ISNUMBER('Price History'!G11)),'Price History'!G11=0),"",'Price History'!G12/'Price History'!G11-1),"")</f>
        <v>0.0220433199156602</v>
      </c>
      <c r="H11" s="142" t="n">
        <f aca="false">IFERROR(IF(OR(NOT(ISNUMBER('Price History'!H12)),NOT(ISNUMBER('Price History'!H11)),'Price History'!H11=0),"",'Price History'!H12/'Price History'!H11-1),"")</f>
        <v>0.029202947086403</v>
      </c>
      <c r="I11" s="142" t="n">
        <f aca="false">IFERROR(IF(OR(NOT(ISNUMBER('Price History'!I12)),NOT(ISNUMBER('Price History'!I11)),'Price History'!I11=0),"",'Price History'!I12/'Price History'!I11-1),"")</f>
        <v>0.0199211454658643</v>
      </c>
      <c r="J11" s="142" t="n">
        <f aca="false">IFERROR(IF(OR(NOT(ISNUMBER('Price History'!J12)),NOT(ISNUMBER('Price History'!J11)),'Price History'!J11=0),"",'Price History'!J12/'Price History'!J11-1),"")</f>
        <v>0.0527757294848834</v>
      </c>
      <c r="K11" s="142" t="n">
        <f aca="false">IFERROR(IF(OR(NOT(ISNUMBER('Price History'!K12)),NOT(ISNUMBER('Price History'!K11)),'Price History'!K11=0),"",'Price History'!K12/'Price History'!K11-1),"")</f>
        <v>0.0416878495170308</v>
      </c>
      <c r="L11" s="142" t="n">
        <f aca="false">IFERROR(IF(OR(NOT(ISNUMBER('Price History'!L12)),NOT(ISNUMBER('Price History'!L11)),'Price History'!L11=0),"",'Price History'!L12/'Price History'!L11-1),"")</f>
        <v>0.022003845332194</v>
      </c>
      <c r="M11" s="142" t="n">
        <f aca="false">IFERROR(IF(OR(NOT(ISNUMBER('Price History'!M12)),NOT(ISNUMBER('Price History'!M11)),'Price History'!M11=0),"",'Price History'!M12/'Price History'!M11-1),"")</f>
        <v>0.0347972162227022</v>
      </c>
      <c r="N11" s="142" t="n">
        <f aca="false">IFERROR(IF(OR(NOT(ISNUMBER('Price History'!N12)),NOT(ISNUMBER('Price History'!N11)),'Price History'!N11=0),"",'Price History'!N12/'Price History'!N11-1),"")</f>
        <v>-0.06195637628797</v>
      </c>
      <c r="O11" s="142" t="n">
        <f aca="false">IFERROR(IF(OR(NOT(ISNUMBER('Price History'!O12)),NOT(ISNUMBER('Price History'!O11)),'Price History'!O11=0),"",'Price History'!O12/'Price History'!O11-1),"")</f>
        <v>0.055524861878453</v>
      </c>
      <c r="P11" s="142" t="n">
        <f aca="false">IFERROR(IF(OR(NOT(ISNUMBER('Price History'!P12)),NOT(ISNUMBER('Price History'!P11)),'Price History'!P11=0),"",'Price History'!P12/'Price History'!P11-1),"")</f>
        <v>0.0354565422026985</v>
      </c>
      <c r="Q11" s="142" t="n">
        <f aca="false">IFERROR(IF(OR(NOT(ISNUMBER('Price History'!Q12)),NOT(ISNUMBER('Price History'!Q11)),'Price History'!Q11=0),"",'Price History'!Q12/'Price History'!Q11-1),"")</f>
        <v>0.0129327497015519</v>
      </c>
      <c r="R11" s="142" t="n">
        <f aca="false">IFERROR(IF(OR(NOT(ISNUMBER('Price History'!R12)),NOT(ISNUMBER('Price History'!R11)),'Price History'!R11=0),"",'Price History'!R12/'Price History'!R11-1),"")</f>
        <v>0.00934050382111518</v>
      </c>
      <c r="S11" s="142" t="n">
        <f aca="false">IFERROR(IF(OR(NOT(ISNUMBER('Price History'!S12)),NOT(ISNUMBER('Price History'!S11)),'Price History'!S11=0),"",'Price History'!S12/'Price History'!S11-1),"")</f>
        <v>0.0216618717211032</v>
      </c>
      <c r="T11" s="142" t="n">
        <f aca="false">IFERROR(IF(OR(NOT(ISNUMBER('Price History'!T12)),NOT(ISNUMBER('Price History'!T11)),'Price History'!T11=0),"",'Price History'!T12/'Price History'!T11-1),"")</f>
        <v>0.0256718812675492</v>
      </c>
      <c r="U11" s="142" t="n">
        <f aca="false">IFERROR(IF(OR(NOT(ISNUMBER('Price History'!U12)),NOT(ISNUMBER('Price History'!U11)),'Price History'!U11=0),"",'Price History'!U12/'Price History'!U11-1),"")</f>
        <v>0.0240963855421688</v>
      </c>
      <c r="V11" s="143" t="n">
        <f aca="false">IFERROR(IF(OR(NOT(ISNUMBER('Price History'!V12)),NOT(ISNUMBER('Price History'!V11)),'Price History'!V11=0),"",'Price History'!V12/'Price History'!V11-1),"")</f>
        <v>0.0175664987720101</v>
      </c>
      <c r="W11" s="144" t="n">
        <f aca="false">IFERROR('Price History'!B3+(INDEX('Price History'!B:B,MATCH(9.99E+307,'Returns (Calc)'!$A:$A)+1)-'Price History'!B3)*(ROW()-3)/(MATCH(9.99E+307,'Returns (Calc)'!$A:$A)-3),"")</f>
        <v>514.145696202532</v>
      </c>
      <c r="X11" s="144" t="n">
        <f aca="false">IFERROR('Price History'!C3+(INDEX('Price History'!C:C,MATCH(9.99E+307,'Returns (Calc)'!$A:$A)+1)-'Price History'!C3)*(ROW()-3)/(MATCH(9.99E+307,'Returns (Calc)'!$A:$A)-3),"")</f>
        <v>54.3405063291139</v>
      </c>
      <c r="Y11" s="144" t="n">
        <f aca="false">IFERROR('Price History'!D3+(INDEX('Price History'!D:D,MATCH(9.99E+307,'Returns (Calc)'!$A:$A)+1)-'Price History'!D3)*(ROW()-3)/(MATCH(9.99E+307,'Returns (Calc)'!$A:$A)-3),"")</f>
        <v>647.088481012658</v>
      </c>
      <c r="Z11" s="144" t="n">
        <f aca="false">IFERROR('Price History'!E3+(INDEX('Price History'!E:E,MATCH(9.99E+307,'Returns (Calc)'!$A:$A)+1)-'Price History'!E3)*(ROW()-3)/(MATCH(9.99E+307,'Returns (Calc)'!$A:$A)-3),"")</f>
        <v>95.8298734177215</v>
      </c>
      <c r="AA11" s="144" t="n">
        <f aca="false">IFERROR('Price History'!F3+(INDEX('Price History'!F:F,MATCH(9.99E+307,'Returns (Calc)'!$A:$A)+1)-'Price History'!F3)*(ROW()-3)/(MATCH(9.99E+307,'Returns (Calc)'!$A:$A)-3),"")</f>
        <v>52.9387341772152</v>
      </c>
      <c r="AB11" s="144" t="n">
        <f aca="false">IFERROR('Price History'!G3+(INDEX('Price History'!G:G,MATCH(9.99E+307,'Returns (Calc)'!$A:$A)+1)-'Price History'!G3)*(ROW()-3)/(MATCH(9.99E+307,'Returns (Calc)'!$A:$A)-3),"")</f>
        <v>52.5798734177215</v>
      </c>
      <c r="AC11" s="144" t="n">
        <f aca="false">IFERROR('Price History'!H3+(INDEX('Price History'!H:H,MATCH(9.99E+307,'Returns (Calc)'!$A:$A)+1)-'Price History'!H3)*(ROW()-3)/(MATCH(9.99E+307,'Returns (Calc)'!$A:$A)-3),"")</f>
        <v>120.035569620253</v>
      </c>
      <c r="AD11" s="144" t="n">
        <f aca="false">IFERROR('Price History'!I3+(INDEX('Price History'!I:I,MATCH(9.99E+307,'Returns (Calc)'!$A:$A)+1)-'Price History'!I3)*(ROW()-3)/(MATCH(9.99E+307,'Returns (Calc)'!$A:$A)-3),"")</f>
        <v>53.3993670886076</v>
      </c>
      <c r="AE11" s="144" t="n">
        <f aca="false">IFERROR('Price History'!J3+(INDEX('Price History'!J:J,MATCH(9.99E+307,'Returns (Calc)'!$A:$A)+1)-'Price History'!J3)*(ROW()-3)/(MATCH(9.99E+307,'Returns (Calc)'!$A:$A)-3),"")</f>
        <v>112.704303797468</v>
      </c>
      <c r="AF11" s="144" t="n">
        <f aca="false">IFERROR('Price History'!K3+(INDEX('Price History'!K:K,MATCH(9.99E+307,'Returns (Calc)'!$A:$A)+1)-'Price History'!K3)*(ROW()-3)/(MATCH(9.99E+307,'Returns (Calc)'!$A:$A)-3),"")</f>
        <v>24.1107594936709</v>
      </c>
      <c r="AG11" s="144" t="n">
        <f aca="false">IFERROR('Price History'!L3+(INDEX('Price History'!L:L,MATCH(9.99E+307,'Returns (Calc)'!$A:$A)+1)-'Price History'!L3)*(ROW()-3)/(MATCH(9.99E+307,'Returns (Calc)'!$A:$A)-3),"")</f>
        <v>105.346455696203</v>
      </c>
      <c r="AH11" s="144" t="n">
        <f aca="false">IFERROR('Price History'!M3+(INDEX('Price History'!M:M,MATCH(9.99E+307,'Returns (Calc)'!$A:$A)+1)-'Price History'!M3)*(ROW()-3)/(MATCH(9.99E+307,'Returns (Calc)'!$A:$A)-3),"")</f>
        <v>48.8635443037975</v>
      </c>
      <c r="AI11" s="144" t="n">
        <f aca="false">IFERROR('Price History'!N3+(INDEX('Price History'!N:N,MATCH(9.99E+307,'Returns (Calc)'!$A:$A)+1)-'Price History'!N3)*(ROW()-3)/(MATCH(9.99E+307,'Returns (Calc)'!$A:$A)-3),"")</f>
        <v>356.790126582278</v>
      </c>
      <c r="AJ11" s="144" t="n">
        <f aca="false">IFERROR('Price History'!O3+(INDEX('Price History'!O:O,MATCH(9.99E+307,'Returns (Calc)'!$A:$A)+1)-'Price History'!O3)*(ROW()-3)/(MATCH(9.99E+307,'Returns (Calc)'!$A:$A)-3),"")</f>
        <v>77.5743037974684</v>
      </c>
      <c r="AK11" s="144" t="n">
        <f aca="false">IFERROR('Price History'!Q3+(INDEX('Price History'!Q:Q,MATCH(9.99E+307,'Returns (Calc)'!$A:$A)+1)-'Price History'!Q3)*(ROW()-3)/(MATCH(9.99E+307,'Returns (Calc)'!$A:$A)-3),"")</f>
        <v>3.51493670886076</v>
      </c>
      <c r="AL11" s="144" t="n">
        <f aca="false">IFERROR('Price History'!R3+(INDEX('Price History'!R:R,MATCH(9.99E+307,'Returns (Calc)'!$A:$A)+1)-'Price History'!R3)*(ROW()-3)/(MATCH(9.99E+307,'Returns (Calc)'!$A:$A)-3),"")</f>
        <v>35.8248101265823</v>
      </c>
      <c r="AM11" s="144" t="n">
        <f aca="false">IFERROR('Price History'!S3+(INDEX('Price History'!S:S,MATCH(9.99E+307,'Returns (Calc)'!$A:$A)+1)-'Price History'!S3)*(ROW()-3)/(MATCH(9.99E+307,'Returns (Calc)'!$A:$A)-3),"")</f>
        <v>62.4705063291139</v>
      </c>
      <c r="AN11" s="144" t="n">
        <f aca="false">IFERROR('Price History'!T3+(INDEX('Price History'!T:T,MATCH(9.99E+307,'Returns (Calc)'!$A:$A)+1)-'Price History'!T3)*(ROW()-3)/(MATCH(9.99E+307,'Returns (Calc)'!$A:$A)-3),"")</f>
        <v>26.5858227848101</v>
      </c>
      <c r="AO11" s="145" t="n">
        <f aca="false">IFERROR('Price History'!V3+(INDEX('Price History'!V:V,MATCH(9.99E+307,'Returns (Calc)'!$A:$A)+1)-'Price History'!V3)*(ROW()-3)/(MATCH(9.99E+307,'Returns (Calc)'!$A:$A)-3),"")</f>
        <v>241.960632911392</v>
      </c>
      <c r="AP11" s="143" t="n">
        <f aca="false">IFERROR(IF(OR(NOT(ISNUMBER('Price History'!W12)),NOT(ISNUMBER('Price History'!W11)),'Price History'!W11=0),"",'Price History'!W12/'Price History'!W11-1),"")</f>
        <v>0.025584099799133</v>
      </c>
      <c r="AQ11" s="143" t="str">
        <f aca="false">IFERROR(IF(OR(NOT(ISNUMBER('Price History'!X12)),NOT(ISNUMBER('Price History'!X11)),'Price History'!X11=0),"",'Price History'!X12/'Price History'!X11-1),"")</f>
        <v/>
      </c>
      <c r="AR11" s="143" t="n">
        <f aca="false">IFERROR(IF(OR(NOT(ISNUMBER('Price History'!Y12)),NOT(ISNUMBER('Price History'!Y11)),'Price History'!Y11=0),"",'Price History'!Y12/'Price History'!Y11-1),"")</f>
        <v>0.00866104868913875</v>
      </c>
      <c r="AS11" s="143" t="n">
        <f aca="false">IFERROR(IF(OR(NOT(ISNUMBER('Price History'!Z12)),NOT(ISNUMBER('Price History'!Z11)),'Price History'!Z11=0),"",'Price History'!Z12/'Price History'!Z11-1),"")</f>
        <v>0.0404107320304739</v>
      </c>
      <c r="AT11" s="143" t="n">
        <f aca="false">IFERROR(IF(OR(NOT(ISNUMBER('Price History'!AA12)),NOT(ISNUMBER('Price History'!AA11)),'Price History'!AA11=0),"",'Price History'!AA12/'Price History'!AA11-1),"")</f>
        <v>0.0418157423971379</v>
      </c>
    </row>
    <row r="12" customFormat="false" ht="15" hidden="false" customHeight="true" outlineLevel="0" collapsed="false">
      <c r="A12" s="141" t="n">
        <f aca="false">IF('Price History'!A13="","",'Price History'!A13)</f>
        <v>45254</v>
      </c>
      <c r="B12" s="142" t="n">
        <f aca="false">IFERROR(IF(OR(NOT(ISNUMBER('Price History'!B13)),NOT(ISNUMBER('Price History'!B12)),'Price History'!B12=0),"",'Price History'!B13/'Price History'!B12-1),"")</f>
        <v>0.02782663525039</v>
      </c>
      <c r="C12" s="142" t="n">
        <f aca="false">IFERROR(IF(OR(NOT(ISNUMBER('Price History'!C13)),NOT(ISNUMBER('Price History'!C12)),'Price History'!C12=0),"",'Price History'!C13/'Price History'!C12-1),"")</f>
        <v>0.0175177040626167</v>
      </c>
      <c r="D12" s="142" t="n">
        <f aca="false">IFERROR(IF(OR(NOT(ISNUMBER('Price History'!D13)),NOT(ISNUMBER('Price History'!D12)),'Price History'!D12=0),"",'Price History'!D13/'Price History'!D12-1),"")</f>
        <v>0.00742220102539637</v>
      </c>
      <c r="E12" s="142" t="n">
        <f aca="false">IFERROR(IF(OR(NOT(ISNUMBER('Price History'!E13)),NOT(ISNUMBER('Price History'!E12)),'Price History'!E12=0),"",'Price History'!E13/'Price History'!E12-1),"")</f>
        <v>0.001162176439514</v>
      </c>
      <c r="F12" s="142" t="n">
        <f aca="false">IFERROR(IF(OR(NOT(ISNUMBER('Price History'!F13)),NOT(ISNUMBER('Price History'!F12)),'Price History'!F12=0),"",'Price History'!F13/'Price History'!F12-1),"")</f>
        <v>0.0173845856673749</v>
      </c>
      <c r="G12" s="142" t="n">
        <f aca="false">IFERROR(IF(OR(NOT(ISNUMBER('Price History'!G13)),NOT(ISNUMBER('Price History'!G12)),'Price History'!G12=0),"",'Price History'!G13/'Price History'!G12-1),"")</f>
        <v>0.0204426106526632</v>
      </c>
      <c r="H12" s="142" t="n">
        <f aca="false">IFERROR(IF(OR(NOT(ISNUMBER('Price History'!H13)),NOT(ISNUMBER('Price History'!H12)),'Price History'!H12=0),"",'Price History'!H13/'Price History'!H12-1),"")</f>
        <v>-0.00885070935832344</v>
      </c>
      <c r="I12" s="142" t="n">
        <f aca="false">IFERROR(IF(OR(NOT(ISNUMBER('Price History'!I13)),NOT(ISNUMBER('Price History'!I12)),'Price History'!I12=0),"",'Price History'!I13/'Price History'!I12-1),"")</f>
        <v>-0.0309257375381484</v>
      </c>
      <c r="J12" s="142" t="n">
        <f aca="false">IFERROR(IF(OR(NOT(ISNUMBER('Price History'!J13)),NOT(ISNUMBER('Price History'!J12)),'Price History'!J12=0),"",'Price History'!J13/'Price History'!J12-1),"")</f>
        <v>0.0175105063037824</v>
      </c>
      <c r="K12" s="142" t="n">
        <f aca="false">IFERROR(IF(OR(NOT(ISNUMBER('Price History'!K13)),NOT(ISNUMBER('Price History'!K12)),'Price History'!K12=0),"",'Price History'!K13/'Price History'!K12-1),"")</f>
        <v>-0.0629575402635432</v>
      </c>
      <c r="L12" s="142" t="n">
        <f aca="false">IFERROR(IF(OR(NOT(ISNUMBER('Price History'!L13)),NOT(ISNUMBER('Price History'!L12)),'Price History'!L12=0),"",'Price History'!L13/'Price History'!L12-1),"")</f>
        <v>-0.0175585284280937</v>
      </c>
      <c r="M12" s="142" t="n">
        <f aca="false">IFERROR(IF(OR(NOT(ISNUMBER('Price History'!M13)),NOT(ISNUMBER('Price History'!M12)),'Price History'!M12=0),"",'Price History'!M13/'Price History'!M12-1),"")</f>
        <v>-0.0139146567717995</v>
      </c>
      <c r="N12" s="142" t="n">
        <f aca="false">IFERROR(IF(OR(NOT(ISNUMBER('Price History'!N13)),NOT(ISNUMBER('Price History'!N12)),'Price History'!N12=0),"",'Price History'!N13/'Price History'!N12-1),"")</f>
        <v>0.00724679029957209</v>
      </c>
      <c r="O12" s="142" t="n">
        <f aca="false">IFERROR(IF(OR(NOT(ISNUMBER('Price History'!O13)),NOT(ISNUMBER('Price History'!O12)),'Price History'!O12=0),"",'Price History'!O13/'Price History'!O12-1),"")</f>
        <v>0.000130855796911966</v>
      </c>
      <c r="P12" s="142" t="n">
        <f aca="false">IFERROR(IF(OR(NOT(ISNUMBER('Price History'!P13)),NOT(ISNUMBER('Price History'!P12)),'Price History'!P12=0),"",'Price History'!P13/'Price History'!P12-1),"")</f>
        <v>0.0035353535353535</v>
      </c>
      <c r="Q12" s="142" t="n">
        <f aca="false">IFERROR(IF(OR(NOT(ISNUMBER('Price History'!Q13)),NOT(ISNUMBER('Price History'!Q12)),'Price History'!Q12=0),"",'Price History'!Q13/'Price History'!Q12-1),"")</f>
        <v>0.00432135140443934</v>
      </c>
      <c r="R12" s="142" t="n">
        <f aca="false">IFERROR(IF(OR(NOT(ISNUMBER('Price History'!R13)),NOT(ISNUMBER('Price History'!R12)),'Price History'!R12=0),"",'Price History'!R13/'Price History'!R12-1),"")</f>
        <v>0.00532809871003948</v>
      </c>
      <c r="S12" s="142" t="n">
        <f aca="false">IFERROR(IF(OR(NOT(ISNUMBER('Price History'!S13)),NOT(ISNUMBER('Price History'!S12)),'Price History'!S12=0),"",'Price History'!S13/'Price History'!S12-1),"")</f>
        <v>0.00546629120424069</v>
      </c>
      <c r="T12" s="142" t="n">
        <f aca="false">IFERROR(IF(OR(NOT(ISNUMBER('Price History'!T13)),NOT(ISNUMBER('Price History'!T12)),'Price History'!T12=0),"",'Price History'!T13/'Price History'!T12-1),"")</f>
        <v>0.00703949941337512</v>
      </c>
      <c r="U12" s="142" t="n">
        <f aca="false">IFERROR(IF(OR(NOT(ISNUMBER('Price History'!U13)),NOT(ISNUMBER('Price History'!U12)),'Price History'!U12=0),"",'Price History'!U13/'Price History'!U12-1),"")</f>
        <v>0.00941176470588223</v>
      </c>
      <c r="V12" s="143" t="n">
        <f aca="false">IFERROR(IF(OR(NOT(ISNUMBER('Price History'!V13)),NOT(ISNUMBER('Price History'!V12)),'Price History'!V12=0),"",'Price History'!V13/'Price History'!V12-1),"")</f>
        <v>0.019022294947842</v>
      </c>
      <c r="W12" s="144" t="n">
        <f aca="false">IFERROR('Price History'!B3+(INDEX('Price History'!B:B,MATCH(9.99E+307,'Returns (Calc)'!$A:$A)+1)-'Price History'!B3)*(ROW()-3)/(MATCH(9.99E+307,'Returns (Calc)'!$A:$A)-3),"")</f>
        <v>512.302658227848</v>
      </c>
      <c r="X12" s="144" t="n">
        <f aca="false">IFERROR('Price History'!C3+(INDEX('Price History'!C:C,MATCH(9.99E+307,'Returns (Calc)'!$A:$A)+1)-'Price History'!C3)*(ROW()-3)/(MATCH(9.99E+307,'Returns (Calc)'!$A:$A)-3),"")</f>
        <v>55.3605696202532</v>
      </c>
      <c r="Y12" s="144" t="n">
        <f aca="false">IFERROR('Price History'!D3+(INDEX('Price History'!D:D,MATCH(9.99E+307,'Returns (Calc)'!$A:$A)+1)-'Price History'!D3)*(ROW()-3)/(MATCH(9.99E+307,'Returns (Calc)'!$A:$A)-3),"")</f>
        <v>655.223291139241</v>
      </c>
      <c r="Z12" s="144" t="n">
        <f aca="false">IFERROR('Price History'!E3+(INDEX('Price History'!E:E,MATCH(9.99E+307,'Returns (Calc)'!$A:$A)+1)-'Price History'!E3)*(ROW()-3)/(MATCH(9.99E+307,'Returns (Calc)'!$A:$A)-3),"")</f>
        <v>97.5586075949367</v>
      </c>
      <c r="AA12" s="144" t="n">
        <f aca="false">IFERROR('Price History'!F3+(INDEX('Price History'!F:F,MATCH(9.99E+307,'Returns (Calc)'!$A:$A)+1)-'Price History'!F3)*(ROW()-3)/(MATCH(9.99E+307,'Returns (Calc)'!$A:$A)-3),"")</f>
        <v>54.3860759493671</v>
      </c>
      <c r="AB12" s="144" t="n">
        <f aca="false">IFERROR('Price History'!G3+(INDEX('Price History'!G:G,MATCH(9.99E+307,'Returns (Calc)'!$A:$A)+1)-'Price History'!G3)*(ROW()-3)/(MATCH(9.99E+307,'Returns (Calc)'!$A:$A)-3),"")</f>
        <v>53.6086075949367</v>
      </c>
      <c r="AC12" s="144" t="n">
        <f aca="false">IFERROR('Price History'!H3+(INDEX('Price History'!H:H,MATCH(9.99E+307,'Returns (Calc)'!$A:$A)+1)-'Price History'!H3)*(ROW()-3)/(MATCH(9.99E+307,'Returns (Calc)'!$A:$A)-3),"")</f>
        <v>126.401265822785</v>
      </c>
      <c r="AD12" s="144" t="n">
        <f aca="false">IFERROR('Price History'!I3+(INDEX('Price History'!I:I,MATCH(9.99E+307,'Returns (Calc)'!$A:$A)+1)-'Price History'!I3)*(ROW()-3)/(MATCH(9.99E+307,'Returns (Calc)'!$A:$A)-3),"")</f>
        <v>54.6030379746835</v>
      </c>
      <c r="AE12" s="144" t="n">
        <f aca="false">IFERROR('Price History'!J3+(INDEX('Price History'!J:J,MATCH(9.99E+307,'Returns (Calc)'!$A:$A)+1)-'Price History'!J3)*(ROW()-3)/(MATCH(9.99E+307,'Returns (Calc)'!$A:$A)-3),"")</f>
        <v>112.812341772152</v>
      </c>
      <c r="AF12" s="144" t="n">
        <f aca="false">IFERROR('Price History'!K3+(INDEX('Price History'!K:K,MATCH(9.99E+307,'Returns (Calc)'!$A:$A)+1)-'Price History'!K3)*(ROW()-3)/(MATCH(9.99E+307,'Returns (Calc)'!$A:$A)-3),"")</f>
        <v>25.2083544303797</v>
      </c>
      <c r="AG12" s="144" t="n">
        <f aca="false">IFERROR('Price History'!L3+(INDEX('Price History'!L:L,MATCH(9.99E+307,'Returns (Calc)'!$A:$A)+1)-'Price History'!L3)*(ROW()-3)/(MATCH(9.99E+307,'Returns (Calc)'!$A:$A)-3),"")</f>
        <v>107.796012658228</v>
      </c>
      <c r="AH12" s="144" t="n">
        <f aca="false">IFERROR('Price History'!M3+(INDEX('Price History'!M:M,MATCH(9.99E+307,'Returns (Calc)'!$A:$A)+1)-'Price History'!M3)*(ROW()-3)/(MATCH(9.99E+307,'Returns (Calc)'!$A:$A)-3),"")</f>
        <v>50.2189873417722</v>
      </c>
      <c r="AI12" s="144" t="n">
        <f aca="false">IFERROR('Price History'!N3+(INDEX('Price History'!N:N,MATCH(9.99E+307,'Returns (Calc)'!$A:$A)+1)-'Price History'!N3)*(ROW()-3)/(MATCH(9.99E+307,'Returns (Calc)'!$A:$A)-3),"")</f>
        <v>357.776392405063</v>
      </c>
      <c r="AJ12" s="144" t="n">
        <f aca="false">IFERROR('Price History'!O3+(INDEX('Price History'!O:O,MATCH(9.99E+307,'Returns (Calc)'!$A:$A)+1)-'Price History'!O3)*(ROW()-3)/(MATCH(9.99E+307,'Returns (Calc)'!$A:$A)-3),"")</f>
        <v>77.8573417721519</v>
      </c>
      <c r="AK12" s="144" t="n">
        <f aca="false">IFERROR('Price History'!Q3+(INDEX('Price History'!Q:Q,MATCH(9.99E+307,'Returns (Calc)'!$A:$A)+1)-'Price History'!Q3)*(ROW()-3)/(MATCH(9.99E+307,'Returns (Calc)'!$A:$A)-3),"")</f>
        <v>3.95430379746835</v>
      </c>
      <c r="AL12" s="144" t="n">
        <f aca="false">IFERROR('Price History'!R3+(INDEX('Price History'!R:R,MATCH(9.99E+307,'Returns (Calc)'!$A:$A)+1)-'Price History'!R3)*(ROW()-3)/(MATCH(9.99E+307,'Returns (Calc)'!$A:$A)-3),"")</f>
        <v>35.9929113924051</v>
      </c>
      <c r="AM12" s="144" t="n">
        <f aca="false">IFERROR('Price History'!S3+(INDEX('Price History'!S:S,MATCH(9.99E+307,'Returns (Calc)'!$A:$A)+1)-'Price History'!S3)*(ROW()-3)/(MATCH(9.99E+307,'Returns (Calc)'!$A:$A)-3),"")</f>
        <v>63.0755696202532</v>
      </c>
      <c r="AN12" s="144" t="n">
        <f aca="false">IFERROR('Price History'!T3+(INDEX('Price History'!T:T,MATCH(9.99E+307,'Returns (Calc)'!$A:$A)+1)-'Price History'!T3)*(ROW()-3)/(MATCH(9.99E+307,'Returns (Calc)'!$A:$A)-3),"")</f>
        <v>26.7540506329114</v>
      </c>
      <c r="AO12" s="145" t="n">
        <f aca="false">IFERROR('Price History'!V3+(INDEX('Price History'!V:V,MATCH(9.99E+307,'Returns (Calc)'!$A:$A)+1)-'Price History'!V3)*(ROW()-3)/(MATCH(9.99E+307,'Returns (Calc)'!$A:$A)-3),"")</f>
        <v>242.751962025316</v>
      </c>
      <c r="AP12" s="143" t="n">
        <f aca="false">IFERROR(IF(OR(NOT(ISNUMBER('Price History'!W13)),NOT(ISNUMBER('Price History'!W12)),'Price History'!W12=0),"",'Price History'!W13/'Price History'!W12-1),"")</f>
        <v>0.0070095866405524</v>
      </c>
      <c r="AQ12" s="143" t="str">
        <f aca="false">IFERROR(IF(OR(NOT(ISNUMBER('Price History'!X13)),NOT(ISNUMBER('Price History'!X12)),'Price History'!X12=0),"",'Price History'!X13/'Price History'!X12-1),"")</f>
        <v/>
      </c>
      <c r="AR12" s="143" t="n">
        <f aca="false">IFERROR(IF(OR(NOT(ISNUMBER('Price History'!Y13)),NOT(ISNUMBER('Price History'!Y12)),'Price History'!Y12=0),"",'Price History'!Y13/'Price History'!Y12-1),"")</f>
        <v>0.00765838941749819</v>
      </c>
      <c r="AS12" s="143" t="n">
        <f aca="false">IFERROR(IF(OR(NOT(ISNUMBER('Price History'!Z13)),NOT(ISNUMBER('Price History'!Z12)),'Price History'!Z12=0),"",'Price History'!Z13/'Price History'!Z12-1),"")</f>
        <v>0.000424493261169445</v>
      </c>
      <c r="AT12" s="143" t="n">
        <f aca="false">IFERROR(IF(OR(NOT(ISNUMBER('Price History'!AA13)),NOT(ISNUMBER('Price History'!AA12)),'Price History'!AA12=0),"",'Price History'!AA13/'Price History'!AA12-1),"")</f>
        <v>0.0294054518136939</v>
      </c>
    </row>
    <row r="13" customFormat="false" ht="15" hidden="false" customHeight="true" outlineLevel="0" collapsed="false">
      <c r="A13" s="141" t="n">
        <f aca="false">IF('Price History'!A14="","",'Price History'!A14)</f>
        <v>45261</v>
      </c>
      <c r="B13" s="142" t="n">
        <f aca="false">IFERROR(IF(OR(NOT(ISNUMBER('Price History'!B14)),NOT(ISNUMBER('Price History'!B13)),'Price History'!B13=0),"",'Price History'!B14/'Price History'!B13-1),"")</f>
        <v>-0.0112361364480247</v>
      </c>
      <c r="C13" s="142" t="n">
        <f aca="false">IFERROR(IF(OR(NOT(ISNUMBER('Price History'!C14)),NOT(ISNUMBER('Price History'!C13)),'Price History'!C13=0),"",'Price History'!C14/'Price History'!C13-1),"")</f>
        <v>-0.00805860805860814</v>
      </c>
      <c r="D13" s="142" t="n">
        <f aca="false">IFERROR(IF(OR(NOT(ISNUMBER('Price History'!D14)),NOT(ISNUMBER('Price History'!D13)),'Price History'!D13=0),"",'Price History'!D14/'Price History'!D13-1),"")</f>
        <v>0.00147942125040679</v>
      </c>
      <c r="E13" s="142" t="n">
        <f aca="false">IFERROR(IF(OR(NOT(ISNUMBER('Price History'!E14)),NOT(ISNUMBER('Price History'!E13)),'Price History'!E13=0),"",'Price History'!E14/'Price History'!E13-1),"")</f>
        <v>-0.0499155761924863</v>
      </c>
      <c r="F13" s="142" t="n">
        <f aca="false">IFERROR(IF(OR(NOT(ISNUMBER('Price History'!F14)),NOT(ISNUMBER('Price History'!F13)),'Price History'!F13=0),"",'Price History'!F14/'Price History'!F13-1),"")</f>
        <v>0.115625593316879</v>
      </c>
      <c r="G13" s="142" t="n">
        <f aca="false">IFERROR(IF(OR(NOT(ISNUMBER('Price History'!G14)),NOT(ISNUMBER('Price History'!G13)),'Price History'!G13=0),"",'Price History'!G14/'Price History'!G13-1),"")</f>
        <v>-0.0119463333945966</v>
      </c>
      <c r="H13" s="142" t="n">
        <f aca="false">IFERROR(IF(OR(NOT(ISNUMBER('Price History'!H14)),NOT(ISNUMBER('Price History'!H13)),'Price History'!H13=0),"",'Price History'!H14/'Price History'!H13-1),"")</f>
        <v>-0.0122127380170717</v>
      </c>
      <c r="I13" s="142" t="n">
        <f aca="false">IFERROR(IF(OR(NOT(ISNUMBER('Price History'!I14)),NOT(ISNUMBER('Price History'!I13)),'Price History'!I13=0),"",'Price History'!I14/'Price History'!I13-1),"")</f>
        <v>-0.0209951711106445</v>
      </c>
      <c r="J13" s="142" t="n">
        <f aca="false">IFERROR(IF(OR(NOT(ISNUMBER('Price History'!J14)),NOT(ISNUMBER('Price History'!J13)),'Price History'!J13=0),"",'Price History'!J14/'Price History'!J13-1),"")</f>
        <v>0.0558560330415971</v>
      </c>
      <c r="K13" s="142" t="n">
        <f aca="false">IFERROR(IF(OR(NOT(ISNUMBER('Price History'!K14)),NOT(ISNUMBER('Price History'!K13)),'Price History'!K13=0),"",'Price History'!K14/'Price History'!K13-1),"")</f>
        <v>0.0557291666666666</v>
      </c>
      <c r="L13" s="142" t="n">
        <f aca="false">IFERROR(IF(OR(NOT(ISNUMBER('Price History'!L14)),NOT(ISNUMBER('Price History'!L13)),'Price History'!L13=0),"",'Price History'!L14/'Price History'!L13-1),"")</f>
        <v>0.00734042553191494</v>
      </c>
      <c r="M13" s="142" t="n">
        <f aca="false">IFERROR(IF(OR(NOT(ISNUMBER('Price History'!M14)),NOT(ISNUMBER('Price History'!M13)),'Price History'!M13=0),"",'Price History'!M14/'Price History'!M13-1),"")</f>
        <v>0.0576199435559737</v>
      </c>
      <c r="N13" s="142" t="n">
        <f aca="false">IFERROR(IF(OR(NOT(ISNUMBER('Price History'!N14)),NOT(ISNUMBER('Price History'!N13)),'Price History'!N13=0),"",'Price History'!N14/'Price History'!N13-1),"")</f>
        <v>-0.00532517561749379</v>
      </c>
      <c r="O13" s="142" t="n">
        <f aca="false">IFERROR(IF(OR(NOT(ISNUMBER('Price History'!O14)),NOT(ISNUMBER('Price History'!O13)),'Price History'!O13=0),"",'Price History'!O14/'Price History'!O13-1),"")</f>
        <v>0.0334947010336253</v>
      </c>
      <c r="P13" s="142" t="n">
        <f aca="false">IFERROR(IF(OR(NOT(ISNUMBER('Price History'!P14)),NOT(ISNUMBER('Price History'!P13)),'Price History'!P13=0),"",'Price History'!P14/'Price History'!P13-1),"")</f>
        <v>0.0292903875188728</v>
      </c>
      <c r="Q13" s="142" t="n">
        <f aca="false">IFERROR(IF(OR(NOT(ISNUMBER('Price History'!Q14)),NOT(ISNUMBER('Price History'!Q13)),'Price History'!Q13=0),"",'Price History'!Q14/'Price History'!Q13-1),"")</f>
        <v>0.000977899471934274</v>
      </c>
      <c r="R13" s="142" t="n">
        <f aca="false">IFERROR(IF(OR(NOT(ISNUMBER('Price History'!R14)),NOT(ISNUMBER('Price History'!R13)),'Price History'!R13=0),"",'Price History'!R14/'Price History'!R13-1),"")</f>
        <v>0.00195258019525801</v>
      </c>
      <c r="S13" s="142" t="n">
        <f aca="false">IFERROR(IF(OR(NOT(ISNUMBER('Price History'!S14)),NOT(ISNUMBER('Price History'!S13)),'Price History'!S13=0),"",'Price History'!S14/'Price History'!S13-1),"")</f>
        <v>-0.0021416803953872</v>
      </c>
      <c r="T13" s="142" t="n">
        <f aca="false">IFERROR(IF(OR(NOT(ISNUMBER('Price History'!T14)),NOT(ISNUMBER('Price History'!T13)),'Price History'!T13=0),"",'Price History'!T14/'Price History'!T13-1),"")</f>
        <v>0.0135922330097087</v>
      </c>
      <c r="U13" s="142" t="n">
        <f aca="false">IFERROR(IF(OR(NOT(ISNUMBER('Price History'!U14)),NOT(ISNUMBER('Price History'!U13)),'Price History'!U13=0),"",'Price History'!U14/'Price History'!U13-1),"")</f>
        <v>0.0186480186480187</v>
      </c>
      <c r="V13" s="143" t="n">
        <f aca="false">IFERROR(IF(OR(NOT(ISNUMBER('Price History'!V14)),NOT(ISNUMBER('Price History'!V13)),'Price History'!V13=0),"",'Price History'!V14/'Price History'!V13-1),"")</f>
        <v>0.00843034925732633</v>
      </c>
      <c r="W13" s="144" t="n">
        <f aca="false">IFERROR('Price History'!B3+(INDEX('Price History'!B:B,MATCH(9.99E+307,'Returns (Calc)'!$A:$A)+1)-'Price History'!B3)*(ROW()-3)/(MATCH(9.99E+307,'Returns (Calc)'!$A:$A)-3),"")</f>
        <v>510.459620253165</v>
      </c>
      <c r="X13" s="144" t="n">
        <f aca="false">IFERROR('Price History'!C3+(INDEX('Price History'!C:C,MATCH(9.99E+307,'Returns (Calc)'!$A:$A)+1)-'Price History'!C3)*(ROW()-3)/(MATCH(9.99E+307,'Returns (Calc)'!$A:$A)-3),"")</f>
        <v>56.3806329113924</v>
      </c>
      <c r="Y13" s="144" t="n">
        <f aca="false">IFERROR('Price History'!D3+(INDEX('Price History'!D:D,MATCH(9.99E+307,'Returns (Calc)'!$A:$A)+1)-'Price History'!D3)*(ROW()-3)/(MATCH(9.99E+307,'Returns (Calc)'!$A:$A)-3),"")</f>
        <v>663.358101265823</v>
      </c>
      <c r="Z13" s="144" t="n">
        <f aca="false">IFERROR('Price History'!E3+(INDEX('Price History'!E:E,MATCH(9.99E+307,'Returns (Calc)'!$A:$A)+1)-'Price History'!E3)*(ROW()-3)/(MATCH(9.99E+307,'Returns (Calc)'!$A:$A)-3),"")</f>
        <v>99.2873417721519</v>
      </c>
      <c r="AA13" s="144" t="n">
        <f aca="false">IFERROR('Price History'!F3+(INDEX('Price History'!F:F,MATCH(9.99E+307,'Returns (Calc)'!$A:$A)+1)-'Price History'!F3)*(ROW()-3)/(MATCH(9.99E+307,'Returns (Calc)'!$A:$A)-3),"")</f>
        <v>55.833417721519</v>
      </c>
      <c r="AB13" s="144" t="n">
        <f aca="false">IFERROR('Price History'!G3+(INDEX('Price History'!G:G,MATCH(9.99E+307,'Returns (Calc)'!$A:$A)+1)-'Price History'!G3)*(ROW()-3)/(MATCH(9.99E+307,'Returns (Calc)'!$A:$A)-3),"")</f>
        <v>54.6373417721519</v>
      </c>
      <c r="AC13" s="144" t="n">
        <f aca="false">IFERROR('Price History'!H3+(INDEX('Price History'!H:H,MATCH(9.99E+307,'Returns (Calc)'!$A:$A)+1)-'Price History'!H3)*(ROW()-3)/(MATCH(9.99E+307,'Returns (Calc)'!$A:$A)-3),"")</f>
        <v>132.766962025316</v>
      </c>
      <c r="AD13" s="144" t="n">
        <f aca="false">IFERROR('Price History'!I3+(INDEX('Price History'!I:I,MATCH(9.99E+307,'Returns (Calc)'!$A:$A)+1)-'Price History'!I3)*(ROW()-3)/(MATCH(9.99E+307,'Returns (Calc)'!$A:$A)-3),"")</f>
        <v>55.8067088607595</v>
      </c>
      <c r="AE13" s="144" t="n">
        <f aca="false">IFERROR('Price History'!J3+(INDEX('Price History'!J:J,MATCH(9.99E+307,'Returns (Calc)'!$A:$A)+1)-'Price History'!J3)*(ROW()-3)/(MATCH(9.99E+307,'Returns (Calc)'!$A:$A)-3),"")</f>
        <v>112.920379746835</v>
      </c>
      <c r="AF13" s="144" t="n">
        <f aca="false">IFERROR('Price History'!K3+(INDEX('Price History'!K:K,MATCH(9.99E+307,'Returns (Calc)'!$A:$A)+1)-'Price History'!K3)*(ROW()-3)/(MATCH(9.99E+307,'Returns (Calc)'!$A:$A)-3),"")</f>
        <v>26.3059493670886</v>
      </c>
      <c r="AG13" s="144" t="n">
        <f aca="false">IFERROR('Price History'!L3+(INDEX('Price History'!L:L,MATCH(9.99E+307,'Returns (Calc)'!$A:$A)+1)-'Price History'!L3)*(ROW()-3)/(MATCH(9.99E+307,'Returns (Calc)'!$A:$A)-3),"")</f>
        <v>110.245569620253</v>
      </c>
      <c r="AH13" s="144" t="n">
        <f aca="false">IFERROR('Price History'!M3+(INDEX('Price History'!M:M,MATCH(9.99E+307,'Returns (Calc)'!$A:$A)+1)-'Price History'!M3)*(ROW()-3)/(MATCH(9.99E+307,'Returns (Calc)'!$A:$A)-3),"")</f>
        <v>51.5744303797468</v>
      </c>
      <c r="AI13" s="144" t="n">
        <f aca="false">IFERROR('Price History'!N3+(INDEX('Price History'!N:N,MATCH(9.99E+307,'Returns (Calc)'!$A:$A)+1)-'Price History'!N3)*(ROW()-3)/(MATCH(9.99E+307,'Returns (Calc)'!$A:$A)-3),"")</f>
        <v>358.762658227848</v>
      </c>
      <c r="AJ13" s="144" t="n">
        <f aca="false">IFERROR('Price History'!O3+(INDEX('Price History'!O:O,MATCH(9.99E+307,'Returns (Calc)'!$A:$A)+1)-'Price History'!O3)*(ROW()-3)/(MATCH(9.99E+307,'Returns (Calc)'!$A:$A)-3),"")</f>
        <v>78.1403797468355</v>
      </c>
      <c r="AK13" s="144" t="n">
        <f aca="false">IFERROR('Price History'!Q3+(INDEX('Price History'!Q:Q,MATCH(9.99E+307,'Returns (Calc)'!$A:$A)+1)-'Price History'!Q3)*(ROW()-3)/(MATCH(9.99E+307,'Returns (Calc)'!$A:$A)-3),"")</f>
        <v>4.39367088607595</v>
      </c>
      <c r="AL13" s="144" t="n">
        <f aca="false">IFERROR('Price History'!R3+(INDEX('Price History'!R:R,MATCH(9.99E+307,'Returns (Calc)'!$A:$A)+1)-'Price History'!R3)*(ROW()-3)/(MATCH(9.99E+307,'Returns (Calc)'!$A:$A)-3),"")</f>
        <v>36.1610126582279</v>
      </c>
      <c r="AM13" s="144" t="n">
        <f aca="false">IFERROR('Price History'!S3+(INDEX('Price History'!S:S,MATCH(9.99E+307,'Returns (Calc)'!$A:$A)+1)-'Price History'!S3)*(ROW()-3)/(MATCH(9.99E+307,'Returns (Calc)'!$A:$A)-3),"")</f>
        <v>63.6806329113924</v>
      </c>
      <c r="AN13" s="144" t="n">
        <f aca="false">IFERROR('Price History'!T3+(INDEX('Price History'!T:T,MATCH(9.99E+307,'Returns (Calc)'!$A:$A)+1)-'Price History'!T3)*(ROW()-3)/(MATCH(9.99E+307,'Returns (Calc)'!$A:$A)-3),"")</f>
        <v>26.9222784810127</v>
      </c>
      <c r="AO13" s="145" t="n">
        <f aca="false">IFERROR('Price History'!V3+(INDEX('Price History'!V:V,MATCH(9.99E+307,'Returns (Calc)'!$A:$A)+1)-'Price History'!V3)*(ROW()-3)/(MATCH(9.99E+307,'Returns (Calc)'!$A:$A)-3),"")</f>
        <v>243.543291139241</v>
      </c>
      <c r="AP13" s="143" t="n">
        <f aca="false">IFERROR(IF(OR(NOT(ISNUMBER('Price History'!W14)),NOT(ISNUMBER('Price History'!W13)),'Price History'!W13=0),"",'Price History'!W14/'Price History'!W13-1),"")</f>
        <v>0.0172996212508956</v>
      </c>
      <c r="AQ13" s="143" t="str">
        <f aca="false">IFERROR(IF(OR(NOT(ISNUMBER('Price History'!X14)),NOT(ISNUMBER('Price History'!X13)),'Price History'!X13=0),"",'Price History'!X14/'Price History'!X13-1),"")</f>
        <v/>
      </c>
      <c r="AR13" s="143" t="n">
        <f aca="false">IFERROR(IF(OR(NOT(ISNUMBER('Price History'!Y14)),NOT(ISNUMBER('Price History'!Y13)),'Price History'!Y13=0),"",'Price History'!Y14/'Price History'!Y13-1),"")</f>
        <v>0.00460617227084281</v>
      </c>
      <c r="AS13" s="143" t="n">
        <f aca="false">IFERROR(IF(OR(NOT(ISNUMBER('Price History'!Z14)),NOT(ISNUMBER('Price History'!Z13)),'Price History'!Z13=0),"",'Price History'!Z14/'Price History'!Z13-1),"")</f>
        <v>0.0210035005834306</v>
      </c>
      <c r="AT13" s="143" t="n">
        <f aca="false">IFERROR(IF(OR(NOT(ISNUMBER('Price History'!AA14)),NOT(ISNUMBER('Price History'!AA13)),'Price History'!AA13=0),"",'Price History'!AA14/'Price History'!AA13-1),"")</f>
        <v>-0.0289824854045038</v>
      </c>
    </row>
    <row r="14" customFormat="false" ht="15" hidden="false" customHeight="true" outlineLevel="0" collapsed="false">
      <c r="A14" s="141" t="n">
        <f aca="false">IF('Price History'!A15="","",'Price History'!A15)</f>
        <v>45268</v>
      </c>
      <c r="B14" s="142" t="n">
        <f aca="false">IFERROR(IF(OR(NOT(ISNUMBER('Price History'!B15)),NOT(ISNUMBER('Price History'!B14)),'Price History'!B14=0),"",'Price History'!B15/'Price History'!B14-1),"")</f>
        <v>-0.00401652325828206</v>
      </c>
      <c r="C14" s="142" t="n">
        <f aca="false">IFERROR(IF(OR(NOT(ISNUMBER('Price History'!C15)),NOT(ISNUMBER('Price History'!C14)),'Price History'!C14=0),"",'Price History'!C15/'Price History'!C14-1),"")</f>
        <v>0.0341580502215657</v>
      </c>
      <c r="D14" s="142" t="n">
        <f aca="false">IFERROR(IF(OR(NOT(ISNUMBER('Price History'!D15)),NOT(ISNUMBER('Price History'!D14)),'Price History'!D14=0),"",'Price History'!D15/'Price History'!D14-1),"")</f>
        <v>0.00610098383904045</v>
      </c>
      <c r="E14" s="142" t="n">
        <f aca="false">IFERROR(IF(OR(NOT(ISNUMBER('Price History'!E15)),NOT(ISNUMBER('Price History'!E14)),'Price History'!E14=0),"",'Price History'!E15/'Price History'!E14-1),"")</f>
        <v>0.0153282239253583</v>
      </c>
      <c r="F14" s="142" t="n">
        <f aca="false">IFERROR(IF(OR(NOT(ISNUMBER('Price History'!F15)),NOT(ISNUMBER('Price History'!F14)),'Price History'!F14=0),"",'Price History'!F15/'Price History'!F14-1),"")</f>
        <v>0.0319945541184479</v>
      </c>
      <c r="G14" s="142" t="n">
        <f aca="false">IFERROR(IF(OR(NOT(ISNUMBER('Price History'!G15)),NOT(ISNUMBER('Price History'!G14)),'Price History'!G14=0),"",'Price History'!G15/'Price History'!G14-1),"")</f>
        <v>-0.0265997023809523</v>
      </c>
      <c r="H14" s="142" t="n">
        <f aca="false">IFERROR(IF(OR(NOT(ISNUMBER('Price History'!H15)),NOT(ISNUMBER('Price History'!H14)),'Price History'!H14=0),"",'Price History'!H15/'Price History'!H14-1),"")</f>
        <v>-0.0127625631480989</v>
      </c>
      <c r="I14" s="142" t="n">
        <f aca="false">IFERROR(IF(OR(NOT(ISNUMBER('Price History'!I15)),NOT(ISNUMBER('Price History'!I14)),'Price History'!I14=0),"",'Price History'!I15/'Price History'!I14-1),"")</f>
        <v>0.0158696118378725</v>
      </c>
      <c r="J14" s="142" t="n">
        <f aca="false">IFERROR(IF(OR(NOT(ISNUMBER('Price History'!J15)),NOT(ISNUMBER('Price History'!J14)),'Price History'!J14=0),"",'Price History'!J15/'Price History'!J14-1),"")</f>
        <v>0.0135047033622053</v>
      </c>
      <c r="K14" s="142" t="n">
        <f aca="false">IFERROR(IF(OR(NOT(ISNUMBER('Price History'!K15)),NOT(ISNUMBER('Price History'!K14)),'Price History'!K14=0),"",'Price History'!K15/'Price History'!K14-1),"")</f>
        <v>-0.123334977799704</v>
      </c>
      <c r="L14" s="142" t="n">
        <f aca="false">IFERROR(IF(OR(NOT(ISNUMBER('Price History'!L15)),NOT(ISNUMBER('Price History'!L14)),'Price History'!L14=0),"",'Price History'!L15/'Price History'!L14-1),"")</f>
        <v>0.0182701446826488</v>
      </c>
      <c r="M14" s="142" t="n">
        <f aca="false">IFERROR(IF(OR(NOT(ISNUMBER('Price History'!M15)),NOT(ISNUMBER('Price History'!M14)),'Price History'!M14=0),"",'Price History'!M15/'Price History'!M14-1),"")</f>
        <v>0.0446964643095396</v>
      </c>
      <c r="N14" s="142" t="n">
        <f aca="false">IFERROR(IF(OR(NOT(ISNUMBER('Price History'!N15)),NOT(ISNUMBER('Price History'!N14)),'Price History'!N14=0),"",'Price History'!N15/'Price History'!N14-1),"")</f>
        <v>-0.0028761817974714</v>
      </c>
      <c r="O14" s="142" t="n">
        <f aca="false">IFERROR(IF(OR(NOT(ISNUMBER('Price History'!O15)),NOT(ISNUMBER('Price History'!O14)),'Price History'!O14=0),"",'Price History'!O15/'Price History'!O14-1),"")</f>
        <v>0.00835548803646047</v>
      </c>
      <c r="P14" s="142" t="n">
        <f aca="false">IFERROR(IF(OR(NOT(ISNUMBER('Price History'!P15)),NOT(ISNUMBER('Price History'!P14)),'Price History'!P14=0),"",'Price History'!P15/'Price History'!P14-1),"")</f>
        <v>0.00215137883825545</v>
      </c>
      <c r="Q14" s="142" t="n">
        <f aca="false">IFERROR(IF(OR(NOT(ISNUMBER('Price History'!Q15)),NOT(ISNUMBER('Price History'!Q14)),'Price History'!Q14=0),"",'Price History'!Q15/'Price History'!Q14-1),"")</f>
        <v>0.00371238765142623</v>
      </c>
      <c r="R14" s="142" t="n">
        <f aca="false">IFERROR(IF(OR(NOT(ISNUMBER('Price History'!R15)),NOT(ISNUMBER('Price History'!R14)),'Price History'!R14=0),"",'Price History'!R15/'Price History'!R14-1),"")</f>
        <v>0.0072383073496658</v>
      </c>
      <c r="S14" s="142" t="n">
        <f aca="false">IFERROR(IF(OR(NOT(ISNUMBER('Price History'!S15)),NOT(ISNUMBER('Price History'!S14)),'Price History'!S14=0),"",'Price History'!S15/'Price History'!S14-1),"")</f>
        <v>0.00363216113587583</v>
      </c>
      <c r="T14" s="142" t="n">
        <f aca="false">IFERROR(IF(OR(NOT(ISNUMBER('Price History'!T15)),NOT(ISNUMBER('Price History'!T14)),'Price History'!T14=0),"",'Price History'!T15/'Price History'!T14-1),"")</f>
        <v>0.00881226053639828</v>
      </c>
      <c r="U14" s="142" t="n">
        <f aca="false">IFERROR(IF(OR(NOT(ISNUMBER('Price History'!U15)),NOT(ISNUMBER('Price History'!U14)),'Price History'!U14=0),"",'Price History'!U15/'Price History'!U14-1),"")</f>
        <v>0.0018306636155605</v>
      </c>
      <c r="V14" s="143" t="n">
        <f aca="false">IFERROR(IF(OR(NOT(ISNUMBER('Price History'!V15)),NOT(ISNUMBER('Price History'!V14)),'Price History'!V14=0),"",'Price History'!V15/'Price History'!V14-1),"")</f>
        <v>-0.00274681528662424</v>
      </c>
      <c r="W14" s="144" t="n">
        <f aca="false">IFERROR('Price History'!B3+(INDEX('Price History'!B:B,MATCH(9.99E+307,'Returns (Calc)'!$A:$A)+1)-'Price History'!B3)*(ROW()-3)/(MATCH(9.99E+307,'Returns (Calc)'!$A:$A)-3),"")</f>
        <v>508.616582278481</v>
      </c>
      <c r="X14" s="144" t="n">
        <f aca="false">IFERROR('Price History'!C3+(INDEX('Price History'!C:C,MATCH(9.99E+307,'Returns (Calc)'!$A:$A)+1)-'Price History'!C3)*(ROW()-3)/(MATCH(9.99E+307,'Returns (Calc)'!$A:$A)-3),"")</f>
        <v>57.4006962025317</v>
      </c>
      <c r="Y14" s="144" t="n">
        <f aca="false">IFERROR('Price History'!D3+(INDEX('Price History'!D:D,MATCH(9.99E+307,'Returns (Calc)'!$A:$A)+1)-'Price History'!D3)*(ROW()-3)/(MATCH(9.99E+307,'Returns (Calc)'!$A:$A)-3),"")</f>
        <v>671.492911392405</v>
      </c>
      <c r="Z14" s="144" t="n">
        <f aca="false">IFERROR('Price History'!E3+(INDEX('Price History'!E:E,MATCH(9.99E+307,'Returns (Calc)'!$A:$A)+1)-'Price History'!E3)*(ROW()-3)/(MATCH(9.99E+307,'Returns (Calc)'!$A:$A)-3),"")</f>
        <v>101.016075949367</v>
      </c>
      <c r="AA14" s="144" t="n">
        <f aca="false">IFERROR('Price History'!F3+(INDEX('Price History'!F:F,MATCH(9.99E+307,'Returns (Calc)'!$A:$A)+1)-'Price History'!F3)*(ROW()-3)/(MATCH(9.99E+307,'Returns (Calc)'!$A:$A)-3),"")</f>
        <v>57.2807594936709</v>
      </c>
      <c r="AB14" s="144" t="n">
        <f aca="false">IFERROR('Price History'!G3+(INDEX('Price History'!G:G,MATCH(9.99E+307,'Returns (Calc)'!$A:$A)+1)-'Price History'!G3)*(ROW()-3)/(MATCH(9.99E+307,'Returns (Calc)'!$A:$A)-3),"")</f>
        <v>55.6660759493671</v>
      </c>
      <c r="AC14" s="144" t="n">
        <f aca="false">IFERROR('Price History'!H3+(INDEX('Price History'!H:H,MATCH(9.99E+307,'Returns (Calc)'!$A:$A)+1)-'Price History'!H3)*(ROW()-3)/(MATCH(9.99E+307,'Returns (Calc)'!$A:$A)-3),"")</f>
        <v>139.132658227848</v>
      </c>
      <c r="AD14" s="144" t="n">
        <f aca="false">IFERROR('Price History'!I3+(INDEX('Price History'!I:I,MATCH(9.99E+307,'Returns (Calc)'!$A:$A)+1)-'Price History'!I3)*(ROW()-3)/(MATCH(9.99E+307,'Returns (Calc)'!$A:$A)-3),"")</f>
        <v>57.0103797468354</v>
      </c>
      <c r="AE14" s="144" t="n">
        <f aca="false">IFERROR('Price History'!J3+(INDEX('Price History'!J:J,MATCH(9.99E+307,'Returns (Calc)'!$A:$A)+1)-'Price History'!J3)*(ROW()-3)/(MATCH(9.99E+307,'Returns (Calc)'!$A:$A)-3),"")</f>
        <v>113.028417721519</v>
      </c>
      <c r="AF14" s="144" t="n">
        <f aca="false">IFERROR('Price History'!K3+(INDEX('Price History'!K:K,MATCH(9.99E+307,'Returns (Calc)'!$A:$A)+1)-'Price History'!K3)*(ROW()-3)/(MATCH(9.99E+307,'Returns (Calc)'!$A:$A)-3),"")</f>
        <v>27.4035443037975</v>
      </c>
      <c r="AG14" s="144" t="n">
        <f aca="false">IFERROR('Price History'!L3+(INDEX('Price History'!L:L,MATCH(9.99E+307,'Returns (Calc)'!$A:$A)+1)-'Price History'!L3)*(ROW()-3)/(MATCH(9.99E+307,'Returns (Calc)'!$A:$A)-3),"")</f>
        <v>112.695126582278</v>
      </c>
      <c r="AH14" s="144" t="n">
        <f aca="false">IFERROR('Price History'!M3+(INDEX('Price History'!M:M,MATCH(9.99E+307,'Returns (Calc)'!$A:$A)+1)-'Price History'!M3)*(ROW()-3)/(MATCH(9.99E+307,'Returns (Calc)'!$A:$A)-3),"")</f>
        <v>52.9298734177215</v>
      </c>
      <c r="AI14" s="144" t="n">
        <f aca="false">IFERROR('Price History'!N3+(INDEX('Price History'!N:N,MATCH(9.99E+307,'Returns (Calc)'!$A:$A)+1)-'Price History'!N3)*(ROW()-3)/(MATCH(9.99E+307,'Returns (Calc)'!$A:$A)-3),"")</f>
        <v>359.748924050633</v>
      </c>
      <c r="AJ14" s="144" t="n">
        <f aca="false">IFERROR('Price History'!O3+(INDEX('Price History'!O:O,MATCH(9.99E+307,'Returns (Calc)'!$A:$A)+1)-'Price History'!O3)*(ROW()-3)/(MATCH(9.99E+307,'Returns (Calc)'!$A:$A)-3),"")</f>
        <v>78.423417721519</v>
      </c>
      <c r="AK14" s="144" t="n">
        <f aca="false">IFERROR('Price History'!Q3+(INDEX('Price History'!Q:Q,MATCH(9.99E+307,'Returns (Calc)'!$A:$A)+1)-'Price History'!Q3)*(ROW()-3)/(MATCH(9.99E+307,'Returns (Calc)'!$A:$A)-3),"")</f>
        <v>4.83303797468355</v>
      </c>
      <c r="AL14" s="144" t="n">
        <f aca="false">IFERROR('Price History'!R3+(INDEX('Price History'!R:R,MATCH(9.99E+307,'Returns (Calc)'!$A:$A)+1)-'Price History'!R3)*(ROW()-3)/(MATCH(9.99E+307,'Returns (Calc)'!$A:$A)-3),"")</f>
        <v>36.3291139240506</v>
      </c>
      <c r="AM14" s="144" t="n">
        <f aca="false">IFERROR('Price History'!S3+(INDEX('Price History'!S:S,MATCH(9.99E+307,'Returns (Calc)'!$A:$A)+1)-'Price History'!S3)*(ROW()-3)/(MATCH(9.99E+307,'Returns (Calc)'!$A:$A)-3),"")</f>
        <v>64.2856962025317</v>
      </c>
      <c r="AN14" s="144" t="n">
        <f aca="false">IFERROR('Price History'!T3+(INDEX('Price History'!T:T,MATCH(9.99E+307,'Returns (Calc)'!$A:$A)+1)-'Price History'!T3)*(ROW()-3)/(MATCH(9.99E+307,'Returns (Calc)'!$A:$A)-3),"")</f>
        <v>27.0905063291139</v>
      </c>
      <c r="AO14" s="145" t="n">
        <f aca="false">IFERROR('Price History'!V3+(INDEX('Price History'!V:V,MATCH(9.99E+307,'Returns (Calc)'!$A:$A)+1)-'Price History'!V3)*(ROW()-3)/(MATCH(9.99E+307,'Returns (Calc)'!$A:$A)-3),"")</f>
        <v>244.334620253165</v>
      </c>
      <c r="AP14" s="143" t="n">
        <f aca="false">IFERROR(IF(OR(NOT(ISNUMBER('Price History'!W15)),NOT(ISNUMBER('Price History'!W14)),'Price History'!W14=0),"",'Price History'!W15/'Price History'!W14-1),"")</f>
        <v>-0.00231434896357408</v>
      </c>
      <c r="AQ14" s="143" t="str">
        <f aca="false">IFERROR(IF(OR(NOT(ISNUMBER('Price History'!X15)),NOT(ISNUMBER('Price History'!X14)),'Price History'!X14=0),"",'Price History'!X15/'Price History'!X14-1),"")</f>
        <v/>
      </c>
      <c r="AR14" s="143" t="n">
        <f aca="false">IFERROR(IF(OR(NOT(ISNUMBER('Price History'!Y15)),NOT(ISNUMBER('Price History'!Y14)),'Price History'!Y14=0),"",'Price History'!Y15/'Price History'!Y14-1),"")</f>
        <v>-0.00298028427326902</v>
      </c>
      <c r="AS14" s="143" t="n">
        <f aca="false">IFERROR(IF(OR(NOT(ISNUMBER('Price History'!Z15)),NOT(ISNUMBER('Price History'!Z14)),'Price History'!Z14=0),"",'Price History'!Z15/'Price History'!Z14-1),"")</f>
        <v>-0.0155844155844156</v>
      </c>
      <c r="AT14" s="143" t="n">
        <f aca="false">IFERROR(IF(OR(NOT(ISNUMBER('Price History'!AA15)),NOT(ISNUMBER('Price History'!AA14)),'Price History'!AA14=0),"",'Price History'!AA15/'Price History'!AA14-1),"")</f>
        <v>-0.0255529310715052</v>
      </c>
    </row>
    <row r="15" customFormat="false" ht="15" hidden="false" customHeight="true" outlineLevel="0" collapsed="false">
      <c r="A15" s="141" t="n">
        <f aca="false">IF('Price History'!A16="","",'Price History'!A16)</f>
        <v>45275</v>
      </c>
      <c r="B15" s="142" t="n">
        <f aca="false">IFERROR(IF(OR(NOT(ISNUMBER('Price History'!B16)),NOT(ISNUMBER('Price History'!B15)),'Price History'!B15=0),"",'Price History'!B16/'Price History'!B15-1),"")</f>
        <v>-0.0415239094441076</v>
      </c>
      <c r="C15" s="142" t="n">
        <f aca="false">IFERROR(IF(OR(NOT(ISNUMBER('Price History'!C16)),NOT(ISNUMBER('Price History'!C15)),'Price History'!C15=0),"",'Price History'!C16/'Price History'!C15-1),"")</f>
        <v>0.0515979289412605</v>
      </c>
      <c r="D15" s="142" t="n">
        <f aca="false">IFERROR(IF(OR(NOT(ISNUMBER('Price History'!D16)),NOT(ISNUMBER('Price History'!D15)),'Price History'!D15=0),"",'Price History'!D16/'Price History'!D15-1),"")</f>
        <v>0.0811810827080917</v>
      </c>
      <c r="E15" s="142" t="n">
        <f aca="false">IFERROR(IF(OR(NOT(ISNUMBER('Price History'!E16)),NOT(ISNUMBER('Price History'!E15)),'Price History'!E15=0),"",'Price History'!E16/'Price History'!E15-1),"")</f>
        <v>0.1964774094738</v>
      </c>
      <c r="F15" s="142" t="n">
        <f aca="false">IFERROR(IF(OR(NOT(ISNUMBER('Price History'!F16)),NOT(ISNUMBER('Price History'!F15)),'Price History'!F15=0),"",'Price History'!F16/'Price History'!F15-1),"")</f>
        <v>0.0722295514511873</v>
      </c>
      <c r="G15" s="142" t="n">
        <f aca="false">IFERROR(IF(OR(NOT(ISNUMBER('Price History'!G16)),NOT(ISNUMBER('Price History'!G15)),'Price History'!G15=0),"",'Price History'!G16/'Price History'!G15-1),"")</f>
        <v>0.0947831072042806</v>
      </c>
      <c r="H15" s="142" t="n">
        <f aca="false">IFERROR(IF(OR(NOT(ISNUMBER('Price History'!H16)),NOT(ISNUMBER('Price History'!H15)),'Price History'!H15=0),"",'Price History'!H16/'Price History'!H15-1),"")</f>
        <v>0.0859143549690278</v>
      </c>
      <c r="I15" s="142" t="n">
        <f aca="false">IFERROR(IF(OR(NOT(ISNUMBER('Price History'!I16)),NOT(ISNUMBER('Price History'!I15)),'Price History'!I15=0),"",'Price History'!I16/'Price History'!I15-1),"")</f>
        <v>0.0291323622545916</v>
      </c>
      <c r="J15" s="142" t="n">
        <f aca="false">IFERROR(IF(OR(NOT(ISNUMBER('Price History'!J16)),NOT(ISNUMBER('Price History'!J15)),'Price History'!J15=0),"",'Price History'!J16/'Price History'!J15-1),"")</f>
        <v>0.127366292960853</v>
      </c>
      <c r="K15" s="142" t="n">
        <f aca="false">IFERROR(IF(OR(NOT(ISNUMBER('Price History'!K16)),NOT(ISNUMBER('Price History'!K15)),'Price History'!K15=0),"",'Price History'!K16/'Price History'!K15-1),"")</f>
        <v>0.024198086662915</v>
      </c>
      <c r="L15" s="142" t="n">
        <f aca="false">IFERROR(IF(OR(NOT(ISNUMBER('Price History'!L16)),NOT(ISNUMBER('Price History'!L15)),'Price History'!L15=0),"",'Price History'!L16/'Price History'!L15-1),"")</f>
        <v>0.0266542211159511</v>
      </c>
      <c r="M15" s="142" t="n">
        <f aca="false">IFERROR(IF(OR(NOT(ISNUMBER('Price History'!M16)),NOT(ISNUMBER('Price History'!M15)),'Price History'!M15=0),"",'Price History'!M16/'Price History'!M15-1),"")</f>
        <v>0.0125585355470415</v>
      </c>
      <c r="N15" s="142" t="n">
        <f aca="false">IFERROR(IF(OR(NOT(ISNUMBER('Price History'!N16)),NOT(ISNUMBER('Price History'!N15)),'Price History'!N15=0),"",'Price History'!N16/'Price History'!N15-1),"")</f>
        <v>0.172868770526917</v>
      </c>
      <c r="O15" s="142" t="n">
        <f aca="false">IFERROR(IF(OR(NOT(ISNUMBER('Price History'!O16)),NOT(ISNUMBER('Price History'!O15)),'Price History'!O15=0),"",'Price History'!O16/'Price History'!O15-1),"")</f>
        <v>0.0548650345260513</v>
      </c>
      <c r="P15" s="142" t="n">
        <f aca="false">IFERROR(IF(OR(NOT(ISNUMBER('Price History'!P16)),NOT(ISNUMBER('Price History'!P15)),'Price History'!P15=0),"",'Price History'!P16/'Price History'!P15-1),"")</f>
        <v>0.0298594847775175</v>
      </c>
      <c r="Q15" s="142" t="n">
        <f aca="false">IFERROR(IF(OR(NOT(ISNUMBER('Price History'!Q16)),NOT(ISNUMBER('Price History'!Q15)),'Price History'!Q15=0),"",'Price History'!Q16/'Price History'!Q15-1),"")</f>
        <v>0.00914930893517618</v>
      </c>
      <c r="R15" s="142" t="n">
        <f aca="false">IFERROR(IF(OR(NOT(ISNUMBER('Price History'!R16)),NOT(ISNUMBER('Price History'!R15)),'Price History'!R15=0),"",'Price History'!R16/'Price History'!R15-1),"")</f>
        <v>0.0152017689331121</v>
      </c>
      <c r="S15" s="142" t="n">
        <f aca="false">IFERROR(IF(OR(NOT(ISNUMBER('Price History'!S16)),NOT(ISNUMBER('Price History'!S15)),'Price History'!S15=0),"",'Price History'!S16/'Price History'!S15-1),"")</f>
        <v>0.0342161539726928</v>
      </c>
      <c r="T15" s="142" t="n">
        <f aca="false">IFERROR(IF(OR(NOT(ISNUMBER('Price History'!T16)),NOT(ISNUMBER('Price History'!T15)),'Price History'!T15=0),"",'Price History'!T16/'Price History'!T15-1),"")</f>
        <v>0.0277250284846182</v>
      </c>
      <c r="U15" s="142" t="n">
        <f aca="false">IFERROR(IF(OR(NOT(ISNUMBER('Price History'!U16)),NOT(ISNUMBER('Price History'!U15)),'Price History'!U15=0),"",'Price History'!U16/'Price History'!U15-1),"")</f>
        <v>0.0402010050251256</v>
      </c>
      <c r="V15" s="143" t="n">
        <f aca="false">IFERROR(IF(OR(NOT(ISNUMBER('Price History'!V16)),NOT(ISNUMBER('Price History'!V15)),'Price History'!V15=0),"",'Price History'!V16/'Price History'!V15-1),"")</f>
        <v>0.00894175881202353</v>
      </c>
      <c r="W15" s="144" t="n">
        <f aca="false">IFERROR('Price History'!B3+(INDEX('Price History'!B:B,MATCH(9.99E+307,'Returns (Calc)'!$A:$A)+1)-'Price History'!B3)*(ROW()-3)/(MATCH(9.99E+307,'Returns (Calc)'!$A:$A)-3),"")</f>
        <v>506.773544303797</v>
      </c>
      <c r="X15" s="144" t="n">
        <f aca="false">IFERROR('Price History'!C3+(INDEX('Price History'!C:C,MATCH(9.99E+307,'Returns (Calc)'!$A:$A)+1)-'Price History'!C3)*(ROW()-3)/(MATCH(9.99E+307,'Returns (Calc)'!$A:$A)-3),"")</f>
        <v>58.4207594936709</v>
      </c>
      <c r="Y15" s="144" t="n">
        <f aca="false">IFERROR('Price History'!D3+(INDEX('Price History'!D:D,MATCH(9.99E+307,'Returns (Calc)'!$A:$A)+1)-'Price History'!D3)*(ROW()-3)/(MATCH(9.99E+307,'Returns (Calc)'!$A:$A)-3),"")</f>
        <v>679.627721518987</v>
      </c>
      <c r="Z15" s="144" t="n">
        <f aca="false">IFERROR('Price History'!E3+(INDEX('Price History'!E:E,MATCH(9.99E+307,'Returns (Calc)'!$A:$A)+1)-'Price History'!E3)*(ROW()-3)/(MATCH(9.99E+307,'Returns (Calc)'!$A:$A)-3),"")</f>
        <v>102.744810126582</v>
      </c>
      <c r="AA15" s="144" t="n">
        <f aca="false">IFERROR('Price History'!F3+(INDEX('Price History'!F:F,MATCH(9.99E+307,'Returns (Calc)'!$A:$A)+1)-'Price History'!F3)*(ROW()-3)/(MATCH(9.99E+307,'Returns (Calc)'!$A:$A)-3),"")</f>
        <v>58.7281012658228</v>
      </c>
      <c r="AB15" s="144" t="n">
        <f aca="false">IFERROR('Price History'!G3+(INDEX('Price History'!G:G,MATCH(9.99E+307,'Returns (Calc)'!$A:$A)+1)-'Price History'!G3)*(ROW()-3)/(MATCH(9.99E+307,'Returns (Calc)'!$A:$A)-3),"")</f>
        <v>56.6948101265823</v>
      </c>
      <c r="AC15" s="144" t="n">
        <f aca="false">IFERROR('Price History'!H3+(INDEX('Price History'!H:H,MATCH(9.99E+307,'Returns (Calc)'!$A:$A)+1)-'Price History'!H3)*(ROW()-3)/(MATCH(9.99E+307,'Returns (Calc)'!$A:$A)-3),"")</f>
        <v>145.49835443038</v>
      </c>
      <c r="AD15" s="144" t="n">
        <f aca="false">IFERROR('Price History'!I3+(INDEX('Price History'!I:I,MATCH(9.99E+307,'Returns (Calc)'!$A:$A)+1)-'Price History'!I3)*(ROW()-3)/(MATCH(9.99E+307,'Returns (Calc)'!$A:$A)-3),"")</f>
        <v>58.2140506329114</v>
      </c>
      <c r="AE15" s="144" t="n">
        <f aca="false">IFERROR('Price History'!J3+(INDEX('Price History'!J:J,MATCH(9.99E+307,'Returns (Calc)'!$A:$A)+1)-'Price History'!J3)*(ROW()-3)/(MATCH(9.99E+307,'Returns (Calc)'!$A:$A)-3),"")</f>
        <v>113.136455696203</v>
      </c>
      <c r="AF15" s="144" t="n">
        <f aca="false">IFERROR('Price History'!K3+(INDEX('Price History'!K:K,MATCH(9.99E+307,'Returns (Calc)'!$A:$A)+1)-'Price History'!K3)*(ROW()-3)/(MATCH(9.99E+307,'Returns (Calc)'!$A:$A)-3),"")</f>
        <v>28.5011392405063</v>
      </c>
      <c r="AG15" s="144" t="n">
        <f aca="false">IFERROR('Price History'!L3+(INDEX('Price History'!L:L,MATCH(9.99E+307,'Returns (Calc)'!$A:$A)+1)-'Price History'!L3)*(ROW()-3)/(MATCH(9.99E+307,'Returns (Calc)'!$A:$A)-3),"")</f>
        <v>115.144683544304</v>
      </c>
      <c r="AH15" s="144" t="n">
        <f aca="false">IFERROR('Price History'!M3+(INDEX('Price History'!M:M,MATCH(9.99E+307,'Returns (Calc)'!$A:$A)+1)-'Price History'!M3)*(ROW()-3)/(MATCH(9.99E+307,'Returns (Calc)'!$A:$A)-3),"")</f>
        <v>54.2853164556962</v>
      </c>
      <c r="AI15" s="144" t="n">
        <f aca="false">IFERROR('Price History'!N3+(INDEX('Price History'!N:N,MATCH(9.99E+307,'Returns (Calc)'!$A:$A)+1)-'Price History'!N3)*(ROW()-3)/(MATCH(9.99E+307,'Returns (Calc)'!$A:$A)-3),"")</f>
        <v>360.735189873418</v>
      </c>
      <c r="AJ15" s="144" t="n">
        <f aca="false">IFERROR('Price History'!O3+(INDEX('Price History'!O:O,MATCH(9.99E+307,'Returns (Calc)'!$A:$A)+1)-'Price History'!O3)*(ROW()-3)/(MATCH(9.99E+307,'Returns (Calc)'!$A:$A)-3),"")</f>
        <v>78.7064556962025</v>
      </c>
      <c r="AK15" s="144" t="n">
        <f aca="false">IFERROR('Price History'!Q3+(INDEX('Price History'!Q:Q,MATCH(9.99E+307,'Returns (Calc)'!$A:$A)+1)-'Price History'!Q3)*(ROW()-3)/(MATCH(9.99E+307,'Returns (Calc)'!$A:$A)-3),"")</f>
        <v>5.27240506329114</v>
      </c>
      <c r="AL15" s="144" t="n">
        <f aca="false">IFERROR('Price History'!R3+(INDEX('Price History'!R:R,MATCH(9.99E+307,'Returns (Calc)'!$A:$A)+1)-'Price History'!R3)*(ROW()-3)/(MATCH(9.99E+307,'Returns (Calc)'!$A:$A)-3),"")</f>
        <v>36.4972151898734</v>
      </c>
      <c r="AM15" s="144" t="n">
        <f aca="false">IFERROR('Price History'!S3+(INDEX('Price History'!S:S,MATCH(9.99E+307,'Returns (Calc)'!$A:$A)+1)-'Price History'!S3)*(ROW()-3)/(MATCH(9.99E+307,'Returns (Calc)'!$A:$A)-3),"")</f>
        <v>64.8907594936709</v>
      </c>
      <c r="AN15" s="144" t="n">
        <f aca="false">IFERROR('Price History'!T3+(INDEX('Price History'!T:T,MATCH(9.99E+307,'Returns (Calc)'!$A:$A)+1)-'Price History'!T3)*(ROW()-3)/(MATCH(9.99E+307,'Returns (Calc)'!$A:$A)-3),"")</f>
        <v>27.2587341772152</v>
      </c>
      <c r="AO15" s="145" t="n">
        <f aca="false">IFERROR('Price History'!V3+(INDEX('Price History'!V:V,MATCH(9.99E+307,'Returns (Calc)'!$A:$A)+1)-'Price History'!V3)*(ROW()-3)/(MATCH(9.99E+307,'Returns (Calc)'!$A:$A)-3),"")</f>
        <v>245.125949367089</v>
      </c>
      <c r="AP15" s="143" t="n">
        <f aca="false">IFERROR(IF(OR(NOT(ISNUMBER('Price History'!W16)),NOT(ISNUMBER('Price History'!W15)),'Price History'!W15=0),"",'Price History'!W16/'Price History'!W15-1),"")</f>
        <v>0.0343923348461925</v>
      </c>
      <c r="AQ15" s="143" t="str">
        <f aca="false">IFERROR(IF(OR(NOT(ISNUMBER('Price History'!X16)),NOT(ISNUMBER('Price History'!X15)),'Price History'!X15=0),"",'Price History'!X16/'Price History'!X15-1),"")</f>
        <v/>
      </c>
      <c r="AR15" s="143" t="n">
        <f aca="false">IFERROR(IF(OR(NOT(ISNUMBER('Price History'!Y16)),NOT(ISNUMBER('Price History'!Y15)),'Price History'!Y15=0),"",'Price History'!Y16/'Price History'!Y15-1),"")</f>
        <v>0.0121867095884112</v>
      </c>
      <c r="AS15" s="143" t="n">
        <f aca="false">IFERROR(IF(OR(NOT(ISNUMBER('Price History'!Z16)),NOT(ISNUMBER('Price History'!Z15)),'Price History'!Z15=0),"",'Price History'!Z16/'Price History'!Z15-1),"")</f>
        <v>0.021952506596306</v>
      </c>
      <c r="AT15" s="143" t="n">
        <f aca="false">IFERROR(IF(OR(NOT(ISNUMBER('Price History'!AA16)),NOT(ISNUMBER('Price History'!AA15)),'Price History'!AA15=0),"",'Price History'!AA16/'Price History'!AA15-1),"")</f>
        <v>0.0403261348611723</v>
      </c>
    </row>
    <row r="16" customFormat="false" ht="15" hidden="false" customHeight="true" outlineLevel="0" collapsed="false">
      <c r="A16" s="141" t="n">
        <f aca="false">IF('Price History'!A17="","",'Price History'!A17)</f>
        <v>45282</v>
      </c>
      <c r="B16" s="142" t="n">
        <f aca="false">IFERROR(IF(OR(NOT(ISNUMBER('Price History'!B17)),NOT(ISNUMBER('Price History'!B16)),'Price History'!B16=0),"",'Price History'!B17/'Price History'!B16-1),"")</f>
        <v>0.0240644455086545</v>
      </c>
      <c r="C16" s="142" t="n">
        <f aca="false">IFERROR(IF(OR(NOT(ISNUMBER('Price History'!C17)),NOT(ISNUMBER('Price History'!C16)),'Price History'!C16=0),"",'Price History'!C17/'Price History'!C16-1),"")</f>
        <v>0.0112054329371818</v>
      </c>
      <c r="D16" s="142" t="n">
        <f aca="false">IFERROR(IF(OR(NOT(ISNUMBER('Price History'!D17)),NOT(ISNUMBER('Price History'!D16)),'Price History'!D16=0),"",'Price History'!D17/'Price History'!D16-1),"")</f>
        <v>-0.000570373187028017</v>
      </c>
      <c r="E16" s="142" t="n">
        <f aca="false">IFERROR(IF(OR(NOT(ISNUMBER('Price History'!E17)),NOT(ISNUMBER('Price History'!E16)),'Price History'!E16=0),"",'Price History'!E17/'Price History'!E16-1),"")</f>
        <v>-0.00237725153149859</v>
      </c>
      <c r="F16" s="142" t="n">
        <f aca="false">IFERROR(IF(OR(NOT(ISNUMBER('Price History'!F17)),NOT(ISNUMBER('Price History'!F16)),'Price History'!F16=0),"",'Price History'!F17/'Price History'!F16-1),"")</f>
        <v>-0.0170716702553061</v>
      </c>
      <c r="G16" s="142" t="n">
        <f aca="false">IFERROR(IF(OR(NOT(ISNUMBER('Price History'!G17)),NOT(ISNUMBER('Price History'!G16)),'Price History'!G16=0),"",'Price History'!G17/'Price History'!G16-1),"")</f>
        <v>-0.00418921277709905</v>
      </c>
      <c r="H16" s="142" t="n">
        <f aca="false">IFERROR(IF(OR(NOT(ISNUMBER('Price History'!H17)),NOT(ISNUMBER('Price History'!H16)),'Price History'!H16=0),"",'Price History'!H17/'Price History'!H16-1),"")</f>
        <v>0.0625</v>
      </c>
      <c r="I16" s="142" t="n">
        <f aca="false">IFERROR(IF(OR(NOT(ISNUMBER('Price History'!I17)),NOT(ISNUMBER('Price History'!I16)),'Price History'!I16=0),"",'Price History'!I17/'Price History'!I16-1),"")</f>
        <v>-0.00123076923076926</v>
      </c>
      <c r="J16" s="142" t="n">
        <f aca="false">IFERROR(IF(OR(NOT(ISNUMBER('Price History'!J17)),NOT(ISNUMBER('Price History'!J16)),'Price History'!J16=0),"",'Price History'!J17/'Price History'!J16-1),"")</f>
        <v>-0.013857189435931</v>
      </c>
      <c r="K16" s="142" t="n">
        <f aca="false">IFERROR(IF(OR(NOT(ISNUMBER('Price History'!K17)),NOT(ISNUMBER('Price History'!K16)),'Price History'!K16=0),"",'Price History'!K17/'Price History'!K16-1),"")</f>
        <v>-0.0434065934065934</v>
      </c>
      <c r="L16" s="142" t="n">
        <f aca="false">IFERROR(IF(OR(NOT(ISNUMBER('Price History'!L17)),NOT(ISNUMBER('Price History'!L16)),'Price History'!L16=0),"",'Price History'!L17/'Price History'!L16-1),"")</f>
        <v>0.00585917769471656</v>
      </c>
      <c r="M16" s="142" t="n">
        <f aca="false">IFERROR(IF(OR(NOT(ISNUMBER('Price History'!M17)),NOT(ISNUMBER('Price History'!M16)),'Price History'!M16=0),"",'Price History'!M17/'Price History'!M16-1),"")</f>
        <v>0.0220727349169645</v>
      </c>
      <c r="N16" s="142" t="n">
        <f aca="false">IFERROR(IF(OR(NOT(ISNUMBER('Price History'!N17)),NOT(ISNUMBER('Price History'!N16)),'Price History'!N16=0),"",'Price History'!N17/'Price History'!N16-1),"")</f>
        <v>-0.0132219733125548</v>
      </c>
      <c r="O16" s="142" t="n">
        <f aca="false">IFERROR(IF(OR(NOT(ISNUMBER('Price History'!O17)),NOT(ISNUMBER('Price History'!O16)),'Price History'!O16=0),"",'Price History'!O17/'Price History'!O16-1),"")</f>
        <v>0.0277314925017853</v>
      </c>
      <c r="P16" s="142" t="n">
        <f aca="false">IFERROR(IF(OR(NOT(ISNUMBER('Price History'!P17)),NOT(ISNUMBER('Price History'!P16)),'Price History'!P16=0),"",'Price History'!P17/'Price History'!P16-1),"")</f>
        <v>0.00265302255069155</v>
      </c>
      <c r="Q16" s="142" t="n">
        <f aca="false">IFERROR(IF(OR(NOT(ISNUMBER('Price History'!Q17)),NOT(ISNUMBER('Price History'!Q16)),'Price History'!Q16=0),"",'Price History'!Q17/'Price History'!Q16-1),"")</f>
        <v>0.00115740740740722</v>
      </c>
      <c r="R16" s="142" t="n">
        <f aca="false">IFERROR(IF(OR(NOT(ISNUMBER('Price History'!R17)),NOT(ISNUMBER('Price History'!R16)),'Price History'!R16=0),"",'Price History'!R17/'Price History'!R16-1),"")</f>
        <v>0.00299482711679833</v>
      </c>
      <c r="S16" s="142" t="n">
        <f aca="false">IFERROR(IF(OR(NOT(ISNUMBER('Price History'!S17)),NOT(ISNUMBER('Price History'!S16)),'Price History'!S16=0),"",'Price History'!S17/'Price History'!S16-1),"")</f>
        <v>0.014951487195801</v>
      </c>
      <c r="T16" s="142" t="n">
        <f aca="false">IFERROR(IF(OR(NOT(ISNUMBER('Price History'!T17)),NOT(ISNUMBER('Price History'!T16)),'Price History'!T16=0),"",'Price History'!T17/'Price History'!T16-1),"")</f>
        <v>0.0121951219512195</v>
      </c>
      <c r="U16" s="142" t="n">
        <f aca="false">IFERROR(IF(OR(NOT(ISNUMBER('Price History'!U17)),NOT(ISNUMBER('Price History'!U16)),'Price History'!U16=0),"",'Price History'!U17/'Price History'!U16-1),"")</f>
        <v>0.00527009222661401</v>
      </c>
      <c r="V16" s="143" t="n">
        <f aca="false">IFERROR(IF(OR(NOT(ISNUMBER('Price History'!V17)),NOT(ISNUMBER('Price History'!V16)),'Price History'!V16=0),"",'Price History'!V17/'Price History'!V16-1),"")</f>
        <v>0.0015430267062313</v>
      </c>
      <c r="W16" s="144" t="n">
        <f aca="false">IFERROR('Price History'!B3+(INDEX('Price History'!B:B,MATCH(9.99E+307,'Returns (Calc)'!$A:$A)+1)-'Price History'!B3)*(ROW()-3)/(MATCH(9.99E+307,'Returns (Calc)'!$A:$A)-3),"")</f>
        <v>504.930506329114</v>
      </c>
      <c r="X16" s="144" t="n">
        <f aca="false">IFERROR('Price History'!C3+(INDEX('Price History'!C:C,MATCH(9.99E+307,'Returns (Calc)'!$A:$A)+1)-'Price History'!C3)*(ROW()-3)/(MATCH(9.99E+307,'Returns (Calc)'!$A:$A)-3),"")</f>
        <v>59.4408227848101</v>
      </c>
      <c r="Y16" s="144" t="n">
        <f aca="false">IFERROR('Price History'!D3+(INDEX('Price History'!D:D,MATCH(9.99E+307,'Returns (Calc)'!$A:$A)+1)-'Price History'!D3)*(ROW()-3)/(MATCH(9.99E+307,'Returns (Calc)'!$A:$A)-3),"")</f>
        <v>687.76253164557</v>
      </c>
      <c r="Z16" s="144" t="n">
        <f aca="false">IFERROR('Price History'!E3+(INDEX('Price History'!E:E,MATCH(9.99E+307,'Returns (Calc)'!$A:$A)+1)-'Price History'!E3)*(ROW()-3)/(MATCH(9.99E+307,'Returns (Calc)'!$A:$A)-3),"")</f>
        <v>104.473544303797</v>
      </c>
      <c r="AA16" s="144" t="n">
        <f aca="false">IFERROR('Price History'!F3+(INDEX('Price History'!F:F,MATCH(9.99E+307,'Returns (Calc)'!$A:$A)+1)-'Price History'!F3)*(ROW()-3)/(MATCH(9.99E+307,'Returns (Calc)'!$A:$A)-3),"")</f>
        <v>60.1754430379747</v>
      </c>
      <c r="AB16" s="144" t="n">
        <f aca="false">IFERROR('Price History'!G3+(INDEX('Price History'!G:G,MATCH(9.99E+307,'Returns (Calc)'!$A:$A)+1)-'Price History'!G3)*(ROW()-3)/(MATCH(9.99E+307,'Returns (Calc)'!$A:$A)-3),"")</f>
        <v>57.7235443037975</v>
      </c>
      <c r="AC16" s="144" t="n">
        <f aca="false">IFERROR('Price History'!H3+(INDEX('Price History'!H:H,MATCH(9.99E+307,'Returns (Calc)'!$A:$A)+1)-'Price History'!H3)*(ROW()-3)/(MATCH(9.99E+307,'Returns (Calc)'!$A:$A)-3),"")</f>
        <v>151.864050632911</v>
      </c>
      <c r="AD16" s="144" t="n">
        <f aca="false">IFERROR('Price History'!I3+(INDEX('Price History'!I:I,MATCH(9.99E+307,'Returns (Calc)'!$A:$A)+1)-'Price History'!I3)*(ROW()-3)/(MATCH(9.99E+307,'Returns (Calc)'!$A:$A)-3),"")</f>
        <v>59.4177215189873</v>
      </c>
      <c r="AE16" s="144" t="n">
        <f aca="false">IFERROR('Price History'!J3+(INDEX('Price History'!J:J,MATCH(9.99E+307,'Returns (Calc)'!$A:$A)+1)-'Price History'!J3)*(ROW()-3)/(MATCH(9.99E+307,'Returns (Calc)'!$A:$A)-3),"")</f>
        <v>113.244493670886</v>
      </c>
      <c r="AF16" s="144" t="n">
        <f aca="false">IFERROR('Price History'!K3+(INDEX('Price History'!K:K,MATCH(9.99E+307,'Returns (Calc)'!$A:$A)+1)-'Price History'!K3)*(ROW()-3)/(MATCH(9.99E+307,'Returns (Calc)'!$A:$A)-3),"")</f>
        <v>29.5987341772152</v>
      </c>
      <c r="AG16" s="144" t="n">
        <f aca="false">IFERROR('Price History'!L3+(INDEX('Price History'!L:L,MATCH(9.99E+307,'Returns (Calc)'!$A:$A)+1)-'Price History'!L3)*(ROW()-3)/(MATCH(9.99E+307,'Returns (Calc)'!$A:$A)-3),"")</f>
        <v>117.594240506329</v>
      </c>
      <c r="AH16" s="144" t="n">
        <f aca="false">IFERROR('Price History'!M3+(INDEX('Price History'!M:M,MATCH(9.99E+307,'Returns (Calc)'!$A:$A)+1)-'Price History'!M3)*(ROW()-3)/(MATCH(9.99E+307,'Returns (Calc)'!$A:$A)-3),"")</f>
        <v>55.6407594936709</v>
      </c>
      <c r="AI16" s="144" t="n">
        <f aca="false">IFERROR('Price History'!N3+(INDEX('Price History'!N:N,MATCH(9.99E+307,'Returns (Calc)'!$A:$A)+1)-'Price History'!N3)*(ROW()-3)/(MATCH(9.99E+307,'Returns (Calc)'!$A:$A)-3),"")</f>
        <v>361.721455696203</v>
      </c>
      <c r="AJ16" s="144" t="n">
        <f aca="false">IFERROR('Price History'!O3+(INDEX('Price History'!O:O,MATCH(9.99E+307,'Returns (Calc)'!$A:$A)+1)-'Price History'!O3)*(ROW()-3)/(MATCH(9.99E+307,'Returns (Calc)'!$A:$A)-3),"")</f>
        <v>78.9894936708861</v>
      </c>
      <c r="AK16" s="144" t="n">
        <f aca="false">IFERROR('Price History'!Q3+(INDEX('Price History'!Q:Q,MATCH(9.99E+307,'Returns (Calc)'!$A:$A)+1)-'Price History'!Q3)*(ROW()-3)/(MATCH(9.99E+307,'Returns (Calc)'!$A:$A)-3),"")</f>
        <v>5.71177215189873</v>
      </c>
      <c r="AL16" s="144" t="n">
        <f aca="false">IFERROR('Price History'!R3+(INDEX('Price History'!R:R,MATCH(9.99E+307,'Returns (Calc)'!$A:$A)+1)-'Price History'!R3)*(ROW()-3)/(MATCH(9.99E+307,'Returns (Calc)'!$A:$A)-3),"")</f>
        <v>36.6653164556962</v>
      </c>
      <c r="AM16" s="144" t="n">
        <f aca="false">IFERROR('Price History'!S3+(INDEX('Price History'!S:S,MATCH(9.99E+307,'Returns (Calc)'!$A:$A)+1)-'Price History'!S3)*(ROW()-3)/(MATCH(9.99E+307,'Returns (Calc)'!$A:$A)-3),"")</f>
        <v>65.4958227848101</v>
      </c>
      <c r="AN16" s="144" t="n">
        <f aca="false">IFERROR('Price History'!T3+(INDEX('Price History'!T:T,MATCH(9.99E+307,'Returns (Calc)'!$A:$A)+1)-'Price History'!T3)*(ROW()-3)/(MATCH(9.99E+307,'Returns (Calc)'!$A:$A)-3),"")</f>
        <v>27.4269620253165</v>
      </c>
      <c r="AO16" s="145" t="n">
        <f aca="false">IFERROR('Price History'!V3+(INDEX('Price History'!V:V,MATCH(9.99E+307,'Returns (Calc)'!$A:$A)+1)-'Price History'!V3)*(ROW()-3)/(MATCH(9.99E+307,'Returns (Calc)'!$A:$A)-3),"")</f>
        <v>245.917278481013</v>
      </c>
      <c r="AP16" s="143" t="n">
        <f aca="false">IFERROR(IF(OR(NOT(ISNUMBER('Price History'!W17)),NOT(ISNUMBER('Price History'!W16)),'Price History'!W16=0),"",'Price History'!W17/'Price History'!W16-1),"")</f>
        <v>0.0068252730109204</v>
      </c>
      <c r="AQ16" s="143" t="str">
        <f aca="false">IFERROR(IF(OR(NOT(ISNUMBER('Price History'!X17)),NOT(ISNUMBER('Price History'!X16)),'Price History'!X16=0),"",'Price History'!X17/'Price History'!X16-1),"")</f>
        <v/>
      </c>
      <c r="AR16" s="143" t="n">
        <f aca="false">IFERROR(IF(OR(NOT(ISNUMBER('Price History'!Y17)),NOT(ISNUMBER('Price History'!Y16)),'Price History'!Y16=0),"",'Price History'!Y17/'Price History'!Y16-1),"")</f>
        <v>0.00136301681054052</v>
      </c>
      <c r="AS16" s="143" t="n">
        <f aca="false">IFERROR(IF(OR(NOT(ISNUMBER('Price History'!Z17)),NOT(ISNUMBER('Price History'!Z16)),'Price History'!Z16=0),"",'Price History'!Z17/'Price History'!Z16-1),"")</f>
        <v>0.0280904678302178</v>
      </c>
      <c r="AT16" s="143" t="n">
        <f aca="false">IFERROR(IF(OR(NOT(ISNUMBER('Price History'!AA17)),NOT(ISNUMBER('Price History'!AA16)),'Price History'!AA16=0),"",'Price History'!AA17/'Price History'!AA16-1),"")</f>
        <v>0.0311374708748147</v>
      </c>
    </row>
    <row r="17" customFormat="false" ht="15" hidden="false" customHeight="true" outlineLevel="0" collapsed="false">
      <c r="A17" s="141" t="n">
        <f aca="false">IF('Price History'!A18="","",'Price History'!A18)</f>
        <v>45289</v>
      </c>
      <c r="B17" s="142" t="n">
        <f aca="false">IFERROR(IF(OR(NOT(ISNUMBER('Price History'!B18)),NOT(ISNUMBER('Price History'!B17)),'Price History'!B17=0),"",'Price History'!B18/'Price History'!B17-1),"")</f>
        <v>-0.00359081419624219</v>
      </c>
      <c r="C17" s="142" t="n">
        <f aca="false">IFERROR(IF(OR(NOT(ISNUMBER('Price History'!C18)),NOT(ISNUMBER('Price History'!C17)),'Price History'!C17=0),"",'Price History'!C18/'Price History'!C17-1),"")</f>
        <v>-0.0114170584284755</v>
      </c>
      <c r="D17" s="142" t="n">
        <f aca="false">IFERROR(IF(OR(NOT(ISNUMBER('Price History'!D18)),NOT(ISNUMBER('Price History'!D17)),'Price History'!D17=0),"",'Price History'!D18/'Price History'!D17-1),"")</f>
        <v>0.00582927956083368</v>
      </c>
      <c r="E17" s="142" t="n">
        <f aca="false">IFERROR(IF(OR(NOT(ISNUMBER('Price History'!E18)),NOT(ISNUMBER('Price History'!E17)),'Price History'!E17=0),"",'Price History'!E18/'Price History'!E17-1),"")</f>
        <v>-0.00504078452937395</v>
      </c>
      <c r="F17" s="142" t="n">
        <f aca="false">IFERROR(IF(OR(NOT(ISNUMBER('Price History'!F18)),NOT(ISNUMBER('Price History'!F17)),'Price History'!F17=0),"",'Price History'!F18/'Price History'!F17-1),"")</f>
        <v>-0.00125176028790486</v>
      </c>
      <c r="G17" s="142" t="n">
        <f aca="false">IFERROR(IF(OR(NOT(ISNUMBER('Price History'!G18)),NOT(ISNUMBER('Price History'!G17)),'Price History'!G17=0),"",'Price History'!G18/'Price History'!G17-1),"")</f>
        <v>-0.00227870289219978</v>
      </c>
      <c r="H17" s="142" t="n">
        <f aca="false">IFERROR(IF(OR(NOT(ISNUMBER('Price History'!H18)),NOT(ISNUMBER('Price History'!H17)),'Price History'!H17=0),"",'Price History'!H18/'Price History'!H17-1),"")</f>
        <v>-0.0120214752567693</v>
      </c>
      <c r="I17" s="142" t="n">
        <f aca="false">IFERROR(IF(OR(NOT(ISNUMBER('Price History'!I18)),NOT(ISNUMBER('Price History'!I17)),'Price History'!I17=0),"",'Price History'!I18/'Price History'!I17-1),"")</f>
        <v>0.0141712877387554</v>
      </c>
      <c r="J17" s="142" t="n">
        <f aca="false">IFERROR(IF(OR(NOT(ISNUMBER('Price History'!J18)),NOT(ISNUMBER('Price History'!J17)),'Price History'!J17=0),"",'Price History'!J18/'Price History'!J17-1),"")</f>
        <v>0.00677797983137696</v>
      </c>
      <c r="K17" s="142" t="n">
        <f aca="false">IFERROR(IF(OR(NOT(ISNUMBER('Price History'!K18)),NOT(ISNUMBER('Price History'!K17)),'Price History'!K17=0),"",'Price History'!K18/'Price History'!K17-1),"")</f>
        <v>-0.0137851809304996</v>
      </c>
      <c r="L17" s="142" t="n">
        <f aca="false">IFERROR(IF(OR(NOT(ISNUMBER('Price History'!L18)),NOT(ISNUMBER('Price History'!L17)),'Price History'!L17=0),"",'Price History'!L18/'Price History'!L17-1),"")</f>
        <v>0.00833584412975807</v>
      </c>
      <c r="M17" s="142" t="n">
        <f aca="false">IFERROR(IF(OR(NOT(ISNUMBER('Price History'!M18)),NOT(ISNUMBER('Price History'!M17)),'Price History'!M17=0),"",'Price History'!M18/'Price History'!M17-1),"")</f>
        <v>-0.0154257507198684</v>
      </c>
      <c r="N17" s="142" t="n">
        <f aca="false">IFERROR(IF(OR(NOT(ISNUMBER('Price History'!N18)),NOT(ISNUMBER('Price History'!N17)),'Price History'!N17=0),"",'Price History'!N18/'Price History'!N17-1),"")</f>
        <v>0.00404688463911174</v>
      </c>
      <c r="O17" s="142" t="n">
        <f aca="false">IFERROR(IF(OR(NOT(ISNUMBER('Price History'!O18)),NOT(ISNUMBER('Price History'!O17)),'Price History'!O17=0),"",'Price History'!O18/'Price History'!O17-1),"")</f>
        <v>-0.00370584829183551</v>
      </c>
      <c r="P17" s="142" t="n">
        <f aca="false">IFERROR(IF(OR(NOT(ISNUMBER('Price History'!P18)),NOT(ISNUMBER('Price History'!P17)),'Price History'!P17=0),"",'Price History'!P18/'Price History'!P17-1),"")</f>
        <v>0.0040635040635042</v>
      </c>
      <c r="Q17" s="142" t="n">
        <f aca="false">IFERROR(IF(OR(NOT(ISNUMBER('Price History'!Q18)),NOT(ISNUMBER('Price History'!Q17)),'Price History'!Q17=0),"",'Price History'!Q18/'Price History'!Q17-1),"")</f>
        <v>0.00173410404624286</v>
      </c>
      <c r="R17" s="142" t="n">
        <f aca="false">IFERROR(IF(OR(NOT(ISNUMBER('Price History'!R18)),NOT(ISNUMBER('Price History'!R17)),'Price History'!R17=0),"",'Price History'!R18/'Price History'!R17-1),"")</f>
        <v>0.00325732899022801</v>
      </c>
      <c r="S17" s="142" t="n">
        <f aca="false">IFERROR(IF(OR(NOT(ISNUMBER('Price History'!S18)),NOT(ISNUMBER('Price History'!S17)),'Price History'!S17=0),"",'Price History'!S18/'Price History'!S17-1),"")</f>
        <v>0.00705218617771508</v>
      </c>
      <c r="T17" s="142" t="n">
        <f aca="false">IFERROR(IF(OR(NOT(ISNUMBER('Price History'!T18)),NOT(ISNUMBER('Price History'!T17)),'Price History'!T17=0),"",'Price History'!T18/'Price History'!T17-1),"")</f>
        <v>-0.00219058050383358</v>
      </c>
      <c r="U17" s="142" t="n">
        <f aca="false">IFERROR(IF(OR(NOT(ISNUMBER('Price History'!U18)),NOT(ISNUMBER('Price History'!U17)),'Price History'!U17=0),"",'Price History'!U18/'Price History'!U17-1),"")</f>
        <v>0.00393184796854529</v>
      </c>
      <c r="V17" s="143" t="n">
        <f aca="false">IFERROR(IF(OR(NOT(ISNUMBER('Price History'!V18)),NOT(ISNUMBER('Price History'!V17)),'Price History'!V17=0),"",'Price History'!V18/'Price History'!V17-1),"")</f>
        <v>0.00742672039187808</v>
      </c>
      <c r="W17" s="144" t="n">
        <f aca="false">IFERROR('Price History'!B3+(INDEX('Price History'!B:B,MATCH(9.99E+307,'Returns (Calc)'!$A:$A)+1)-'Price History'!B3)*(ROW()-3)/(MATCH(9.99E+307,'Returns (Calc)'!$A:$A)-3),"")</f>
        <v>503.08746835443</v>
      </c>
      <c r="X17" s="144" t="n">
        <f aca="false">IFERROR('Price History'!C3+(INDEX('Price History'!C:C,MATCH(9.99E+307,'Returns (Calc)'!$A:$A)+1)-'Price History'!C3)*(ROW()-3)/(MATCH(9.99E+307,'Returns (Calc)'!$A:$A)-3),"")</f>
        <v>60.4608860759494</v>
      </c>
      <c r="Y17" s="144" t="n">
        <f aca="false">IFERROR('Price History'!D3+(INDEX('Price History'!D:D,MATCH(9.99E+307,'Returns (Calc)'!$A:$A)+1)-'Price History'!D3)*(ROW()-3)/(MATCH(9.99E+307,'Returns (Calc)'!$A:$A)-3),"")</f>
        <v>695.897341772152</v>
      </c>
      <c r="Z17" s="144" t="n">
        <f aca="false">IFERROR('Price History'!E3+(INDEX('Price History'!E:E,MATCH(9.99E+307,'Returns (Calc)'!$A:$A)+1)-'Price History'!E3)*(ROW()-3)/(MATCH(9.99E+307,'Returns (Calc)'!$A:$A)-3),"")</f>
        <v>106.202278481013</v>
      </c>
      <c r="AA17" s="144" t="n">
        <f aca="false">IFERROR('Price History'!F3+(INDEX('Price History'!F:F,MATCH(9.99E+307,'Returns (Calc)'!$A:$A)+1)-'Price History'!F3)*(ROW()-3)/(MATCH(9.99E+307,'Returns (Calc)'!$A:$A)-3),"")</f>
        <v>61.6227848101266</v>
      </c>
      <c r="AB17" s="144" t="n">
        <f aca="false">IFERROR('Price History'!G3+(INDEX('Price History'!G:G,MATCH(9.99E+307,'Returns (Calc)'!$A:$A)+1)-'Price History'!G3)*(ROW()-3)/(MATCH(9.99E+307,'Returns (Calc)'!$A:$A)-3),"")</f>
        <v>58.7522784810127</v>
      </c>
      <c r="AC17" s="144" t="n">
        <f aca="false">IFERROR('Price History'!H3+(INDEX('Price History'!H:H,MATCH(9.99E+307,'Returns (Calc)'!$A:$A)+1)-'Price History'!H3)*(ROW()-3)/(MATCH(9.99E+307,'Returns (Calc)'!$A:$A)-3),"")</f>
        <v>158.229746835443</v>
      </c>
      <c r="AD17" s="144" t="n">
        <f aca="false">IFERROR('Price History'!I3+(INDEX('Price History'!I:I,MATCH(9.99E+307,'Returns (Calc)'!$A:$A)+1)-'Price History'!I3)*(ROW()-3)/(MATCH(9.99E+307,'Returns (Calc)'!$A:$A)-3),"")</f>
        <v>60.6213924050633</v>
      </c>
      <c r="AE17" s="144" t="n">
        <f aca="false">IFERROR('Price History'!J3+(INDEX('Price History'!J:J,MATCH(9.99E+307,'Returns (Calc)'!$A:$A)+1)-'Price History'!J3)*(ROW()-3)/(MATCH(9.99E+307,'Returns (Calc)'!$A:$A)-3),"")</f>
        <v>113.35253164557</v>
      </c>
      <c r="AF17" s="144" t="n">
        <f aca="false">IFERROR('Price History'!K3+(INDEX('Price History'!K:K,MATCH(9.99E+307,'Returns (Calc)'!$A:$A)+1)-'Price History'!K3)*(ROW()-3)/(MATCH(9.99E+307,'Returns (Calc)'!$A:$A)-3),"")</f>
        <v>30.6963291139241</v>
      </c>
      <c r="AG17" s="144" t="n">
        <f aca="false">IFERROR('Price History'!L3+(INDEX('Price History'!L:L,MATCH(9.99E+307,'Returns (Calc)'!$A:$A)+1)-'Price History'!L3)*(ROW()-3)/(MATCH(9.99E+307,'Returns (Calc)'!$A:$A)-3),"")</f>
        <v>120.043797468354</v>
      </c>
      <c r="AH17" s="144" t="n">
        <f aca="false">IFERROR('Price History'!M3+(INDEX('Price History'!M:M,MATCH(9.99E+307,'Returns (Calc)'!$A:$A)+1)-'Price History'!M3)*(ROW()-3)/(MATCH(9.99E+307,'Returns (Calc)'!$A:$A)-3),"")</f>
        <v>56.9962025316456</v>
      </c>
      <c r="AI17" s="144" t="n">
        <f aca="false">IFERROR('Price History'!N3+(INDEX('Price History'!N:N,MATCH(9.99E+307,'Returns (Calc)'!$A:$A)+1)-'Price History'!N3)*(ROW()-3)/(MATCH(9.99E+307,'Returns (Calc)'!$A:$A)-3),"")</f>
        <v>362.707721518987</v>
      </c>
      <c r="AJ17" s="144" t="n">
        <f aca="false">IFERROR('Price History'!O3+(INDEX('Price History'!O:O,MATCH(9.99E+307,'Returns (Calc)'!$A:$A)+1)-'Price History'!O3)*(ROW()-3)/(MATCH(9.99E+307,'Returns (Calc)'!$A:$A)-3),"")</f>
        <v>79.2725316455696</v>
      </c>
      <c r="AK17" s="144" t="n">
        <f aca="false">IFERROR('Price History'!Q3+(INDEX('Price History'!Q:Q,MATCH(9.99E+307,'Returns (Calc)'!$A:$A)+1)-'Price History'!Q3)*(ROW()-3)/(MATCH(9.99E+307,'Returns (Calc)'!$A:$A)-3),"")</f>
        <v>6.15113924050633</v>
      </c>
      <c r="AL17" s="144" t="n">
        <f aca="false">IFERROR('Price History'!R3+(INDEX('Price History'!R:R,MATCH(9.99E+307,'Returns (Calc)'!$A:$A)+1)-'Price History'!R3)*(ROW()-3)/(MATCH(9.99E+307,'Returns (Calc)'!$A:$A)-3),"")</f>
        <v>36.833417721519</v>
      </c>
      <c r="AM17" s="144" t="n">
        <f aca="false">IFERROR('Price History'!S3+(INDEX('Price History'!S:S,MATCH(9.99E+307,'Returns (Calc)'!$A:$A)+1)-'Price History'!S3)*(ROW()-3)/(MATCH(9.99E+307,'Returns (Calc)'!$A:$A)-3),"")</f>
        <v>66.1008860759494</v>
      </c>
      <c r="AN17" s="144" t="n">
        <f aca="false">IFERROR('Price History'!T3+(INDEX('Price History'!T:T,MATCH(9.99E+307,'Returns (Calc)'!$A:$A)+1)-'Price History'!T3)*(ROW()-3)/(MATCH(9.99E+307,'Returns (Calc)'!$A:$A)-3),"")</f>
        <v>27.5951898734177</v>
      </c>
      <c r="AO17" s="145" t="n">
        <f aca="false">IFERROR('Price History'!V3+(INDEX('Price History'!V:V,MATCH(9.99E+307,'Returns (Calc)'!$A:$A)+1)-'Price History'!V3)*(ROW()-3)/(MATCH(9.99E+307,'Returns (Calc)'!$A:$A)-3),"")</f>
        <v>246.708607594937</v>
      </c>
      <c r="AP17" s="143" t="n">
        <f aca="false">IFERROR(IF(OR(NOT(ISNUMBER('Price History'!W18)),NOT(ISNUMBER('Price History'!W17)),'Price History'!W17=0),"",'Price History'!W18/'Price History'!W17-1),"")</f>
        <v>0.00610110400929687</v>
      </c>
      <c r="AQ17" s="143" t="str">
        <f aca="false">IFERROR(IF(OR(NOT(ISNUMBER('Price History'!X18)),NOT(ISNUMBER('Price History'!X17)),'Price History'!X17=0),"",'Price History'!X18/'Price History'!X17-1),"")</f>
        <v/>
      </c>
      <c r="AR17" s="143" t="n">
        <f aca="false">IFERROR(IF(OR(NOT(ISNUMBER('Price History'!Y18)),NOT(ISNUMBER('Price History'!Y17)),'Price History'!Y17=0),"",'Price History'!Y18/'Price History'!Y17-1),"")</f>
        <v>0.00521778584392019</v>
      </c>
      <c r="AS17" s="143" t="n">
        <f aca="false">IFERROR(IF(OR(NOT(ISNUMBER('Price History'!Z18)),NOT(ISNUMBER('Price History'!Z17)),'Price History'!Z17=0),"",'Price History'!Z18/'Price History'!Z17-1),"")</f>
        <v>0.00803616273229535</v>
      </c>
      <c r="AT17" s="143" t="n">
        <f aca="false">IFERROR(IF(OR(NOT(ISNUMBER('Price History'!AA18)),NOT(ISNUMBER('Price History'!AA17)),'Price History'!AA17=0),"",'Price History'!AA18/'Price History'!AA17-1),"")</f>
        <v>0.000205423171733665</v>
      </c>
    </row>
    <row r="18" customFormat="false" ht="15" hidden="false" customHeight="true" outlineLevel="0" collapsed="false">
      <c r="A18" s="141" t="n">
        <f aca="false">IF('Price History'!A19="","",'Price History'!A19)</f>
        <v>45296</v>
      </c>
      <c r="B18" s="142" t="n">
        <f aca="false">IFERROR(IF(OR(NOT(ISNUMBER('Price History'!B19)),NOT(ISNUMBER('Price History'!B18)),'Price History'!B18=0),"",'Price History'!B19/'Price History'!B18-1),"")</f>
        <v>-0.0536372779081462</v>
      </c>
      <c r="C18" s="142" t="n">
        <f aca="false">IFERROR(IF(OR(NOT(ISNUMBER('Price History'!C19)),NOT(ISNUMBER('Price History'!C18)),'Price History'!C18=0),"",'Price History'!C19/'Price History'!C18-1),"")</f>
        <v>-0.0195312500000001</v>
      </c>
      <c r="D18" s="142" t="n">
        <f aca="false">IFERROR(IF(OR(NOT(ISNUMBER('Price History'!D19)),NOT(ISNUMBER('Price History'!D18)),'Price History'!D18=0),"",'Price History'!D19/'Price History'!D18-1),"")</f>
        <v>-0.0707888088837253</v>
      </c>
      <c r="E18" s="142" t="n">
        <f aca="false">IFERROR(IF(OR(NOT(ISNUMBER('Price History'!E19)),NOT(ISNUMBER('Price History'!E18)),'Price History'!E18=0),"",'Price History'!E19/'Price History'!E18-1),"")</f>
        <v>-0.0600589535740604</v>
      </c>
      <c r="F18" s="142" t="n">
        <f aca="false">IFERROR(IF(OR(NOT(ISNUMBER('Price History'!F19)),NOT(ISNUMBER('Price History'!F18)),'Price History'!F18=0),"",'Price History'!F19/'Price History'!F18-1),"")</f>
        <v>-0.0307065643114524</v>
      </c>
      <c r="G18" s="142" t="n">
        <f aca="false">IFERROR(IF(OR(NOT(ISNUMBER('Price History'!G19)),NOT(ISNUMBER('Price History'!G18)),'Price History'!G18=0),"",'Price History'!G19/'Price History'!G18-1),"")</f>
        <v>-0.0635980323260718</v>
      </c>
      <c r="H18" s="142" t="n">
        <f aca="false">IFERROR(IF(OR(NOT(ISNUMBER('Price History'!H19)),NOT(ISNUMBER('Price History'!H18)),'Price History'!H18=0),"",'Price History'!H19/'Price History'!H18-1),"")</f>
        <v>-0.0220909627879504</v>
      </c>
      <c r="I18" s="142" t="n">
        <f aca="false">IFERROR(IF(OR(NOT(ISNUMBER('Price History'!I19)),NOT(ISNUMBER('Price History'!I18)),'Price History'!I18=0),"",'Price History'!I19/'Price History'!I18-1),"")</f>
        <v>-0.00850546780072903</v>
      </c>
      <c r="J18" s="142" t="n">
        <f aca="false">IFERROR(IF(OR(NOT(ISNUMBER('Price History'!J19)),NOT(ISNUMBER('Price History'!J18)),'Price History'!J18=0),"",'Price History'!J19/'Price History'!J18-1),"")</f>
        <v>-0.0205254515599344</v>
      </c>
      <c r="K18" s="142" t="n">
        <f aca="false">IFERROR(IF(OR(NOT(ISNUMBER('Price History'!K19)),NOT(ISNUMBER('Price History'!K18)),'Price History'!K18=0),"",'Price History'!K19/'Price History'!K18-1),"")</f>
        <v>-0.0693069306930694</v>
      </c>
      <c r="L18" s="142" t="n">
        <f aca="false">IFERROR(IF(OR(NOT(ISNUMBER('Price History'!L19)),NOT(ISNUMBER('Price History'!L18)),'Price History'!L18=0),"",'Price History'!L19/'Price History'!L18-1),"")</f>
        <v>-0.0422310756972113</v>
      </c>
      <c r="M18" s="142" t="n">
        <f aca="false">IFERROR(IF(OR(NOT(ISNUMBER('Price History'!M19)),NOT(ISNUMBER('Price History'!M18)),'Price History'!M18=0),"",'Price History'!M19/'Price History'!M18-1),"")</f>
        <v>-0.0357217463964905</v>
      </c>
      <c r="N18" s="142" t="n">
        <f aca="false">IFERROR(IF(OR(NOT(ISNUMBER('Price History'!N19)),NOT(ISNUMBER('Price History'!N18)),'Price History'!N18=0),"",'Price History'!N19/'Price History'!N18-1),"")</f>
        <v>0.0236181769028485</v>
      </c>
      <c r="O18" s="142" t="n">
        <f aca="false">IFERROR(IF(OR(NOT(ISNUMBER('Price History'!O19)),NOT(ISNUMBER('Price History'!O18)),'Price History'!O18=0),"",'Price History'!O19/'Price History'!O18-1),"")</f>
        <v>-0.0259211902824597</v>
      </c>
      <c r="P18" s="142" t="n">
        <f aca="false">IFERROR(IF(OR(NOT(ISNUMBER('Price History'!P19)),NOT(ISNUMBER('Price History'!P18)),'Price History'!P18=0),"",'Price History'!P19/'Price History'!P18-1),"")</f>
        <v>0.00705882352941178</v>
      </c>
      <c r="Q18" s="142" t="n">
        <f aca="false">IFERROR(IF(OR(NOT(ISNUMBER('Price History'!Q19)),NOT(ISNUMBER('Price History'!Q18)),'Price History'!Q18=0),"",'Price History'!Q19/'Price History'!Q18-1),"")</f>
        <v>-0.00442392767839972</v>
      </c>
      <c r="R18" s="142" t="n">
        <f aca="false">IFERROR(IF(OR(NOT(ISNUMBER('Price History'!R19)),NOT(ISNUMBER('Price History'!R18)),'Price History'!R18=0),"",'Price History'!R19/'Price History'!R18-1),"")</f>
        <v>-0.0156926406926406</v>
      </c>
      <c r="S18" s="142" t="n">
        <f aca="false">IFERROR(IF(OR(NOT(ISNUMBER('Price History'!S19)),NOT(ISNUMBER('Price History'!S18)),'Price History'!S18=0),"",'Price History'!S19/'Price History'!S18-1),"")</f>
        <v>-0.0102707749766574</v>
      </c>
      <c r="T18" s="142" t="n">
        <f aca="false">IFERROR(IF(OR(NOT(ISNUMBER('Price History'!T19)),NOT(ISNUMBER('Price History'!T18)),'Price History'!T18=0),"",'Price History'!T19/'Price History'!T18-1),"")</f>
        <v>0.000731796560556219</v>
      </c>
      <c r="U18" s="142" t="n">
        <f aca="false">IFERROR(IF(OR(NOT(ISNUMBER('Price History'!U19)),NOT(ISNUMBER('Price History'!U18)),'Price History'!U18=0),"",'Price History'!U19/'Price History'!U18-1),"")</f>
        <v>0.00304612706701479</v>
      </c>
      <c r="V18" s="143" t="n">
        <f aca="false">IFERROR(IF(OR(NOT(ISNUMBER('Price History'!V19)),NOT(ISNUMBER('Price History'!V18)),'Price History'!V18=0),"",'Price History'!V19/'Price History'!V18-1),"")</f>
        <v>-0.0025096070896401</v>
      </c>
      <c r="W18" s="144" t="n">
        <f aca="false">IFERROR('Price History'!B3+(INDEX('Price History'!B:B,MATCH(9.99E+307,'Returns (Calc)'!$A:$A)+1)-'Price History'!B3)*(ROW()-3)/(MATCH(9.99E+307,'Returns (Calc)'!$A:$A)-3),"")</f>
        <v>501.244430379747</v>
      </c>
      <c r="X18" s="144" t="n">
        <f aca="false">IFERROR('Price History'!C3+(INDEX('Price History'!C:C,MATCH(9.99E+307,'Returns (Calc)'!$A:$A)+1)-'Price History'!C3)*(ROW()-3)/(MATCH(9.99E+307,'Returns (Calc)'!$A:$A)-3),"")</f>
        <v>61.4809493670886</v>
      </c>
      <c r="Y18" s="144" t="n">
        <f aca="false">IFERROR('Price History'!D3+(INDEX('Price History'!D:D,MATCH(9.99E+307,'Returns (Calc)'!$A:$A)+1)-'Price History'!D3)*(ROW()-3)/(MATCH(9.99E+307,'Returns (Calc)'!$A:$A)-3),"")</f>
        <v>704.032151898734</v>
      </c>
      <c r="Z18" s="144" t="n">
        <f aca="false">IFERROR('Price History'!E3+(INDEX('Price History'!E:E,MATCH(9.99E+307,'Returns (Calc)'!$A:$A)+1)-'Price History'!E3)*(ROW()-3)/(MATCH(9.99E+307,'Returns (Calc)'!$A:$A)-3),"")</f>
        <v>107.931012658228</v>
      </c>
      <c r="AA18" s="144" t="n">
        <f aca="false">IFERROR('Price History'!F3+(INDEX('Price History'!F:F,MATCH(9.99E+307,'Returns (Calc)'!$A:$A)+1)-'Price History'!F3)*(ROW()-3)/(MATCH(9.99E+307,'Returns (Calc)'!$A:$A)-3),"")</f>
        <v>63.0701265822785</v>
      </c>
      <c r="AB18" s="144" t="n">
        <f aca="false">IFERROR('Price History'!G3+(INDEX('Price History'!G:G,MATCH(9.99E+307,'Returns (Calc)'!$A:$A)+1)-'Price History'!G3)*(ROW()-3)/(MATCH(9.99E+307,'Returns (Calc)'!$A:$A)-3),"")</f>
        <v>59.7810126582279</v>
      </c>
      <c r="AC18" s="144" t="n">
        <f aca="false">IFERROR('Price History'!H3+(INDEX('Price History'!H:H,MATCH(9.99E+307,'Returns (Calc)'!$A:$A)+1)-'Price History'!H3)*(ROW()-3)/(MATCH(9.99E+307,'Returns (Calc)'!$A:$A)-3),"")</f>
        <v>164.595443037975</v>
      </c>
      <c r="AD18" s="144" t="n">
        <f aca="false">IFERROR('Price History'!I3+(INDEX('Price History'!I:I,MATCH(9.99E+307,'Returns (Calc)'!$A:$A)+1)-'Price History'!I3)*(ROW()-3)/(MATCH(9.99E+307,'Returns (Calc)'!$A:$A)-3),"")</f>
        <v>61.8250632911392</v>
      </c>
      <c r="AE18" s="144" t="n">
        <f aca="false">IFERROR('Price History'!J3+(INDEX('Price History'!J:J,MATCH(9.99E+307,'Returns (Calc)'!$A:$A)+1)-'Price History'!J3)*(ROW()-3)/(MATCH(9.99E+307,'Returns (Calc)'!$A:$A)-3),"")</f>
        <v>113.460569620253</v>
      </c>
      <c r="AF18" s="144" t="n">
        <f aca="false">IFERROR('Price History'!K3+(INDEX('Price History'!K:K,MATCH(9.99E+307,'Returns (Calc)'!$A:$A)+1)-'Price History'!K3)*(ROW()-3)/(MATCH(9.99E+307,'Returns (Calc)'!$A:$A)-3),"")</f>
        <v>31.7939240506329</v>
      </c>
      <c r="AG18" s="144" t="n">
        <f aca="false">IFERROR('Price History'!L3+(INDEX('Price History'!L:L,MATCH(9.99E+307,'Returns (Calc)'!$A:$A)+1)-'Price History'!L3)*(ROW()-3)/(MATCH(9.99E+307,'Returns (Calc)'!$A:$A)-3),"")</f>
        <v>122.49335443038</v>
      </c>
      <c r="AH18" s="144" t="n">
        <f aca="false">IFERROR('Price History'!M3+(INDEX('Price History'!M:M,MATCH(9.99E+307,'Returns (Calc)'!$A:$A)+1)-'Price History'!M3)*(ROW()-3)/(MATCH(9.99E+307,'Returns (Calc)'!$A:$A)-3),"")</f>
        <v>58.3516455696203</v>
      </c>
      <c r="AI18" s="144" t="n">
        <f aca="false">IFERROR('Price History'!N3+(INDEX('Price History'!N:N,MATCH(9.99E+307,'Returns (Calc)'!$A:$A)+1)-'Price History'!N3)*(ROW()-3)/(MATCH(9.99E+307,'Returns (Calc)'!$A:$A)-3),"")</f>
        <v>363.693987341772</v>
      </c>
      <c r="AJ18" s="144" t="n">
        <f aca="false">IFERROR('Price History'!O3+(INDEX('Price History'!O:O,MATCH(9.99E+307,'Returns (Calc)'!$A:$A)+1)-'Price History'!O3)*(ROW()-3)/(MATCH(9.99E+307,'Returns (Calc)'!$A:$A)-3),"")</f>
        <v>79.5555696202532</v>
      </c>
      <c r="AK18" s="144" t="n">
        <f aca="false">IFERROR('Price History'!Q3+(INDEX('Price History'!Q:Q,MATCH(9.99E+307,'Returns (Calc)'!$A:$A)+1)-'Price History'!Q3)*(ROW()-3)/(MATCH(9.99E+307,'Returns (Calc)'!$A:$A)-3),"")</f>
        <v>6.59050632911392</v>
      </c>
      <c r="AL18" s="144" t="n">
        <f aca="false">IFERROR('Price History'!R3+(INDEX('Price History'!R:R,MATCH(9.99E+307,'Returns (Calc)'!$A:$A)+1)-'Price History'!R3)*(ROW()-3)/(MATCH(9.99E+307,'Returns (Calc)'!$A:$A)-3),"")</f>
        <v>37.0015189873418</v>
      </c>
      <c r="AM18" s="144" t="n">
        <f aca="false">IFERROR('Price History'!S3+(INDEX('Price History'!S:S,MATCH(9.99E+307,'Returns (Calc)'!$A:$A)+1)-'Price History'!S3)*(ROW()-3)/(MATCH(9.99E+307,'Returns (Calc)'!$A:$A)-3),"")</f>
        <v>66.7059493670886</v>
      </c>
      <c r="AN18" s="144" t="n">
        <f aca="false">IFERROR('Price History'!T3+(INDEX('Price History'!T:T,MATCH(9.99E+307,'Returns (Calc)'!$A:$A)+1)-'Price History'!T3)*(ROW()-3)/(MATCH(9.99E+307,'Returns (Calc)'!$A:$A)-3),"")</f>
        <v>27.763417721519</v>
      </c>
      <c r="AO18" s="145" t="n">
        <f aca="false">IFERROR('Price History'!V3+(INDEX('Price History'!V:V,MATCH(9.99E+307,'Returns (Calc)'!$A:$A)+1)-'Price History'!V3)*(ROW()-3)/(MATCH(9.99E+307,'Returns (Calc)'!$A:$A)-3),"")</f>
        <v>247.499936708861</v>
      </c>
      <c r="AP18" s="143" t="n">
        <f aca="false">IFERROR(IF(OR(NOT(ISNUMBER('Price History'!W19)),NOT(ISNUMBER('Price History'!W18)),'Price History'!W18=0),"",'Price History'!W19/'Price History'!W18-1),"")</f>
        <v>0.00221388006545387</v>
      </c>
      <c r="AQ18" s="143" t="str">
        <f aca="false">IFERROR(IF(OR(NOT(ISNUMBER('Price History'!X19)),NOT(ISNUMBER('Price History'!X18)),'Price History'!X18=0),"",'Price History'!X19/'Price History'!X18-1),"")</f>
        <v/>
      </c>
      <c r="AR18" s="143" t="n">
        <f aca="false">IFERROR(IF(OR(NOT(ISNUMBER('Price History'!Y19)),NOT(ISNUMBER('Price History'!Y18)),'Price History'!Y18=0),"",'Price History'!Y19/'Price History'!Y18-1),"")</f>
        <v>-0.00428797111261581</v>
      </c>
      <c r="AS18" s="143" t="n">
        <f aca="false">IFERROR(IF(OR(NOT(ISNUMBER('Price History'!Z19)),NOT(ISNUMBER('Price History'!Z18)),'Price History'!Z18=0),"",'Price History'!Z19/'Price History'!Z18-1),"")</f>
        <v>-0.01056302939711</v>
      </c>
      <c r="AT18" s="143" t="n">
        <f aca="false">IFERROR(IF(OR(NOT(ISNUMBER('Price History'!AA19)),NOT(ISNUMBER('Price History'!AA18)),'Price History'!AA18=0),"",'Price History'!AA19/'Price History'!AA18-1),"")</f>
        <v>-0.0262887656602999</v>
      </c>
    </row>
    <row r="19" customFormat="false" ht="15" hidden="false" customHeight="true" outlineLevel="0" collapsed="false">
      <c r="A19" s="141" t="n">
        <f aca="false">IF('Price History'!A20="","",'Price History'!A20)</f>
        <v>45303</v>
      </c>
      <c r="B19" s="142" t="n">
        <f aca="false">IFERROR(IF(OR(NOT(ISNUMBER('Price History'!B20)),NOT(ISNUMBER('Price History'!B19)),'Price History'!B19=0),"",'Price History'!B20/'Price History'!B19-1),"")</f>
        <v>0.0565710237336166</v>
      </c>
      <c r="C19" s="142" t="n">
        <f aca="false">IFERROR(IF(OR(NOT(ISNUMBER('Price History'!C20)),NOT(ISNUMBER('Price History'!C19)),'Price History'!C19=0),"",'Price History'!C20/'Price History'!C19-1),"")</f>
        <v>0.0914602459726313</v>
      </c>
      <c r="D19" s="142" t="n">
        <f aca="false">IFERROR(IF(OR(NOT(ISNUMBER('Price History'!D20)),NOT(ISNUMBER('Price History'!D19)),'Price History'!D19=0),"",'Price History'!D20/'Price History'!D19-1),"")</f>
        <v>0.0140441678903216</v>
      </c>
      <c r="E19" s="142" t="n">
        <f aca="false">IFERROR(IF(OR(NOT(ISNUMBER('Price History'!E20)),NOT(ISNUMBER('Price History'!E19)),'Price History'!E19=0),"",'Price History'!E20/'Price History'!E19-1),"")</f>
        <v>0.0556644453155624</v>
      </c>
      <c r="F19" s="142" t="n">
        <f aca="false">IFERROR(IF(OR(NOT(ISNUMBER('Price History'!F20)),NOT(ISNUMBER('Price History'!F19)),'Price History'!F19=0),"",'Price History'!F20/'Price History'!F19-1),"")</f>
        <v>0.144981412639405</v>
      </c>
      <c r="G19" s="142" t="n">
        <f aca="false">IFERROR(IF(OR(NOT(ISNUMBER('Price History'!G20)),NOT(ISNUMBER('Price History'!G19)),'Price History'!G19=0),"",'Price History'!G20/'Price History'!G19-1),"")</f>
        <v>0.0298311444652908</v>
      </c>
      <c r="H19" s="142" t="n">
        <f aca="false">IFERROR(IF(OR(NOT(ISNUMBER('Price History'!H20)),NOT(ISNUMBER('Price History'!H19)),'Price History'!H19=0),"",'Price History'!H20/'Price History'!H19-1),"")</f>
        <v>-0.0128050253684465</v>
      </c>
      <c r="I19" s="142" t="n">
        <f aca="false">IFERROR(IF(OR(NOT(ISNUMBER('Price History'!I20)),NOT(ISNUMBER('Price History'!I19)),'Price History'!I19=0),"",'Price History'!I20/'Price History'!I19-1),"")</f>
        <v>0.114174836601307</v>
      </c>
      <c r="J19" s="142" t="n">
        <f aca="false">IFERROR(IF(OR(NOT(ISNUMBER('Price History'!J20)),NOT(ISNUMBER('Price History'!J19)),'Price History'!J19=0),"",'Price History'!J20/'Price History'!J19-1),"")</f>
        <v>0.0075440067057837</v>
      </c>
      <c r="K19" s="142" t="n">
        <f aca="false">IFERROR(IF(OR(NOT(ISNUMBER('Price History'!K20)),NOT(ISNUMBER('Price History'!K19)),'Price History'!K19=0),"",'Price History'!K20/'Price History'!K19-1),"")</f>
        <v>0.0488110137672091</v>
      </c>
      <c r="L19" s="142" t="n">
        <f aca="false">IFERROR(IF(OR(NOT(ISNUMBER('Price History'!L20)),NOT(ISNUMBER('Price History'!L19)),'Price History'!L19=0),"",'Price History'!L20/'Price History'!L19-1),"")</f>
        <v>0.0163269550748753</v>
      </c>
      <c r="M19" s="142" t="n">
        <f aca="false">IFERROR(IF(OR(NOT(ISNUMBER('Price History'!M20)),NOT(ISNUMBER('Price History'!M19)),'Price History'!M19=0),"",'Price History'!M20/'Price History'!M19-1),"")</f>
        <v>0.0693240901213172</v>
      </c>
      <c r="N19" s="142" t="n">
        <f aca="false">IFERROR(IF(OR(NOT(ISNUMBER('Price History'!N20)),NOT(ISNUMBER('Price History'!N19)),'Price History'!N19=0),"",'Price History'!N20/'Price History'!N19-1),"")</f>
        <v>0.0405762304921968</v>
      </c>
      <c r="O19" s="142" t="n">
        <f aca="false">IFERROR(IF(OR(NOT(ISNUMBER('Price History'!O20)),NOT(ISNUMBER('Price History'!O19)),'Price History'!O19=0),"",'Price History'!O20/'Price History'!O19-1),"")</f>
        <v>-0.0113365155131265</v>
      </c>
      <c r="P19" s="142" t="n">
        <f aca="false">IFERROR(IF(OR(NOT(ISNUMBER('Price History'!P20)),NOT(ISNUMBER('Price History'!P19)),'Price History'!P19=0),"",'Price History'!P20/'Price History'!P19-1),"")</f>
        <v>-0.0138317757009346</v>
      </c>
      <c r="Q19" s="142" t="n">
        <f aca="false">IFERROR(IF(OR(NOT(ISNUMBER('Price History'!Q20)),NOT(ISNUMBER('Price History'!Q19)),'Price History'!Q19=0),"",'Price History'!Q20/'Price History'!Q19-1),"")</f>
        <v>0.00985316846986106</v>
      </c>
      <c r="R19" s="142" t="n">
        <f aca="false">IFERROR(IF(OR(NOT(ISNUMBER('Price History'!R20)),NOT(ISNUMBER('Price History'!R19)),'Price History'!R19=0),"",'Price History'!R20/'Price History'!R19-1),"")</f>
        <v>0.0274876305662453</v>
      </c>
      <c r="S19" s="142" t="n">
        <f aca="false">IFERROR(IF(OR(NOT(ISNUMBER('Price History'!S20)),NOT(ISNUMBER('Price History'!S19)),'Price History'!S19=0),"",'Price History'!S20/'Price History'!S19-1),"")</f>
        <v>0.0309748427672956</v>
      </c>
      <c r="T19" s="142" t="n">
        <f aca="false">IFERROR(IF(OR(NOT(ISNUMBER('Price History'!T20)),NOT(ISNUMBER('Price History'!T19)),'Price History'!T19=0),"",'Price History'!T20/'Price History'!T19-1),"")</f>
        <v>-0.00219378427787942</v>
      </c>
      <c r="U19" s="142" t="n">
        <f aca="false">IFERROR(IF(OR(NOT(ISNUMBER('Price History'!U20)),NOT(ISNUMBER('Price History'!U19)),'Price History'!U19=0),"",'Price History'!U20/'Price History'!U19-1),"")</f>
        <v>-0.00130151843817794</v>
      </c>
      <c r="V19" s="143" t="n">
        <f aca="false">IFERROR(IF(OR(NOT(ISNUMBER('Price History'!V20)),NOT(ISNUMBER('Price History'!V19)),'Price History'!V19=0),"",'Price History'!V20/'Price History'!V19-1),"")</f>
        <v>0.0172183347747463</v>
      </c>
      <c r="W19" s="144" t="n">
        <f aca="false">IFERROR('Price History'!B3+(INDEX('Price History'!B:B,MATCH(9.99E+307,'Returns (Calc)'!$A:$A)+1)-'Price History'!B3)*(ROW()-3)/(MATCH(9.99E+307,'Returns (Calc)'!$A:$A)-3),"")</f>
        <v>499.401392405063</v>
      </c>
      <c r="X19" s="144" t="n">
        <f aca="false">IFERROR('Price History'!C3+(INDEX('Price History'!C:C,MATCH(9.99E+307,'Returns (Calc)'!$A:$A)+1)-'Price History'!C3)*(ROW()-3)/(MATCH(9.99E+307,'Returns (Calc)'!$A:$A)-3),"")</f>
        <v>62.5010126582279</v>
      </c>
      <c r="Y19" s="144" t="n">
        <f aca="false">IFERROR('Price History'!D3+(INDEX('Price History'!D:D,MATCH(9.99E+307,'Returns (Calc)'!$A:$A)+1)-'Price History'!D3)*(ROW()-3)/(MATCH(9.99E+307,'Returns (Calc)'!$A:$A)-3),"")</f>
        <v>712.166962025317</v>
      </c>
      <c r="Z19" s="144" t="n">
        <f aca="false">IFERROR('Price History'!E3+(INDEX('Price History'!E:E,MATCH(9.99E+307,'Returns (Calc)'!$A:$A)+1)-'Price History'!E3)*(ROW()-3)/(MATCH(9.99E+307,'Returns (Calc)'!$A:$A)-3),"")</f>
        <v>109.659746835443</v>
      </c>
      <c r="AA19" s="144" t="n">
        <f aca="false">IFERROR('Price History'!F3+(INDEX('Price History'!F:F,MATCH(9.99E+307,'Returns (Calc)'!$A:$A)+1)-'Price History'!F3)*(ROW()-3)/(MATCH(9.99E+307,'Returns (Calc)'!$A:$A)-3),"")</f>
        <v>64.5174683544304</v>
      </c>
      <c r="AB19" s="144" t="n">
        <f aca="false">IFERROR('Price History'!G3+(INDEX('Price History'!G:G,MATCH(9.99E+307,'Returns (Calc)'!$A:$A)+1)-'Price History'!G3)*(ROW()-3)/(MATCH(9.99E+307,'Returns (Calc)'!$A:$A)-3),"")</f>
        <v>60.809746835443</v>
      </c>
      <c r="AC19" s="144" t="n">
        <f aca="false">IFERROR('Price History'!H3+(INDEX('Price History'!H:H,MATCH(9.99E+307,'Returns (Calc)'!$A:$A)+1)-'Price History'!H3)*(ROW()-3)/(MATCH(9.99E+307,'Returns (Calc)'!$A:$A)-3),"")</f>
        <v>170.961139240506</v>
      </c>
      <c r="AD19" s="144" t="n">
        <f aca="false">IFERROR('Price History'!I3+(INDEX('Price History'!I:I,MATCH(9.99E+307,'Returns (Calc)'!$A:$A)+1)-'Price History'!I3)*(ROW()-3)/(MATCH(9.99E+307,'Returns (Calc)'!$A:$A)-3),"")</f>
        <v>63.0287341772152</v>
      </c>
      <c r="AE19" s="144" t="n">
        <f aca="false">IFERROR('Price History'!J3+(INDEX('Price History'!J:J,MATCH(9.99E+307,'Returns (Calc)'!$A:$A)+1)-'Price History'!J3)*(ROW()-3)/(MATCH(9.99E+307,'Returns (Calc)'!$A:$A)-3),"")</f>
        <v>113.568607594937</v>
      </c>
      <c r="AF19" s="144" t="n">
        <f aca="false">IFERROR('Price History'!K3+(INDEX('Price History'!K:K,MATCH(9.99E+307,'Returns (Calc)'!$A:$A)+1)-'Price History'!K3)*(ROW()-3)/(MATCH(9.99E+307,'Returns (Calc)'!$A:$A)-3),"")</f>
        <v>32.8915189873418</v>
      </c>
      <c r="AG19" s="144" t="n">
        <f aca="false">IFERROR('Price History'!L3+(INDEX('Price History'!L:L,MATCH(9.99E+307,'Returns (Calc)'!$A:$A)+1)-'Price History'!L3)*(ROW()-3)/(MATCH(9.99E+307,'Returns (Calc)'!$A:$A)-3),"")</f>
        <v>124.942911392405</v>
      </c>
      <c r="AH19" s="144" t="n">
        <f aca="false">IFERROR('Price History'!M3+(INDEX('Price History'!M:M,MATCH(9.99E+307,'Returns (Calc)'!$A:$A)+1)-'Price History'!M3)*(ROW()-3)/(MATCH(9.99E+307,'Returns (Calc)'!$A:$A)-3),"")</f>
        <v>59.7070886075949</v>
      </c>
      <c r="AI19" s="144" t="n">
        <f aca="false">IFERROR('Price History'!N3+(INDEX('Price History'!N:N,MATCH(9.99E+307,'Returns (Calc)'!$A:$A)+1)-'Price History'!N3)*(ROW()-3)/(MATCH(9.99E+307,'Returns (Calc)'!$A:$A)-3),"")</f>
        <v>364.680253164557</v>
      </c>
      <c r="AJ19" s="144" t="n">
        <f aca="false">IFERROR('Price History'!O3+(INDEX('Price History'!O:O,MATCH(9.99E+307,'Returns (Calc)'!$A:$A)+1)-'Price History'!O3)*(ROW()-3)/(MATCH(9.99E+307,'Returns (Calc)'!$A:$A)-3),"")</f>
        <v>79.8386075949367</v>
      </c>
      <c r="AK19" s="144" t="n">
        <f aca="false">IFERROR('Price History'!Q3+(INDEX('Price History'!Q:Q,MATCH(9.99E+307,'Returns (Calc)'!$A:$A)+1)-'Price History'!Q3)*(ROW()-3)/(MATCH(9.99E+307,'Returns (Calc)'!$A:$A)-3),"")</f>
        <v>7.02987341772152</v>
      </c>
      <c r="AL19" s="144" t="n">
        <f aca="false">IFERROR('Price History'!R3+(INDEX('Price History'!R:R,MATCH(9.99E+307,'Returns (Calc)'!$A:$A)+1)-'Price History'!R3)*(ROW()-3)/(MATCH(9.99E+307,'Returns (Calc)'!$A:$A)-3),"")</f>
        <v>37.1696202531646</v>
      </c>
      <c r="AM19" s="144" t="n">
        <f aca="false">IFERROR('Price History'!S3+(INDEX('Price History'!S:S,MATCH(9.99E+307,'Returns (Calc)'!$A:$A)+1)-'Price History'!S3)*(ROW()-3)/(MATCH(9.99E+307,'Returns (Calc)'!$A:$A)-3),"")</f>
        <v>67.3110126582279</v>
      </c>
      <c r="AN19" s="144" t="n">
        <f aca="false">IFERROR('Price History'!T3+(INDEX('Price History'!T:T,MATCH(9.99E+307,'Returns (Calc)'!$A:$A)+1)-'Price History'!T3)*(ROW()-3)/(MATCH(9.99E+307,'Returns (Calc)'!$A:$A)-3),"")</f>
        <v>27.9316455696203</v>
      </c>
      <c r="AO19" s="145" t="n">
        <f aca="false">IFERROR('Price History'!V3+(INDEX('Price History'!V:V,MATCH(9.99E+307,'Returns (Calc)'!$A:$A)+1)-'Price History'!V3)*(ROW()-3)/(MATCH(9.99E+307,'Returns (Calc)'!$A:$A)-3),"")</f>
        <v>248.291265822785</v>
      </c>
      <c r="AP19" s="143" t="n">
        <f aca="false">IFERROR(IF(OR(NOT(ISNUMBER('Price History'!W20)),NOT(ISNUMBER('Price History'!W19)),'Price History'!W19=0),"",'Price History'!W20/'Price History'!W19-1),"")</f>
        <v>-0.00345754898194395</v>
      </c>
      <c r="AQ19" s="143" t="str">
        <f aca="false">IFERROR(IF(OR(NOT(ISNUMBER('Price History'!X20)),NOT(ISNUMBER('Price History'!X19)),'Price History'!X19=0),"",'Price History'!X20/'Price History'!X19-1),"")</f>
        <v/>
      </c>
      <c r="AR19" s="143" t="n">
        <f aca="false">IFERROR(IF(OR(NOT(ISNUMBER('Price History'!Y20)),NOT(ISNUMBER('Price History'!Y19)),'Price History'!Y19=0),"",'Price History'!Y20/'Price History'!Y19-1),"")</f>
        <v>0.010199456029012</v>
      </c>
      <c r="AS19" s="143" t="n">
        <f aca="false">IFERROR(IF(OR(NOT(ISNUMBER('Price History'!Z20)),NOT(ISNUMBER('Price History'!Z19)),'Price History'!Z19=0),"",'Price History'!Z20/'Price History'!Z19-1),"")</f>
        <v>0.0277973612649813</v>
      </c>
      <c r="AT19" s="143" t="n">
        <f aca="false">IFERROR(IF(OR(NOT(ISNUMBER('Price History'!AA20)),NOT(ISNUMBER('Price History'!AA19)),'Price History'!AA19=0),"",'Price History'!AA20/'Price History'!AA19-1),"")</f>
        <v>0.0381775996625184</v>
      </c>
    </row>
    <row r="20" customFormat="false" ht="15" hidden="false" customHeight="true" outlineLevel="0" collapsed="false">
      <c r="A20" s="141" t="n">
        <f aca="false">IF('Price History'!A21="","",'Price History'!A21)</f>
        <v>45310</v>
      </c>
      <c r="B20" s="142" t="n">
        <f aca="false">IFERROR(IF(OR(NOT(ISNUMBER('Price History'!B21)),NOT(ISNUMBER('Price History'!B20)),'Price History'!B20=0),"",'Price History'!B21/'Price History'!B20-1),"")</f>
        <v>0.0251617661850001</v>
      </c>
      <c r="C20" s="142" t="n">
        <f aca="false">IFERROR(IF(OR(NOT(ISNUMBER('Price History'!C21)),NOT(ISNUMBER('Price History'!C20)),'Price History'!C20=0),"",'Price History'!C21/'Price History'!C20-1),"")</f>
        <v>0.0455483256625933</v>
      </c>
      <c r="D20" s="142" t="n">
        <f aca="false">IFERROR(IF(OR(NOT(ISNUMBER('Price History'!D21)),NOT(ISNUMBER('Price History'!D20)),'Price History'!D20=0),"",'Price History'!D21/'Price History'!D20-1),"")</f>
        <v>0.0625528681414787</v>
      </c>
      <c r="E20" s="142" t="n">
        <f aca="false">IFERROR(IF(OR(NOT(ISNUMBER('Price History'!E21)),NOT(ISNUMBER('Price History'!E20)),'Price History'!E20=0),"",'Price History'!E21/'Price History'!E20-1),"")</f>
        <v>0.0934831043445972</v>
      </c>
      <c r="F20" s="142" t="n">
        <f aca="false">IFERROR(IF(OR(NOT(ISNUMBER('Price History'!F21)),NOT(ISNUMBER('Price History'!F20)),'Price History'!F20=0),"",'Price History'!F21/'Price History'!F20-1),"")</f>
        <v>0.0254093732354601</v>
      </c>
      <c r="G20" s="142" t="n">
        <f aca="false">IFERROR(IF(OR(NOT(ISNUMBER('Price History'!G21)),NOT(ISNUMBER('Price History'!G20)),'Price History'!G20=0),"",'Price History'!G21/'Price History'!G20-1),"")</f>
        <v>0.093459646565859</v>
      </c>
      <c r="H20" s="142" t="n">
        <f aca="false">IFERROR(IF(OR(NOT(ISNUMBER('Price History'!H21)),NOT(ISNUMBER('Price History'!H20)),'Price History'!H20=0),"",'Price History'!H21/'Price History'!H20-1),"")</f>
        <v>0.062163485070974</v>
      </c>
      <c r="I20" s="142" t="n">
        <f aca="false">IFERROR(IF(OR(NOT(ISNUMBER('Price History'!I21)),NOT(ISNUMBER('Price History'!I20)),'Price History'!I20=0),"",'Price History'!I21/'Price History'!I20-1),"")</f>
        <v>0.0874427131072411</v>
      </c>
      <c r="J20" s="142" t="n">
        <f aca="false">IFERROR(IF(OR(NOT(ISNUMBER('Price History'!J21)),NOT(ISNUMBER('Price History'!J20)),'Price History'!J20=0),"",'Price History'!J21/'Price History'!J20-1),"")</f>
        <v>-0.0236272878535774</v>
      </c>
      <c r="K20" s="142" t="n">
        <f aca="false">IFERROR(IF(OR(NOT(ISNUMBER('Price History'!K21)),NOT(ISNUMBER('Price History'!K20)),'Price History'!K20=0),"",'Price History'!K21/'Price History'!K20-1),"")</f>
        <v>0.00119331742243434</v>
      </c>
      <c r="L20" s="142" t="n">
        <f aca="false">IFERROR(IF(OR(NOT(ISNUMBER('Price History'!L21)),NOT(ISNUMBER('Price History'!L20)),'Price History'!L20=0),"",'Price History'!L21/'Price History'!L20-1),"")</f>
        <v>0.128005730072649</v>
      </c>
      <c r="M20" s="142" t="n">
        <f aca="false">IFERROR(IF(OR(NOT(ISNUMBER('Price History'!M21)),NOT(ISNUMBER('Price History'!M20)),'Price History'!M20=0),"",'Price History'!M21/'Price History'!M20-1),"")</f>
        <v>0.0836709886547813</v>
      </c>
      <c r="N20" s="142" t="n">
        <f aca="false">IFERROR(IF(OR(NOT(ISNUMBER('Price History'!N21)),NOT(ISNUMBER('Price History'!N20)),'Price History'!N20=0),"",'Price History'!N21/'Price History'!N20-1),"")</f>
        <v>0.00373788647900319</v>
      </c>
      <c r="O20" s="142" t="n">
        <f aca="false">IFERROR(IF(OR(NOT(ISNUMBER('Price History'!O21)),NOT(ISNUMBER('Price History'!O20)),'Price History'!O20=0),"",'Price History'!O21/'Price History'!O20-1),"")</f>
        <v>0.0030175015087508</v>
      </c>
      <c r="P20" s="142" t="n">
        <f aca="false">IFERROR(IF(OR(NOT(ISNUMBER('Price History'!P21)),NOT(ISNUMBER('Price History'!P20)),'Price History'!P20=0),"",'Price History'!P21/'Price History'!P20-1),"")</f>
        <v>-0.0131728582259287</v>
      </c>
      <c r="Q20" s="142" t="n">
        <f aca="false">IFERROR(IF(OR(NOT(ISNUMBER('Price History'!Q21)),NOT(ISNUMBER('Price History'!Q20)),'Price History'!Q20=0),"",'Price History'!Q21/'Price History'!Q20-1),"")</f>
        <v>0.00593074421274142</v>
      </c>
      <c r="R20" s="142" t="n">
        <f aca="false">IFERROR(IF(OR(NOT(ISNUMBER('Price History'!R21)),NOT(ISNUMBER('Price History'!R20)),'Price History'!R20=0),"",'Price History'!R21/'Price History'!R20-1),"")</f>
        <v>0.0176565008025682</v>
      </c>
      <c r="S20" s="142" t="n">
        <f aca="false">IFERROR(IF(OR(NOT(ISNUMBER('Price History'!S21)),NOT(ISNUMBER('Price History'!S20)),'Price History'!S20=0),"",'Price History'!S21/'Price History'!S20-1),"")</f>
        <v>0.0211987189263383</v>
      </c>
      <c r="T20" s="142" t="n">
        <f aca="false">IFERROR(IF(OR(NOT(ISNUMBER('Price History'!T21)),NOT(ISNUMBER('Price History'!T20)),'Price History'!T20=0),"",'Price History'!T21/'Price History'!T20-1),"")</f>
        <v>-0.00952729937706109</v>
      </c>
      <c r="U20" s="142" t="n">
        <f aca="false">IFERROR(IF(OR(NOT(ISNUMBER('Price History'!U21)),NOT(ISNUMBER('Price History'!U20)),'Price History'!U20=0),"",'Price History'!U21/'Price History'!U20-1),"")</f>
        <v>0.00434404865334503</v>
      </c>
      <c r="V20" s="143" t="n">
        <f aca="false">IFERROR(IF(OR(NOT(ISNUMBER('Price History'!V21)),NOT(ISNUMBER('Price History'!V20)),'Price History'!V20=0),"",'Price History'!V21/'Price History'!V20-1),"")</f>
        <v>0.0255062606276086</v>
      </c>
      <c r="W20" s="144" t="n">
        <f aca="false">IFERROR('Price History'!B3+(INDEX('Price History'!B:B,MATCH(9.99E+307,'Returns (Calc)'!$A:$A)+1)-'Price History'!B3)*(ROW()-3)/(MATCH(9.99E+307,'Returns (Calc)'!$A:$A)-3),"")</f>
        <v>497.55835443038</v>
      </c>
      <c r="X20" s="144" t="n">
        <f aca="false">IFERROR('Price History'!C3+(INDEX('Price History'!C:C,MATCH(9.99E+307,'Returns (Calc)'!$A:$A)+1)-'Price History'!C3)*(ROW()-3)/(MATCH(9.99E+307,'Returns (Calc)'!$A:$A)-3),"")</f>
        <v>63.5210759493671</v>
      </c>
      <c r="Y20" s="144" t="n">
        <f aca="false">IFERROR('Price History'!D3+(INDEX('Price History'!D:D,MATCH(9.99E+307,'Returns (Calc)'!$A:$A)+1)-'Price History'!D3)*(ROW()-3)/(MATCH(9.99E+307,'Returns (Calc)'!$A:$A)-3),"")</f>
        <v>720.301772151899</v>
      </c>
      <c r="Z20" s="144" t="n">
        <f aca="false">IFERROR('Price History'!E3+(INDEX('Price History'!E:E,MATCH(9.99E+307,'Returns (Calc)'!$A:$A)+1)-'Price History'!E3)*(ROW()-3)/(MATCH(9.99E+307,'Returns (Calc)'!$A:$A)-3),"")</f>
        <v>111.388481012658</v>
      </c>
      <c r="AA20" s="144" t="n">
        <f aca="false">IFERROR('Price History'!F3+(INDEX('Price History'!F:F,MATCH(9.99E+307,'Returns (Calc)'!$A:$A)+1)-'Price History'!F3)*(ROW()-3)/(MATCH(9.99E+307,'Returns (Calc)'!$A:$A)-3),"")</f>
        <v>65.9648101265823</v>
      </c>
      <c r="AB20" s="144" t="n">
        <f aca="false">IFERROR('Price History'!G3+(INDEX('Price History'!G:G,MATCH(9.99E+307,'Returns (Calc)'!$A:$A)+1)-'Price History'!G3)*(ROW()-3)/(MATCH(9.99E+307,'Returns (Calc)'!$A:$A)-3),"")</f>
        <v>61.8384810126582</v>
      </c>
      <c r="AC20" s="144" t="n">
        <f aca="false">IFERROR('Price History'!H3+(INDEX('Price History'!H:H,MATCH(9.99E+307,'Returns (Calc)'!$A:$A)+1)-'Price History'!H3)*(ROW()-3)/(MATCH(9.99E+307,'Returns (Calc)'!$A:$A)-3),"")</f>
        <v>177.326835443038</v>
      </c>
      <c r="AD20" s="144" t="n">
        <f aca="false">IFERROR('Price History'!I3+(INDEX('Price History'!I:I,MATCH(9.99E+307,'Returns (Calc)'!$A:$A)+1)-'Price History'!I3)*(ROW()-3)/(MATCH(9.99E+307,'Returns (Calc)'!$A:$A)-3),"")</f>
        <v>64.2324050632911</v>
      </c>
      <c r="AE20" s="144" t="n">
        <f aca="false">IFERROR('Price History'!J3+(INDEX('Price History'!J:J,MATCH(9.99E+307,'Returns (Calc)'!$A:$A)+1)-'Price History'!J3)*(ROW()-3)/(MATCH(9.99E+307,'Returns (Calc)'!$A:$A)-3),"")</f>
        <v>113.67664556962</v>
      </c>
      <c r="AF20" s="144" t="n">
        <f aca="false">IFERROR('Price History'!K3+(INDEX('Price History'!K:K,MATCH(9.99E+307,'Returns (Calc)'!$A:$A)+1)-'Price History'!K3)*(ROW()-3)/(MATCH(9.99E+307,'Returns (Calc)'!$A:$A)-3),"")</f>
        <v>33.9891139240506</v>
      </c>
      <c r="AG20" s="144" t="n">
        <f aca="false">IFERROR('Price History'!L3+(INDEX('Price History'!L:L,MATCH(9.99E+307,'Returns (Calc)'!$A:$A)+1)-'Price History'!L3)*(ROW()-3)/(MATCH(9.99E+307,'Returns (Calc)'!$A:$A)-3),"")</f>
        <v>127.39246835443</v>
      </c>
      <c r="AH20" s="144" t="n">
        <f aca="false">IFERROR('Price History'!M3+(INDEX('Price History'!M:M,MATCH(9.99E+307,'Returns (Calc)'!$A:$A)+1)-'Price History'!M3)*(ROW()-3)/(MATCH(9.99E+307,'Returns (Calc)'!$A:$A)-3),"")</f>
        <v>61.0625316455696</v>
      </c>
      <c r="AI20" s="144" t="n">
        <f aca="false">IFERROR('Price History'!N3+(INDEX('Price History'!N:N,MATCH(9.99E+307,'Returns (Calc)'!$A:$A)+1)-'Price History'!N3)*(ROW()-3)/(MATCH(9.99E+307,'Returns (Calc)'!$A:$A)-3),"")</f>
        <v>365.666518987342</v>
      </c>
      <c r="AJ20" s="144" t="n">
        <f aca="false">IFERROR('Price History'!O3+(INDEX('Price History'!O:O,MATCH(9.99E+307,'Returns (Calc)'!$A:$A)+1)-'Price History'!O3)*(ROW()-3)/(MATCH(9.99E+307,'Returns (Calc)'!$A:$A)-3),"")</f>
        <v>80.1216455696203</v>
      </c>
      <c r="AK20" s="144" t="n">
        <f aca="false">IFERROR('Price History'!Q3+(INDEX('Price History'!Q:Q,MATCH(9.99E+307,'Returns (Calc)'!$A:$A)+1)-'Price History'!Q3)*(ROW()-3)/(MATCH(9.99E+307,'Returns (Calc)'!$A:$A)-3),"")</f>
        <v>7.46924050632912</v>
      </c>
      <c r="AL20" s="144" t="n">
        <f aca="false">IFERROR('Price History'!R3+(INDEX('Price History'!R:R,MATCH(9.99E+307,'Returns (Calc)'!$A:$A)+1)-'Price History'!R3)*(ROW()-3)/(MATCH(9.99E+307,'Returns (Calc)'!$A:$A)-3),"")</f>
        <v>37.3377215189873</v>
      </c>
      <c r="AM20" s="144" t="n">
        <f aca="false">IFERROR('Price History'!S3+(INDEX('Price History'!S:S,MATCH(9.99E+307,'Returns (Calc)'!$A:$A)+1)-'Price History'!S3)*(ROW()-3)/(MATCH(9.99E+307,'Returns (Calc)'!$A:$A)-3),"")</f>
        <v>67.9160759493671</v>
      </c>
      <c r="AN20" s="144" t="n">
        <f aca="false">IFERROR('Price History'!T3+(INDEX('Price History'!T:T,MATCH(9.99E+307,'Returns (Calc)'!$A:$A)+1)-'Price History'!T3)*(ROW()-3)/(MATCH(9.99E+307,'Returns (Calc)'!$A:$A)-3),"")</f>
        <v>28.0998734177215</v>
      </c>
      <c r="AO20" s="145" t="n">
        <f aca="false">IFERROR('Price History'!V3+(INDEX('Price History'!V:V,MATCH(9.99E+307,'Returns (Calc)'!$A:$A)+1)-'Price History'!V3)*(ROW()-3)/(MATCH(9.99E+307,'Returns (Calc)'!$A:$A)-3),"")</f>
        <v>249.082594936709</v>
      </c>
      <c r="AP20" s="143" t="n">
        <f aca="false">IFERROR(IF(OR(NOT(ISNUMBER('Price History'!W21)),NOT(ISNUMBER('Price History'!W20)),'Price History'!W20=0),"",'Price History'!W21/'Price History'!W20-1),"")</f>
        <v>0.00125289128758666</v>
      </c>
      <c r="AQ20" s="143" t="str">
        <f aca="false">IFERROR(IF(OR(NOT(ISNUMBER('Price History'!X21)),NOT(ISNUMBER('Price History'!X20)),'Price History'!X20=0),"",'Price History'!X21/'Price History'!X20-1),"")</f>
        <v/>
      </c>
      <c r="AR20" s="143" t="n">
        <f aca="false">IFERROR(IF(OR(NOT(ISNUMBER('Price History'!Y21)),NOT(ISNUMBER('Price History'!Y20)),'Price History'!Y20=0),"",'Price History'!Y21/'Price History'!Y20-1),"")</f>
        <v>0.00291676015256903</v>
      </c>
      <c r="AS20" s="143" t="n">
        <f aca="false">IFERROR(IF(OR(NOT(ISNUMBER('Price History'!Z21)),NOT(ISNUMBER('Price History'!Z20)),'Price History'!Z20=0),"",'Price History'!Z21/'Price History'!Z20-1),"")</f>
        <v>9.79911807936773E-005</v>
      </c>
      <c r="AT20" s="143" t="n">
        <f aca="false">IFERROR(IF(OR(NOT(ISNUMBER('Price History'!AA21)),NOT(ISNUMBER('Price History'!AA20)),'Price History'!AA20=0),"",'Price History'!AA21/'Price History'!AA20-1),"")</f>
        <v>-0.0188947582283624</v>
      </c>
    </row>
    <row r="21" customFormat="false" ht="15" hidden="false" customHeight="true" outlineLevel="0" collapsed="false">
      <c r="A21" s="141" t="n">
        <f aca="false">IF('Price History'!A22="","",'Price History'!A22)</f>
        <v>45317</v>
      </c>
      <c r="B21" s="142" t="n">
        <f aca="false">IFERROR(IF(OR(NOT(ISNUMBER('Price History'!B22)),NOT(ISNUMBER('Price History'!B21)),'Price History'!B21=0),"",'Price History'!B22/'Price History'!B21-1),"")</f>
        <v>0.00389175047011681</v>
      </c>
      <c r="C21" s="142" t="n">
        <f aca="false">IFERROR(IF(OR(NOT(ISNUMBER('Price History'!C22)),NOT(ISNUMBER('Price History'!C21)),'Price History'!C21=0),"",'Price History'!C22/'Price History'!C21-1),"")</f>
        <v>0.00333940497874918</v>
      </c>
      <c r="D21" s="142" t="n">
        <f aca="false">IFERROR(IF(OR(NOT(ISNUMBER('Price History'!D22)),NOT(ISNUMBER('Price History'!D21)),'Price History'!D21=0),"",'Price History'!D22/'Price History'!D21-1),"")</f>
        <v>0.145037240932643</v>
      </c>
      <c r="E21" s="142" t="n">
        <f aca="false">IFERROR(IF(OR(NOT(ISNUMBER('Price History'!E22)),NOT(ISNUMBER('Price History'!E21)),'Price History'!E21=0),"",'Price History'!E22/'Price History'!E21-1),"")</f>
        <v>-0.00517870786993802</v>
      </c>
      <c r="F21" s="142" t="n">
        <f aca="false">IFERROR(IF(OR(NOT(ISNUMBER('Price History'!F22)),NOT(ISNUMBER('Price History'!F21)),'Price History'!F21=0),"",'Price History'!F22/'Price History'!F21-1),"")</f>
        <v>-0.000825991189427389</v>
      </c>
      <c r="G21" s="142" t="n">
        <f aca="false">IFERROR(IF(OR(NOT(ISNUMBER('Price History'!G22)),NOT(ISNUMBER('Price History'!G21)),'Price History'!G21=0),"",'Price History'!G22/'Price History'!G21-1),"")</f>
        <v>-0.0221592802399201</v>
      </c>
      <c r="H21" s="142" t="n">
        <f aca="false">IFERROR(IF(OR(NOT(ISNUMBER('Price History'!H22)),NOT(ISNUMBER('Price History'!H21)),'Price History'!H21=0),"",'Price History'!H22/'Price History'!H21-1),"")</f>
        <v>0.00622119815668221</v>
      </c>
      <c r="I21" s="142" t="n">
        <f aca="false">IFERROR(IF(OR(NOT(ISNUMBER('Price History'!I22)),NOT(ISNUMBER('Price History'!I21)),'Price History'!I21=0),"",'Price History'!I22/'Price History'!I21-1),"")</f>
        <v>0.0257923128792987</v>
      </c>
      <c r="J21" s="142" t="n">
        <f aca="false">IFERROR(IF(OR(NOT(ISNUMBER('Price History'!J22)),NOT(ISNUMBER('Price History'!J21)),'Price History'!J21=0),"",'Price History'!J22/'Price History'!J21-1),"")</f>
        <v>-0.0121847307430129</v>
      </c>
      <c r="K21" s="142" t="n">
        <f aca="false">IFERROR(IF(OR(NOT(ISNUMBER('Price History'!K22)),NOT(ISNUMBER('Price History'!K21)),'Price History'!K21=0),"",'Price History'!K22/'Price History'!K21-1),"")</f>
        <v>-0.0256257449344458</v>
      </c>
      <c r="L21" s="142" t="n">
        <f aca="false">IFERROR(IF(OR(NOT(ISNUMBER('Price History'!L22)),NOT(ISNUMBER('Price History'!L21)),'Price History'!L21=0),"",'Price History'!L22/'Price History'!L21-1),"")</f>
        <v>0.0268505079825836</v>
      </c>
      <c r="M21" s="142" t="n">
        <f aca="false">IFERROR(IF(OR(NOT(ISNUMBER('Price History'!M22)),NOT(ISNUMBER('Price History'!M21)),'Price History'!M21=0),"",'Price History'!M22/'Price History'!M21-1),"")</f>
        <v>-0.00392596747055529</v>
      </c>
      <c r="N21" s="142" t="n">
        <f aca="false">IFERROR(IF(OR(NOT(ISNUMBER('Price History'!N22)),NOT(ISNUMBER('Price History'!N21)),'Price History'!N21=0),"",'Price History'!N22/'Price History'!N21-1),"")</f>
        <v>-0.0111489126936691</v>
      </c>
      <c r="O21" s="142" t="n">
        <f aca="false">IFERROR(IF(OR(NOT(ISNUMBER('Price History'!O22)),NOT(ISNUMBER('Price History'!O21)),'Price History'!O21=0),"",'Price History'!O22/'Price History'!O21-1),"")</f>
        <v>0.023586040914561</v>
      </c>
      <c r="P21" s="142" t="n">
        <f aca="false">IFERROR(IF(OR(NOT(ISNUMBER('Price History'!P22)),NOT(ISNUMBER('Price History'!P21)),'Price History'!P21=0),"",'Price History'!P22/'Price History'!P21-1),"")</f>
        <v>0.0157495438394315</v>
      </c>
      <c r="Q21" s="142" t="n">
        <f aca="false">IFERROR(IF(OR(NOT(ISNUMBER('Price History'!Q22)),NOT(ISNUMBER('Price History'!Q21)),'Price History'!Q21=0),"",'Price History'!Q22/'Price History'!Q21-1),"")</f>
        <v>0.006276150627615</v>
      </c>
      <c r="R21" s="142" t="n">
        <f aca="false">IFERROR(IF(OR(NOT(ISNUMBER('Price History'!R22)),NOT(ISNUMBER('Price History'!R21)),'Price History'!R21=0),"",'Price History'!R22/'Price History'!R21-1),"")</f>
        <v>0.00788643533123046</v>
      </c>
      <c r="S21" s="142" t="n">
        <f aca="false">IFERROR(IF(OR(NOT(ISNUMBER('Price History'!S22)),NOT(ISNUMBER('Price History'!S21)),'Price History'!S21=0),"",'Price History'!S22/'Price History'!S21-1),"")</f>
        <v>0.0161290322580647</v>
      </c>
      <c r="T21" s="142" t="n">
        <f aca="false">IFERROR(IF(OR(NOT(ISNUMBER('Price History'!T22)),NOT(ISNUMBER('Price History'!T21)),'Price History'!T21=0),"",'Price History'!T22/'Price History'!T21-1),"")</f>
        <v>0.00813910469848311</v>
      </c>
      <c r="U21" s="142" t="n">
        <f aca="false">IFERROR(IF(OR(NOT(ISNUMBER('Price History'!U22)),NOT(ISNUMBER('Price History'!U21)),'Price History'!U21=0),"",'Price History'!U22/'Price History'!U21-1),"")</f>
        <v>0.00562283737024227</v>
      </c>
      <c r="V21" s="143" t="n">
        <f aca="false">IFERROR(IF(OR(NOT(ISNUMBER('Price History'!V22)),NOT(ISNUMBER('Price History'!V21)),'Price History'!V21=0),"",'Price History'!V22/'Price History'!V21-1),"")</f>
        <v>-0.0109285498944831</v>
      </c>
      <c r="W21" s="144" t="n">
        <f aca="false">IFERROR('Price History'!B3+(INDEX('Price History'!B:B,MATCH(9.99E+307,'Returns (Calc)'!$A:$A)+1)-'Price History'!B3)*(ROW()-3)/(MATCH(9.99E+307,'Returns (Calc)'!$A:$A)-3),"")</f>
        <v>495.715316455696</v>
      </c>
      <c r="X21" s="144" t="n">
        <f aca="false">IFERROR('Price History'!C3+(INDEX('Price History'!C:C,MATCH(9.99E+307,'Returns (Calc)'!$A:$A)+1)-'Price History'!C3)*(ROW()-3)/(MATCH(9.99E+307,'Returns (Calc)'!$A:$A)-3),"")</f>
        <v>64.5411392405063</v>
      </c>
      <c r="Y21" s="144" t="n">
        <f aca="false">IFERROR('Price History'!D3+(INDEX('Price History'!D:D,MATCH(9.99E+307,'Returns (Calc)'!$A:$A)+1)-'Price History'!D3)*(ROW()-3)/(MATCH(9.99E+307,'Returns (Calc)'!$A:$A)-3),"")</f>
        <v>728.436582278481</v>
      </c>
      <c r="Z21" s="144" t="n">
        <f aca="false">IFERROR('Price History'!E3+(INDEX('Price History'!E:E,MATCH(9.99E+307,'Returns (Calc)'!$A:$A)+1)-'Price History'!E3)*(ROW()-3)/(MATCH(9.99E+307,'Returns (Calc)'!$A:$A)-3),"")</f>
        <v>113.117215189873</v>
      </c>
      <c r="AA21" s="144" t="n">
        <f aca="false">IFERROR('Price History'!F3+(INDEX('Price History'!F:F,MATCH(9.99E+307,'Returns (Calc)'!$A:$A)+1)-'Price History'!F3)*(ROW()-3)/(MATCH(9.99E+307,'Returns (Calc)'!$A:$A)-3),"")</f>
        <v>67.4121518987342</v>
      </c>
      <c r="AB21" s="144" t="n">
        <f aca="false">IFERROR('Price History'!G3+(INDEX('Price History'!G:G,MATCH(9.99E+307,'Returns (Calc)'!$A:$A)+1)-'Price History'!G3)*(ROW()-3)/(MATCH(9.99E+307,'Returns (Calc)'!$A:$A)-3),"")</f>
        <v>62.8672151898734</v>
      </c>
      <c r="AC21" s="144" t="n">
        <f aca="false">IFERROR('Price History'!H3+(INDEX('Price History'!H:H,MATCH(9.99E+307,'Returns (Calc)'!$A:$A)+1)-'Price History'!H3)*(ROW()-3)/(MATCH(9.99E+307,'Returns (Calc)'!$A:$A)-3),"")</f>
        <v>183.69253164557</v>
      </c>
      <c r="AD21" s="144" t="n">
        <f aca="false">IFERROR('Price History'!I3+(INDEX('Price History'!I:I,MATCH(9.99E+307,'Returns (Calc)'!$A:$A)+1)-'Price History'!I3)*(ROW()-3)/(MATCH(9.99E+307,'Returns (Calc)'!$A:$A)-3),"")</f>
        <v>65.4360759493671</v>
      </c>
      <c r="AE21" s="144" t="n">
        <f aca="false">IFERROR('Price History'!J3+(INDEX('Price History'!J:J,MATCH(9.99E+307,'Returns (Calc)'!$A:$A)+1)-'Price History'!J3)*(ROW()-3)/(MATCH(9.99E+307,'Returns (Calc)'!$A:$A)-3),"")</f>
        <v>113.784683544304</v>
      </c>
      <c r="AF21" s="144" t="n">
        <f aca="false">IFERROR('Price History'!K3+(INDEX('Price History'!K:K,MATCH(9.99E+307,'Returns (Calc)'!$A:$A)+1)-'Price History'!K3)*(ROW()-3)/(MATCH(9.99E+307,'Returns (Calc)'!$A:$A)-3),"")</f>
        <v>35.0867088607595</v>
      </c>
      <c r="AG21" s="144" t="n">
        <f aca="false">IFERROR('Price History'!L3+(INDEX('Price History'!L:L,MATCH(9.99E+307,'Returns (Calc)'!$A:$A)+1)-'Price History'!L3)*(ROW()-3)/(MATCH(9.99E+307,'Returns (Calc)'!$A:$A)-3),"")</f>
        <v>129.842025316456</v>
      </c>
      <c r="AH21" s="144" t="n">
        <f aca="false">IFERROR('Price History'!M3+(INDEX('Price History'!M:M,MATCH(9.99E+307,'Returns (Calc)'!$A:$A)+1)-'Price History'!M3)*(ROW()-3)/(MATCH(9.99E+307,'Returns (Calc)'!$A:$A)-3),"")</f>
        <v>62.4179746835443</v>
      </c>
      <c r="AI21" s="144" t="n">
        <f aca="false">IFERROR('Price History'!N3+(INDEX('Price History'!N:N,MATCH(9.99E+307,'Returns (Calc)'!$A:$A)+1)-'Price History'!N3)*(ROW()-3)/(MATCH(9.99E+307,'Returns (Calc)'!$A:$A)-3),"")</f>
        <v>366.652784810127</v>
      </c>
      <c r="AJ21" s="144" t="n">
        <f aca="false">IFERROR('Price History'!O3+(INDEX('Price History'!O:O,MATCH(9.99E+307,'Returns (Calc)'!$A:$A)+1)-'Price History'!O3)*(ROW()-3)/(MATCH(9.99E+307,'Returns (Calc)'!$A:$A)-3),"")</f>
        <v>80.4046835443038</v>
      </c>
      <c r="AK21" s="144" t="n">
        <f aca="false">IFERROR('Price History'!Q3+(INDEX('Price History'!Q:Q,MATCH(9.99E+307,'Returns (Calc)'!$A:$A)+1)-'Price History'!Q3)*(ROW()-3)/(MATCH(9.99E+307,'Returns (Calc)'!$A:$A)-3),"")</f>
        <v>7.90860759493671</v>
      </c>
      <c r="AL21" s="144" t="n">
        <f aca="false">IFERROR('Price History'!R3+(INDEX('Price History'!R:R,MATCH(9.99E+307,'Returns (Calc)'!$A:$A)+1)-'Price History'!R3)*(ROW()-3)/(MATCH(9.99E+307,'Returns (Calc)'!$A:$A)-3),"")</f>
        <v>37.5058227848101</v>
      </c>
      <c r="AM21" s="144" t="n">
        <f aca="false">IFERROR('Price History'!S3+(INDEX('Price History'!S:S,MATCH(9.99E+307,'Returns (Calc)'!$A:$A)+1)-'Price History'!S3)*(ROW()-3)/(MATCH(9.99E+307,'Returns (Calc)'!$A:$A)-3),"")</f>
        <v>68.5211392405063</v>
      </c>
      <c r="AN21" s="144" t="n">
        <f aca="false">IFERROR('Price History'!T3+(INDEX('Price History'!T:T,MATCH(9.99E+307,'Returns (Calc)'!$A:$A)+1)-'Price History'!T3)*(ROW()-3)/(MATCH(9.99E+307,'Returns (Calc)'!$A:$A)-3),"")</f>
        <v>28.2681012658228</v>
      </c>
      <c r="AO21" s="145" t="n">
        <f aca="false">IFERROR('Price History'!V3+(INDEX('Price History'!V:V,MATCH(9.99E+307,'Returns (Calc)'!$A:$A)+1)-'Price History'!V3)*(ROW()-3)/(MATCH(9.99E+307,'Returns (Calc)'!$A:$A)-3),"")</f>
        <v>249.873924050633</v>
      </c>
      <c r="AP21" s="143" t="n">
        <f aca="false">IFERROR(IF(OR(NOT(ISNUMBER('Price History'!W22)),NOT(ISNUMBER('Price History'!W21)),'Price History'!W21=0),"",'Price History'!W22/'Price History'!W21-1),"")</f>
        <v>0.0122244681875059</v>
      </c>
      <c r="AQ21" s="143" t="str">
        <f aca="false">IFERROR(IF(OR(NOT(ISNUMBER('Price History'!X22)),NOT(ISNUMBER('Price History'!X21)),'Price History'!X21=0),"",'Price History'!X22/'Price History'!X21-1),"")</f>
        <v/>
      </c>
      <c r="AR21" s="143" t="n">
        <f aca="false">IFERROR(IF(OR(NOT(ISNUMBER('Price History'!Y22)),NOT(ISNUMBER('Price History'!Y21)),'Price History'!Y21=0),"",'Price History'!Y22/'Price History'!Y21-1),"")</f>
        <v>0.00850111856823266</v>
      </c>
      <c r="AS21" s="143" t="n">
        <f aca="false">IFERROR(IF(OR(NOT(ISNUMBER('Price History'!Z22)),NOT(ISNUMBER('Price History'!Z21)),'Price History'!Z21=0),"",'Price History'!Z22/'Price History'!Z21-1),"")</f>
        <v>0.0106799921614738</v>
      </c>
      <c r="AT21" s="143" t="n">
        <f aca="false">IFERROR(IF(OR(NOT(ISNUMBER('Price History'!AA22)),NOT(ISNUMBER('Price History'!AA21)),'Price History'!AA21=0),"",'Price History'!AA22/'Price History'!AA21-1),"")</f>
        <v>0.181196935183268</v>
      </c>
    </row>
    <row r="22" customFormat="false" ht="15" hidden="false" customHeight="true" outlineLevel="0" collapsed="false">
      <c r="A22" s="141" t="n">
        <f aca="false">IF('Price History'!A23="","",'Price History'!A23)</f>
        <v>45324</v>
      </c>
      <c r="B22" s="142" t="n">
        <f aca="false">IFERROR(IF(OR(NOT(ISNUMBER('Price History'!B23)),NOT(ISNUMBER('Price History'!B22)),'Price History'!B22=0),"",'Price History'!B23/'Price History'!B22-1),"")</f>
        <v>0.0339289495545096</v>
      </c>
      <c r="C22" s="142" t="n">
        <f aca="false">IFERROR(IF(OR(NOT(ISNUMBER('Price History'!C23)),NOT(ISNUMBER('Price History'!C22)),'Price History'!C22=0),"",'Price History'!C23/'Price History'!C22-1),"")</f>
        <v>0.032980332829047</v>
      </c>
      <c r="D22" s="142" t="n">
        <f aca="false">IFERROR(IF(OR(NOT(ISNUMBER('Price History'!D23)),NOT(ISNUMBER('Price History'!D22)),'Price History'!D22=0),"",'Price History'!D23/'Price History'!D22-1),"")</f>
        <v>0.0264078905504295</v>
      </c>
      <c r="E22" s="142" t="n">
        <f aca="false">IFERROR(IF(OR(NOT(ISNUMBER('Price History'!E23)),NOT(ISNUMBER('Price History'!E22)),'Price History'!E22=0),"",'Price History'!E23/'Price History'!E22-1),"")</f>
        <v>0.0161290322580645</v>
      </c>
      <c r="F22" s="142" t="n">
        <f aca="false">IFERROR(IF(OR(NOT(ISNUMBER('Price History'!F23)),NOT(ISNUMBER('Price History'!F22)),'Price History'!F22=0),"",'Price History'!F23/'Price History'!F22-1),"")</f>
        <v>0.0456048498208874</v>
      </c>
      <c r="G22" s="142" t="n">
        <f aca="false">IFERROR(IF(OR(NOT(ISNUMBER('Price History'!G23)),NOT(ISNUMBER('Price History'!G22)),'Price History'!G22=0),"",'Price History'!G23/'Price History'!G22-1),"")</f>
        <v>0.0081785653433295</v>
      </c>
      <c r="H22" s="142" t="n">
        <f aca="false">IFERROR(IF(OR(NOT(ISNUMBER('Price History'!H23)),NOT(ISNUMBER('Price History'!H22)),'Price History'!H22=0),"",'Price History'!H23/'Price History'!H22-1),"")</f>
        <v>-0.0178612319670255</v>
      </c>
      <c r="I22" s="142" t="n">
        <f aca="false">IFERROR(IF(OR(NOT(ISNUMBER('Price History'!I23)),NOT(ISNUMBER('Price History'!I22)),'Price History'!I22=0),"",'Price History'!I23/'Price History'!I22-1),"")</f>
        <v>0.0841413311421528</v>
      </c>
      <c r="J22" s="142" t="n">
        <f aca="false">IFERROR(IF(OR(NOT(ISNUMBER('Price History'!J23)),NOT(ISNUMBER('Price History'!J22)),'Price History'!J22=0),"",'Price History'!J23/'Price History'!J22-1),"")</f>
        <v>0.0187181920124211</v>
      </c>
      <c r="K22" s="142" t="n">
        <f aca="false">IFERROR(IF(OR(NOT(ISNUMBER('Price History'!K23)),NOT(ISNUMBER('Price History'!K22)),'Price History'!K22=0),"",'Price History'!K23/'Price History'!K22-1),"")</f>
        <v>0.0409785932721711</v>
      </c>
      <c r="L22" s="142" t="n">
        <f aca="false">IFERROR(IF(OR(NOT(ISNUMBER('Price History'!L23)),NOT(ISNUMBER('Price History'!L22)),'Price History'!L22=0),"",'Price History'!L23/'Price History'!L22-1),"")</f>
        <v>-0.0128975265017669</v>
      </c>
      <c r="M22" s="142" t="n">
        <f aca="false">IFERROR(IF(OR(NOT(ISNUMBER('Price History'!M23)),NOT(ISNUMBER('Price History'!M22)),'Price History'!M22=0),"",'Price History'!M23/'Price History'!M22-1),"")</f>
        <v>0.149962462462462</v>
      </c>
      <c r="N22" s="142" t="n">
        <f aca="false">IFERROR(IF(OR(NOT(ISNUMBER('Price History'!N23)),NOT(ISNUMBER('Price History'!N22)),'Price History'!N22=0),"",'Price History'!N23/'Price History'!N22-1),"")</f>
        <v>-0.012762396261943</v>
      </c>
      <c r="O22" s="142" t="n">
        <f aca="false">IFERROR(IF(OR(NOT(ISNUMBER('Price History'!O23)),NOT(ISNUMBER('Price History'!O22)),'Price History'!O22=0),"",'Price History'!O23/'Price History'!O22-1),"")</f>
        <v>-0.0186926875146956</v>
      </c>
      <c r="P22" s="142" t="n">
        <f aca="false">IFERROR(IF(OR(NOT(ISNUMBER('Price History'!P23)),NOT(ISNUMBER('Price History'!P22)),'Price History'!P22=0),"",'Price History'!P23/'Price History'!P22-1),"")</f>
        <v>-0.0128580883048123</v>
      </c>
      <c r="Q22" s="142" t="n">
        <f aca="false">IFERROR(IF(OR(NOT(ISNUMBER('Price History'!Q23)),NOT(ISNUMBER('Price History'!Q22)),'Price History'!Q22=0),"",'Price History'!Q23/'Price History'!Q22-1),"")</f>
        <v>0.0141750141750141</v>
      </c>
      <c r="R22" s="142" t="n">
        <f aca="false">IFERROR(IF(OR(NOT(ISNUMBER('Price History'!R23)),NOT(ISNUMBER('Price History'!R22)),'Price History'!R22=0),"",'Price History'!R23/'Price History'!R22-1),"")</f>
        <v>0.0096504955659884</v>
      </c>
      <c r="S22" s="142" t="n">
        <f aca="false">IFERROR(IF(OR(NOT(ISNUMBER('Price History'!S23)),NOT(ISNUMBER('Price History'!S22)),'Price History'!S22=0),"",'Price History'!S23/'Price History'!S22-1),"")</f>
        <v>0.0457084068195179</v>
      </c>
      <c r="T22" s="142" t="n">
        <f aca="false">IFERROR(IF(OR(NOT(ISNUMBER('Price History'!T23)),NOT(ISNUMBER('Price History'!T22)),'Price History'!T22=0),"",'Price History'!T23/'Price History'!T22-1),"")</f>
        <v>0.00954128440366975</v>
      </c>
      <c r="U22" s="142" t="n">
        <f aca="false">IFERROR(IF(OR(NOT(ISNUMBER('Price History'!U23)),NOT(ISNUMBER('Price History'!U22)),'Price History'!U22=0),"",'Price History'!U23/'Price History'!U22-1),"")</f>
        <v>-0.000430107526881773</v>
      </c>
      <c r="V22" s="143" t="n">
        <f aca="false">IFERROR(IF(OR(NOT(ISNUMBER('Price History'!V23)),NOT(ISNUMBER('Price History'!V22)),'Price History'!V22=0),"",'Price History'!V23/'Price History'!V22-1),"")</f>
        <v>0.0344814447915873</v>
      </c>
      <c r="W22" s="144" t="n">
        <f aca="false">IFERROR('Price History'!B3+(INDEX('Price History'!B:B,MATCH(9.99E+307,'Returns (Calc)'!$A:$A)+1)-'Price History'!B3)*(ROW()-3)/(MATCH(9.99E+307,'Returns (Calc)'!$A:$A)-3),"")</f>
        <v>493.872278481013</v>
      </c>
      <c r="X22" s="144" t="n">
        <f aca="false">IFERROR('Price History'!C3+(INDEX('Price History'!C:C,MATCH(9.99E+307,'Returns (Calc)'!$A:$A)+1)-'Price History'!C3)*(ROW()-3)/(MATCH(9.99E+307,'Returns (Calc)'!$A:$A)-3),"")</f>
        <v>65.5612025316456</v>
      </c>
      <c r="Y22" s="144" t="n">
        <f aca="false">IFERROR('Price History'!D3+(INDEX('Price History'!D:D,MATCH(9.99E+307,'Returns (Calc)'!$A:$A)+1)-'Price History'!D3)*(ROW()-3)/(MATCH(9.99E+307,'Returns (Calc)'!$A:$A)-3),"")</f>
        <v>736.571392405063</v>
      </c>
      <c r="Z22" s="144" t="n">
        <f aca="false">IFERROR('Price History'!E3+(INDEX('Price History'!E:E,MATCH(9.99E+307,'Returns (Calc)'!$A:$A)+1)-'Price History'!E3)*(ROW()-3)/(MATCH(9.99E+307,'Returns (Calc)'!$A:$A)-3),"")</f>
        <v>114.845949367089</v>
      </c>
      <c r="AA22" s="144" t="n">
        <f aca="false">IFERROR('Price History'!F3+(INDEX('Price History'!F:F,MATCH(9.99E+307,'Returns (Calc)'!$A:$A)+1)-'Price History'!F3)*(ROW()-3)/(MATCH(9.99E+307,'Returns (Calc)'!$A:$A)-3),"")</f>
        <v>68.8594936708861</v>
      </c>
      <c r="AB22" s="144" t="n">
        <f aca="false">IFERROR('Price History'!G3+(INDEX('Price History'!G:G,MATCH(9.99E+307,'Returns (Calc)'!$A:$A)+1)-'Price History'!G3)*(ROW()-3)/(MATCH(9.99E+307,'Returns (Calc)'!$A:$A)-3),"")</f>
        <v>63.8959493670886</v>
      </c>
      <c r="AC22" s="144" t="n">
        <f aca="false">IFERROR('Price History'!H3+(INDEX('Price History'!H:H,MATCH(9.99E+307,'Returns (Calc)'!$A:$A)+1)-'Price History'!H3)*(ROW()-3)/(MATCH(9.99E+307,'Returns (Calc)'!$A:$A)-3),"")</f>
        <v>190.058227848101</v>
      </c>
      <c r="AD22" s="144" t="n">
        <f aca="false">IFERROR('Price History'!I3+(INDEX('Price History'!I:I,MATCH(9.99E+307,'Returns (Calc)'!$A:$A)+1)-'Price History'!I3)*(ROW()-3)/(MATCH(9.99E+307,'Returns (Calc)'!$A:$A)-3),"")</f>
        <v>66.639746835443</v>
      </c>
      <c r="AE22" s="144" t="n">
        <f aca="false">IFERROR('Price History'!J3+(INDEX('Price History'!J:J,MATCH(9.99E+307,'Returns (Calc)'!$A:$A)+1)-'Price History'!J3)*(ROW()-3)/(MATCH(9.99E+307,'Returns (Calc)'!$A:$A)-3),"")</f>
        <v>113.892721518987</v>
      </c>
      <c r="AF22" s="144" t="n">
        <f aca="false">IFERROR('Price History'!K3+(INDEX('Price History'!K:K,MATCH(9.99E+307,'Returns (Calc)'!$A:$A)+1)-'Price History'!K3)*(ROW()-3)/(MATCH(9.99E+307,'Returns (Calc)'!$A:$A)-3),"")</f>
        <v>36.1843037974684</v>
      </c>
      <c r="AG22" s="144" t="n">
        <f aca="false">IFERROR('Price History'!L3+(INDEX('Price History'!L:L,MATCH(9.99E+307,'Returns (Calc)'!$A:$A)+1)-'Price History'!L3)*(ROW()-3)/(MATCH(9.99E+307,'Returns (Calc)'!$A:$A)-3),"")</f>
        <v>132.291582278481</v>
      </c>
      <c r="AH22" s="144" t="n">
        <f aca="false">IFERROR('Price History'!M3+(INDEX('Price History'!M:M,MATCH(9.99E+307,'Returns (Calc)'!$A:$A)+1)-'Price History'!M3)*(ROW()-3)/(MATCH(9.99E+307,'Returns (Calc)'!$A:$A)-3),"")</f>
        <v>63.773417721519</v>
      </c>
      <c r="AI22" s="144" t="n">
        <f aca="false">IFERROR('Price History'!N3+(INDEX('Price History'!N:N,MATCH(9.99E+307,'Returns (Calc)'!$A:$A)+1)-'Price History'!N3)*(ROW()-3)/(MATCH(9.99E+307,'Returns (Calc)'!$A:$A)-3),"")</f>
        <v>367.639050632911</v>
      </c>
      <c r="AJ22" s="144" t="n">
        <f aca="false">IFERROR('Price History'!O3+(INDEX('Price History'!O:O,MATCH(9.99E+307,'Returns (Calc)'!$A:$A)+1)-'Price History'!O3)*(ROW()-3)/(MATCH(9.99E+307,'Returns (Calc)'!$A:$A)-3),"")</f>
        <v>80.6877215189874</v>
      </c>
      <c r="AK22" s="144" t="n">
        <f aca="false">IFERROR('Price History'!Q3+(INDEX('Price History'!Q:Q,MATCH(9.99E+307,'Returns (Calc)'!$A:$A)+1)-'Price History'!Q3)*(ROW()-3)/(MATCH(9.99E+307,'Returns (Calc)'!$A:$A)-3),"")</f>
        <v>8.3479746835443</v>
      </c>
      <c r="AL22" s="144" t="n">
        <f aca="false">IFERROR('Price History'!R3+(INDEX('Price History'!R:R,MATCH(9.99E+307,'Returns (Calc)'!$A:$A)+1)-'Price History'!R3)*(ROW()-3)/(MATCH(9.99E+307,'Returns (Calc)'!$A:$A)-3),"")</f>
        <v>37.6739240506329</v>
      </c>
      <c r="AM22" s="144" t="n">
        <f aca="false">IFERROR('Price History'!S3+(INDEX('Price History'!S:S,MATCH(9.99E+307,'Returns (Calc)'!$A:$A)+1)-'Price History'!S3)*(ROW()-3)/(MATCH(9.99E+307,'Returns (Calc)'!$A:$A)-3),"")</f>
        <v>69.1262025316456</v>
      </c>
      <c r="AN22" s="144" t="n">
        <f aca="false">IFERROR('Price History'!T3+(INDEX('Price History'!T:T,MATCH(9.99E+307,'Returns (Calc)'!$A:$A)+1)-'Price History'!T3)*(ROW()-3)/(MATCH(9.99E+307,'Returns (Calc)'!$A:$A)-3),"")</f>
        <v>28.4363291139241</v>
      </c>
      <c r="AO22" s="145" t="n">
        <f aca="false">IFERROR('Price History'!V3+(INDEX('Price History'!V:V,MATCH(9.99E+307,'Returns (Calc)'!$A:$A)+1)-'Price History'!V3)*(ROW()-3)/(MATCH(9.99E+307,'Returns (Calc)'!$A:$A)-3),"")</f>
        <v>250.665253164557</v>
      </c>
      <c r="AP22" s="143" t="n">
        <f aca="false">IFERROR(IF(OR(NOT(ISNUMBER('Price History'!W23)),NOT(ISNUMBER('Price History'!W22)),'Price History'!W22=0),"",'Price History'!W23/'Price History'!W22-1),"")</f>
        <v>0.0012362114872575</v>
      </c>
      <c r="AQ22" s="143" t="str">
        <f aca="false">IFERROR(IF(OR(NOT(ISNUMBER('Price History'!X23)),NOT(ISNUMBER('Price History'!X22)),'Price History'!X22=0),"",'Price History'!X23/'Price History'!X22-1),"")</f>
        <v/>
      </c>
      <c r="AR22" s="143" t="n">
        <f aca="false">IFERROR(IF(OR(NOT(ISNUMBER('Price History'!Y23)),NOT(ISNUMBER('Price History'!Y22)),'Price History'!Y22=0),"",'Price History'!Y23/'Price History'!Y22-1),"")</f>
        <v>0.00998225377107365</v>
      </c>
      <c r="AS22" s="143" t="n">
        <f aca="false">IFERROR(IF(OR(NOT(ISNUMBER('Price History'!Z23)),NOT(ISNUMBER('Price History'!Z22)),'Price History'!Z22=0),"",'Price History'!Z23/'Price History'!Z22-1),"")</f>
        <v>0.0407174018419776</v>
      </c>
      <c r="AT22" s="143" t="n">
        <f aca="false">IFERROR(IF(OR(NOT(ISNUMBER('Price History'!AA23)),NOT(ISNUMBER('Price History'!AA22)),'Price History'!AA22=0),"",'Price History'!AA23/'Price History'!AA22-1),"")</f>
        <v>-0.0101683029453015</v>
      </c>
    </row>
    <row r="23" customFormat="false" ht="15" hidden="false" customHeight="true" outlineLevel="0" collapsed="false">
      <c r="A23" s="141" t="n">
        <f aca="false">IF('Price History'!A24="","",'Price History'!A24)</f>
        <v>45331</v>
      </c>
      <c r="B23" s="142" t="n">
        <f aca="false">IFERROR(IF(OR(NOT(ISNUMBER('Price History'!B24)),NOT(ISNUMBER('Price History'!B23)),'Price History'!B23=0),"",'Price History'!B24/'Price History'!B23-1),"")</f>
        <v>-0.0118942592475896</v>
      </c>
      <c r="C23" s="142" t="n">
        <f aca="false">IFERROR(IF(OR(NOT(ISNUMBER('Price History'!C24)),NOT(ISNUMBER('Price History'!C23)),'Price History'!C23=0),"",'Price History'!C24/'Price History'!C23-1),"")</f>
        <v>0.0341241944932631</v>
      </c>
      <c r="D23" s="142" t="n">
        <f aca="false">IFERROR(IF(OR(NOT(ISNUMBER('Price History'!D24)),NOT(ISNUMBER('Price History'!D23)),'Price History'!D23=0),"",'Price History'!D24/'Price History'!D23-1),"")</f>
        <v>0.0680466579412642</v>
      </c>
      <c r="E23" s="142" t="n">
        <f aca="false">IFERROR(IF(OR(NOT(ISNUMBER('Price History'!E24)),NOT(ISNUMBER('Price History'!E23)),'Price History'!E23=0),"",'Price History'!E24/'Price History'!E23-1),"")</f>
        <v>0.0482909213067944</v>
      </c>
      <c r="F23" s="142" t="n">
        <f aca="false">IFERROR(IF(OR(NOT(ISNUMBER('Price History'!F24)),NOT(ISNUMBER('Price History'!F23)),'Price History'!F23=0),"",'Price History'!F24/'Price History'!F23-1),"")</f>
        <v>0.0848596653050469</v>
      </c>
      <c r="G23" s="142" t="n">
        <f aca="false">IFERROR(IF(OR(NOT(ISNUMBER('Price History'!G24)),NOT(ISNUMBER('Price History'!G23)),'Price History'!G23=0),"",'Price History'!G24/'Price History'!G23-1),"")</f>
        <v>0.0753760351529491</v>
      </c>
      <c r="H23" s="142" t="n">
        <f aca="false">IFERROR(IF(OR(NOT(ISNUMBER('Price History'!H24)),NOT(ISNUMBER('Price History'!H23)),'Price History'!H23=0),"",'Price History'!H24/'Price History'!H23-1),"")</f>
        <v>-0.0106085334576824</v>
      </c>
      <c r="I23" s="142" t="n">
        <f aca="false">IFERROR(IF(OR(NOT(ISNUMBER('Price History'!I24)),NOT(ISNUMBER('Price History'!I23)),'Price History'!I23=0),"",'Price History'!I24/'Price History'!I23-1),"")</f>
        <v>0.0901925117477642</v>
      </c>
      <c r="J23" s="142" t="n">
        <f aca="false">IFERROR(IF(OR(NOT(ISNUMBER('Price History'!J24)),NOT(ISNUMBER('Price History'!J23)),'Price History'!J23=0),"",'Price History'!J24/'Price History'!J23-1),"")</f>
        <v>0.0249788314987298</v>
      </c>
      <c r="K23" s="142" t="n">
        <f aca="false">IFERROR(IF(OR(NOT(ISNUMBER('Price History'!K24)),NOT(ISNUMBER('Price History'!K23)),'Price History'!K23=0),"",'Price History'!K24/'Price History'!K23-1),"")</f>
        <v>0.432432432432432</v>
      </c>
      <c r="L23" s="142" t="n">
        <f aca="false">IFERROR(IF(OR(NOT(ISNUMBER('Price History'!L24)),NOT(ISNUMBER('Price History'!L23)),'Price History'!L23=0),"",'Price History'!L24/'Price History'!L23-1),"")</f>
        <v>0.149991050653302</v>
      </c>
      <c r="M23" s="142" t="n">
        <f aca="false">IFERROR(IF(OR(NOT(ISNUMBER('Price History'!M24)),NOT(ISNUMBER('Price History'!M23)),'Price History'!M23=0),"",'Price History'!M24/'Price History'!M23-1),"")</f>
        <v>0.0332952505304391</v>
      </c>
      <c r="N23" s="142" t="n">
        <f aca="false">IFERROR(IF(OR(NOT(ISNUMBER('Price History'!N24)),NOT(ISNUMBER('Price History'!N23)),'Price History'!N23=0),"",'Price History'!N24/'Price History'!N23-1),"")</f>
        <v>-0.00416784402373549</v>
      </c>
      <c r="O23" s="142" t="n">
        <f aca="false">IFERROR(IF(OR(NOT(ISNUMBER('Price History'!O24)),NOT(ISNUMBER('Price History'!O23)),'Price History'!O23=0),"",'Price History'!O24/'Price History'!O23-1),"")</f>
        <v>0.00898526416676648</v>
      </c>
      <c r="P23" s="142" t="n">
        <f aca="false">IFERROR(IF(OR(NOT(ISNUMBER('Price History'!P24)),NOT(ISNUMBER('Price History'!P23)),'Price History'!P23=0),"",'Price History'!P24/'Price History'!P23-1),"")</f>
        <v>-0.00890719279762464</v>
      </c>
      <c r="Q23" s="142" t="n">
        <f aca="false">IFERROR(IF(OR(NOT(ISNUMBER('Price History'!Q24)),NOT(ISNUMBER('Price History'!Q23)),'Price History'!Q23=0),"",'Price History'!Q24/'Price History'!Q23-1),"")</f>
        <v>0.00428624673872546</v>
      </c>
      <c r="R23" s="142" t="n">
        <f aca="false">IFERROR(IF(OR(NOT(ISNUMBER('Price History'!R24)),NOT(ISNUMBER('Price History'!R23)),'Price History'!R23=0),"",'Price History'!R24/'Price History'!R23-1),"")</f>
        <v>0.0105915784035133</v>
      </c>
      <c r="S23" s="142" t="n">
        <f aca="false">IFERROR(IF(OR(NOT(ISNUMBER('Price History'!S24)),NOT(ISNUMBER('Price History'!S23)),'Price History'!S23=0),"",'Price History'!S24/'Price History'!S23-1),"")</f>
        <v>0.0238931834153195</v>
      </c>
      <c r="T23" s="142" t="n">
        <f aca="false">IFERROR(IF(OR(NOT(ISNUMBER('Price History'!T24)),NOT(ISNUMBER('Price History'!T23)),'Price History'!T23=0),"",'Price History'!T24/'Price History'!T23-1),"")</f>
        <v>0.00508905852417296</v>
      </c>
      <c r="U23" s="142" t="n">
        <f aca="false">IFERROR(IF(OR(NOT(ISNUMBER('Price History'!U24)),NOT(ISNUMBER('Price History'!U23)),'Price History'!U23=0),"",'Price History'!U24/'Price History'!U23-1),"")</f>
        <v>-0.00258175559380369</v>
      </c>
      <c r="V23" s="143" t="n">
        <f aca="false">IFERROR(IF(OR(NOT(ISNUMBER('Price History'!V24)),NOT(ISNUMBER('Price History'!V23)),'Price History'!V23=0),"",'Price History'!V24/'Price History'!V23-1),"")</f>
        <v>-0.000847114286766648</v>
      </c>
      <c r="W23" s="144" t="n">
        <f aca="false">IFERROR('Price History'!B3+(INDEX('Price History'!B:B,MATCH(9.99E+307,'Returns (Calc)'!$A:$A)+1)-'Price History'!B3)*(ROW()-3)/(MATCH(9.99E+307,'Returns (Calc)'!$A:$A)-3),"")</f>
        <v>492.029240506329</v>
      </c>
      <c r="X23" s="144" t="n">
        <f aca="false">IFERROR('Price History'!C3+(INDEX('Price History'!C:C,MATCH(9.99E+307,'Returns (Calc)'!$A:$A)+1)-'Price History'!C3)*(ROW()-3)/(MATCH(9.99E+307,'Returns (Calc)'!$A:$A)-3),"")</f>
        <v>66.5812658227848</v>
      </c>
      <c r="Y23" s="144" t="n">
        <f aca="false">IFERROR('Price History'!D3+(INDEX('Price History'!D:D,MATCH(9.99E+307,'Returns (Calc)'!$A:$A)+1)-'Price History'!D3)*(ROW()-3)/(MATCH(9.99E+307,'Returns (Calc)'!$A:$A)-3),"")</f>
        <v>744.706202531646</v>
      </c>
      <c r="Z23" s="144" t="n">
        <f aca="false">IFERROR('Price History'!E3+(INDEX('Price History'!E:E,MATCH(9.99E+307,'Returns (Calc)'!$A:$A)+1)-'Price History'!E3)*(ROW()-3)/(MATCH(9.99E+307,'Returns (Calc)'!$A:$A)-3),"")</f>
        <v>116.574683544304</v>
      </c>
      <c r="AA23" s="144" t="n">
        <f aca="false">IFERROR('Price History'!F3+(INDEX('Price History'!F:F,MATCH(9.99E+307,'Returns (Calc)'!$A:$A)+1)-'Price History'!F3)*(ROW()-3)/(MATCH(9.99E+307,'Returns (Calc)'!$A:$A)-3),"")</f>
        <v>70.306835443038</v>
      </c>
      <c r="AB23" s="144" t="n">
        <f aca="false">IFERROR('Price History'!G3+(INDEX('Price History'!G:G,MATCH(9.99E+307,'Returns (Calc)'!$A:$A)+1)-'Price History'!G3)*(ROW()-3)/(MATCH(9.99E+307,'Returns (Calc)'!$A:$A)-3),"")</f>
        <v>64.9246835443038</v>
      </c>
      <c r="AC23" s="144" t="n">
        <f aca="false">IFERROR('Price History'!H3+(INDEX('Price History'!H:H,MATCH(9.99E+307,'Returns (Calc)'!$A:$A)+1)-'Price History'!H3)*(ROW()-3)/(MATCH(9.99E+307,'Returns (Calc)'!$A:$A)-3),"")</f>
        <v>196.423924050633</v>
      </c>
      <c r="AD23" s="144" t="n">
        <f aca="false">IFERROR('Price History'!I3+(INDEX('Price History'!I:I,MATCH(9.99E+307,'Returns (Calc)'!$A:$A)+1)-'Price History'!I3)*(ROW()-3)/(MATCH(9.99E+307,'Returns (Calc)'!$A:$A)-3),"")</f>
        <v>67.843417721519</v>
      </c>
      <c r="AE23" s="144" t="n">
        <f aca="false">IFERROR('Price History'!J3+(INDEX('Price History'!J:J,MATCH(9.99E+307,'Returns (Calc)'!$A:$A)+1)-'Price History'!J3)*(ROW()-3)/(MATCH(9.99E+307,'Returns (Calc)'!$A:$A)-3),"")</f>
        <v>114.000759493671</v>
      </c>
      <c r="AF23" s="144" t="n">
        <f aca="false">IFERROR('Price History'!K3+(INDEX('Price History'!K:K,MATCH(9.99E+307,'Returns (Calc)'!$A:$A)+1)-'Price History'!K3)*(ROW()-3)/(MATCH(9.99E+307,'Returns (Calc)'!$A:$A)-3),"")</f>
        <v>37.2818987341772</v>
      </c>
      <c r="AG23" s="144" t="n">
        <f aca="false">IFERROR('Price History'!L3+(INDEX('Price History'!L:L,MATCH(9.99E+307,'Returns (Calc)'!$A:$A)+1)-'Price History'!L3)*(ROW()-3)/(MATCH(9.99E+307,'Returns (Calc)'!$A:$A)-3),"")</f>
        <v>134.741139240506</v>
      </c>
      <c r="AH23" s="144" t="n">
        <f aca="false">IFERROR('Price History'!M3+(INDEX('Price History'!M:M,MATCH(9.99E+307,'Returns (Calc)'!$A:$A)+1)-'Price History'!M3)*(ROW()-3)/(MATCH(9.99E+307,'Returns (Calc)'!$A:$A)-3),"")</f>
        <v>65.1288607594937</v>
      </c>
      <c r="AI23" s="144" t="n">
        <f aca="false">IFERROR('Price History'!N3+(INDEX('Price History'!N:N,MATCH(9.99E+307,'Returns (Calc)'!$A:$A)+1)-'Price History'!N3)*(ROW()-3)/(MATCH(9.99E+307,'Returns (Calc)'!$A:$A)-3),"")</f>
        <v>368.625316455696</v>
      </c>
      <c r="AJ23" s="144" t="n">
        <f aca="false">IFERROR('Price History'!O3+(INDEX('Price History'!O:O,MATCH(9.99E+307,'Returns (Calc)'!$A:$A)+1)-'Price History'!O3)*(ROW()-3)/(MATCH(9.99E+307,'Returns (Calc)'!$A:$A)-3),"")</f>
        <v>80.9707594936709</v>
      </c>
      <c r="AK23" s="144" t="n">
        <f aca="false">IFERROR('Price History'!Q3+(INDEX('Price History'!Q:Q,MATCH(9.99E+307,'Returns (Calc)'!$A:$A)+1)-'Price History'!Q3)*(ROW()-3)/(MATCH(9.99E+307,'Returns (Calc)'!$A:$A)-3),"")</f>
        <v>8.7873417721519</v>
      </c>
      <c r="AL23" s="144" t="n">
        <f aca="false">IFERROR('Price History'!R3+(INDEX('Price History'!R:R,MATCH(9.99E+307,'Returns (Calc)'!$A:$A)+1)-'Price History'!R3)*(ROW()-3)/(MATCH(9.99E+307,'Returns (Calc)'!$A:$A)-3),"")</f>
        <v>37.8420253164557</v>
      </c>
      <c r="AM23" s="144" t="n">
        <f aca="false">IFERROR('Price History'!S3+(INDEX('Price History'!S:S,MATCH(9.99E+307,'Returns (Calc)'!$A:$A)+1)-'Price History'!S3)*(ROW()-3)/(MATCH(9.99E+307,'Returns (Calc)'!$A:$A)-3),"")</f>
        <v>69.7312658227848</v>
      </c>
      <c r="AN23" s="144" t="n">
        <f aca="false">IFERROR('Price History'!T3+(INDEX('Price History'!T:T,MATCH(9.99E+307,'Returns (Calc)'!$A:$A)+1)-'Price History'!T3)*(ROW()-3)/(MATCH(9.99E+307,'Returns (Calc)'!$A:$A)-3),"")</f>
        <v>28.6045569620253</v>
      </c>
      <c r="AO23" s="145" t="n">
        <f aca="false">IFERROR('Price History'!V3+(INDEX('Price History'!V:V,MATCH(9.99E+307,'Returns (Calc)'!$A:$A)+1)-'Price History'!V3)*(ROW()-3)/(MATCH(9.99E+307,'Returns (Calc)'!$A:$A)-3),"")</f>
        <v>251.456582278481</v>
      </c>
      <c r="AP23" s="143" t="n">
        <f aca="false">IFERROR(IF(OR(NOT(ISNUMBER('Price History'!W24)),NOT(ISNUMBER('Price History'!W23)),'Price History'!W23=0),"",'Price History'!W24/'Price History'!W23-1),"")</f>
        <v>-0.00218444296704345</v>
      </c>
      <c r="AQ23" s="143" t="str">
        <f aca="false">IFERROR(IF(OR(NOT(ISNUMBER('Price History'!X24)),NOT(ISNUMBER('Price History'!X23)),'Price History'!X23=0),"",'Price History'!X24/'Price History'!X23-1),"")</f>
        <v/>
      </c>
      <c r="AR23" s="143" t="n">
        <f aca="false">IFERROR(IF(OR(NOT(ISNUMBER('Price History'!Y24)),NOT(ISNUMBER('Price History'!Y23)),'Price History'!Y23=0),"",'Price History'!Y24/'Price History'!Y23-1),"")</f>
        <v>-0.000658906215681987</v>
      </c>
      <c r="AS23" s="143" t="n">
        <f aca="false">IFERROR(IF(OR(NOT(ISNUMBER('Price History'!Z24)),NOT(ISNUMBER('Price History'!Z23)),'Price History'!Z23=0),"",'Price History'!Z24/'Price History'!Z23-1),"")</f>
        <v>0.0201210992081975</v>
      </c>
      <c r="AT23" s="143" t="n">
        <f aca="false">IFERROR(IF(OR(NOT(ISNUMBER('Price History'!AA24)),NOT(ISNUMBER('Price History'!AA23)),'Price History'!AA23=0),"",'Price History'!AA24/'Price History'!AA23-1),"")</f>
        <v>-0.00584484590860779</v>
      </c>
    </row>
    <row r="24" customFormat="false" ht="15" hidden="false" customHeight="true" outlineLevel="0" collapsed="false">
      <c r="A24" s="141" t="n">
        <f aca="false">IF('Price History'!A25="","",'Price History'!A25)</f>
        <v>45338</v>
      </c>
      <c r="B24" s="142" t="n">
        <f aca="false">IFERROR(IF(OR(NOT(ISNUMBER('Price History'!B25)),NOT(ISNUMBER('Price History'!B24)),'Price History'!B24=0),"",'Price History'!B25/'Price History'!B24-1),"")</f>
        <v>-0.128425886066868</v>
      </c>
      <c r="C24" s="142" t="n">
        <f aca="false">IFERROR(IF(OR(NOT(ISNUMBER('Price History'!C25)),NOT(ISNUMBER('Price History'!C24)),'Price History'!C24=0),"",'Price History'!C25/'Price History'!C24-1),"")</f>
        <v>-0.0732190907803427</v>
      </c>
      <c r="D24" s="142" t="n">
        <f aca="false">IFERROR(IF(OR(NOT(ISNUMBER('Price History'!D25)),NOT(ISNUMBER('Price History'!D24)),'Price History'!D24=0),"",'Price History'!D25/'Price History'!D24-1),"")</f>
        <v>-0.0217566565264595</v>
      </c>
      <c r="E24" s="142" t="n">
        <f aca="false">IFERROR(IF(OR(NOT(ISNUMBER('Price History'!E25)),NOT(ISNUMBER('Price History'!E24)),'Price History'!E24=0),"",'Price History'!E25/'Price History'!E24-1),"")</f>
        <v>-0.0296426854670725</v>
      </c>
      <c r="F24" s="142" t="n">
        <f aca="false">IFERROR(IF(OR(NOT(ISNUMBER('Price History'!F25)),NOT(ISNUMBER('Price History'!F24)),'Price History'!F24=0),"",'Price History'!F25/'Price History'!F24-1),"")</f>
        <v>-0.000242924814769729</v>
      </c>
      <c r="G24" s="142" t="n">
        <f aca="false">IFERROR(IF(OR(NOT(ISNUMBER('Price History'!G25)),NOT(ISNUMBER('Price History'!G24)),'Price History'!G24=0),"",'Price History'!G25/'Price History'!G24-1),"")</f>
        <v>0.0199591387710201</v>
      </c>
      <c r="H24" s="142" t="n">
        <f aca="false">IFERROR(IF(OR(NOT(ISNUMBER('Price History'!H25)),NOT(ISNUMBER('Price History'!H24)),'Price History'!H24=0),"",'Price History'!H25/'Price History'!H24-1),"")</f>
        <v>-0.0708141864027336</v>
      </c>
      <c r="I24" s="142" t="n">
        <f aca="false">IFERROR(IF(OR(NOT(ISNUMBER('Price History'!I25)),NOT(ISNUMBER('Price History'!I24)),'Price History'!I24=0),"",'Price History'!I25/'Price History'!I24-1),"")</f>
        <v>0.00667408231368194</v>
      </c>
      <c r="J24" s="142" t="n">
        <f aca="false">IFERROR(IF(OR(NOT(ISNUMBER('Price History'!J25)),NOT(ISNUMBER('Price History'!J24)),'Price History'!J24=0),"",'Price History'!J25/'Price History'!J24-1),"")</f>
        <v>0.00685667079719132</v>
      </c>
      <c r="K24" s="142" t="n">
        <f aca="false">IFERROR(IF(OR(NOT(ISNUMBER('Price History'!K25)),NOT(ISNUMBER('Price History'!K24)),'Price History'!K24=0),"",'Price History'!K25/'Price History'!K24-1),"")</f>
        <v>0.00246103363412642</v>
      </c>
      <c r="L24" s="142" t="n">
        <f aca="false">IFERROR(IF(OR(NOT(ISNUMBER('Price History'!L25)),NOT(ISNUMBER('Price History'!L24)),'Price History'!L24=0),"",'Price History'!L25/'Price History'!L24-1),"")</f>
        <v>-0.0482490272373541</v>
      </c>
      <c r="M24" s="142" t="n">
        <f aca="false">IFERROR(IF(OR(NOT(ISNUMBER('Price History'!M25)),NOT(ISNUMBER('Price History'!M24)),'Price History'!M24=0),"",'Price History'!M25/'Price History'!M24-1),"")</f>
        <v>-0.00868741115147698</v>
      </c>
      <c r="N24" s="142" t="n">
        <f aca="false">IFERROR(IF(OR(NOT(ISNUMBER('Price History'!N25)),NOT(ISNUMBER('Price History'!N24)),'Price History'!N24=0),"",'Price History'!N25/'Price History'!N24-1),"")</f>
        <v>-0.00167884419852937</v>
      </c>
      <c r="O24" s="142" t="n">
        <f aca="false">IFERROR(IF(OR(NOT(ISNUMBER('Price History'!O25)),NOT(ISNUMBER('Price History'!O24)),'Price History'!O24=0),"",'Price History'!O25/'Price History'!O24-1),"")</f>
        <v>0.00712419852766555</v>
      </c>
      <c r="P24" s="142" t="n">
        <f aca="false">IFERROR(IF(OR(NOT(ISNUMBER('Price History'!P25)),NOT(ISNUMBER('Price History'!P24)),'Price History'!P24=0),"",'Price History'!P25/'Price History'!P24-1),"")</f>
        <v>0.011693080788558</v>
      </c>
      <c r="Q24" s="142" t="n">
        <f aca="false">IFERROR(IF(OR(NOT(ISNUMBER('Price History'!Q25)),NOT(ISNUMBER('Price History'!Q24)),'Price History'!Q24=0),"",'Price History'!Q25/'Price History'!Q24-1),"")</f>
        <v>-0.00556689552792722</v>
      </c>
      <c r="R24" s="142" t="n">
        <f aca="false">IFERROR(IF(OR(NOT(ISNUMBER('Price History'!R25)),NOT(ISNUMBER('Price History'!R24)),'Price History'!R24=0),"",'Price History'!R25/'Price History'!R24-1),"")</f>
        <v>-0.00332310838445793</v>
      </c>
      <c r="S24" s="142" t="n">
        <f aca="false">IFERROR(IF(OR(NOT(ISNUMBER('Price History'!S25)),NOT(ISNUMBER('Price History'!S24)),'Price History'!S24=0),"",'Price History'!S25/'Price History'!S24-1),"")</f>
        <v>0.00837336993822913</v>
      </c>
      <c r="T24" s="142" t="n">
        <f aca="false">IFERROR(IF(OR(NOT(ISNUMBER('Price History'!T25)),NOT(ISNUMBER('Price History'!T24)),'Price History'!T24=0),"",'Price History'!T25/'Price History'!T24-1),"")</f>
        <v>0.00831826401446656</v>
      </c>
      <c r="U24" s="142" t="n">
        <f aca="false">IFERROR(IF(OR(NOT(ISNUMBER('Price History'!U25)),NOT(ISNUMBER('Price History'!U24)),'Price History'!U24=0),"",'Price History'!U25/'Price History'!U24-1),"")</f>
        <v>0.002588438308887</v>
      </c>
      <c r="V24" s="143" t="n">
        <f aca="false">IFERROR(IF(OR(NOT(ISNUMBER('Price History'!V25)),NOT(ISNUMBER('Price History'!V24)),'Price History'!V24=0),"",'Price History'!V25/'Price History'!V24-1),"")</f>
        <v>0.00770421704511959</v>
      </c>
      <c r="W24" s="144" t="n">
        <f aca="false">IFERROR('Price History'!B3+(INDEX('Price History'!B:B,MATCH(9.99E+307,'Returns (Calc)'!$A:$A)+1)-'Price History'!B3)*(ROW()-3)/(MATCH(9.99E+307,'Returns (Calc)'!$A:$A)-3),"")</f>
        <v>490.186202531646</v>
      </c>
      <c r="X24" s="144" t="n">
        <f aca="false">IFERROR('Price History'!C3+(INDEX('Price History'!C:C,MATCH(9.99E+307,'Returns (Calc)'!$A:$A)+1)-'Price History'!C3)*(ROW()-3)/(MATCH(9.99E+307,'Returns (Calc)'!$A:$A)-3),"")</f>
        <v>67.6013291139241</v>
      </c>
      <c r="Y24" s="144" t="n">
        <f aca="false">IFERROR('Price History'!D3+(INDEX('Price History'!D:D,MATCH(9.99E+307,'Returns (Calc)'!$A:$A)+1)-'Price History'!D3)*(ROW()-3)/(MATCH(9.99E+307,'Returns (Calc)'!$A:$A)-3),"")</f>
        <v>752.841012658228</v>
      </c>
      <c r="Z24" s="144" t="n">
        <f aca="false">IFERROR('Price History'!E3+(INDEX('Price History'!E:E,MATCH(9.99E+307,'Returns (Calc)'!$A:$A)+1)-'Price History'!E3)*(ROW()-3)/(MATCH(9.99E+307,'Returns (Calc)'!$A:$A)-3),"")</f>
        <v>118.303417721519</v>
      </c>
      <c r="AA24" s="144" t="n">
        <f aca="false">IFERROR('Price History'!F3+(INDEX('Price History'!F:F,MATCH(9.99E+307,'Returns (Calc)'!$A:$A)+1)-'Price History'!F3)*(ROW()-3)/(MATCH(9.99E+307,'Returns (Calc)'!$A:$A)-3),"")</f>
        <v>71.7541772151899</v>
      </c>
      <c r="AB24" s="144" t="n">
        <f aca="false">IFERROR('Price History'!G3+(INDEX('Price History'!G:G,MATCH(9.99E+307,'Returns (Calc)'!$A:$A)+1)-'Price History'!G3)*(ROW()-3)/(MATCH(9.99E+307,'Returns (Calc)'!$A:$A)-3),"")</f>
        <v>65.953417721519</v>
      </c>
      <c r="AC24" s="144" t="n">
        <f aca="false">IFERROR('Price History'!H3+(INDEX('Price History'!H:H,MATCH(9.99E+307,'Returns (Calc)'!$A:$A)+1)-'Price History'!H3)*(ROW()-3)/(MATCH(9.99E+307,'Returns (Calc)'!$A:$A)-3),"")</f>
        <v>202.789620253165</v>
      </c>
      <c r="AD24" s="144" t="n">
        <f aca="false">IFERROR('Price History'!I3+(INDEX('Price History'!I:I,MATCH(9.99E+307,'Returns (Calc)'!$A:$A)+1)-'Price History'!I3)*(ROW()-3)/(MATCH(9.99E+307,'Returns (Calc)'!$A:$A)-3),"")</f>
        <v>69.0470886075949</v>
      </c>
      <c r="AE24" s="144" t="n">
        <f aca="false">IFERROR('Price History'!J3+(INDEX('Price History'!J:J,MATCH(9.99E+307,'Returns (Calc)'!$A:$A)+1)-'Price History'!J3)*(ROW()-3)/(MATCH(9.99E+307,'Returns (Calc)'!$A:$A)-3),"")</f>
        <v>114.108797468354</v>
      </c>
      <c r="AF24" s="144" t="n">
        <f aca="false">IFERROR('Price History'!K3+(INDEX('Price History'!K:K,MATCH(9.99E+307,'Returns (Calc)'!$A:$A)+1)-'Price History'!K3)*(ROW()-3)/(MATCH(9.99E+307,'Returns (Calc)'!$A:$A)-3),"")</f>
        <v>38.3794936708861</v>
      </c>
      <c r="AG24" s="144" t="n">
        <f aca="false">IFERROR('Price History'!L3+(INDEX('Price History'!L:L,MATCH(9.99E+307,'Returns (Calc)'!$A:$A)+1)-'Price History'!L3)*(ROW()-3)/(MATCH(9.99E+307,'Returns (Calc)'!$A:$A)-3),"")</f>
        <v>137.190696202532</v>
      </c>
      <c r="AH24" s="144" t="n">
        <f aca="false">IFERROR('Price History'!M3+(INDEX('Price History'!M:M,MATCH(9.99E+307,'Returns (Calc)'!$A:$A)+1)-'Price History'!M3)*(ROW()-3)/(MATCH(9.99E+307,'Returns (Calc)'!$A:$A)-3),"")</f>
        <v>66.4843037974684</v>
      </c>
      <c r="AI24" s="144" t="n">
        <f aca="false">IFERROR('Price History'!N3+(INDEX('Price History'!N:N,MATCH(9.99E+307,'Returns (Calc)'!$A:$A)+1)-'Price History'!N3)*(ROW()-3)/(MATCH(9.99E+307,'Returns (Calc)'!$A:$A)-3),"")</f>
        <v>369.611582278481</v>
      </c>
      <c r="AJ24" s="144" t="n">
        <f aca="false">IFERROR('Price History'!O3+(INDEX('Price History'!O:O,MATCH(9.99E+307,'Returns (Calc)'!$A:$A)+1)-'Price History'!O3)*(ROW()-3)/(MATCH(9.99E+307,'Returns (Calc)'!$A:$A)-3),"")</f>
        <v>81.2537974683544</v>
      </c>
      <c r="AK24" s="144" t="n">
        <f aca="false">IFERROR('Price History'!Q3+(INDEX('Price History'!Q:Q,MATCH(9.99E+307,'Returns (Calc)'!$A:$A)+1)-'Price History'!Q3)*(ROW()-3)/(MATCH(9.99E+307,'Returns (Calc)'!$A:$A)-3),"")</f>
        <v>9.22670886075949</v>
      </c>
      <c r="AL24" s="144" t="n">
        <f aca="false">IFERROR('Price History'!R3+(INDEX('Price History'!R:R,MATCH(9.99E+307,'Returns (Calc)'!$A:$A)+1)-'Price History'!R3)*(ROW()-3)/(MATCH(9.99E+307,'Returns (Calc)'!$A:$A)-3),"")</f>
        <v>38.0101265822785</v>
      </c>
      <c r="AM24" s="144" t="n">
        <f aca="false">IFERROR('Price History'!S3+(INDEX('Price History'!S:S,MATCH(9.99E+307,'Returns (Calc)'!$A:$A)+1)-'Price History'!S3)*(ROW()-3)/(MATCH(9.99E+307,'Returns (Calc)'!$A:$A)-3),"")</f>
        <v>70.3363291139241</v>
      </c>
      <c r="AN24" s="144" t="n">
        <f aca="false">IFERROR('Price History'!T3+(INDEX('Price History'!T:T,MATCH(9.99E+307,'Returns (Calc)'!$A:$A)+1)-'Price History'!T3)*(ROW()-3)/(MATCH(9.99E+307,'Returns (Calc)'!$A:$A)-3),"")</f>
        <v>28.7727848101266</v>
      </c>
      <c r="AO24" s="145" t="n">
        <f aca="false">IFERROR('Price History'!V3+(INDEX('Price History'!V:V,MATCH(9.99E+307,'Returns (Calc)'!$A:$A)+1)-'Price History'!V3)*(ROW()-3)/(MATCH(9.99E+307,'Returns (Calc)'!$A:$A)-3),"")</f>
        <v>252.247911392405</v>
      </c>
      <c r="AP24" s="143" t="n">
        <f aca="false">IFERROR(IF(OR(NOT(ISNUMBER('Price History'!W25)),NOT(ISNUMBER('Price History'!W24)),'Price History'!W24=0),"",'Price History'!W25/'Price History'!W24-1),"")</f>
        <v>0.00932800304587866</v>
      </c>
      <c r="AQ24" s="143" t="str">
        <f aca="false">IFERROR(IF(OR(NOT(ISNUMBER('Price History'!X25)),NOT(ISNUMBER('Price History'!X24)),'Price History'!X24=0),"",'Price History'!X25/'Price History'!X24-1),"")</f>
        <v/>
      </c>
      <c r="AR24" s="143" t="n">
        <f aca="false">IFERROR(IF(OR(NOT(ISNUMBER('Price History'!Y25)),NOT(ISNUMBER('Price History'!Y24)),'Price History'!Y24=0),"",'Price History'!Y25/'Price History'!Y24-1),"")</f>
        <v>0.0013186813186814</v>
      </c>
      <c r="AS24" s="143" t="n">
        <f aca="false">IFERROR(IF(OR(NOT(ISNUMBER('Price History'!Z25)),NOT(ISNUMBER('Price History'!Z24)),'Price History'!Z24=0),"",'Price History'!Z25/'Price History'!Z24-1),"")</f>
        <v>0.0708611085745594</v>
      </c>
      <c r="AT24" s="143" t="n">
        <f aca="false">IFERROR(IF(OR(NOT(ISNUMBER('Price History'!AA25)),NOT(ISNUMBER('Price History'!AA24)),'Price History'!AA24=0),"",'Price History'!AA25/'Price History'!AA24-1),"")</f>
        <v>0.0404418314626758</v>
      </c>
    </row>
    <row r="25" customFormat="false" ht="15" hidden="false" customHeight="true" outlineLevel="0" collapsed="false">
      <c r="A25" s="141" t="n">
        <f aca="false">IF('Price History'!A26="","",'Price History'!A26)</f>
        <v>45345</v>
      </c>
      <c r="B25" s="142" t="n">
        <f aca="false">IFERROR(IF(OR(NOT(ISNUMBER('Price History'!B26)),NOT(ISNUMBER('Price History'!B25)),'Price History'!B25=0),"",'Price History'!B26/'Price History'!B25-1),"")</f>
        <v>0.0124025902754914</v>
      </c>
      <c r="C25" s="142" t="n">
        <f aca="false">IFERROR(IF(OR(NOT(ISNUMBER('Price History'!C26)),NOT(ISNUMBER('Price History'!C25)),'Price History'!C25=0),"",'Price History'!C26/'Price History'!C25-1),"")</f>
        <v>0.0226161369193154</v>
      </c>
      <c r="D25" s="142" t="n">
        <f aca="false">IFERROR(IF(OR(NOT(ISNUMBER('Price History'!D26)),NOT(ISNUMBER('Price History'!D25)),'Price History'!D25=0),"",'Price History'!D26/'Price History'!D25-1),"")</f>
        <v>0.00463710785121707</v>
      </c>
      <c r="E25" s="142" t="n">
        <f aca="false">IFERROR(IF(OR(NOT(ISNUMBER('Price History'!E26)),NOT(ISNUMBER('Price History'!E25)),'Price History'!E25=0),"",'Price History'!E26/'Price History'!E25-1),"")</f>
        <v>0.0408685601056802</v>
      </c>
      <c r="F25" s="142" t="n">
        <f aca="false">IFERROR(IF(OR(NOT(ISNUMBER('Price History'!F26)),NOT(ISNUMBER('Price History'!F25)),'Price History'!F25=0),"",'Price History'!F26/'Price History'!F25-1),"")</f>
        <v>-0.0539424128295468</v>
      </c>
      <c r="G25" s="142" t="n">
        <f aca="false">IFERROR(IF(OR(NOT(ISNUMBER('Price History'!G26)),NOT(ISNUMBER('Price History'!G25)),'Price History'!G25=0),"",'Price History'!G26/'Price History'!G25-1),"")</f>
        <v>0.0112480739599381</v>
      </c>
      <c r="H25" s="142" t="n">
        <f aca="false">IFERROR(IF(OR(NOT(ISNUMBER('Price History'!H26)),NOT(ISNUMBER('Price History'!H25)),'Price History'!H25=0),"",'Price History'!H26/'Price History'!H25-1),"")</f>
        <v>0.0817905148364191</v>
      </c>
      <c r="I25" s="142" t="n">
        <f aca="false">IFERROR(IF(OR(NOT(ISNUMBER('Price History'!I26)),NOT(ISNUMBER('Price History'!I25)),'Price History'!I25=0),"",'Price History'!I26/'Price History'!I25-1),"")</f>
        <v>0.0854972375690608</v>
      </c>
      <c r="J25" s="142" t="n">
        <f aca="false">IFERROR(IF(OR(NOT(ISNUMBER('Price History'!J26)),NOT(ISNUMBER('Price History'!J25)),'Price History'!J25=0),"",'Price History'!J26/'Price History'!J25-1),"")</f>
        <v>-0.00131276665572688</v>
      </c>
      <c r="K25" s="142" t="n">
        <f aca="false">IFERROR(IF(OR(NOT(ISNUMBER('Price History'!K26)),NOT(ISNUMBER('Price History'!K25)),'Price History'!K25=0),"",'Price History'!K26/'Price History'!K25-1),"")</f>
        <v>-0.0601472995090018</v>
      </c>
      <c r="L25" s="142" t="n">
        <f aca="false">IFERROR(IF(OR(NOT(ISNUMBER('Price History'!L26)),NOT(ISNUMBER('Price History'!L25)),'Price History'!L25=0),"",'Price History'!L26/'Price History'!L25-1),"")</f>
        <v>0.0224039247751431</v>
      </c>
      <c r="M25" s="142" t="n">
        <f aca="false">IFERROR(IF(OR(NOT(ISNUMBER('Price History'!M26)),NOT(ISNUMBER('Price History'!M25)),'Price History'!M25=0),"",'Price History'!M26/'Price History'!M25-1),"")</f>
        <v>-0.00430210325047797</v>
      </c>
      <c r="N25" s="142" t="n">
        <f aca="false">IFERROR(IF(OR(NOT(ISNUMBER('Price History'!N26)),NOT(ISNUMBER('Price History'!N25)),'Price History'!N25=0),"",'Price History'!N26/'Price History'!N25-1),"")</f>
        <v>0.0187351965892941</v>
      </c>
      <c r="O25" s="142" t="n">
        <f aca="false">IFERROR(IF(OR(NOT(ISNUMBER('Price History'!O26)),NOT(ISNUMBER('Price History'!O25)),'Price History'!O25=0),"",'Price History'!O26/'Price History'!O25-1),"")</f>
        <v>-0.00330110822919105</v>
      </c>
      <c r="P25" s="142" t="n">
        <f aca="false">IFERROR(IF(OR(NOT(ISNUMBER('Price History'!P26)),NOT(ISNUMBER('Price History'!P25)),'Price History'!P25=0),"",'Price History'!P26/'Price History'!P25-1),"")</f>
        <v>0.0084057694144617</v>
      </c>
      <c r="Q25" s="142" t="n">
        <f aca="false">IFERROR(IF(OR(NOT(ISNUMBER('Price History'!Q26)),NOT(ISNUMBER('Price History'!Q25)),'Price History'!Q25=0),"",'Price History'!Q26/'Price History'!Q25-1),"")</f>
        <v>0.00765068109721967</v>
      </c>
      <c r="R25" s="142" t="n">
        <f aca="false">IFERROR(IF(OR(NOT(ISNUMBER('Price History'!R26)),NOT(ISNUMBER('Price History'!R25)),'Price History'!R25=0),"",'Price History'!R26/'Price History'!R25-1),"")</f>
        <v>0.0125673249551166</v>
      </c>
      <c r="S25" s="142" t="n">
        <f aca="false">IFERROR(IF(OR(NOT(ISNUMBER('Price History'!S26)),NOT(ISNUMBER('Price History'!S25)),'Price History'!S25=0),"",'Price History'!S26/'Price History'!S25-1),"")</f>
        <v>0.022325074870678</v>
      </c>
      <c r="T25" s="142" t="n">
        <f aca="false">IFERROR(IF(OR(NOT(ISNUMBER('Price History'!T26)),NOT(ISNUMBER('Price History'!T25)),'Price History'!T25=0),"",'Price History'!T26/'Price History'!T25-1),"")</f>
        <v>0.0218794835007174</v>
      </c>
      <c r="U25" s="142" t="n">
        <f aca="false">IFERROR(IF(OR(NOT(ISNUMBER('Price History'!U26)),NOT(ISNUMBER('Price History'!U25)),'Price History'!U25=0),"",'Price History'!U26/'Price History'!U25-1),"")</f>
        <v>0.0116179001721173</v>
      </c>
      <c r="V25" s="143" t="n">
        <f aca="false">IFERROR(IF(OR(NOT(ISNUMBER('Price History'!V26)),NOT(ISNUMBER('Price History'!V25)),'Price History'!V25=0),"",'Price History'!V26/'Price History'!V25-1),"")</f>
        <v>0.0180707466071623</v>
      </c>
      <c r="W25" s="144" t="n">
        <f aca="false">IFERROR('Price History'!B3+(INDEX('Price History'!B:B,MATCH(9.99E+307,'Returns (Calc)'!$A:$A)+1)-'Price History'!B3)*(ROW()-3)/(MATCH(9.99E+307,'Returns (Calc)'!$A:$A)-3),"")</f>
        <v>488.343164556962</v>
      </c>
      <c r="X25" s="144" t="n">
        <f aca="false">IFERROR('Price History'!C3+(INDEX('Price History'!C:C,MATCH(9.99E+307,'Returns (Calc)'!$A:$A)+1)-'Price History'!C3)*(ROW()-3)/(MATCH(9.99E+307,'Returns (Calc)'!$A:$A)-3),"")</f>
        <v>68.6213924050633</v>
      </c>
      <c r="Y25" s="144" t="n">
        <f aca="false">IFERROR('Price History'!D3+(INDEX('Price History'!D:D,MATCH(9.99E+307,'Returns (Calc)'!$A:$A)+1)-'Price History'!D3)*(ROW()-3)/(MATCH(9.99E+307,'Returns (Calc)'!$A:$A)-3),"")</f>
        <v>760.97582278481</v>
      </c>
      <c r="Z25" s="144" t="n">
        <f aca="false">IFERROR('Price History'!E3+(INDEX('Price History'!E:E,MATCH(9.99E+307,'Returns (Calc)'!$A:$A)+1)-'Price History'!E3)*(ROW()-3)/(MATCH(9.99E+307,'Returns (Calc)'!$A:$A)-3),"")</f>
        <v>120.032151898734</v>
      </c>
      <c r="AA25" s="144" t="n">
        <f aca="false">IFERROR('Price History'!F3+(INDEX('Price History'!F:F,MATCH(9.99E+307,'Returns (Calc)'!$A:$A)+1)-'Price History'!F3)*(ROW()-3)/(MATCH(9.99E+307,'Returns (Calc)'!$A:$A)-3),"")</f>
        <v>73.2015189873418</v>
      </c>
      <c r="AB25" s="144" t="n">
        <f aca="false">IFERROR('Price History'!G3+(INDEX('Price History'!G:G,MATCH(9.99E+307,'Returns (Calc)'!$A:$A)+1)-'Price History'!G3)*(ROW()-3)/(MATCH(9.99E+307,'Returns (Calc)'!$A:$A)-3),"")</f>
        <v>66.9821518987342</v>
      </c>
      <c r="AC25" s="144" t="n">
        <f aca="false">IFERROR('Price History'!H3+(INDEX('Price History'!H:H,MATCH(9.99E+307,'Returns (Calc)'!$A:$A)+1)-'Price History'!H3)*(ROW()-3)/(MATCH(9.99E+307,'Returns (Calc)'!$A:$A)-3),"")</f>
        <v>209.155316455696</v>
      </c>
      <c r="AD25" s="144" t="n">
        <f aca="false">IFERROR('Price History'!I3+(INDEX('Price History'!I:I,MATCH(9.99E+307,'Returns (Calc)'!$A:$A)+1)-'Price History'!I3)*(ROW()-3)/(MATCH(9.99E+307,'Returns (Calc)'!$A:$A)-3),"")</f>
        <v>70.2507594936709</v>
      </c>
      <c r="AE25" s="144" t="n">
        <f aca="false">IFERROR('Price History'!J3+(INDEX('Price History'!J:J,MATCH(9.99E+307,'Returns (Calc)'!$A:$A)+1)-'Price History'!J3)*(ROW()-3)/(MATCH(9.99E+307,'Returns (Calc)'!$A:$A)-3),"")</f>
        <v>114.216835443038</v>
      </c>
      <c r="AF25" s="144" t="n">
        <f aca="false">IFERROR('Price History'!K3+(INDEX('Price History'!K:K,MATCH(9.99E+307,'Returns (Calc)'!$A:$A)+1)-'Price History'!K3)*(ROW()-3)/(MATCH(9.99E+307,'Returns (Calc)'!$A:$A)-3),"")</f>
        <v>39.4770886075949</v>
      </c>
      <c r="AG25" s="144" t="n">
        <f aca="false">IFERROR('Price History'!L3+(INDEX('Price History'!L:L,MATCH(9.99E+307,'Returns (Calc)'!$A:$A)+1)-'Price History'!L3)*(ROW()-3)/(MATCH(9.99E+307,'Returns (Calc)'!$A:$A)-3),"")</f>
        <v>139.640253164557</v>
      </c>
      <c r="AH25" s="144" t="n">
        <f aca="false">IFERROR('Price History'!M3+(INDEX('Price History'!M:M,MATCH(9.99E+307,'Returns (Calc)'!$A:$A)+1)-'Price History'!M3)*(ROW()-3)/(MATCH(9.99E+307,'Returns (Calc)'!$A:$A)-3),"")</f>
        <v>67.839746835443</v>
      </c>
      <c r="AI25" s="144" t="n">
        <f aca="false">IFERROR('Price History'!N3+(INDEX('Price History'!N:N,MATCH(9.99E+307,'Returns (Calc)'!$A:$A)+1)-'Price History'!N3)*(ROW()-3)/(MATCH(9.99E+307,'Returns (Calc)'!$A:$A)-3),"")</f>
        <v>370.597848101266</v>
      </c>
      <c r="AJ25" s="144" t="n">
        <f aca="false">IFERROR('Price History'!O3+(INDEX('Price History'!O:O,MATCH(9.99E+307,'Returns (Calc)'!$A:$A)+1)-'Price History'!O3)*(ROW()-3)/(MATCH(9.99E+307,'Returns (Calc)'!$A:$A)-3),"")</f>
        <v>81.536835443038</v>
      </c>
      <c r="AK25" s="144" t="n">
        <f aca="false">IFERROR('Price History'!Q3+(INDEX('Price History'!Q:Q,MATCH(9.99E+307,'Returns (Calc)'!$A:$A)+1)-'Price History'!Q3)*(ROW()-3)/(MATCH(9.99E+307,'Returns (Calc)'!$A:$A)-3),"")</f>
        <v>9.66607594936709</v>
      </c>
      <c r="AL25" s="144" t="n">
        <f aca="false">IFERROR('Price History'!R3+(INDEX('Price History'!R:R,MATCH(9.99E+307,'Returns (Calc)'!$A:$A)+1)-'Price History'!R3)*(ROW()-3)/(MATCH(9.99E+307,'Returns (Calc)'!$A:$A)-3),"")</f>
        <v>38.1782278481013</v>
      </c>
      <c r="AM25" s="144" t="n">
        <f aca="false">IFERROR('Price History'!S3+(INDEX('Price History'!S:S,MATCH(9.99E+307,'Returns (Calc)'!$A:$A)+1)-'Price History'!S3)*(ROW()-3)/(MATCH(9.99E+307,'Returns (Calc)'!$A:$A)-3),"")</f>
        <v>70.9413924050633</v>
      </c>
      <c r="AN25" s="144" t="n">
        <f aca="false">IFERROR('Price History'!T3+(INDEX('Price History'!T:T,MATCH(9.99E+307,'Returns (Calc)'!$A:$A)+1)-'Price History'!T3)*(ROW()-3)/(MATCH(9.99E+307,'Returns (Calc)'!$A:$A)-3),"")</f>
        <v>28.9410126582278</v>
      </c>
      <c r="AO25" s="145" t="n">
        <f aca="false">IFERROR('Price History'!V3+(INDEX('Price History'!V:V,MATCH(9.99E+307,'Returns (Calc)'!$A:$A)+1)-'Price History'!V3)*(ROW()-3)/(MATCH(9.99E+307,'Returns (Calc)'!$A:$A)-3),"")</f>
        <v>253.039240506329</v>
      </c>
      <c r="AP25" s="143" t="n">
        <f aca="false">IFERROR(IF(OR(NOT(ISNUMBER('Price History'!W26)),NOT(ISNUMBER('Price History'!W25)),'Price History'!W25=0),"",'Price History'!W26/'Price History'!W25-1),"")</f>
        <v>0.0142399094681251</v>
      </c>
      <c r="AQ25" s="143" t="str">
        <f aca="false">IFERROR(IF(OR(NOT(ISNUMBER('Price History'!X26)),NOT(ISNUMBER('Price History'!X25)),'Price History'!X25=0),"",'Price History'!X26/'Price History'!X25-1),"")</f>
        <v/>
      </c>
      <c r="AR25" s="143" t="n">
        <f aca="false">IFERROR(IF(OR(NOT(ISNUMBER('Price History'!Y26)),NOT(ISNUMBER('Price History'!Y25)),'Price History'!Y25=0),"",'Price History'!Y26/'Price History'!Y25-1),"")</f>
        <v>0.0116330114135206</v>
      </c>
      <c r="AS25" s="143" t="n">
        <f aca="false">IFERROR(IF(OR(NOT(ISNUMBER('Price History'!Z26)),NOT(ISNUMBER('Price History'!Z25)),'Price History'!Z25=0),"",'Price History'!Z26/'Price History'!Z25-1),"")</f>
        <v>0.027969642704869</v>
      </c>
      <c r="AT25" s="143" t="n">
        <f aca="false">IFERROR(IF(OR(NOT(ISNUMBER('Price History'!AA26)),NOT(ISNUMBER('Price History'!AA25)),'Price History'!AA25=0),"",'Price History'!AA26/'Price History'!AA25-1),"")</f>
        <v>-0.00068493150684934</v>
      </c>
    </row>
    <row r="26" customFormat="false" ht="15" hidden="false" customHeight="true" outlineLevel="0" collapsed="false">
      <c r="A26" s="141" t="n">
        <f aca="false">IF('Price History'!A27="","",'Price History'!A27)</f>
        <v>45352</v>
      </c>
      <c r="B26" s="142" t="n">
        <f aca="false">IFERROR(IF(OR(NOT(ISNUMBER('Price History'!B27)),NOT(ISNUMBER('Price History'!B26)),'Price History'!B26=0),"",'Price History'!B27/'Price History'!B26-1),"")</f>
        <v>0.0316023417172591</v>
      </c>
      <c r="C26" s="142" t="n">
        <f aca="false">IFERROR(IF(OR(NOT(ISNUMBER('Price History'!C27)),NOT(ISNUMBER('Price History'!C26)),'Price History'!C26=0),"",'Price History'!C27/'Price History'!C26-1),"")</f>
        <v>0.0748655110579797</v>
      </c>
      <c r="D26" s="142" t="n">
        <f aca="false">IFERROR(IF(OR(NOT(ISNUMBER('Price History'!D27)),NOT(ISNUMBER('Price History'!D26)),'Price History'!D26=0),"",'Price History'!D27/'Price History'!D26-1),"")</f>
        <v>0.0618088748400363</v>
      </c>
      <c r="E26" s="142" t="n">
        <f aca="false">IFERROR(IF(OR(NOT(ISNUMBER('Price History'!E27)),NOT(ISNUMBER('Price History'!E26)),'Price History'!E26=0),"",'Price History'!E27/'Price History'!E26-1),"")</f>
        <v>0.0793210121361148</v>
      </c>
      <c r="F26" s="142" t="n">
        <f aca="false">IFERROR(IF(OR(NOT(ISNUMBER('Price History'!F27)),NOT(ISNUMBER('Price History'!F26)),'Price History'!F26=0),"",'Price History'!F27/'Price History'!F26-1),"")</f>
        <v>0.010016694490818</v>
      </c>
      <c r="G26" s="142" t="n">
        <f aca="false">IFERROR(IF(OR(NOT(ISNUMBER('Price History'!G27)),NOT(ISNUMBER('Price History'!G26)),'Price History'!G26=0),"",'Price History'!G27/'Price History'!G26-1),"")</f>
        <v>0.0729849154350146</v>
      </c>
      <c r="H26" s="142" t="n">
        <f aca="false">IFERROR(IF(OR(NOT(ISNUMBER('Price History'!H27)),NOT(ISNUMBER('Price History'!H26)),'Price History'!H26=0),"",'Price History'!H27/'Price History'!H26-1),"")</f>
        <v>0.106318133864729</v>
      </c>
      <c r="I26" s="142" t="n">
        <f aca="false">IFERROR(IF(OR(NOT(ISNUMBER('Price History'!I27)),NOT(ISNUMBER('Price History'!I26)),'Price History'!I26=0),"",'Price History'!I27/'Price History'!I26-1),"")</f>
        <v>0.0438987148492176</v>
      </c>
      <c r="J26" s="142" t="n">
        <f aca="false">IFERROR(IF(OR(NOT(ISNUMBER('Price History'!J27)),NOT(ISNUMBER('Price History'!J26)),'Price History'!J26=0),"",'Price History'!J27/'Price History'!J26-1),"")</f>
        <v>0.0104337824515282</v>
      </c>
      <c r="K26" s="142" t="n">
        <f aca="false">IFERROR(IF(OR(NOT(ISNUMBER('Price History'!K27)),NOT(ISNUMBER('Price History'!K26)),'Price History'!K26=0),"",'Price History'!K27/'Price History'!K26-1),"")</f>
        <v>0.0853286895951242</v>
      </c>
      <c r="L26" s="142" t="n">
        <f aca="false">IFERROR(IF(OR(NOT(ISNUMBER('Price History'!L27)),NOT(ISNUMBER('Price History'!L26)),'Price History'!L26=0),"",'Price History'!L27/'Price History'!L26-1),"")</f>
        <v>0.0337492002559179</v>
      </c>
      <c r="M26" s="142" t="n">
        <f aca="false">IFERROR(IF(OR(NOT(ISNUMBER('Price History'!M27)),NOT(ISNUMBER('Price History'!M26)),'Price History'!M26=0),"",'Price History'!M27/'Price History'!M26-1),"")</f>
        <v>0.125620099215874</v>
      </c>
      <c r="N26" s="142" t="n">
        <f aca="false">IFERROR(IF(OR(NOT(ISNUMBER('Price History'!N27)),NOT(ISNUMBER('Price History'!N26)),'Price History'!N26=0),"",'Price History'!N27/'Price History'!N26-1),"")</f>
        <v>0.00616121457301611</v>
      </c>
      <c r="O26" s="142" t="n">
        <f aca="false">IFERROR(IF(OR(NOT(ISNUMBER('Price History'!O27)),NOT(ISNUMBER('Price History'!O26)),'Price History'!O26=0),"",'Price History'!O27/'Price History'!O26-1),"")</f>
        <v>0.0157321977762006</v>
      </c>
      <c r="P26" s="142" t="n">
        <f aca="false">IFERROR(IF(OR(NOT(ISNUMBER('Price History'!P27)),NOT(ISNUMBER('Price History'!P26)),'Price History'!P26=0),"",'Price History'!P27/'Price History'!P26-1),"")</f>
        <v>0.000189447759780359</v>
      </c>
      <c r="Q26" s="142" t="n">
        <f aca="false">IFERROR(IF(OR(NOT(ISNUMBER('Price History'!Q27)),NOT(ISNUMBER('Price History'!Q26)),'Price History'!Q26=0),"",'Price History'!Q27/'Price History'!Q26-1),"")</f>
        <v>0.00629629629629647</v>
      </c>
      <c r="R26" s="142" t="n">
        <f aca="false">IFERROR(IF(OR(NOT(ISNUMBER('Price History'!R27)),NOT(ISNUMBER('Price History'!R26)),'Price History'!R26=0),"",'Price History'!R27/'Price History'!R26-1),"")</f>
        <v>0.0126646403242148</v>
      </c>
      <c r="S26" s="142" t="n">
        <f aca="false">IFERROR(IF(OR(NOT(ISNUMBER('Price History'!S27)),NOT(ISNUMBER('Price History'!S26)),'Price History'!S26=0),"",'Price History'!S27/'Price History'!S26-1),"")</f>
        <v>0.0280958721704394</v>
      </c>
      <c r="T26" s="142" t="n">
        <f aca="false">IFERROR(IF(OR(NOT(ISNUMBER('Price History'!T27)),NOT(ISNUMBER('Price History'!T26)),'Price History'!T26=0),"",'Price History'!T27/'Price History'!T26-1),"")</f>
        <v>0.0217620217620218</v>
      </c>
      <c r="U26" s="142" t="n">
        <f aca="false">IFERROR(IF(OR(NOT(ISNUMBER('Price History'!U27)),NOT(ISNUMBER('Price History'!U26)),'Price History'!U26=0),"",'Price History'!U27/'Price History'!U26-1),"")</f>
        <v>0.00340280731603571</v>
      </c>
      <c r="V26" s="143" t="n">
        <f aca="false">IFERROR(IF(OR(NOT(ISNUMBER('Price History'!V27)),NOT(ISNUMBER('Price History'!V26)),'Price History'!V26=0),"",'Price History'!V27/'Price History'!V26-1),"")</f>
        <v>-0.00154503970392728</v>
      </c>
      <c r="W26" s="144" t="n">
        <f aca="false">IFERROR('Price History'!B3+(INDEX('Price History'!B:B,MATCH(9.99E+307,'Returns (Calc)'!$A:$A)+1)-'Price History'!B3)*(ROW()-3)/(MATCH(9.99E+307,'Returns (Calc)'!$A:$A)-3),"")</f>
        <v>486.500126582279</v>
      </c>
      <c r="X26" s="144" t="n">
        <f aca="false">IFERROR('Price History'!C3+(INDEX('Price History'!C:C,MATCH(9.99E+307,'Returns (Calc)'!$A:$A)+1)-'Price History'!C3)*(ROW()-3)/(MATCH(9.99E+307,'Returns (Calc)'!$A:$A)-3),"")</f>
        <v>69.6414556962025</v>
      </c>
      <c r="Y26" s="144" t="n">
        <f aca="false">IFERROR('Price History'!D3+(INDEX('Price History'!D:D,MATCH(9.99E+307,'Returns (Calc)'!$A:$A)+1)-'Price History'!D3)*(ROW()-3)/(MATCH(9.99E+307,'Returns (Calc)'!$A:$A)-3),"")</f>
        <v>769.110632911392</v>
      </c>
      <c r="Z26" s="144" t="n">
        <f aca="false">IFERROR('Price History'!E3+(INDEX('Price History'!E:E,MATCH(9.99E+307,'Returns (Calc)'!$A:$A)+1)-'Price History'!E3)*(ROW()-3)/(MATCH(9.99E+307,'Returns (Calc)'!$A:$A)-3),"")</f>
        <v>121.760886075949</v>
      </c>
      <c r="AA26" s="144" t="n">
        <f aca="false">IFERROR('Price History'!F3+(INDEX('Price History'!F:F,MATCH(9.99E+307,'Returns (Calc)'!$A:$A)+1)-'Price History'!F3)*(ROW()-3)/(MATCH(9.99E+307,'Returns (Calc)'!$A:$A)-3),"")</f>
        <v>74.6488607594937</v>
      </c>
      <c r="AB26" s="144" t="n">
        <f aca="false">IFERROR('Price History'!G3+(INDEX('Price History'!G:G,MATCH(9.99E+307,'Returns (Calc)'!$A:$A)+1)-'Price History'!G3)*(ROW()-3)/(MATCH(9.99E+307,'Returns (Calc)'!$A:$A)-3),"")</f>
        <v>68.0108860759494</v>
      </c>
      <c r="AC26" s="144" t="n">
        <f aca="false">IFERROR('Price History'!H3+(INDEX('Price History'!H:H,MATCH(9.99E+307,'Returns (Calc)'!$A:$A)+1)-'Price History'!H3)*(ROW()-3)/(MATCH(9.99E+307,'Returns (Calc)'!$A:$A)-3),"")</f>
        <v>215.521012658228</v>
      </c>
      <c r="AD26" s="144" t="n">
        <f aca="false">IFERROR('Price History'!I3+(INDEX('Price History'!I:I,MATCH(9.99E+307,'Returns (Calc)'!$A:$A)+1)-'Price History'!I3)*(ROW()-3)/(MATCH(9.99E+307,'Returns (Calc)'!$A:$A)-3),"")</f>
        <v>71.4544303797468</v>
      </c>
      <c r="AE26" s="144" t="n">
        <f aca="false">IFERROR('Price History'!J3+(INDEX('Price History'!J:J,MATCH(9.99E+307,'Returns (Calc)'!$A:$A)+1)-'Price History'!J3)*(ROW()-3)/(MATCH(9.99E+307,'Returns (Calc)'!$A:$A)-3),"")</f>
        <v>114.324873417722</v>
      </c>
      <c r="AF26" s="144" t="n">
        <f aca="false">IFERROR('Price History'!K3+(INDEX('Price History'!K:K,MATCH(9.99E+307,'Returns (Calc)'!$A:$A)+1)-'Price History'!K3)*(ROW()-3)/(MATCH(9.99E+307,'Returns (Calc)'!$A:$A)-3),"")</f>
        <v>40.5746835443038</v>
      </c>
      <c r="AG26" s="144" t="n">
        <f aca="false">IFERROR('Price History'!L3+(INDEX('Price History'!L:L,MATCH(9.99E+307,'Returns (Calc)'!$A:$A)+1)-'Price History'!L3)*(ROW()-3)/(MATCH(9.99E+307,'Returns (Calc)'!$A:$A)-3),"")</f>
        <v>142.089810126582</v>
      </c>
      <c r="AH26" s="144" t="n">
        <f aca="false">IFERROR('Price History'!M3+(INDEX('Price History'!M:M,MATCH(9.99E+307,'Returns (Calc)'!$A:$A)+1)-'Price History'!M3)*(ROW()-3)/(MATCH(9.99E+307,'Returns (Calc)'!$A:$A)-3),"")</f>
        <v>69.1951898734177</v>
      </c>
      <c r="AI26" s="144" t="n">
        <f aca="false">IFERROR('Price History'!N3+(INDEX('Price History'!N:N,MATCH(9.99E+307,'Returns (Calc)'!$A:$A)+1)-'Price History'!N3)*(ROW()-3)/(MATCH(9.99E+307,'Returns (Calc)'!$A:$A)-3),"")</f>
        <v>371.584113924051</v>
      </c>
      <c r="AJ26" s="144" t="n">
        <f aca="false">IFERROR('Price History'!O3+(INDEX('Price History'!O:O,MATCH(9.99E+307,'Returns (Calc)'!$A:$A)+1)-'Price History'!O3)*(ROW()-3)/(MATCH(9.99E+307,'Returns (Calc)'!$A:$A)-3),"")</f>
        <v>81.8198734177215</v>
      </c>
      <c r="AK26" s="144" t="n">
        <f aca="false">IFERROR('Price History'!Q3+(INDEX('Price History'!Q:Q,MATCH(9.99E+307,'Returns (Calc)'!$A:$A)+1)-'Price History'!Q3)*(ROW()-3)/(MATCH(9.99E+307,'Returns (Calc)'!$A:$A)-3),"")</f>
        <v>10.1054430379747</v>
      </c>
      <c r="AL26" s="144" t="n">
        <f aca="false">IFERROR('Price History'!R3+(INDEX('Price History'!R:R,MATCH(9.99E+307,'Returns (Calc)'!$A:$A)+1)-'Price History'!R3)*(ROW()-3)/(MATCH(9.99E+307,'Returns (Calc)'!$A:$A)-3),"")</f>
        <v>38.3463291139241</v>
      </c>
      <c r="AM26" s="144" t="n">
        <f aca="false">IFERROR('Price History'!S3+(INDEX('Price History'!S:S,MATCH(9.99E+307,'Returns (Calc)'!$A:$A)+1)-'Price History'!S3)*(ROW()-3)/(MATCH(9.99E+307,'Returns (Calc)'!$A:$A)-3),"")</f>
        <v>71.5464556962025</v>
      </c>
      <c r="AN26" s="144" t="n">
        <f aca="false">IFERROR('Price History'!T3+(INDEX('Price History'!T:T,MATCH(9.99E+307,'Returns (Calc)'!$A:$A)+1)-'Price History'!T3)*(ROW()-3)/(MATCH(9.99E+307,'Returns (Calc)'!$A:$A)-3),"")</f>
        <v>29.1092405063291</v>
      </c>
      <c r="AO26" s="145" t="n">
        <f aca="false">IFERROR('Price History'!V3+(INDEX('Price History'!V:V,MATCH(9.99E+307,'Returns (Calc)'!$A:$A)+1)-'Price History'!V3)*(ROW()-3)/(MATCH(9.99E+307,'Returns (Calc)'!$A:$A)-3),"")</f>
        <v>253.830569620253</v>
      </c>
      <c r="AP26" s="143" t="n">
        <f aca="false">IFERROR(IF(OR(NOT(ISNUMBER('Price History'!W27)),NOT(ISNUMBER('Price History'!W26)),'Price History'!W26=0),"",'Price History'!W27/'Price History'!W26-1),"")</f>
        <v>0.00520688052068818</v>
      </c>
      <c r="AQ26" s="143" t="str">
        <f aca="false">IFERROR(IF(OR(NOT(ISNUMBER('Price History'!X27)),NOT(ISNUMBER('Price History'!X26)),'Price History'!X26=0),"",'Price History'!X27/'Price History'!X26-1),"")</f>
        <v/>
      </c>
      <c r="AR26" s="143" t="n">
        <f aca="false">IFERROR(IF(OR(NOT(ISNUMBER('Price History'!Y27)),NOT(ISNUMBER('Price History'!Y26)),'Price History'!Y26=0),"",'Price History'!Y27/'Price History'!Y26-1),"")</f>
        <v>0.00412236927750054</v>
      </c>
      <c r="AS26" s="143" t="n">
        <f aca="false">IFERROR(IF(OR(NOT(ISNUMBER('Price History'!Z27)),NOT(ISNUMBER('Price History'!Z26)),'Price History'!Z26=0),"",'Price History'!Z27/'Price History'!Z26-1),"")</f>
        <v>0.0347573620904189</v>
      </c>
      <c r="AT26" s="143" t="n">
        <f aca="false">IFERROR(IF(OR(NOT(ISNUMBER('Price History'!AA27)),NOT(ISNUMBER('Price History'!AA26)),'Price History'!AA26=0),"",'Price History'!AA27/'Price History'!AA26-1),"")</f>
        <v>0.0611720356408498</v>
      </c>
    </row>
    <row r="27" customFormat="false" ht="15" hidden="false" customHeight="true" outlineLevel="0" collapsed="false">
      <c r="A27" s="141" t="n">
        <f aca="false">IF('Price History'!A28="","",'Price History'!A28)</f>
        <v>45359</v>
      </c>
      <c r="B27" s="142" t="n">
        <f aca="false">IFERROR(IF(OR(NOT(ISNUMBER('Price History'!B28)),NOT(ISNUMBER('Price History'!B27)),'Price History'!B27=0),"",'Price History'!B28/'Price History'!B27-1),"")</f>
        <v>-0.0336994027288807</v>
      </c>
      <c r="C27" s="142" t="n">
        <f aca="false">IFERROR(IF(OR(NOT(ISNUMBER('Price History'!C28)),NOT(ISNUMBER('Price History'!C27)),'Price History'!C27=0),"",'Price History'!C28/'Price History'!C27-1),"")</f>
        <v>-0.0507437786737106</v>
      </c>
      <c r="D27" s="142" t="n">
        <f aca="false">IFERROR(IF(OR(NOT(ISNUMBER('Price History'!D28)),NOT(ISNUMBER('Price History'!D27)),'Price History'!D27=0),"",'Price History'!D28/'Price History'!D27-1),"")</f>
        <v>0.00343023136034937</v>
      </c>
      <c r="E27" s="142" t="n">
        <f aca="false">IFERROR(IF(OR(NOT(ISNUMBER('Price History'!E28)),NOT(ISNUMBER('Price History'!E27)),'Price History'!E27=0),"",'Price History'!E28/'Price History'!E27-1),"")</f>
        <v>-0.0646725949878739</v>
      </c>
      <c r="F27" s="142" t="n">
        <f aca="false">IFERROR(IF(OR(NOT(ISNUMBER('Price History'!F28)),NOT(ISNUMBER('Price History'!F27)),'Price History'!F27=0),"",'Price History'!F28/'Price History'!F27-1),"")</f>
        <v>0.0261919898283534</v>
      </c>
      <c r="G27" s="142" t="n">
        <f aca="false">IFERROR(IF(OR(NOT(ISNUMBER('Price History'!G28)),NOT(ISNUMBER('Price History'!G27)),'Price History'!G27=0),"",'Price History'!G28/'Price History'!G27-1),"")</f>
        <v>-0.0255609201931269</v>
      </c>
      <c r="H27" s="142" t="n">
        <f aca="false">IFERROR(IF(OR(NOT(ISNUMBER('Price History'!H28)),NOT(ISNUMBER('Price History'!H27)),'Price History'!H27=0),"",'Price History'!H28/'Price History'!H27-1),"")</f>
        <v>0.0259588895952532</v>
      </c>
      <c r="I27" s="142" t="n">
        <f aca="false">IFERROR(IF(OR(NOT(ISNUMBER('Price History'!I28)),NOT(ISNUMBER('Price History'!I27)),'Price History'!I27=0),"",'Price History'!I28/'Price History'!I27-1),"")</f>
        <v>0.0638712823013163</v>
      </c>
      <c r="J27" s="142" t="n">
        <f aca="false">IFERROR(IF(OR(NOT(ISNUMBER('Price History'!J28)),NOT(ISNUMBER('Price History'!J27)),'Price History'!J27=0),"",'Price History'!J28/'Price History'!J27-1),"")</f>
        <v>0.00349621920481336</v>
      </c>
      <c r="K27" s="142" t="n">
        <f aca="false">IFERROR(IF(OR(NOT(ISNUMBER('Price History'!K28)),NOT(ISNUMBER('Price History'!K27)),'Price History'!K27=0),"",'Price History'!K28/'Price History'!K27-1),"")</f>
        <v>0.0445246690734056</v>
      </c>
      <c r="L27" s="142" t="n">
        <f aca="false">IFERROR(IF(OR(NOT(ISNUMBER('Price History'!L28)),NOT(ISNUMBER('Price History'!L27)),'Price History'!L27=0),"",'Price History'!L28/'Price History'!L27-1),"")</f>
        <v>0.0931455980194957</v>
      </c>
      <c r="M27" s="142" t="n">
        <f aca="false">IFERROR(IF(OR(NOT(ISNUMBER('Price History'!M28)),NOT(ISNUMBER('Price History'!M27)),'Price History'!M27=0),"",'Price History'!M28/'Price History'!M27-1),"")</f>
        <v>-0.0170599943133353</v>
      </c>
      <c r="N27" s="142" t="n">
        <f aca="false">IFERROR(IF(OR(NOT(ISNUMBER('Price History'!N28)),NOT(ISNUMBER('Price History'!N27)),'Price History'!N27=0),"",'Price History'!N28/'Price History'!N27-1),"")</f>
        <v>-0.0442970699694981</v>
      </c>
      <c r="O27" s="142" t="n">
        <f aca="false">IFERROR(IF(OR(NOT(ISNUMBER('Price History'!O28)),NOT(ISNUMBER('Price History'!O27)),'Price History'!O27=0),"",'Price History'!O28/'Price History'!O27-1),"")</f>
        <v>0.00116455106556423</v>
      </c>
      <c r="P27" s="142" t="n">
        <f aca="false">IFERROR(IF(OR(NOT(ISNUMBER('Price History'!P28)),NOT(ISNUMBER('Price History'!P27)),'Price History'!P27=0),"",'Price History'!P28/'Price History'!P27-1),"")</f>
        <v>0.0267070745335731</v>
      </c>
      <c r="Q27" s="142" t="n">
        <f aca="false">IFERROR(IF(OR(NOT(ISNUMBER('Price History'!Q28)),NOT(ISNUMBER('Price History'!Q27)),'Price History'!Q27=0),"",'Price History'!Q28/'Price History'!Q27-1),"")</f>
        <v>0.0005520794994478</v>
      </c>
      <c r="R27" s="142" t="n">
        <f aca="false">IFERROR(IF(OR(NOT(ISNUMBER('Price History'!R28)),NOT(ISNUMBER('Price History'!R27)),'Price History'!R27=0),"",'Price History'!R28/'Price History'!R27-1),"")</f>
        <v>-0.00150075037518749</v>
      </c>
      <c r="S27" s="142" t="n">
        <f aca="false">IFERROR(IF(OR(NOT(ISNUMBER('Price History'!S28)),NOT(ISNUMBER('Price History'!S27)),'Price History'!S27=0),"",'Price History'!S28/'Price History'!S27-1),"")</f>
        <v>0.00388550705867141</v>
      </c>
      <c r="T27" s="142" t="n">
        <f aca="false">IFERROR(IF(OR(NOT(ISNUMBER('Price History'!T28)),NOT(ISNUMBER('Price History'!T27)),'Price History'!T27=0),"",'Price History'!T28/'Price History'!T27-1),"")</f>
        <v>0.0199244245963588</v>
      </c>
      <c r="U27" s="142" t="n">
        <f aca="false">IFERROR(IF(OR(NOT(ISNUMBER('Price History'!U28)),NOT(ISNUMBER('Price History'!U27)),'Price History'!U27=0),"",'Price History'!U28/'Price History'!U27-1),"")</f>
        <v>0.00339126748622309</v>
      </c>
      <c r="V27" s="143" t="n">
        <f aca="false">IFERROR(IF(OR(NOT(ISNUMBER('Price History'!V28)),NOT(ISNUMBER('Price History'!V27)),'Price History'!V27=0),"",'Price History'!V28/'Price History'!V27-1),"")</f>
        <v>-0.0110119476032819</v>
      </c>
      <c r="W27" s="144" t="n">
        <f aca="false">IFERROR('Price History'!B3+(INDEX('Price History'!B:B,MATCH(9.99E+307,'Returns (Calc)'!$A:$A)+1)-'Price History'!B3)*(ROW()-3)/(MATCH(9.99E+307,'Returns (Calc)'!$A:$A)-3),"")</f>
        <v>484.657088607595</v>
      </c>
      <c r="X27" s="144" t="n">
        <f aca="false">IFERROR('Price History'!C3+(INDEX('Price History'!C:C,MATCH(9.99E+307,'Returns (Calc)'!$A:$A)+1)-'Price History'!C3)*(ROW()-3)/(MATCH(9.99E+307,'Returns (Calc)'!$A:$A)-3),"")</f>
        <v>70.6615189873418</v>
      </c>
      <c r="Y27" s="144" t="n">
        <f aca="false">IFERROR('Price History'!D3+(INDEX('Price History'!D:D,MATCH(9.99E+307,'Returns (Calc)'!$A:$A)+1)-'Price History'!D3)*(ROW()-3)/(MATCH(9.99E+307,'Returns (Calc)'!$A:$A)-3),"")</f>
        <v>777.245443037975</v>
      </c>
      <c r="Z27" s="144" t="n">
        <f aca="false">IFERROR('Price History'!E3+(INDEX('Price History'!E:E,MATCH(9.99E+307,'Returns (Calc)'!$A:$A)+1)-'Price History'!E3)*(ROW()-3)/(MATCH(9.99E+307,'Returns (Calc)'!$A:$A)-3),"")</f>
        <v>123.489620253165</v>
      </c>
      <c r="AA27" s="144" t="n">
        <f aca="false">IFERROR('Price History'!F3+(INDEX('Price History'!F:F,MATCH(9.99E+307,'Returns (Calc)'!$A:$A)+1)-'Price History'!F3)*(ROW()-3)/(MATCH(9.99E+307,'Returns (Calc)'!$A:$A)-3),"")</f>
        <v>76.0962025316456</v>
      </c>
      <c r="AB27" s="144" t="n">
        <f aca="false">IFERROR('Price History'!G3+(INDEX('Price History'!G:G,MATCH(9.99E+307,'Returns (Calc)'!$A:$A)+1)-'Price History'!G3)*(ROW()-3)/(MATCH(9.99E+307,'Returns (Calc)'!$A:$A)-3),"")</f>
        <v>69.0396202531646</v>
      </c>
      <c r="AC27" s="144" t="n">
        <f aca="false">IFERROR('Price History'!H3+(INDEX('Price History'!H:H,MATCH(9.99E+307,'Returns (Calc)'!$A:$A)+1)-'Price History'!H3)*(ROW()-3)/(MATCH(9.99E+307,'Returns (Calc)'!$A:$A)-3),"")</f>
        <v>221.886708860759</v>
      </c>
      <c r="AD27" s="144" t="n">
        <f aca="false">IFERROR('Price History'!I3+(INDEX('Price History'!I:I,MATCH(9.99E+307,'Returns (Calc)'!$A:$A)+1)-'Price History'!I3)*(ROW()-3)/(MATCH(9.99E+307,'Returns (Calc)'!$A:$A)-3),"")</f>
        <v>72.6581012658228</v>
      </c>
      <c r="AE27" s="144" t="n">
        <f aca="false">IFERROR('Price History'!J3+(INDEX('Price History'!J:J,MATCH(9.99E+307,'Returns (Calc)'!$A:$A)+1)-'Price History'!J3)*(ROW()-3)/(MATCH(9.99E+307,'Returns (Calc)'!$A:$A)-3),"")</f>
        <v>114.432911392405</v>
      </c>
      <c r="AF27" s="144" t="n">
        <f aca="false">IFERROR('Price History'!K3+(INDEX('Price History'!K:K,MATCH(9.99E+307,'Returns (Calc)'!$A:$A)+1)-'Price History'!K3)*(ROW()-3)/(MATCH(9.99E+307,'Returns (Calc)'!$A:$A)-3),"")</f>
        <v>41.6722784810127</v>
      </c>
      <c r="AG27" s="144" t="n">
        <f aca="false">IFERROR('Price History'!L3+(INDEX('Price History'!L:L,MATCH(9.99E+307,'Returns (Calc)'!$A:$A)+1)-'Price History'!L3)*(ROW()-3)/(MATCH(9.99E+307,'Returns (Calc)'!$A:$A)-3),"")</f>
        <v>144.539367088608</v>
      </c>
      <c r="AH27" s="144" t="n">
        <f aca="false">IFERROR('Price History'!M3+(INDEX('Price History'!M:M,MATCH(9.99E+307,'Returns (Calc)'!$A:$A)+1)-'Price History'!M3)*(ROW()-3)/(MATCH(9.99E+307,'Returns (Calc)'!$A:$A)-3),"")</f>
        <v>70.5506329113924</v>
      </c>
      <c r="AI27" s="144" t="n">
        <f aca="false">IFERROR('Price History'!N3+(INDEX('Price History'!N:N,MATCH(9.99E+307,'Returns (Calc)'!$A:$A)+1)-'Price History'!N3)*(ROW()-3)/(MATCH(9.99E+307,'Returns (Calc)'!$A:$A)-3),"")</f>
        <v>372.570379746835</v>
      </c>
      <c r="AJ27" s="144" t="n">
        <f aca="false">IFERROR('Price History'!O3+(INDEX('Price History'!O:O,MATCH(9.99E+307,'Returns (Calc)'!$A:$A)+1)-'Price History'!O3)*(ROW()-3)/(MATCH(9.99E+307,'Returns (Calc)'!$A:$A)-3),"")</f>
        <v>82.1029113924051</v>
      </c>
      <c r="AK27" s="144" t="n">
        <f aca="false">IFERROR('Price History'!Q3+(INDEX('Price History'!Q:Q,MATCH(9.99E+307,'Returns (Calc)'!$A:$A)+1)-'Price History'!Q3)*(ROW()-3)/(MATCH(9.99E+307,'Returns (Calc)'!$A:$A)-3),"")</f>
        <v>10.5448101265823</v>
      </c>
      <c r="AL27" s="144" t="n">
        <f aca="false">IFERROR('Price History'!R3+(INDEX('Price History'!R:R,MATCH(9.99E+307,'Returns (Calc)'!$A:$A)+1)-'Price History'!R3)*(ROW()-3)/(MATCH(9.99E+307,'Returns (Calc)'!$A:$A)-3),"")</f>
        <v>38.5144303797468</v>
      </c>
      <c r="AM27" s="144" t="n">
        <f aca="false">IFERROR('Price History'!S3+(INDEX('Price History'!S:S,MATCH(9.99E+307,'Returns (Calc)'!$A:$A)+1)-'Price History'!S3)*(ROW()-3)/(MATCH(9.99E+307,'Returns (Calc)'!$A:$A)-3),"")</f>
        <v>72.1515189873418</v>
      </c>
      <c r="AN27" s="144" t="n">
        <f aca="false">IFERROR('Price History'!T3+(INDEX('Price History'!T:T,MATCH(9.99E+307,'Returns (Calc)'!$A:$A)+1)-'Price History'!T3)*(ROW()-3)/(MATCH(9.99E+307,'Returns (Calc)'!$A:$A)-3),"")</f>
        <v>29.2774683544304</v>
      </c>
      <c r="AO27" s="145" t="n">
        <f aca="false">IFERROR('Price History'!V3+(INDEX('Price History'!V:V,MATCH(9.99E+307,'Returns (Calc)'!$A:$A)+1)-'Price History'!V3)*(ROW()-3)/(MATCH(9.99E+307,'Returns (Calc)'!$A:$A)-3),"")</f>
        <v>254.621898734177</v>
      </c>
      <c r="AP27" s="143" t="n">
        <f aca="false">IFERROR(IF(OR(NOT(ISNUMBER('Price History'!W28)),NOT(ISNUMBER('Price History'!W27)),'Price History'!W27=0),"",'Price History'!W28/'Price History'!W27-1),"")</f>
        <v>0.0100823235593377</v>
      </c>
      <c r="AQ27" s="143" t="str">
        <f aca="false">IFERROR(IF(OR(NOT(ISNUMBER('Price History'!X28)),NOT(ISNUMBER('Price History'!X27)),'Price History'!X27=0),"",'Price History'!X28/'Price History'!X27-1),"")</f>
        <v/>
      </c>
      <c r="AR27" s="143" t="n">
        <f aca="false">IFERROR(IF(OR(NOT(ISNUMBER('Price History'!Y28)),NOT(ISNUMBER('Price History'!Y27)),'Price History'!Y27=0),"",'Price History'!Y28/'Price History'!Y27-1),"")</f>
        <v>0.00496974935177175</v>
      </c>
      <c r="AS27" s="143" t="n">
        <f aca="false">IFERROR(IF(OR(NOT(ISNUMBER('Price History'!Z28)),NOT(ISNUMBER('Price History'!Z27)),'Price History'!Z27=0),"",'Price History'!Z28/'Price History'!Z27-1),"")</f>
        <v>0.0586820586820587</v>
      </c>
      <c r="AT27" s="143" t="n">
        <f aca="false">IFERROR(IF(OR(NOT(ISNUMBER('Price History'!AA28)),NOT(ISNUMBER('Price History'!AA27)),'Price History'!AA27=0),"",'Price History'!AA28/'Price History'!AA27-1),"")</f>
        <v>-0.0234135314064267</v>
      </c>
    </row>
    <row r="28" customFormat="false" ht="15" hidden="false" customHeight="true" outlineLevel="0" collapsed="false">
      <c r="A28" s="141" t="n">
        <f aca="false">IF('Price History'!A29="","",'Price History'!A29)</f>
        <v>45366</v>
      </c>
      <c r="B28" s="142" t="n">
        <f aca="false">IFERROR(IF(OR(NOT(ISNUMBER('Price History'!B29)),NOT(ISNUMBER('Price History'!B28)),'Price History'!B28=0),"",'Price History'!B29/'Price History'!B28-1),"")</f>
        <v>-0.107361017962987</v>
      </c>
      <c r="C28" s="142" t="n">
        <f aca="false">IFERROR(IF(OR(NOT(ISNUMBER('Price History'!C29)),NOT(ISNUMBER('Price History'!C28)),'Price History'!C28=0),"",'Price History'!C29/'Price History'!C28-1),"")</f>
        <v>0.0168424135910956</v>
      </c>
      <c r="D28" s="142" t="n">
        <f aca="false">IFERROR(IF(OR(NOT(ISNUMBER('Price History'!D29)),NOT(ISNUMBER('Price History'!D28)),'Price History'!D28=0),"",'Price History'!D29/'Price History'!D28-1),"")</f>
        <v>-0.054429171243494</v>
      </c>
      <c r="E28" s="142" t="n">
        <f aca="false">IFERROR(IF(OR(NOT(ISNUMBER('Price History'!E29)),NOT(ISNUMBER('Price History'!E28)),'Price History'!E28=0),"",'Price History'!E29/'Price History'!E28-1),"")</f>
        <v>-0.0559440559440558</v>
      </c>
      <c r="F28" s="142" t="n">
        <f aca="false">IFERROR(IF(OR(NOT(ISNUMBER('Price History'!F29)),NOT(ISNUMBER('Price History'!F28)),'Price History'!F28=0),"",'Price History'!F29/'Price History'!F28-1),"")</f>
        <v>-0.0223020691364143</v>
      </c>
      <c r="G28" s="142" t="n">
        <f aca="false">IFERROR(IF(OR(NOT(ISNUMBER('Price History'!G29)),NOT(ISNUMBER('Price History'!G28)),'Price History'!G28=0),"",'Price History'!G29/'Price History'!G28-1),"")</f>
        <v>-0.0220052462838823</v>
      </c>
      <c r="H28" s="142" t="n">
        <f aca="false">IFERROR(IF(OR(NOT(ISNUMBER('Price History'!H29)),NOT(ISNUMBER('Price History'!H28)),'Price History'!H28=0),"",'Price History'!H29/'Price History'!H28-1),"")</f>
        <v>-0.044717546215016</v>
      </c>
      <c r="I28" s="142" t="n">
        <f aca="false">IFERROR(IF(OR(NOT(ISNUMBER('Price History'!I29)),NOT(ISNUMBER('Price History'!I28)),'Price History'!I28=0),"",'Price History'!I29/'Price History'!I28-1),"")</f>
        <v>0.00355178735105421</v>
      </c>
      <c r="J28" s="142" t="n">
        <f aca="false">IFERROR(IF(OR(NOT(ISNUMBER('Price History'!J29)),NOT(ISNUMBER('Price History'!J28)),'Price History'!J28=0),"",'Price History'!J29/'Price History'!J28-1),"")</f>
        <v>-0.037757251660995</v>
      </c>
      <c r="K28" s="142" t="n">
        <f aca="false">IFERROR(IF(OR(NOT(ISNUMBER('Price History'!K29)),NOT(ISNUMBER('Price History'!K28)),'Price History'!K28=0),"",'Price History'!K29/'Price History'!K28-1),"")</f>
        <v>-0.097926267281106</v>
      </c>
      <c r="L28" s="142" t="n">
        <f aca="false">IFERROR(IF(OR(NOT(ISNUMBER('Price History'!L29)),NOT(ISNUMBER('Price History'!L28)),'Price History'!L28=0),"",'Price History'!L29/'Price History'!L28-1),"")</f>
        <v>-0.0641896673743809</v>
      </c>
      <c r="M28" s="142" t="n">
        <f aca="false">IFERROR(IF(OR(NOT(ISNUMBER('Price History'!M29)),NOT(ISNUMBER('Price History'!M28)),'Price History'!M28=0),"",'Price History'!M29/'Price History'!M28-1),"")</f>
        <v>0.068990454150998</v>
      </c>
      <c r="N28" s="142" t="n">
        <f aca="false">IFERROR(IF(OR(NOT(ISNUMBER('Price History'!N29)),NOT(ISNUMBER('Price History'!N28)),'Price History'!N28=0),"",'Price History'!N29/'Price History'!N28-1),"")</f>
        <v>-0.014265335235378</v>
      </c>
      <c r="O28" s="142" t="n">
        <f aca="false">IFERROR(IF(OR(NOT(ISNUMBER('Price History'!O29)),NOT(ISNUMBER('Price History'!O28)),'Price History'!O28=0),"",'Price History'!O29/'Price History'!O28-1),"")</f>
        <v>-0.00849133418634407</v>
      </c>
      <c r="P28" s="142" t="n">
        <f aca="false">IFERROR(IF(OR(NOT(ISNUMBER('Price History'!P29)),NOT(ISNUMBER('Price History'!P28)),'Price History'!P28=0),"",'Price History'!P29/'Price History'!P28-1),"")</f>
        <v>-0.0032284844571534</v>
      </c>
      <c r="Q28" s="142" t="n">
        <f aca="false">IFERROR(IF(OR(NOT(ISNUMBER('Price History'!Q29)),NOT(ISNUMBER('Price History'!Q28)),'Price History'!Q28=0),"",'Price History'!Q29/'Price History'!Q28-1),"")</f>
        <v>0.000183924958617077</v>
      </c>
      <c r="R28" s="142" t="n">
        <f aca="false">IFERROR(IF(OR(NOT(ISNUMBER('Price History'!R29)),NOT(ISNUMBER('Price History'!R28)),'Price History'!R28=0),"",'Price History'!R29/'Price History'!R28-1),"")</f>
        <v>-0.00526052104208419</v>
      </c>
      <c r="S28" s="142" t="n">
        <f aca="false">IFERROR(IF(OR(NOT(ISNUMBER('Price History'!S29)),NOT(ISNUMBER('Price History'!S28)),'Price History'!S28=0),"",'Price History'!S29/'Price History'!S28-1),"")</f>
        <v>-0.00516062443555676</v>
      </c>
      <c r="T28" s="142" t="n">
        <f aca="false">IFERROR(IF(OR(NOT(ISNUMBER('Price History'!T29)),NOT(ISNUMBER('Price History'!T28)),'Price History'!T28=0),"",'Price History'!T29/'Price History'!T28-1),"")</f>
        <v>0.0154934321320308</v>
      </c>
      <c r="U28" s="142" t="n">
        <f aca="false">IFERROR(IF(OR(NOT(ISNUMBER('Price History'!U29)),NOT(ISNUMBER('Price History'!U28)),'Price History'!U28=0),"",'Price History'!U29/'Price History'!U28-1),"")</f>
        <v>0.00168990283058723</v>
      </c>
      <c r="V28" s="143" t="n">
        <f aca="false">IFERROR(IF(OR(NOT(ISNUMBER('Price History'!V29)),NOT(ISNUMBER('Price History'!V28)),'Price History'!V28=0),"",'Price History'!V29/'Price History'!V28-1),"")</f>
        <v>0.0106979113601631</v>
      </c>
      <c r="W28" s="144" t="n">
        <f aca="false">IFERROR('Price History'!B3+(INDEX('Price History'!B:B,MATCH(9.99E+307,'Returns (Calc)'!$A:$A)+1)-'Price History'!B3)*(ROW()-3)/(MATCH(9.99E+307,'Returns (Calc)'!$A:$A)-3),"")</f>
        <v>482.814050632911</v>
      </c>
      <c r="X28" s="144" t="n">
        <f aca="false">IFERROR('Price History'!C3+(INDEX('Price History'!C:C,MATCH(9.99E+307,'Returns (Calc)'!$A:$A)+1)-'Price History'!C3)*(ROW()-3)/(MATCH(9.99E+307,'Returns (Calc)'!$A:$A)-3),"")</f>
        <v>71.681582278481</v>
      </c>
      <c r="Y28" s="144" t="n">
        <f aca="false">IFERROR('Price History'!D3+(INDEX('Price History'!D:D,MATCH(9.99E+307,'Returns (Calc)'!$A:$A)+1)-'Price History'!D3)*(ROW()-3)/(MATCH(9.99E+307,'Returns (Calc)'!$A:$A)-3),"")</f>
        <v>785.380253164557</v>
      </c>
      <c r="Z28" s="144" t="n">
        <f aca="false">IFERROR('Price History'!E3+(INDEX('Price History'!E:E,MATCH(9.99E+307,'Returns (Calc)'!$A:$A)+1)-'Price History'!E3)*(ROW()-3)/(MATCH(9.99E+307,'Returns (Calc)'!$A:$A)-3),"")</f>
        <v>125.21835443038</v>
      </c>
      <c r="AA28" s="144" t="n">
        <f aca="false">IFERROR('Price History'!F3+(INDEX('Price History'!F:F,MATCH(9.99E+307,'Returns (Calc)'!$A:$A)+1)-'Price History'!F3)*(ROW()-3)/(MATCH(9.99E+307,'Returns (Calc)'!$A:$A)-3),"")</f>
        <v>77.5435443037975</v>
      </c>
      <c r="AB28" s="144" t="n">
        <f aca="false">IFERROR('Price History'!G3+(INDEX('Price History'!G:G,MATCH(9.99E+307,'Returns (Calc)'!$A:$A)+1)-'Price History'!G3)*(ROW()-3)/(MATCH(9.99E+307,'Returns (Calc)'!$A:$A)-3),"")</f>
        <v>70.0683544303797</v>
      </c>
      <c r="AC28" s="144" t="n">
        <f aca="false">IFERROR('Price History'!H3+(INDEX('Price History'!H:H,MATCH(9.99E+307,'Returns (Calc)'!$A:$A)+1)-'Price History'!H3)*(ROW()-3)/(MATCH(9.99E+307,'Returns (Calc)'!$A:$A)-3),"")</f>
        <v>228.252405063291</v>
      </c>
      <c r="AD28" s="144" t="n">
        <f aca="false">IFERROR('Price History'!I3+(INDEX('Price History'!I:I,MATCH(9.99E+307,'Returns (Calc)'!$A:$A)+1)-'Price History'!I3)*(ROW()-3)/(MATCH(9.99E+307,'Returns (Calc)'!$A:$A)-3),"")</f>
        <v>73.8617721518987</v>
      </c>
      <c r="AE28" s="144" t="n">
        <f aca="false">IFERROR('Price History'!J3+(INDEX('Price History'!J:J,MATCH(9.99E+307,'Returns (Calc)'!$A:$A)+1)-'Price History'!J3)*(ROW()-3)/(MATCH(9.99E+307,'Returns (Calc)'!$A:$A)-3),"")</f>
        <v>114.540949367089</v>
      </c>
      <c r="AF28" s="144" t="n">
        <f aca="false">IFERROR('Price History'!K3+(INDEX('Price History'!K:K,MATCH(9.99E+307,'Returns (Calc)'!$A:$A)+1)-'Price History'!K3)*(ROW()-3)/(MATCH(9.99E+307,'Returns (Calc)'!$A:$A)-3),"")</f>
        <v>42.7698734177215</v>
      </c>
      <c r="AG28" s="144" t="n">
        <f aca="false">IFERROR('Price History'!L3+(INDEX('Price History'!L:L,MATCH(9.99E+307,'Returns (Calc)'!$A:$A)+1)-'Price History'!L3)*(ROW()-3)/(MATCH(9.99E+307,'Returns (Calc)'!$A:$A)-3),"")</f>
        <v>146.988924050633</v>
      </c>
      <c r="AH28" s="144" t="n">
        <f aca="false">IFERROR('Price History'!M3+(INDEX('Price History'!M:M,MATCH(9.99E+307,'Returns (Calc)'!$A:$A)+1)-'Price History'!M3)*(ROW()-3)/(MATCH(9.99E+307,'Returns (Calc)'!$A:$A)-3),"")</f>
        <v>71.9060759493671</v>
      </c>
      <c r="AI28" s="144" t="n">
        <f aca="false">IFERROR('Price History'!N3+(INDEX('Price History'!N:N,MATCH(9.99E+307,'Returns (Calc)'!$A:$A)+1)-'Price History'!N3)*(ROW()-3)/(MATCH(9.99E+307,'Returns (Calc)'!$A:$A)-3),"")</f>
        <v>373.55664556962</v>
      </c>
      <c r="AJ28" s="144" t="n">
        <f aca="false">IFERROR('Price History'!O3+(INDEX('Price History'!O:O,MATCH(9.99E+307,'Returns (Calc)'!$A:$A)+1)-'Price History'!O3)*(ROW()-3)/(MATCH(9.99E+307,'Returns (Calc)'!$A:$A)-3),"")</f>
        <v>82.3859493670886</v>
      </c>
      <c r="AK28" s="144" t="n">
        <f aca="false">IFERROR('Price History'!Q3+(INDEX('Price History'!Q:Q,MATCH(9.99E+307,'Returns (Calc)'!$A:$A)+1)-'Price History'!Q3)*(ROW()-3)/(MATCH(9.99E+307,'Returns (Calc)'!$A:$A)-3),"")</f>
        <v>10.9841772151899</v>
      </c>
      <c r="AL28" s="144" t="n">
        <f aca="false">IFERROR('Price History'!R3+(INDEX('Price History'!R:R,MATCH(9.99E+307,'Returns (Calc)'!$A:$A)+1)-'Price History'!R3)*(ROW()-3)/(MATCH(9.99E+307,'Returns (Calc)'!$A:$A)-3),"")</f>
        <v>38.6825316455696</v>
      </c>
      <c r="AM28" s="144" t="n">
        <f aca="false">IFERROR('Price History'!S3+(INDEX('Price History'!S:S,MATCH(9.99E+307,'Returns (Calc)'!$A:$A)+1)-'Price History'!S3)*(ROW()-3)/(MATCH(9.99E+307,'Returns (Calc)'!$A:$A)-3),"")</f>
        <v>72.756582278481</v>
      </c>
      <c r="AN28" s="144" t="n">
        <f aca="false">IFERROR('Price History'!T3+(INDEX('Price History'!T:T,MATCH(9.99E+307,'Returns (Calc)'!$A:$A)+1)-'Price History'!T3)*(ROW()-3)/(MATCH(9.99E+307,'Returns (Calc)'!$A:$A)-3),"")</f>
        <v>29.4456962025316</v>
      </c>
      <c r="AO28" s="145" t="n">
        <f aca="false">IFERROR('Price History'!V3+(INDEX('Price History'!V:V,MATCH(9.99E+307,'Returns (Calc)'!$A:$A)+1)-'Price History'!V3)*(ROW()-3)/(MATCH(9.99E+307,'Returns (Calc)'!$A:$A)-3),"")</f>
        <v>255.413227848101</v>
      </c>
      <c r="AP28" s="143" t="n">
        <f aca="false">IFERROR(IF(OR(NOT(ISNUMBER('Price History'!W29)),NOT(ISNUMBER('Price History'!W28)),'Price History'!W28=0),"",'Price History'!W29/'Price History'!W28-1),"")</f>
        <v>0.0021062271062271</v>
      </c>
      <c r="AQ28" s="143" t="str">
        <f aca="false">IFERROR(IF(OR(NOT(ISNUMBER('Price History'!X29)),NOT(ISNUMBER('Price History'!X28)),'Price History'!X28=0),"",'Price History'!X29/'Price History'!X28-1),"")</f>
        <v/>
      </c>
      <c r="AR28" s="143" t="n">
        <f aca="false">IFERROR(IF(OR(NOT(ISNUMBER('Price History'!Y29)),NOT(ISNUMBER('Price History'!Y28)),'Price History'!Y28=0),"",'Price History'!Y29/'Price History'!Y28-1),"")</f>
        <v>-0.00215007525263389</v>
      </c>
      <c r="AS28" s="143" t="n">
        <f aca="false">IFERROR(IF(OR(NOT(ISNUMBER('Price History'!Z29)),NOT(ISNUMBER('Price History'!Z28)),'Price History'!Z28=0),"",'Price History'!Z29/'Price History'!Z28-1),"")</f>
        <v>0.00552779039830376</v>
      </c>
      <c r="AT28" s="143" t="n">
        <f aca="false">IFERROR(IF(OR(NOT(ISNUMBER('Price History'!AA29)),NOT(ISNUMBER('Price History'!AA28)),'Price History'!AA28=0),"",'Price History'!AA29/'Price History'!AA28-1),"")</f>
        <v>0.00181878306878325</v>
      </c>
    </row>
    <row r="29" customFormat="false" ht="15" hidden="false" customHeight="true" outlineLevel="0" collapsed="false">
      <c r="A29" s="141" t="n">
        <f aca="false">IF('Price History'!A30="","",'Price History'!A30)</f>
        <v>45373</v>
      </c>
      <c r="B29" s="142" t="n">
        <f aca="false">IFERROR(IF(OR(NOT(ISNUMBER('Price History'!B30)),NOT(ISNUMBER('Price History'!B29)),'Price History'!B29=0),"",'Price History'!B30/'Price History'!B29-1),"")</f>
        <v>0.0143361897412988</v>
      </c>
      <c r="C29" s="142" t="n">
        <f aca="false">IFERROR(IF(OR(NOT(ISNUMBER('Price History'!C30)),NOT(ISNUMBER('Price History'!C29)),'Price History'!C29=0),"",'Price History'!C30/'Price History'!C29-1),"")</f>
        <v>0.103413510010082</v>
      </c>
      <c r="D29" s="142" t="n">
        <f aca="false">IFERROR(IF(OR(NOT(ISNUMBER('Price History'!D30)),NOT(ISNUMBER('Price History'!D29)),'Price History'!D29=0),"",'Price History'!D30/'Price History'!D29-1),"")</f>
        <v>0.042275999088037</v>
      </c>
      <c r="E29" s="142" t="n">
        <f aca="false">IFERROR(IF(OR(NOT(ISNUMBER('Price History'!E30)),NOT(ISNUMBER('Price History'!E29)),'Price History'!E29=0),"",'Price History'!E30/'Price History'!E29-1),"")</f>
        <v>0.100208073241781</v>
      </c>
      <c r="F29" s="142" t="n">
        <f aca="false">IFERROR(IF(OR(NOT(ISNUMBER('Price History'!F30)),NOT(ISNUMBER('Price History'!F29)),'Price History'!F29=0),"",'Price History'!F30/'Price History'!F29-1),"")</f>
        <v>0.037764541883158</v>
      </c>
      <c r="G29" s="142" t="n">
        <f aca="false">IFERROR(IF(OR(NOT(ISNUMBER('Price History'!G30)),NOT(ISNUMBER('Price History'!G29)),'Price History'!G29=0),"",'Price History'!G30/'Price History'!G29-1),"")</f>
        <v>0.0390403814632694</v>
      </c>
      <c r="H29" s="142" t="n">
        <f aca="false">IFERROR(IF(OR(NOT(ISNUMBER('Price History'!H30)),NOT(ISNUMBER('Price History'!H29)),'Price History'!H29=0),"",'Price History'!H30/'Price History'!H29-1),"")</f>
        <v>0.181837837837838</v>
      </c>
      <c r="I29" s="142" t="n">
        <f aca="false">IFERROR(IF(OR(NOT(ISNUMBER('Price History'!I30)),NOT(ISNUMBER('Price History'!I29)),'Price History'!I29=0),"",'Price History'!I30/'Price History'!I29-1),"")</f>
        <v>0.0734102066445941</v>
      </c>
      <c r="J29" s="142" t="n">
        <f aca="false">IFERROR(IF(OR(NOT(ISNUMBER('Price History'!J30)),NOT(ISNUMBER('Price History'!J29)),'Price History'!J29=0),"",'Price History'!J30/'Price History'!J29-1),"")</f>
        <v>-0.00303132367800607</v>
      </c>
      <c r="K29" s="142" t="n">
        <f aca="false">IFERROR(IF(OR(NOT(ISNUMBER('Price History'!K30)),NOT(ISNUMBER('Price History'!K29)),'Price History'!K29=0),"",'Price History'!K30/'Price History'!K29-1),"")</f>
        <v>0.029374201787995</v>
      </c>
      <c r="L29" s="142" t="n">
        <f aca="false">IFERROR(IF(OR(NOT(ISNUMBER('Price History'!L30)),NOT(ISNUMBER('Price History'!L29)),'Price History'!L29=0),"",'Price History'!L30/'Price History'!L29-1),"")</f>
        <v>0.0301746956061408</v>
      </c>
      <c r="M29" s="142" t="n">
        <f aca="false">IFERROR(IF(OR(NOT(ISNUMBER('Price History'!M30)),NOT(ISNUMBER('Price History'!M29)),'Price History'!M29=0),"",'Price History'!M30/'Price History'!M29-1),"")</f>
        <v>0.112839940468137</v>
      </c>
      <c r="N29" s="142" t="n">
        <f aca="false">IFERROR(IF(OR(NOT(ISNUMBER('Price History'!N30)),NOT(ISNUMBER('Price History'!N29)),'Price History'!N29=0),"",'Price History'!N30/'Price History'!N29-1),"")</f>
        <v>0.0195491672594375</v>
      </c>
      <c r="O29" s="142" t="n">
        <f aca="false">IFERROR(IF(OR(NOT(ISNUMBER('Price History'!O30)),NOT(ISNUMBER('Price History'!O29)),'Price History'!O29=0),"",'Price History'!O30/'Price History'!O29-1),"")</f>
        <v>0.0273345847020179</v>
      </c>
      <c r="P29" s="142" t="n">
        <f aca="false">IFERROR(IF(OR(NOT(ISNUMBER('Price History'!P30)),NOT(ISNUMBER('Price History'!P29)),'Price History'!P29=0),"",'Price History'!P30/'Price History'!P29-1),"")</f>
        <v>0.0161947066444568</v>
      </c>
      <c r="Q29" s="142" t="n">
        <f aca="false">IFERROR(IF(OR(NOT(ISNUMBER('Price History'!Q30)),NOT(ISNUMBER('Price History'!Q29)),'Price History'!Q29=0),"",'Price History'!Q30/'Price History'!Q29-1),"")</f>
        <v>0.0121368150055168</v>
      </c>
      <c r="R29" s="142" t="n">
        <f aca="false">IFERROR(IF(OR(NOT(ISNUMBER('Price History'!R30)),NOT(ISNUMBER('Price History'!R29)),'Price History'!R29=0),"",'Price History'!R30/'Price History'!R29-1),"")</f>
        <v>0.0256862251322083</v>
      </c>
      <c r="S29" s="142" t="n">
        <f aca="false">IFERROR(IF(OR(NOT(ISNUMBER('Price History'!S30)),NOT(ISNUMBER('Price History'!S29)),'Price History'!S29=0),"",'Price History'!S30/'Price History'!S29-1),"")</f>
        <v>0.0300868888600701</v>
      </c>
      <c r="T29" s="142" t="n">
        <f aca="false">IFERROR(IF(OR(NOT(ISNUMBER('Price History'!T30)),NOT(ISNUMBER('Price History'!T29)),'Price History'!T29=0),"",'Price History'!T30/'Price History'!T29-1),"")</f>
        <v>0.0242122719734661</v>
      </c>
      <c r="U29" s="142" t="n">
        <f aca="false">IFERROR(IF(OR(NOT(ISNUMBER('Price History'!U30)),NOT(ISNUMBER('Price History'!U29)),'Price History'!U29=0),"",'Price History'!U30/'Price History'!U29-1),"")</f>
        <v>0.0185575706452972</v>
      </c>
      <c r="V29" s="143" t="n">
        <f aca="false">IFERROR(IF(OR(NOT(ISNUMBER('Price History'!V30)),NOT(ISNUMBER('Price History'!V29)),'Price History'!V29=0),"",'Price History'!V30/'Price History'!V29-1),"")</f>
        <v>0.000792050691244439</v>
      </c>
      <c r="W29" s="144" t="n">
        <f aca="false">IFERROR('Price History'!B3+(INDEX('Price History'!B:B,MATCH(9.99E+307,'Returns (Calc)'!$A:$A)+1)-'Price History'!B3)*(ROW()-3)/(MATCH(9.99E+307,'Returns (Calc)'!$A:$A)-3),"")</f>
        <v>480.971012658228</v>
      </c>
      <c r="X29" s="144" t="n">
        <f aca="false">IFERROR('Price History'!C3+(INDEX('Price History'!C:C,MATCH(9.99E+307,'Returns (Calc)'!$A:$A)+1)-'Price History'!C3)*(ROW()-3)/(MATCH(9.99E+307,'Returns (Calc)'!$A:$A)-3),"")</f>
        <v>72.7016455696203</v>
      </c>
      <c r="Y29" s="144" t="n">
        <f aca="false">IFERROR('Price History'!D3+(INDEX('Price History'!D:D,MATCH(9.99E+307,'Returns (Calc)'!$A:$A)+1)-'Price History'!D3)*(ROW()-3)/(MATCH(9.99E+307,'Returns (Calc)'!$A:$A)-3),"")</f>
        <v>793.515063291139</v>
      </c>
      <c r="Z29" s="144" t="n">
        <f aca="false">IFERROR('Price History'!E3+(INDEX('Price History'!E:E,MATCH(9.99E+307,'Returns (Calc)'!$A:$A)+1)-'Price History'!E3)*(ROW()-3)/(MATCH(9.99E+307,'Returns (Calc)'!$A:$A)-3),"")</f>
        <v>126.947088607595</v>
      </c>
      <c r="AA29" s="144" t="n">
        <f aca="false">IFERROR('Price History'!F3+(INDEX('Price History'!F:F,MATCH(9.99E+307,'Returns (Calc)'!$A:$A)+1)-'Price History'!F3)*(ROW()-3)/(MATCH(9.99E+307,'Returns (Calc)'!$A:$A)-3),"")</f>
        <v>78.9908860759494</v>
      </c>
      <c r="AB29" s="144" t="n">
        <f aca="false">IFERROR('Price History'!G3+(INDEX('Price History'!G:G,MATCH(9.99E+307,'Returns (Calc)'!$A:$A)+1)-'Price History'!G3)*(ROW()-3)/(MATCH(9.99E+307,'Returns (Calc)'!$A:$A)-3),"")</f>
        <v>71.0970886075949</v>
      </c>
      <c r="AC29" s="144" t="n">
        <f aca="false">IFERROR('Price History'!H3+(INDEX('Price History'!H:H,MATCH(9.99E+307,'Returns (Calc)'!$A:$A)+1)-'Price History'!H3)*(ROW()-3)/(MATCH(9.99E+307,'Returns (Calc)'!$A:$A)-3),"")</f>
        <v>234.618101265823</v>
      </c>
      <c r="AD29" s="144" t="n">
        <f aca="false">IFERROR('Price History'!I3+(INDEX('Price History'!I:I,MATCH(9.99E+307,'Returns (Calc)'!$A:$A)+1)-'Price History'!I3)*(ROW()-3)/(MATCH(9.99E+307,'Returns (Calc)'!$A:$A)-3),"")</f>
        <v>75.0654430379747</v>
      </c>
      <c r="AE29" s="144" t="n">
        <f aca="false">IFERROR('Price History'!J3+(INDEX('Price History'!J:J,MATCH(9.99E+307,'Returns (Calc)'!$A:$A)+1)-'Price History'!J3)*(ROW()-3)/(MATCH(9.99E+307,'Returns (Calc)'!$A:$A)-3),"")</f>
        <v>114.648987341772</v>
      </c>
      <c r="AF29" s="144" t="n">
        <f aca="false">IFERROR('Price History'!K3+(INDEX('Price History'!K:K,MATCH(9.99E+307,'Returns (Calc)'!$A:$A)+1)-'Price History'!K3)*(ROW()-3)/(MATCH(9.99E+307,'Returns (Calc)'!$A:$A)-3),"")</f>
        <v>43.8674683544304</v>
      </c>
      <c r="AG29" s="144" t="n">
        <f aca="false">IFERROR('Price History'!L3+(INDEX('Price History'!L:L,MATCH(9.99E+307,'Returns (Calc)'!$A:$A)+1)-'Price History'!L3)*(ROW()-3)/(MATCH(9.99E+307,'Returns (Calc)'!$A:$A)-3),"")</f>
        <v>149.438481012658</v>
      </c>
      <c r="AH29" s="144" t="n">
        <f aca="false">IFERROR('Price History'!M3+(INDEX('Price History'!M:M,MATCH(9.99E+307,'Returns (Calc)'!$A:$A)+1)-'Price History'!M3)*(ROW()-3)/(MATCH(9.99E+307,'Returns (Calc)'!$A:$A)-3),"")</f>
        <v>73.2615189873418</v>
      </c>
      <c r="AI29" s="144" t="n">
        <f aca="false">IFERROR('Price History'!N3+(INDEX('Price History'!N:N,MATCH(9.99E+307,'Returns (Calc)'!$A:$A)+1)-'Price History'!N3)*(ROW()-3)/(MATCH(9.99E+307,'Returns (Calc)'!$A:$A)-3),"")</f>
        <v>374.542911392405</v>
      </c>
      <c r="AJ29" s="144" t="n">
        <f aca="false">IFERROR('Price History'!O3+(INDEX('Price History'!O:O,MATCH(9.99E+307,'Returns (Calc)'!$A:$A)+1)-'Price History'!O3)*(ROW()-3)/(MATCH(9.99E+307,'Returns (Calc)'!$A:$A)-3),"")</f>
        <v>82.6689873417722</v>
      </c>
      <c r="AK29" s="144" t="n">
        <f aca="false">IFERROR('Price History'!Q3+(INDEX('Price History'!Q:Q,MATCH(9.99E+307,'Returns (Calc)'!$A:$A)+1)-'Price History'!Q3)*(ROW()-3)/(MATCH(9.99E+307,'Returns (Calc)'!$A:$A)-3),"")</f>
        <v>11.4235443037975</v>
      </c>
      <c r="AL29" s="144" t="n">
        <f aca="false">IFERROR('Price History'!R3+(INDEX('Price History'!R:R,MATCH(9.99E+307,'Returns (Calc)'!$A:$A)+1)-'Price History'!R3)*(ROW()-3)/(MATCH(9.99E+307,'Returns (Calc)'!$A:$A)-3),"")</f>
        <v>38.8506329113924</v>
      </c>
      <c r="AM29" s="144" t="n">
        <f aca="false">IFERROR('Price History'!S3+(INDEX('Price History'!S:S,MATCH(9.99E+307,'Returns (Calc)'!$A:$A)+1)-'Price History'!S3)*(ROW()-3)/(MATCH(9.99E+307,'Returns (Calc)'!$A:$A)-3),"")</f>
        <v>73.3616455696203</v>
      </c>
      <c r="AN29" s="144" t="n">
        <f aca="false">IFERROR('Price History'!T3+(INDEX('Price History'!T:T,MATCH(9.99E+307,'Returns (Calc)'!$A:$A)+1)-'Price History'!T3)*(ROW()-3)/(MATCH(9.99E+307,'Returns (Calc)'!$A:$A)-3),"")</f>
        <v>29.6139240506329</v>
      </c>
      <c r="AO29" s="145" t="n">
        <f aca="false">IFERROR('Price History'!V3+(INDEX('Price History'!V:V,MATCH(9.99E+307,'Returns (Calc)'!$A:$A)+1)-'Price History'!V3)*(ROW()-3)/(MATCH(9.99E+307,'Returns (Calc)'!$A:$A)-3),"")</f>
        <v>256.204556962025</v>
      </c>
      <c r="AP29" s="143" t="n">
        <f aca="false">IFERROR(IF(OR(NOT(ISNUMBER('Price History'!W30)),NOT(ISNUMBER('Price History'!W29)),'Price History'!W29=0),"",'Price History'!W30/'Price History'!W29-1),"")</f>
        <v>0.018459289043224</v>
      </c>
      <c r="AQ29" s="143" t="str">
        <f aca="false">IFERROR(IF(OR(NOT(ISNUMBER('Price History'!X30)),NOT(ISNUMBER('Price History'!X29)),'Price History'!X29=0),"",'Price History'!X30/'Price History'!X29-1),"")</f>
        <v/>
      </c>
      <c r="AR29" s="143" t="n">
        <f aca="false">IFERROR(IF(OR(NOT(ISNUMBER('Price History'!Y30)),NOT(ISNUMBER('Price History'!Y29)),'Price History'!Y29=0),"",'Price History'!Y30/'Price History'!Y29-1),"")</f>
        <v>0.0086188321482441</v>
      </c>
      <c r="AS29" s="143" t="n">
        <f aca="false">IFERROR(IF(OR(NOT(ISNUMBER('Price History'!Z30)),NOT(ISNUMBER('Price History'!Z29)),'Price History'!Z29=0),"",'Price History'!Z30/'Price History'!Z29-1),"")</f>
        <v>0.0370509827547256</v>
      </c>
      <c r="AT29" s="143" t="n">
        <f aca="false">IFERROR(IF(OR(NOT(ISNUMBER('Price History'!AA30)),NOT(ISNUMBER('Price History'!AA29)),'Price History'!AA29=0),"",'Price History'!AA30/'Price History'!AA29-1),"")</f>
        <v>0.0364746657864332</v>
      </c>
    </row>
    <row r="30" customFormat="false" ht="15" hidden="false" customHeight="true" outlineLevel="0" collapsed="false">
      <c r="A30" s="141" t="n">
        <f aca="false">IF('Price History'!A31="","",'Price History'!A31)</f>
        <v>45380</v>
      </c>
      <c r="B30" s="142" t="n">
        <f aca="false">IFERROR(IF(OR(NOT(ISNUMBER('Price History'!B31)),NOT(ISNUMBER('Price History'!B30)),'Price History'!B30=0),"",'Price History'!B31/'Price History'!B30-1),"")</f>
        <v>0.0101697629724535</v>
      </c>
      <c r="C30" s="142" t="n">
        <f aca="false">IFERROR(IF(OR(NOT(ISNUMBER('Price History'!C31)),NOT(ISNUMBER('Price History'!C30)),'Price History'!C30=0),"",'Price History'!C31/'Price History'!C30-1),"")</f>
        <v>-0.0536483487795327</v>
      </c>
      <c r="D30" s="142" t="n">
        <f aca="false">IFERROR(IF(OR(NOT(ISNUMBER('Price History'!D31)),NOT(ISNUMBER('Price History'!D30)),'Price History'!D30=0),"",'Price History'!D31/'Price History'!D30-1),"")</f>
        <v>-0.00968719727508516</v>
      </c>
      <c r="E30" s="142" t="n">
        <f aca="false">IFERROR(IF(OR(NOT(ISNUMBER('Price History'!E31)),NOT(ISNUMBER('Price History'!E30)),'Price History'!E30=0),"",'Price History'!E31/'Price History'!E30-1),"")</f>
        <v>-0.0207277403737046</v>
      </c>
      <c r="F30" s="142" t="n">
        <f aca="false">IFERROR(IF(OR(NOT(ISNUMBER('Price History'!F31)),NOT(ISNUMBER('Price History'!F30)),'Price History'!F30=0),"",'Price History'!F31/'Price History'!F30-1),"")</f>
        <v>-0.0212480156307241</v>
      </c>
      <c r="G30" s="142" t="n">
        <f aca="false">IFERROR(IF(OR(NOT(ISNUMBER('Price History'!G31)),NOT(ISNUMBER('Price History'!G30)),'Price History'!G30=0),"",'Price History'!G31/'Price History'!G30-1),"")</f>
        <v>-0.0169224150293992</v>
      </c>
      <c r="H30" s="142" t="n">
        <f aca="false">IFERROR(IF(OR(NOT(ISNUMBER('Price History'!H31)),NOT(ISNUMBER('Price History'!H30)),'Price History'!H30=0),"",'Price History'!H31/'Price History'!H30-1),"")</f>
        <v>0.0707098426637396</v>
      </c>
      <c r="I30" s="142" t="n">
        <f aca="false">IFERROR(IF(OR(NOT(ISNUMBER('Price History'!I31)),NOT(ISNUMBER('Price History'!I30)),'Price History'!I30=0),"",'Price History'!I31/'Price History'!I30-1),"")</f>
        <v>-0.0416932567538821</v>
      </c>
      <c r="J30" s="142" t="n">
        <f aca="false">IFERROR(IF(OR(NOT(ISNUMBER('Price History'!J31)),NOT(ISNUMBER('Price History'!J30)),'Price History'!J30=0),"",'Price History'!J31/'Price History'!J30-1),"")</f>
        <v>0.0124155405405406</v>
      </c>
      <c r="K30" s="142" t="n">
        <f aca="false">IFERROR(IF(OR(NOT(ISNUMBER('Price History'!K31)),NOT(ISNUMBER('Price History'!K30)),'Price History'!K30=0),"",'Price History'!K31/'Price History'!K30-1),"")</f>
        <v>-0.0483870967741935</v>
      </c>
      <c r="L30" s="142" t="n">
        <f aca="false">IFERROR(IF(OR(NOT(ISNUMBER('Price History'!L31)),NOT(ISNUMBER('Price History'!L30)),'Price History'!L30=0),"",'Price History'!L31/'Price History'!L30-1),"")</f>
        <v>-0.0319336367640581</v>
      </c>
      <c r="M30" s="142" t="n">
        <f aca="false">IFERROR(IF(OR(NOT(ISNUMBER('Price History'!M31)),NOT(ISNUMBER('Price History'!M30)),'Price History'!M30=0),"",'Price History'!M31/'Price History'!M30-1),"")</f>
        <v>-0.00996960486322185</v>
      </c>
      <c r="N30" s="142" t="n">
        <f aca="false">IFERROR(IF(OR(NOT(ISNUMBER('Price History'!N31)),NOT(ISNUMBER('Price History'!N30)),'Price History'!N30=0),"",'Price History'!N31/'Price History'!N30-1),"")</f>
        <v>0.00565365924072547</v>
      </c>
      <c r="O30" s="142" t="n">
        <f aca="false">IFERROR(IF(OR(NOT(ISNUMBER('Price History'!O31)),NOT(ISNUMBER('Price History'!O30)),'Price History'!O30=0),"",'Price History'!O31/'Price History'!O30-1),"")</f>
        <v>0.0286627840584677</v>
      </c>
      <c r="P30" s="142" t="n">
        <f aca="false">IFERROR(IF(OR(NOT(ISNUMBER('Price History'!P31)),NOT(ISNUMBER('Price History'!P30)),'Price History'!P30=0),"",'Price History'!P31/'Price History'!P30-1),"")</f>
        <v>0.0252253893088061</v>
      </c>
      <c r="Q30" s="142" t="n">
        <f aca="false">IFERROR(IF(OR(NOT(ISNUMBER('Price History'!Q31)),NOT(ISNUMBER('Price History'!Q30)),'Price History'!Q30=0),"",'Price History'!Q31/'Price History'!Q30-1),"")</f>
        <v>0.000726744186046568</v>
      </c>
      <c r="R30" s="142" t="n">
        <f aca="false">IFERROR(IF(OR(NOT(ISNUMBER('Price History'!R31)),NOT(ISNUMBER('Price History'!R30)),'Price History'!R30=0),"",'Price History'!R31/'Price History'!R30-1),"")</f>
        <v>-0.000491038546525768</v>
      </c>
      <c r="S30" s="142" t="n">
        <f aca="false">IFERROR(IF(OR(NOT(ISNUMBER('Price History'!S31)),NOT(ISNUMBER('Price History'!S30)),'Price History'!S30=0),"",'Price History'!S31/'Price History'!S30-1),"")</f>
        <v>-0.00755382097444302</v>
      </c>
      <c r="T30" s="142" t="n">
        <f aca="false">IFERROR(IF(OR(NOT(ISNUMBER('Price History'!T31)),NOT(ISNUMBER('Price History'!T30)),'Price History'!T30=0),"",'Price History'!T31/'Price History'!T30-1),"")</f>
        <v>0.0155440414507773</v>
      </c>
      <c r="U30" s="142" t="n">
        <f aca="false">IFERROR(IF(OR(NOT(ISNUMBER('Price History'!U31)),NOT(ISNUMBER('Price History'!U30)),'Price History'!U30=0),"",'Price History'!U31/'Price History'!U30-1),"")</f>
        <v>0.0157349896480332</v>
      </c>
      <c r="V30" s="143" t="n">
        <f aca="false">IFERROR(IF(OR(NOT(ISNUMBER('Price History'!V31)),NOT(ISNUMBER('Price History'!V30)),'Price History'!V30=0),"",'Price History'!V31/'Price History'!V30-1),"")</f>
        <v>-0.0147492625368733</v>
      </c>
      <c r="W30" s="144" t="n">
        <f aca="false">IFERROR('Price History'!B3+(INDEX('Price History'!B:B,MATCH(9.99E+307,'Returns (Calc)'!$A:$A)+1)-'Price History'!B3)*(ROW()-3)/(MATCH(9.99E+307,'Returns (Calc)'!$A:$A)-3),"")</f>
        <v>479.127974683544</v>
      </c>
      <c r="X30" s="144" t="n">
        <f aca="false">IFERROR('Price History'!C3+(INDEX('Price History'!C:C,MATCH(9.99E+307,'Returns (Calc)'!$A:$A)+1)-'Price History'!C3)*(ROW()-3)/(MATCH(9.99E+307,'Returns (Calc)'!$A:$A)-3),"")</f>
        <v>73.7217088607595</v>
      </c>
      <c r="Y30" s="144" t="n">
        <f aca="false">IFERROR('Price History'!D3+(INDEX('Price History'!D:D,MATCH(9.99E+307,'Returns (Calc)'!$A:$A)+1)-'Price History'!D3)*(ROW()-3)/(MATCH(9.99E+307,'Returns (Calc)'!$A:$A)-3),"")</f>
        <v>801.649873417721</v>
      </c>
      <c r="Z30" s="144" t="n">
        <f aca="false">IFERROR('Price History'!E3+(INDEX('Price History'!E:E,MATCH(9.99E+307,'Returns (Calc)'!$A:$A)+1)-'Price History'!E3)*(ROW()-3)/(MATCH(9.99E+307,'Returns (Calc)'!$A:$A)-3),"")</f>
        <v>128.67582278481</v>
      </c>
      <c r="AA30" s="144" t="n">
        <f aca="false">IFERROR('Price History'!F3+(INDEX('Price History'!F:F,MATCH(9.99E+307,'Returns (Calc)'!$A:$A)+1)-'Price History'!F3)*(ROW()-3)/(MATCH(9.99E+307,'Returns (Calc)'!$A:$A)-3),"")</f>
        <v>80.4382278481013</v>
      </c>
      <c r="AB30" s="144" t="n">
        <f aca="false">IFERROR('Price History'!G3+(INDEX('Price History'!G:G,MATCH(9.99E+307,'Returns (Calc)'!$A:$A)+1)-'Price History'!G3)*(ROW()-3)/(MATCH(9.99E+307,'Returns (Calc)'!$A:$A)-3),"")</f>
        <v>72.1258227848101</v>
      </c>
      <c r="AC30" s="144" t="n">
        <f aca="false">IFERROR('Price History'!H3+(INDEX('Price History'!H:H,MATCH(9.99E+307,'Returns (Calc)'!$A:$A)+1)-'Price History'!H3)*(ROW()-3)/(MATCH(9.99E+307,'Returns (Calc)'!$A:$A)-3),"")</f>
        <v>240.983797468354</v>
      </c>
      <c r="AD30" s="144" t="n">
        <f aca="false">IFERROR('Price History'!I3+(INDEX('Price History'!I:I,MATCH(9.99E+307,'Returns (Calc)'!$A:$A)+1)-'Price History'!I3)*(ROW()-3)/(MATCH(9.99E+307,'Returns (Calc)'!$A:$A)-3),"")</f>
        <v>76.2691139240506</v>
      </c>
      <c r="AE30" s="144" t="n">
        <f aca="false">IFERROR('Price History'!J3+(INDEX('Price History'!J:J,MATCH(9.99E+307,'Returns (Calc)'!$A:$A)+1)-'Price History'!J3)*(ROW()-3)/(MATCH(9.99E+307,'Returns (Calc)'!$A:$A)-3),"")</f>
        <v>114.757025316456</v>
      </c>
      <c r="AF30" s="144" t="n">
        <f aca="false">IFERROR('Price History'!K3+(INDEX('Price History'!K:K,MATCH(9.99E+307,'Returns (Calc)'!$A:$A)+1)-'Price History'!K3)*(ROW()-3)/(MATCH(9.99E+307,'Returns (Calc)'!$A:$A)-3),"")</f>
        <v>44.9650632911392</v>
      </c>
      <c r="AG30" s="144" t="n">
        <f aca="false">IFERROR('Price History'!L3+(INDEX('Price History'!L:L,MATCH(9.99E+307,'Returns (Calc)'!$A:$A)+1)-'Price History'!L3)*(ROW()-3)/(MATCH(9.99E+307,'Returns (Calc)'!$A:$A)-3),"")</f>
        <v>151.888037974684</v>
      </c>
      <c r="AH30" s="144" t="n">
        <f aca="false">IFERROR('Price History'!M3+(INDEX('Price History'!M:M,MATCH(9.99E+307,'Returns (Calc)'!$A:$A)+1)-'Price History'!M3)*(ROW()-3)/(MATCH(9.99E+307,'Returns (Calc)'!$A:$A)-3),"")</f>
        <v>74.6169620253165</v>
      </c>
      <c r="AI30" s="144" t="n">
        <f aca="false">IFERROR('Price History'!N3+(INDEX('Price History'!N:N,MATCH(9.99E+307,'Returns (Calc)'!$A:$A)+1)-'Price History'!N3)*(ROW()-3)/(MATCH(9.99E+307,'Returns (Calc)'!$A:$A)-3),"")</f>
        <v>375.52917721519</v>
      </c>
      <c r="AJ30" s="144" t="n">
        <f aca="false">IFERROR('Price History'!O3+(INDEX('Price History'!O:O,MATCH(9.99E+307,'Returns (Calc)'!$A:$A)+1)-'Price History'!O3)*(ROW()-3)/(MATCH(9.99E+307,'Returns (Calc)'!$A:$A)-3),"")</f>
        <v>82.9520253164557</v>
      </c>
      <c r="AK30" s="144" t="n">
        <f aca="false">IFERROR('Price History'!Q3+(INDEX('Price History'!Q:Q,MATCH(9.99E+307,'Returns (Calc)'!$A:$A)+1)-'Price History'!Q3)*(ROW()-3)/(MATCH(9.99E+307,'Returns (Calc)'!$A:$A)-3),"")</f>
        <v>11.8629113924051</v>
      </c>
      <c r="AL30" s="144" t="n">
        <f aca="false">IFERROR('Price History'!R3+(INDEX('Price History'!R:R,MATCH(9.99E+307,'Returns (Calc)'!$A:$A)+1)-'Price History'!R3)*(ROW()-3)/(MATCH(9.99E+307,'Returns (Calc)'!$A:$A)-3),"")</f>
        <v>39.0187341772152</v>
      </c>
      <c r="AM30" s="144" t="n">
        <f aca="false">IFERROR('Price History'!S3+(INDEX('Price History'!S:S,MATCH(9.99E+307,'Returns (Calc)'!$A:$A)+1)-'Price History'!S3)*(ROW()-3)/(MATCH(9.99E+307,'Returns (Calc)'!$A:$A)-3),"")</f>
        <v>73.9667088607595</v>
      </c>
      <c r="AN30" s="144" t="n">
        <f aca="false">IFERROR('Price History'!T3+(INDEX('Price History'!T:T,MATCH(9.99E+307,'Returns (Calc)'!$A:$A)+1)-'Price History'!T3)*(ROW()-3)/(MATCH(9.99E+307,'Returns (Calc)'!$A:$A)-3),"")</f>
        <v>29.7821518987342</v>
      </c>
      <c r="AO30" s="145" t="n">
        <f aca="false">IFERROR('Price History'!V3+(INDEX('Price History'!V:V,MATCH(9.99E+307,'Returns (Calc)'!$A:$A)+1)-'Price History'!V3)*(ROW()-3)/(MATCH(9.99E+307,'Returns (Calc)'!$A:$A)-3),"")</f>
        <v>256.995886075949</v>
      </c>
      <c r="AP30" s="143" t="n">
        <f aca="false">IFERROR(IF(OR(NOT(ISNUMBER('Price History'!W31)),NOT(ISNUMBER('Price History'!W30)),'Price History'!W30=0),"",'Price History'!W31/'Price History'!W30-1),"")</f>
        <v>0.0160610139075819</v>
      </c>
      <c r="AQ30" s="143" t="str">
        <f aca="false">IFERROR(IF(OR(NOT(ISNUMBER('Price History'!X31)),NOT(ISNUMBER('Price History'!X30)),'Price History'!X30=0),"",'Price History'!X31/'Price History'!X30-1),"")</f>
        <v/>
      </c>
      <c r="AR30" s="143" t="n">
        <f aca="false">IFERROR(IF(OR(NOT(ISNUMBER('Price History'!Y31)),NOT(ISNUMBER('Price History'!Y30)),'Price History'!Y30=0),"",'Price History'!Y31/'Price History'!Y30-1),"")</f>
        <v>0.0068361461226234</v>
      </c>
      <c r="AS30" s="143" t="n">
        <f aca="false">IFERROR(IF(OR(NOT(ISNUMBER('Price History'!Z31)),NOT(ISNUMBER('Price History'!Z30)),'Price History'!Z30=0),"",'Price History'!Z31/'Price History'!Z30-1),"")</f>
        <v>0.0021784910318785</v>
      </c>
      <c r="AT30" s="143" t="n">
        <f aca="false">IFERROR(IF(OR(NOT(ISNUMBER('Price History'!AA31)),NOT(ISNUMBER('Price History'!AA30)),'Price History'!AA30=0),"",'Price History'!AA31/'Price History'!AA30-1),"")</f>
        <v>-0.0329617834394904</v>
      </c>
    </row>
    <row r="31" customFormat="false" ht="15" hidden="false" customHeight="true" outlineLevel="0" collapsed="false">
      <c r="A31" s="141" t="n">
        <f aca="false">IF('Price History'!A32="","",'Price History'!A32)</f>
        <v>45387</v>
      </c>
      <c r="B31" s="142" t="n">
        <f aca="false">IFERROR(IF(OR(NOT(ISNUMBER('Price History'!B32)),NOT(ISNUMBER('Price History'!B31)),'Price History'!B31=0),"",'Price History'!B32/'Price History'!B31-1),"")</f>
        <v>-0.0386048355132779</v>
      </c>
      <c r="C31" s="142" t="n">
        <f aca="false">IFERROR(IF(OR(NOT(ISNUMBER('Price History'!C32)),NOT(ISNUMBER('Price History'!C31)),'Price History'!C31=0),"",'Price History'!C32/'Price History'!C31-1),"")</f>
        <v>0.0262068965517241</v>
      </c>
      <c r="D31" s="142" t="n">
        <f aca="false">IFERROR(IF(OR(NOT(ISNUMBER('Price History'!D32)),NOT(ISNUMBER('Price History'!D31)),'Price History'!D31=0),"",'Price History'!D32/'Price History'!D31-1),"")</f>
        <v>0.00936122768819736</v>
      </c>
      <c r="E31" s="142" t="n">
        <f aca="false">IFERROR(IF(OR(NOT(ISNUMBER('Price History'!E32)),NOT(ISNUMBER('Price History'!E31)),'Price History'!E31=0),"",'Price History'!E32/'Price History'!E31-1),"")</f>
        <v>0.010583236770954</v>
      </c>
      <c r="F31" s="142" t="n">
        <f aca="false">IFERROR(IF(OR(NOT(ISNUMBER('Price History'!F32)),NOT(ISNUMBER('Price History'!F31)),'Price History'!F31=0),"",'Price History'!F32/'Price History'!F31-1),"")</f>
        <v>-0.015845290081098</v>
      </c>
      <c r="G31" s="142" t="n">
        <f aca="false">IFERROR(IF(OR(NOT(ISNUMBER('Price History'!G32)),NOT(ISNUMBER('Price History'!G31)),'Price History'!G31=0),"",'Price History'!G32/'Price History'!G31-1),"")</f>
        <v>-0.022465353756382</v>
      </c>
      <c r="H31" s="142" t="n">
        <f aca="false">IFERROR(IF(OR(NOT(ISNUMBER('Price History'!H32)),NOT(ISNUMBER('Price History'!H31)),'Price History'!H31=0),"",'Price History'!H32/'Price History'!H31-1),"")</f>
        <v>0.0482699700982487</v>
      </c>
      <c r="I31" s="142" t="n">
        <f aca="false">IFERROR(IF(OR(NOT(ISNUMBER('Price History'!I32)),NOT(ISNUMBER('Price History'!I31)),'Price History'!I31=0),"",'Price History'!I32/'Price History'!I31-1),"")</f>
        <v>-0.0259711431742508</v>
      </c>
      <c r="J31" s="142" t="n">
        <f aca="false">IFERROR(IF(OR(NOT(ISNUMBER('Price History'!J32)),NOT(ISNUMBER('Price History'!J31)),'Price History'!J31=0),"",'Price History'!J32/'Price History'!J31-1),"")</f>
        <v>-0.0421289730541421</v>
      </c>
      <c r="K31" s="142" t="n">
        <f aca="false">IFERROR(IF(OR(NOT(ISNUMBER('Price History'!K32)),NOT(ISNUMBER('Price History'!K31)),'Price History'!K31=0),"",'Price History'!K32/'Price History'!K31-1),"")</f>
        <v>-0.00217296827466318</v>
      </c>
      <c r="L31" s="142" t="n">
        <f aca="false">IFERROR(IF(OR(NOT(ISNUMBER('Price History'!L32)),NOT(ISNUMBER('Price History'!L31)),'Price History'!L31=0),"",'Price History'!L32/'Price History'!L31-1),"")</f>
        <v>0.0389777811481002</v>
      </c>
      <c r="M31" s="142" t="n">
        <f aca="false">IFERROR(IF(OR(NOT(ISNUMBER('Price History'!M32)),NOT(ISNUMBER('Price History'!M31)),'Price History'!M31=0),"",'Price History'!M32/'Price History'!M31-1),"")</f>
        <v>0.0449465798845634</v>
      </c>
      <c r="N31" s="142" t="n">
        <f aca="false">IFERROR(IF(OR(NOT(ISNUMBER('Price History'!N32)),NOT(ISNUMBER('Price History'!N31)),'Price History'!N31=0),"",'Price History'!N32/'Price History'!N31-1),"")</f>
        <v>-0.0271285375947943</v>
      </c>
      <c r="O31" s="142" t="n">
        <f aca="false">IFERROR(IF(OR(NOT(ISNUMBER('Price History'!O32)),NOT(ISNUMBER('Price History'!O31)),'Price History'!O31=0),"",'Price History'!O32/'Price History'!O31-1),"")</f>
        <v>-0.0215364120781527</v>
      </c>
      <c r="P31" s="142" t="n">
        <f aca="false">IFERROR(IF(OR(NOT(ISNUMBER('Price History'!P32)),NOT(ISNUMBER('Price History'!P31)),'Price History'!P31=0),"",'Price History'!P32/'Price History'!P31-1),"")</f>
        <v>-0.0177651447859301</v>
      </c>
      <c r="Q31" s="142" t="n">
        <f aca="false">IFERROR(IF(OR(NOT(ISNUMBER('Price History'!Q32)),NOT(ISNUMBER('Price History'!Q31)),'Price History'!Q31=0),"",'Price History'!Q32/'Price History'!Q31-1),"")</f>
        <v>-0.00381263616557737</v>
      </c>
      <c r="R31" s="142" t="n">
        <f aca="false">IFERROR(IF(OR(NOT(ISNUMBER('Price History'!R32)),NOT(ISNUMBER('Price History'!R31)),'Price History'!R31=0),"",'Price History'!R32/'Price History'!R31-1),"")</f>
        <v>-0.00417587816261367</v>
      </c>
      <c r="S31" s="142" t="n">
        <f aca="false">IFERROR(IF(OR(NOT(ISNUMBER('Price History'!S32)),NOT(ISNUMBER('Price History'!S31)),'Price History'!S31=0),"",'Price History'!S32/'Price History'!S31-1),"")</f>
        <v>0.00291767093746032</v>
      </c>
      <c r="T31" s="142" t="n">
        <f aca="false">IFERROR(IF(OR(NOT(ISNUMBER('Price History'!T32)),NOT(ISNUMBER('Price History'!T31)),'Price History'!T31=0),"",'Price History'!T32/'Price History'!T31-1),"")</f>
        <v>-0.00255102040816324</v>
      </c>
      <c r="U31" s="142" t="n">
        <f aca="false">IFERROR(IF(OR(NOT(ISNUMBER('Price History'!U32)),NOT(ISNUMBER('Price History'!U31)),'Price History'!U31=0),"",'Price History'!U32/'Price History'!U31-1),"")</f>
        <v>-0.0203832042397065</v>
      </c>
      <c r="V31" s="143" t="n">
        <f aca="false">IFERROR(IF(OR(NOT(ISNUMBER('Price History'!V32)),NOT(ISNUMBER('Price History'!V31)),'Price History'!V31=0),"",'Price History'!V32/'Price History'!V31-1),"")</f>
        <v>-0.00697385716372123</v>
      </c>
      <c r="W31" s="144" t="n">
        <f aca="false">IFERROR('Price History'!B3+(INDEX('Price History'!B:B,MATCH(9.99E+307,'Returns (Calc)'!$A:$A)+1)-'Price History'!B3)*(ROW()-3)/(MATCH(9.99E+307,'Returns (Calc)'!$A:$A)-3),"")</f>
        <v>477.284936708861</v>
      </c>
      <c r="X31" s="144" t="n">
        <f aca="false">IFERROR('Price History'!C3+(INDEX('Price History'!C:C,MATCH(9.99E+307,'Returns (Calc)'!$A:$A)+1)-'Price History'!C3)*(ROW()-3)/(MATCH(9.99E+307,'Returns (Calc)'!$A:$A)-3),"")</f>
        <v>74.7417721518987</v>
      </c>
      <c r="Y31" s="144" t="n">
        <f aca="false">IFERROR('Price History'!D3+(INDEX('Price History'!D:D,MATCH(9.99E+307,'Returns (Calc)'!$A:$A)+1)-'Price History'!D3)*(ROW()-3)/(MATCH(9.99E+307,'Returns (Calc)'!$A:$A)-3),"")</f>
        <v>809.784683544304</v>
      </c>
      <c r="Z31" s="144" t="n">
        <f aca="false">IFERROR('Price History'!E3+(INDEX('Price History'!E:E,MATCH(9.99E+307,'Returns (Calc)'!$A:$A)+1)-'Price History'!E3)*(ROW()-3)/(MATCH(9.99E+307,'Returns (Calc)'!$A:$A)-3),"")</f>
        <v>130.404556962025</v>
      </c>
      <c r="AA31" s="144" t="n">
        <f aca="false">IFERROR('Price History'!F3+(INDEX('Price History'!F:F,MATCH(9.99E+307,'Returns (Calc)'!$A:$A)+1)-'Price History'!F3)*(ROW()-3)/(MATCH(9.99E+307,'Returns (Calc)'!$A:$A)-3),"")</f>
        <v>81.8855696202532</v>
      </c>
      <c r="AB31" s="144" t="n">
        <f aca="false">IFERROR('Price History'!G3+(INDEX('Price History'!G:G,MATCH(9.99E+307,'Returns (Calc)'!$A:$A)+1)-'Price History'!G3)*(ROW()-3)/(MATCH(9.99E+307,'Returns (Calc)'!$A:$A)-3),"")</f>
        <v>73.1545569620253</v>
      </c>
      <c r="AC31" s="144" t="n">
        <f aca="false">IFERROR('Price History'!H3+(INDEX('Price History'!H:H,MATCH(9.99E+307,'Returns (Calc)'!$A:$A)+1)-'Price History'!H3)*(ROW()-3)/(MATCH(9.99E+307,'Returns (Calc)'!$A:$A)-3),"")</f>
        <v>247.349493670886</v>
      </c>
      <c r="AD31" s="144" t="n">
        <f aca="false">IFERROR('Price History'!I3+(INDEX('Price History'!I:I,MATCH(9.99E+307,'Returns (Calc)'!$A:$A)+1)-'Price History'!I3)*(ROW()-3)/(MATCH(9.99E+307,'Returns (Calc)'!$A:$A)-3),"")</f>
        <v>77.4727848101266</v>
      </c>
      <c r="AE31" s="144" t="n">
        <f aca="false">IFERROR('Price History'!J3+(INDEX('Price History'!J:J,MATCH(9.99E+307,'Returns (Calc)'!$A:$A)+1)-'Price History'!J3)*(ROW()-3)/(MATCH(9.99E+307,'Returns (Calc)'!$A:$A)-3),"")</f>
        <v>114.865063291139</v>
      </c>
      <c r="AF31" s="144" t="n">
        <f aca="false">IFERROR('Price History'!K3+(INDEX('Price History'!K:K,MATCH(9.99E+307,'Returns (Calc)'!$A:$A)+1)-'Price History'!K3)*(ROW()-3)/(MATCH(9.99E+307,'Returns (Calc)'!$A:$A)-3),"")</f>
        <v>46.0626582278481</v>
      </c>
      <c r="AG31" s="144" t="n">
        <f aca="false">IFERROR('Price History'!L3+(INDEX('Price History'!L:L,MATCH(9.99E+307,'Returns (Calc)'!$A:$A)+1)-'Price History'!L3)*(ROW()-3)/(MATCH(9.99E+307,'Returns (Calc)'!$A:$A)-3),"")</f>
        <v>154.337594936709</v>
      </c>
      <c r="AH31" s="144" t="n">
        <f aca="false">IFERROR('Price History'!M3+(INDEX('Price History'!M:M,MATCH(9.99E+307,'Returns (Calc)'!$A:$A)+1)-'Price History'!M3)*(ROW()-3)/(MATCH(9.99E+307,'Returns (Calc)'!$A:$A)-3),"")</f>
        <v>75.9724050632912</v>
      </c>
      <c r="AI31" s="144" t="n">
        <f aca="false">IFERROR('Price History'!N3+(INDEX('Price History'!N:N,MATCH(9.99E+307,'Returns (Calc)'!$A:$A)+1)-'Price History'!N3)*(ROW()-3)/(MATCH(9.99E+307,'Returns (Calc)'!$A:$A)-3),"")</f>
        <v>376.515443037975</v>
      </c>
      <c r="AJ31" s="144" t="n">
        <f aca="false">IFERROR('Price History'!O3+(INDEX('Price History'!O:O,MATCH(9.99E+307,'Returns (Calc)'!$A:$A)+1)-'Price History'!O3)*(ROW()-3)/(MATCH(9.99E+307,'Returns (Calc)'!$A:$A)-3),"")</f>
        <v>83.2350632911392</v>
      </c>
      <c r="AK31" s="144" t="n">
        <f aca="false">IFERROR('Price History'!Q3+(INDEX('Price History'!Q:Q,MATCH(9.99E+307,'Returns (Calc)'!$A:$A)+1)-'Price History'!Q3)*(ROW()-3)/(MATCH(9.99E+307,'Returns (Calc)'!$A:$A)-3),"")</f>
        <v>12.3022784810127</v>
      </c>
      <c r="AL31" s="144" t="n">
        <f aca="false">IFERROR('Price History'!R3+(INDEX('Price History'!R:R,MATCH(9.99E+307,'Returns (Calc)'!$A:$A)+1)-'Price History'!R3)*(ROW()-3)/(MATCH(9.99E+307,'Returns (Calc)'!$A:$A)-3),"")</f>
        <v>39.186835443038</v>
      </c>
      <c r="AM31" s="144" t="n">
        <f aca="false">IFERROR('Price History'!S3+(INDEX('Price History'!S:S,MATCH(9.99E+307,'Returns (Calc)'!$A:$A)+1)-'Price History'!S3)*(ROW()-3)/(MATCH(9.99E+307,'Returns (Calc)'!$A:$A)-3),"")</f>
        <v>74.5717721518987</v>
      </c>
      <c r="AN31" s="144" t="n">
        <f aca="false">IFERROR('Price History'!T3+(INDEX('Price History'!T:T,MATCH(9.99E+307,'Returns (Calc)'!$A:$A)+1)-'Price History'!T3)*(ROW()-3)/(MATCH(9.99E+307,'Returns (Calc)'!$A:$A)-3),"")</f>
        <v>29.9503797468354</v>
      </c>
      <c r="AO31" s="145" t="n">
        <f aca="false">IFERROR('Price History'!V3+(INDEX('Price History'!V:V,MATCH(9.99E+307,'Returns (Calc)'!$A:$A)+1)-'Price History'!V3)*(ROW()-3)/(MATCH(9.99E+307,'Returns (Calc)'!$A:$A)-3),"")</f>
        <v>257.787215189873</v>
      </c>
      <c r="AP31" s="143" t="n">
        <f aca="false">IFERROR(IF(OR(NOT(ISNUMBER('Price History'!W32)),NOT(ISNUMBER('Price History'!W31)),'Price History'!W31=0),"",'Price History'!W32/'Price History'!W31-1),"")</f>
        <v>-0.014305898975627</v>
      </c>
      <c r="AQ31" s="143" t="str">
        <f aca="false">IFERROR(IF(OR(NOT(ISNUMBER('Price History'!X32)),NOT(ISNUMBER('Price History'!X31)),'Price History'!X31=0),"",'Price History'!X32/'Price History'!X31-1),"")</f>
        <v/>
      </c>
      <c r="AR31" s="143" t="n">
        <f aca="false">IFERROR(IF(OR(NOT(ISNUMBER('Price History'!Y32)),NOT(ISNUMBER('Price History'!Y31)),'Price History'!Y31=0),"",'Price History'!Y32/'Price History'!Y31-1),"")</f>
        <v>-0.00763844684914061</v>
      </c>
      <c r="AS31" s="143" t="n">
        <f aca="false">IFERROR(IF(OR(NOT(ISNUMBER('Price History'!Z32)),NOT(ISNUMBER('Price History'!Z31)),'Price History'!Z31=0),"",'Price History'!Z32/'Price History'!Z31-1),"")</f>
        <v>0.115716252445475</v>
      </c>
      <c r="AT31" s="143" t="n">
        <f aca="false">IFERROR(IF(OR(NOT(ISNUMBER('Price History'!AA32)),NOT(ISNUMBER('Price History'!AA31)),'Price History'!AA31=0),"",'Price History'!AA32/'Price History'!AA31-1),"")</f>
        <v>0.0475876831878808</v>
      </c>
    </row>
    <row r="32" customFormat="false" ht="15" hidden="false" customHeight="true" outlineLevel="0" collapsed="false">
      <c r="A32" s="141" t="n">
        <f aca="false">IF('Price History'!A33="","",'Price History'!A33)</f>
        <v>45394</v>
      </c>
      <c r="B32" s="142" t="n">
        <f aca="false">IFERROR(IF(OR(NOT(ISNUMBER('Price History'!B33)),NOT(ISNUMBER('Price History'!B32)),'Price History'!B32=0),"",'Price History'!B33/'Price History'!B32-1),"")</f>
        <v>-0.0227366424802111</v>
      </c>
      <c r="C32" s="142" t="n">
        <f aca="false">IFERROR(IF(OR(NOT(ISNUMBER('Price History'!C33)),NOT(ISNUMBER('Price History'!C32)),'Price History'!C32=0),"",'Price History'!C33/'Price History'!C32-1),"")</f>
        <v>-0.0885752688172043</v>
      </c>
      <c r="D32" s="142" t="n">
        <f aca="false">IFERROR(IF(OR(NOT(ISNUMBER('Price History'!D33)),NOT(ISNUMBER('Price History'!D32)),'Price History'!D32=0),"",'Price History'!D33/'Price History'!D32-1),"")</f>
        <v>-0.01807988495566</v>
      </c>
      <c r="E32" s="142" t="n">
        <f aca="false">IFERROR(IF(OR(NOT(ISNUMBER('Price History'!E33)),NOT(ISNUMBER('Price History'!E32)),'Price History'!E32=0),"",'Price History'!E33/'Price History'!E32-1),"")</f>
        <v>0.00343984100290484</v>
      </c>
      <c r="F32" s="142" t="n">
        <f aca="false">IFERROR(IF(OR(NOT(ISNUMBER('Price History'!F33)),NOT(ISNUMBER('Price History'!F32)),'Price History'!F32=0),"",'Price History'!F33/'Price History'!F32-1),"")</f>
        <v>-0.0205375253549694</v>
      </c>
      <c r="G32" s="142" t="n">
        <f aca="false">IFERROR(IF(OR(NOT(ISNUMBER('Price History'!G33)),NOT(ISNUMBER('Price History'!G32)),'Price History'!G32=0),"",'Price History'!G33/'Price History'!G32-1),"")</f>
        <v>-0.00298462915982689</v>
      </c>
      <c r="H32" s="142" t="n">
        <f aca="false">IFERROR(IF(OR(NOT(ISNUMBER('Price History'!H33)),NOT(ISNUMBER('Price History'!H32)),'Price History'!H32=0),"",'Price History'!H33/'Price History'!H32-1),"")</f>
        <v>-0.00855745721271395</v>
      </c>
      <c r="I32" s="142" t="n">
        <f aca="false">IFERROR(IF(OR(NOT(ISNUMBER('Price History'!I33)),NOT(ISNUMBER('Price History'!I32)),'Price History'!I32=0),"",'Price History'!I33/'Price History'!I32-1),"")</f>
        <v>0.00205104831358249</v>
      </c>
      <c r="J32" s="142" t="n">
        <f aca="false">IFERROR(IF(OR(NOT(ISNUMBER('Price History'!J33)),NOT(ISNUMBER('Price History'!J32)),'Price History'!J32=0),"",'Price History'!J33/'Price History'!J32-1),"")</f>
        <v>-0.0459850200313533</v>
      </c>
      <c r="K32" s="142" t="n">
        <f aca="false">IFERROR(IF(OR(NOT(ISNUMBER('Price History'!K33)),NOT(ISNUMBER('Price History'!K32)),'Price History'!K32=0),"",'Price History'!K33/'Price History'!K32-1),"")</f>
        <v>-0.0126306620209059</v>
      </c>
      <c r="L32" s="142" t="n">
        <f aca="false">IFERROR(IF(OR(NOT(ISNUMBER('Price History'!L33)),NOT(ISNUMBER('Price History'!L32)),'Price History'!L32=0),"",'Price History'!L33/'Price History'!L32-1),"")</f>
        <v>0.00824757316984148</v>
      </c>
      <c r="M32" s="142" t="n">
        <f aca="false">IFERROR(IF(OR(NOT(ISNUMBER('Price History'!M33)),NOT(ISNUMBER('Price History'!M32)),'Price History'!M32=0),"",'Price History'!M33/'Price History'!M32-1),"")</f>
        <v>-0.0170407803502175</v>
      </c>
      <c r="N32" s="142" t="n">
        <f aca="false">IFERROR(IF(OR(NOT(ISNUMBER('Price History'!N33)),NOT(ISNUMBER('Price History'!N32)),'Price History'!N32=0),"",'Price History'!N33/'Price History'!N32-1),"")</f>
        <v>-0.0248850419258858</v>
      </c>
      <c r="O32" s="142" t="n">
        <f aca="false">IFERROR(IF(OR(NOT(ISNUMBER('Price History'!O33)),NOT(ISNUMBER('Price History'!O32)),'Price History'!O32=0),"",'Price History'!O33/'Price History'!O32-1),"")</f>
        <v>-0.0308599954617653</v>
      </c>
      <c r="P32" s="142" t="n">
        <f aca="false">IFERROR(IF(OR(NOT(ISNUMBER('Price History'!P33)),NOT(ISNUMBER('Price History'!P32)),'Price History'!P32=0),"",'Price History'!P33/'Price History'!P32-1),"")</f>
        <v>-0.0285765961294989</v>
      </c>
      <c r="Q32" s="142" t="n">
        <f aca="false">IFERROR(IF(OR(NOT(ISNUMBER('Price History'!Q33)),NOT(ISNUMBER('Price History'!Q32)),'Price History'!Q32=0),"",'Price History'!Q33/'Price History'!Q32-1),"")</f>
        <v>-0.00637871332239826</v>
      </c>
      <c r="R32" s="142" t="n">
        <f aca="false">IFERROR(IF(OR(NOT(ISNUMBER('Price History'!R33)),NOT(ISNUMBER('Price History'!R32)),'Price History'!R32=0),"",'Price History'!R33/'Price History'!R32-1),"")</f>
        <v>-0.00345337937839174</v>
      </c>
      <c r="S32" s="142" t="n">
        <f aca="false">IFERROR(IF(OR(NOT(ISNUMBER('Price History'!S33)),NOT(ISNUMBER('Price History'!S32)),'Price History'!S32=0),"",'Price History'!S33/'Price History'!S32-1),"")</f>
        <v>-0.0140399696433089</v>
      </c>
      <c r="T32" s="142" t="n">
        <f aca="false">IFERROR(IF(OR(NOT(ISNUMBER('Price History'!T33)),NOT(ISNUMBER('Price History'!T32)),'Price History'!T32=0),"",'Price History'!T33/'Price History'!T32-1),"")</f>
        <v>-0.0255754475703325</v>
      </c>
      <c r="U32" s="142" t="n">
        <f aca="false">IFERROR(IF(OR(NOT(ISNUMBER('Price History'!U33)),NOT(ISNUMBER('Price History'!U32)),'Price History'!U32=0),"",'Price History'!U33/'Price History'!U32-1),"")</f>
        <v>-0.0278818143986684</v>
      </c>
      <c r="V32" s="143" t="n">
        <f aca="false">IFERROR(IF(OR(NOT(ISNUMBER('Price History'!V33)),NOT(ISNUMBER('Price History'!V32)),'Price History'!V32=0),"",'Price History'!V33/'Price History'!V32-1),"")</f>
        <v>-0.00422840754494991</v>
      </c>
      <c r="W32" s="144" t="n">
        <f aca="false">IFERROR('Price History'!B3+(INDEX('Price History'!B:B,MATCH(9.99E+307,'Returns (Calc)'!$A:$A)+1)-'Price History'!B3)*(ROW()-3)/(MATCH(9.99E+307,'Returns (Calc)'!$A:$A)-3),"")</f>
        <v>475.441898734177</v>
      </c>
      <c r="X32" s="144" t="n">
        <f aca="false">IFERROR('Price History'!C3+(INDEX('Price History'!C:C,MATCH(9.99E+307,'Returns (Calc)'!$A:$A)+1)-'Price History'!C3)*(ROW()-3)/(MATCH(9.99E+307,'Returns (Calc)'!$A:$A)-3),"")</f>
        <v>75.761835443038</v>
      </c>
      <c r="Y32" s="144" t="n">
        <f aca="false">IFERROR('Price History'!D3+(INDEX('Price History'!D:D,MATCH(9.99E+307,'Returns (Calc)'!$A:$A)+1)-'Price History'!D3)*(ROW()-3)/(MATCH(9.99E+307,'Returns (Calc)'!$A:$A)-3),"")</f>
        <v>817.919493670886</v>
      </c>
      <c r="Z32" s="144" t="n">
        <f aca="false">IFERROR('Price History'!E3+(INDEX('Price History'!E:E,MATCH(9.99E+307,'Returns (Calc)'!$A:$A)+1)-'Price History'!E3)*(ROW()-3)/(MATCH(9.99E+307,'Returns (Calc)'!$A:$A)-3),"")</f>
        <v>132.133291139241</v>
      </c>
      <c r="AA32" s="144" t="n">
        <f aca="false">IFERROR('Price History'!F3+(INDEX('Price History'!F:F,MATCH(9.99E+307,'Returns (Calc)'!$A:$A)+1)-'Price History'!F3)*(ROW()-3)/(MATCH(9.99E+307,'Returns (Calc)'!$A:$A)-3),"")</f>
        <v>83.3329113924051</v>
      </c>
      <c r="AB32" s="144" t="n">
        <f aca="false">IFERROR('Price History'!G3+(INDEX('Price History'!G:G,MATCH(9.99E+307,'Returns (Calc)'!$A:$A)+1)-'Price History'!G3)*(ROW()-3)/(MATCH(9.99E+307,'Returns (Calc)'!$A:$A)-3),"")</f>
        <v>74.1832911392405</v>
      </c>
      <c r="AC32" s="144" t="n">
        <f aca="false">IFERROR('Price History'!H3+(INDEX('Price History'!H:H,MATCH(9.99E+307,'Returns (Calc)'!$A:$A)+1)-'Price History'!H3)*(ROW()-3)/(MATCH(9.99E+307,'Returns (Calc)'!$A:$A)-3),"")</f>
        <v>253.715189873418</v>
      </c>
      <c r="AD32" s="144" t="n">
        <f aca="false">IFERROR('Price History'!I3+(INDEX('Price History'!I:I,MATCH(9.99E+307,'Returns (Calc)'!$A:$A)+1)-'Price History'!I3)*(ROW()-3)/(MATCH(9.99E+307,'Returns (Calc)'!$A:$A)-3),"")</f>
        <v>78.6764556962025</v>
      </c>
      <c r="AE32" s="144" t="n">
        <f aca="false">IFERROR('Price History'!J3+(INDEX('Price History'!J:J,MATCH(9.99E+307,'Returns (Calc)'!$A:$A)+1)-'Price History'!J3)*(ROW()-3)/(MATCH(9.99E+307,'Returns (Calc)'!$A:$A)-3),"")</f>
        <v>114.973101265823</v>
      </c>
      <c r="AF32" s="144" t="n">
        <f aca="false">IFERROR('Price History'!K3+(INDEX('Price History'!K:K,MATCH(9.99E+307,'Returns (Calc)'!$A:$A)+1)-'Price History'!K3)*(ROW()-3)/(MATCH(9.99E+307,'Returns (Calc)'!$A:$A)-3),"")</f>
        <v>47.160253164557</v>
      </c>
      <c r="AG32" s="144" t="n">
        <f aca="false">IFERROR('Price History'!L3+(INDEX('Price History'!L:L,MATCH(9.99E+307,'Returns (Calc)'!$A:$A)+1)-'Price History'!L3)*(ROW()-3)/(MATCH(9.99E+307,'Returns (Calc)'!$A:$A)-3),"")</f>
        <v>156.787151898734</v>
      </c>
      <c r="AH32" s="144" t="n">
        <f aca="false">IFERROR('Price History'!M3+(INDEX('Price History'!M:M,MATCH(9.99E+307,'Returns (Calc)'!$A:$A)+1)-'Price History'!M3)*(ROW()-3)/(MATCH(9.99E+307,'Returns (Calc)'!$A:$A)-3),"")</f>
        <v>77.3278481012658</v>
      </c>
      <c r="AI32" s="144" t="n">
        <f aca="false">IFERROR('Price History'!N3+(INDEX('Price History'!N:N,MATCH(9.99E+307,'Returns (Calc)'!$A:$A)+1)-'Price History'!N3)*(ROW()-3)/(MATCH(9.99E+307,'Returns (Calc)'!$A:$A)-3),"")</f>
        <v>377.50170886076</v>
      </c>
      <c r="AJ32" s="144" t="n">
        <f aca="false">IFERROR('Price History'!O3+(INDEX('Price History'!O:O,MATCH(9.99E+307,'Returns (Calc)'!$A:$A)+1)-'Price History'!O3)*(ROW()-3)/(MATCH(9.99E+307,'Returns (Calc)'!$A:$A)-3),"")</f>
        <v>83.5181012658228</v>
      </c>
      <c r="AK32" s="144" t="n">
        <f aca="false">IFERROR('Price History'!Q3+(INDEX('Price History'!Q:Q,MATCH(9.99E+307,'Returns (Calc)'!$A:$A)+1)-'Price History'!Q3)*(ROW()-3)/(MATCH(9.99E+307,'Returns (Calc)'!$A:$A)-3),"")</f>
        <v>12.7416455696203</v>
      </c>
      <c r="AL32" s="144" t="n">
        <f aca="false">IFERROR('Price History'!R3+(INDEX('Price History'!R:R,MATCH(9.99E+307,'Returns (Calc)'!$A:$A)+1)-'Price History'!R3)*(ROW()-3)/(MATCH(9.99E+307,'Returns (Calc)'!$A:$A)-3),"")</f>
        <v>39.3549367088608</v>
      </c>
      <c r="AM32" s="144" t="n">
        <f aca="false">IFERROR('Price History'!S3+(INDEX('Price History'!S:S,MATCH(9.99E+307,'Returns (Calc)'!$A:$A)+1)-'Price History'!S3)*(ROW()-3)/(MATCH(9.99E+307,'Returns (Calc)'!$A:$A)-3),"")</f>
        <v>75.176835443038</v>
      </c>
      <c r="AN32" s="144" t="n">
        <f aca="false">IFERROR('Price History'!T3+(INDEX('Price History'!T:T,MATCH(9.99E+307,'Returns (Calc)'!$A:$A)+1)-'Price History'!T3)*(ROW()-3)/(MATCH(9.99E+307,'Returns (Calc)'!$A:$A)-3),"")</f>
        <v>30.1186075949367</v>
      </c>
      <c r="AO32" s="145" t="n">
        <f aca="false">IFERROR('Price History'!V3+(INDEX('Price History'!V:V,MATCH(9.99E+307,'Returns (Calc)'!$A:$A)+1)-'Price History'!V3)*(ROW()-3)/(MATCH(9.99E+307,'Returns (Calc)'!$A:$A)-3),"")</f>
        <v>258.578544303797</v>
      </c>
      <c r="AP32" s="143" t="n">
        <f aca="false">IFERROR(IF(OR(NOT(ISNUMBER('Price History'!W33)),NOT(ISNUMBER('Price History'!W32)),'Price History'!W32=0),"",'Price History'!W33/'Price History'!W32-1),"")</f>
        <v>-0.0265185450636087</v>
      </c>
      <c r="AQ32" s="143" t="str">
        <f aca="false">IFERROR(IF(OR(NOT(ISNUMBER('Price History'!X33)),NOT(ISNUMBER('Price History'!X32)),'Price History'!X32=0),"",'Price History'!X33/'Price History'!X32-1),"")</f>
        <v/>
      </c>
      <c r="AR32" s="143" t="n">
        <f aca="false">IFERROR(IF(OR(NOT(ISNUMBER('Price History'!Y33)),NOT(ISNUMBER('Price History'!Y32)),'Price History'!Y32=0),"",'Price History'!Y33/'Price History'!Y32-1),"")</f>
        <v>-0.0153944836433613</v>
      </c>
      <c r="AS32" s="143" t="n">
        <f aca="false">IFERROR(IF(OR(NOT(ISNUMBER('Price History'!Z33)),NOT(ISNUMBER('Price History'!Z32)),'Price History'!Z32=0),"",'Price History'!Z33/'Price History'!Z32-1),"")</f>
        <v>-0.00896220288349137</v>
      </c>
      <c r="AT32" s="143" t="n">
        <f aca="false">IFERROR(IF(OR(NOT(ISNUMBER('Price History'!AA33)),NOT(ISNUMBER('Price History'!AA32)),'Price History'!AA32=0),"",'Price History'!AA33/'Price History'!AA32-1),"")</f>
        <v>-0.0210625589437283</v>
      </c>
    </row>
    <row r="33" customFormat="false" ht="15" hidden="false" customHeight="true" outlineLevel="0" collapsed="false">
      <c r="A33" s="141" t="n">
        <f aca="false">IF('Price History'!A34="","",'Price History'!A34)</f>
        <v>45401</v>
      </c>
      <c r="B33" s="142" t="n">
        <f aca="false">IFERROR(IF(OR(NOT(ISNUMBER('Price History'!B34)),NOT(ISNUMBER('Price History'!B33)),'Price History'!B33=0),"",'Price History'!B34/'Price History'!B33-1),"")</f>
        <v>-0.0191313885549157</v>
      </c>
      <c r="C33" s="142" t="n">
        <f aca="false">IFERROR(IF(OR(NOT(ISNUMBER('Price History'!C34)),NOT(ISNUMBER('Price History'!C33)),'Price History'!C33=0),"",'Price History'!C34/'Price History'!C33-1),"")</f>
        <v>-0.0927591800619377</v>
      </c>
      <c r="D33" s="142" t="n">
        <f aca="false">IFERROR(IF(OR(NOT(ISNUMBER('Price History'!D34)),NOT(ISNUMBER('Price History'!D33)),'Price History'!D33=0),"",'Price History'!D34/'Price History'!D33-1),"")</f>
        <v>-0.106359044020886</v>
      </c>
      <c r="E33" s="142" t="n">
        <f aca="false">IFERROR(IF(OR(NOT(ISNUMBER('Price History'!E34)),NOT(ISNUMBER('Price History'!E33)),'Price History'!E33=0),"",'Price History'!E34/'Price History'!E33-1),"")</f>
        <v>-0.103679439323532</v>
      </c>
      <c r="F33" s="142" t="n">
        <f aca="false">IFERROR(IF(OR(NOT(ISNUMBER('Price History'!F34)),NOT(ISNUMBER('Price History'!F33)),'Price History'!F33=0),"",'Price History'!F34/'Price History'!F33-1),"")</f>
        <v>-0.0854258348433861</v>
      </c>
      <c r="G33" s="142" t="n">
        <f aca="false">IFERROR(IF(OR(NOT(ISNUMBER('Price History'!G34)),NOT(ISNUMBER('Price History'!G33)),'Price History'!G33=0),"",'Price History'!G34/'Price History'!G33-1),"")</f>
        <v>-0.0773836252058076</v>
      </c>
      <c r="H33" s="142" t="n">
        <f aca="false">IFERROR(IF(OR(NOT(ISNUMBER('Price History'!H34)),NOT(ISNUMBER('Price History'!H33)),'Price History'!H33=0),"",'Price History'!H34/'Price History'!H33-1),"")</f>
        <v>-0.128565556925606</v>
      </c>
      <c r="I33" s="142" t="n">
        <f aca="false">IFERROR(IF(OR(NOT(ISNUMBER('Price History'!I34)),NOT(ISNUMBER('Price History'!I33)),'Price History'!I33=0),"",'Price History'!I34/'Price History'!I33-1),"")</f>
        <v>-0.136001819422333</v>
      </c>
      <c r="J33" s="142" t="n">
        <f aca="false">IFERROR(IF(OR(NOT(ISNUMBER('Price History'!J34)),NOT(ISNUMBER('Price History'!J33)),'Price History'!J33=0),"",'Price History'!J34/'Price History'!J33-1),"")</f>
        <v>-0.130363337593573</v>
      </c>
      <c r="K33" s="142" t="n">
        <f aca="false">IFERROR(IF(OR(NOT(ISNUMBER('Price History'!K34)),NOT(ISNUMBER('Price History'!K33)),'Price History'!K33=0),"",'Price History'!K34/'Price History'!K33-1),"")</f>
        <v>-0.0970445522717248</v>
      </c>
      <c r="L33" s="142" t="n">
        <f aca="false">IFERROR(IF(OR(NOT(ISNUMBER('Price History'!L34)),NOT(ISNUMBER('Price History'!L33)),'Price History'!L33=0),"",'Price History'!L34/'Price History'!L33-1),"")</f>
        <v>-0.104024902273056</v>
      </c>
      <c r="M33" s="142" t="n">
        <f aca="false">IFERROR(IF(OR(NOT(ISNUMBER('Price History'!M34)),NOT(ISNUMBER('Price History'!M33)),'Price History'!M33=0),"",'Price History'!M34/'Price History'!M33-1),"")</f>
        <v>-0.105810616929699</v>
      </c>
      <c r="N33" s="142" t="n">
        <f aca="false">IFERROR(IF(OR(NOT(ISNUMBER('Price History'!N34)),NOT(ISNUMBER('Price History'!N33)),'Price History'!N33=0),"",'Price History'!N34/'Price History'!N33-1),"")</f>
        <v>-0.00572437271466408</v>
      </c>
      <c r="O33" s="142" t="n">
        <f aca="false">IFERROR(IF(OR(NOT(ISNUMBER('Price History'!O34)),NOT(ISNUMBER('Price History'!O33)),'Price History'!O33=0),"",'Price History'!O34/'Price History'!O33-1),"")</f>
        <v>-0.00901428236946844</v>
      </c>
      <c r="P33" s="142" t="n">
        <f aca="false">IFERROR(IF(OR(NOT(ISNUMBER('Price History'!P34)),NOT(ISNUMBER('Price History'!P33)),'Price History'!P33=0),"",'Price History'!P34/'Price History'!P33-1),"")</f>
        <v>0.00986780860175007</v>
      </c>
      <c r="Q33" s="142" t="n">
        <f aca="false">IFERROR(IF(OR(NOT(ISNUMBER('Price History'!Q34)),NOT(ISNUMBER('Price History'!Q33)),'Price History'!Q33=0),"",'Price History'!Q34/'Price History'!Q33-1),"")</f>
        <v>-0.0194424064563463</v>
      </c>
      <c r="R33" s="142" t="n">
        <f aca="false">IFERROR(IF(OR(NOT(ISNUMBER('Price History'!R34)),NOT(ISNUMBER('Price History'!R33)),'Price History'!R33=0),"",'Price History'!R34/'Price History'!R33-1),"")</f>
        <v>-0.048019801980198</v>
      </c>
      <c r="S33" s="142" t="n">
        <f aca="false">IFERROR(IF(OR(NOT(ISNUMBER('Price History'!S34)),NOT(ISNUMBER('Price History'!S33)),'Price History'!S33=0),"",'Price History'!S34/'Price History'!S33-1),"")</f>
        <v>-0.0568313021167416</v>
      </c>
      <c r="T33" s="142" t="n">
        <f aca="false">IFERROR(IF(OR(NOT(ISNUMBER('Price History'!T34)),NOT(ISNUMBER('Price History'!T33)),'Price History'!T33=0),"",'Price History'!T34/'Price History'!T33-1),"")</f>
        <v>-0.0177165354330708</v>
      </c>
      <c r="U33" s="142" t="n">
        <f aca="false">IFERROR(IF(OR(NOT(ISNUMBER('Price History'!U34)),NOT(ISNUMBER('Price History'!U33)),'Price History'!U33=0),"",'Price History'!U34/'Price History'!U33-1),"")</f>
        <v>-0.00171232876712324</v>
      </c>
      <c r="V33" s="143" t="n">
        <f aca="false">IFERROR(IF(OR(NOT(ISNUMBER('Price History'!V34)),NOT(ISNUMBER('Price History'!V33)),'Price History'!V33=0),"",'Price History'!V34/'Price History'!V33-1),"")</f>
        <v>-0.0224134111217783</v>
      </c>
      <c r="W33" s="144" t="n">
        <f aca="false">IFERROR('Price History'!B3+(INDEX('Price History'!B:B,MATCH(9.99E+307,'Returns (Calc)'!$A:$A)+1)-'Price History'!B3)*(ROW()-3)/(MATCH(9.99E+307,'Returns (Calc)'!$A:$A)-3),"")</f>
        <v>473.598860759494</v>
      </c>
      <c r="X33" s="144" t="n">
        <f aca="false">IFERROR('Price History'!C3+(INDEX('Price History'!C:C,MATCH(9.99E+307,'Returns (Calc)'!$A:$A)+1)-'Price History'!C3)*(ROW()-3)/(MATCH(9.99E+307,'Returns (Calc)'!$A:$A)-3),"")</f>
        <v>76.7818987341772</v>
      </c>
      <c r="Y33" s="144" t="n">
        <f aca="false">IFERROR('Price History'!D3+(INDEX('Price History'!D:D,MATCH(9.99E+307,'Returns (Calc)'!$A:$A)+1)-'Price History'!D3)*(ROW()-3)/(MATCH(9.99E+307,'Returns (Calc)'!$A:$A)-3),"")</f>
        <v>826.054303797468</v>
      </c>
      <c r="Z33" s="144" t="n">
        <f aca="false">IFERROR('Price History'!E3+(INDEX('Price History'!E:E,MATCH(9.99E+307,'Returns (Calc)'!$A:$A)+1)-'Price History'!E3)*(ROW()-3)/(MATCH(9.99E+307,'Returns (Calc)'!$A:$A)-3),"")</f>
        <v>133.862025316456</v>
      </c>
      <c r="AA33" s="144" t="n">
        <f aca="false">IFERROR('Price History'!F3+(INDEX('Price History'!F:F,MATCH(9.99E+307,'Returns (Calc)'!$A:$A)+1)-'Price History'!F3)*(ROW()-3)/(MATCH(9.99E+307,'Returns (Calc)'!$A:$A)-3),"")</f>
        <v>84.780253164557</v>
      </c>
      <c r="AB33" s="144" t="n">
        <f aca="false">IFERROR('Price History'!G3+(INDEX('Price History'!G:G,MATCH(9.99E+307,'Returns (Calc)'!$A:$A)+1)-'Price History'!G3)*(ROW()-3)/(MATCH(9.99E+307,'Returns (Calc)'!$A:$A)-3),"")</f>
        <v>75.2120253164557</v>
      </c>
      <c r="AC33" s="144" t="n">
        <f aca="false">IFERROR('Price History'!H3+(INDEX('Price History'!H:H,MATCH(9.99E+307,'Returns (Calc)'!$A:$A)+1)-'Price History'!H3)*(ROW()-3)/(MATCH(9.99E+307,'Returns (Calc)'!$A:$A)-3),"")</f>
        <v>260.080886075949</v>
      </c>
      <c r="AD33" s="144" t="n">
        <f aca="false">IFERROR('Price History'!I3+(INDEX('Price History'!I:I,MATCH(9.99E+307,'Returns (Calc)'!$A:$A)+1)-'Price History'!I3)*(ROW()-3)/(MATCH(9.99E+307,'Returns (Calc)'!$A:$A)-3),"")</f>
        <v>79.8801265822785</v>
      </c>
      <c r="AE33" s="144" t="n">
        <f aca="false">IFERROR('Price History'!J3+(INDEX('Price History'!J:J,MATCH(9.99E+307,'Returns (Calc)'!$A:$A)+1)-'Price History'!J3)*(ROW()-3)/(MATCH(9.99E+307,'Returns (Calc)'!$A:$A)-3),"")</f>
        <v>115.081139240506</v>
      </c>
      <c r="AF33" s="144" t="n">
        <f aca="false">IFERROR('Price History'!K3+(INDEX('Price History'!K:K,MATCH(9.99E+307,'Returns (Calc)'!$A:$A)+1)-'Price History'!K3)*(ROW()-3)/(MATCH(9.99E+307,'Returns (Calc)'!$A:$A)-3),"")</f>
        <v>48.2578481012658</v>
      </c>
      <c r="AG33" s="144" t="n">
        <f aca="false">IFERROR('Price History'!L3+(INDEX('Price History'!L:L,MATCH(9.99E+307,'Returns (Calc)'!$A:$A)+1)-'Price History'!L3)*(ROW()-3)/(MATCH(9.99E+307,'Returns (Calc)'!$A:$A)-3),"")</f>
        <v>159.23670886076</v>
      </c>
      <c r="AH33" s="144" t="n">
        <f aca="false">IFERROR('Price History'!M3+(INDEX('Price History'!M:M,MATCH(9.99E+307,'Returns (Calc)'!$A:$A)+1)-'Price History'!M3)*(ROW()-3)/(MATCH(9.99E+307,'Returns (Calc)'!$A:$A)-3),"")</f>
        <v>78.6832911392405</v>
      </c>
      <c r="AI33" s="144" t="n">
        <f aca="false">IFERROR('Price History'!N3+(INDEX('Price History'!N:N,MATCH(9.99E+307,'Returns (Calc)'!$A:$A)+1)-'Price History'!N3)*(ROW()-3)/(MATCH(9.99E+307,'Returns (Calc)'!$A:$A)-3),"")</f>
        <v>378.487974683544</v>
      </c>
      <c r="AJ33" s="144" t="n">
        <f aca="false">IFERROR('Price History'!O3+(INDEX('Price History'!O:O,MATCH(9.99E+307,'Returns (Calc)'!$A:$A)+1)-'Price History'!O3)*(ROW()-3)/(MATCH(9.99E+307,'Returns (Calc)'!$A:$A)-3),"")</f>
        <v>83.8011392405063</v>
      </c>
      <c r="AK33" s="144" t="n">
        <f aca="false">IFERROR('Price History'!Q3+(INDEX('Price History'!Q:Q,MATCH(9.99E+307,'Returns (Calc)'!$A:$A)+1)-'Price History'!Q3)*(ROW()-3)/(MATCH(9.99E+307,'Returns (Calc)'!$A:$A)-3),"")</f>
        <v>13.1810126582278</v>
      </c>
      <c r="AL33" s="144" t="n">
        <f aca="false">IFERROR('Price History'!R3+(INDEX('Price History'!R:R,MATCH(9.99E+307,'Returns (Calc)'!$A:$A)+1)-'Price History'!R3)*(ROW()-3)/(MATCH(9.99E+307,'Returns (Calc)'!$A:$A)-3),"")</f>
        <v>39.5230379746835</v>
      </c>
      <c r="AM33" s="144" t="n">
        <f aca="false">IFERROR('Price History'!S3+(INDEX('Price History'!S:S,MATCH(9.99E+307,'Returns (Calc)'!$A:$A)+1)-'Price History'!S3)*(ROW()-3)/(MATCH(9.99E+307,'Returns (Calc)'!$A:$A)-3),"")</f>
        <v>75.7818987341772</v>
      </c>
      <c r="AN33" s="144" t="n">
        <f aca="false">IFERROR('Price History'!T3+(INDEX('Price History'!T:T,MATCH(9.99E+307,'Returns (Calc)'!$A:$A)+1)-'Price History'!T3)*(ROW()-3)/(MATCH(9.99E+307,'Returns (Calc)'!$A:$A)-3),"")</f>
        <v>30.286835443038</v>
      </c>
      <c r="AO33" s="145" t="n">
        <f aca="false">IFERROR('Price History'!V3+(INDEX('Price History'!V:V,MATCH(9.99E+307,'Returns (Calc)'!$A:$A)+1)-'Price History'!V3)*(ROW()-3)/(MATCH(9.99E+307,'Returns (Calc)'!$A:$A)-3),"")</f>
        <v>259.369873417722</v>
      </c>
      <c r="AP33" s="143" t="n">
        <f aca="false">IFERROR(IF(OR(NOT(ISNUMBER('Price History'!W34)),NOT(ISNUMBER('Price History'!W33)),'Price History'!W33=0),"",'Price History'!W34/'Price History'!W33-1),"")</f>
        <v>-0.00138045278851451</v>
      </c>
      <c r="AQ33" s="143" t="str">
        <f aca="false">IFERROR(IF(OR(NOT(ISNUMBER('Price History'!X34)),NOT(ISNUMBER('Price History'!X33)),'Price History'!X33=0),"",'Price History'!X34/'Price History'!X33-1),"")</f>
        <v/>
      </c>
      <c r="AR33" s="143" t="n">
        <f aca="false">IFERROR(IF(OR(NOT(ISNUMBER('Price History'!Y34)),NOT(ISNUMBER('Price History'!Y33)),'Price History'!Y33=0),"",'Price History'!Y34/'Price History'!Y33-1),"")</f>
        <v>-0.0132464712269272</v>
      </c>
      <c r="AS33" s="143" t="n">
        <f aca="false">IFERROR(IF(OR(NOT(ISNUMBER('Price History'!Z34)),NOT(ISNUMBER('Price History'!Z33)),'Price History'!Z33=0),"",'Price History'!Z34/'Price History'!Z33-1),"")</f>
        <v>-0.0424639580602882</v>
      </c>
      <c r="AT33" s="143" t="n">
        <f aca="false">IFERROR(IF(OR(NOT(ISNUMBER('Price History'!AA34)),NOT(ISNUMBER('Price History'!AA33)),'Price History'!AA33=0),"",'Price History'!AA34/'Price History'!AA33-1),"")</f>
        <v>-0.108863198458574</v>
      </c>
    </row>
    <row r="34" customFormat="false" ht="15" hidden="false" customHeight="true" outlineLevel="0" collapsed="false">
      <c r="A34" s="141" t="n">
        <f aca="false">IF('Price History'!A35="","",'Price History'!A35)</f>
        <v>45408</v>
      </c>
      <c r="B34" s="142" t="n">
        <f aca="false">IFERROR(IF(OR(NOT(ISNUMBER('Price History'!B35)),NOT(ISNUMBER('Price History'!B34)),'Price History'!B34=0),"",'Price History'!B35/'Price History'!B34-1),"")</f>
        <v>0.0269665820824911</v>
      </c>
      <c r="C34" s="142" t="n">
        <f aca="false">IFERROR(IF(OR(NOT(ISNUMBER('Price History'!C35)),NOT(ISNUMBER('Price History'!C34)),'Price History'!C34=0),"",'Price History'!C35/'Price History'!C34-1),"")</f>
        <v>0.0757477243172953</v>
      </c>
      <c r="D34" s="142" t="n">
        <f aca="false">IFERROR(IF(OR(NOT(ISNUMBER('Price History'!D35)),NOT(ISNUMBER('Price History'!D34)),'Price History'!D34=0),"",'Price History'!D35/'Price History'!D34-1),"")</f>
        <v>0.0713607106381968</v>
      </c>
      <c r="E34" s="142" t="n">
        <f aca="false">IFERROR(IF(OR(NOT(ISNUMBER('Price History'!E35)),NOT(ISNUMBER('Price History'!E34)),'Price History'!E34=0),"",'Price History'!E35/'Price History'!E34-1),"")</f>
        <v>0.115672276049635</v>
      </c>
      <c r="F34" s="142" t="n">
        <f aca="false">IFERROR(IF(OR(NOT(ISNUMBER('Price History'!F35)),NOT(ISNUMBER('Price History'!F34)),'Price History'!F34=0),"",'Price History'!F35/'Price History'!F34-1),"")</f>
        <v>0.0758562128502689</v>
      </c>
      <c r="G34" s="142" t="n">
        <f aca="false">IFERROR(IF(OR(NOT(ISNUMBER('Price History'!G35)),NOT(ISNUMBER('Price History'!G34)),'Price History'!G34=0),"",'Price History'!G35/'Price History'!G34-1),"")</f>
        <v>0.124432186891629</v>
      </c>
      <c r="H34" s="142" t="n">
        <f aca="false">IFERROR(IF(OR(NOT(ISNUMBER('Price History'!H35)),NOT(ISNUMBER('Price History'!H34)),'Price History'!H34=0),"",'Price History'!H35/'Price History'!H34-1),"")</f>
        <v>0.0755589095368361</v>
      </c>
      <c r="I34" s="142" t="n">
        <f aca="false">IFERROR(IF(OR(NOT(ISNUMBER('Price History'!I35)),NOT(ISNUMBER('Price History'!I34)),'Price History'!I34=0),"",'Price History'!I35/'Price History'!I34-1),"")</f>
        <v>0.151487233482495</v>
      </c>
      <c r="J34" s="142" t="n">
        <f aca="false">IFERROR(IF(OR(NOT(ISNUMBER('Price History'!J35)),NOT(ISNUMBER('Price History'!J34)),'Price History'!J34=0),"",'Price History'!J35/'Price History'!J34-1),"")</f>
        <v>0.00556372034432084</v>
      </c>
      <c r="K34" s="142" t="n">
        <f aca="false">IFERROR(IF(OR(NOT(ISNUMBER('Price History'!K35)),NOT(ISNUMBER('Price History'!K34)),'Price History'!K34=0),"",'Price History'!K35/'Price History'!K34-1),"")</f>
        <v>0.100146555935515</v>
      </c>
      <c r="L34" s="142" t="n">
        <f aca="false">IFERROR(IF(OR(NOT(ISNUMBER('Price History'!L35)),NOT(ISNUMBER('Price History'!L34)),'Price History'!L34=0),"",'Price History'!L35/'Price History'!L34-1),"")</f>
        <v>0.0830572836713259</v>
      </c>
      <c r="M34" s="142" t="n">
        <f aca="false">IFERROR(IF(OR(NOT(ISNUMBER('Price History'!M35)),NOT(ISNUMBER('Price History'!M34)),'Price History'!M34=0),"",'Price History'!M35/'Price History'!M34-1),"")</f>
        <v>0.246289610910549</v>
      </c>
      <c r="N34" s="142" t="n">
        <f aca="false">IFERROR(IF(OR(NOT(ISNUMBER('Price History'!N35)),NOT(ISNUMBER('Price History'!N34)),'Price History'!N34=0),"",'Price History'!N35/'Price History'!N34-1),"")</f>
        <v>0.00811605965303852</v>
      </c>
      <c r="O34" s="142" t="n">
        <f aca="false">IFERROR(IF(OR(NOT(ISNUMBER('Price History'!O35)),NOT(ISNUMBER('Price History'!O34)),'Price History'!O34=0),"",'Price History'!O35/'Price History'!O34-1),"")</f>
        <v>0.0248080330773774</v>
      </c>
      <c r="P34" s="142" t="n">
        <f aca="false">IFERROR(IF(OR(NOT(ISNUMBER('Price History'!P35)),NOT(ISNUMBER('Price History'!P34)),'Price History'!P34=0),"",'Price History'!P35/'Price History'!P34-1),"")</f>
        <v>0.00912610619469012</v>
      </c>
      <c r="Q34" s="142" t="n">
        <f aca="false">IFERROR(IF(OR(NOT(ISNUMBER('Price History'!Q35)),NOT(ISNUMBER('Price History'!Q34)),'Price History'!Q34=0),"",'Price History'!Q35/'Price History'!Q34-1),"")</f>
        <v>0.0205761316872428</v>
      </c>
      <c r="R34" s="142" t="n">
        <f aca="false">IFERROR(IF(OR(NOT(ISNUMBER('Price History'!R35)),NOT(ISNUMBER('Price History'!R34)),'Price History'!R34=0),"",'Price History'!R35/'Price History'!R34-1),"")</f>
        <v>0.0358814352574104</v>
      </c>
      <c r="S34" s="142" t="n">
        <f aca="false">IFERROR(IF(OR(NOT(ISNUMBER('Price History'!S35)),NOT(ISNUMBER('Price History'!S34)),'Price History'!S34=0),"",'Price History'!S35/'Price History'!S34-1),"")</f>
        <v>0.0300598476605007</v>
      </c>
      <c r="T34" s="142" t="n">
        <f aca="false">IFERROR(IF(OR(NOT(ISNUMBER('Price History'!T35)),NOT(ISNUMBER('Price History'!T34)),'Price History'!T34=0),"",'Price History'!T35/'Price History'!T34-1),"")</f>
        <v>0.0123580494321975</v>
      </c>
      <c r="U34" s="142" t="n">
        <f aca="false">IFERROR(IF(OR(NOT(ISNUMBER('Price History'!U35)),NOT(ISNUMBER('Price History'!U34)),'Price History'!U34=0),"",'Price History'!U35/'Price History'!U34-1),"")</f>
        <v>0.010720411663808</v>
      </c>
      <c r="V34" s="143" t="n">
        <f aca="false">IFERROR(IF(OR(NOT(ISNUMBER('Price History'!V35)),NOT(ISNUMBER('Price History'!V34)),'Price History'!V34=0),"",'Price History'!V35/'Price History'!V34-1),"")</f>
        <v>0.0175637393767705</v>
      </c>
      <c r="W34" s="144" t="n">
        <f aca="false">IFERROR('Price History'!B3+(INDEX('Price History'!B:B,MATCH(9.99E+307,'Returns (Calc)'!$A:$A)+1)-'Price History'!B3)*(ROW()-3)/(MATCH(9.99E+307,'Returns (Calc)'!$A:$A)-3),"")</f>
        <v>471.75582278481</v>
      </c>
      <c r="X34" s="144" t="n">
        <f aca="false">IFERROR('Price History'!C3+(INDEX('Price History'!C:C,MATCH(9.99E+307,'Returns (Calc)'!$A:$A)+1)-'Price History'!C3)*(ROW()-3)/(MATCH(9.99E+307,'Returns (Calc)'!$A:$A)-3),"")</f>
        <v>77.8019620253165</v>
      </c>
      <c r="Y34" s="144" t="n">
        <f aca="false">IFERROR('Price History'!D3+(INDEX('Price History'!D:D,MATCH(9.99E+307,'Returns (Calc)'!$A:$A)+1)-'Price History'!D3)*(ROW()-3)/(MATCH(9.99E+307,'Returns (Calc)'!$A:$A)-3),"")</f>
        <v>834.189113924051</v>
      </c>
      <c r="Z34" s="144" t="n">
        <f aca="false">IFERROR('Price History'!E3+(INDEX('Price History'!E:E,MATCH(9.99E+307,'Returns (Calc)'!$A:$A)+1)-'Price History'!E3)*(ROW()-3)/(MATCH(9.99E+307,'Returns (Calc)'!$A:$A)-3),"")</f>
        <v>135.590759493671</v>
      </c>
      <c r="AA34" s="144" t="n">
        <f aca="false">IFERROR('Price History'!F3+(INDEX('Price History'!F:F,MATCH(9.99E+307,'Returns (Calc)'!$A:$A)+1)-'Price History'!F3)*(ROW()-3)/(MATCH(9.99E+307,'Returns (Calc)'!$A:$A)-3),"")</f>
        <v>86.2275949367089</v>
      </c>
      <c r="AB34" s="144" t="n">
        <f aca="false">IFERROR('Price History'!G3+(INDEX('Price History'!G:G,MATCH(9.99E+307,'Returns (Calc)'!$A:$A)+1)-'Price History'!G3)*(ROW()-3)/(MATCH(9.99E+307,'Returns (Calc)'!$A:$A)-3),"")</f>
        <v>76.2407594936709</v>
      </c>
      <c r="AC34" s="144" t="n">
        <f aca="false">IFERROR('Price History'!H3+(INDEX('Price History'!H:H,MATCH(9.99E+307,'Returns (Calc)'!$A:$A)+1)-'Price History'!H3)*(ROW()-3)/(MATCH(9.99E+307,'Returns (Calc)'!$A:$A)-3),"")</f>
        <v>266.446582278481</v>
      </c>
      <c r="AD34" s="144" t="n">
        <f aca="false">IFERROR('Price History'!I3+(INDEX('Price History'!I:I,MATCH(9.99E+307,'Returns (Calc)'!$A:$A)+1)-'Price History'!I3)*(ROW()-3)/(MATCH(9.99E+307,'Returns (Calc)'!$A:$A)-3),"")</f>
        <v>81.0837974683544</v>
      </c>
      <c r="AE34" s="144" t="n">
        <f aca="false">IFERROR('Price History'!J3+(INDEX('Price History'!J:J,MATCH(9.99E+307,'Returns (Calc)'!$A:$A)+1)-'Price History'!J3)*(ROW()-3)/(MATCH(9.99E+307,'Returns (Calc)'!$A:$A)-3),"")</f>
        <v>115.18917721519</v>
      </c>
      <c r="AF34" s="144" t="n">
        <f aca="false">IFERROR('Price History'!K3+(INDEX('Price History'!K:K,MATCH(9.99E+307,'Returns (Calc)'!$A:$A)+1)-'Price History'!K3)*(ROW()-3)/(MATCH(9.99E+307,'Returns (Calc)'!$A:$A)-3),"")</f>
        <v>49.3554430379747</v>
      </c>
      <c r="AG34" s="144" t="n">
        <f aca="false">IFERROR('Price History'!L3+(INDEX('Price History'!L:L,MATCH(9.99E+307,'Returns (Calc)'!$A:$A)+1)-'Price History'!L3)*(ROW()-3)/(MATCH(9.99E+307,'Returns (Calc)'!$A:$A)-3),"")</f>
        <v>161.686265822785</v>
      </c>
      <c r="AH34" s="144" t="n">
        <f aca="false">IFERROR('Price History'!M3+(INDEX('Price History'!M:M,MATCH(9.99E+307,'Returns (Calc)'!$A:$A)+1)-'Price History'!M3)*(ROW()-3)/(MATCH(9.99E+307,'Returns (Calc)'!$A:$A)-3),"")</f>
        <v>80.0387341772152</v>
      </c>
      <c r="AI34" s="144" t="n">
        <f aca="false">IFERROR('Price History'!N3+(INDEX('Price History'!N:N,MATCH(9.99E+307,'Returns (Calc)'!$A:$A)+1)-'Price History'!N3)*(ROW()-3)/(MATCH(9.99E+307,'Returns (Calc)'!$A:$A)-3),"")</f>
        <v>379.474240506329</v>
      </c>
      <c r="AJ34" s="144" t="n">
        <f aca="false">IFERROR('Price History'!O3+(INDEX('Price History'!O:O,MATCH(9.99E+307,'Returns (Calc)'!$A:$A)+1)-'Price History'!O3)*(ROW()-3)/(MATCH(9.99E+307,'Returns (Calc)'!$A:$A)-3),"")</f>
        <v>84.0841772151899</v>
      </c>
      <c r="AK34" s="144" t="n">
        <f aca="false">IFERROR('Price History'!Q3+(INDEX('Price History'!Q:Q,MATCH(9.99E+307,'Returns (Calc)'!$A:$A)+1)-'Price History'!Q3)*(ROW()-3)/(MATCH(9.99E+307,'Returns (Calc)'!$A:$A)-3),"")</f>
        <v>13.6203797468354</v>
      </c>
      <c r="AL34" s="144" t="n">
        <f aca="false">IFERROR('Price History'!R3+(INDEX('Price History'!R:R,MATCH(9.99E+307,'Returns (Calc)'!$A:$A)+1)-'Price History'!R3)*(ROW()-3)/(MATCH(9.99E+307,'Returns (Calc)'!$A:$A)-3),"")</f>
        <v>39.6911392405063</v>
      </c>
      <c r="AM34" s="144" t="n">
        <f aca="false">IFERROR('Price History'!S3+(INDEX('Price History'!S:S,MATCH(9.99E+307,'Returns (Calc)'!$A:$A)+1)-'Price History'!S3)*(ROW()-3)/(MATCH(9.99E+307,'Returns (Calc)'!$A:$A)-3),"")</f>
        <v>76.3869620253165</v>
      </c>
      <c r="AN34" s="144" t="n">
        <f aca="false">IFERROR('Price History'!T3+(INDEX('Price History'!T:T,MATCH(9.99E+307,'Returns (Calc)'!$A:$A)+1)-'Price History'!T3)*(ROW()-3)/(MATCH(9.99E+307,'Returns (Calc)'!$A:$A)-3),"")</f>
        <v>30.4550632911392</v>
      </c>
      <c r="AO34" s="145" t="n">
        <f aca="false">IFERROR('Price History'!V3+(INDEX('Price History'!V:V,MATCH(9.99E+307,'Returns (Calc)'!$A:$A)+1)-'Price History'!V3)*(ROW()-3)/(MATCH(9.99E+307,'Returns (Calc)'!$A:$A)-3),"")</f>
        <v>260.161202531646</v>
      </c>
      <c r="AP34" s="143" t="n">
        <f aca="false">IFERROR(IF(OR(NOT(ISNUMBER('Price History'!W35)),NOT(ISNUMBER('Price History'!W34)),'Price History'!W34=0),"",'Price History'!W35/'Price History'!W34-1),"")</f>
        <v>0.0123490922495622</v>
      </c>
      <c r="AQ34" s="143" t="str">
        <f aca="false">IFERROR(IF(OR(NOT(ISNUMBER('Price History'!X35)),NOT(ISNUMBER('Price History'!X34)),'Price History'!X34=0),"",'Price History'!X35/'Price History'!X34-1),"")</f>
        <v/>
      </c>
      <c r="AR34" s="143" t="n">
        <f aca="false">IFERROR(IF(OR(NOT(ISNUMBER('Price History'!Y35)),NOT(ISNUMBER('Price History'!Y34)),'Price History'!Y34=0),"",'Price History'!Y35/'Price History'!Y34-1),"")</f>
        <v>0.0149647887323943</v>
      </c>
      <c r="AS34" s="143" t="n">
        <f aca="false">IFERROR(IF(OR(NOT(ISNUMBER('Price History'!Z35)),NOT(ISNUMBER('Price History'!Z34)),'Price History'!Z34=0),"",'Price History'!Z35/'Price History'!Z34-1),"")</f>
        <v>0.0964960306597318</v>
      </c>
      <c r="AT34" s="143" t="n">
        <f aca="false">IFERROR(IF(OR(NOT(ISNUMBER('Price History'!AA35)),NOT(ISNUMBER('Price History'!AA34)),'Price History'!AA34=0),"",'Price History'!AA35/'Price History'!AA34-1),"")</f>
        <v>0.0111711711711711</v>
      </c>
    </row>
    <row r="35" customFormat="false" ht="15" hidden="false" customHeight="true" outlineLevel="0" collapsed="false">
      <c r="A35" s="141" t="n">
        <f aca="false">IF('Price History'!A36="","",'Price History'!A36)</f>
        <v>45415</v>
      </c>
      <c r="B35" s="142" t="n">
        <f aca="false">IFERROR(IF(OR(NOT(ISNUMBER('Price History'!B36)),NOT(ISNUMBER('Price History'!B35)),'Price History'!B35=0),"",'Price History'!B36/'Price History'!B35-1),"")</f>
        <v>0.0180500879470642</v>
      </c>
      <c r="C35" s="142" t="n">
        <f aca="false">IFERROR(IF(OR(NOT(ISNUMBER('Price History'!C36)),NOT(ISNUMBER('Price History'!C35)),'Price History'!C35=0),"",'Price History'!C36/'Price History'!C35-1),"")</f>
        <v>0.0365669386521605</v>
      </c>
      <c r="D35" s="142" t="n">
        <f aca="false">IFERROR(IF(OR(NOT(ISNUMBER('Price History'!D36)),NOT(ISNUMBER('Price History'!D35)),'Price History'!D35=0),"",'Price History'!D36/'Price History'!D35-1),"")</f>
        <v>-0.0188660422324447</v>
      </c>
      <c r="E35" s="142" t="n">
        <f aca="false">IFERROR(IF(OR(NOT(ISNUMBER('Price History'!E36)),NOT(ISNUMBER('Price History'!E35)),'Price History'!E35=0),"",'Price History'!E36/'Price History'!E35-1),"")</f>
        <v>-0.0490591909804221</v>
      </c>
      <c r="F35" s="142" t="n">
        <f aca="false">IFERROR(IF(OR(NOT(ISNUMBER('Price History'!F36)),NOT(ISNUMBER('Price History'!F35)),'Price History'!F35=0),"",'Price History'!F36/'Price History'!F35-1),"")</f>
        <v>0.0201262825572217</v>
      </c>
      <c r="G35" s="142" t="n">
        <f aca="false">IFERROR(IF(OR(NOT(ISNUMBER('Price History'!G36)),NOT(ISNUMBER('Price History'!G35)),'Price History'!G35=0),"",'Price History'!G36/'Price History'!G35-1),"")</f>
        <v>-0.0137065358534122</v>
      </c>
      <c r="H35" s="142" t="n">
        <f aca="false">IFERROR(IF(OR(NOT(ISNUMBER('Price History'!H36)),NOT(ISNUMBER('Price History'!H35)),'Price History'!H35=0),"",'Price History'!H36/'Price History'!H35-1),"")</f>
        <v>-0.00122785476232246</v>
      </c>
      <c r="I35" s="142" t="n">
        <f aca="false">IFERROR(IF(OR(NOT(ISNUMBER('Price History'!I36)),NOT(ISNUMBER('Price History'!I35)),'Price History'!I35=0),"",'Price History'!I36/'Price History'!I35-1),"")</f>
        <v>0.0120013715853242</v>
      </c>
      <c r="J35" s="142" t="n">
        <f aca="false">IFERROR(IF(OR(NOT(ISNUMBER('Price History'!J36)),NOT(ISNUMBER('Price History'!J35)),'Price History'!J35=0),"",'Price History'!J36/'Price History'!J35-1),"")</f>
        <v>0.0175383651738177</v>
      </c>
      <c r="K35" s="142" t="n">
        <f aca="false">IFERROR(IF(OR(NOT(ISNUMBER('Price History'!K36)),NOT(ISNUMBER('Price History'!K35)),'Price History'!K35=0),"",'Price History'!K36/'Price History'!K35-1),"")</f>
        <v>0.0359680284191828</v>
      </c>
      <c r="L35" s="142" t="n">
        <f aca="false">IFERROR(IF(OR(NOT(ISNUMBER('Price History'!L36)),NOT(ISNUMBER('Price History'!L35)),'Price History'!L35=0),"",'Price History'!L36/'Price History'!L35-1),"")</f>
        <v>0.023573293547184</v>
      </c>
      <c r="M35" s="142" t="n">
        <f aca="false">IFERROR(IF(OR(NOT(ISNUMBER('Price History'!M36)),NOT(ISNUMBER('Price History'!M35)),'Price History'!M35=0),"",'Price History'!M36/'Price History'!M35-1),"")</f>
        <v>-0.0051496620534276</v>
      </c>
      <c r="N35" s="142" t="n">
        <f aca="false">IFERROR(IF(OR(NOT(ISNUMBER('Price History'!N36)),NOT(ISNUMBER('Price History'!N35)),'Price History'!N35=0),"",'Price History'!N36/'Price History'!N35-1),"")</f>
        <v>0.00905705947469038</v>
      </c>
      <c r="O35" s="142" t="n">
        <f aca="false">IFERROR(IF(OR(NOT(ISNUMBER('Price History'!O36)),NOT(ISNUMBER('Price History'!O35)),'Price History'!O35=0),"",'Price History'!O36/'Price History'!O35-1),"")</f>
        <v>0.00680115273775228</v>
      </c>
      <c r="P35" s="142" t="n">
        <f aca="false">IFERROR(IF(OR(NOT(ISNUMBER('Price History'!P36)),NOT(ISNUMBER('Price History'!P35)),'Price History'!P35=0),"",'Price History'!P36/'Price History'!P35-1),"")</f>
        <v>0.0122407965652691</v>
      </c>
      <c r="Q35" s="142" t="n">
        <f aca="false">IFERROR(IF(OR(NOT(ISNUMBER('Price History'!Q36)),NOT(ISNUMBER('Price History'!Q35)),'Price History'!Q35=0),"",'Price History'!Q36/'Price History'!Q35-1),"")</f>
        <v>0.00421554252199408</v>
      </c>
      <c r="R35" s="142" t="n">
        <f aca="false">IFERROR(IF(OR(NOT(ISNUMBER('Price History'!R36)),NOT(ISNUMBER('Price History'!R35)),'Price History'!R35=0),"",'Price History'!R36/'Price History'!R35-1),"")</f>
        <v>0.0100401606425702</v>
      </c>
      <c r="S35" s="142" t="n">
        <f aca="false">IFERROR(IF(OR(NOT(ISNUMBER('Price History'!S36)),NOT(ISNUMBER('Price History'!S35)),'Price History'!S35=0),"",'Price History'!S36/'Price History'!S35-1),"")</f>
        <v>0.00977155684669206</v>
      </c>
      <c r="T35" s="142" t="n">
        <f aca="false">IFERROR(IF(OR(NOT(ISNUMBER('Price History'!T36)),NOT(ISNUMBER('Price History'!T35)),'Price History'!T35=0),"",'Price History'!T36/'Price History'!T35-1),"")</f>
        <v>-0.0155064335202902</v>
      </c>
      <c r="U35" s="142" t="n">
        <f aca="false">IFERROR(IF(OR(NOT(ISNUMBER('Price History'!U36)),NOT(ISNUMBER('Price History'!U35)),'Price History'!U35=0),"",'Price History'!U36/'Price History'!U35-1),"")</f>
        <v>0.0063640220619432</v>
      </c>
      <c r="V35" s="143" t="n">
        <f aca="false">IFERROR(IF(OR(NOT(ISNUMBER('Price History'!V36)),NOT(ISNUMBER('Price History'!V35)),'Price History'!V35=0),"",'Price History'!V36/'Price History'!V35-1),"")</f>
        <v>-0.0219376391982181</v>
      </c>
      <c r="W35" s="144" t="n">
        <f aca="false">IFERROR('Price History'!B3+(INDEX('Price History'!B:B,MATCH(9.99E+307,'Returns (Calc)'!$A:$A)+1)-'Price History'!B3)*(ROW()-3)/(MATCH(9.99E+307,'Returns (Calc)'!$A:$A)-3),"")</f>
        <v>469.912784810127</v>
      </c>
      <c r="X35" s="144" t="n">
        <f aca="false">IFERROR('Price History'!C3+(INDEX('Price History'!C:C,MATCH(9.99E+307,'Returns (Calc)'!$A:$A)+1)-'Price History'!C3)*(ROW()-3)/(MATCH(9.99E+307,'Returns (Calc)'!$A:$A)-3),"")</f>
        <v>78.8220253164557</v>
      </c>
      <c r="Y35" s="144" t="n">
        <f aca="false">IFERROR('Price History'!D3+(INDEX('Price History'!D:D,MATCH(9.99E+307,'Returns (Calc)'!$A:$A)+1)-'Price History'!D3)*(ROW()-3)/(MATCH(9.99E+307,'Returns (Calc)'!$A:$A)-3),"")</f>
        <v>842.323924050633</v>
      </c>
      <c r="Z35" s="144" t="n">
        <f aca="false">IFERROR('Price History'!E3+(INDEX('Price History'!E:E,MATCH(9.99E+307,'Returns (Calc)'!$A:$A)+1)-'Price History'!E3)*(ROW()-3)/(MATCH(9.99E+307,'Returns (Calc)'!$A:$A)-3),"")</f>
        <v>137.319493670886</v>
      </c>
      <c r="AA35" s="144" t="n">
        <f aca="false">IFERROR('Price History'!F3+(INDEX('Price History'!F:F,MATCH(9.99E+307,'Returns (Calc)'!$A:$A)+1)-'Price History'!F3)*(ROW()-3)/(MATCH(9.99E+307,'Returns (Calc)'!$A:$A)-3),"")</f>
        <v>87.6749367088608</v>
      </c>
      <c r="AB35" s="144" t="n">
        <f aca="false">IFERROR('Price History'!G3+(INDEX('Price History'!G:G,MATCH(9.99E+307,'Returns (Calc)'!$A:$A)+1)-'Price History'!G3)*(ROW()-3)/(MATCH(9.99E+307,'Returns (Calc)'!$A:$A)-3),"")</f>
        <v>77.2694936708861</v>
      </c>
      <c r="AC35" s="144" t="n">
        <f aca="false">IFERROR('Price History'!H3+(INDEX('Price History'!H:H,MATCH(9.99E+307,'Returns (Calc)'!$A:$A)+1)-'Price History'!H3)*(ROW()-3)/(MATCH(9.99E+307,'Returns (Calc)'!$A:$A)-3),"")</f>
        <v>272.812278481013</v>
      </c>
      <c r="AD35" s="144" t="n">
        <f aca="false">IFERROR('Price History'!I3+(INDEX('Price History'!I:I,MATCH(9.99E+307,'Returns (Calc)'!$A:$A)+1)-'Price History'!I3)*(ROW()-3)/(MATCH(9.99E+307,'Returns (Calc)'!$A:$A)-3),"")</f>
        <v>82.2874683544304</v>
      </c>
      <c r="AE35" s="144" t="n">
        <f aca="false">IFERROR('Price History'!J3+(INDEX('Price History'!J:J,MATCH(9.99E+307,'Returns (Calc)'!$A:$A)+1)-'Price History'!J3)*(ROW()-3)/(MATCH(9.99E+307,'Returns (Calc)'!$A:$A)-3),"")</f>
        <v>115.297215189873</v>
      </c>
      <c r="AF35" s="144" t="n">
        <f aca="false">IFERROR('Price History'!K3+(INDEX('Price History'!K:K,MATCH(9.99E+307,'Returns (Calc)'!$A:$A)+1)-'Price History'!K3)*(ROW()-3)/(MATCH(9.99E+307,'Returns (Calc)'!$A:$A)-3),"")</f>
        <v>50.4530379746835</v>
      </c>
      <c r="AG35" s="144" t="n">
        <f aca="false">IFERROR('Price History'!L3+(INDEX('Price History'!L:L,MATCH(9.99E+307,'Returns (Calc)'!$A:$A)+1)-'Price History'!L3)*(ROW()-3)/(MATCH(9.99E+307,'Returns (Calc)'!$A:$A)-3),"")</f>
        <v>164.13582278481</v>
      </c>
      <c r="AH35" s="144" t="n">
        <f aca="false">IFERROR('Price History'!M3+(INDEX('Price History'!M:M,MATCH(9.99E+307,'Returns (Calc)'!$A:$A)+1)-'Price History'!M3)*(ROW()-3)/(MATCH(9.99E+307,'Returns (Calc)'!$A:$A)-3),"")</f>
        <v>81.3941772151899</v>
      </c>
      <c r="AI35" s="144" t="n">
        <f aca="false">IFERROR('Price History'!N3+(INDEX('Price History'!N:N,MATCH(9.99E+307,'Returns (Calc)'!$A:$A)+1)-'Price History'!N3)*(ROW()-3)/(MATCH(9.99E+307,'Returns (Calc)'!$A:$A)-3),"")</f>
        <v>380.460506329114</v>
      </c>
      <c r="AJ35" s="144" t="n">
        <f aca="false">IFERROR('Price History'!O3+(INDEX('Price History'!O:O,MATCH(9.99E+307,'Returns (Calc)'!$A:$A)+1)-'Price History'!O3)*(ROW()-3)/(MATCH(9.99E+307,'Returns (Calc)'!$A:$A)-3),"")</f>
        <v>84.3672151898734</v>
      </c>
      <c r="AK35" s="144" t="n">
        <f aca="false">IFERROR('Price History'!Q3+(INDEX('Price History'!Q:Q,MATCH(9.99E+307,'Returns (Calc)'!$A:$A)+1)-'Price History'!Q3)*(ROW()-3)/(MATCH(9.99E+307,'Returns (Calc)'!$A:$A)-3),"")</f>
        <v>14.059746835443</v>
      </c>
      <c r="AL35" s="144" t="n">
        <f aca="false">IFERROR('Price History'!R3+(INDEX('Price History'!R:R,MATCH(9.99E+307,'Returns (Calc)'!$A:$A)+1)-'Price History'!R3)*(ROW()-3)/(MATCH(9.99E+307,'Returns (Calc)'!$A:$A)-3),"")</f>
        <v>39.8592405063291</v>
      </c>
      <c r="AM35" s="144" t="n">
        <f aca="false">IFERROR('Price History'!S3+(INDEX('Price History'!S:S,MATCH(9.99E+307,'Returns (Calc)'!$A:$A)+1)-'Price History'!S3)*(ROW()-3)/(MATCH(9.99E+307,'Returns (Calc)'!$A:$A)-3),"")</f>
        <v>76.9920253164557</v>
      </c>
      <c r="AN35" s="144" t="n">
        <f aca="false">IFERROR('Price History'!T3+(INDEX('Price History'!T:T,MATCH(9.99E+307,'Returns (Calc)'!$A:$A)+1)-'Price History'!T3)*(ROW()-3)/(MATCH(9.99E+307,'Returns (Calc)'!$A:$A)-3),"")</f>
        <v>30.6232911392405</v>
      </c>
      <c r="AO35" s="145" t="n">
        <f aca="false">IFERROR('Price History'!V3+(INDEX('Price History'!V:V,MATCH(9.99E+307,'Returns (Calc)'!$A:$A)+1)-'Price History'!V3)*(ROW()-3)/(MATCH(9.99E+307,'Returns (Calc)'!$A:$A)-3),"")</f>
        <v>260.95253164557</v>
      </c>
      <c r="AP35" s="143" t="n">
        <f aca="false">IFERROR(IF(OR(NOT(ISNUMBER('Price History'!W36)),NOT(ISNUMBER('Price History'!W35)),'Price History'!W35=0),"",'Price History'!W36/'Price History'!W35-1),"")</f>
        <v>-0.0020937642239417</v>
      </c>
      <c r="AQ35" s="143" t="str">
        <f aca="false">IFERROR(IF(OR(NOT(ISNUMBER('Price History'!X36)),NOT(ISNUMBER('Price History'!X35)),'Price History'!X35=0),"",'Price History'!X36/'Price History'!X35-1),"")</f>
        <v/>
      </c>
      <c r="AR35" s="143" t="n">
        <f aca="false">IFERROR(IF(OR(NOT(ISNUMBER('Price History'!Y36)),NOT(ISNUMBER('Price History'!Y35)),'Price History'!Y35=0),"",'Price History'!Y36/'Price History'!Y35-1),"")</f>
        <v>0.0019514310494364</v>
      </c>
      <c r="AS35" s="143" t="n">
        <f aca="false">IFERROR(IF(OR(NOT(ISNUMBER('Price History'!Z36)),NOT(ISNUMBER('Price History'!Z35)),'Price History'!Z35=0),"",'Price History'!Z36/'Price History'!Z35-1),"")</f>
        <v>0.0108600674073149</v>
      </c>
      <c r="AT35" s="143" t="n">
        <f aca="false">IFERROR(IF(OR(NOT(ISNUMBER('Price History'!AA36)),NOT(ISNUMBER('Price History'!AA35)),'Price History'!AA35=0),"",'Price History'!AA36/'Price History'!AA35-1),"")</f>
        <v>0.0322523164647186</v>
      </c>
    </row>
    <row r="36" customFormat="false" ht="15" hidden="false" customHeight="true" outlineLevel="0" collapsed="false">
      <c r="A36" s="141" t="n">
        <f aca="false">IF('Price History'!A37="","",'Price History'!A37)</f>
        <v>45422</v>
      </c>
      <c r="B36" s="142" t="n">
        <f aca="false">IFERROR(IF(OR(NOT(ISNUMBER('Price History'!B37)),NOT(ISNUMBER('Price History'!B36)),'Price History'!B36=0),"",'Price History'!B37/'Price History'!B36-1),"")</f>
        <v>-0.00800115183676819</v>
      </c>
      <c r="C36" s="142" t="n">
        <f aca="false">IFERROR(IF(OR(NOT(ISNUMBER('Price History'!C37)),NOT(ISNUMBER('Price History'!C36)),'Price History'!C36=0),"",'Price History'!C37/'Price History'!C36-1),"")</f>
        <v>0.144460641399417</v>
      </c>
      <c r="D36" s="142" t="n">
        <f aca="false">IFERROR(IF(OR(NOT(ISNUMBER('Price History'!D37)),NOT(ISNUMBER('Price History'!D36)),'Price History'!D36=0),"",'Price History'!D37/'Price History'!D36-1),"")</f>
        <v>0.031780642391513</v>
      </c>
      <c r="E36" s="142" t="n">
        <f aca="false">IFERROR(IF(OR(NOT(ISNUMBER('Price History'!E37)),NOT(ISNUMBER('Price History'!E36)),'Price History'!E36=0),"",'Price History'!E37/'Price History'!E36-1),"")</f>
        <v>0.0427781783225185</v>
      </c>
      <c r="F36" s="142" t="n">
        <f aca="false">IFERROR(IF(OR(NOT(ISNUMBER('Price History'!F37)),NOT(ISNUMBER('Price History'!F36)),'Price History'!F36=0),"",'Price History'!F37/'Price History'!F36-1),"")</f>
        <v>0.0340425531914894</v>
      </c>
      <c r="G36" s="142" t="n">
        <f aca="false">IFERROR(IF(OR(NOT(ISNUMBER('Price History'!G37)),NOT(ISNUMBER('Price History'!G36)),'Price History'!G36=0),"",'Price History'!G37/'Price History'!G36-1),"")</f>
        <v>0.031158572264482</v>
      </c>
      <c r="H36" s="142" t="n">
        <f aca="false">IFERROR(IF(OR(NOT(ISNUMBER('Price History'!H37)),NOT(ISNUMBER('Price History'!H36)),'Price History'!H36=0),"",'Price History'!H37/'Price History'!H36-1),"")</f>
        <v>0.0570776255707763</v>
      </c>
      <c r="I36" s="142" t="n">
        <f aca="false">IFERROR(IF(OR(NOT(ISNUMBER('Price History'!I37)),NOT(ISNUMBER('Price History'!I36)),'Price History'!I36=0),"",'Price History'!I37/'Price History'!I36-1),"")</f>
        <v>0.0121978766659137</v>
      </c>
      <c r="J36" s="142" t="n">
        <f aca="false">IFERROR(IF(OR(NOT(ISNUMBER('Price History'!J37)),NOT(ISNUMBER('Price History'!J36)),'Price History'!J36=0),"",'Price History'!J37/'Price History'!J36-1),"")</f>
        <v>0.0151841592284807</v>
      </c>
      <c r="K36" s="142" t="n">
        <f aca="false">IFERROR(IF(OR(NOT(ISNUMBER('Price History'!K37)),NOT(ISNUMBER('Price History'!K36)),'Price History'!K36=0),"",'Price History'!K37/'Price History'!K36-1),"")</f>
        <v>-0.11701671667381</v>
      </c>
      <c r="L36" s="142" t="n">
        <f aca="false">IFERROR(IF(OR(NOT(ISNUMBER('Price History'!L37)),NOT(ISNUMBER('Price History'!L36)),'Price History'!L36=0),"",'Price History'!L37/'Price History'!L36-1),"")</f>
        <v>0.0543692150717876</v>
      </c>
      <c r="M36" s="142" t="n">
        <f aca="false">IFERROR(IF(OR(NOT(ISNUMBER('Price History'!M37)),NOT(ISNUMBER('Price History'!M36)),'Price History'!M36=0),"",'Price History'!M37/'Price History'!M36-1),"")</f>
        <v>0.0257737517523995</v>
      </c>
      <c r="N36" s="142" t="n">
        <f aca="false">IFERROR(IF(OR(NOT(ISNUMBER('Price History'!N37)),NOT(ISNUMBER('Price History'!N36)),'Price History'!N36=0),"",'Price History'!N37/'Price History'!N36-1),"")</f>
        <v>0.0541039194175725</v>
      </c>
      <c r="O36" s="142" t="n">
        <f aca="false">IFERROR(IF(OR(NOT(ISNUMBER('Price History'!O37)),NOT(ISNUMBER('Price History'!O36)),'Price History'!O36=0),"",'Price History'!O37/'Price History'!O36-1),"")</f>
        <v>0.0172887565834667</v>
      </c>
      <c r="P36" s="142" t="n">
        <f aca="false">IFERROR(IF(OR(NOT(ISNUMBER('Price History'!P37)),NOT(ISNUMBER('Price History'!P36)),'Price History'!P36=0),"",'Price History'!P37/'Price History'!P36-1),"")</f>
        <v>0.0247270101976356</v>
      </c>
      <c r="Q36" s="142" t="n">
        <f aca="false">IFERROR(IF(OR(NOT(ISNUMBER('Price History'!Q37)),NOT(ISNUMBER('Price History'!Q36)),'Price History'!Q36=0),"",'Price History'!Q37/'Price History'!Q36-1),"")</f>
        <v>0.0155137798868408</v>
      </c>
      <c r="R36" s="142" t="n">
        <f aca="false">IFERROR(IF(OR(NOT(ISNUMBER('Price History'!R37)),NOT(ISNUMBER('Price History'!R36)),'Price History'!R36=0),"",'Price History'!R37/'Price History'!R36-1),"")</f>
        <v>0.0139165009940356</v>
      </c>
      <c r="S36" s="142" t="n">
        <f aca="false">IFERROR(IF(OR(NOT(ISNUMBER('Price History'!S37)),NOT(ISNUMBER('Price History'!S36)),'Price History'!S36=0),"",'Price History'!S37/'Price History'!S36-1),"")</f>
        <v>0.0222309402380019</v>
      </c>
      <c r="T36" s="142" t="n">
        <f aca="false">IFERROR(IF(OR(NOT(ISNUMBER('Price History'!T37)),NOT(ISNUMBER('Price History'!T36)),'Price History'!T36=0),"",'Price History'!T37/'Price History'!T36-1),"")</f>
        <v>0.0224530831099197</v>
      </c>
      <c r="U36" s="142" t="n">
        <f aca="false">IFERROR(IF(OR(NOT(ISNUMBER('Price History'!U37)),NOT(ISNUMBER('Price History'!U36)),'Price History'!U36=0),"",'Price History'!U37/'Price History'!U36-1),"")</f>
        <v>0.0168634064080946</v>
      </c>
      <c r="V36" s="143" t="n">
        <f aca="false">IFERROR(IF(OR(NOT(ISNUMBER('Price History'!V37)),NOT(ISNUMBER('Price History'!V36)),'Price History'!V36=0),"",'Price History'!V37/'Price History'!V36-1),"")</f>
        <v>0.045618429541918</v>
      </c>
      <c r="W36" s="144" t="n">
        <f aca="false">IFERROR('Price History'!B3+(INDEX('Price History'!B:B,MATCH(9.99E+307,'Returns (Calc)'!$A:$A)+1)-'Price History'!B3)*(ROW()-3)/(MATCH(9.99E+307,'Returns (Calc)'!$A:$A)-3),"")</f>
        <v>468.069746835443</v>
      </c>
      <c r="X36" s="144" t="n">
        <f aca="false">IFERROR('Price History'!C3+(INDEX('Price History'!C:C,MATCH(9.99E+307,'Returns (Calc)'!$A:$A)+1)-'Price History'!C3)*(ROW()-3)/(MATCH(9.99E+307,'Returns (Calc)'!$A:$A)-3),"")</f>
        <v>79.8420886075949</v>
      </c>
      <c r="Y36" s="144" t="n">
        <f aca="false">IFERROR('Price History'!D3+(INDEX('Price History'!D:D,MATCH(9.99E+307,'Returns (Calc)'!$A:$A)+1)-'Price History'!D3)*(ROW()-3)/(MATCH(9.99E+307,'Returns (Calc)'!$A:$A)-3),"")</f>
        <v>850.458734177215</v>
      </c>
      <c r="Z36" s="144" t="n">
        <f aca="false">IFERROR('Price History'!E3+(INDEX('Price History'!E:E,MATCH(9.99E+307,'Returns (Calc)'!$A:$A)+1)-'Price History'!E3)*(ROW()-3)/(MATCH(9.99E+307,'Returns (Calc)'!$A:$A)-3),"")</f>
        <v>139.048227848101</v>
      </c>
      <c r="AA36" s="144" t="n">
        <f aca="false">IFERROR('Price History'!F3+(INDEX('Price History'!F:F,MATCH(9.99E+307,'Returns (Calc)'!$A:$A)+1)-'Price History'!F3)*(ROW()-3)/(MATCH(9.99E+307,'Returns (Calc)'!$A:$A)-3),"")</f>
        <v>89.1222784810127</v>
      </c>
      <c r="AB36" s="144" t="n">
        <f aca="false">IFERROR('Price History'!G3+(INDEX('Price History'!G:G,MATCH(9.99E+307,'Returns (Calc)'!$A:$A)+1)-'Price History'!G3)*(ROW()-3)/(MATCH(9.99E+307,'Returns (Calc)'!$A:$A)-3),"")</f>
        <v>78.2982278481013</v>
      </c>
      <c r="AC36" s="144" t="n">
        <f aca="false">IFERROR('Price History'!H3+(INDEX('Price History'!H:H,MATCH(9.99E+307,'Returns (Calc)'!$A:$A)+1)-'Price History'!H3)*(ROW()-3)/(MATCH(9.99E+307,'Returns (Calc)'!$A:$A)-3),"")</f>
        <v>279.177974683544</v>
      </c>
      <c r="AD36" s="144" t="n">
        <f aca="false">IFERROR('Price History'!I3+(INDEX('Price History'!I:I,MATCH(9.99E+307,'Returns (Calc)'!$A:$A)+1)-'Price History'!I3)*(ROW()-3)/(MATCH(9.99E+307,'Returns (Calc)'!$A:$A)-3),"")</f>
        <v>83.4911392405063</v>
      </c>
      <c r="AE36" s="144" t="n">
        <f aca="false">IFERROR('Price History'!J3+(INDEX('Price History'!J:J,MATCH(9.99E+307,'Returns (Calc)'!$A:$A)+1)-'Price History'!J3)*(ROW()-3)/(MATCH(9.99E+307,'Returns (Calc)'!$A:$A)-3),"")</f>
        <v>115.405253164557</v>
      </c>
      <c r="AF36" s="144" t="n">
        <f aca="false">IFERROR('Price History'!K3+(INDEX('Price History'!K:K,MATCH(9.99E+307,'Returns (Calc)'!$A:$A)+1)-'Price History'!K3)*(ROW()-3)/(MATCH(9.99E+307,'Returns (Calc)'!$A:$A)-3),"")</f>
        <v>51.5506329113924</v>
      </c>
      <c r="AG36" s="144" t="n">
        <f aca="false">IFERROR('Price History'!L3+(INDEX('Price History'!L:L,MATCH(9.99E+307,'Returns (Calc)'!$A:$A)+1)-'Price History'!L3)*(ROW()-3)/(MATCH(9.99E+307,'Returns (Calc)'!$A:$A)-3),"")</f>
        <v>166.585379746835</v>
      </c>
      <c r="AH36" s="144" t="n">
        <f aca="false">IFERROR('Price History'!M3+(INDEX('Price History'!M:M,MATCH(9.99E+307,'Returns (Calc)'!$A:$A)+1)-'Price History'!M3)*(ROW()-3)/(MATCH(9.99E+307,'Returns (Calc)'!$A:$A)-3),"")</f>
        <v>82.7496202531646</v>
      </c>
      <c r="AI36" s="144" t="n">
        <f aca="false">IFERROR('Price History'!N3+(INDEX('Price History'!N:N,MATCH(9.99E+307,'Returns (Calc)'!$A:$A)+1)-'Price History'!N3)*(ROW()-3)/(MATCH(9.99E+307,'Returns (Calc)'!$A:$A)-3),"")</f>
        <v>381.446772151899</v>
      </c>
      <c r="AJ36" s="144" t="n">
        <f aca="false">IFERROR('Price History'!O3+(INDEX('Price History'!O:O,MATCH(9.99E+307,'Returns (Calc)'!$A:$A)+1)-'Price History'!O3)*(ROW()-3)/(MATCH(9.99E+307,'Returns (Calc)'!$A:$A)-3),"")</f>
        <v>84.650253164557</v>
      </c>
      <c r="AK36" s="144" t="n">
        <f aca="false">IFERROR('Price History'!Q3+(INDEX('Price History'!Q:Q,MATCH(9.99E+307,'Returns (Calc)'!$A:$A)+1)-'Price History'!Q3)*(ROW()-3)/(MATCH(9.99E+307,'Returns (Calc)'!$A:$A)-3),"")</f>
        <v>14.4991139240506</v>
      </c>
      <c r="AL36" s="144" t="n">
        <f aca="false">IFERROR('Price History'!R3+(INDEX('Price History'!R:R,MATCH(9.99E+307,'Returns (Calc)'!$A:$A)+1)-'Price History'!R3)*(ROW()-3)/(MATCH(9.99E+307,'Returns (Calc)'!$A:$A)-3),"")</f>
        <v>40.0273417721519</v>
      </c>
      <c r="AM36" s="144" t="n">
        <f aca="false">IFERROR('Price History'!S3+(INDEX('Price History'!S:S,MATCH(9.99E+307,'Returns (Calc)'!$A:$A)+1)-'Price History'!S3)*(ROW()-3)/(MATCH(9.99E+307,'Returns (Calc)'!$A:$A)-3),"")</f>
        <v>77.5970886075949</v>
      </c>
      <c r="AN36" s="144" t="n">
        <f aca="false">IFERROR('Price History'!T3+(INDEX('Price History'!T:T,MATCH(9.99E+307,'Returns (Calc)'!$A:$A)+1)-'Price History'!T3)*(ROW()-3)/(MATCH(9.99E+307,'Returns (Calc)'!$A:$A)-3),"")</f>
        <v>30.7915189873418</v>
      </c>
      <c r="AO36" s="145" t="n">
        <f aca="false">IFERROR('Price History'!V3+(INDEX('Price History'!V:V,MATCH(9.99E+307,'Returns (Calc)'!$A:$A)+1)-'Price History'!V3)*(ROW()-3)/(MATCH(9.99E+307,'Returns (Calc)'!$A:$A)-3),"")</f>
        <v>261.743860759494</v>
      </c>
      <c r="AP36" s="143" t="n">
        <f aca="false">IFERROR(IF(OR(NOT(ISNUMBER('Price History'!W37)),NOT(ISNUMBER('Price History'!W36)),'Price History'!W36=0),"",'Price History'!W37/'Price History'!W36-1),"")</f>
        <v>0.0234446268929027</v>
      </c>
      <c r="AQ36" s="143" t="str">
        <f aca="false">IFERROR(IF(OR(NOT(ISNUMBER('Price History'!X37)),NOT(ISNUMBER('Price History'!X36)),'Price History'!X36=0),"",'Price History'!X37/'Price History'!X36-1),"")</f>
        <v/>
      </c>
      <c r="AR36" s="143" t="n">
        <f aca="false">IFERROR(IF(OR(NOT(ISNUMBER('Price History'!Y37)),NOT(ISNUMBER('Price History'!Y36)),'Price History'!Y36=0),"",'Price History'!Y37/'Price History'!Y36-1),"")</f>
        <v>0.0186106903267691</v>
      </c>
      <c r="AS36" s="143" t="n">
        <f aca="false">IFERROR(IF(OR(NOT(ISNUMBER('Price History'!Z37)),NOT(ISNUMBER('Price History'!Z36)),'Price History'!Z36=0),"",'Price History'!Z37/'Price History'!Z36-1),"")</f>
        <v>-0.0044455421091627</v>
      </c>
      <c r="AT36" s="143" t="n">
        <f aca="false">IFERROR(IF(OR(NOT(ISNUMBER('Price History'!AA37)),NOT(ISNUMBER('Price History'!AA36)),'Price History'!AA36=0),"",'Price History'!AA37/'Price History'!AA36-1),"")</f>
        <v>0.0545485931296392</v>
      </c>
    </row>
    <row r="37" customFormat="false" ht="15" hidden="false" customHeight="true" outlineLevel="0" collapsed="false">
      <c r="A37" s="141" t="n">
        <f aca="false">IF('Price History'!A38="","",'Price History'!A38)</f>
        <v>45429</v>
      </c>
      <c r="B37" s="142" t="n">
        <f aca="false">IFERROR(IF(OR(NOT(ISNUMBER('Price History'!B38)),NOT(ISNUMBER('Price History'!B37)),'Price History'!B37=0),"",'Price History'!B38/'Price History'!B37-1),"")</f>
        <v>0.00236372307118127</v>
      </c>
      <c r="C37" s="142" t="n">
        <f aca="false">IFERROR(IF(OR(NOT(ISNUMBER('Price History'!C38)),NOT(ISNUMBER('Price History'!C37)),'Price History'!C37=0),"",'Price History'!C38/'Price History'!C37-1),"")</f>
        <v>0.0185963571519552</v>
      </c>
      <c r="D37" s="142" t="n">
        <f aca="false">IFERROR(IF(OR(NOT(ISNUMBER('Price History'!D38)),NOT(ISNUMBER('Price History'!D37)),'Price History'!D37=0),"",'Price History'!D38/'Price History'!D37-1),"")</f>
        <v>-0.00571578739898826</v>
      </c>
      <c r="E37" s="142" t="n">
        <f aca="false">IFERROR(IF(OR(NOT(ISNUMBER('Price History'!E38)),NOT(ISNUMBER('Price History'!E37)),'Price History'!E37=0),"",'Price History'!E38/'Price History'!E37-1),"")</f>
        <v>0.0468617961127757</v>
      </c>
      <c r="F37" s="142" t="n">
        <f aca="false">IFERROR(IF(OR(NOT(ISNUMBER('Price History'!F38)),NOT(ISNUMBER('Price History'!F37)),'Price History'!F37=0),"",'Price History'!F38/'Price History'!F37-1),"")</f>
        <v>0.0784387080683378</v>
      </c>
      <c r="G37" s="142" t="n">
        <f aca="false">IFERROR(IF(OR(NOT(ISNUMBER('Price History'!G38)),NOT(ISNUMBER('Price History'!G37)),'Price History'!G37=0),"",'Price History'!G38/'Price History'!G37-1),"")</f>
        <v>0.0429848205419208</v>
      </c>
      <c r="H37" s="142" t="n">
        <f aca="false">IFERROR(IF(OR(NOT(ISNUMBER('Price History'!H38)),NOT(ISNUMBER('Price History'!H37)),'Price History'!H37=0),"",'Price History'!H38/'Price History'!H37-1),"")</f>
        <v>0.0333942515368002</v>
      </c>
      <c r="I37" s="142" t="n">
        <f aca="false">IFERROR(IF(OR(NOT(ISNUMBER('Price History'!I38)),NOT(ISNUMBER('Price History'!I37)),'Price History'!I37=0),"",'Price History'!I38/'Price History'!I37-1),"")</f>
        <v>0.029011381388083</v>
      </c>
      <c r="J37" s="142" t="n">
        <f aca="false">IFERROR(IF(OR(NOT(ISNUMBER('Price History'!J38)),NOT(ISNUMBER('Price History'!J37)),'Price History'!J37=0),"",'Price History'!J38/'Price History'!J37-1),"")</f>
        <v>0.0372915613946438</v>
      </c>
      <c r="K37" s="142" t="n">
        <f aca="false">IFERROR(IF(OR(NOT(ISNUMBER('Price History'!K38)),NOT(ISNUMBER('Price History'!K37)),'Price History'!K37=0),"",'Price History'!K38/'Price History'!K37-1),"")</f>
        <v>0.0563106796116506</v>
      </c>
      <c r="L37" s="142" t="n">
        <f aca="false">IFERROR(IF(OR(NOT(ISNUMBER('Price History'!L38)),NOT(ISNUMBER('Price History'!L37)),'Price History'!L37=0),"",'Price History'!L38/'Price History'!L37-1),"")</f>
        <v>0.0162438653487249</v>
      </c>
      <c r="M37" s="142" t="n">
        <f aca="false">IFERROR(IF(OR(NOT(ISNUMBER('Price History'!M38)),NOT(ISNUMBER('Price History'!M37)),'Price History'!M37=0),"",'Price History'!M38/'Price History'!M37-1),"")</f>
        <v>0.0147182506307821</v>
      </c>
      <c r="N37" s="142" t="n">
        <f aca="false">IFERROR(IF(OR(NOT(ISNUMBER('Price History'!N38)),NOT(ISNUMBER('Price History'!N37)),'Price History'!N37=0),"",'Price History'!N38/'Price History'!N37-1),"")</f>
        <v>0.0530535976157813</v>
      </c>
      <c r="O37" s="142" t="n">
        <f aca="false">IFERROR(IF(OR(NOT(ISNUMBER('Price History'!O38)),NOT(ISNUMBER('Price History'!O37)),'Price History'!O37=0),"",'Price History'!O38/'Price History'!O37-1),"")</f>
        <v>0.0110298255486776</v>
      </c>
      <c r="P37" s="142" t="n">
        <f aca="false">IFERROR(IF(OR(NOT(ISNUMBER('Price History'!P38)),NOT(ISNUMBER('Price History'!P37)),'Price History'!P37=0),"",'Price History'!P38/'Price History'!P37-1),"")</f>
        <v>0.0121532364597094</v>
      </c>
      <c r="Q37" s="142" t="n">
        <f aca="false">IFERROR(IF(OR(NOT(ISNUMBER('Price History'!Q38)),NOT(ISNUMBER('Price History'!Q37)),'Price History'!Q37=0),"",'Price History'!Q38/'Price History'!Q37-1),"")</f>
        <v>0.01078360891445</v>
      </c>
      <c r="R37" s="142" t="n">
        <f aca="false">IFERROR(IF(OR(NOT(ISNUMBER('Price History'!R38)),NOT(ISNUMBER('Price History'!R37)),'Price History'!R37=0),"",'Price History'!R38/'Price History'!R37-1),"")</f>
        <v>0.0120098039215686</v>
      </c>
      <c r="S37" s="142" t="n">
        <f aca="false">IFERROR(IF(OR(NOT(ISNUMBER('Price History'!S38)),NOT(ISNUMBER('Price History'!S37)),'Price History'!S37=0),"",'Price History'!S38/'Price History'!S37-1),"")</f>
        <v>0.0150953051042599</v>
      </c>
      <c r="T37" s="142" t="n">
        <f aca="false">IFERROR(IF(OR(NOT(ISNUMBER('Price History'!T38)),NOT(ISNUMBER('Price History'!T37)),'Price History'!T37=0),"",'Price History'!T38/'Price History'!T37-1),"")</f>
        <v>0.0095050803015404</v>
      </c>
      <c r="U37" s="142" t="n">
        <f aca="false">IFERROR(IF(OR(NOT(ISNUMBER('Price History'!U38)),NOT(ISNUMBER('Price History'!U37)),'Price History'!U37=0),"",'Price History'!U38/'Price History'!U37-1),"")</f>
        <v>0.00995024875621886</v>
      </c>
      <c r="V37" s="143" t="n">
        <f aca="false">IFERROR(IF(OR(NOT(ISNUMBER('Price History'!V38)),NOT(ISNUMBER('Price History'!V37)),'Price History'!V37=0),"",'Price History'!V38/'Price History'!V37-1),"")</f>
        <v>-0.000435555878189553</v>
      </c>
      <c r="W37" s="144" t="n">
        <f aca="false">IFERROR('Price History'!B3+(INDEX('Price History'!B:B,MATCH(9.99E+307,'Returns (Calc)'!$A:$A)+1)-'Price History'!B3)*(ROW()-3)/(MATCH(9.99E+307,'Returns (Calc)'!$A:$A)-3),"")</f>
        <v>466.226708860759</v>
      </c>
      <c r="X37" s="144" t="n">
        <f aca="false">IFERROR('Price History'!C3+(INDEX('Price History'!C:C,MATCH(9.99E+307,'Returns (Calc)'!$A:$A)+1)-'Price History'!C3)*(ROW()-3)/(MATCH(9.99E+307,'Returns (Calc)'!$A:$A)-3),"")</f>
        <v>80.8621518987342</v>
      </c>
      <c r="Y37" s="144" t="n">
        <f aca="false">IFERROR('Price History'!D3+(INDEX('Price History'!D:D,MATCH(9.99E+307,'Returns (Calc)'!$A:$A)+1)-'Price History'!D3)*(ROW()-3)/(MATCH(9.99E+307,'Returns (Calc)'!$A:$A)-3),"")</f>
        <v>858.593544303797</v>
      </c>
      <c r="Z37" s="144" t="n">
        <f aca="false">IFERROR('Price History'!E3+(INDEX('Price History'!E:E,MATCH(9.99E+307,'Returns (Calc)'!$A:$A)+1)-'Price History'!E3)*(ROW()-3)/(MATCH(9.99E+307,'Returns (Calc)'!$A:$A)-3),"")</f>
        <v>140.776962025316</v>
      </c>
      <c r="AA37" s="144" t="n">
        <f aca="false">IFERROR('Price History'!F3+(INDEX('Price History'!F:F,MATCH(9.99E+307,'Returns (Calc)'!$A:$A)+1)-'Price History'!F3)*(ROW()-3)/(MATCH(9.99E+307,'Returns (Calc)'!$A:$A)-3),"")</f>
        <v>90.5696202531646</v>
      </c>
      <c r="AB37" s="144" t="n">
        <f aca="false">IFERROR('Price History'!G3+(INDEX('Price History'!G:G,MATCH(9.99E+307,'Returns (Calc)'!$A:$A)+1)-'Price History'!G3)*(ROW()-3)/(MATCH(9.99E+307,'Returns (Calc)'!$A:$A)-3),"")</f>
        <v>79.3269620253165</v>
      </c>
      <c r="AC37" s="144" t="n">
        <f aca="false">IFERROR('Price History'!H3+(INDEX('Price History'!H:H,MATCH(9.99E+307,'Returns (Calc)'!$A:$A)+1)-'Price History'!H3)*(ROW()-3)/(MATCH(9.99E+307,'Returns (Calc)'!$A:$A)-3),"")</f>
        <v>285.543670886076</v>
      </c>
      <c r="AD37" s="144" t="n">
        <f aca="false">IFERROR('Price History'!I3+(INDEX('Price History'!I:I,MATCH(9.99E+307,'Returns (Calc)'!$A:$A)+1)-'Price History'!I3)*(ROW()-3)/(MATCH(9.99E+307,'Returns (Calc)'!$A:$A)-3),"")</f>
        <v>84.6948101265823</v>
      </c>
      <c r="AE37" s="144" t="n">
        <f aca="false">IFERROR('Price History'!J3+(INDEX('Price History'!J:J,MATCH(9.99E+307,'Returns (Calc)'!$A:$A)+1)-'Price History'!J3)*(ROW()-3)/(MATCH(9.99E+307,'Returns (Calc)'!$A:$A)-3),"")</f>
        <v>115.513291139241</v>
      </c>
      <c r="AF37" s="144" t="n">
        <f aca="false">IFERROR('Price History'!K3+(INDEX('Price History'!K:K,MATCH(9.99E+307,'Returns (Calc)'!$A:$A)+1)-'Price History'!K3)*(ROW()-3)/(MATCH(9.99E+307,'Returns (Calc)'!$A:$A)-3),"")</f>
        <v>52.6482278481013</v>
      </c>
      <c r="AG37" s="144" t="n">
        <f aca="false">IFERROR('Price History'!L3+(INDEX('Price History'!L:L,MATCH(9.99E+307,'Returns (Calc)'!$A:$A)+1)-'Price History'!L3)*(ROW()-3)/(MATCH(9.99E+307,'Returns (Calc)'!$A:$A)-3),"")</f>
        <v>169.034936708861</v>
      </c>
      <c r="AH37" s="144" t="n">
        <f aca="false">IFERROR('Price History'!M3+(INDEX('Price History'!M:M,MATCH(9.99E+307,'Returns (Calc)'!$A:$A)+1)-'Price History'!M3)*(ROW()-3)/(MATCH(9.99E+307,'Returns (Calc)'!$A:$A)-3),"")</f>
        <v>84.1050632911392</v>
      </c>
      <c r="AI37" s="144" t="n">
        <f aca="false">IFERROR('Price History'!N3+(INDEX('Price History'!N:N,MATCH(9.99E+307,'Returns (Calc)'!$A:$A)+1)-'Price History'!N3)*(ROW()-3)/(MATCH(9.99E+307,'Returns (Calc)'!$A:$A)-3),"")</f>
        <v>382.433037974684</v>
      </c>
      <c r="AJ37" s="144" t="n">
        <f aca="false">IFERROR('Price History'!O3+(INDEX('Price History'!O:O,MATCH(9.99E+307,'Returns (Calc)'!$A:$A)+1)-'Price History'!O3)*(ROW()-3)/(MATCH(9.99E+307,'Returns (Calc)'!$A:$A)-3),"")</f>
        <v>84.9332911392405</v>
      </c>
      <c r="AK37" s="144" t="n">
        <f aca="false">IFERROR('Price History'!Q3+(INDEX('Price History'!Q:Q,MATCH(9.99E+307,'Returns (Calc)'!$A:$A)+1)-'Price History'!Q3)*(ROW()-3)/(MATCH(9.99E+307,'Returns (Calc)'!$A:$A)-3),"")</f>
        <v>14.9384810126582</v>
      </c>
      <c r="AL37" s="144" t="n">
        <f aca="false">IFERROR('Price History'!R3+(INDEX('Price History'!R:R,MATCH(9.99E+307,'Returns (Calc)'!$A:$A)+1)-'Price History'!R3)*(ROW()-3)/(MATCH(9.99E+307,'Returns (Calc)'!$A:$A)-3),"")</f>
        <v>40.1954430379747</v>
      </c>
      <c r="AM37" s="144" t="n">
        <f aca="false">IFERROR('Price History'!S3+(INDEX('Price History'!S:S,MATCH(9.99E+307,'Returns (Calc)'!$A:$A)+1)-'Price History'!S3)*(ROW()-3)/(MATCH(9.99E+307,'Returns (Calc)'!$A:$A)-3),"")</f>
        <v>78.2021518987342</v>
      </c>
      <c r="AN37" s="144" t="n">
        <f aca="false">IFERROR('Price History'!T3+(INDEX('Price History'!T:T,MATCH(9.99E+307,'Returns (Calc)'!$A:$A)+1)-'Price History'!T3)*(ROW()-3)/(MATCH(9.99E+307,'Returns (Calc)'!$A:$A)-3),"")</f>
        <v>30.959746835443</v>
      </c>
      <c r="AO37" s="145" t="n">
        <f aca="false">IFERROR('Price History'!V3+(INDEX('Price History'!V:V,MATCH(9.99E+307,'Returns (Calc)'!$A:$A)+1)-'Price History'!V3)*(ROW()-3)/(MATCH(9.99E+307,'Returns (Calc)'!$A:$A)-3),"")</f>
        <v>262.535189873418</v>
      </c>
      <c r="AP37" s="143" t="n">
        <f aca="false">IFERROR(IF(OR(NOT(ISNUMBER('Price History'!W38)),NOT(ISNUMBER('Price History'!W37)),'Price History'!W37=0),"",'Price History'!W38/'Price History'!W37-1),"")</f>
        <v>0.0136375791068724</v>
      </c>
      <c r="AQ37" s="143" t="str">
        <f aca="false">IFERROR(IF(OR(NOT(ISNUMBER('Price History'!X38)),NOT(ISNUMBER('Price History'!X37)),'Price History'!X37=0),"",'Price History'!X38/'Price History'!X37-1),"")</f>
        <v/>
      </c>
      <c r="AR37" s="143" t="n">
        <f aca="false">IFERROR(IF(OR(NOT(ISNUMBER('Price History'!Y38)),NOT(ISNUMBER('Price History'!Y37)),'Price History'!Y37=0),"",'Price History'!Y38/'Price History'!Y37-1),"")</f>
        <v>0.00488633949437012</v>
      </c>
      <c r="AS37" s="143" t="n">
        <f aca="false">IFERROR(IF(OR(NOT(ISNUMBER('Price History'!Z38)),NOT(ISNUMBER('Price History'!Z37)),'Price History'!Z37=0),"",'Price History'!Z38/'Price History'!Z37-1),"")</f>
        <v>-0.0213346564128007</v>
      </c>
      <c r="AT37" s="143" t="n">
        <f aca="false">IFERROR(IF(OR(NOT(ISNUMBER('Price History'!AA38)),NOT(ISNUMBER('Price History'!AA37)),'Price History'!AA37=0),"",'Price History'!AA38/'Price History'!AA37-1),"")</f>
        <v>0.0166966770338843</v>
      </c>
    </row>
    <row r="38" customFormat="false" ht="15" hidden="false" customHeight="true" outlineLevel="0" collapsed="false">
      <c r="A38" s="141" t="n">
        <f aca="false">IF('Price History'!A39="","",'Price History'!A39)</f>
        <v>45436</v>
      </c>
      <c r="B38" s="142" t="n">
        <f aca="false">IFERROR(IF(OR(NOT(ISNUMBER('Price History'!B39)),NOT(ISNUMBER('Price History'!B38)),'Price History'!B38=0),"",'Price History'!B39/'Price History'!B38-1),"")</f>
        <v>-0.0165484144550401</v>
      </c>
      <c r="C38" s="142" t="n">
        <f aca="false">IFERROR(IF(OR(NOT(ISNUMBER('Price History'!C39)),NOT(ISNUMBER('Price History'!C38)),'Price History'!C38=0),"",'Price History'!C39/'Price History'!C38-1),"")</f>
        <v>-0.0416406152307115</v>
      </c>
      <c r="D38" s="142" t="n">
        <f aca="false">IFERROR(IF(OR(NOT(ISNUMBER('Price History'!D39)),NOT(ISNUMBER('Price History'!D38)),'Price History'!D38=0),"",'Price History'!D39/'Price History'!D38-1),"")</f>
        <v>0.0337870578388617</v>
      </c>
      <c r="E38" s="142" t="n">
        <f aca="false">IFERROR(IF(OR(NOT(ISNUMBER('Price History'!E39)),NOT(ISNUMBER('Price History'!E38)),'Price History'!E38=0),"",'Price History'!E39/'Price History'!E38-1),"")</f>
        <v>0.00902619798928583</v>
      </c>
      <c r="F38" s="142" t="n">
        <f aca="false">IFERROR(IF(OR(NOT(ISNUMBER('Price History'!F39)),NOT(ISNUMBER('Price History'!F38)),'Price History'!F38=0),"",'Price History'!F39/'Price History'!F38-1),"")</f>
        <v>0.0160730804810361</v>
      </c>
      <c r="G38" s="142" t="n">
        <f aca="false">IFERROR(IF(OR(NOT(ISNUMBER('Price History'!G39)),NOT(ISNUMBER('Price History'!G38)),'Price History'!G38=0),"",'Price History'!G39/'Price History'!G38-1),"")</f>
        <v>0.0420293797606095</v>
      </c>
      <c r="H38" s="142" t="n">
        <f aca="false">IFERROR(IF(OR(NOT(ISNUMBER('Price History'!H39)),NOT(ISNUMBER('Price History'!H38)),'Price History'!H38=0),"",'Price History'!H39/'Price History'!H38-1),"")</f>
        <v>0.0335209003215433</v>
      </c>
      <c r="I38" s="142" t="n">
        <f aca="false">IFERROR(IF(OR(NOT(ISNUMBER('Price History'!I39)),NOT(ISNUMBER('Price History'!I38)),'Price History'!I38=0),"",'Price History'!I39/'Price History'!I38-1),"")</f>
        <v>0.151268705270007</v>
      </c>
      <c r="J38" s="142" t="n">
        <f aca="false">IFERROR(IF(OR(NOT(ISNUMBER('Price History'!J39)),NOT(ISNUMBER('Price History'!J38)),'Price History'!J38=0),"",'Price History'!J39/'Price History'!J38-1),"")</f>
        <v>-0.0606001558846454</v>
      </c>
      <c r="K38" s="142" t="n">
        <f aca="false">IFERROR(IF(OR(NOT(ISNUMBER('Price History'!K39)),NOT(ISNUMBER('Price History'!K38)),'Price History'!K38=0),"",'Price History'!K39/'Price History'!K38-1),"")</f>
        <v>-0.0344669117647058</v>
      </c>
      <c r="L38" s="142" t="n">
        <f aca="false">IFERROR(IF(OR(NOT(ISNUMBER('Price History'!L39)),NOT(ISNUMBER('Price History'!L38)),'Price History'!L38=0),"",'Price History'!L39/'Price History'!L38-1),"")</f>
        <v>0.054822473132907</v>
      </c>
      <c r="M38" s="142" t="n">
        <f aca="false">IFERROR(IF(OR(NOT(ISNUMBER('Price History'!M39)),NOT(ISNUMBER('Price History'!M38)),'Price History'!M38=0),"",'Price History'!M39/'Price History'!M38-1),"")</f>
        <v>0.0966639038541235</v>
      </c>
      <c r="N38" s="142" t="n">
        <f aca="false">IFERROR(IF(OR(NOT(ISNUMBER('Price History'!N39)),NOT(ISNUMBER('Price History'!N38)),'Price History'!N38=0),"",'Price History'!N39/'Price History'!N38-1),"")</f>
        <v>0.0263695784012039</v>
      </c>
      <c r="O38" s="142" t="n">
        <f aca="false">IFERROR(IF(OR(NOT(ISNUMBER('Price History'!O39)),NOT(ISNUMBER('Price History'!O38)),'Price History'!O38=0),"",'Price History'!O39/'Price History'!O38-1),"")</f>
        <v>-0.0148057441834576</v>
      </c>
      <c r="P38" s="142" t="n">
        <f aca="false">IFERROR(IF(OR(NOT(ISNUMBER('Price History'!P39)),NOT(ISNUMBER('Price History'!P38)),'Price History'!P38=0),"",'Price History'!P39/'Price History'!P38-1),"")</f>
        <v>-0.0204472287479336</v>
      </c>
      <c r="Q38" s="142" t="n">
        <f aca="false">IFERROR(IF(OR(NOT(ISNUMBER('Price History'!Q39)),NOT(ISNUMBER('Price History'!Q38)),'Price History'!Q38=0),"",'Price History'!Q39/'Price History'!Q38-1),"")</f>
        <v>0.00106685633001424</v>
      </c>
      <c r="R38" s="142" t="n">
        <f aca="false">IFERROR(IF(OR(NOT(ISNUMBER('Price History'!R39)),NOT(ISNUMBER('Price History'!R38)),'Price History'!R38=0),"",'Price History'!R39/'Price History'!R38-1),"")</f>
        <v>0.00460159844998787</v>
      </c>
      <c r="S38" s="142" t="n">
        <f aca="false">IFERROR(IF(OR(NOT(ISNUMBER('Price History'!S39)),NOT(ISNUMBER('Price History'!S38)),'Price History'!S38=0),"",'Price History'!S39/'Price History'!S38-1),"")</f>
        <v>0.019533711405167</v>
      </c>
      <c r="T38" s="142" t="n">
        <f aca="false">IFERROR(IF(OR(NOT(ISNUMBER('Price History'!T39)),NOT(ISNUMBER('Price History'!T38)),'Price History'!T38=0),"",'Price History'!T39/'Price History'!T38-1),"")</f>
        <v>-0.0172077922077922</v>
      </c>
      <c r="U38" s="142" t="n">
        <f aca="false">IFERROR(IF(OR(NOT(ISNUMBER('Price History'!U39)),NOT(ISNUMBER('Price History'!U38)),'Price History'!U38=0),"",'Price History'!U39/'Price History'!U38-1),"")</f>
        <v>-0.024630541871921</v>
      </c>
      <c r="V38" s="143" t="n">
        <f aca="false">IFERROR(IF(OR(NOT(ISNUMBER('Price History'!V39)),NOT(ISNUMBER('Price History'!V38)),'Price History'!V38=0),"",'Price History'!V39/'Price History'!V38-1),"")</f>
        <v>-0.0200443008097606</v>
      </c>
      <c r="W38" s="144" t="n">
        <f aca="false">IFERROR('Price History'!B3+(INDEX('Price History'!B:B,MATCH(9.99E+307,'Returns (Calc)'!$A:$A)+1)-'Price History'!B3)*(ROW()-3)/(MATCH(9.99E+307,'Returns (Calc)'!$A:$A)-3),"")</f>
        <v>464.383670886076</v>
      </c>
      <c r="X38" s="144" t="n">
        <f aca="false">IFERROR('Price History'!C3+(INDEX('Price History'!C:C,MATCH(9.99E+307,'Returns (Calc)'!$A:$A)+1)-'Price History'!C3)*(ROW()-3)/(MATCH(9.99E+307,'Returns (Calc)'!$A:$A)-3),"")</f>
        <v>81.8822151898734</v>
      </c>
      <c r="Y38" s="144" t="n">
        <f aca="false">IFERROR('Price History'!D3+(INDEX('Price History'!D:D,MATCH(9.99E+307,'Returns (Calc)'!$A:$A)+1)-'Price History'!D3)*(ROW()-3)/(MATCH(9.99E+307,'Returns (Calc)'!$A:$A)-3),"")</f>
        <v>866.72835443038</v>
      </c>
      <c r="Z38" s="144" t="n">
        <f aca="false">IFERROR('Price History'!E3+(INDEX('Price History'!E:E,MATCH(9.99E+307,'Returns (Calc)'!$A:$A)+1)-'Price History'!E3)*(ROW()-3)/(MATCH(9.99E+307,'Returns (Calc)'!$A:$A)-3),"")</f>
        <v>142.505696202532</v>
      </c>
      <c r="AA38" s="144" t="n">
        <f aca="false">IFERROR('Price History'!F3+(INDEX('Price History'!F:F,MATCH(9.99E+307,'Returns (Calc)'!$A:$A)+1)-'Price History'!F3)*(ROW()-3)/(MATCH(9.99E+307,'Returns (Calc)'!$A:$A)-3),"")</f>
        <v>92.0169620253165</v>
      </c>
      <c r="AB38" s="144" t="n">
        <f aca="false">IFERROR('Price History'!G3+(INDEX('Price History'!G:G,MATCH(9.99E+307,'Returns (Calc)'!$A:$A)+1)-'Price History'!G3)*(ROW()-3)/(MATCH(9.99E+307,'Returns (Calc)'!$A:$A)-3),"")</f>
        <v>80.3556962025317</v>
      </c>
      <c r="AC38" s="144" t="n">
        <f aca="false">IFERROR('Price History'!H3+(INDEX('Price History'!H:H,MATCH(9.99E+307,'Returns (Calc)'!$A:$A)+1)-'Price History'!H3)*(ROW()-3)/(MATCH(9.99E+307,'Returns (Calc)'!$A:$A)-3),"")</f>
        <v>291.909367088608</v>
      </c>
      <c r="AD38" s="144" t="n">
        <f aca="false">IFERROR('Price History'!I3+(INDEX('Price History'!I:I,MATCH(9.99E+307,'Returns (Calc)'!$A:$A)+1)-'Price History'!I3)*(ROW()-3)/(MATCH(9.99E+307,'Returns (Calc)'!$A:$A)-3),"")</f>
        <v>85.8984810126582</v>
      </c>
      <c r="AE38" s="144" t="n">
        <f aca="false">IFERROR('Price History'!J3+(INDEX('Price History'!J:J,MATCH(9.99E+307,'Returns (Calc)'!$A:$A)+1)-'Price History'!J3)*(ROW()-3)/(MATCH(9.99E+307,'Returns (Calc)'!$A:$A)-3),"")</f>
        <v>115.621329113924</v>
      </c>
      <c r="AF38" s="144" t="n">
        <f aca="false">IFERROR('Price History'!K3+(INDEX('Price History'!K:K,MATCH(9.99E+307,'Returns (Calc)'!$A:$A)+1)-'Price History'!K3)*(ROW()-3)/(MATCH(9.99E+307,'Returns (Calc)'!$A:$A)-3),"")</f>
        <v>53.7458227848101</v>
      </c>
      <c r="AG38" s="144" t="n">
        <f aca="false">IFERROR('Price History'!L3+(INDEX('Price History'!L:L,MATCH(9.99E+307,'Returns (Calc)'!$A:$A)+1)-'Price History'!L3)*(ROW()-3)/(MATCH(9.99E+307,'Returns (Calc)'!$A:$A)-3),"")</f>
        <v>171.484493670886</v>
      </c>
      <c r="AH38" s="144" t="n">
        <f aca="false">IFERROR('Price History'!M3+(INDEX('Price History'!M:M,MATCH(9.99E+307,'Returns (Calc)'!$A:$A)+1)-'Price History'!M3)*(ROW()-3)/(MATCH(9.99E+307,'Returns (Calc)'!$A:$A)-3),"")</f>
        <v>85.4605063291139</v>
      </c>
      <c r="AI38" s="144" t="n">
        <f aca="false">IFERROR('Price History'!N3+(INDEX('Price History'!N:N,MATCH(9.99E+307,'Returns (Calc)'!$A:$A)+1)-'Price History'!N3)*(ROW()-3)/(MATCH(9.99E+307,'Returns (Calc)'!$A:$A)-3),"")</f>
        <v>383.419303797468</v>
      </c>
      <c r="AJ38" s="144" t="n">
        <f aca="false">IFERROR('Price History'!O3+(INDEX('Price History'!O:O,MATCH(9.99E+307,'Returns (Calc)'!$A:$A)+1)-'Price History'!O3)*(ROW()-3)/(MATCH(9.99E+307,'Returns (Calc)'!$A:$A)-3),"")</f>
        <v>85.2163291139241</v>
      </c>
      <c r="AK38" s="144" t="n">
        <f aca="false">IFERROR('Price History'!Q3+(INDEX('Price History'!Q:Q,MATCH(9.99E+307,'Returns (Calc)'!$A:$A)+1)-'Price History'!Q3)*(ROW()-3)/(MATCH(9.99E+307,'Returns (Calc)'!$A:$A)-3),"")</f>
        <v>15.3778481012658</v>
      </c>
      <c r="AL38" s="144" t="n">
        <f aca="false">IFERROR('Price History'!R3+(INDEX('Price History'!R:R,MATCH(9.99E+307,'Returns (Calc)'!$A:$A)+1)-'Price History'!R3)*(ROW()-3)/(MATCH(9.99E+307,'Returns (Calc)'!$A:$A)-3),"")</f>
        <v>40.3635443037975</v>
      </c>
      <c r="AM38" s="144" t="n">
        <f aca="false">IFERROR('Price History'!S3+(INDEX('Price History'!S:S,MATCH(9.99E+307,'Returns (Calc)'!$A:$A)+1)-'Price History'!S3)*(ROW()-3)/(MATCH(9.99E+307,'Returns (Calc)'!$A:$A)-3),"")</f>
        <v>78.8072151898734</v>
      </c>
      <c r="AN38" s="144" t="n">
        <f aca="false">IFERROR('Price History'!T3+(INDEX('Price History'!T:T,MATCH(9.99E+307,'Returns (Calc)'!$A:$A)+1)-'Price History'!T3)*(ROW()-3)/(MATCH(9.99E+307,'Returns (Calc)'!$A:$A)-3),"")</f>
        <v>31.1279746835443</v>
      </c>
      <c r="AO38" s="145" t="n">
        <f aca="false">IFERROR('Price History'!V3+(INDEX('Price History'!V:V,MATCH(9.99E+307,'Returns (Calc)'!$A:$A)+1)-'Price History'!V3)*(ROW()-3)/(MATCH(9.99E+307,'Returns (Calc)'!$A:$A)-3),"")</f>
        <v>263.326518987342</v>
      </c>
      <c r="AP38" s="143" t="n">
        <f aca="false">IFERROR(IF(OR(NOT(ISNUMBER('Price History'!W39)),NOT(ISNUMBER('Price History'!W38)),'Price History'!W38=0),"",'Price History'!W39/'Price History'!W38-1),"")</f>
        <v>-0.0174991206472036</v>
      </c>
      <c r="AQ38" s="143" t="str">
        <f aca="false">IFERROR(IF(OR(NOT(ISNUMBER('Price History'!X39)),NOT(ISNUMBER('Price History'!X38)),'Price History'!X38=0),"",'Price History'!X39/'Price History'!X38-1),"")</f>
        <v/>
      </c>
      <c r="AR38" s="143" t="n">
        <f aca="false">IFERROR(IF(OR(NOT(ISNUMBER('Price History'!Y39)),NOT(ISNUMBER('Price History'!Y38)),'Price History'!Y38=0),"",'Price History'!Y39/'Price History'!Y38-1),"")</f>
        <v>-0.00803382663847774</v>
      </c>
      <c r="AS38" s="143" t="n">
        <f aca="false">IFERROR(IF(OR(NOT(ISNUMBER('Price History'!Z39)),NOT(ISNUMBER('Price History'!Z38)),'Price History'!Z38=0),"",'Price History'!Z39/'Price History'!Z38-1),"")</f>
        <v>0.0465145754119136</v>
      </c>
      <c r="AT38" s="143" t="n">
        <f aca="false">IFERROR(IF(OR(NOT(ISNUMBER('Price History'!AA39)),NOT(ISNUMBER('Price History'!AA38)),'Price History'!AA38=0),"",'Price History'!AA39/'Price History'!AA38-1),"")</f>
        <v>0.0413781999677991</v>
      </c>
    </row>
    <row r="39" customFormat="false" ht="15" hidden="false" customHeight="true" outlineLevel="0" collapsed="false">
      <c r="A39" s="141" t="n">
        <f aca="false">IF('Price History'!A40="","",'Price History'!A40)</f>
        <v>45443</v>
      </c>
      <c r="B39" s="142" t="n">
        <f aca="false">IFERROR(IF(OR(NOT(ISNUMBER('Price History'!B40)),NOT(ISNUMBER('Price History'!B39)),'Price History'!B39=0),"",'Price History'!B40/'Price History'!B39-1),"")</f>
        <v>-0.0645100225059421</v>
      </c>
      <c r="C39" s="142" t="n">
        <f aca="false">IFERROR(IF(OR(NOT(ISNUMBER('Price History'!C40)),NOT(ISNUMBER('Price History'!C39)),'Price History'!C39=0),"",'Price History'!C40/'Price History'!C39-1),"")</f>
        <v>-0.0290970772442589</v>
      </c>
      <c r="D39" s="142" t="n">
        <f aca="false">IFERROR(IF(OR(NOT(ISNUMBER('Price History'!D40)),NOT(ISNUMBER('Price History'!D39)),'Price History'!D39=0),"",'Price History'!D40/'Price History'!D39-1),"")</f>
        <v>0.00431438554627572</v>
      </c>
      <c r="E39" s="142" t="n">
        <f aca="false">IFERROR(IF(OR(NOT(ISNUMBER('Price History'!E40)),NOT(ISNUMBER('Price History'!E39)),'Price History'!E39=0),"",'Price History'!E40/'Price History'!E39-1),"")</f>
        <v>-0.0563636363636364</v>
      </c>
      <c r="F39" s="142" t="n">
        <f aca="false">IFERROR(IF(OR(NOT(ISNUMBER('Price History'!F40)),NOT(ISNUMBER('Price History'!F39)),'Price History'!F39=0),"",'Price History'!F40/'Price History'!F39-1),"")</f>
        <v>-0.107545237282349</v>
      </c>
      <c r="G39" s="142" t="n">
        <f aca="false">IFERROR(IF(OR(NOT(ISNUMBER('Price History'!G40)),NOT(ISNUMBER('Price History'!G39)),'Price History'!G39=0),"",'Price History'!G40/'Price History'!G39-1),"")</f>
        <v>-0.0250620023495628</v>
      </c>
      <c r="H39" s="142" t="n">
        <f aca="false">IFERROR(IF(OR(NOT(ISNUMBER('Price History'!H40)),NOT(ISNUMBER('Price History'!H39)),'Price History'!H39=0),"",'Price History'!H40/'Price History'!H39-1),"")</f>
        <v>-0.0346892743252703</v>
      </c>
      <c r="I39" s="142" t="n">
        <f aca="false">IFERROR(IF(OR(NOT(ISNUMBER('Price History'!I40)),NOT(ISNUMBER('Price History'!I39)),'Price History'!I39=0),"",'Price History'!I40/'Price History'!I39-1),"")</f>
        <v>0.0296693981350664</v>
      </c>
      <c r="J39" s="142" t="n">
        <f aca="false">IFERROR(IF(OR(NOT(ISNUMBER('Price History'!J40)),NOT(ISNUMBER('Price History'!J39)),'Price History'!J39=0),"",'Price History'!J40/'Price History'!J39-1),"")</f>
        <v>0.0548641360713544</v>
      </c>
      <c r="K39" s="142" t="n">
        <f aca="false">IFERROR(IF(OR(NOT(ISNUMBER('Price History'!K40)),NOT(ISNUMBER('Price History'!K39)),'Price History'!K39=0),"",'Price History'!K40/'Price History'!K39-1),"")</f>
        <v>0.031889576392194</v>
      </c>
      <c r="L39" s="142" t="n">
        <f aca="false">IFERROR(IF(OR(NOT(ISNUMBER('Price History'!L40)),NOT(ISNUMBER('Price History'!L39)),'Price History'!L39=0),"",'Price History'!L40/'Price History'!L39-1),"")</f>
        <v>-0.055971111684292</v>
      </c>
      <c r="M39" s="142" t="n">
        <f aca="false">IFERROR(IF(OR(NOT(ISNUMBER('Price History'!M40)),NOT(ISNUMBER('Price History'!M39)),'Price History'!M39=0),"",'Price History'!M40/'Price History'!M39-1),"")</f>
        <v>-0.0762399622106754</v>
      </c>
      <c r="N39" s="142" t="n">
        <f aca="false">IFERROR(IF(OR(NOT(ISNUMBER('Price History'!N40)),NOT(ISNUMBER('Price History'!N39)),'Price History'!N39=0),"",'Price History'!N40/'Price History'!N39-1),"")</f>
        <v>-0.00352336141809828</v>
      </c>
      <c r="O39" s="142" t="n">
        <f aca="false">IFERROR(IF(OR(NOT(ISNUMBER('Price History'!O40)),NOT(ISNUMBER('Price History'!O39)),'Price History'!O39=0),"",'Price History'!O40/'Price History'!O39-1),"")</f>
        <v>0.0107344632768362</v>
      </c>
      <c r="P39" s="142" t="n">
        <f aca="false">IFERROR(IF(OR(NOT(ISNUMBER('Price History'!P40)),NOT(ISNUMBER('Price History'!P39)),'Price History'!P39=0),"",'Price History'!P40/'Price History'!P39-1),"")</f>
        <v>0.0104814354236988</v>
      </c>
      <c r="Q39" s="142" t="n">
        <f aca="false">IFERROR(IF(OR(NOT(ISNUMBER('Price History'!Q40)),NOT(ISNUMBER('Price History'!Q39)),'Price History'!Q39=0),"",'Price History'!Q40/'Price History'!Q39-1),"")</f>
        <v>-0.00266429840142091</v>
      </c>
      <c r="R39" s="142" t="n">
        <f aca="false">IFERROR(IF(OR(NOT(ISNUMBER('Price History'!R40)),NOT(ISNUMBER('Price History'!R39)),'Price History'!R39=0),"",'Price History'!R40/'Price History'!R39-1),"")</f>
        <v>-0.00337512054001909</v>
      </c>
      <c r="S39" s="142" t="n">
        <f aca="false">IFERROR(IF(OR(NOT(ISNUMBER('Price History'!S40)),NOT(ISNUMBER('Price History'!S39)),'Price History'!S39=0),"",'Price History'!S40/'Price History'!S39-1),"")</f>
        <v>-0.0110012360939431</v>
      </c>
      <c r="T39" s="142" t="n">
        <f aca="false">IFERROR(IF(OR(NOT(ISNUMBER('Price History'!T40)),NOT(ISNUMBER('Price History'!T39)),'Price History'!T39=0),"",'Price History'!T40/'Price History'!T39-1),"")</f>
        <v>0.0115626032375289</v>
      </c>
      <c r="U39" s="142" t="n">
        <f aca="false">IFERROR(IF(OR(NOT(ISNUMBER('Price History'!U40)),NOT(ISNUMBER('Price History'!U39)),'Price History'!U39=0),"",'Price History'!U40/'Price History'!U39-1),"")</f>
        <v>0.00589225589225584</v>
      </c>
      <c r="V39" s="143" t="n">
        <f aca="false">IFERROR(IF(OR(NOT(ISNUMBER('Price History'!V40)),NOT(ISNUMBER('Price History'!V39)),'Price History'!V39=0),"",'Price History'!V40/'Price History'!V39-1),"")</f>
        <v>-0.00737392077667032</v>
      </c>
      <c r="W39" s="144" t="n">
        <f aca="false">IFERROR('Price History'!B3+(INDEX('Price History'!B:B,MATCH(9.99E+307,'Returns (Calc)'!$A:$A)+1)-'Price History'!B3)*(ROW()-3)/(MATCH(9.99E+307,'Returns (Calc)'!$A:$A)-3),"")</f>
        <v>462.540632911392</v>
      </c>
      <c r="X39" s="144" t="n">
        <f aca="false">IFERROR('Price History'!C3+(INDEX('Price History'!C:C,MATCH(9.99E+307,'Returns (Calc)'!$A:$A)+1)-'Price History'!C3)*(ROW()-3)/(MATCH(9.99E+307,'Returns (Calc)'!$A:$A)-3),"")</f>
        <v>82.9022784810127</v>
      </c>
      <c r="Y39" s="144" t="n">
        <f aca="false">IFERROR('Price History'!D3+(INDEX('Price History'!D:D,MATCH(9.99E+307,'Returns (Calc)'!$A:$A)+1)-'Price History'!D3)*(ROW()-3)/(MATCH(9.99E+307,'Returns (Calc)'!$A:$A)-3),"")</f>
        <v>874.863164556962</v>
      </c>
      <c r="Z39" s="144" t="n">
        <f aca="false">IFERROR('Price History'!E3+(INDEX('Price History'!E:E,MATCH(9.99E+307,'Returns (Calc)'!$A:$A)+1)-'Price History'!E3)*(ROW()-3)/(MATCH(9.99E+307,'Returns (Calc)'!$A:$A)-3),"")</f>
        <v>144.234430379747</v>
      </c>
      <c r="AA39" s="144" t="n">
        <f aca="false">IFERROR('Price History'!F3+(INDEX('Price History'!F:F,MATCH(9.99E+307,'Returns (Calc)'!$A:$A)+1)-'Price History'!F3)*(ROW()-3)/(MATCH(9.99E+307,'Returns (Calc)'!$A:$A)-3),"")</f>
        <v>93.4643037974684</v>
      </c>
      <c r="AB39" s="144" t="n">
        <f aca="false">IFERROR('Price History'!G3+(INDEX('Price History'!G:G,MATCH(9.99E+307,'Returns (Calc)'!$A:$A)+1)-'Price History'!G3)*(ROW()-3)/(MATCH(9.99E+307,'Returns (Calc)'!$A:$A)-3),"")</f>
        <v>81.3844303797468</v>
      </c>
      <c r="AC39" s="144" t="n">
        <f aca="false">IFERROR('Price History'!H3+(INDEX('Price History'!H:H,MATCH(9.99E+307,'Returns (Calc)'!$A:$A)+1)-'Price History'!H3)*(ROW()-3)/(MATCH(9.99E+307,'Returns (Calc)'!$A:$A)-3),"")</f>
        <v>298.275063291139</v>
      </c>
      <c r="AD39" s="144" t="n">
        <f aca="false">IFERROR('Price History'!I3+(INDEX('Price History'!I:I,MATCH(9.99E+307,'Returns (Calc)'!$A:$A)+1)-'Price History'!I3)*(ROW()-3)/(MATCH(9.99E+307,'Returns (Calc)'!$A:$A)-3),"")</f>
        <v>87.1021518987342</v>
      </c>
      <c r="AE39" s="144" t="n">
        <f aca="false">IFERROR('Price History'!J3+(INDEX('Price History'!J:J,MATCH(9.99E+307,'Returns (Calc)'!$A:$A)+1)-'Price History'!J3)*(ROW()-3)/(MATCH(9.99E+307,'Returns (Calc)'!$A:$A)-3),"")</f>
        <v>115.729367088608</v>
      </c>
      <c r="AF39" s="144" t="n">
        <f aca="false">IFERROR('Price History'!K3+(INDEX('Price History'!K:K,MATCH(9.99E+307,'Returns (Calc)'!$A:$A)+1)-'Price History'!K3)*(ROW()-3)/(MATCH(9.99E+307,'Returns (Calc)'!$A:$A)-3),"")</f>
        <v>54.843417721519</v>
      </c>
      <c r="AG39" s="144" t="n">
        <f aca="false">IFERROR('Price History'!L3+(INDEX('Price History'!L:L,MATCH(9.99E+307,'Returns (Calc)'!$A:$A)+1)-'Price History'!L3)*(ROW()-3)/(MATCH(9.99E+307,'Returns (Calc)'!$A:$A)-3),"")</f>
        <v>173.934050632911</v>
      </c>
      <c r="AH39" s="144" t="n">
        <f aca="false">IFERROR('Price History'!M3+(INDEX('Price History'!M:M,MATCH(9.99E+307,'Returns (Calc)'!$A:$A)+1)-'Price History'!M3)*(ROW()-3)/(MATCH(9.99E+307,'Returns (Calc)'!$A:$A)-3),"")</f>
        <v>86.8159493670886</v>
      </c>
      <c r="AI39" s="144" t="n">
        <f aca="false">IFERROR('Price History'!N3+(INDEX('Price History'!N:N,MATCH(9.99E+307,'Returns (Calc)'!$A:$A)+1)-'Price History'!N3)*(ROW()-3)/(MATCH(9.99E+307,'Returns (Calc)'!$A:$A)-3),"")</f>
        <v>384.405569620253</v>
      </c>
      <c r="AJ39" s="144" t="n">
        <f aca="false">IFERROR('Price History'!O3+(INDEX('Price History'!O:O,MATCH(9.99E+307,'Returns (Calc)'!$A:$A)+1)-'Price History'!O3)*(ROW()-3)/(MATCH(9.99E+307,'Returns (Calc)'!$A:$A)-3),"")</f>
        <v>85.4993670886076</v>
      </c>
      <c r="AK39" s="144" t="n">
        <f aca="false">IFERROR('Price History'!Q3+(INDEX('Price History'!Q:Q,MATCH(9.99E+307,'Returns (Calc)'!$A:$A)+1)-'Price History'!Q3)*(ROW()-3)/(MATCH(9.99E+307,'Returns (Calc)'!$A:$A)-3),"")</f>
        <v>15.8172151898734</v>
      </c>
      <c r="AL39" s="144" t="n">
        <f aca="false">IFERROR('Price History'!R3+(INDEX('Price History'!R:R,MATCH(9.99E+307,'Returns (Calc)'!$A:$A)+1)-'Price History'!R3)*(ROW()-3)/(MATCH(9.99E+307,'Returns (Calc)'!$A:$A)-3),"")</f>
        <v>40.5316455696203</v>
      </c>
      <c r="AM39" s="144" t="n">
        <f aca="false">IFERROR('Price History'!S3+(INDEX('Price History'!S:S,MATCH(9.99E+307,'Returns (Calc)'!$A:$A)+1)-'Price History'!S3)*(ROW()-3)/(MATCH(9.99E+307,'Returns (Calc)'!$A:$A)-3),"")</f>
        <v>79.4122784810127</v>
      </c>
      <c r="AN39" s="144" t="n">
        <f aca="false">IFERROR('Price History'!T3+(INDEX('Price History'!T:T,MATCH(9.99E+307,'Returns (Calc)'!$A:$A)+1)-'Price History'!T3)*(ROW()-3)/(MATCH(9.99E+307,'Returns (Calc)'!$A:$A)-3),"")</f>
        <v>31.2962025316456</v>
      </c>
      <c r="AO39" s="145" t="n">
        <f aca="false">IFERROR('Price History'!V3+(INDEX('Price History'!V:V,MATCH(9.99E+307,'Returns (Calc)'!$A:$A)+1)-'Price History'!V3)*(ROW()-3)/(MATCH(9.99E+307,'Returns (Calc)'!$A:$A)-3),"")</f>
        <v>264.117848101266</v>
      </c>
      <c r="AP39" s="143" t="n">
        <f aca="false">IFERROR(IF(OR(NOT(ISNUMBER('Price History'!W40)),NOT(ISNUMBER('Price History'!W39)),'Price History'!W39=0),"",'Price History'!W40/'Price History'!W39-1),"")</f>
        <v>0.00519108565291315</v>
      </c>
      <c r="AQ39" s="143" t="str">
        <f aca="false">IFERROR(IF(OR(NOT(ISNUMBER('Price History'!X40)),NOT(ISNUMBER('Price History'!X39)),'Price History'!X39=0),"",'Price History'!X40/'Price History'!X39-1),"")</f>
        <v/>
      </c>
      <c r="AR39" s="143" t="n">
        <f aca="false">IFERROR(IF(OR(NOT(ISNUMBER('Price History'!Y40)),NOT(ISNUMBER('Price History'!Y39)),'Price History'!Y39=0),"",'Price History'!Y40/'Price History'!Y39-1),"")</f>
        <v>-0.00170502983802212</v>
      </c>
      <c r="AS39" s="143" t="n">
        <f aca="false">IFERROR(IF(OR(NOT(ISNUMBER('Price History'!Z40)),NOT(ISNUMBER('Price History'!Z39)),'Price History'!Z39=0),"",'Price History'!Z40/'Price History'!Z39-1),"")</f>
        <v>-0.0130798110693956</v>
      </c>
      <c r="AT39" s="143" t="n">
        <f aca="false">IFERROR(IF(OR(NOT(ISNUMBER('Price History'!AA40)),NOT(ISNUMBER('Price History'!AA39)),'Price History'!AA39=0),"",'Price History'!AA40/'Price History'!AA39-1),"")</f>
        <v>-0.00803957946815104</v>
      </c>
    </row>
    <row r="40" customFormat="false" ht="15" hidden="false" customHeight="true" outlineLevel="0" collapsed="false">
      <c r="A40" s="141" t="n">
        <f aca="false">IF('Price History'!A41="","",'Price History'!A41)</f>
        <v>45450</v>
      </c>
      <c r="B40" s="142" t="n">
        <f aca="false">IFERROR(IF(OR(NOT(ISNUMBER('Price History'!B41)),NOT(ISNUMBER('Price History'!B40)),'Price History'!B40=0),"",'Price History'!B41/'Price History'!B40-1),"")</f>
        <v>0.0464745031027971</v>
      </c>
      <c r="C40" s="142" t="n">
        <f aca="false">IFERROR(IF(OR(NOT(ISNUMBER('Price History'!C41)),NOT(ISNUMBER('Price History'!C40)),'Price History'!C40=0),"",'Price History'!C41/'Price History'!C40-1),"")</f>
        <v>-0.00282220131702715</v>
      </c>
      <c r="D40" s="142" t="n">
        <f aca="false">IFERROR(IF(OR(NOT(ISNUMBER('Price History'!D41)),NOT(ISNUMBER('Price History'!D40)),'Price History'!D40=0),"",'Price History'!D41/'Price History'!D40-1),"")</f>
        <v>0.0708868546941461</v>
      </c>
      <c r="E40" s="142" t="n">
        <f aca="false">IFERROR(IF(OR(NOT(ISNUMBER('Price History'!E41)),NOT(ISNUMBER('Price History'!E40)),'Price History'!E40=0),"",'Price History'!E41/'Price History'!E40-1),"")</f>
        <v>0.058805394990366</v>
      </c>
      <c r="F40" s="142" t="n">
        <f aca="false">IFERROR(IF(OR(NOT(ISNUMBER('Price History'!F41)),NOT(ISNUMBER('Price History'!F40)),'Price History'!F40=0),"",'Price History'!F41/'Price History'!F40-1),"")</f>
        <v>0.112981382300434</v>
      </c>
      <c r="G40" s="142" t="n">
        <f aca="false">IFERROR(IF(OR(NOT(ISNUMBER('Price History'!G41)),NOT(ISNUMBER('Price History'!G40)),'Price History'!G40=0),"",'Price History'!G41/'Price History'!G40-1),"")</f>
        <v>0.0123175793278887</v>
      </c>
      <c r="H40" s="142" t="n">
        <f aca="false">IFERROR(IF(OR(NOT(ISNUMBER('Price History'!H41)),NOT(ISNUMBER('Price History'!H40)),'Price History'!H40=0),"",'Price History'!H41/'Price History'!H40-1),"")</f>
        <v>0.0475384739344129</v>
      </c>
      <c r="I40" s="142" t="n">
        <f aca="false">IFERROR(IF(OR(NOT(ISNUMBER('Price History'!I41)),NOT(ISNUMBER('Price History'!I40)),'Price History'!I40=0),"",'Price History'!I41/'Price History'!I40-1),"")</f>
        <v>0.102634467618002</v>
      </c>
      <c r="J40" s="142" t="n">
        <f aca="false">IFERROR(IF(OR(NOT(ISNUMBER('Price History'!J41)),NOT(ISNUMBER('Price History'!J40)),'Price History'!J40=0),"",'Price History'!J41/'Price History'!J40-1),"")</f>
        <v>-0.00265460623340863</v>
      </c>
      <c r="K40" s="142" t="n">
        <f aca="false">IFERROR(IF(OR(NOT(ISNUMBER('Price History'!K41)),NOT(ISNUMBER('Price History'!K40)),'Price History'!K40=0),"",'Price History'!K41/'Price History'!K40-1),"")</f>
        <v>0.0751845018450184</v>
      </c>
      <c r="L40" s="142" t="n">
        <f aca="false">IFERROR(IF(OR(NOT(ISNUMBER('Price History'!L41)),NOT(ISNUMBER('Price History'!L40)),'Price History'!L40=0),"",'Price History'!L41/'Price History'!L40-1),"")</f>
        <v>0.0883879781420764</v>
      </c>
      <c r="M40" s="142" t="n">
        <f aca="false">IFERROR(IF(OR(NOT(ISNUMBER('Price History'!M41)),NOT(ISNUMBER('Price History'!M40)),'Price History'!M40=0),"",'Price History'!M41/'Price History'!M40-1),"")</f>
        <v>-0.105952137451422</v>
      </c>
      <c r="N40" s="142" t="n">
        <f aca="false">IFERROR(IF(OR(NOT(ISNUMBER('Price History'!N41)),NOT(ISNUMBER('Price History'!N40)),'Price History'!N40=0),"",'Price History'!N41/'Price History'!N40-1),"")</f>
        <v>0.0608336627574999</v>
      </c>
      <c r="O40" s="142" t="n">
        <f aca="false">IFERROR(IF(OR(NOT(ISNUMBER('Price History'!O41)),NOT(ISNUMBER('Price History'!O40)),'Price History'!O40=0),"",'Price History'!O41/'Price History'!O40-1),"")</f>
        <v>-0.0340972610396869</v>
      </c>
      <c r="P40" s="142" t="n">
        <f aca="false">IFERROR(IF(OR(NOT(ISNUMBER('Price History'!P41)),NOT(ISNUMBER('Price History'!P40)),'Price History'!P40=0),"",'Price History'!P41/'Price History'!P40-1),"")</f>
        <v>-0.0202180028129396</v>
      </c>
      <c r="Q40" s="142" t="n">
        <f aca="false">IFERROR(IF(OR(NOT(ISNUMBER('Price History'!Q41)),NOT(ISNUMBER('Price History'!Q40)),'Price History'!Q40=0),"",'Price History'!Q41/'Price History'!Q40-1),"")</f>
        <v>0.0110418521816564</v>
      </c>
      <c r="R40" s="142" t="n">
        <f aca="false">IFERROR(IF(OR(NOT(ISNUMBER('Price History'!R41)),NOT(ISNUMBER('Price History'!R40)),'Price History'!R40=0),"",'Price History'!R41/'Price History'!R40-1),"")</f>
        <v>0.0140299951620706</v>
      </c>
      <c r="S40" s="142" t="n">
        <f aca="false">IFERROR(IF(OR(NOT(ISNUMBER('Price History'!S41)),NOT(ISNUMBER('Price History'!S40)),'Price History'!S40=0),"",'Price History'!S41/'Price History'!S40-1),"")</f>
        <v>0.03037120359955</v>
      </c>
      <c r="T40" s="142" t="n">
        <f aca="false">IFERROR(IF(OR(NOT(ISNUMBER('Price History'!T41)),NOT(ISNUMBER('Price History'!T40)),'Price History'!T40=0),"",'Price History'!T41/'Price History'!T40-1),"")</f>
        <v>-0.0212279555845853</v>
      </c>
      <c r="U40" s="142" t="n">
        <f aca="false">IFERROR(IF(OR(NOT(ISNUMBER('Price History'!U41)),NOT(ISNUMBER('Price History'!U40)),'Price History'!U40=0),"",'Price History'!U41/'Price History'!U40-1),"")</f>
        <v>-0.00878661087866095</v>
      </c>
      <c r="V40" s="143" t="n">
        <f aca="false">IFERROR(IF(OR(NOT(ISNUMBER('Price History'!V41)),NOT(ISNUMBER('Price History'!V40)),'Price History'!V40=0),"",'Price History'!V41/'Price History'!V40-1),"")</f>
        <v>0.0227713901747051</v>
      </c>
      <c r="W40" s="144" t="n">
        <f aca="false">IFERROR('Price History'!B3+(INDEX('Price History'!B:B,MATCH(9.99E+307,'Returns (Calc)'!$A:$A)+1)-'Price History'!B3)*(ROW()-3)/(MATCH(9.99E+307,'Returns (Calc)'!$A:$A)-3),"")</f>
        <v>460.697594936709</v>
      </c>
      <c r="X40" s="144" t="n">
        <f aca="false">IFERROR('Price History'!C3+(INDEX('Price History'!C:C,MATCH(9.99E+307,'Returns (Calc)'!$A:$A)+1)-'Price History'!C3)*(ROW()-3)/(MATCH(9.99E+307,'Returns (Calc)'!$A:$A)-3),"")</f>
        <v>83.9223417721519</v>
      </c>
      <c r="Y40" s="144" t="n">
        <f aca="false">IFERROR('Price History'!D3+(INDEX('Price History'!D:D,MATCH(9.99E+307,'Returns (Calc)'!$A:$A)+1)-'Price History'!D3)*(ROW()-3)/(MATCH(9.99E+307,'Returns (Calc)'!$A:$A)-3),"")</f>
        <v>882.997974683544</v>
      </c>
      <c r="Z40" s="144" t="n">
        <f aca="false">IFERROR('Price History'!E3+(INDEX('Price History'!E:E,MATCH(9.99E+307,'Returns (Calc)'!$A:$A)+1)-'Price History'!E3)*(ROW()-3)/(MATCH(9.99E+307,'Returns (Calc)'!$A:$A)-3),"")</f>
        <v>145.963164556962</v>
      </c>
      <c r="AA40" s="144" t="n">
        <f aca="false">IFERROR('Price History'!F3+(INDEX('Price History'!F:F,MATCH(9.99E+307,'Returns (Calc)'!$A:$A)+1)-'Price History'!F3)*(ROW()-3)/(MATCH(9.99E+307,'Returns (Calc)'!$A:$A)-3),"")</f>
        <v>94.9116455696203</v>
      </c>
      <c r="AB40" s="144" t="n">
        <f aca="false">IFERROR('Price History'!G3+(INDEX('Price History'!G:G,MATCH(9.99E+307,'Returns (Calc)'!$A:$A)+1)-'Price History'!G3)*(ROW()-3)/(MATCH(9.99E+307,'Returns (Calc)'!$A:$A)-3),"")</f>
        <v>82.413164556962</v>
      </c>
      <c r="AC40" s="144" t="n">
        <f aca="false">IFERROR('Price History'!H3+(INDEX('Price History'!H:H,MATCH(9.99E+307,'Returns (Calc)'!$A:$A)+1)-'Price History'!H3)*(ROW()-3)/(MATCH(9.99E+307,'Returns (Calc)'!$A:$A)-3),"")</f>
        <v>304.640759493671</v>
      </c>
      <c r="AD40" s="144" t="n">
        <f aca="false">IFERROR('Price History'!I3+(INDEX('Price History'!I:I,MATCH(9.99E+307,'Returns (Calc)'!$A:$A)+1)-'Price History'!I3)*(ROW()-3)/(MATCH(9.99E+307,'Returns (Calc)'!$A:$A)-3),"")</f>
        <v>88.3058227848101</v>
      </c>
      <c r="AE40" s="144" t="n">
        <f aca="false">IFERROR('Price History'!J3+(INDEX('Price History'!J:J,MATCH(9.99E+307,'Returns (Calc)'!$A:$A)+1)-'Price History'!J3)*(ROW()-3)/(MATCH(9.99E+307,'Returns (Calc)'!$A:$A)-3),"")</f>
        <v>115.837405063291</v>
      </c>
      <c r="AF40" s="144" t="n">
        <f aca="false">IFERROR('Price History'!K3+(INDEX('Price History'!K:K,MATCH(9.99E+307,'Returns (Calc)'!$A:$A)+1)-'Price History'!K3)*(ROW()-3)/(MATCH(9.99E+307,'Returns (Calc)'!$A:$A)-3),"")</f>
        <v>55.9410126582279</v>
      </c>
      <c r="AG40" s="144" t="n">
        <f aca="false">IFERROR('Price History'!L3+(INDEX('Price History'!L:L,MATCH(9.99E+307,'Returns (Calc)'!$A:$A)+1)-'Price History'!L3)*(ROW()-3)/(MATCH(9.99E+307,'Returns (Calc)'!$A:$A)-3),"")</f>
        <v>176.383607594937</v>
      </c>
      <c r="AH40" s="144" t="n">
        <f aca="false">IFERROR('Price History'!M3+(INDEX('Price History'!M:M,MATCH(9.99E+307,'Returns (Calc)'!$A:$A)+1)-'Price History'!M3)*(ROW()-3)/(MATCH(9.99E+307,'Returns (Calc)'!$A:$A)-3),"")</f>
        <v>88.1713924050633</v>
      </c>
      <c r="AI40" s="144" t="n">
        <f aca="false">IFERROR('Price History'!N3+(INDEX('Price History'!N:N,MATCH(9.99E+307,'Returns (Calc)'!$A:$A)+1)-'Price History'!N3)*(ROW()-3)/(MATCH(9.99E+307,'Returns (Calc)'!$A:$A)-3),"")</f>
        <v>385.391835443038</v>
      </c>
      <c r="AJ40" s="144" t="n">
        <f aca="false">IFERROR('Price History'!O3+(INDEX('Price History'!O:O,MATCH(9.99E+307,'Returns (Calc)'!$A:$A)+1)-'Price History'!O3)*(ROW()-3)/(MATCH(9.99E+307,'Returns (Calc)'!$A:$A)-3),"")</f>
        <v>85.7824050632911</v>
      </c>
      <c r="AK40" s="144" t="n">
        <f aca="false">IFERROR('Price History'!Q3+(INDEX('Price History'!Q:Q,MATCH(9.99E+307,'Returns (Calc)'!$A:$A)+1)-'Price History'!Q3)*(ROW()-3)/(MATCH(9.99E+307,'Returns (Calc)'!$A:$A)-3),"")</f>
        <v>16.256582278481</v>
      </c>
      <c r="AL40" s="144" t="n">
        <f aca="false">IFERROR('Price History'!R3+(INDEX('Price History'!R:R,MATCH(9.99E+307,'Returns (Calc)'!$A:$A)+1)-'Price History'!R3)*(ROW()-3)/(MATCH(9.99E+307,'Returns (Calc)'!$A:$A)-3),"")</f>
        <v>40.699746835443</v>
      </c>
      <c r="AM40" s="144" t="n">
        <f aca="false">IFERROR('Price History'!S3+(INDEX('Price History'!S:S,MATCH(9.99E+307,'Returns (Calc)'!$A:$A)+1)-'Price History'!S3)*(ROW()-3)/(MATCH(9.99E+307,'Returns (Calc)'!$A:$A)-3),"")</f>
        <v>80.0173417721519</v>
      </c>
      <c r="AN40" s="144" t="n">
        <f aca="false">IFERROR('Price History'!T3+(INDEX('Price History'!T:T,MATCH(9.99E+307,'Returns (Calc)'!$A:$A)+1)-'Price History'!T3)*(ROW()-3)/(MATCH(9.99E+307,'Returns (Calc)'!$A:$A)-3),"")</f>
        <v>31.4644303797468</v>
      </c>
      <c r="AO40" s="145" t="n">
        <f aca="false">IFERROR('Price History'!V3+(INDEX('Price History'!V:V,MATCH(9.99E+307,'Returns (Calc)'!$A:$A)+1)-'Price History'!V3)*(ROW()-3)/(MATCH(9.99E+307,'Returns (Calc)'!$A:$A)-3),"")</f>
        <v>264.90917721519</v>
      </c>
      <c r="AP40" s="143" t="n">
        <f aca="false">IFERROR(IF(OR(NOT(ISNUMBER('Price History'!W41)),NOT(ISNUMBER('Price History'!W40)),'Price History'!W40=0),"",'Price History'!W41/'Price History'!W40-1),"")</f>
        <v>-0.00899296589796106</v>
      </c>
      <c r="AQ40" s="143" t="str">
        <f aca="false">IFERROR(IF(OR(NOT(ISNUMBER('Price History'!X41)),NOT(ISNUMBER('Price History'!X40)),'Price History'!X40=0),"",'Price History'!X41/'Price History'!X40-1),"")</f>
        <v/>
      </c>
      <c r="AR40" s="143" t="n">
        <f aca="false">IFERROR(IF(OR(NOT(ISNUMBER('Price History'!Y41)),NOT(ISNUMBER('Price History'!Y40)),'Price History'!Y40=0),"",'Price History'!Y41/'Price History'!Y40-1),"")</f>
        <v>0.000853970964987072</v>
      </c>
      <c r="AS40" s="143" t="n">
        <f aca="false">IFERROR(IF(OR(NOT(ISNUMBER('Price History'!Z41)),NOT(ISNUMBER('Price History'!Z40)),'Price History'!Z40=0),"",'Price History'!Z41/'Price History'!Z40-1),"")</f>
        <v>-0.0195115965149096</v>
      </c>
      <c r="AT40" s="143" t="n">
        <f aca="false">IFERROR(IF(OR(NOT(ISNUMBER('Price History'!AA41)),NOT(ISNUMBER('Price History'!AA40)),'Price History'!AA40=0),"",'Price History'!AA41/'Price History'!AA40-1),"")</f>
        <v>-0.000155860349127068</v>
      </c>
    </row>
    <row r="41" customFormat="false" ht="15" hidden="false" customHeight="true" outlineLevel="0" collapsed="false">
      <c r="A41" s="141" t="n">
        <f aca="false">IF('Price History'!A42="","",'Price History'!A42)</f>
        <v>45457</v>
      </c>
      <c r="B41" s="142" t="n">
        <f aca="false">IFERROR(IF(OR(NOT(ISNUMBER('Price History'!B42)),NOT(ISNUMBER('Price History'!B41)),'Price History'!B41=0),"",'Price History'!B42/'Price History'!B41-1),"")</f>
        <v>0.128655222052725</v>
      </c>
      <c r="C41" s="142" t="n">
        <f aca="false">IFERROR(IF(OR(NOT(ISNUMBER('Price History'!C42)),NOT(ISNUMBER('Price History'!C41)),'Price History'!C41=0),"",'Price History'!C42/'Price History'!C41-1),"")</f>
        <v>0.106738544474394</v>
      </c>
      <c r="D41" s="142" t="n">
        <f aca="false">IFERROR(IF(OR(NOT(ISNUMBER('Price History'!D42)),NOT(ISNUMBER('Price History'!D41)),'Price History'!D41=0),"",'Price History'!D42/'Price History'!D41-1),"")</f>
        <v>-0.000505150554675149</v>
      </c>
      <c r="E41" s="142" t="n">
        <f aca="false">IFERROR(IF(OR(NOT(ISNUMBER('Price History'!E42)),NOT(ISNUMBER('Price History'!E41)),'Price History'!E41=0),"",'Price History'!E42/'Price History'!E41-1),"")</f>
        <v>0.233440093172223</v>
      </c>
      <c r="F41" s="142" t="n">
        <f aca="false">IFERROR(IF(OR(NOT(ISNUMBER('Price History'!F42)),NOT(ISNUMBER('Price History'!F41)),'Price History'!F41=0),"",'Price History'!F42/'Price History'!F41-1),"")</f>
        <v>0.104032997250229</v>
      </c>
      <c r="G41" s="142" t="n">
        <f aca="false">IFERROR(IF(OR(NOT(ISNUMBER('Price History'!G42)),NOT(ISNUMBER('Price History'!G41)),'Price History'!G41=0),"",'Price History'!G42/'Price History'!G41-1),"")</f>
        <v>0.0727417008332232</v>
      </c>
      <c r="H41" s="142" t="n">
        <f aca="false">IFERROR(IF(OR(NOT(ISNUMBER('Price History'!H42)),NOT(ISNUMBER('Price History'!H41)),'Price History'!H41=0),"",'Price History'!H42/'Price History'!H41-1),"")</f>
        <v>0.0795323436658719</v>
      </c>
      <c r="I41" s="142" t="n">
        <f aca="false">IFERROR(IF(OR(NOT(ISNUMBER('Price History'!I42)),NOT(ISNUMBER('Price History'!I41)),'Price History'!I41=0),"",'Price History'!I42/'Price History'!I41-1),"")</f>
        <v>0.0910900945744151</v>
      </c>
      <c r="J41" s="142" t="n">
        <f aca="false">IFERROR(IF(OR(NOT(ISNUMBER('Price History'!J42)),NOT(ISNUMBER('Price History'!J41)),'Price History'!J41=0),"",'Price History'!J42/'Price History'!J41-1),"")</f>
        <v>0.0189274447949528</v>
      </c>
      <c r="K41" s="142" t="n">
        <f aca="false">IFERROR(IF(OR(NOT(ISNUMBER('Price History'!K42)),NOT(ISNUMBER('Price History'!K41)),'Price History'!K41=0),"",'Price History'!K42/'Price History'!K41-1),"")</f>
        <v>0.0111540111540112</v>
      </c>
      <c r="L41" s="142" t="n">
        <f aca="false">IFERROR(IF(OR(NOT(ISNUMBER('Price History'!L42)),NOT(ISNUMBER('Price History'!L41)),'Price History'!L41=0),"",'Price History'!L42/'Price History'!L41-1),"")</f>
        <v>0.0526547006401406</v>
      </c>
      <c r="M41" s="142" t="n">
        <f aca="false">IFERROR(IF(OR(NOT(ISNUMBER('Price History'!M42)),NOT(ISNUMBER('Price History'!M41)),'Price History'!M41=0),"",'Price History'!M42/'Price History'!M41-1),"")</f>
        <v>0.0433539235872797</v>
      </c>
      <c r="N41" s="142" t="n">
        <f aca="false">IFERROR(IF(OR(NOT(ISNUMBER('Price History'!N42)),NOT(ISNUMBER('Price History'!N41)),'Price History'!N41=0),"",'Price History'!N42/'Price History'!N41-1),"")</f>
        <v>-0.00478221265319645</v>
      </c>
      <c r="O41" s="142" t="n">
        <f aca="false">IFERROR(IF(OR(NOT(ISNUMBER('Price History'!O42)),NOT(ISNUMBER('Price History'!O41)),'Price History'!O41=0),"",'Price History'!O42/'Price History'!O41-1),"")</f>
        <v>-0.0238425925925926</v>
      </c>
      <c r="P41" s="142" t="n">
        <f aca="false">IFERROR(IF(OR(NOT(ISNUMBER('Price History'!P42)),NOT(ISNUMBER('Price History'!P41)),'Price History'!P41=0),"",'Price History'!P42/'Price History'!P41-1),"")</f>
        <v>-0.0168670375022429</v>
      </c>
      <c r="Q41" s="142" t="n">
        <f aca="false">IFERROR(IF(OR(NOT(ISNUMBER('Price History'!Q42)),NOT(ISNUMBER('Price History'!Q41)),'Price History'!Q41=0),"",'Price History'!Q42/'Price History'!Q41-1),"")</f>
        <v>0.00915976748282543</v>
      </c>
      <c r="R41" s="142" t="n">
        <f aca="false">IFERROR(IF(OR(NOT(ISNUMBER('Price History'!R42)),NOT(ISNUMBER('Price History'!R41)),'Price History'!R41=0),"",'Price History'!R42/'Price History'!R41-1),"")</f>
        <v>0.0126431297709924</v>
      </c>
      <c r="S41" s="142" t="n">
        <f aca="false">IFERROR(IF(OR(NOT(ISNUMBER('Price History'!S42)),NOT(ISNUMBER('Price History'!S41)),'Price History'!S41=0),"",'Price History'!S42/'Price History'!S41-1),"")</f>
        <v>0.042212518195051</v>
      </c>
      <c r="T41" s="142" t="n">
        <f aca="false">IFERROR(IF(OR(NOT(ISNUMBER('Price History'!T42)),NOT(ISNUMBER('Price History'!T41)),'Price History'!T41=0),"",'Price History'!T42/'Price History'!T41-1),"")</f>
        <v>-0.00200200200200196</v>
      </c>
      <c r="U41" s="142" t="n">
        <f aca="false">IFERROR(IF(OR(NOT(ISNUMBER('Price History'!U42)),NOT(ISNUMBER('Price History'!U41)),'Price History'!U41=0),"",'Price History'!U42/'Price History'!U41-1),"")</f>
        <v>-0.0139299282397637</v>
      </c>
      <c r="V41" s="143" t="n">
        <f aca="false">IFERROR(IF(OR(NOT(ISNUMBER('Price History'!V42)),NOT(ISNUMBER('Price History'!V41)),'Price History'!V41=0),"",'Price History'!V42/'Price History'!V41-1),"")</f>
        <v>-0.0287247244324403</v>
      </c>
      <c r="W41" s="144" t="n">
        <f aca="false">IFERROR('Price History'!B3+(INDEX('Price History'!B:B,MATCH(9.99E+307,'Returns (Calc)'!$A:$A)+1)-'Price History'!B3)*(ROW()-3)/(MATCH(9.99E+307,'Returns (Calc)'!$A:$A)-3),"")</f>
        <v>458.854556962025</v>
      </c>
      <c r="X41" s="144" t="n">
        <f aca="false">IFERROR('Price History'!C3+(INDEX('Price History'!C:C,MATCH(9.99E+307,'Returns (Calc)'!$A:$A)+1)-'Price History'!C3)*(ROW()-3)/(MATCH(9.99E+307,'Returns (Calc)'!$A:$A)-3),"")</f>
        <v>84.9424050632911</v>
      </c>
      <c r="Y41" s="144" t="n">
        <f aca="false">IFERROR('Price History'!D3+(INDEX('Price History'!D:D,MATCH(9.99E+307,'Returns (Calc)'!$A:$A)+1)-'Price History'!D3)*(ROW()-3)/(MATCH(9.99E+307,'Returns (Calc)'!$A:$A)-3),"")</f>
        <v>891.132784810127</v>
      </c>
      <c r="Z41" s="144" t="n">
        <f aca="false">IFERROR('Price History'!E3+(INDEX('Price History'!E:E,MATCH(9.99E+307,'Returns (Calc)'!$A:$A)+1)-'Price History'!E3)*(ROW()-3)/(MATCH(9.99E+307,'Returns (Calc)'!$A:$A)-3),"")</f>
        <v>147.691898734177</v>
      </c>
      <c r="AA41" s="144" t="n">
        <f aca="false">IFERROR('Price History'!F3+(INDEX('Price History'!F:F,MATCH(9.99E+307,'Returns (Calc)'!$A:$A)+1)-'Price History'!F3)*(ROW()-3)/(MATCH(9.99E+307,'Returns (Calc)'!$A:$A)-3),"")</f>
        <v>96.3589873417722</v>
      </c>
      <c r="AB41" s="144" t="n">
        <f aca="false">IFERROR('Price History'!G3+(INDEX('Price History'!G:G,MATCH(9.99E+307,'Returns (Calc)'!$A:$A)+1)-'Price History'!G3)*(ROW()-3)/(MATCH(9.99E+307,'Returns (Calc)'!$A:$A)-3),"")</f>
        <v>83.4418987341772</v>
      </c>
      <c r="AC41" s="144" t="n">
        <f aca="false">IFERROR('Price History'!H3+(INDEX('Price History'!H:H,MATCH(9.99E+307,'Returns (Calc)'!$A:$A)+1)-'Price History'!H3)*(ROW()-3)/(MATCH(9.99E+307,'Returns (Calc)'!$A:$A)-3),"")</f>
        <v>311.006455696203</v>
      </c>
      <c r="AD41" s="144" t="n">
        <f aca="false">IFERROR('Price History'!I3+(INDEX('Price History'!I:I,MATCH(9.99E+307,'Returns (Calc)'!$A:$A)+1)-'Price History'!I3)*(ROW()-3)/(MATCH(9.99E+307,'Returns (Calc)'!$A:$A)-3),"")</f>
        <v>89.5094936708861</v>
      </c>
      <c r="AE41" s="144" t="n">
        <f aca="false">IFERROR('Price History'!J3+(INDEX('Price History'!J:J,MATCH(9.99E+307,'Returns (Calc)'!$A:$A)+1)-'Price History'!J3)*(ROW()-3)/(MATCH(9.99E+307,'Returns (Calc)'!$A:$A)-3),"")</f>
        <v>115.945443037975</v>
      </c>
      <c r="AF41" s="144" t="n">
        <f aca="false">IFERROR('Price History'!K3+(INDEX('Price History'!K:K,MATCH(9.99E+307,'Returns (Calc)'!$A:$A)+1)-'Price History'!K3)*(ROW()-3)/(MATCH(9.99E+307,'Returns (Calc)'!$A:$A)-3),"")</f>
        <v>57.0386075949367</v>
      </c>
      <c r="AG41" s="144" t="n">
        <f aca="false">IFERROR('Price History'!L3+(INDEX('Price History'!L:L,MATCH(9.99E+307,'Returns (Calc)'!$A:$A)+1)-'Price History'!L3)*(ROW()-3)/(MATCH(9.99E+307,'Returns (Calc)'!$A:$A)-3),"")</f>
        <v>178.833164556962</v>
      </c>
      <c r="AH41" s="144" t="n">
        <f aca="false">IFERROR('Price History'!M3+(INDEX('Price History'!M:M,MATCH(9.99E+307,'Returns (Calc)'!$A:$A)+1)-'Price History'!M3)*(ROW()-3)/(MATCH(9.99E+307,'Returns (Calc)'!$A:$A)-3),"")</f>
        <v>89.526835443038</v>
      </c>
      <c r="AI41" s="144" t="n">
        <f aca="false">IFERROR('Price History'!N3+(INDEX('Price History'!N:N,MATCH(9.99E+307,'Returns (Calc)'!$A:$A)+1)-'Price History'!N3)*(ROW()-3)/(MATCH(9.99E+307,'Returns (Calc)'!$A:$A)-3),"")</f>
        <v>386.378101265823</v>
      </c>
      <c r="AJ41" s="144" t="n">
        <f aca="false">IFERROR('Price History'!O3+(INDEX('Price History'!O:O,MATCH(9.99E+307,'Returns (Calc)'!$A:$A)+1)-'Price History'!O3)*(ROW()-3)/(MATCH(9.99E+307,'Returns (Calc)'!$A:$A)-3),"")</f>
        <v>86.0654430379747</v>
      </c>
      <c r="AK41" s="144" t="n">
        <f aca="false">IFERROR('Price History'!Q3+(INDEX('Price History'!Q:Q,MATCH(9.99E+307,'Returns (Calc)'!$A:$A)+1)-'Price History'!Q3)*(ROW()-3)/(MATCH(9.99E+307,'Returns (Calc)'!$A:$A)-3),"")</f>
        <v>16.6959493670886</v>
      </c>
      <c r="AL41" s="144" t="n">
        <f aca="false">IFERROR('Price History'!R3+(INDEX('Price History'!R:R,MATCH(9.99E+307,'Returns (Calc)'!$A:$A)+1)-'Price History'!R3)*(ROW()-3)/(MATCH(9.99E+307,'Returns (Calc)'!$A:$A)-3),"")</f>
        <v>40.8678481012658</v>
      </c>
      <c r="AM41" s="144" t="n">
        <f aca="false">IFERROR('Price History'!S3+(INDEX('Price History'!S:S,MATCH(9.99E+307,'Returns (Calc)'!$A:$A)+1)-'Price History'!S3)*(ROW()-3)/(MATCH(9.99E+307,'Returns (Calc)'!$A:$A)-3),"")</f>
        <v>80.6224050632911</v>
      </c>
      <c r="AN41" s="144" t="n">
        <f aca="false">IFERROR('Price History'!T3+(INDEX('Price History'!T:T,MATCH(9.99E+307,'Returns (Calc)'!$A:$A)+1)-'Price History'!T3)*(ROW()-3)/(MATCH(9.99E+307,'Returns (Calc)'!$A:$A)-3),"")</f>
        <v>31.6326582278481</v>
      </c>
      <c r="AO41" s="145" t="n">
        <f aca="false">IFERROR('Price History'!V3+(INDEX('Price History'!V:V,MATCH(9.99E+307,'Returns (Calc)'!$A:$A)+1)-'Price History'!V3)*(ROW()-3)/(MATCH(9.99E+307,'Returns (Calc)'!$A:$A)-3),"")</f>
        <v>265.700506329114</v>
      </c>
      <c r="AP41" s="143" t="n">
        <f aca="false">IFERROR(IF(OR(NOT(ISNUMBER('Price History'!W42)),NOT(ISNUMBER('Price History'!W41)),'Price History'!W41=0),"",'Price History'!W42/'Price History'!W41-1),"")</f>
        <v>-0.00422282120395323</v>
      </c>
      <c r="AQ41" s="143" t="str">
        <f aca="false">IFERROR(IF(OR(NOT(ISNUMBER('Price History'!X42)),NOT(ISNUMBER('Price History'!X41)),'Price History'!X41=0),"",'Price History'!X42/'Price History'!X41-1),"")</f>
        <v/>
      </c>
      <c r="AR41" s="143" t="n">
        <f aca="false">IFERROR(IF(OR(NOT(ISNUMBER('Price History'!Y42)),NOT(ISNUMBER('Price History'!Y41)),'Price History'!Y41=0),"",'Price History'!Y42/'Price History'!Y41-1),"")</f>
        <v>-0.00554607508532434</v>
      </c>
      <c r="AS41" s="143" t="n">
        <f aca="false">IFERROR(IF(OR(NOT(ISNUMBER('Price History'!Z42)),NOT(ISNUMBER('Price History'!Z41)),'Price History'!Z41=0),"",'Price History'!Z42/'Price History'!Z41-1),"")</f>
        <v>-0.03729662077597</v>
      </c>
      <c r="AT41" s="143" t="n">
        <f aca="false">IFERROR(IF(OR(NOT(ISNUMBER('Price History'!AA42)),NOT(ISNUMBER('Price History'!AA41)),'Price History'!AA41=0),"",'Price History'!AA42/'Price History'!AA41-1),"")</f>
        <v>0.0434918160561184</v>
      </c>
    </row>
    <row r="42" customFormat="false" ht="15" hidden="false" customHeight="true" outlineLevel="0" collapsed="false">
      <c r="A42" s="141" t="n">
        <f aca="false">IF('Price History'!A43="","",'Price History'!A43)</f>
        <v>45464</v>
      </c>
      <c r="B42" s="142" t="n">
        <f aca="false">IFERROR(IF(OR(NOT(ISNUMBER('Price History'!B43)),NOT(ISNUMBER('Price History'!B42)),'Price History'!B42=0),"",'Price History'!B43/'Price History'!B42-1),"")</f>
        <v>0.0154765757362321</v>
      </c>
      <c r="C42" s="142" t="n">
        <f aca="false">IFERROR(IF(OR(NOT(ISNUMBER('Price History'!C43)),NOT(ISNUMBER('Price History'!C42)),'Price History'!C42=0),"",'Price History'!C43/'Price History'!C42-1),"")</f>
        <v>0.0270336093521675</v>
      </c>
      <c r="D42" s="142" t="n">
        <f aca="false">IFERROR(IF(OR(NOT(ISNUMBER('Price History'!D43)),NOT(ISNUMBER('Price History'!D42)),'Price History'!D42=0),"",'Price History'!D43/'Price History'!D42-1),"")</f>
        <v>0.00846307068745111</v>
      </c>
      <c r="E42" s="142" t="n">
        <f aca="false">IFERROR(IF(OR(NOT(ISNUMBER('Price History'!E43)),NOT(ISNUMBER('Price History'!E42)),'Price History'!E42=0),"",'Price History'!E43/'Price History'!E42-1),"")</f>
        <v>-0.0440247860725876</v>
      </c>
      <c r="F42" s="142" t="n">
        <f aca="false">IFERROR(IF(OR(NOT(ISNUMBER('Price History'!F43)),NOT(ISNUMBER('Price History'!F42)),'Price History'!F42=0),"",'Price History'!F43/'Price History'!F42-1),"")</f>
        <v>-0.0124533001245331</v>
      </c>
      <c r="G42" s="142" t="n">
        <f aca="false">IFERROR(IF(OR(NOT(ISNUMBER('Price History'!G43)),NOT(ISNUMBER('Price History'!G42)),'Price History'!G42=0),"",'Price History'!G43/'Price History'!G42-1),"")</f>
        <v>-0.010109727530514</v>
      </c>
      <c r="H42" s="142" t="n">
        <f aca="false">IFERROR(IF(OR(NOT(ISNUMBER('Price History'!H43)),NOT(ISNUMBER('Price History'!H42)),'Price History'!H42=0),"",'Price History'!H43/'Price History'!H42-1),"")</f>
        <v>-0.0128250801567509</v>
      </c>
      <c r="I42" s="142" t="n">
        <f aca="false">IFERROR(IF(OR(NOT(ISNUMBER('Price History'!I43)),NOT(ISNUMBER('Price History'!I42)),'Price History'!I42=0),"",'Price History'!I43/'Price History'!I42-1),"")</f>
        <v>-0.0402980535279807</v>
      </c>
      <c r="J42" s="142" t="n">
        <f aca="false">IFERROR(IF(OR(NOT(ISNUMBER('Price History'!J43)),NOT(ISNUMBER('Price History'!J42)),'Price History'!J42=0),"",'Price History'!J43/'Price History'!J42-1),"")</f>
        <v>-0.0173181114551084</v>
      </c>
      <c r="K42" s="142" t="n">
        <f aca="false">IFERROR(IF(OR(NOT(ISNUMBER('Price History'!K43)),NOT(ISNUMBER('Price History'!K42)),'Price History'!K42=0),"",'Price History'!K43/'Price History'!K42-1),"")</f>
        <v>0.0114552397114978</v>
      </c>
      <c r="L42" s="142" t="n">
        <f aca="false">IFERROR(IF(OR(NOT(ISNUMBER('Price History'!L43)),NOT(ISNUMBER('Price History'!L42)),'Price History'!L42=0),"",'Price History'!L43/'Price History'!L42-1),"")</f>
        <v>0.00840636737614031</v>
      </c>
      <c r="M42" s="142" t="n">
        <f aca="false">IFERROR(IF(OR(NOT(ISNUMBER('Price History'!M43)),NOT(ISNUMBER('Price History'!M42)),'Price History'!M42=0),"",'Price History'!M43/'Price History'!M42-1),"")</f>
        <v>-0.00909987939918866</v>
      </c>
      <c r="N42" s="142" t="n">
        <f aca="false">IFERROR(IF(OR(NOT(ISNUMBER('Price History'!N43)),NOT(ISNUMBER('Price History'!N42)),'Price History'!N42=0),"",'Price History'!N43/'Price History'!N42-1),"")</f>
        <v>-0.0250036402970483</v>
      </c>
      <c r="O42" s="142" t="n">
        <f aca="false">IFERROR(IF(OR(NOT(ISNUMBER('Price History'!O43)),NOT(ISNUMBER('Price History'!O42)),'Price History'!O42=0),"",'Price History'!O43/'Price History'!O42-1),"")</f>
        <v>0.0107896608963718</v>
      </c>
      <c r="P42" s="142" t="n">
        <f aca="false">IFERROR(IF(OR(NOT(ISNUMBER('Price History'!P43)),NOT(ISNUMBER('Price History'!P42)),'Price History'!P42=0),"",'Price History'!P43/'Price History'!P42-1),"")</f>
        <v>0.0137798868406644</v>
      </c>
      <c r="Q42" s="142" t="n">
        <f aca="false">IFERROR(IF(OR(NOT(ISNUMBER('Price History'!Q43)),NOT(ISNUMBER('Price History'!Q42)),'Price History'!Q42=0),"",'Price History'!Q43/'Price History'!Q42-1),"")</f>
        <v>0.00314190958282423</v>
      </c>
      <c r="R42" s="142" t="n">
        <f aca="false">IFERROR(IF(OR(NOT(ISNUMBER('Price History'!R43)),NOT(ISNUMBER('Price History'!R42)),'Price History'!R42=0),"",'Price History'!R43/'Price History'!R42-1),"")</f>
        <v>0.000942285041224844</v>
      </c>
      <c r="S42" s="142" t="n">
        <f aca="false">IFERROR(IF(OR(NOT(ISNUMBER('Price History'!S43)),NOT(ISNUMBER('Price History'!S42)),'Price History'!S42=0),"",'Price History'!S43/'Price History'!S42-1),"")</f>
        <v>-0.000814711359404141</v>
      </c>
      <c r="T42" s="142" t="n">
        <f aca="false">IFERROR(IF(OR(NOT(ISNUMBER('Price History'!T43)),NOT(ISNUMBER('Price History'!T42)),'Price History'!T42=0),"",'Price History'!T43/'Price History'!T42-1),"")</f>
        <v>0.0096957539284519</v>
      </c>
      <c r="U42" s="142" t="n">
        <f aca="false">IFERROR(IF(OR(NOT(ISNUMBER('Price History'!U43)),NOT(ISNUMBER('Price History'!U42)),'Price History'!U42=0),"",'Price History'!U43/'Price History'!U42-1),"")</f>
        <v>0.0171232876712331</v>
      </c>
      <c r="V42" s="143" t="n">
        <f aca="false">IFERROR(IF(OR(NOT(ISNUMBER('Price History'!V43)),NOT(ISNUMBER('Price History'!V42)),'Price History'!V42=0),"",'Price History'!V43/'Price History'!V42-1),"")</f>
        <v>0.0168351433617675</v>
      </c>
      <c r="W42" s="144" t="n">
        <f aca="false">IFERROR('Price History'!B3+(INDEX('Price History'!B:B,MATCH(9.99E+307,'Returns (Calc)'!$A:$A)+1)-'Price History'!B3)*(ROW()-3)/(MATCH(9.99E+307,'Returns (Calc)'!$A:$A)-3),"")</f>
        <v>457.011518987342</v>
      </c>
      <c r="X42" s="144" t="n">
        <f aca="false">IFERROR('Price History'!C3+(INDEX('Price History'!C:C,MATCH(9.99E+307,'Returns (Calc)'!$A:$A)+1)-'Price History'!C3)*(ROW()-3)/(MATCH(9.99E+307,'Returns (Calc)'!$A:$A)-3),"")</f>
        <v>85.9624683544304</v>
      </c>
      <c r="Y42" s="144" t="n">
        <f aca="false">IFERROR('Price History'!D3+(INDEX('Price History'!D:D,MATCH(9.99E+307,'Returns (Calc)'!$A:$A)+1)-'Price History'!D3)*(ROW()-3)/(MATCH(9.99E+307,'Returns (Calc)'!$A:$A)-3),"")</f>
        <v>899.267594936709</v>
      </c>
      <c r="Z42" s="144" t="n">
        <f aca="false">IFERROR('Price History'!E3+(INDEX('Price History'!E:E,MATCH(9.99E+307,'Returns (Calc)'!$A:$A)+1)-'Price History'!E3)*(ROW()-3)/(MATCH(9.99E+307,'Returns (Calc)'!$A:$A)-3),"")</f>
        <v>149.420632911392</v>
      </c>
      <c r="AA42" s="144" t="n">
        <f aca="false">IFERROR('Price History'!F3+(INDEX('Price History'!F:F,MATCH(9.99E+307,'Returns (Calc)'!$A:$A)+1)-'Price History'!F3)*(ROW()-3)/(MATCH(9.99E+307,'Returns (Calc)'!$A:$A)-3),"")</f>
        <v>97.8063291139241</v>
      </c>
      <c r="AB42" s="144" t="n">
        <f aca="false">IFERROR('Price History'!G3+(INDEX('Price History'!G:G,MATCH(9.99E+307,'Returns (Calc)'!$A:$A)+1)-'Price History'!G3)*(ROW()-3)/(MATCH(9.99E+307,'Returns (Calc)'!$A:$A)-3),"")</f>
        <v>84.4706329113924</v>
      </c>
      <c r="AC42" s="144" t="n">
        <f aca="false">IFERROR('Price History'!H3+(INDEX('Price History'!H:H,MATCH(9.99E+307,'Returns (Calc)'!$A:$A)+1)-'Price History'!H3)*(ROW()-3)/(MATCH(9.99E+307,'Returns (Calc)'!$A:$A)-3),"")</f>
        <v>317.372151898734</v>
      </c>
      <c r="AD42" s="144" t="n">
        <f aca="false">IFERROR('Price History'!I3+(INDEX('Price History'!I:I,MATCH(9.99E+307,'Returns (Calc)'!$A:$A)+1)-'Price History'!I3)*(ROW()-3)/(MATCH(9.99E+307,'Returns (Calc)'!$A:$A)-3),"")</f>
        <v>90.713164556962</v>
      </c>
      <c r="AE42" s="144" t="n">
        <f aca="false">IFERROR('Price History'!J3+(INDEX('Price History'!J:J,MATCH(9.99E+307,'Returns (Calc)'!$A:$A)+1)-'Price History'!J3)*(ROW()-3)/(MATCH(9.99E+307,'Returns (Calc)'!$A:$A)-3),"")</f>
        <v>116.053481012658</v>
      </c>
      <c r="AF42" s="144" t="n">
        <f aca="false">IFERROR('Price History'!K3+(INDEX('Price History'!K:K,MATCH(9.99E+307,'Returns (Calc)'!$A:$A)+1)-'Price History'!K3)*(ROW()-3)/(MATCH(9.99E+307,'Returns (Calc)'!$A:$A)-3),"")</f>
        <v>58.1362025316456</v>
      </c>
      <c r="AG42" s="144" t="n">
        <f aca="false">IFERROR('Price History'!L3+(INDEX('Price History'!L:L,MATCH(9.99E+307,'Returns (Calc)'!$A:$A)+1)-'Price History'!L3)*(ROW()-3)/(MATCH(9.99E+307,'Returns (Calc)'!$A:$A)-3),"")</f>
        <v>181.282721518987</v>
      </c>
      <c r="AH42" s="144" t="n">
        <f aca="false">IFERROR('Price History'!M3+(INDEX('Price History'!M:M,MATCH(9.99E+307,'Returns (Calc)'!$A:$A)+1)-'Price History'!M3)*(ROW()-3)/(MATCH(9.99E+307,'Returns (Calc)'!$A:$A)-3),"")</f>
        <v>90.8822784810127</v>
      </c>
      <c r="AI42" s="144" t="n">
        <f aca="false">IFERROR('Price History'!N3+(INDEX('Price History'!N:N,MATCH(9.99E+307,'Returns (Calc)'!$A:$A)+1)-'Price History'!N3)*(ROW()-3)/(MATCH(9.99E+307,'Returns (Calc)'!$A:$A)-3),"")</f>
        <v>387.364367088608</v>
      </c>
      <c r="AJ42" s="144" t="n">
        <f aca="false">IFERROR('Price History'!O3+(INDEX('Price History'!O:O,MATCH(9.99E+307,'Returns (Calc)'!$A:$A)+1)-'Price History'!O3)*(ROW()-3)/(MATCH(9.99E+307,'Returns (Calc)'!$A:$A)-3),"")</f>
        <v>86.3484810126582</v>
      </c>
      <c r="AK42" s="144" t="n">
        <f aca="false">IFERROR('Price History'!Q3+(INDEX('Price History'!Q:Q,MATCH(9.99E+307,'Returns (Calc)'!$A:$A)+1)-'Price History'!Q3)*(ROW()-3)/(MATCH(9.99E+307,'Returns (Calc)'!$A:$A)-3),"")</f>
        <v>17.1353164556962</v>
      </c>
      <c r="AL42" s="144" t="n">
        <f aca="false">IFERROR('Price History'!R3+(INDEX('Price History'!R:R,MATCH(9.99E+307,'Returns (Calc)'!$A:$A)+1)-'Price History'!R3)*(ROW()-3)/(MATCH(9.99E+307,'Returns (Calc)'!$A:$A)-3),"")</f>
        <v>41.0359493670886</v>
      </c>
      <c r="AM42" s="144" t="n">
        <f aca="false">IFERROR('Price History'!S3+(INDEX('Price History'!S:S,MATCH(9.99E+307,'Returns (Calc)'!$A:$A)+1)-'Price History'!S3)*(ROW()-3)/(MATCH(9.99E+307,'Returns (Calc)'!$A:$A)-3),"")</f>
        <v>81.2274683544304</v>
      </c>
      <c r="AN42" s="144" t="n">
        <f aca="false">IFERROR('Price History'!T3+(INDEX('Price History'!T:T,MATCH(9.99E+307,'Returns (Calc)'!$A:$A)+1)-'Price History'!T3)*(ROW()-3)/(MATCH(9.99E+307,'Returns (Calc)'!$A:$A)-3),"")</f>
        <v>31.8008860759494</v>
      </c>
      <c r="AO42" s="145" t="n">
        <f aca="false">IFERROR('Price History'!V3+(INDEX('Price History'!V:V,MATCH(9.99E+307,'Returns (Calc)'!$A:$A)+1)-'Price History'!V3)*(ROW()-3)/(MATCH(9.99E+307,'Returns (Calc)'!$A:$A)-3),"")</f>
        <v>266.491835443038</v>
      </c>
      <c r="AP42" s="143" t="n">
        <f aca="false">IFERROR(IF(OR(NOT(ISNUMBER('Price History'!W43)),NOT(ISNUMBER('Price History'!W42)),'Price History'!W42=0),"",'Price History'!W43/'Price History'!W42-1),"")</f>
        <v>0.0125417305783633</v>
      </c>
      <c r="AQ42" s="143" t="str">
        <f aca="false">IFERROR(IF(OR(NOT(ISNUMBER('Price History'!X43)),NOT(ISNUMBER('Price History'!X42)),'Price History'!X42=0),"",'Price History'!X43/'Price History'!X42-1),"")</f>
        <v/>
      </c>
      <c r="AR42" s="143" t="n">
        <f aca="false">IFERROR(IF(OR(NOT(ISNUMBER('Price History'!Y43)),NOT(ISNUMBER('Price History'!Y42)),'Price History'!Y42=0),"",'Price History'!Y43/'Price History'!Y42-1),"")</f>
        <v>0.00879450879450894</v>
      </c>
      <c r="AS42" s="143" t="n">
        <f aca="false">IFERROR(IF(OR(NOT(ISNUMBER('Price History'!Z43)),NOT(ISNUMBER('Price History'!Z42)),'Price History'!Z42=0),"",'Price History'!Z43/'Price History'!Z42-1),"")</f>
        <v>0.0536271450858035</v>
      </c>
      <c r="AT42" s="143" t="n">
        <f aca="false">IFERROR(IF(OR(NOT(ISNUMBER('Price History'!AA43)),NOT(ISNUMBER('Price History'!AA42)),'Price History'!AA42=0),"",'Price History'!AA43/'Price History'!AA42-1),"")</f>
        <v>0.0249477143710786</v>
      </c>
    </row>
    <row r="43" customFormat="false" ht="15" hidden="false" customHeight="true" outlineLevel="0" collapsed="false">
      <c r="A43" s="141" t="n">
        <f aca="false">IF('Price History'!A44="","",'Price History'!A44)</f>
        <v>45471</v>
      </c>
      <c r="B43" s="142" t="n">
        <f aca="false">IFERROR(IF(OR(NOT(ISNUMBER('Price History'!B44)),NOT(ISNUMBER('Price History'!B43)),'Price History'!B43=0),"",'Price History'!B44/'Price History'!B43-1),"")</f>
        <v>0.0414292141571684</v>
      </c>
      <c r="C43" s="142" t="n">
        <f aca="false">IFERROR(IF(OR(NOT(ISNUMBER('Price History'!C44)),NOT(ISNUMBER('Price History'!C43)),'Price History'!C43=0),"",'Price History'!C44/'Price History'!C43-1),"")</f>
        <v>0.0388902063078018</v>
      </c>
      <c r="D43" s="142" t="n">
        <f aca="false">IFERROR(IF(OR(NOT(ISNUMBER('Price History'!D44)),NOT(ISNUMBER('Price History'!D43)),'Price History'!D43=0),"",'Price History'!D44/'Price History'!D43-1),"")</f>
        <v>-0.0133840393856314</v>
      </c>
      <c r="E43" s="142" t="n">
        <f aca="false">IFERROR(IF(OR(NOT(ISNUMBER('Price History'!E44)),NOT(ISNUMBER('Price History'!E43)),'Price History'!E43=0),"",'Price History'!E44/'Price History'!E43-1),"")</f>
        <v>-0.0289524044694117</v>
      </c>
      <c r="F43" s="142" t="n">
        <f aca="false">IFERROR(IF(OR(NOT(ISNUMBER('Price History'!F44)),NOT(ISNUMBER('Price History'!F43)),'Price History'!F43=0),"",'Price History'!F44/'Price History'!F43-1),"")</f>
        <v>0.00672551492223628</v>
      </c>
      <c r="G43" s="142" t="n">
        <f aca="false">IFERROR(IF(OR(NOT(ISNUMBER('Price History'!G44)),NOT(ISNUMBER('Price History'!G43)),'Price History'!G43=0),"",'Price History'!G44/'Price History'!G43-1),"")</f>
        <v>0.00983933241997748</v>
      </c>
      <c r="H43" s="142" t="n">
        <f aca="false">IFERROR(IF(OR(NOT(ISNUMBER('Price History'!H44)),NOT(ISNUMBER('Price History'!H43)),'Price History'!H43=0),"",'Price History'!H44/'Price History'!H43-1),"")</f>
        <v>-0.0574521833273187</v>
      </c>
      <c r="I43" s="142" t="n">
        <f aca="false">IFERROR(IF(OR(NOT(ISNUMBER('Price History'!I44)),NOT(ISNUMBER('Price History'!I43)),'Price History'!I43=0),"",'Price History'!I44/'Price History'!I43-1),"")</f>
        <v>-0.0239264775788306</v>
      </c>
      <c r="J43" s="142" t="n">
        <f aca="false">IFERROR(IF(OR(NOT(ISNUMBER('Price History'!J44)),NOT(ISNUMBER('Price History'!J43)),'Price History'!J43=0),"",'Price History'!J44/'Price History'!J43-1),"")</f>
        <v>0.0265826523579797</v>
      </c>
      <c r="K43" s="142" t="n">
        <f aca="false">IFERROR(IF(OR(NOT(ISNUMBER('Price History'!K44)),NOT(ISNUMBER('Price History'!K43)),'Price History'!K43=0),"",'Price History'!K44/'Price History'!K43-1),"")</f>
        <v>0.0625</v>
      </c>
      <c r="L43" s="142" t="n">
        <f aca="false">IFERROR(IF(OR(NOT(ISNUMBER('Price History'!L44)),NOT(ISNUMBER('Price History'!L43)),'Price History'!L43=0),"",'Price History'!L44/'Price History'!L43-1),"")</f>
        <v>-0.000827716684403401</v>
      </c>
      <c r="M43" s="142" t="n">
        <f aca="false">IFERROR(IF(OR(NOT(ISNUMBER('Price History'!M44)),NOT(ISNUMBER('Price History'!M43)),'Price History'!M43=0),"",'Price History'!M44/'Price History'!M43-1),"")</f>
        <v>-0.0447001549015268</v>
      </c>
      <c r="N43" s="142" t="n">
        <f aca="false">IFERROR(IF(OR(NOT(ISNUMBER('Price History'!N44)),NOT(ISNUMBER('Price History'!N43)),'Price History'!N43=0),"",'Price History'!N44/'Price History'!N43-1),"")</f>
        <v>2.13351539333218E-005</v>
      </c>
      <c r="O43" s="142" t="n">
        <f aca="false">IFERROR(IF(OR(NOT(ISNUMBER('Price History'!O44)),NOT(ISNUMBER('Price History'!O43)),'Price History'!O43=0),"",'Price History'!O44/'Price History'!O43-1),"")</f>
        <v>0.0166568914956011</v>
      </c>
      <c r="P43" s="142" t="n">
        <f aca="false">IFERROR(IF(OR(NOT(ISNUMBER('Price History'!P44)),NOT(ISNUMBER('Price History'!P43)),'Price History'!P43=0),"",'Price History'!P44/'Price History'!P43-1),"")</f>
        <v>0.00297056440723731</v>
      </c>
      <c r="Q43" s="142" t="n">
        <f aca="false">IFERROR(IF(OR(NOT(ISNUMBER('Price History'!Q44)),NOT(ISNUMBER('Price History'!Q43)),'Price History'!Q43=0),"",'Price History'!Q44/'Price History'!Q43-1),"")</f>
        <v>0.00417609187402124</v>
      </c>
      <c r="R43" s="142" t="n">
        <f aca="false">IFERROR(IF(OR(NOT(ISNUMBER('Price History'!R44)),NOT(ISNUMBER('Price History'!R43)),'Price History'!R43=0),"",'Price History'!R44/'Price History'!R43-1),"")</f>
        <v>0.00470698987997165</v>
      </c>
      <c r="S43" s="142" t="n">
        <f aca="false">IFERROR(IF(OR(NOT(ISNUMBER('Price History'!S44)),NOT(ISNUMBER('Price History'!S43)),'Price History'!S43=0),"",'Price History'!S44/'Price History'!S43-1),"")</f>
        <v>0.00186371578334321</v>
      </c>
      <c r="T43" s="142" t="n">
        <f aca="false">IFERROR(IF(OR(NOT(ISNUMBER('Price History'!T44)),NOT(ISNUMBER('Price History'!T43)),'Price History'!T43=0),"",'Price History'!T44/'Price History'!T43-1),"")</f>
        <v>-0.00662251655629131</v>
      </c>
      <c r="U43" s="142" t="n">
        <f aca="false">IFERROR(IF(OR(NOT(ISNUMBER('Price History'!U44)),NOT(ISNUMBER('Price History'!U43)),'Price History'!U43=0),"",'Price History'!U44/'Price History'!U43-1),"")</f>
        <v>0.00589225589225584</v>
      </c>
      <c r="V43" s="143" t="n">
        <f aca="false">IFERROR(IF(OR(NOT(ISNUMBER('Price History'!V44)),NOT(ISNUMBER('Price History'!V43)),'Price History'!V43=0),"",'Price History'!V44/'Price History'!V43-1),"")</f>
        <v>-0.0463431760227649</v>
      </c>
      <c r="W43" s="144" t="n">
        <f aca="false">IFERROR('Price History'!B3+(INDEX('Price History'!B:B,MATCH(9.99E+307,'Returns (Calc)'!$A:$A)+1)-'Price History'!B3)*(ROW()-3)/(MATCH(9.99E+307,'Returns (Calc)'!$A:$A)-3),"")</f>
        <v>455.168481012658</v>
      </c>
      <c r="X43" s="144" t="n">
        <f aca="false">IFERROR('Price History'!C3+(INDEX('Price History'!C:C,MATCH(9.99E+307,'Returns (Calc)'!$A:$A)+1)-'Price History'!C3)*(ROW()-3)/(MATCH(9.99E+307,'Returns (Calc)'!$A:$A)-3),"")</f>
        <v>86.9825316455696</v>
      </c>
      <c r="Y43" s="144" t="n">
        <f aca="false">IFERROR('Price History'!D3+(INDEX('Price History'!D:D,MATCH(9.99E+307,'Returns (Calc)'!$A:$A)+1)-'Price History'!D3)*(ROW()-3)/(MATCH(9.99E+307,'Returns (Calc)'!$A:$A)-3),"")</f>
        <v>907.402405063291</v>
      </c>
      <c r="Z43" s="144" t="n">
        <f aca="false">IFERROR('Price History'!E3+(INDEX('Price History'!E:E,MATCH(9.99E+307,'Returns (Calc)'!$A:$A)+1)-'Price History'!E3)*(ROW()-3)/(MATCH(9.99E+307,'Returns (Calc)'!$A:$A)-3),"")</f>
        <v>151.149367088608</v>
      </c>
      <c r="AA43" s="144" t="n">
        <f aca="false">IFERROR('Price History'!F3+(INDEX('Price History'!F:F,MATCH(9.99E+307,'Returns (Calc)'!$A:$A)+1)-'Price History'!F3)*(ROW()-3)/(MATCH(9.99E+307,'Returns (Calc)'!$A:$A)-3),"")</f>
        <v>99.253670886076</v>
      </c>
      <c r="AB43" s="144" t="n">
        <f aca="false">IFERROR('Price History'!G3+(INDEX('Price History'!G:G,MATCH(9.99E+307,'Returns (Calc)'!$A:$A)+1)-'Price History'!G3)*(ROW()-3)/(MATCH(9.99E+307,'Returns (Calc)'!$A:$A)-3),"")</f>
        <v>85.4993670886076</v>
      </c>
      <c r="AC43" s="144" t="n">
        <f aca="false">IFERROR('Price History'!H3+(INDEX('Price History'!H:H,MATCH(9.99E+307,'Returns (Calc)'!$A:$A)+1)-'Price History'!H3)*(ROW()-3)/(MATCH(9.99E+307,'Returns (Calc)'!$A:$A)-3),"")</f>
        <v>323.737848101266</v>
      </c>
      <c r="AD43" s="144" t="n">
        <f aca="false">IFERROR('Price History'!I3+(INDEX('Price History'!I:I,MATCH(9.99E+307,'Returns (Calc)'!$A:$A)+1)-'Price History'!I3)*(ROW()-3)/(MATCH(9.99E+307,'Returns (Calc)'!$A:$A)-3),"")</f>
        <v>91.916835443038</v>
      </c>
      <c r="AE43" s="144" t="n">
        <f aca="false">IFERROR('Price History'!J3+(INDEX('Price History'!J:J,MATCH(9.99E+307,'Returns (Calc)'!$A:$A)+1)-'Price History'!J3)*(ROW()-3)/(MATCH(9.99E+307,'Returns (Calc)'!$A:$A)-3),"")</f>
        <v>116.161518987342</v>
      </c>
      <c r="AF43" s="144" t="n">
        <f aca="false">IFERROR('Price History'!K3+(INDEX('Price History'!K:K,MATCH(9.99E+307,'Returns (Calc)'!$A:$A)+1)-'Price History'!K3)*(ROW()-3)/(MATCH(9.99E+307,'Returns (Calc)'!$A:$A)-3),"")</f>
        <v>59.2337974683544</v>
      </c>
      <c r="AG43" s="144" t="n">
        <f aca="false">IFERROR('Price History'!L3+(INDEX('Price History'!L:L,MATCH(9.99E+307,'Returns (Calc)'!$A:$A)+1)-'Price History'!L3)*(ROW()-3)/(MATCH(9.99E+307,'Returns (Calc)'!$A:$A)-3),"")</f>
        <v>183.732278481013</v>
      </c>
      <c r="AH43" s="144" t="n">
        <f aca="false">IFERROR('Price History'!M3+(INDEX('Price History'!M:M,MATCH(9.99E+307,'Returns (Calc)'!$A:$A)+1)-'Price History'!M3)*(ROW()-3)/(MATCH(9.99E+307,'Returns (Calc)'!$A:$A)-3),"")</f>
        <v>92.2377215189873</v>
      </c>
      <c r="AI43" s="144" t="n">
        <f aca="false">IFERROR('Price History'!N3+(INDEX('Price History'!N:N,MATCH(9.99E+307,'Returns (Calc)'!$A:$A)+1)-'Price History'!N3)*(ROW()-3)/(MATCH(9.99E+307,'Returns (Calc)'!$A:$A)-3),"")</f>
        <v>388.350632911392</v>
      </c>
      <c r="AJ43" s="144" t="n">
        <f aca="false">IFERROR('Price History'!O3+(INDEX('Price History'!O:O,MATCH(9.99E+307,'Returns (Calc)'!$A:$A)+1)-'Price History'!O3)*(ROW()-3)/(MATCH(9.99E+307,'Returns (Calc)'!$A:$A)-3),"")</f>
        <v>86.6315189873418</v>
      </c>
      <c r="AK43" s="144" t="n">
        <f aca="false">IFERROR('Price History'!Q3+(INDEX('Price History'!Q:Q,MATCH(9.99E+307,'Returns (Calc)'!$A:$A)+1)-'Price History'!Q3)*(ROW()-3)/(MATCH(9.99E+307,'Returns (Calc)'!$A:$A)-3),"")</f>
        <v>17.5746835443038</v>
      </c>
      <c r="AL43" s="144" t="n">
        <f aca="false">IFERROR('Price History'!R3+(INDEX('Price History'!R:R,MATCH(9.99E+307,'Returns (Calc)'!$A:$A)+1)-'Price History'!R3)*(ROW()-3)/(MATCH(9.99E+307,'Returns (Calc)'!$A:$A)-3),"")</f>
        <v>41.2040506329114</v>
      </c>
      <c r="AM43" s="144" t="n">
        <f aca="false">IFERROR('Price History'!S3+(INDEX('Price History'!S:S,MATCH(9.99E+307,'Returns (Calc)'!$A:$A)+1)-'Price History'!S3)*(ROW()-3)/(MATCH(9.99E+307,'Returns (Calc)'!$A:$A)-3),"")</f>
        <v>81.8325316455696</v>
      </c>
      <c r="AN43" s="144" t="n">
        <f aca="false">IFERROR('Price History'!T3+(INDEX('Price History'!T:T,MATCH(9.99E+307,'Returns (Calc)'!$A:$A)+1)-'Price History'!T3)*(ROW()-3)/(MATCH(9.99E+307,'Returns (Calc)'!$A:$A)-3),"")</f>
        <v>31.9691139240506</v>
      </c>
      <c r="AO43" s="145" t="n">
        <f aca="false">IFERROR('Price History'!V3+(INDEX('Price History'!V:V,MATCH(9.99E+307,'Returns (Calc)'!$A:$A)+1)-'Price History'!V3)*(ROW()-3)/(MATCH(9.99E+307,'Returns (Calc)'!$A:$A)-3),"")</f>
        <v>267.283164556962</v>
      </c>
      <c r="AP43" s="143" t="n">
        <f aca="false">IFERROR(IF(OR(NOT(ISNUMBER('Price History'!W44)),NOT(ISNUMBER('Price History'!W43)),'Price History'!W43=0),"",'Price History'!W44/'Price History'!W43-1),"")</f>
        <v>-0.0024059882373908</v>
      </c>
      <c r="AQ43" s="143" t="str">
        <f aca="false">IFERROR(IF(OR(NOT(ISNUMBER('Price History'!X44)),NOT(ISNUMBER('Price History'!X43)),'Price History'!X43=0),"",'Price History'!X44/'Price History'!X43-1),"")</f>
        <v/>
      </c>
      <c r="AR43" s="143" t="n">
        <f aca="false">IFERROR(IF(OR(NOT(ISNUMBER('Price History'!Y44)),NOT(ISNUMBER('Price History'!Y43)),'Price History'!Y43=0),"",'Price History'!Y44/'Price History'!Y43-1),"")</f>
        <v>-0.000212630236019473</v>
      </c>
      <c r="AS43" s="143" t="n">
        <f aca="false">IFERROR(IF(OR(NOT(ISNUMBER('Price History'!Z44)),NOT(ISNUMBER('Price History'!Z43)),'Price History'!Z43=0),"",'Price History'!Z44/'Price History'!Z43-1),"")</f>
        <v>-0.0320809426861621</v>
      </c>
      <c r="AT43" s="143" t="n">
        <f aca="false">IFERROR(IF(OR(NOT(ISNUMBER('Price History'!AA44)),NOT(ISNUMBER('Price History'!AA43)),'Price History'!AA43=0),"",'Price History'!AA44/'Price History'!AA43-1),"")</f>
        <v>-0.0163241509983968</v>
      </c>
    </row>
    <row r="44" customFormat="false" ht="15" hidden="false" customHeight="true" outlineLevel="0" collapsed="false">
      <c r="A44" s="141" t="n">
        <f aca="false">IF('Price History'!A45="","",'Price History'!A45)</f>
        <v>45478</v>
      </c>
      <c r="B44" s="142" t="n">
        <f aca="false">IFERROR(IF(OR(NOT(ISNUMBER('Price History'!B45)),NOT(ISNUMBER('Price History'!B44)),'Price History'!B44=0),"",'Price History'!B45/'Price History'!B44-1),"")</f>
        <v>0.0410411491521765</v>
      </c>
      <c r="C44" s="142" t="n">
        <f aca="false">IFERROR(IF(OR(NOT(ISNUMBER('Price History'!C45)),NOT(ISNUMBER('Price History'!C44)),'Price History'!C44=0),"",'Price History'!C45/'Price History'!C44-1),"")</f>
        <v>0.0447386441451723</v>
      </c>
      <c r="D44" s="142" t="n">
        <f aca="false">IFERROR(IF(OR(NOT(ISNUMBER('Price History'!D45)),NOT(ISNUMBER('Price History'!D44)),'Price History'!D44=0),"",'Price History'!D45/'Price History'!D44-1),"")</f>
        <v>0.0505971056065178</v>
      </c>
      <c r="E44" s="142" t="n">
        <f aca="false">IFERROR(IF(OR(NOT(ISNUMBER('Price History'!E45)),NOT(ISNUMBER('Price History'!E44)),'Price History'!E44=0),"",'Price History'!E45/'Price History'!E44-1),"")</f>
        <v>0.0609027336300063</v>
      </c>
      <c r="F44" s="142" t="n">
        <f aca="false">IFERROR(IF(OR(NOT(ISNUMBER('Price History'!F45)),NOT(ISNUMBER('Price History'!F44)),'Price History'!F44=0),"",'Price History'!F45/'Price History'!F44-1),"")</f>
        <v>0.016910229645094</v>
      </c>
      <c r="G44" s="142" t="n">
        <f aca="false">IFERROR(IF(OR(NOT(ISNUMBER('Price History'!G45)),NOT(ISNUMBER('Price History'!G44)),'Price History'!G44=0),"",'Price History'!G45/'Price History'!G44-1),"")</f>
        <v>0.0372471632955105</v>
      </c>
      <c r="H44" s="142" t="n">
        <f aca="false">IFERROR(IF(OR(NOT(ISNUMBER('Price History'!H45)),NOT(ISNUMBER('Price History'!H44)),'Price History'!H44=0),"",'Price History'!H45/'Price History'!H44-1),"")</f>
        <v>0.000536028792403664</v>
      </c>
      <c r="I44" s="142" t="n">
        <f aca="false">IFERROR(IF(OR(NOT(ISNUMBER('Price History'!I45)),NOT(ISNUMBER('Price History'!I44)),'Price History'!I44=0),"",'Price History'!I45/'Price History'!I44-1),"")</f>
        <v>0.0185064935064936</v>
      </c>
      <c r="J44" s="142" t="n">
        <f aca="false">IFERROR(IF(OR(NOT(ISNUMBER('Price History'!J45)),NOT(ISNUMBER('Price History'!J44)),'Price History'!J44=0),"",'Price History'!J45/'Price History'!J44-1),"")</f>
        <v>0.0191809724753045</v>
      </c>
      <c r="K44" s="142" t="n">
        <f aca="false">IFERROR(IF(OR(NOT(ISNUMBER('Price History'!K45)),NOT(ISNUMBER('Price History'!K44)),'Price History'!K44=0),"",'Price History'!K45/'Price History'!K44-1),"")</f>
        <v>0.0750098697197001</v>
      </c>
      <c r="L44" s="142" t="n">
        <f aca="false">IFERROR(IF(OR(NOT(ISNUMBER('Price History'!L45)),NOT(ISNUMBER('Price History'!L44)),'Price History'!L44=0),"",'Price History'!L45/'Price History'!L44-1),"")</f>
        <v>0.0585798816568048</v>
      </c>
      <c r="M44" s="142" t="n">
        <f aca="false">IFERROR(IF(OR(NOT(ISNUMBER('Price History'!M45)),NOT(ISNUMBER('Price History'!M44)),'Price History'!M44=0),"",'Price History'!M45/'Price History'!M44-1),"")</f>
        <v>0.0601111883252259</v>
      </c>
      <c r="N44" s="142" t="n">
        <f aca="false">IFERROR(IF(OR(NOT(ISNUMBER('Price History'!N45)),NOT(ISNUMBER('Price History'!N44)),'Price History'!N44=0),"",'Price History'!N45/'Price History'!N44-1),"")</f>
        <v>0.0124807987711213</v>
      </c>
      <c r="O44" s="142" t="n">
        <f aca="false">IFERROR(IF(OR(NOT(ISNUMBER('Price History'!O45)),NOT(ISNUMBER('Price History'!O44)),'Price History'!O44=0),"",'Price History'!O45/'Price History'!O44-1),"")</f>
        <v>-0.0164993654090229</v>
      </c>
      <c r="P44" s="142" t="n">
        <f aca="false">IFERROR(IF(OR(NOT(ISNUMBER('Price History'!P45)),NOT(ISNUMBER('Price History'!P44)),'Price History'!P44=0),"",'Price History'!P45/'Price History'!P44-1),"")</f>
        <v>-0.00816729492012203</v>
      </c>
      <c r="Q44" s="142" t="n">
        <f aca="false">IFERROR(IF(OR(NOT(ISNUMBER('Price History'!Q45)),NOT(ISNUMBER('Price History'!Q44)),'Price History'!Q44=0),"",'Price History'!Q45/'Price History'!Q44-1),"")</f>
        <v>0.00710448795702656</v>
      </c>
      <c r="R44" s="142" t="n">
        <f aca="false">IFERROR(IF(OR(NOT(ISNUMBER('Price History'!R45)),NOT(ISNUMBER('Price History'!R44)),'Price History'!R44=0),"",'Price History'!R45/'Price History'!R44-1),"")</f>
        <v>0.0145233075661748</v>
      </c>
      <c r="S44" s="142" t="n">
        <f aca="false">IFERROR(IF(OR(NOT(ISNUMBER('Price History'!S45)),NOT(ISNUMBER('Price History'!S44)),'Price History'!S44=0),"",'Price History'!S45/'Price History'!S44-1),"")</f>
        <v>0.0310429019881409</v>
      </c>
      <c r="T44" s="142" t="n">
        <f aca="false">IFERROR(IF(OR(NOT(ISNUMBER('Price History'!T45)),NOT(ISNUMBER('Price History'!T44)),'Price History'!T44=0),"",'Price History'!T45/'Price History'!T44-1),"")</f>
        <v>-0.0196666666666666</v>
      </c>
      <c r="U44" s="142" t="n">
        <f aca="false">IFERROR(IF(OR(NOT(ISNUMBER('Price History'!U45)),NOT(ISNUMBER('Price History'!U44)),'Price History'!U44=0),"",'Price History'!U45/'Price History'!U44-1),"")</f>
        <v>-0.00920502092050202</v>
      </c>
      <c r="V44" s="143" t="n">
        <f aca="false">IFERROR(IF(OR(NOT(ISNUMBER('Price History'!V45)),NOT(ISNUMBER('Price History'!V44)),'Price History'!V44=0),"",'Price History'!V45/'Price History'!V44-1),"")</f>
        <v>0.0300716915326487</v>
      </c>
      <c r="W44" s="144" t="n">
        <f aca="false">IFERROR('Price History'!B3+(INDEX('Price History'!B:B,MATCH(9.99E+307,'Returns (Calc)'!$A:$A)+1)-'Price History'!B3)*(ROW()-3)/(MATCH(9.99E+307,'Returns (Calc)'!$A:$A)-3),"")</f>
        <v>453.325443037975</v>
      </c>
      <c r="X44" s="144" t="n">
        <f aca="false">IFERROR('Price History'!C3+(INDEX('Price History'!C:C,MATCH(9.99E+307,'Returns (Calc)'!$A:$A)+1)-'Price History'!C3)*(ROW()-3)/(MATCH(9.99E+307,'Returns (Calc)'!$A:$A)-3),"")</f>
        <v>88.0025949367089</v>
      </c>
      <c r="Y44" s="144" t="n">
        <f aca="false">IFERROR('Price History'!D3+(INDEX('Price History'!D:D,MATCH(9.99E+307,'Returns (Calc)'!$A:$A)+1)-'Price History'!D3)*(ROW()-3)/(MATCH(9.99E+307,'Returns (Calc)'!$A:$A)-3),"")</f>
        <v>915.537215189874</v>
      </c>
      <c r="Z44" s="144" t="n">
        <f aca="false">IFERROR('Price History'!E3+(INDEX('Price History'!E:E,MATCH(9.99E+307,'Returns (Calc)'!$A:$A)+1)-'Price History'!E3)*(ROW()-3)/(MATCH(9.99E+307,'Returns (Calc)'!$A:$A)-3),"")</f>
        <v>152.878101265823</v>
      </c>
      <c r="AA44" s="144" t="n">
        <f aca="false">IFERROR('Price History'!F3+(INDEX('Price History'!F:F,MATCH(9.99E+307,'Returns (Calc)'!$A:$A)+1)-'Price History'!F3)*(ROW()-3)/(MATCH(9.99E+307,'Returns (Calc)'!$A:$A)-3),"")</f>
        <v>100.701012658228</v>
      </c>
      <c r="AB44" s="144" t="n">
        <f aca="false">IFERROR('Price History'!G3+(INDEX('Price History'!G:G,MATCH(9.99E+307,'Returns (Calc)'!$A:$A)+1)-'Price History'!G3)*(ROW()-3)/(MATCH(9.99E+307,'Returns (Calc)'!$A:$A)-3),"")</f>
        <v>86.5281012658228</v>
      </c>
      <c r="AC44" s="144" t="n">
        <f aca="false">IFERROR('Price History'!H3+(INDEX('Price History'!H:H,MATCH(9.99E+307,'Returns (Calc)'!$A:$A)+1)-'Price History'!H3)*(ROW()-3)/(MATCH(9.99E+307,'Returns (Calc)'!$A:$A)-3),"")</f>
        <v>330.103544303798</v>
      </c>
      <c r="AD44" s="144" t="n">
        <f aca="false">IFERROR('Price History'!I3+(INDEX('Price History'!I:I,MATCH(9.99E+307,'Returns (Calc)'!$A:$A)+1)-'Price History'!I3)*(ROW()-3)/(MATCH(9.99E+307,'Returns (Calc)'!$A:$A)-3),"")</f>
        <v>93.1205063291139</v>
      </c>
      <c r="AE44" s="144" t="n">
        <f aca="false">IFERROR('Price History'!J3+(INDEX('Price History'!J:J,MATCH(9.99E+307,'Returns (Calc)'!$A:$A)+1)-'Price History'!J3)*(ROW()-3)/(MATCH(9.99E+307,'Returns (Calc)'!$A:$A)-3),"")</f>
        <v>116.269556962025</v>
      </c>
      <c r="AF44" s="144" t="n">
        <f aca="false">IFERROR('Price History'!K3+(INDEX('Price History'!K:K,MATCH(9.99E+307,'Returns (Calc)'!$A:$A)+1)-'Price History'!K3)*(ROW()-3)/(MATCH(9.99E+307,'Returns (Calc)'!$A:$A)-3),"")</f>
        <v>60.3313924050633</v>
      </c>
      <c r="AG44" s="144" t="n">
        <f aca="false">IFERROR('Price History'!L3+(INDEX('Price History'!L:L,MATCH(9.99E+307,'Returns (Calc)'!$A:$A)+1)-'Price History'!L3)*(ROW()-3)/(MATCH(9.99E+307,'Returns (Calc)'!$A:$A)-3),"")</f>
        <v>186.181835443038</v>
      </c>
      <c r="AH44" s="144" t="n">
        <f aca="false">IFERROR('Price History'!M3+(INDEX('Price History'!M:M,MATCH(9.99E+307,'Returns (Calc)'!$A:$A)+1)-'Price History'!M3)*(ROW()-3)/(MATCH(9.99E+307,'Returns (Calc)'!$A:$A)-3),"")</f>
        <v>93.593164556962</v>
      </c>
      <c r="AI44" s="144" t="n">
        <f aca="false">IFERROR('Price History'!N3+(INDEX('Price History'!N:N,MATCH(9.99E+307,'Returns (Calc)'!$A:$A)+1)-'Price History'!N3)*(ROW()-3)/(MATCH(9.99E+307,'Returns (Calc)'!$A:$A)-3),"")</f>
        <v>389.336898734177</v>
      </c>
      <c r="AJ44" s="144" t="n">
        <f aca="false">IFERROR('Price History'!O3+(INDEX('Price History'!O:O,MATCH(9.99E+307,'Returns (Calc)'!$A:$A)+1)-'Price History'!O3)*(ROW()-3)/(MATCH(9.99E+307,'Returns (Calc)'!$A:$A)-3),"")</f>
        <v>86.9145569620253</v>
      </c>
      <c r="AK44" s="144" t="n">
        <f aca="false">IFERROR('Price History'!Q3+(INDEX('Price History'!Q:Q,MATCH(9.99E+307,'Returns (Calc)'!$A:$A)+1)-'Price History'!Q3)*(ROW()-3)/(MATCH(9.99E+307,'Returns (Calc)'!$A:$A)-3),"")</f>
        <v>18.0140506329114</v>
      </c>
      <c r="AL44" s="144" t="n">
        <f aca="false">IFERROR('Price History'!R3+(INDEX('Price History'!R:R,MATCH(9.99E+307,'Returns (Calc)'!$A:$A)+1)-'Price History'!R3)*(ROW()-3)/(MATCH(9.99E+307,'Returns (Calc)'!$A:$A)-3),"")</f>
        <v>41.3721518987342</v>
      </c>
      <c r="AM44" s="144" t="n">
        <f aca="false">IFERROR('Price History'!S3+(INDEX('Price History'!S:S,MATCH(9.99E+307,'Returns (Calc)'!$A:$A)+1)-'Price History'!S3)*(ROW()-3)/(MATCH(9.99E+307,'Returns (Calc)'!$A:$A)-3),"")</f>
        <v>82.4375949367089</v>
      </c>
      <c r="AN44" s="144" t="n">
        <f aca="false">IFERROR('Price History'!T3+(INDEX('Price History'!T:T,MATCH(9.99E+307,'Returns (Calc)'!$A:$A)+1)-'Price History'!T3)*(ROW()-3)/(MATCH(9.99E+307,'Returns (Calc)'!$A:$A)-3),"")</f>
        <v>32.1373417721519</v>
      </c>
      <c r="AO44" s="145" t="n">
        <f aca="false">IFERROR('Price History'!V3+(INDEX('Price History'!V:V,MATCH(9.99E+307,'Returns (Calc)'!$A:$A)+1)-'Price History'!V3)*(ROW()-3)/(MATCH(9.99E+307,'Returns (Calc)'!$A:$A)-3),"")</f>
        <v>268.074493670886</v>
      </c>
      <c r="AP44" s="143" t="n">
        <f aca="false">IFERROR(IF(OR(NOT(ISNUMBER('Price History'!W45)),NOT(ISNUMBER('Price History'!W44)),'Price History'!W44=0),"",'Price History'!W45/'Price History'!W44-1),"")</f>
        <v>-0.000178651183564083</v>
      </c>
      <c r="AQ44" s="143" t="str">
        <f aca="false">IFERROR(IF(OR(NOT(ISNUMBER('Price History'!X45)),NOT(ISNUMBER('Price History'!X44)),'Price History'!X44=0),"",'Price History'!X45/'Price History'!X44-1),"")</f>
        <v/>
      </c>
      <c r="AR44" s="143" t="n">
        <f aca="false">IFERROR(IF(OR(NOT(ISNUMBER('Price History'!Y45)),NOT(ISNUMBER('Price History'!Y44)),'Price History'!Y44=0),"",'Price History'!Y45/'Price History'!Y44-1),"")</f>
        <v>0.000425350914504463</v>
      </c>
      <c r="AS44" s="143" t="n">
        <f aca="false">IFERROR(IF(OR(NOT(ISNUMBER('Price History'!Z45)),NOT(ISNUMBER('Price History'!Z44)),'Price History'!Z44=0),"",'Price History'!Z45/'Price History'!Z44-1),"")</f>
        <v>0.00962457772961955</v>
      </c>
      <c r="AT44" s="143" t="n">
        <f aca="false">IFERROR(IF(OR(NOT(ISNUMBER('Price History'!AA45)),NOT(ISNUMBER('Price History'!AA44)),'Price History'!AA44=0),"",'Price History'!AA45/'Price History'!AA44-1),"")</f>
        <v>0.0234108756852867</v>
      </c>
    </row>
    <row r="45" customFormat="false" ht="15" hidden="false" customHeight="true" outlineLevel="0" collapsed="false">
      <c r="A45" s="141" t="n">
        <f aca="false">IF('Price History'!A46="","",'Price History'!A46)</f>
        <v>45485</v>
      </c>
      <c r="B45" s="142" t="n">
        <f aca="false">IFERROR(IF(OR(NOT(ISNUMBER('Price History'!B46)),NOT(ISNUMBER('Price History'!B45)),'Price History'!B45=0),"",'Price History'!B46/'Price History'!B45-1),"")</f>
        <v>-0.0333540823736903</v>
      </c>
      <c r="C45" s="142" t="n">
        <f aca="false">IFERROR(IF(OR(NOT(ISNUMBER('Price History'!C46)),NOT(ISNUMBER('Price History'!C45)),'Price History'!C45=0),"",'Price History'!C46/'Price History'!C45-1),"")</f>
        <v>-0.0116888791785013</v>
      </c>
      <c r="D45" s="142" t="n">
        <f aca="false">IFERROR(IF(OR(NOT(ISNUMBER('Price History'!D46)),NOT(ISNUMBER('Price History'!D45)),'Price History'!D45=0),"",'Price History'!D46/'Price History'!D45-1),"")</f>
        <v>0.0100397227936786</v>
      </c>
      <c r="E45" s="142" t="n">
        <f aca="false">IFERROR(IF(OR(NOT(ISNUMBER('Price History'!E46)),NOT(ISNUMBER('Price History'!E45)),'Price History'!E45=0),"",'Price History'!E46/'Price History'!E45-1),"")</f>
        <v>-0.00155800575263654</v>
      </c>
      <c r="F45" s="142" t="n">
        <f aca="false">IFERROR(IF(OR(NOT(ISNUMBER('Price History'!F46)),NOT(ISNUMBER('Price History'!F45)),'Price History'!F45=0),"",'Price History'!F46/'Price History'!F45-1),"")</f>
        <v>-0.0471155820160132</v>
      </c>
      <c r="G45" s="142" t="n">
        <f aca="false">IFERROR(IF(OR(NOT(ISNUMBER('Price History'!G46)),NOT(ISNUMBER('Price History'!G45)),'Price History'!G45=0),"",'Price History'!G46/'Price History'!G45-1),"")</f>
        <v>0.00285374554102269</v>
      </c>
      <c r="H45" s="142" t="n">
        <f aca="false">IFERROR(IF(OR(NOT(ISNUMBER('Price History'!H46)),NOT(ISNUMBER('Price History'!H45)),'Price History'!H45=0),"",'Price History'!H46/'Price History'!H45-1),"")</f>
        <v>0.0157661105158426</v>
      </c>
      <c r="I45" s="142" t="n">
        <f aca="false">IFERROR(IF(OR(NOT(ISNUMBER('Price History'!I46)),NOT(ISNUMBER('Price History'!I45)),'Price History'!I45=0),"",'Price History'!I46/'Price History'!I45-1),"")</f>
        <v>0.0270959515460631</v>
      </c>
      <c r="J45" s="142" t="n">
        <f aca="false">IFERROR(IF(OR(NOT(ISNUMBER('Price History'!J46)),NOT(ISNUMBER('Price History'!J45)),'Price History'!J45=0),"",'Price History'!J46/'Price History'!J45-1),"")</f>
        <v>0.0496847652206645</v>
      </c>
      <c r="K45" s="142" t="n">
        <f aca="false">IFERROR(IF(OR(NOT(ISNUMBER('Price History'!K46)),NOT(ISNUMBER('Price History'!K45)),'Price History'!K45=0),"",'Price History'!K46/'Price History'!K45-1),"")</f>
        <v>0.0308483290488433</v>
      </c>
      <c r="L45" s="142" t="n">
        <f aca="false">IFERROR(IF(OR(NOT(ISNUMBER('Price History'!L46)),NOT(ISNUMBER('Price History'!L45)),'Price History'!L45=0),"",'Price History'!L46/'Price History'!L45-1),"")</f>
        <v>0.0182224706539966</v>
      </c>
      <c r="M45" s="142" t="n">
        <f aca="false">IFERROR(IF(OR(NOT(ISNUMBER('Price History'!M46)),NOT(ISNUMBER('Price History'!M45)),'Price History'!M45=0),"",'Price History'!M46/'Price History'!M45-1),"")</f>
        <v>-0.0229432972795804</v>
      </c>
      <c r="N45" s="142" t="n">
        <f aca="false">IFERROR(IF(OR(NOT(ISNUMBER('Price History'!N46)),NOT(ISNUMBER('Price History'!N45)),'Price History'!N45=0),"",'Price History'!N46/'Price History'!N45-1),"")</f>
        <v>0.0298586088459027</v>
      </c>
      <c r="O45" s="142" t="n">
        <f aca="false">IFERROR(IF(OR(NOT(ISNUMBER('Price History'!O46)),NOT(ISNUMBER('Price History'!O45)),'Price History'!O45=0),"",'Price History'!O46/'Price History'!O45-1),"")</f>
        <v>0.0557250117315815</v>
      </c>
      <c r="P45" s="142" t="n">
        <f aca="false">IFERROR(IF(OR(NOT(ISNUMBER('Price History'!P46)),NOT(ISNUMBER('Price History'!P45)),'Price History'!P45=0),"",'Price History'!P46/'Price History'!P45-1),"")</f>
        <v>0.0420776400325762</v>
      </c>
      <c r="Q45" s="142" t="n">
        <f aca="false">IFERROR(IF(OR(NOT(ISNUMBER('Price History'!Q46)),NOT(ISNUMBER('Price History'!Q45)),'Price History'!Q45=0),"",'Price History'!Q46/'Price History'!Q45-1),"")</f>
        <v>0.00344115622849284</v>
      </c>
      <c r="R45" s="142" t="n">
        <f aca="false">IFERROR(IF(OR(NOT(ISNUMBER('Price History'!R46)),NOT(ISNUMBER('Price History'!R45)),'Price History'!R45=0),"",'Price History'!R46/'Price History'!R45-1),"")</f>
        <v>-0.000692680674209245</v>
      </c>
      <c r="S45" s="142" t="n">
        <f aca="false">IFERROR(IF(OR(NOT(ISNUMBER('Price History'!S46)),NOT(ISNUMBER('Price History'!S45)),'Price History'!S45=0),"",'Price History'!S46/'Price History'!S45-1),"")</f>
        <v>-0.00202976995940463</v>
      </c>
      <c r="T45" s="142" t="n">
        <f aca="false">IFERROR(IF(OR(NOT(ISNUMBER('Price History'!T46)),NOT(ISNUMBER('Price History'!T45)),'Price History'!T45=0),"",'Price History'!T46/'Price History'!T45-1),"")</f>
        <v>0.0384223053383204</v>
      </c>
      <c r="U45" s="142" t="n">
        <f aca="false">IFERROR(IF(OR(NOT(ISNUMBER('Price History'!U46)),NOT(ISNUMBER('Price History'!U45)),'Price History'!U45=0),"",'Price History'!U46/'Price History'!U45-1),"")</f>
        <v>0.0337837837837838</v>
      </c>
      <c r="V45" s="143" t="n">
        <f aca="false">IFERROR(IF(OR(NOT(ISNUMBER('Price History'!V46)),NOT(ISNUMBER('Price History'!V45)),'Price History'!V45=0),"",'Price History'!V46/'Price History'!V45-1),"")</f>
        <v>-0.0170798690794177</v>
      </c>
      <c r="W45" s="144" t="n">
        <f aca="false">IFERROR('Price History'!B3+(INDEX('Price History'!B:B,MATCH(9.99E+307,'Returns (Calc)'!$A:$A)+1)-'Price History'!B3)*(ROW()-3)/(MATCH(9.99E+307,'Returns (Calc)'!$A:$A)-3),"")</f>
        <v>451.482405063291</v>
      </c>
      <c r="X45" s="144" t="n">
        <f aca="false">IFERROR('Price History'!C3+(INDEX('Price History'!C:C,MATCH(9.99E+307,'Returns (Calc)'!$A:$A)+1)-'Price History'!C3)*(ROW()-3)/(MATCH(9.99E+307,'Returns (Calc)'!$A:$A)-3),"")</f>
        <v>89.0226582278481</v>
      </c>
      <c r="Y45" s="144" t="n">
        <f aca="false">IFERROR('Price History'!D3+(INDEX('Price History'!D:D,MATCH(9.99E+307,'Returns (Calc)'!$A:$A)+1)-'Price History'!D3)*(ROW()-3)/(MATCH(9.99E+307,'Returns (Calc)'!$A:$A)-3),"")</f>
        <v>923.672025316456</v>
      </c>
      <c r="Z45" s="144" t="n">
        <f aca="false">IFERROR('Price History'!E3+(INDEX('Price History'!E:E,MATCH(9.99E+307,'Returns (Calc)'!$A:$A)+1)-'Price History'!E3)*(ROW()-3)/(MATCH(9.99E+307,'Returns (Calc)'!$A:$A)-3),"")</f>
        <v>154.606835443038</v>
      </c>
      <c r="AA45" s="144" t="n">
        <f aca="false">IFERROR('Price History'!F3+(INDEX('Price History'!F:F,MATCH(9.99E+307,'Returns (Calc)'!$A:$A)+1)-'Price History'!F3)*(ROW()-3)/(MATCH(9.99E+307,'Returns (Calc)'!$A:$A)-3),"")</f>
        <v>102.14835443038</v>
      </c>
      <c r="AB45" s="144" t="n">
        <f aca="false">IFERROR('Price History'!G3+(INDEX('Price History'!G:G,MATCH(9.99E+307,'Returns (Calc)'!$A:$A)+1)-'Price History'!G3)*(ROW()-3)/(MATCH(9.99E+307,'Returns (Calc)'!$A:$A)-3),"")</f>
        <v>87.556835443038</v>
      </c>
      <c r="AC45" s="144" t="n">
        <f aca="false">IFERROR('Price History'!H3+(INDEX('Price History'!H:H,MATCH(9.99E+307,'Returns (Calc)'!$A:$A)+1)-'Price History'!H3)*(ROW()-3)/(MATCH(9.99E+307,'Returns (Calc)'!$A:$A)-3),"")</f>
        <v>336.469240506329</v>
      </c>
      <c r="AD45" s="144" t="n">
        <f aca="false">IFERROR('Price History'!I3+(INDEX('Price History'!I:I,MATCH(9.99E+307,'Returns (Calc)'!$A:$A)+1)-'Price History'!I3)*(ROW()-3)/(MATCH(9.99E+307,'Returns (Calc)'!$A:$A)-3),"")</f>
        <v>94.3241772151899</v>
      </c>
      <c r="AE45" s="144" t="n">
        <f aca="false">IFERROR('Price History'!J3+(INDEX('Price History'!J:J,MATCH(9.99E+307,'Returns (Calc)'!$A:$A)+1)-'Price History'!J3)*(ROW()-3)/(MATCH(9.99E+307,'Returns (Calc)'!$A:$A)-3),"")</f>
        <v>116.377594936709</v>
      </c>
      <c r="AF45" s="144" t="n">
        <f aca="false">IFERROR('Price History'!K3+(INDEX('Price History'!K:K,MATCH(9.99E+307,'Returns (Calc)'!$A:$A)+1)-'Price History'!K3)*(ROW()-3)/(MATCH(9.99E+307,'Returns (Calc)'!$A:$A)-3),"")</f>
        <v>61.4289873417722</v>
      </c>
      <c r="AG45" s="144" t="n">
        <f aca="false">IFERROR('Price History'!L3+(INDEX('Price History'!L:L,MATCH(9.99E+307,'Returns (Calc)'!$A:$A)+1)-'Price History'!L3)*(ROW()-3)/(MATCH(9.99E+307,'Returns (Calc)'!$A:$A)-3),"")</f>
        <v>188.631392405063</v>
      </c>
      <c r="AH45" s="144" t="n">
        <f aca="false">IFERROR('Price History'!M3+(INDEX('Price History'!M:M,MATCH(9.99E+307,'Returns (Calc)'!$A:$A)+1)-'Price History'!M3)*(ROW()-3)/(MATCH(9.99E+307,'Returns (Calc)'!$A:$A)-3),"")</f>
        <v>94.9486075949367</v>
      </c>
      <c r="AI45" s="144" t="n">
        <f aca="false">IFERROR('Price History'!N3+(INDEX('Price History'!N:N,MATCH(9.99E+307,'Returns (Calc)'!$A:$A)+1)-'Price History'!N3)*(ROW()-3)/(MATCH(9.99E+307,'Returns (Calc)'!$A:$A)-3),"")</f>
        <v>390.323164556962</v>
      </c>
      <c r="AJ45" s="144" t="n">
        <f aca="false">IFERROR('Price History'!O3+(INDEX('Price History'!O:O,MATCH(9.99E+307,'Returns (Calc)'!$A:$A)+1)-'Price History'!O3)*(ROW()-3)/(MATCH(9.99E+307,'Returns (Calc)'!$A:$A)-3),"")</f>
        <v>87.1975949367089</v>
      </c>
      <c r="AK45" s="144" t="n">
        <f aca="false">IFERROR('Price History'!Q3+(INDEX('Price History'!Q:Q,MATCH(9.99E+307,'Returns (Calc)'!$A:$A)+1)-'Price History'!Q3)*(ROW()-3)/(MATCH(9.99E+307,'Returns (Calc)'!$A:$A)-3),"")</f>
        <v>18.453417721519</v>
      </c>
      <c r="AL45" s="144" t="n">
        <f aca="false">IFERROR('Price History'!R3+(INDEX('Price History'!R:R,MATCH(9.99E+307,'Returns (Calc)'!$A:$A)+1)-'Price History'!R3)*(ROW()-3)/(MATCH(9.99E+307,'Returns (Calc)'!$A:$A)-3),"")</f>
        <v>41.540253164557</v>
      </c>
      <c r="AM45" s="144" t="n">
        <f aca="false">IFERROR('Price History'!S3+(INDEX('Price History'!S:S,MATCH(9.99E+307,'Returns (Calc)'!$A:$A)+1)-'Price History'!S3)*(ROW()-3)/(MATCH(9.99E+307,'Returns (Calc)'!$A:$A)-3),"")</f>
        <v>83.0426582278481</v>
      </c>
      <c r="AN45" s="144" t="n">
        <f aca="false">IFERROR('Price History'!T3+(INDEX('Price History'!T:T,MATCH(9.99E+307,'Returns (Calc)'!$A:$A)+1)-'Price History'!T3)*(ROW()-3)/(MATCH(9.99E+307,'Returns (Calc)'!$A:$A)-3),"")</f>
        <v>32.3055696202532</v>
      </c>
      <c r="AO45" s="145" t="n">
        <f aca="false">IFERROR('Price History'!V3+(INDEX('Price History'!V:V,MATCH(9.99E+307,'Returns (Calc)'!$A:$A)+1)-'Price History'!V3)*(ROW()-3)/(MATCH(9.99E+307,'Returns (Calc)'!$A:$A)-3),"")</f>
        <v>268.86582278481</v>
      </c>
      <c r="AP45" s="143" t="n">
        <f aca="false">IFERROR(IF(OR(NOT(ISNUMBER('Price History'!W46)),NOT(ISNUMBER('Price History'!W45)),'Price History'!W45=0),"",'Price History'!W46/'Price History'!W45-1),"")</f>
        <v>0.0244795854551951</v>
      </c>
      <c r="AQ45" s="143" t="str">
        <f aca="false">IFERROR(IF(OR(NOT(ISNUMBER('Price History'!X46)),NOT(ISNUMBER('Price History'!X45)),'Price History'!X45=0),"",'Price History'!X46/'Price History'!X45-1),"")</f>
        <v/>
      </c>
      <c r="AR45" s="143" t="n">
        <f aca="false">IFERROR(IF(OR(NOT(ISNUMBER('Price History'!Y46)),NOT(ISNUMBER('Price History'!Y45)),'Price History'!Y45=0),"",'Price History'!Y46/'Price History'!Y45-1),"")</f>
        <v>0.00935374149659851</v>
      </c>
      <c r="AS45" s="143" t="n">
        <f aca="false">IFERROR(IF(OR(NOT(ISNUMBER('Price History'!Z46)),NOT(ISNUMBER('Price History'!Z45)),'Price History'!Z45=0),"",'Price History'!Z46/'Price History'!Z45-1),"")</f>
        <v>-0.00763888888888897</v>
      </c>
      <c r="AT45" s="143" t="n">
        <f aca="false">IFERROR(IF(OR(NOT(ISNUMBER('Price History'!AA46)),NOT(ISNUMBER('Price History'!AA45)),'Price History'!AA45=0),"",'Price History'!AA46/'Price History'!AA45-1),"")</f>
        <v>-0.0624004632981032</v>
      </c>
    </row>
    <row r="46" customFormat="false" ht="15" hidden="false" customHeight="true" outlineLevel="0" collapsed="false">
      <c r="A46" s="141" t="n">
        <f aca="false">IF('Price History'!A47="","",'Price History'!A47)</f>
        <v>45492</v>
      </c>
      <c r="B46" s="142" t="n">
        <f aca="false">IFERROR(IF(OR(NOT(ISNUMBER('Price History'!B47)),NOT(ISNUMBER('Price History'!B46)),'Price History'!B46=0),"",'Price History'!B47/'Price History'!B46-1),"")</f>
        <v>-0.0143994276003935</v>
      </c>
      <c r="C46" s="142" t="n">
        <f aca="false">IFERROR(IF(OR(NOT(ISNUMBER('Price History'!C47)),NOT(ISNUMBER('Price History'!C46)),'Price History'!C46=0),"",'Price History'!C47/'Price History'!C46-1),"")</f>
        <v>-0.0865480269702664</v>
      </c>
      <c r="D46" s="142" t="n">
        <f aca="false">IFERROR(IF(OR(NOT(ISNUMBER('Price History'!D47)),NOT(ISNUMBER('Price History'!D46)),'Price History'!D46=0),"",'Price History'!D47/'Price History'!D46-1),"")</f>
        <v>-0.174976534634879</v>
      </c>
      <c r="E46" s="142" t="n">
        <f aca="false">IFERROR(IF(OR(NOT(ISNUMBER('Price History'!E47)),NOT(ISNUMBER('Price History'!E46)),'Price History'!E46=0),"",'Price History'!E47/'Price History'!E46-1),"")</f>
        <v>-0.0747809386628257</v>
      </c>
      <c r="F46" s="142" t="n">
        <f aca="false">IFERROR(IF(OR(NOT(ISNUMBER('Price History'!F47)),NOT(ISNUMBER('Price History'!F46)),'Price History'!F46=0),"",'Price History'!F47/'Price History'!F46-1),"")</f>
        <v>-0.178713777873532</v>
      </c>
      <c r="G46" s="142" t="n">
        <f aca="false">IFERROR(IF(OR(NOT(ISNUMBER('Price History'!G47)),NOT(ISNUMBER('Price History'!G46)),'Price History'!G46=0),"",'Price History'!G47/'Price History'!G46-1),"")</f>
        <v>-0.110979369219825</v>
      </c>
      <c r="H46" s="142" t="n">
        <f aca="false">IFERROR(IF(OR(NOT(ISNUMBER('Price History'!H47)),NOT(ISNUMBER('Price History'!H46)),'Price History'!H46=0),"",'Price History'!H47/'Price History'!H46-1),"")</f>
        <v>-0.144439421338156</v>
      </c>
      <c r="I46" s="142" t="n">
        <f aca="false">IFERROR(IF(OR(NOT(ISNUMBER('Price History'!I47)),NOT(ISNUMBER('Price History'!I46)),'Price History'!I46=0),"",'Price History'!I47/'Price History'!I46-1),"")</f>
        <v>-0.0875232774674115</v>
      </c>
      <c r="J46" s="142" t="n">
        <f aca="false">IFERROR(IF(OR(NOT(ISNUMBER('Price History'!J47)),NOT(ISNUMBER('Price History'!J46)),'Price History'!J46=0),"",'Price History'!J47/'Price History'!J46-1),"")</f>
        <v>0.0300313760645452</v>
      </c>
      <c r="K46" s="142" t="n">
        <f aca="false">IFERROR(IF(OR(NOT(ISNUMBER('Price History'!K47)),NOT(ISNUMBER('Price History'!K46)),'Price History'!K46=0),"",'Price History'!K47/'Price History'!K46-1),"")</f>
        <v>0.0181688635553972</v>
      </c>
      <c r="L46" s="142" t="n">
        <f aca="false">IFERROR(IF(OR(NOT(ISNUMBER('Price History'!L47)),NOT(ISNUMBER('Price History'!L46)),'Price History'!L46=0),"",'Price History'!L47/'Price History'!L46-1),"")</f>
        <v>-0.115173473869126</v>
      </c>
      <c r="M46" s="142" t="n">
        <f aca="false">IFERROR(IF(OR(NOT(ISNUMBER('Price History'!M47)),NOT(ISNUMBER('Price History'!M46)),'Price History'!M46=0),"",'Price History'!M47/'Price History'!M46-1),"")</f>
        <v>-0.0486413955048642</v>
      </c>
      <c r="N46" s="142" t="n">
        <f aca="false">IFERROR(IF(OR(NOT(ISNUMBER('Price History'!N47)),NOT(ISNUMBER('Price History'!N46)),'Price History'!N46=0),"",'Price History'!N47/'Price History'!N46-1),"")</f>
        <v>0.00579039980357643</v>
      </c>
      <c r="O46" s="142" t="n">
        <f aca="false">IFERROR(IF(OR(NOT(ISNUMBER('Price History'!O47)),NOT(ISNUMBER('Price History'!O46)),'Price History'!O46=0),"",'Price History'!O47/'Price History'!O46-1),"")</f>
        <v>0.0264473830425604</v>
      </c>
      <c r="P46" s="142" t="n">
        <f aca="false">IFERROR(IF(OR(NOT(ISNUMBER('Price History'!P47)),NOT(ISNUMBER('Price History'!P46)),'Price History'!P46=0),"",'Price History'!P47/'Price History'!P46-1),"")</f>
        <v>0.0141542202153526</v>
      </c>
      <c r="Q46" s="142" t="n">
        <f aca="false">IFERROR(IF(OR(NOT(ISNUMBER('Price History'!Q47)),NOT(ISNUMBER('Price History'!Q46)),'Price History'!Q46=0),"",'Price History'!Q47/'Price History'!Q46-1),"")</f>
        <v>-0.00668724279835387</v>
      </c>
      <c r="R46" s="142" t="n">
        <f aca="false">IFERROR(IF(OR(NOT(ISNUMBER('Price History'!R47)),NOT(ISNUMBER('Price History'!R46)),'Price History'!R46=0),"",'Price History'!R47/'Price History'!R46-1),"")</f>
        <v>-0.0295748613678374</v>
      </c>
      <c r="S46" s="142" t="n">
        <f aca="false">IFERROR(IF(OR(NOT(ISNUMBER('Price History'!S47)),NOT(ISNUMBER('Price History'!S46)),'Price History'!S46=0),"",'Price History'!S47/'Price History'!S46-1),"")</f>
        <v>-0.0404519774011299</v>
      </c>
      <c r="T46" s="142" t="n">
        <f aca="false">IFERROR(IF(OR(NOT(ISNUMBER('Price History'!T47)),NOT(ISNUMBER('Price History'!T46)),'Price History'!T46=0),"",'Price History'!T47/'Price History'!T46-1),"")</f>
        <v>0.0150622134905043</v>
      </c>
      <c r="U46" s="142" t="n">
        <f aca="false">IFERROR(IF(OR(NOT(ISNUMBER('Price History'!U47)),NOT(ISNUMBER('Price History'!U46)),'Price History'!U46=0),"",'Price History'!U47/'Price History'!U46-1),"")</f>
        <v>0.0183823529411764</v>
      </c>
      <c r="V46" s="143" t="n">
        <f aca="false">IFERROR(IF(OR(NOT(ISNUMBER('Price History'!V47)),NOT(ISNUMBER('Price History'!V46)),'Price History'!V46=0),"",'Price History'!V47/'Price History'!V46-1),"")</f>
        <v>-0.00107168829180526</v>
      </c>
      <c r="W46" s="144" t="n">
        <f aca="false">IFERROR('Price History'!B3+(INDEX('Price History'!B:B,MATCH(9.99E+307,'Returns (Calc)'!$A:$A)+1)-'Price History'!B3)*(ROW()-3)/(MATCH(9.99E+307,'Returns (Calc)'!$A:$A)-3),"")</f>
        <v>449.639367088608</v>
      </c>
      <c r="X46" s="144" t="n">
        <f aca="false">IFERROR('Price History'!C3+(INDEX('Price History'!C:C,MATCH(9.99E+307,'Returns (Calc)'!$A:$A)+1)-'Price History'!C3)*(ROW()-3)/(MATCH(9.99E+307,'Returns (Calc)'!$A:$A)-3),"")</f>
        <v>90.0427215189873</v>
      </c>
      <c r="Y46" s="144" t="n">
        <f aca="false">IFERROR('Price History'!D3+(INDEX('Price History'!D:D,MATCH(9.99E+307,'Returns (Calc)'!$A:$A)+1)-'Price History'!D3)*(ROW()-3)/(MATCH(9.99E+307,'Returns (Calc)'!$A:$A)-3),"")</f>
        <v>931.806835443038</v>
      </c>
      <c r="Z46" s="144" t="n">
        <f aca="false">IFERROR('Price History'!E3+(INDEX('Price History'!E:E,MATCH(9.99E+307,'Returns (Calc)'!$A:$A)+1)-'Price History'!E3)*(ROW()-3)/(MATCH(9.99E+307,'Returns (Calc)'!$A:$A)-3),"")</f>
        <v>156.335569620253</v>
      </c>
      <c r="AA46" s="144" t="n">
        <f aca="false">IFERROR('Price History'!F3+(INDEX('Price History'!F:F,MATCH(9.99E+307,'Returns (Calc)'!$A:$A)+1)-'Price History'!F3)*(ROW()-3)/(MATCH(9.99E+307,'Returns (Calc)'!$A:$A)-3),"")</f>
        <v>103.595696202532</v>
      </c>
      <c r="AB46" s="144" t="n">
        <f aca="false">IFERROR('Price History'!G3+(INDEX('Price History'!G:G,MATCH(9.99E+307,'Returns (Calc)'!$A:$A)+1)-'Price History'!G3)*(ROW()-3)/(MATCH(9.99E+307,'Returns (Calc)'!$A:$A)-3),"")</f>
        <v>88.5855696202532</v>
      </c>
      <c r="AC46" s="144" t="n">
        <f aca="false">IFERROR('Price History'!H3+(INDEX('Price History'!H:H,MATCH(9.99E+307,'Returns (Calc)'!$A:$A)+1)-'Price History'!H3)*(ROW()-3)/(MATCH(9.99E+307,'Returns (Calc)'!$A:$A)-3),"")</f>
        <v>342.834936708861</v>
      </c>
      <c r="AD46" s="144" t="n">
        <f aca="false">IFERROR('Price History'!I3+(INDEX('Price History'!I:I,MATCH(9.99E+307,'Returns (Calc)'!$A:$A)+1)-'Price History'!I3)*(ROW()-3)/(MATCH(9.99E+307,'Returns (Calc)'!$A:$A)-3),"")</f>
        <v>95.5278481012658</v>
      </c>
      <c r="AE46" s="144" t="n">
        <f aca="false">IFERROR('Price History'!J3+(INDEX('Price History'!J:J,MATCH(9.99E+307,'Returns (Calc)'!$A:$A)+1)-'Price History'!J3)*(ROW()-3)/(MATCH(9.99E+307,'Returns (Calc)'!$A:$A)-3),"")</f>
        <v>116.485632911392</v>
      </c>
      <c r="AF46" s="144" t="n">
        <f aca="false">IFERROR('Price History'!K3+(INDEX('Price History'!K:K,MATCH(9.99E+307,'Returns (Calc)'!$A:$A)+1)-'Price History'!K3)*(ROW()-3)/(MATCH(9.99E+307,'Returns (Calc)'!$A:$A)-3),"")</f>
        <v>62.526582278481</v>
      </c>
      <c r="AG46" s="144" t="n">
        <f aca="false">IFERROR('Price History'!L3+(INDEX('Price History'!L:L,MATCH(9.99E+307,'Returns (Calc)'!$A:$A)+1)-'Price History'!L3)*(ROW()-3)/(MATCH(9.99E+307,'Returns (Calc)'!$A:$A)-3),"")</f>
        <v>191.080949367089</v>
      </c>
      <c r="AH46" s="144" t="n">
        <f aca="false">IFERROR('Price History'!M3+(INDEX('Price History'!M:M,MATCH(9.99E+307,'Returns (Calc)'!$A:$A)+1)-'Price History'!M3)*(ROW()-3)/(MATCH(9.99E+307,'Returns (Calc)'!$A:$A)-3),"")</f>
        <v>96.3040506329114</v>
      </c>
      <c r="AI46" s="144" t="n">
        <f aca="false">IFERROR('Price History'!N3+(INDEX('Price History'!N:N,MATCH(9.99E+307,'Returns (Calc)'!$A:$A)+1)-'Price History'!N3)*(ROW()-3)/(MATCH(9.99E+307,'Returns (Calc)'!$A:$A)-3),"")</f>
        <v>391.309430379747</v>
      </c>
      <c r="AJ46" s="144" t="n">
        <f aca="false">IFERROR('Price History'!O3+(INDEX('Price History'!O:O,MATCH(9.99E+307,'Returns (Calc)'!$A:$A)+1)-'Price History'!O3)*(ROW()-3)/(MATCH(9.99E+307,'Returns (Calc)'!$A:$A)-3),"")</f>
        <v>87.4806329113924</v>
      </c>
      <c r="AK46" s="144" t="n">
        <f aca="false">IFERROR('Price History'!Q3+(INDEX('Price History'!Q:Q,MATCH(9.99E+307,'Returns (Calc)'!$A:$A)+1)-'Price History'!Q3)*(ROW()-3)/(MATCH(9.99E+307,'Returns (Calc)'!$A:$A)-3),"")</f>
        <v>18.8927848101266</v>
      </c>
      <c r="AL46" s="144" t="n">
        <f aca="false">IFERROR('Price History'!R3+(INDEX('Price History'!R:R,MATCH(9.99E+307,'Returns (Calc)'!$A:$A)+1)-'Price History'!R3)*(ROW()-3)/(MATCH(9.99E+307,'Returns (Calc)'!$A:$A)-3),"")</f>
        <v>41.7083544303797</v>
      </c>
      <c r="AM46" s="144" t="n">
        <f aca="false">IFERROR('Price History'!S3+(INDEX('Price History'!S:S,MATCH(9.99E+307,'Returns (Calc)'!$A:$A)+1)-'Price History'!S3)*(ROW()-3)/(MATCH(9.99E+307,'Returns (Calc)'!$A:$A)-3),"")</f>
        <v>83.6477215189873</v>
      </c>
      <c r="AN46" s="144" t="n">
        <f aca="false">IFERROR('Price History'!T3+(INDEX('Price History'!T:T,MATCH(9.99E+307,'Returns (Calc)'!$A:$A)+1)-'Price History'!T3)*(ROW()-3)/(MATCH(9.99E+307,'Returns (Calc)'!$A:$A)-3),"")</f>
        <v>32.4737974683544</v>
      </c>
      <c r="AO46" s="145" t="n">
        <f aca="false">IFERROR('Price History'!V3+(INDEX('Price History'!V:V,MATCH(9.99E+307,'Returns (Calc)'!$A:$A)+1)-'Price History'!V3)*(ROW()-3)/(MATCH(9.99E+307,'Returns (Calc)'!$A:$A)-3),"")</f>
        <v>269.657151898734</v>
      </c>
      <c r="AP46" s="143" t="n">
        <f aca="false">IFERROR(IF(OR(NOT(ISNUMBER('Price History'!W47)),NOT(ISNUMBER('Price History'!W46)),'Price History'!W46=0),"",'Price History'!W47/'Price History'!W46-1),"")</f>
        <v>0.00784860905206242</v>
      </c>
      <c r="AQ46" s="143" t="str">
        <f aca="false">IFERROR(IF(OR(NOT(ISNUMBER('Price History'!X47)),NOT(ISNUMBER('Price History'!X46)),'Price History'!X46=0),"",'Price History'!X47/'Price History'!X46-1),"")</f>
        <v/>
      </c>
      <c r="AR46" s="143" t="n">
        <f aca="false">IFERROR(IF(OR(NOT(ISNUMBER('Price History'!Y47)),NOT(ISNUMBER('Price History'!Y46)),'Price History'!Y46=0),"",'Price History'!Y47/'Price History'!Y46-1),"")</f>
        <v>-0.00231676495366473</v>
      </c>
      <c r="AS46" s="143" t="n">
        <f aca="false">IFERROR(IF(OR(NOT(ISNUMBER('Price History'!Z47)),NOT(ISNUMBER('Price History'!Z46)),'Price History'!Z46=0),"",'Price History'!Z47/'Price History'!Z46-1),"")</f>
        <v>0.000763407341433986</v>
      </c>
      <c r="AT46" s="143" t="n">
        <f aca="false">IFERROR(IF(OR(NOT(ISNUMBER('Price History'!AA47)),NOT(ISNUMBER('Price History'!AA46)),'Price History'!AA46=0),"",'Price History'!AA47/'Price History'!AA46-1),"")</f>
        <v>-0.0220815318097592</v>
      </c>
    </row>
    <row r="47" customFormat="false" ht="15" hidden="false" customHeight="true" outlineLevel="0" collapsed="false">
      <c r="A47" s="141" t="n">
        <f aca="false">IF('Price History'!A48="","",'Price History'!A48)</f>
        <v>45499</v>
      </c>
      <c r="B47" s="142" t="n">
        <f aca="false">IFERROR(IF(OR(NOT(ISNUMBER('Price History'!B48)),NOT(ISNUMBER('Price History'!B47)),'Price History'!B47=0),"",'Price History'!B48/'Price History'!B47-1),"")</f>
        <v>-0.0155353901996369</v>
      </c>
      <c r="C47" s="142" t="n">
        <f aca="false">IFERROR(IF(OR(NOT(ISNUMBER('Price History'!C48)),NOT(ISNUMBER('Price History'!C47)),'Price History'!C47=0),"",'Price History'!C48/'Price History'!C47-1),"")</f>
        <v>-0.0343659244917716</v>
      </c>
      <c r="D47" s="142" t="n">
        <f aca="false">IFERROR(IF(OR(NOT(ISNUMBER('Price History'!D48)),NOT(ISNUMBER('Price History'!D47)),'Price History'!D47=0),"",'Price History'!D48/'Price History'!D47-1),"")</f>
        <v>-0.00779312384809672</v>
      </c>
      <c r="E47" s="142" t="n">
        <f aca="false">IFERROR(IF(OR(NOT(ISNUMBER('Price History'!E48)),NOT(ISNUMBER('Price History'!E47)),'Price History'!E47=0),"",'Price History'!E48/'Price History'!E47-1),"")</f>
        <v>-0.0363258951738453</v>
      </c>
      <c r="F47" s="142" t="n">
        <f aca="false">IFERROR(IF(OR(NOT(ISNUMBER('Price History'!F48)),NOT(ISNUMBER('Price History'!F47)),'Price History'!F47=0),"",'Price History'!F48/'Price History'!F47-1),"")</f>
        <v>-0.160020986358867</v>
      </c>
      <c r="G47" s="142" t="n">
        <f aca="false">IFERROR(IF(OR(NOT(ISNUMBER('Price History'!G48)),NOT(ISNUMBER('Price History'!G47)),'Price History'!G47=0),"",'Price History'!G48/'Price History'!G47-1),"")</f>
        <v>0.0326753801013604</v>
      </c>
      <c r="H47" s="142" t="n">
        <f aca="false">IFERROR(IF(OR(NOT(ISNUMBER('Price History'!H48)),NOT(ISNUMBER('Price History'!H47)),'Price History'!H47=0),"",'Price History'!H48/'Price History'!H47-1),"")</f>
        <v>-0.0424482606781154</v>
      </c>
      <c r="I47" s="142" t="n">
        <f aca="false">IFERROR(IF(OR(NOT(ISNUMBER('Price History'!I48)),NOT(ISNUMBER('Price History'!I47)),'Price History'!I47=0),"",'Price History'!I48/'Price History'!I47-1),"")</f>
        <v>-0.0412414965986394</v>
      </c>
      <c r="J47" s="142" t="n">
        <f aca="false">IFERROR(IF(OR(NOT(ISNUMBER('Price History'!J48)),NOT(ISNUMBER('Price History'!J47)),'Price History'!J47=0),"",'Price History'!J48/'Price History'!J47-1),"")</f>
        <v>-0.00870322019147085</v>
      </c>
      <c r="K47" s="142" t="n">
        <f aca="false">IFERROR(IF(OR(NOT(ISNUMBER('Price History'!K48)),NOT(ISNUMBER('Price History'!K47)),'Price History'!K47=0),"",'Price History'!K48/'Price History'!K47-1),"")</f>
        <v>-0.0489853044086773</v>
      </c>
      <c r="L47" s="142" t="n">
        <f aca="false">IFERROR(IF(OR(NOT(ISNUMBER('Price History'!L48)),NOT(ISNUMBER('Price History'!L47)),'Price History'!L47=0),"",'Price History'!L48/'Price History'!L47-1),"")</f>
        <v>-0.0230797865740167</v>
      </c>
      <c r="M47" s="142" t="n">
        <f aca="false">IFERROR(IF(OR(NOT(ISNUMBER('Price History'!M48)),NOT(ISNUMBER('Price History'!M47)),'Price History'!M47=0),"",'Price History'!M48/'Price History'!M47-1),"")</f>
        <v>-0.0960272684532205</v>
      </c>
      <c r="N47" s="142" t="n">
        <f aca="false">IFERROR(IF(OR(NOT(ISNUMBER('Price History'!N48)),NOT(ISNUMBER('Price History'!N47)),'Price History'!N47=0),"",'Price History'!N48/'Price History'!N47-1),"")</f>
        <v>0.0075065606119169</v>
      </c>
      <c r="O47" s="142" t="n">
        <f aca="false">IFERROR(IF(OR(NOT(ISNUMBER('Price History'!O48)),NOT(ISNUMBER('Price History'!O47)),'Price History'!O47=0),"",'Price History'!O48/'Price History'!O47-1),"")</f>
        <v>0.0362671863159034</v>
      </c>
      <c r="P47" s="142" t="n">
        <f aca="false">IFERROR(IF(OR(NOT(ISNUMBER('Price History'!P48)),NOT(ISNUMBER('Price History'!P47)),'Price History'!P47=0),"",'Price History'!P48/'Price History'!P47-1),"")</f>
        <v>0.0211490709821047</v>
      </c>
      <c r="Q47" s="142" t="n">
        <f aca="false">IFERROR(IF(OR(NOT(ISNUMBER('Price History'!Q48)),NOT(ISNUMBER('Price History'!Q47)),'Price History'!Q47=0),"",'Price History'!Q48/'Price History'!Q47-1),"")</f>
        <v>-0.00414293112377007</v>
      </c>
      <c r="R47" s="142" t="n">
        <f aca="false">IFERROR(IF(OR(NOT(ISNUMBER('Price History'!R48)),NOT(ISNUMBER('Price History'!R47)),'Price History'!R47=0),"",'Price History'!R48/'Price History'!R47-1),"")</f>
        <v>-0.0226190476190477</v>
      </c>
      <c r="S47" s="142" t="n">
        <f aca="false">IFERROR(IF(OR(NOT(ISNUMBER('Price History'!S48)),NOT(ISNUMBER('Price History'!S47)),'Price History'!S47=0),"",'Price History'!S48/'Price History'!S47-1),"")</f>
        <v>-0.0188412623645785</v>
      </c>
      <c r="T47" s="142" t="n">
        <f aca="false">IFERROR(IF(OR(NOT(ISNUMBER('Price History'!T48)),NOT(ISNUMBER('Price History'!T47)),'Price History'!T47=0),"",'Price History'!T48/'Price History'!T47-1),"")</f>
        <v>0.0180645161290323</v>
      </c>
      <c r="U47" s="142" t="n">
        <f aca="false">IFERROR(IF(OR(NOT(ISNUMBER('Price History'!U48)),NOT(ISNUMBER('Price History'!U47)),'Price History'!U47=0),"",'Price History'!U48/'Price History'!U47-1),"")</f>
        <v>0.0168471720818293</v>
      </c>
      <c r="V47" s="143" t="n">
        <f aca="false">IFERROR(IF(OR(NOT(ISNUMBER('Price History'!V48)),NOT(ISNUMBER('Price History'!V47)),'Price History'!V47=0),"",'Price History'!V48/'Price History'!V47-1),"")</f>
        <v>-0.0226062301237595</v>
      </c>
      <c r="W47" s="144" t="n">
        <f aca="false">IFERROR('Price History'!B3+(INDEX('Price History'!B:B,MATCH(9.99E+307,'Returns (Calc)'!$A:$A)+1)-'Price History'!B3)*(ROW()-3)/(MATCH(9.99E+307,'Returns (Calc)'!$A:$A)-3),"")</f>
        <v>447.796329113924</v>
      </c>
      <c r="X47" s="144" t="n">
        <f aca="false">IFERROR('Price History'!C3+(INDEX('Price History'!C:C,MATCH(9.99E+307,'Returns (Calc)'!$A:$A)+1)-'Price History'!C3)*(ROW()-3)/(MATCH(9.99E+307,'Returns (Calc)'!$A:$A)-3),"")</f>
        <v>91.0627848101266</v>
      </c>
      <c r="Y47" s="144" t="n">
        <f aca="false">IFERROR('Price History'!D3+(INDEX('Price History'!D:D,MATCH(9.99E+307,'Returns (Calc)'!$A:$A)+1)-'Price History'!D3)*(ROW()-3)/(MATCH(9.99E+307,'Returns (Calc)'!$A:$A)-3),"")</f>
        <v>939.94164556962</v>
      </c>
      <c r="Z47" s="144" t="n">
        <f aca="false">IFERROR('Price History'!E3+(INDEX('Price History'!E:E,MATCH(9.99E+307,'Returns (Calc)'!$A:$A)+1)-'Price History'!E3)*(ROW()-3)/(MATCH(9.99E+307,'Returns (Calc)'!$A:$A)-3),"")</f>
        <v>158.064303797468</v>
      </c>
      <c r="AA47" s="144" t="n">
        <f aca="false">IFERROR('Price History'!F3+(INDEX('Price History'!F:F,MATCH(9.99E+307,'Returns (Calc)'!$A:$A)+1)-'Price History'!F3)*(ROW()-3)/(MATCH(9.99E+307,'Returns (Calc)'!$A:$A)-3),"")</f>
        <v>105.043037974684</v>
      </c>
      <c r="AB47" s="144" t="n">
        <f aca="false">IFERROR('Price History'!G3+(INDEX('Price History'!G:G,MATCH(9.99E+307,'Returns (Calc)'!$A:$A)+1)-'Price History'!G3)*(ROW()-3)/(MATCH(9.99E+307,'Returns (Calc)'!$A:$A)-3),"")</f>
        <v>89.6143037974684</v>
      </c>
      <c r="AC47" s="144" t="n">
        <f aca="false">IFERROR('Price History'!H3+(INDEX('Price History'!H:H,MATCH(9.99E+307,'Returns (Calc)'!$A:$A)+1)-'Price History'!H3)*(ROW()-3)/(MATCH(9.99E+307,'Returns (Calc)'!$A:$A)-3),"")</f>
        <v>349.200632911392</v>
      </c>
      <c r="AD47" s="144" t="n">
        <f aca="false">IFERROR('Price History'!I3+(INDEX('Price History'!I:I,MATCH(9.99E+307,'Returns (Calc)'!$A:$A)+1)-'Price History'!I3)*(ROW()-3)/(MATCH(9.99E+307,'Returns (Calc)'!$A:$A)-3),"")</f>
        <v>96.7315189873418</v>
      </c>
      <c r="AE47" s="144" t="n">
        <f aca="false">IFERROR('Price History'!J3+(INDEX('Price History'!J:J,MATCH(9.99E+307,'Returns (Calc)'!$A:$A)+1)-'Price History'!J3)*(ROW()-3)/(MATCH(9.99E+307,'Returns (Calc)'!$A:$A)-3),"")</f>
        <v>116.593670886076</v>
      </c>
      <c r="AF47" s="144" t="n">
        <f aca="false">IFERROR('Price History'!K3+(INDEX('Price History'!K:K,MATCH(9.99E+307,'Returns (Calc)'!$A:$A)+1)-'Price History'!K3)*(ROW()-3)/(MATCH(9.99E+307,'Returns (Calc)'!$A:$A)-3),"")</f>
        <v>63.6241772151899</v>
      </c>
      <c r="AG47" s="144" t="n">
        <f aca="false">IFERROR('Price History'!L3+(INDEX('Price History'!L:L,MATCH(9.99E+307,'Returns (Calc)'!$A:$A)+1)-'Price History'!L3)*(ROW()-3)/(MATCH(9.99E+307,'Returns (Calc)'!$A:$A)-3),"")</f>
        <v>193.530506329114</v>
      </c>
      <c r="AH47" s="144" t="n">
        <f aca="false">IFERROR('Price History'!M3+(INDEX('Price History'!M:M,MATCH(9.99E+307,'Returns (Calc)'!$A:$A)+1)-'Price History'!M3)*(ROW()-3)/(MATCH(9.99E+307,'Returns (Calc)'!$A:$A)-3),"")</f>
        <v>97.6594936708861</v>
      </c>
      <c r="AI47" s="144" t="n">
        <f aca="false">IFERROR('Price History'!N3+(INDEX('Price History'!N:N,MATCH(9.99E+307,'Returns (Calc)'!$A:$A)+1)-'Price History'!N3)*(ROW()-3)/(MATCH(9.99E+307,'Returns (Calc)'!$A:$A)-3),"")</f>
        <v>392.295696202532</v>
      </c>
      <c r="AJ47" s="144" t="n">
        <f aca="false">IFERROR('Price History'!O3+(INDEX('Price History'!O:O,MATCH(9.99E+307,'Returns (Calc)'!$A:$A)+1)-'Price History'!O3)*(ROW()-3)/(MATCH(9.99E+307,'Returns (Calc)'!$A:$A)-3),"")</f>
        <v>87.7636708860759</v>
      </c>
      <c r="AK47" s="144" t="n">
        <f aca="false">IFERROR('Price History'!Q3+(INDEX('Price History'!Q:Q,MATCH(9.99E+307,'Returns (Calc)'!$A:$A)+1)-'Price History'!Q3)*(ROW()-3)/(MATCH(9.99E+307,'Returns (Calc)'!$A:$A)-3),"")</f>
        <v>19.3321518987342</v>
      </c>
      <c r="AL47" s="144" t="n">
        <f aca="false">IFERROR('Price History'!R3+(INDEX('Price History'!R:R,MATCH(9.99E+307,'Returns (Calc)'!$A:$A)+1)-'Price History'!R3)*(ROW()-3)/(MATCH(9.99E+307,'Returns (Calc)'!$A:$A)-3),"")</f>
        <v>41.8764556962025</v>
      </c>
      <c r="AM47" s="144" t="n">
        <f aca="false">IFERROR('Price History'!S3+(INDEX('Price History'!S:S,MATCH(9.99E+307,'Returns (Calc)'!$A:$A)+1)-'Price History'!S3)*(ROW()-3)/(MATCH(9.99E+307,'Returns (Calc)'!$A:$A)-3),"")</f>
        <v>84.2527848101266</v>
      </c>
      <c r="AN47" s="144" t="n">
        <f aca="false">IFERROR('Price History'!T3+(INDEX('Price History'!T:T,MATCH(9.99E+307,'Returns (Calc)'!$A:$A)+1)-'Price History'!T3)*(ROW()-3)/(MATCH(9.99E+307,'Returns (Calc)'!$A:$A)-3),"")</f>
        <v>32.6420253164557</v>
      </c>
      <c r="AO47" s="145" t="n">
        <f aca="false">IFERROR('Price History'!V3+(INDEX('Price History'!V:V,MATCH(9.99E+307,'Returns (Calc)'!$A:$A)+1)-'Price History'!V3)*(ROW()-3)/(MATCH(9.99E+307,'Returns (Calc)'!$A:$A)-3),"")</f>
        <v>270.448481012658</v>
      </c>
      <c r="AP47" s="143" t="n">
        <f aca="false">IFERROR(IF(OR(NOT(ISNUMBER('Price History'!W48)),NOT(ISNUMBER('Price History'!W47)),'Price History'!W47=0),"",'Price History'!W48/'Price History'!W47-1),"")</f>
        <v>0.00891234749502456</v>
      </c>
      <c r="AQ47" s="143" t="str">
        <f aca="false">IFERROR(IF(OR(NOT(ISNUMBER('Price History'!X48)),NOT(ISNUMBER('Price History'!X47)),'Price History'!X47=0),"",'Price History'!X48/'Price History'!X47-1),"")</f>
        <v/>
      </c>
      <c r="AR47" s="143" t="n">
        <f aca="false">IFERROR(IF(OR(NOT(ISNUMBER('Price History'!Y48)),NOT(ISNUMBER('Price History'!Y47)),'Price History'!Y47=0),"",'Price History'!Y48/'Price History'!Y47-1),"")</f>
        <v>0.00337766518893812</v>
      </c>
      <c r="AS47" s="143" t="n">
        <f aca="false">IFERROR(IF(OR(NOT(ISNUMBER('Price History'!Z48)),NOT(ISNUMBER('Price History'!Z47)),'Price History'!Z47=0),"",'Price History'!Z48/'Price History'!Z47-1),"")</f>
        <v>0.0671285995804463</v>
      </c>
      <c r="AT47" s="143" t="n">
        <f aca="false">IFERROR(IF(OR(NOT(ISNUMBER('Price History'!AA48)),NOT(ISNUMBER('Price History'!AA47)),'Price History'!AA47=0),"",'Price History'!AA48/'Price History'!AA47-1),"")</f>
        <v>-0.00300015790304753</v>
      </c>
    </row>
    <row r="48" customFormat="false" ht="15" hidden="false" customHeight="true" outlineLevel="0" collapsed="false">
      <c r="A48" s="141" t="n">
        <f aca="false">IF('Price History'!A49="","",'Price History'!A49)</f>
        <v>45506</v>
      </c>
      <c r="B48" s="142" t="n">
        <f aca="false">IFERROR(IF(OR(NOT(ISNUMBER('Price History'!B49)),NOT(ISNUMBER('Price History'!B48)),'Price History'!B48=0),"",'Price History'!B49/'Price History'!B48-1),"")</f>
        <v>-0.0299941007300348</v>
      </c>
      <c r="C48" s="142" t="n">
        <f aca="false">IFERROR(IF(OR(NOT(ISNUMBER('Price History'!C49)),NOT(ISNUMBER('Price History'!C48)),'Price History'!C48=0),"",'Price History'!C49/'Price History'!C48-1),"")</f>
        <v>0.000375939849624141</v>
      </c>
      <c r="D48" s="142" t="n">
        <f aca="false">IFERROR(IF(OR(NOT(ISNUMBER('Price History'!D49)),NOT(ISNUMBER('Price History'!D48)),'Price History'!D48=0),"",'Price History'!D49/'Price History'!D48-1),"")</f>
        <v>-0.0872805659706695</v>
      </c>
      <c r="E48" s="142" t="n">
        <f aca="false">IFERROR(IF(OR(NOT(ISNUMBER('Price History'!E49)),NOT(ISNUMBER('Price History'!E48)),'Price History'!E48=0),"",'Price History'!E49/'Price History'!E48-1),"")</f>
        <v>-0.0514943457189015</v>
      </c>
      <c r="F48" s="142" t="n">
        <f aca="false">IFERROR(IF(OR(NOT(ISNUMBER('Price History'!F49)),NOT(ISNUMBER('Price History'!F48)),'Price History'!F48=0),"",'Price History'!F49/'Price History'!F48-1),"")</f>
        <v>-0.149437851342911</v>
      </c>
      <c r="G48" s="142" t="n">
        <f aca="false">IFERROR(IF(OR(NOT(ISNUMBER('Price History'!G49)),NOT(ISNUMBER('Price History'!G48)),'Price History'!G48=0),"",'Price History'!G49/'Price History'!G48-1),"")</f>
        <v>-0.115846571096474</v>
      </c>
      <c r="H48" s="142" t="n">
        <f aca="false">IFERROR(IF(OR(NOT(ISNUMBER('Price History'!H49)),NOT(ISNUMBER('Price History'!H48)),'Price History'!H48=0),"",'Price History'!H49/'Price History'!H48-1),"")</f>
        <v>-0.152763726662375</v>
      </c>
      <c r="I48" s="142" t="n">
        <f aca="false">IFERROR(IF(OR(NOT(ISNUMBER('Price History'!I49)),NOT(ISNUMBER('Price History'!I48)),'Price History'!I48=0),"",'Price History'!I49/'Price History'!I48-1),"")</f>
        <v>-0.0512638580931264</v>
      </c>
      <c r="J48" s="142" t="n">
        <f aca="false">IFERROR(IF(OR(NOT(ISNUMBER('Price History'!J49)),NOT(ISNUMBER('Price History'!J48)),'Price History'!J48=0),"",'Price History'!J49/'Price History'!J48-1),"")</f>
        <v>0.0106233538191396</v>
      </c>
      <c r="K48" s="142" t="n">
        <f aca="false">IFERROR(IF(OR(NOT(ISNUMBER('Price History'!K49)),NOT(ISNUMBER('Price History'!K48)),'Price History'!K48=0),"",'Price History'!K49/'Price History'!K48-1),"")</f>
        <v>-0.0897718910963945</v>
      </c>
      <c r="L48" s="142" t="n">
        <f aca="false">IFERROR(IF(OR(NOT(ISNUMBER('Price History'!L49)),NOT(ISNUMBER('Price History'!L48)),'Price History'!L48=0),"",'Price History'!L49/'Price History'!L48-1),"")</f>
        <v>-0.0746221262542868</v>
      </c>
      <c r="M48" s="142" t="n">
        <f aca="false">IFERROR(IF(OR(NOT(ISNUMBER('Price History'!M49)),NOT(ISNUMBER('Price History'!M48)),'Price History'!M48=0),"",'Price History'!M49/'Price History'!M48-1),"")</f>
        <v>-0.099336887270836</v>
      </c>
      <c r="N48" s="142" t="n">
        <f aca="false">IFERROR(IF(OR(NOT(ISNUMBER('Price History'!N49)),NOT(ISNUMBER('Price History'!N48)),'Price History'!N48=0),"",'Price History'!N49/'Price History'!N48-1),"")</f>
        <v>-0.00161531316884067</v>
      </c>
      <c r="O48" s="142" t="n">
        <f aca="false">IFERROR(IF(OR(NOT(ISNUMBER('Price History'!O49)),NOT(ISNUMBER('Price History'!O48)),'Price History'!O48=0),"",'Price History'!O49/'Price History'!O48-1),"")</f>
        <v>-0.0714584203928124</v>
      </c>
      <c r="P48" s="142" t="n">
        <f aca="false">IFERROR(IF(OR(NOT(ISNUMBER('Price History'!P49)),NOT(ISNUMBER('Price History'!P48)),'Price History'!P48=0),"",'Price History'!P49/'Price History'!P48-1),"")</f>
        <v>-0.0144222706691263</v>
      </c>
      <c r="Q48" s="142" t="n">
        <f aca="false">IFERROR(IF(OR(NOT(ISNUMBER('Price History'!Q49)),NOT(ISNUMBER('Price History'!Q48)),'Price History'!Q48=0),"",'Price History'!Q49/'Price History'!Q48-1),"")</f>
        <v>-0.0107470965505286</v>
      </c>
      <c r="R48" s="142" t="n">
        <f aca="false">IFERROR(IF(OR(NOT(ISNUMBER('Price History'!R49)),NOT(ISNUMBER('Price History'!R48)),'Price History'!R48=0),"",'Price History'!R49/'Price History'!R48-1),"")</f>
        <v>-0.0265529841656516</v>
      </c>
      <c r="S48" s="142" t="n">
        <f aca="false">IFERROR(IF(OR(NOT(ISNUMBER('Price History'!S49)),NOT(ISNUMBER('Price History'!S48)),'Price History'!S48=0),"",'Price History'!S49/'Price History'!S48-1),"")</f>
        <v>-0.0297647623619778</v>
      </c>
      <c r="T48" s="142" t="n">
        <f aca="false">IFERROR(IF(OR(NOT(ISNUMBER('Price History'!T49)),NOT(ISNUMBER('Price History'!T48)),'Price History'!T48=0),"",'Price History'!T49/'Price History'!T48-1),"")</f>
        <v>-0.0288339670468948</v>
      </c>
      <c r="U48" s="142" t="n">
        <f aca="false">IFERROR(IF(OR(NOT(ISNUMBER('Price History'!U49)),NOT(ISNUMBER('Price History'!U48)),'Price History'!U48=0),"",'Price History'!U49/'Price History'!U48-1),"")</f>
        <v>-0.0201183431952663</v>
      </c>
      <c r="V48" s="143" t="n">
        <f aca="false">IFERROR(IF(OR(NOT(ISNUMBER('Price History'!V49)),NOT(ISNUMBER('Price History'!V48)),'Price History'!V48=0),"",'Price History'!V49/'Price History'!V48-1),"")</f>
        <v>0.0274804970794622</v>
      </c>
      <c r="W48" s="144" t="n">
        <f aca="false">IFERROR('Price History'!B3+(INDEX('Price History'!B:B,MATCH(9.99E+307,'Returns (Calc)'!$A:$A)+1)-'Price History'!B3)*(ROW()-3)/(MATCH(9.99E+307,'Returns (Calc)'!$A:$A)-3),"")</f>
        <v>445.953291139241</v>
      </c>
      <c r="X48" s="144" t="n">
        <f aca="false">IFERROR('Price History'!C3+(INDEX('Price History'!C:C,MATCH(9.99E+307,'Returns (Calc)'!$A:$A)+1)-'Price History'!C3)*(ROW()-3)/(MATCH(9.99E+307,'Returns (Calc)'!$A:$A)-3),"")</f>
        <v>92.0828481012658</v>
      </c>
      <c r="Y48" s="144" t="n">
        <f aca="false">IFERROR('Price History'!D3+(INDEX('Price History'!D:D,MATCH(9.99E+307,'Returns (Calc)'!$A:$A)+1)-'Price History'!D3)*(ROW()-3)/(MATCH(9.99E+307,'Returns (Calc)'!$A:$A)-3),"")</f>
        <v>948.076455696203</v>
      </c>
      <c r="Z48" s="144" t="n">
        <f aca="false">IFERROR('Price History'!E3+(INDEX('Price History'!E:E,MATCH(9.99E+307,'Returns (Calc)'!$A:$A)+1)-'Price History'!E3)*(ROW()-3)/(MATCH(9.99E+307,'Returns (Calc)'!$A:$A)-3),"")</f>
        <v>159.793037974684</v>
      </c>
      <c r="AA48" s="144" t="n">
        <f aca="false">IFERROR('Price History'!F3+(INDEX('Price History'!F:F,MATCH(9.99E+307,'Returns (Calc)'!$A:$A)+1)-'Price History'!F3)*(ROW()-3)/(MATCH(9.99E+307,'Returns (Calc)'!$A:$A)-3),"")</f>
        <v>106.490379746835</v>
      </c>
      <c r="AB48" s="144" t="n">
        <f aca="false">IFERROR('Price History'!G3+(INDEX('Price History'!G:G,MATCH(9.99E+307,'Returns (Calc)'!$A:$A)+1)-'Price History'!G3)*(ROW()-3)/(MATCH(9.99E+307,'Returns (Calc)'!$A:$A)-3),"")</f>
        <v>90.6430379746836</v>
      </c>
      <c r="AC48" s="144" t="n">
        <f aca="false">IFERROR('Price History'!H3+(INDEX('Price History'!H:H,MATCH(9.99E+307,'Returns (Calc)'!$A:$A)+1)-'Price History'!H3)*(ROW()-3)/(MATCH(9.99E+307,'Returns (Calc)'!$A:$A)-3),"")</f>
        <v>355.566329113924</v>
      </c>
      <c r="AD48" s="144" t="n">
        <f aca="false">IFERROR('Price History'!I3+(INDEX('Price History'!I:I,MATCH(9.99E+307,'Returns (Calc)'!$A:$A)+1)-'Price History'!I3)*(ROW()-3)/(MATCH(9.99E+307,'Returns (Calc)'!$A:$A)-3),"")</f>
        <v>97.9351898734177</v>
      </c>
      <c r="AE48" s="144" t="n">
        <f aca="false">IFERROR('Price History'!J3+(INDEX('Price History'!J:J,MATCH(9.99E+307,'Returns (Calc)'!$A:$A)+1)-'Price History'!J3)*(ROW()-3)/(MATCH(9.99E+307,'Returns (Calc)'!$A:$A)-3),"")</f>
        <v>116.70170886076</v>
      </c>
      <c r="AF48" s="144" t="n">
        <f aca="false">IFERROR('Price History'!K3+(INDEX('Price History'!K:K,MATCH(9.99E+307,'Returns (Calc)'!$A:$A)+1)-'Price History'!K3)*(ROW()-3)/(MATCH(9.99E+307,'Returns (Calc)'!$A:$A)-3),"")</f>
        <v>64.7217721518987</v>
      </c>
      <c r="AG48" s="144" t="n">
        <f aca="false">IFERROR('Price History'!L3+(INDEX('Price History'!L:L,MATCH(9.99E+307,'Returns (Calc)'!$A:$A)+1)-'Price History'!L3)*(ROW()-3)/(MATCH(9.99E+307,'Returns (Calc)'!$A:$A)-3),"")</f>
        <v>195.980063291139</v>
      </c>
      <c r="AH48" s="144" t="n">
        <f aca="false">IFERROR('Price History'!M3+(INDEX('Price History'!M:M,MATCH(9.99E+307,'Returns (Calc)'!$A:$A)+1)-'Price History'!M3)*(ROW()-3)/(MATCH(9.99E+307,'Returns (Calc)'!$A:$A)-3),"")</f>
        <v>99.0149367088608</v>
      </c>
      <c r="AI48" s="144" t="n">
        <f aca="false">IFERROR('Price History'!N3+(INDEX('Price History'!N:N,MATCH(9.99E+307,'Returns (Calc)'!$A:$A)+1)-'Price History'!N3)*(ROW()-3)/(MATCH(9.99E+307,'Returns (Calc)'!$A:$A)-3),"")</f>
        <v>393.281962025316</v>
      </c>
      <c r="AJ48" s="144" t="n">
        <f aca="false">IFERROR('Price History'!O3+(INDEX('Price History'!O:O,MATCH(9.99E+307,'Returns (Calc)'!$A:$A)+1)-'Price History'!O3)*(ROW()-3)/(MATCH(9.99E+307,'Returns (Calc)'!$A:$A)-3),"")</f>
        <v>88.0467088607595</v>
      </c>
      <c r="AK48" s="144" t="n">
        <f aca="false">IFERROR('Price History'!Q3+(INDEX('Price History'!Q:Q,MATCH(9.99E+307,'Returns (Calc)'!$A:$A)+1)-'Price History'!Q3)*(ROW()-3)/(MATCH(9.99E+307,'Returns (Calc)'!$A:$A)-3),"")</f>
        <v>19.7715189873418</v>
      </c>
      <c r="AL48" s="144" t="n">
        <f aca="false">IFERROR('Price History'!R3+(INDEX('Price History'!R:R,MATCH(9.99E+307,'Returns (Calc)'!$A:$A)+1)-'Price History'!R3)*(ROW()-3)/(MATCH(9.99E+307,'Returns (Calc)'!$A:$A)-3),"")</f>
        <v>42.0445569620253</v>
      </c>
      <c r="AM48" s="144" t="n">
        <f aca="false">IFERROR('Price History'!S3+(INDEX('Price History'!S:S,MATCH(9.99E+307,'Returns (Calc)'!$A:$A)+1)-'Price History'!S3)*(ROW()-3)/(MATCH(9.99E+307,'Returns (Calc)'!$A:$A)-3),"")</f>
        <v>84.8578481012658</v>
      </c>
      <c r="AN48" s="144" t="n">
        <f aca="false">IFERROR('Price History'!T3+(INDEX('Price History'!T:T,MATCH(9.99E+307,'Returns (Calc)'!$A:$A)+1)-'Price History'!T3)*(ROW()-3)/(MATCH(9.99E+307,'Returns (Calc)'!$A:$A)-3),"")</f>
        <v>32.810253164557</v>
      </c>
      <c r="AO48" s="145" t="n">
        <f aca="false">IFERROR('Price History'!V3+(INDEX('Price History'!V:V,MATCH(9.99E+307,'Returns (Calc)'!$A:$A)+1)-'Price History'!V3)*(ROW()-3)/(MATCH(9.99E+307,'Returns (Calc)'!$A:$A)-3),"")</f>
        <v>271.239810126582</v>
      </c>
      <c r="AP48" s="143" t="n">
        <f aca="false">IFERROR(IF(OR(NOT(ISNUMBER('Price History'!W49)),NOT(ISNUMBER('Price History'!W48)),'Price History'!W48=0),"",'Price History'!W49/'Price History'!W48-1),"")</f>
        <v>-0.0235849056603774</v>
      </c>
      <c r="AQ48" s="143" t="str">
        <f aca="false">IFERROR(IF(OR(NOT(ISNUMBER('Price History'!X49)),NOT(ISNUMBER('Price History'!X48)),'Price History'!X48=0),"",'Price History'!X49/'Price History'!X48-1),"")</f>
        <v/>
      </c>
      <c r="AR48" s="143" t="n">
        <f aca="false">IFERROR(IF(OR(NOT(ISNUMBER('Price History'!Y49)),NOT(ISNUMBER('Price History'!Y48)),'Price History'!Y48=0),"",'Price History'!Y49/'Price History'!Y48-1),"")</f>
        <v>-0.00547022932884489</v>
      </c>
      <c r="AS48" s="143" t="n">
        <f aca="false">IFERROR(IF(OR(NOT(ISNUMBER('Price History'!Z49)),NOT(ISNUMBER('Price History'!Z48)),'Price History'!Z48=0),"",'Price History'!Z49/'Price History'!Z48-1),"")</f>
        <v>-0.0561148507773873</v>
      </c>
      <c r="AT48" s="143" t="n">
        <f aca="false">IFERROR(IF(OR(NOT(ISNUMBER('Price History'!AA49)),NOT(ISNUMBER('Price History'!AA48)),'Price History'!AA48=0),"",'Price History'!AA49/'Price History'!AA48-1),"")</f>
        <v>-0.0281913208742477</v>
      </c>
    </row>
    <row r="49" customFormat="false" ht="15" hidden="false" customHeight="true" outlineLevel="0" collapsed="false">
      <c r="A49" s="141" t="n">
        <f aca="false">IF('Price History'!A50="","",'Price History'!A50)</f>
        <v>45513</v>
      </c>
      <c r="B49" s="142" t="n">
        <f aca="false">IFERROR(IF(OR(NOT(ISNUMBER('Price History'!B50)),NOT(ISNUMBER('Price History'!B49)),'Price History'!B49=0),"",'Price History'!B50/'Price History'!B49-1),"")</f>
        <v>0.0192523328962122</v>
      </c>
      <c r="C49" s="142" t="n">
        <f aca="false">IFERROR(IF(OR(NOT(ISNUMBER('Price History'!C50)),NOT(ISNUMBER('Price History'!C49)),'Price History'!C49=0),"",'Price History'!C50/'Price History'!C49-1),"")</f>
        <v>0.0516096705499187</v>
      </c>
      <c r="D49" s="142" t="n">
        <f aca="false">IFERROR(IF(OR(NOT(ISNUMBER('Price History'!D50)),NOT(ISNUMBER('Price History'!D49)),'Price History'!D49=0),"",'Price History'!D50/'Price History'!D49-1),"")</f>
        <v>0.0632529742088668</v>
      </c>
      <c r="E49" s="142" t="n">
        <f aca="false">IFERROR(IF(OR(NOT(ISNUMBER('Price History'!E50)),NOT(ISNUMBER('Price History'!E49)),'Price History'!E49=0),"",'Price History'!E50/'Price History'!E49-1),"")</f>
        <v>0.0308707685756866</v>
      </c>
      <c r="F49" s="142" t="n">
        <f aca="false">IFERROR(IF(OR(NOT(ISNUMBER('Price History'!F50)),NOT(ISNUMBER('Price History'!F49)),'Price History'!F49=0),"",'Price History'!F50/'Price History'!F49-1),"")</f>
        <v>0.105562695061502</v>
      </c>
      <c r="G49" s="142" t="n">
        <f aca="false">IFERROR(IF(OR(NOT(ISNUMBER('Price History'!G50)),NOT(ISNUMBER('Price History'!G49)),'Price History'!G49=0),"",'Price History'!G50/'Price History'!G49-1),"")</f>
        <v>0.072597137014315</v>
      </c>
      <c r="H49" s="142" t="n">
        <f aca="false">IFERROR(IF(OR(NOT(ISNUMBER('Price History'!H50)),NOT(ISNUMBER('Price History'!H49)),'Price History'!H49=0),"",'Price History'!H50/'Price History'!H49-1),"")</f>
        <v>0.00412505427702992</v>
      </c>
      <c r="I49" s="142" t="n">
        <f aca="false">IFERROR(IF(OR(NOT(ISNUMBER('Price History'!I50)),NOT(ISNUMBER('Price History'!I49)),'Price History'!I49=0),"",'Price History'!I50/'Price History'!I49-1),"")</f>
        <v>-0.0234645227633916</v>
      </c>
      <c r="J49" s="142" t="n">
        <f aca="false">IFERROR(IF(OR(NOT(ISNUMBER('Price History'!J50)),NOT(ISNUMBER('Price History'!J49)),'Price History'!J49=0),"",'Price History'!J50/'Price History'!J49-1),"")</f>
        <v>-0.0167665711058986</v>
      </c>
      <c r="K49" s="142" t="n">
        <f aca="false">IFERROR(IF(OR(NOT(ISNUMBER('Price History'!K50)),NOT(ISNUMBER('Price History'!K49)),'Price History'!K49=0),"",'Price History'!K50/'Price History'!K49-1),"")</f>
        <v>0.21301535974131</v>
      </c>
      <c r="L49" s="142" t="n">
        <f aca="false">IFERROR(IF(OR(NOT(ISNUMBER('Price History'!L50)),NOT(ISNUMBER('Price History'!L49)),'Price History'!L49=0),"",'Price History'!L50/'Price History'!L49-1),"")</f>
        <v>0.115160249811269</v>
      </c>
      <c r="M49" s="142" t="n">
        <f aca="false">IFERROR(IF(OR(NOT(ISNUMBER('Price History'!M50)),NOT(ISNUMBER('Price History'!M49)),'Price History'!M49=0),"",'Price History'!M50/'Price History'!M49-1),"")</f>
        <v>0.0288725277898081</v>
      </c>
      <c r="N49" s="142" t="n">
        <f aca="false">IFERROR(IF(OR(NOT(ISNUMBER('Price History'!N50)),NOT(ISNUMBER('Price History'!N49)),'Price History'!N49=0),"",'Price History'!N50/'Price History'!N49-1),"")</f>
        <v>-0.0526028394612305</v>
      </c>
      <c r="O49" s="142" t="n">
        <f aca="false">IFERROR(IF(OR(NOT(ISNUMBER('Price History'!O50)),NOT(ISNUMBER('Price History'!O49)),'Price History'!O49=0),"",'Price History'!O50/'Price History'!O49-1),"")</f>
        <v>-0.0176642664266425</v>
      </c>
      <c r="P49" s="142" t="n">
        <f aca="false">IFERROR(IF(OR(NOT(ISNUMBER('Price History'!P50)),NOT(ISNUMBER('Price History'!P49)),'Price History'!P49=0),"",'Price History'!P50/'Price History'!P49-1),"")</f>
        <v>-0.0101242130338609</v>
      </c>
      <c r="Q49" s="142" t="n">
        <f aca="false">IFERROR(IF(OR(NOT(ISNUMBER('Price History'!Q50)),NOT(ISNUMBER('Price History'!Q49)),'Price History'!Q49=0),"",'Price History'!Q50/'Price History'!Q49-1),"")</f>
        <v>0.000700893639390188</v>
      </c>
      <c r="R49" s="142" t="n">
        <f aca="false">IFERROR(IF(OR(NOT(ISNUMBER('Price History'!R50)),NOT(ISNUMBER('Price History'!R49)),'Price History'!R49=0),"",'Price History'!R50/'Price History'!R49-1),"")</f>
        <v>0.00275275275275266</v>
      </c>
      <c r="S49" s="142" t="n">
        <f aca="false">IFERROR(IF(OR(NOT(ISNUMBER('Price History'!S50)),NOT(ISNUMBER('Price History'!S49)),'Price History'!S49=0),"",'Price History'!S50/'Price History'!S49-1),"")</f>
        <v>0.0173181593270657</v>
      </c>
      <c r="T49" s="142" t="n">
        <f aca="false">IFERROR(IF(OR(NOT(ISNUMBER('Price History'!T50)),NOT(ISNUMBER('Price History'!T49)),'Price History'!T49=0),"",'Price History'!T50/'Price History'!T49-1),"")</f>
        <v>-0.000978792822185937</v>
      </c>
      <c r="U49" s="142" t="n">
        <f aca="false">IFERROR(IF(OR(NOT(ISNUMBER('Price History'!U50)),NOT(ISNUMBER('Price History'!U49)),'Price History'!U49=0),"",'Price History'!U50/'Price History'!U49-1),"")</f>
        <v>-0.00805152979066015</v>
      </c>
      <c r="V49" s="143" t="n">
        <f aca="false">IFERROR(IF(OR(NOT(ISNUMBER('Price History'!V50)),NOT(ISNUMBER('Price History'!V49)),'Price History'!V49=0),"",'Price History'!V50/'Price History'!V49-1),"")</f>
        <v>-0.0236550934757727</v>
      </c>
      <c r="W49" s="144" t="n">
        <f aca="false">IFERROR('Price History'!B3+(INDEX('Price History'!B:B,MATCH(9.99E+307,'Returns (Calc)'!$A:$A)+1)-'Price History'!B3)*(ROW()-3)/(MATCH(9.99E+307,'Returns (Calc)'!$A:$A)-3),"")</f>
        <v>444.110253164557</v>
      </c>
      <c r="X49" s="144" t="n">
        <f aca="false">IFERROR('Price History'!C3+(INDEX('Price History'!C:C,MATCH(9.99E+307,'Returns (Calc)'!$A:$A)+1)-'Price History'!C3)*(ROW()-3)/(MATCH(9.99E+307,'Returns (Calc)'!$A:$A)-3),"")</f>
        <v>93.1029113924051</v>
      </c>
      <c r="Y49" s="144" t="n">
        <f aca="false">IFERROR('Price History'!D3+(INDEX('Price History'!D:D,MATCH(9.99E+307,'Returns (Calc)'!$A:$A)+1)-'Price History'!D3)*(ROW()-3)/(MATCH(9.99E+307,'Returns (Calc)'!$A:$A)-3),"")</f>
        <v>956.211265822785</v>
      </c>
      <c r="Z49" s="144" t="n">
        <f aca="false">IFERROR('Price History'!E3+(INDEX('Price History'!E:E,MATCH(9.99E+307,'Returns (Calc)'!$A:$A)+1)-'Price History'!E3)*(ROW()-3)/(MATCH(9.99E+307,'Returns (Calc)'!$A:$A)-3),"")</f>
        <v>161.521772151899</v>
      </c>
      <c r="AA49" s="144" t="n">
        <f aca="false">IFERROR('Price History'!F3+(INDEX('Price History'!F:F,MATCH(9.99E+307,'Returns (Calc)'!$A:$A)+1)-'Price History'!F3)*(ROW()-3)/(MATCH(9.99E+307,'Returns (Calc)'!$A:$A)-3),"")</f>
        <v>107.937721518987</v>
      </c>
      <c r="AB49" s="144" t="n">
        <f aca="false">IFERROR('Price History'!G3+(INDEX('Price History'!G:G,MATCH(9.99E+307,'Returns (Calc)'!$A:$A)+1)-'Price History'!G3)*(ROW()-3)/(MATCH(9.99E+307,'Returns (Calc)'!$A:$A)-3),"")</f>
        <v>91.6717721518987</v>
      </c>
      <c r="AC49" s="144" t="n">
        <f aca="false">IFERROR('Price History'!H3+(INDEX('Price History'!H:H,MATCH(9.99E+307,'Returns (Calc)'!$A:$A)+1)-'Price History'!H3)*(ROW()-3)/(MATCH(9.99E+307,'Returns (Calc)'!$A:$A)-3),"")</f>
        <v>361.932025316456</v>
      </c>
      <c r="AD49" s="144" t="n">
        <f aca="false">IFERROR('Price History'!I3+(INDEX('Price History'!I:I,MATCH(9.99E+307,'Returns (Calc)'!$A:$A)+1)-'Price History'!I3)*(ROW()-3)/(MATCH(9.99E+307,'Returns (Calc)'!$A:$A)-3),"")</f>
        <v>99.1388607594937</v>
      </c>
      <c r="AE49" s="144" t="n">
        <f aca="false">IFERROR('Price History'!J3+(INDEX('Price History'!J:J,MATCH(9.99E+307,'Returns (Calc)'!$A:$A)+1)-'Price History'!J3)*(ROW()-3)/(MATCH(9.99E+307,'Returns (Calc)'!$A:$A)-3),"")</f>
        <v>116.809746835443</v>
      </c>
      <c r="AF49" s="144" t="n">
        <f aca="false">IFERROR('Price History'!K3+(INDEX('Price History'!K:K,MATCH(9.99E+307,'Returns (Calc)'!$A:$A)+1)-'Price History'!K3)*(ROW()-3)/(MATCH(9.99E+307,'Returns (Calc)'!$A:$A)-3),"")</f>
        <v>65.8193670886076</v>
      </c>
      <c r="AG49" s="144" t="n">
        <f aca="false">IFERROR('Price History'!L3+(INDEX('Price History'!L:L,MATCH(9.99E+307,'Returns (Calc)'!$A:$A)+1)-'Price History'!L3)*(ROW()-3)/(MATCH(9.99E+307,'Returns (Calc)'!$A:$A)-3),"")</f>
        <v>198.429620253165</v>
      </c>
      <c r="AH49" s="144" t="n">
        <f aca="false">IFERROR('Price History'!M3+(INDEX('Price History'!M:M,MATCH(9.99E+307,'Returns (Calc)'!$A:$A)+1)-'Price History'!M3)*(ROW()-3)/(MATCH(9.99E+307,'Returns (Calc)'!$A:$A)-3),"")</f>
        <v>100.370379746835</v>
      </c>
      <c r="AI49" s="144" t="n">
        <f aca="false">IFERROR('Price History'!N3+(INDEX('Price History'!N:N,MATCH(9.99E+307,'Returns (Calc)'!$A:$A)+1)-'Price History'!N3)*(ROW()-3)/(MATCH(9.99E+307,'Returns (Calc)'!$A:$A)-3),"")</f>
        <v>394.268227848101</v>
      </c>
      <c r="AJ49" s="144" t="n">
        <f aca="false">IFERROR('Price History'!O3+(INDEX('Price History'!O:O,MATCH(9.99E+307,'Returns (Calc)'!$A:$A)+1)-'Price History'!O3)*(ROW()-3)/(MATCH(9.99E+307,'Returns (Calc)'!$A:$A)-3),"")</f>
        <v>88.3297468354431</v>
      </c>
      <c r="AK49" s="144" t="n">
        <f aca="false">IFERROR('Price History'!Q3+(INDEX('Price History'!Q:Q,MATCH(9.99E+307,'Returns (Calc)'!$A:$A)+1)-'Price History'!Q3)*(ROW()-3)/(MATCH(9.99E+307,'Returns (Calc)'!$A:$A)-3),"")</f>
        <v>20.2108860759494</v>
      </c>
      <c r="AL49" s="144" t="n">
        <f aca="false">IFERROR('Price History'!R3+(INDEX('Price History'!R:R,MATCH(9.99E+307,'Returns (Calc)'!$A:$A)+1)-'Price History'!R3)*(ROW()-3)/(MATCH(9.99E+307,'Returns (Calc)'!$A:$A)-3),"")</f>
        <v>42.2126582278481</v>
      </c>
      <c r="AM49" s="144" t="n">
        <f aca="false">IFERROR('Price History'!S3+(INDEX('Price History'!S:S,MATCH(9.99E+307,'Returns (Calc)'!$A:$A)+1)-'Price History'!S3)*(ROW()-3)/(MATCH(9.99E+307,'Returns (Calc)'!$A:$A)-3),"")</f>
        <v>85.4629113924051</v>
      </c>
      <c r="AN49" s="144" t="n">
        <f aca="false">IFERROR('Price History'!T3+(INDEX('Price History'!T:T,MATCH(9.99E+307,'Returns (Calc)'!$A:$A)+1)-'Price History'!T3)*(ROW()-3)/(MATCH(9.99E+307,'Returns (Calc)'!$A:$A)-3),"")</f>
        <v>32.9784810126582</v>
      </c>
      <c r="AO49" s="145" t="n">
        <f aca="false">IFERROR('Price History'!V3+(INDEX('Price History'!V:V,MATCH(9.99E+307,'Returns (Calc)'!$A:$A)+1)-'Price History'!V3)*(ROW()-3)/(MATCH(9.99E+307,'Returns (Calc)'!$A:$A)-3),"")</f>
        <v>272.031139240506</v>
      </c>
      <c r="AP49" s="143" t="n">
        <f aca="false">IFERROR(IF(OR(NOT(ISNUMBER('Price History'!W50)),NOT(ISNUMBER('Price History'!W49)),'Price History'!W49=0),"",'Price History'!W50/'Price History'!W49-1),"")</f>
        <v>-0.00210803689064554</v>
      </c>
      <c r="AQ49" s="143" t="str">
        <f aca="false">IFERROR(IF(OR(NOT(ISNUMBER('Price History'!X50)),NOT(ISNUMBER('Price History'!X49)),'Price History'!X49=0),"",'Price History'!X50/'Price History'!X49-1),"")</f>
        <v/>
      </c>
      <c r="AR49" s="143" t="n">
        <f aca="false">IFERROR(IF(OR(NOT(ISNUMBER('Price History'!Y50)),NOT(ISNUMBER('Price History'!Y49)),'Price History'!Y49=0),"",'Price History'!Y50/'Price History'!Y49-1),"")</f>
        <v>0.000634651999153579</v>
      </c>
      <c r="AS49" s="143" t="n">
        <f aca="false">IFERROR(IF(OR(NOT(ISNUMBER('Price History'!Z50)),NOT(ISNUMBER('Price History'!Z49)),'Price History'!Z49=0),"",'Price History'!Z50/'Price History'!Z49-1),"")</f>
        <v>0.0427264121173872</v>
      </c>
      <c r="AT49" s="143" t="n">
        <f aca="false">IFERROR(IF(OR(NOT(ISNUMBER('Price History'!AA50)),NOT(ISNUMBER('Price History'!AA49)),'Price History'!AA49=0),"",'Price History'!AA50/'Price History'!AA49-1),"")</f>
        <v>0.0330834419817472</v>
      </c>
    </row>
    <row r="50" customFormat="false" ht="15" hidden="false" customHeight="true" outlineLevel="0" collapsed="false">
      <c r="A50" s="141" t="n">
        <f aca="false">IF('Price History'!A51="","",'Price History'!A51)</f>
        <v>45520</v>
      </c>
      <c r="B50" s="142" t="n">
        <f aca="false">IFERROR(IF(OR(NOT(ISNUMBER('Price History'!B51)),NOT(ISNUMBER('Price History'!B50)),'Price History'!B50=0),"",'Price History'!B51/'Price History'!B50-1),"")</f>
        <v>0.0319970165951895</v>
      </c>
      <c r="C50" s="142" t="n">
        <f aca="false">IFERROR(IF(OR(NOT(ISNUMBER('Price History'!C51)),NOT(ISNUMBER('Price History'!C50)),'Price History'!C50=0),"",'Price History'!C51/'Price History'!C50-1),"")</f>
        <v>0.0538415723645027</v>
      </c>
      <c r="D50" s="142" t="n">
        <f aca="false">IFERROR(IF(OR(NOT(ISNUMBER('Price History'!D51)),NOT(ISNUMBER('Price History'!D50)),'Price History'!D50=0),"",'Price History'!D51/'Price History'!D50-1),"")</f>
        <v>0.0675362729807647</v>
      </c>
      <c r="E50" s="142" t="n">
        <f aca="false">IFERROR(IF(OR(NOT(ISNUMBER('Price History'!E51)),NOT(ISNUMBER('Price History'!E50)),'Price History'!E50=0),"",'Price History'!E51/'Price History'!E50-1),"")</f>
        <v>0.117788792509982</v>
      </c>
      <c r="F50" s="142" t="n">
        <f aca="false">IFERROR(IF(OR(NOT(ISNUMBER('Price History'!F51)),NOT(ISNUMBER('Price History'!F50)),'Price History'!F50=0),"",'Price History'!F51/'Price History'!F50-1),"")</f>
        <v>0.0900033211557623</v>
      </c>
      <c r="G50" s="142" t="n">
        <f aca="false">IFERROR(IF(OR(NOT(ISNUMBER('Price History'!G51)),NOT(ISNUMBER('Price History'!G50)),'Price History'!G50=0),"",'Price History'!G51/'Price History'!G50-1),"")</f>
        <v>0.0995505924009259</v>
      </c>
      <c r="H50" s="142" t="n">
        <f aca="false">IFERROR(IF(OR(NOT(ISNUMBER('Price History'!H51)),NOT(ISNUMBER('Price History'!H50)),'Price History'!H50=0),"",'Price History'!H51/'Price History'!H50-1),"")</f>
        <v>0.160216216216216</v>
      </c>
      <c r="I50" s="142" t="n">
        <f aca="false">IFERROR(IF(OR(NOT(ISNUMBER('Price History'!I51)),NOT(ISNUMBER('Price History'!I50)),'Price History'!I50=0),"",'Price History'!I51/'Price History'!I50-1),"")</f>
        <v>0.189354776948114</v>
      </c>
      <c r="J50" s="142" t="n">
        <f aca="false">IFERROR(IF(OR(NOT(ISNUMBER('Price History'!J51)),NOT(ISNUMBER('Price History'!J50)),'Price History'!J50=0),"",'Price History'!J51/'Price History'!J50-1),"")</f>
        <v>0.00777522530482422</v>
      </c>
      <c r="K50" s="142" t="n">
        <f aca="false">IFERROR(IF(OR(NOT(ISNUMBER('Price History'!K51)),NOT(ISNUMBER('Price History'!K50)),'Price History'!K50=0),"",'Price History'!K51/'Price History'!K50-1),"")</f>
        <v>0.0689770076641119</v>
      </c>
      <c r="L50" s="142" t="n">
        <f aca="false">IFERROR(IF(OR(NOT(ISNUMBER('Price History'!L51)),NOT(ISNUMBER('Price History'!L50)),'Price History'!L50=0),"",'Price History'!L51/'Price History'!L50-1),"")</f>
        <v>0.0444335036002215</v>
      </c>
      <c r="M50" s="142" t="n">
        <f aca="false">IFERROR(IF(OR(NOT(ISNUMBER('Price History'!M51)),NOT(ISNUMBER('Price History'!M50)),'Price History'!M50=0),"",'Price History'!M51/'Price History'!M50-1),"")</f>
        <v>0.111407324259857</v>
      </c>
      <c r="N50" s="142" t="n">
        <f aca="false">IFERROR(IF(OR(NOT(ISNUMBER('Price History'!N51)),NOT(ISNUMBER('Price History'!N50)),'Price History'!N50=0),"",'Price History'!N51/'Price History'!N50-1),"")</f>
        <v>0.0190415199060732</v>
      </c>
      <c r="O50" s="142" t="n">
        <f aca="false">IFERROR(IF(OR(NOT(ISNUMBER('Price History'!O51)),NOT(ISNUMBER('Price History'!O50)),'Price History'!O50=0),"",'Price History'!O51/'Price History'!O50-1),"")</f>
        <v>0.0286336043981217</v>
      </c>
      <c r="P50" s="142" t="n">
        <f aca="false">IFERROR(IF(OR(NOT(ISNUMBER('Price History'!P51)),NOT(ISNUMBER('Price History'!P50)),'Price History'!P50=0),"",'Price History'!P51/'Price History'!P50-1),"")</f>
        <v>0.0256123764503653</v>
      </c>
      <c r="Q50" s="142" t="n">
        <f aca="false">IFERROR(IF(OR(NOT(ISNUMBER('Price History'!Q51)),NOT(ISNUMBER('Price History'!Q50)),'Price History'!Q50=0),"",'Price History'!Q51/'Price History'!Q50-1),"")</f>
        <v>0.0260900017510068</v>
      </c>
      <c r="R50" s="142" t="n">
        <f aca="false">IFERROR(IF(OR(NOT(ISNUMBER('Price History'!R51)),NOT(ISNUMBER('Price History'!R50)),'Price History'!R50=0),"",'Price History'!R51/'Price History'!R50-1),"")</f>
        <v>0.0421761916645869</v>
      </c>
      <c r="S50" s="142" t="n">
        <f aca="false">IFERROR(IF(OR(NOT(ISNUMBER('Price History'!S51)),NOT(ISNUMBER('Price History'!S50)),'Price History'!S50=0),"",'Price History'!S51/'Price History'!S50-1),"")</f>
        <v>0.0570282101167317</v>
      </c>
      <c r="T50" s="142" t="n">
        <f aca="false">IFERROR(IF(OR(NOT(ISNUMBER('Price History'!T51)),NOT(ISNUMBER('Price History'!T50)),'Price History'!T50=0),"",'Price History'!T51/'Price History'!T50-1),"")</f>
        <v>0.0163291966035271</v>
      </c>
      <c r="U50" s="142" t="n">
        <f aca="false">IFERROR(IF(OR(NOT(ISNUMBER('Price History'!U51)),NOT(ISNUMBER('Price History'!U50)),'Price History'!U50=0),"",'Price History'!U51/'Price History'!U50-1),"")</f>
        <v>0.0227272727272727</v>
      </c>
      <c r="V50" s="143" t="n">
        <f aca="false">IFERROR(IF(OR(NOT(ISNUMBER('Price History'!V51)),NOT(ISNUMBER('Price History'!V50)),'Price History'!V50=0),"",'Price History'!V51/'Price History'!V50-1),"")</f>
        <v>0.0293474013286441</v>
      </c>
      <c r="W50" s="144" t="n">
        <f aca="false">IFERROR('Price History'!B3+(INDEX('Price History'!B:B,MATCH(9.99E+307,'Returns (Calc)'!$A:$A)+1)-'Price History'!B3)*(ROW()-3)/(MATCH(9.99E+307,'Returns (Calc)'!$A:$A)-3),"")</f>
        <v>442.267215189873</v>
      </c>
      <c r="X50" s="144" t="n">
        <f aca="false">IFERROR('Price History'!C3+(INDEX('Price History'!C:C,MATCH(9.99E+307,'Returns (Calc)'!$A:$A)+1)-'Price History'!C3)*(ROW()-3)/(MATCH(9.99E+307,'Returns (Calc)'!$A:$A)-3),"")</f>
        <v>94.1229746835443</v>
      </c>
      <c r="Y50" s="144" t="n">
        <f aca="false">IFERROR('Price History'!D3+(INDEX('Price History'!D:D,MATCH(9.99E+307,'Returns (Calc)'!$A:$A)+1)-'Price History'!D3)*(ROW()-3)/(MATCH(9.99E+307,'Returns (Calc)'!$A:$A)-3),"")</f>
        <v>964.346075949367</v>
      </c>
      <c r="Z50" s="144" t="n">
        <f aca="false">IFERROR('Price History'!E3+(INDEX('Price History'!E:E,MATCH(9.99E+307,'Returns (Calc)'!$A:$A)+1)-'Price History'!E3)*(ROW()-3)/(MATCH(9.99E+307,'Returns (Calc)'!$A:$A)-3),"")</f>
        <v>163.250506329114</v>
      </c>
      <c r="AA50" s="144" t="n">
        <f aca="false">IFERROR('Price History'!F3+(INDEX('Price History'!F:F,MATCH(9.99E+307,'Returns (Calc)'!$A:$A)+1)-'Price History'!F3)*(ROW()-3)/(MATCH(9.99E+307,'Returns (Calc)'!$A:$A)-3),"")</f>
        <v>109.385063291139</v>
      </c>
      <c r="AB50" s="144" t="n">
        <f aca="false">IFERROR('Price History'!G3+(INDEX('Price History'!G:G,MATCH(9.99E+307,'Returns (Calc)'!$A:$A)+1)-'Price History'!G3)*(ROW()-3)/(MATCH(9.99E+307,'Returns (Calc)'!$A:$A)-3),"")</f>
        <v>92.7005063291139</v>
      </c>
      <c r="AC50" s="144" t="n">
        <f aca="false">IFERROR('Price History'!H3+(INDEX('Price History'!H:H,MATCH(9.99E+307,'Returns (Calc)'!$A:$A)+1)-'Price History'!H3)*(ROW()-3)/(MATCH(9.99E+307,'Returns (Calc)'!$A:$A)-3),"")</f>
        <v>368.297721518987</v>
      </c>
      <c r="AD50" s="144" t="n">
        <f aca="false">IFERROR('Price History'!I3+(INDEX('Price History'!I:I,MATCH(9.99E+307,'Returns (Calc)'!$A:$A)+1)-'Price History'!I3)*(ROW()-3)/(MATCH(9.99E+307,'Returns (Calc)'!$A:$A)-3),"")</f>
        <v>100.34253164557</v>
      </c>
      <c r="AE50" s="144" t="n">
        <f aca="false">IFERROR('Price History'!J3+(INDEX('Price History'!J:J,MATCH(9.99E+307,'Returns (Calc)'!$A:$A)+1)-'Price History'!J3)*(ROW()-3)/(MATCH(9.99E+307,'Returns (Calc)'!$A:$A)-3),"")</f>
        <v>116.917784810127</v>
      </c>
      <c r="AF50" s="144" t="n">
        <f aca="false">IFERROR('Price History'!K3+(INDEX('Price History'!K:K,MATCH(9.99E+307,'Returns (Calc)'!$A:$A)+1)-'Price History'!K3)*(ROW()-3)/(MATCH(9.99E+307,'Returns (Calc)'!$A:$A)-3),"")</f>
        <v>66.9169620253165</v>
      </c>
      <c r="AG50" s="144" t="n">
        <f aca="false">IFERROR('Price History'!L3+(INDEX('Price History'!L:L,MATCH(9.99E+307,'Returns (Calc)'!$A:$A)+1)-'Price History'!L3)*(ROW()-3)/(MATCH(9.99E+307,'Returns (Calc)'!$A:$A)-3),"")</f>
        <v>200.87917721519</v>
      </c>
      <c r="AH50" s="144" t="n">
        <f aca="false">IFERROR('Price History'!M3+(INDEX('Price History'!M:M,MATCH(9.99E+307,'Returns (Calc)'!$A:$A)+1)-'Price History'!M3)*(ROW()-3)/(MATCH(9.99E+307,'Returns (Calc)'!$A:$A)-3),"")</f>
        <v>101.72582278481</v>
      </c>
      <c r="AI50" s="144" t="n">
        <f aca="false">IFERROR('Price History'!N3+(INDEX('Price History'!N:N,MATCH(9.99E+307,'Returns (Calc)'!$A:$A)+1)-'Price History'!N3)*(ROW()-3)/(MATCH(9.99E+307,'Returns (Calc)'!$A:$A)-3),"")</f>
        <v>395.254493670886</v>
      </c>
      <c r="AJ50" s="144" t="n">
        <f aca="false">IFERROR('Price History'!O3+(INDEX('Price History'!O:O,MATCH(9.99E+307,'Returns (Calc)'!$A:$A)+1)-'Price History'!O3)*(ROW()-3)/(MATCH(9.99E+307,'Returns (Calc)'!$A:$A)-3),"")</f>
        <v>88.6127848101266</v>
      </c>
      <c r="AK50" s="144" t="n">
        <f aca="false">IFERROR('Price History'!Q3+(INDEX('Price History'!Q:Q,MATCH(9.99E+307,'Returns (Calc)'!$A:$A)+1)-'Price History'!Q3)*(ROW()-3)/(MATCH(9.99E+307,'Returns (Calc)'!$A:$A)-3),"")</f>
        <v>20.650253164557</v>
      </c>
      <c r="AL50" s="144" t="n">
        <f aca="false">IFERROR('Price History'!R3+(INDEX('Price History'!R:R,MATCH(9.99E+307,'Returns (Calc)'!$A:$A)+1)-'Price History'!R3)*(ROW()-3)/(MATCH(9.99E+307,'Returns (Calc)'!$A:$A)-3),"")</f>
        <v>42.3807594936709</v>
      </c>
      <c r="AM50" s="144" t="n">
        <f aca="false">IFERROR('Price History'!S3+(INDEX('Price History'!S:S,MATCH(9.99E+307,'Returns (Calc)'!$A:$A)+1)-'Price History'!S3)*(ROW()-3)/(MATCH(9.99E+307,'Returns (Calc)'!$A:$A)-3),"")</f>
        <v>86.0679746835443</v>
      </c>
      <c r="AN50" s="144" t="n">
        <f aca="false">IFERROR('Price History'!T3+(INDEX('Price History'!T:T,MATCH(9.99E+307,'Returns (Calc)'!$A:$A)+1)-'Price History'!T3)*(ROW()-3)/(MATCH(9.99E+307,'Returns (Calc)'!$A:$A)-3),"")</f>
        <v>33.1467088607595</v>
      </c>
      <c r="AO50" s="145" t="n">
        <f aca="false">IFERROR('Price History'!V3+(INDEX('Price History'!V:V,MATCH(9.99E+307,'Returns (Calc)'!$A:$A)+1)-'Price History'!V3)*(ROW()-3)/(MATCH(9.99E+307,'Returns (Calc)'!$A:$A)-3),"")</f>
        <v>272.82246835443</v>
      </c>
      <c r="AP50" s="143" t="n">
        <f aca="false">IFERROR(IF(OR(NOT(ISNUMBER('Price History'!W51)),NOT(ISNUMBER('Price History'!W50)),'Price History'!W50=0),"",'Price History'!W51/'Price History'!W50-1),"")</f>
        <v>0.0279904937945603</v>
      </c>
      <c r="AQ50" s="143" t="str">
        <f aca="false">IFERROR(IF(OR(NOT(ISNUMBER('Price History'!X51)),NOT(ISNUMBER('Price History'!X50)),'Price History'!X50=0),"",'Price History'!X51/'Price History'!X50-1),"")</f>
        <v/>
      </c>
      <c r="AR50" s="143" t="n">
        <f aca="false">IFERROR(IF(OR(NOT(ISNUMBER('Price History'!Y51)),NOT(ISNUMBER('Price History'!Y50)),'Price History'!Y50=0),"",'Price History'!Y51/'Price History'!Y50-1),"")</f>
        <v>0.0213530655391121</v>
      </c>
      <c r="AS50" s="143" t="n">
        <f aca="false">IFERROR(IF(OR(NOT(ISNUMBER('Price History'!Z51)),NOT(ISNUMBER('Price History'!Z50)),'Price History'!Z50=0),"",'Price History'!Z51/'Price History'!Z50-1),"")</f>
        <v>0.0136787313884517</v>
      </c>
      <c r="AT50" s="143" t="n">
        <f aca="false">IFERROR(IF(OR(NOT(ISNUMBER('Price History'!AA51)),NOT(ISNUMBER('Price History'!AA50)),'Price History'!AA50=0),"",'Price History'!AA51/'Price History'!AA50-1),"")</f>
        <v>0.0634169427354472</v>
      </c>
    </row>
    <row r="51" customFormat="false" ht="15" hidden="false" customHeight="true" outlineLevel="0" collapsed="false">
      <c r="A51" s="141" t="n">
        <f aca="false">IF('Price History'!A52="","",'Price History'!A52)</f>
        <v>45527</v>
      </c>
      <c r="B51" s="142" t="n">
        <f aca="false">IFERROR(IF(OR(NOT(ISNUMBER('Price History'!B52)),NOT(ISNUMBER('Price History'!B51)),'Price History'!B51=0),"",'Price History'!B52/'Price History'!B51-1),"")</f>
        <v>0.00874498608752194</v>
      </c>
      <c r="C51" s="142" t="n">
        <f aca="false">IFERROR(IF(OR(NOT(ISNUMBER('Price History'!C52)),NOT(ISNUMBER('Price History'!C51)),'Price History'!C51=0),"",'Price History'!C52/'Price History'!C51-1),"")</f>
        <v>0.00350401265965861</v>
      </c>
      <c r="D51" s="142" t="n">
        <f aca="false">IFERROR(IF(OR(NOT(ISNUMBER('Price History'!D52)),NOT(ISNUMBER('Price History'!D51)),'Price History'!D51=0),"",'Price History'!D52/'Price History'!D51-1),"")</f>
        <v>-0.0124180981051887</v>
      </c>
      <c r="E51" s="142" t="n">
        <f aca="false">IFERROR(IF(OR(NOT(ISNUMBER('Price History'!E52)),NOT(ISNUMBER('Price History'!E51)),'Price History'!E51=0),"",'Price History'!E52/'Price History'!E51-1),"")</f>
        <v>0.00381843936687809</v>
      </c>
      <c r="F51" s="142" t="n">
        <f aca="false">IFERROR(IF(OR(NOT(ISNUMBER('Price History'!F52)),NOT(ISNUMBER('Price History'!F51)),'Price History'!F51=0),"",'Price History'!F52/'Price History'!F51-1),"")</f>
        <v>0.0342778793418648</v>
      </c>
      <c r="G51" s="142" t="n">
        <f aca="false">IFERROR(IF(OR(NOT(ISNUMBER('Price History'!G52)),NOT(ISNUMBER('Price History'!G51)),'Price History'!G51=0),"",'Price History'!G52/'Price History'!G51-1),"")</f>
        <v>-0.00210552390388907</v>
      </c>
      <c r="H51" s="142" t="n">
        <f aca="false">IFERROR(IF(OR(NOT(ISNUMBER('Price History'!H52)),NOT(ISNUMBER('Price History'!H51)),'Price History'!H51=0),"",'Price History'!H52/'Price History'!H51-1),"")</f>
        <v>-0.0476146105106224</v>
      </c>
      <c r="I51" s="142" t="n">
        <f aca="false">IFERROR(IF(OR(NOT(ISNUMBER('Price History'!I52)),NOT(ISNUMBER('Price History'!I51)),'Price History'!I51=0),"",'Price History'!I52/'Price History'!I51-1),"")</f>
        <v>0.0383934320669672</v>
      </c>
      <c r="J51" s="142" t="n">
        <f aca="false">IFERROR(IF(OR(NOT(ISNUMBER('Price History'!J52)),NOT(ISNUMBER('Price History'!J51)),'Price History'!J51=0),"",'Price History'!J52/'Price History'!J51-1),"")</f>
        <v>0.0489216201998948</v>
      </c>
      <c r="K51" s="142" t="n">
        <f aca="false">IFERROR(IF(OR(NOT(ISNUMBER('Price History'!K52)),NOT(ISNUMBER('Price History'!K51)),'Price History'!K51=0),"",'Price History'!K52/'Price History'!K51-1),"")</f>
        <v>-0.00935162094763087</v>
      </c>
      <c r="L51" s="142" t="n">
        <f aca="false">IFERROR(IF(OR(NOT(ISNUMBER('Price History'!L52)),NOT(ISNUMBER('Price History'!L51)),'Price History'!L51=0),"",'Price History'!L52/'Price History'!L51-1),"")</f>
        <v>-0.0186789228684227</v>
      </c>
      <c r="M51" s="142" t="n">
        <f aca="false">IFERROR(IF(OR(NOT(ISNUMBER('Price History'!M52)),NOT(ISNUMBER('Price History'!M51)),'Price History'!M51=0),"",'Price History'!M52/'Price History'!M51-1),"")</f>
        <v>-0.0109834616841307</v>
      </c>
      <c r="N51" s="142" t="n">
        <f aca="false">IFERROR(IF(OR(NOT(ISNUMBER('Price History'!N52)),NOT(ISNUMBER('Price History'!N51)),'Price History'!N51=0),"",'Price History'!N52/'Price History'!N51-1),"")</f>
        <v>0.00810691916123751</v>
      </c>
      <c r="O51" s="142" t="n">
        <f aca="false">IFERROR(IF(OR(NOT(ISNUMBER('Price History'!O52)),NOT(ISNUMBER('Price History'!O51)),'Price History'!O51=0),"",'Price History'!O52/'Price History'!O51-1),"")</f>
        <v>0.0310655828972275</v>
      </c>
      <c r="P51" s="142" t="n">
        <f aca="false">IFERROR(IF(OR(NOT(ISNUMBER('Price History'!P52)),NOT(ISNUMBER('Price History'!P51)),'Price History'!P51=0),"",'Price History'!P52/'Price History'!P51-1),"")</f>
        <v>0.0207827034274701</v>
      </c>
      <c r="Q51" s="142" t="n">
        <f aca="false">IFERROR(IF(OR(NOT(ISNUMBER('Price History'!Q52)),NOT(ISNUMBER('Price History'!Q51)),'Price History'!Q51=0),"",'Price History'!Q52/'Price History'!Q51-1),"")</f>
        <v>0.00887372013651877</v>
      </c>
      <c r="R51" s="142" t="n">
        <f aca="false">IFERROR(IF(OR(NOT(ISNUMBER('Price History'!R52)),NOT(ISNUMBER('Price History'!R51)),'Price History'!R51=0),"",'Price History'!R52/'Price History'!R51-1),"")</f>
        <v>0.00838122605363978</v>
      </c>
      <c r="S51" s="142" t="n">
        <f aca="false">IFERROR(IF(OR(NOT(ISNUMBER('Price History'!S52)),NOT(ISNUMBER('Price History'!S51)),'Price History'!S51=0),"",'Price History'!S52/'Price History'!S51-1),"")</f>
        <v>0.0138042102841365</v>
      </c>
      <c r="T51" s="142" t="n">
        <f aca="false">IFERROR(IF(OR(NOT(ISNUMBER('Price History'!T52)),NOT(ISNUMBER('Price History'!T51)),'Price History'!T51=0),"",'Price History'!T52/'Price History'!T51-1),"")</f>
        <v>0.0327763496143958</v>
      </c>
      <c r="U51" s="142" t="n">
        <f aca="false">IFERROR(IF(OR(NOT(ISNUMBER('Price History'!U52)),NOT(ISNUMBER('Price History'!U51)),'Price History'!U51=0),"",'Price History'!U52/'Price History'!U51-1),"")</f>
        <v>0.0186507936507938</v>
      </c>
      <c r="V51" s="143" t="n">
        <f aca="false">IFERROR(IF(OR(NOT(ISNUMBER('Price History'!V52)),NOT(ISNUMBER('Price History'!V51)),'Price History'!V51=0),"",'Price History'!V52/'Price History'!V51-1),"")</f>
        <v>0.000227781785050007</v>
      </c>
      <c r="W51" s="144" t="n">
        <f aca="false">IFERROR('Price History'!B3+(INDEX('Price History'!B:B,MATCH(9.99E+307,'Returns (Calc)'!$A:$A)+1)-'Price History'!B3)*(ROW()-3)/(MATCH(9.99E+307,'Returns (Calc)'!$A:$A)-3),"")</f>
        <v>440.42417721519</v>
      </c>
      <c r="X51" s="144" t="n">
        <f aca="false">IFERROR('Price History'!C3+(INDEX('Price History'!C:C,MATCH(9.99E+307,'Returns (Calc)'!$A:$A)+1)-'Price History'!C3)*(ROW()-3)/(MATCH(9.99E+307,'Returns (Calc)'!$A:$A)-3),"")</f>
        <v>95.1430379746836</v>
      </c>
      <c r="Y51" s="144" t="n">
        <f aca="false">IFERROR('Price History'!D3+(INDEX('Price History'!D:D,MATCH(9.99E+307,'Returns (Calc)'!$A:$A)+1)-'Price History'!D3)*(ROW()-3)/(MATCH(9.99E+307,'Returns (Calc)'!$A:$A)-3),"")</f>
        <v>972.480886075949</v>
      </c>
      <c r="Z51" s="144" t="n">
        <f aca="false">IFERROR('Price History'!E3+(INDEX('Price History'!E:E,MATCH(9.99E+307,'Returns (Calc)'!$A:$A)+1)-'Price History'!E3)*(ROW()-3)/(MATCH(9.99E+307,'Returns (Calc)'!$A:$A)-3),"")</f>
        <v>164.979240506329</v>
      </c>
      <c r="AA51" s="144" t="n">
        <f aca="false">IFERROR('Price History'!F3+(INDEX('Price History'!F:F,MATCH(9.99E+307,'Returns (Calc)'!$A:$A)+1)-'Price History'!F3)*(ROW()-3)/(MATCH(9.99E+307,'Returns (Calc)'!$A:$A)-3),"")</f>
        <v>110.832405063291</v>
      </c>
      <c r="AB51" s="144" t="n">
        <f aca="false">IFERROR('Price History'!G3+(INDEX('Price History'!G:G,MATCH(9.99E+307,'Returns (Calc)'!$A:$A)+1)-'Price History'!G3)*(ROW()-3)/(MATCH(9.99E+307,'Returns (Calc)'!$A:$A)-3),"")</f>
        <v>93.7292405063291</v>
      </c>
      <c r="AC51" s="144" t="n">
        <f aca="false">IFERROR('Price History'!H3+(INDEX('Price History'!H:H,MATCH(9.99E+307,'Returns (Calc)'!$A:$A)+1)-'Price History'!H3)*(ROW()-3)/(MATCH(9.99E+307,'Returns (Calc)'!$A:$A)-3),"")</f>
        <v>374.663417721519</v>
      </c>
      <c r="AD51" s="144" t="n">
        <f aca="false">IFERROR('Price History'!I3+(INDEX('Price History'!I:I,MATCH(9.99E+307,'Returns (Calc)'!$A:$A)+1)-'Price History'!I3)*(ROW()-3)/(MATCH(9.99E+307,'Returns (Calc)'!$A:$A)-3),"")</f>
        <v>101.546202531646</v>
      </c>
      <c r="AE51" s="144" t="n">
        <f aca="false">IFERROR('Price History'!J3+(INDEX('Price History'!J:J,MATCH(9.99E+307,'Returns (Calc)'!$A:$A)+1)-'Price History'!J3)*(ROW()-3)/(MATCH(9.99E+307,'Returns (Calc)'!$A:$A)-3),"")</f>
        <v>117.02582278481</v>
      </c>
      <c r="AF51" s="144" t="n">
        <f aca="false">IFERROR('Price History'!K3+(INDEX('Price History'!K:K,MATCH(9.99E+307,'Returns (Calc)'!$A:$A)+1)-'Price History'!K3)*(ROW()-3)/(MATCH(9.99E+307,'Returns (Calc)'!$A:$A)-3),"")</f>
        <v>68.0145569620253</v>
      </c>
      <c r="AG51" s="144" t="n">
        <f aca="false">IFERROR('Price History'!L3+(INDEX('Price History'!L:L,MATCH(9.99E+307,'Returns (Calc)'!$A:$A)+1)-'Price History'!L3)*(ROW()-3)/(MATCH(9.99E+307,'Returns (Calc)'!$A:$A)-3),"")</f>
        <v>203.328734177215</v>
      </c>
      <c r="AH51" s="144" t="n">
        <f aca="false">IFERROR('Price History'!M3+(INDEX('Price History'!M:M,MATCH(9.99E+307,'Returns (Calc)'!$A:$A)+1)-'Price History'!M3)*(ROW()-3)/(MATCH(9.99E+307,'Returns (Calc)'!$A:$A)-3),"")</f>
        <v>103.081265822785</v>
      </c>
      <c r="AI51" s="144" t="n">
        <f aca="false">IFERROR('Price History'!N3+(INDEX('Price History'!N:N,MATCH(9.99E+307,'Returns (Calc)'!$A:$A)+1)-'Price History'!N3)*(ROW()-3)/(MATCH(9.99E+307,'Returns (Calc)'!$A:$A)-3),"")</f>
        <v>396.240759493671</v>
      </c>
      <c r="AJ51" s="144" t="n">
        <f aca="false">IFERROR('Price History'!O3+(INDEX('Price History'!O:O,MATCH(9.99E+307,'Returns (Calc)'!$A:$A)+1)-'Price History'!O3)*(ROW()-3)/(MATCH(9.99E+307,'Returns (Calc)'!$A:$A)-3),"")</f>
        <v>88.8958227848101</v>
      </c>
      <c r="AK51" s="144" t="n">
        <f aca="false">IFERROR('Price History'!Q3+(INDEX('Price History'!Q:Q,MATCH(9.99E+307,'Returns (Calc)'!$A:$A)+1)-'Price History'!Q3)*(ROW()-3)/(MATCH(9.99E+307,'Returns (Calc)'!$A:$A)-3),"")</f>
        <v>21.0896202531646</v>
      </c>
      <c r="AL51" s="144" t="n">
        <f aca="false">IFERROR('Price History'!R3+(INDEX('Price History'!R:R,MATCH(9.99E+307,'Returns (Calc)'!$A:$A)+1)-'Price History'!R3)*(ROW()-3)/(MATCH(9.99E+307,'Returns (Calc)'!$A:$A)-3),"")</f>
        <v>42.5488607594937</v>
      </c>
      <c r="AM51" s="144" t="n">
        <f aca="false">IFERROR('Price History'!S3+(INDEX('Price History'!S:S,MATCH(9.99E+307,'Returns (Calc)'!$A:$A)+1)-'Price History'!S3)*(ROW()-3)/(MATCH(9.99E+307,'Returns (Calc)'!$A:$A)-3),"")</f>
        <v>86.6730379746835</v>
      </c>
      <c r="AN51" s="144" t="n">
        <f aca="false">IFERROR('Price History'!T3+(INDEX('Price History'!T:T,MATCH(9.99E+307,'Returns (Calc)'!$A:$A)+1)-'Price History'!T3)*(ROW()-3)/(MATCH(9.99E+307,'Returns (Calc)'!$A:$A)-3),"")</f>
        <v>33.3149367088608</v>
      </c>
      <c r="AO51" s="145" t="n">
        <f aca="false">IFERROR('Price History'!V3+(INDEX('Price History'!V:V,MATCH(9.99E+307,'Returns (Calc)'!$A:$A)+1)-'Price History'!V3)*(ROW()-3)/(MATCH(9.99E+307,'Returns (Calc)'!$A:$A)-3),"")</f>
        <v>273.613797468354</v>
      </c>
      <c r="AP51" s="143" t="n">
        <f aca="false">IFERROR(IF(OR(NOT(ISNUMBER('Price History'!W52)),NOT(ISNUMBER('Price History'!W51)),'Price History'!W51=0),"",'Price History'!W52/'Price History'!W51-1),"")</f>
        <v>0.0165253874475553</v>
      </c>
      <c r="AQ51" s="143" t="str">
        <f aca="false">IFERROR(IF(OR(NOT(ISNUMBER('Price History'!X52)),NOT(ISNUMBER('Price History'!X51)),'Price History'!X51=0),"",'Price History'!X52/'Price History'!X51-1),"")</f>
        <v/>
      </c>
      <c r="AR51" s="143" t="n">
        <f aca="false">IFERROR(IF(OR(NOT(ISNUMBER('Price History'!Y52)),NOT(ISNUMBER('Price History'!Y51)),'Price History'!Y51=0),"",'Price History'!Y52/'Price History'!Y51-1),"")</f>
        <v>0.00869385220451235</v>
      </c>
      <c r="AS51" s="143" t="n">
        <f aca="false">IFERROR(IF(OR(NOT(ISNUMBER('Price History'!Z52)),NOT(ISNUMBER('Price History'!Z51)),'Price History'!Z51=0),"",'Price History'!Z52/'Price History'!Z51-1),"")</f>
        <v>0.0106281347026511</v>
      </c>
      <c r="AT51" s="143" t="n">
        <f aca="false">IFERROR(IF(OR(NOT(ISNUMBER('Price History'!AA52)),NOT(ISNUMBER('Price History'!AA51)),'Price History'!AA51=0),"",'Price History'!AA52/'Price History'!AA51-1),"")</f>
        <v>0.0186915887850467</v>
      </c>
    </row>
    <row r="52" customFormat="false" ht="15" hidden="false" customHeight="true" outlineLevel="0" collapsed="false">
      <c r="A52" s="141" t="n">
        <f aca="false">IF('Price History'!A53="","",'Price History'!A53)</f>
        <v>45534</v>
      </c>
      <c r="B52" s="142" t="n">
        <f aca="false">IFERROR(IF(OR(NOT(ISNUMBER('Price History'!B53)),NOT(ISNUMBER('Price History'!B52)),'Price History'!B52=0),"",'Price History'!B53/'Price History'!B52-1),"")</f>
        <v>0.0288554540569586</v>
      </c>
      <c r="C52" s="142" t="n">
        <f aca="false">IFERROR(IF(OR(NOT(ISNUMBER('Price History'!C53)),NOT(ISNUMBER('Price History'!C52)),'Price History'!C52=0),"",'Price History'!C53/'Price History'!C52-1),"")</f>
        <v>-0.00484343320567704</v>
      </c>
      <c r="D52" s="142" t="n">
        <f aca="false">IFERROR(IF(OR(NOT(ISNUMBER('Price History'!D53)),NOT(ISNUMBER('Price History'!D52)),'Price History'!D52=0),"",'Price History'!D53/'Price History'!D52-1),"")</f>
        <v>-0.00373192872352335</v>
      </c>
      <c r="E52" s="142" t="n">
        <f aca="false">IFERROR(IF(OR(NOT(ISNUMBER('Price History'!E53)),NOT(ISNUMBER('Price History'!E52)),'Price History'!E52=0),"",'Price History'!E53/'Price History'!E52-1),"")</f>
        <v>-0.0212896496717589</v>
      </c>
      <c r="F52" s="142" t="n">
        <f aca="false">IFERROR(IF(OR(NOT(ISNUMBER('Price History'!F53)),NOT(ISNUMBER('Price History'!F52)),'Price History'!F52=0),"",'Price History'!F53/'Price History'!F52-1),"")</f>
        <v>0.0210634850493445</v>
      </c>
      <c r="G52" s="142" t="n">
        <f aca="false">IFERROR(IF(OR(NOT(ISNUMBER('Price History'!G53)),NOT(ISNUMBER('Price History'!G52)),'Price History'!G52=0),"",'Price History'!G53/'Price History'!G52-1),"")</f>
        <v>0.00186173513714794</v>
      </c>
      <c r="H52" s="142" t="n">
        <f aca="false">IFERROR(IF(OR(NOT(ISNUMBER('Price History'!H53)),NOT(ISNUMBER('Price History'!H52)),'Price History'!H52=0),"",'Price History'!H53/'Price History'!H52-1),"")</f>
        <v>-0.0642794247138244</v>
      </c>
      <c r="I52" s="142" t="n">
        <f aca="false">IFERROR(IF(OR(NOT(ISNUMBER('Price History'!I53)),NOT(ISNUMBER('Price History'!I52)),'Price History'!I52=0),"",'Price History'!I53/'Price History'!I52-1),"")</f>
        <v>-0.0772808309433376</v>
      </c>
      <c r="J52" s="142" t="n">
        <f aca="false">IFERROR(IF(OR(NOT(ISNUMBER('Price History'!J53)),NOT(ISNUMBER('Price History'!J52)),'Price History'!J52=0),"",'Price History'!J53/'Price History'!J52-1),"")</f>
        <v>-0.00810765630224009</v>
      </c>
      <c r="K52" s="142" t="n">
        <f aca="false">IFERROR(IF(OR(NOT(ISNUMBER('Price History'!K53)),NOT(ISNUMBER('Price History'!K52)),'Price History'!K52=0),"",'Price History'!K53/'Price History'!K52-1),"")</f>
        <v>-0.0094398993077407</v>
      </c>
      <c r="L52" s="142" t="n">
        <f aca="false">IFERROR(IF(OR(NOT(ISNUMBER('Price History'!L53)),NOT(ISNUMBER('Price History'!L52)),'Price History'!L52=0),"",'Price History'!L53/'Price History'!L52-1),"")</f>
        <v>0.00246187102197659</v>
      </c>
      <c r="M52" s="142" t="n">
        <f aca="false">IFERROR(IF(OR(NOT(ISNUMBER('Price History'!M53)),NOT(ISNUMBER('Price History'!M52)),'Price History'!M52=0),"",'Price History'!M53/'Price History'!M52-1),"")</f>
        <v>0.0570589737043656</v>
      </c>
      <c r="N52" s="142" t="n">
        <f aca="false">IFERROR(IF(OR(NOT(ISNUMBER('Price History'!N53)),NOT(ISNUMBER('Price History'!N52)),'Price History'!N52=0),"",'Price History'!N53/'Price History'!N52-1),"")</f>
        <v>0.0304421910065664</v>
      </c>
      <c r="O52" s="142" t="n">
        <f aca="false">IFERROR(IF(OR(NOT(ISNUMBER('Price History'!O53)),NOT(ISNUMBER('Price History'!O52)),'Price History'!O52=0),"",'Price History'!O53/'Price History'!O52-1),"")</f>
        <v>0.000539956803455866</v>
      </c>
      <c r="P52" s="142" t="n">
        <f aca="false">IFERROR(IF(OR(NOT(ISNUMBER('Price History'!P53)),NOT(ISNUMBER('Price History'!P52)),'Price History'!P52=0),"",'Price History'!P53/'Price History'!P52-1),"")</f>
        <v>0.0137098760364502</v>
      </c>
      <c r="Q52" s="142" t="n">
        <f aca="false">IFERROR(IF(OR(NOT(ISNUMBER('Price History'!Q53)),NOT(ISNUMBER('Price History'!Q52)),'Price History'!Q52=0),"",'Price History'!Q53/'Price History'!Q52-1),"")</f>
        <v>0.00355209742895801</v>
      </c>
      <c r="R52" s="142" t="n">
        <f aca="false">IFERROR(IF(OR(NOT(ISNUMBER('Price History'!R53)),NOT(ISNUMBER('Price History'!R52)),'Price History'!R52=0),"",'Price History'!R53/'Price History'!R52-1),"")</f>
        <v>0.00332462597957739</v>
      </c>
      <c r="S52" s="142" t="n">
        <f aca="false">IFERROR(IF(OR(NOT(ISNUMBER('Price History'!S53)),NOT(ISNUMBER('Price History'!S52)),'Price History'!S52=0),"",'Price History'!S53/'Price History'!S52-1),"")</f>
        <v>-0.00397140587768063</v>
      </c>
      <c r="T52" s="142" t="n">
        <f aca="false">IFERROR(IF(OR(NOT(ISNUMBER('Price History'!T53)),NOT(ISNUMBER('Price History'!T52)),'Price History'!T52=0),"",'Price History'!T53/'Price History'!T52-1),"")</f>
        <v>0.00311138767890484</v>
      </c>
      <c r="U52" s="142" t="n">
        <f aca="false">IFERROR(IF(OR(NOT(ISNUMBER('Price History'!U53)),NOT(ISNUMBER('Price History'!U52)),'Price History'!U52=0),"",'Price History'!U53/'Price History'!U52-1),"")</f>
        <v>0.0124659135177247</v>
      </c>
      <c r="V52" s="143" t="n">
        <f aca="false">IFERROR(IF(OR(NOT(ISNUMBER('Price History'!V53)),NOT(ISNUMBER('Price History'!V52)),'Price History'!V52=0),"",'Price History'!V53/'Price History'!V52-1),"")</f>
        <v>0.0334003871408508</v>
      </c>
      <c r="W52" s="144" t="n">
        <f aca="false">IFERROR('Price History'!B3+(INDEX('Price History'!B:B,MATCH(9.99E+307,'Returns (Calc)'!$A:$A)+1)-'Price History'!B3)*(ROW()-3)/(MATCH(9.99E+307,'Returns (Calc)'!$A:$A)-3),"")</f>
        <v>438.581139240506</v>
      </c>
      <c r="X52" s="144" t="n">
        <f aca="false">IFERROR('Price History'!C3+(INDEX('Price History'!C:C,MATCH(9.99E+307,'Returns (Calc)'!$A:$A)+1)-'Price History'!C3)*(ROW()-3)/(MATCH(9.99E+307,'Returns (Calc)'!$A:$A)-3),"")</f>
        <v>96.1631012658228</v>
      </c>
      <c r="Y52" s="144" t="n">
        <f aca="false">IFERROR('Price History'!D3+(INDEX('Price History'!D:D,MATCH(9.99E+307,'Returns (Calc)'!$A:$A)+1)-'Price History'!D3)*(ROW()-3)/(MATCH(9.99E+307,'Returns (Calc)'!$A:$A)-3),"")</f>
        <v>980.615696202532</v>
      </c>
      <c r="Z52" s="144" t="n">
        <f aca="false">IFERROR('Price History'!E3+(INDEX('Price History'!E:E,MATCH(9.99E+307,'Returns (Calc)'!$A:$A)+1)-'Price History'!E3)*(ROW()-3)/(MATCH(9.99E+307,'Returns (Calc)'!$A:$A)-3),"")</f>
        <v>166.707974683544</v>
      </c>
      <c r="AA52" s="144" t="n">
        <f aca="false">IFERROR('Price History'!F3+(INDEX('Price History'!F:F,MATCH(9.99E+307,'Returns (Calc)'!$A:$A)+1)-'Price History'!F3)*(ROW()-3)/(MATCH(9.99E+307,'Returns (Calc)'!$A:$A)-3),"")</f>
        <v>112.279746835443</v>
      </c>
      <c r="AB52" s="144" t="n">
        <f aca="false">IFERROR('Price History'!G3+(INDEX('Price History'!G:G,MATCH(9.99E+307,'Returns (Calc)'!$A:$A)+1)-'Price History'!G3)*(ROW()-3)/(MATCH(9.99E+307,'Returns (Calc)'!$A:$A)-3),"")</f>
        <v>94.7579746835443</v>
      </c>
      <c r="AC52" s="144" t="n">
        <f aca="false">IFERROR('Price History'!H3+(INDEX('Price History'!H:H,MATCH(9.99E+307,'Returns (Calc)'!$A:$A)+1)-'Price History'!H3)*(ROW()-3)/(MATCH(9.99E+307,'Returns (Calc)'!$A:$A)-3),"")</f>
        <v>381.029113924051</v>
      </c>
      <c r="AD52" s="144" t="n">
        <f aca="false">IFERROR('Price History'!I3+(INDEX('Price History'!I:I,MATCH(9.99E+307,'Returns (Calc)'!$A:$A)+1)-'Price History'!I3)*(ROW()-3)/(MATCH(9.99E+307,'Returns (Calc)'!$A:$A)-3),"")</f>
        <v>102.749873417722</v>
      </c>
      <c r="AE52" s="144" t="n">
        <f aca="false">IFERROR('Price History'!J3+(INDEX('Price History'!J:J,MATCH(9.99E+307,'Returns (Calc)'!$A:$A)+1)-'Price History'!J3)*(ROW()-3)/(MATCH(9.99E+307,'Returns (Calc)'!$A:$A)-3),"")</f>
        <v>117.133860759494</v>
      </c>
      <c r="AF52" s="144" t="n">
        <f aca="false">IFERROR('Price History'!K3+(INDEX('Price History'!K:K,MATCH(9.99E+307,'Returns (Calc)'!$A:$A)+1)-'Price History'!K3)*(ROW()-3)/(MATCH(9.99E+307,'Returns (Calc)'!$A:$A)-3),"")</f>
        <v>69.1121518987342</v>
      </c>
      <c r="AG52" s="144" t="n">
        <f aca="false">IFERROR('Price History'!L3+(INDEX('Price History'!L:L,MATCH(9.99E+307,'Returns (Calc)'!$A:$A)+1)-'Price History'!L3)*(ROW()-3)/(MATCH(9.99E+307,'Returns (Calc)'!$A:$A)-3),"")</f>
        <v>205.77829113924</v>
      </c>
      <c r="AH52" s="144" t="n">
        <f aca="false">IFERROR('Price History'!M3+(INDEX('Price History'!M:M,MATCH(9.99E+307,'Returns (Calc)'!$A:$A)+1)-'Price History'!M3)*(ROW()-3)/(MATCH(9.99E+307,'Returns (Calc)'!$A:$A)-3),"")</f>
        <v>104.43670886076</v>
      </c>
      <c r="AI52" s="144" t="n">
        <f aca="false">IFERROR('Price History'!N3+(INDEX('Price History'!N:N,MATCH(9.99E+307,'Returns (Calc)'!$A:$A)+1)-'Price History'!N3)*(ROW()-3)/(MATCH(9.99E+307,'Returns (Calc)'!$A:$A)-3),"")</f>
        <v>397.227025316456</v>
      </c>
      <c r="AJ52" s="144" t="n">
        <f aca="false">IFERROR('Price History'!O3+(INDEX('Price History'!O:O,MATCH(9.99E+307,'Returns (Calc)'!$A:$A)+1)-'Price History'!O3)*(ROW()-3)/(MATCH(9.99E+307,'Returns (Calc)'!$A:$A)-3),"")</f>
        <v>89.1788607594937</v>
      </c>
      <c r="AK52" s="144" t="n">
        <f aca="false">IFERROR('Price History'!Q3+(INDEX('Price History'!Q:Q,MATCH(9.99E+307,'Returns (Calc)'!$A:$A)+1)-'Price History'!Q3)*(ROW()-3)/(MATCH(9.99E+307,'Returns (Calc)'!$A:$A)-3),"")</f>
        <v>21.5289873417722</v>
      </c>
      <c r="AL52" s="144" t="n">
        <f aca="false">IFERROR('Price History'!R3+(INDEX('Price History'!R:R,MATCH(9.99E+307,'Returns (Calc)'!$A:$A)+1)-'Price History'!R3)*(ROW()-3)/(MATCH(9.99E+307,'Returns (Calc)'!$A:$A)-3),"")</f>
        <v>42.7169620253165</v>
      </c>
      <c r="AM52" s="144" t="n">
        <f aca="false">IFERROR('Price History'!S3+(INDEX('Price History'!S:S,MATCH(9.99E+307,'Returns (Calc)'!$A:$A)+1)-'Price History'!S3)*(ROW()-3)/(MATCH(9.99E+307,'Returns (Calc)'!$A:$A)-3),"")</f>
        <v>87.2781012658228</v>
      </c>
      <c r="AN52" s="144" t="n">
        <f aca="false">IFERROR('Price History'!T3+(INDEX('Price History'!T:T,MATCH(9.99E+307,'Returns (Calc)'!$A:$A)+1)-'Price History'!T3)*(ROW()-3)/(MATCH(9.99E+307,'Returns (Calc)'!$A:$A)-3),"")</f>
        <v>33.483164556962</v>
      </c>
      <c r="AO52" s="145" t="n">
        <f aca="false">IFERROR('Price History'!V3+(INDEX('Price History'!V:V,MATCH(9.99E+307,'Returns (Calc)'!$A:$A)+1)-'Price History'!V3)*(ROW()-3)/(MATCH(9.99E+307,'Returns (Calc)'!$A:$A)-3),"")</f>
        <v>274.405126582279</v>
      </c>
      <c r="AP52" s="143" t="n">
        <f aca="false">IFERROR(IF(OR(NOT(ISNUMBER('Price History'!W53)),NOT(ISNUMBER('Price History'!W52)),'Price History'!W52=0),"",'Price History'!W53/'Price History'!W52-1),"")</f>
        <v>0.0126347708894878</v>
      </c>
      <c r="AQ52" s="143" t="str">
        <f aca="false">IFERROR(IF(OR(NOT(ISNUMBER('Price History'!X53)),NOT(ISNUMBER('Price History'!X52)),'Price History'!X52=0),"",'Price History'!X53/'Price History'!X52-1),"")</f>
        <v/>
      </c>
      <c r="AR52" s="143" t="n">
        <f aca="false">IFERROR(IF(OR(NOT(ISNUMBER('Price History'!Y53)),NOT(ISNUMBER('Price History'!Y52)),'Price History'!Y52=0),"",'Price History'!Y53/'Price History'!Y52-1),"")</f>
        <v>0.0123127436897188</v>
      </c>
      <c r="AS52" s="143" t="n">
        <f aca="false">IFERROR(IF(OR(NOT(ISNUMBER('Price History'!Z53)),NOT(ISNUMBER('Price History'!Z52)),'Price History'!Z52=0),"",'Price History'!Z53/'Price History'!Z52-1),"")</f>
        <v>0.0198511166253104</v>
      </c>
      <c r="AT52" s="143" t="n">
        <f aca="false">IFERROR(IF(OR(NOT(ISNUMBER('Price History'!AA53)),NOT(ISNUMBER('Price History'!AA52)),'Price History'!AA52=0),"",'Price History'!AA53/'Price History'!AA52-1),"")</f>
        <v>0.0214067278287462</v>
      </c>
    </row>
    <row r="53" customFormat="false" ht="15" hidden="false" customHeight="true" outlineLevel="0" collapsed="false">
      <c r="A53" s="141" t="n">
        <f aca="false">IF('Price History'!A54="","",'Price History'!A54)</f>
        <v>45541</v>
      </c>
      <c r="B53" s="142" t="n">
        <f aca="false">IFERROR(IF(OR(NOT(ISNUMBER('Price History'!B54)),NOT(ISNUMBER('Price History'!B53)),'Price History'!B53=0),"",'Price History'!B54/'Price History'!B53-1),"")</f>
        <v>-0.0191500844344632</v>
      </c>
      <c r="C53" s="142" t="n">
        <f aca="false">IFERROR(IF(OR(NOT(ISNUMBER('Price History'!C54)),NOT(ISNUMBER('Price History'!C53)),'Price History'!C53=0),"",'Price History'!C54/'Price History'!C53-1),"")</f>
        <v>-0.110582908885116</v>
      </c>
      <c r="D53" s="142" t="n">
        <f aca="false">IFERROR(IF(OR(NOT(ISNUMBER('Price History'!D54)),NOT(ISNUMBER('Price History'!D53)),'Price History'!D53=0),"",'Price History'!D54/'Price History'!D53-1),"")</f>
        <v>-0.167148497699585</v>
      </c>
      <c r="E53" s="142" t="n">
        <f aca="false">IFERROR(IF(OR(NOT(ISNUMBER('Price History'!E54)),NOT(ISNUMBER('Price History'!E53)),'Price History'!E53=0),"",'Price History'!E54/'Price History'!E53-1),"")</f>
        <v>-0.158538114343029</v>
      </c>
      <c r="F53" s="142" t="n">
        <f aca="false">IFERROR(IF(OR(NOT(ISNUMBER('Price History'!F54)),NOT(ISNUMBER('Price History'!F53)),'Price History'!F53=0),"",'Price History'!F54/'Price History'!F53-1),"")</f>
        <v>-0.11136757068667</v>
      </c>
      <c r="G53" s="142" t="n">
        <f aca="false">IFERROR(IF(OR(NOT(ISNUMBER('Price History'!G54)),NOT(ISNUMBER('Price History'!G53)),'Price History'!G53=0),"",'Price History'!G54/'Price History'!G53-1),"")</f>
        <v>-0.142343904856293</v>
      </c>
      <c r="H53" s="142" t="n">
        <f aca="false">IFERROR(IF(OR(NOT(ISNUMBER('Price History'!H54)),NOT(ISNUMBER('Price History'!H53)),'Price History'!H53=0),"",'Price History'!H54/'Price History'!H53-1),"")</f>
        <v>-0.102467586783772</v>
      </c>
      <c r="I53" s="142" t="n">
        <f aca="false">IFERROR(IF(OR(NOT(ISNUMBER('Price History'!I54)),NOT(ISNUMBER('Price History'!I53)),'Price History'!I53=0),"",'Price History'!I54/'Price History'!I53-1),"")</f>
        <v>-0.138524865591398</v>
      </c>
      <c r="J53" s="142" t="n">
        <f aca="false">IFERROR(IF(OR(NOT(ISNUMBER('Price History'!J54)),NOT(ISNUMBER('Price History'!J53)),'Price History'!J53=0),"",'Price History'!J54/'Price History'!J53-1),"")</f>
        <v>-0.00455043397657373</v>
      </c>
      <c r="K53" s="142" t="n">
        <f aca="false">IFERROR(IF(OR(NOT(ISNUMBER('Price History'!K54)),NOT(ISNUMBER('Price History'!K53)),'Price History'!K53=0),"",'Price History'!K54/'Price History'!K53-1),"")</f>
        <v>-0.0365311308767472</v>
      </c>
      <c r="L53" s="142" t="n">
        <f aca="false">IFERROR(IF(OR(NOT(ISNUMBER('Price History'!L54)),NOT(ISNUMBER('Price History'!L53)),'Price History'!L53=0),"",'Price History'!L54/'Price History'!L53-1),"")</f>
        <v>-0.0866726564839773</v>
      </c>
      <c r="M53" s="142" t="n">
        <f aca="false">IFERROR(IF(OR(NOT(ISNUMBER('Price History'!M54)),NOT(ISNUMBER('Price History'!M53)),'Price History'!M53=0),"",'Price History'!M54/'Price History'!M53-1),"")</f>
        <v>-0.135611641106147</v>
      </c>
      <c r="N53" s="142" t="n">
        <f aca="false">IFERROR(IF(OR(NOT(ISNUMBER('Price History'!N54)),NOT(ISNUMBER('Price History'!N53)),'Price History'!N53=0),"",'Price History'!N54/'Price History'!N53-1),"")</f>
        <v>-0.0562423118030208</v>
      </c>
      <c r="O53" s="142" t="n">
        <f aca="false">IFERROR(IF(OR(NOT(ISNUMBER('Price History'!O54)),NOT(ISNUMBER('Price History'!O53)),'Price History'!O53=0),"",'Price History'!O54/'Price History'!O53-1),"")</f>
        <v>-0.0566648677819752</v>
      </c>
      <c r="P53" s="142" t="n">
        <f aca="false">IFERROR(IF(OR(NOT(ISNUMBER('Price History'!P54)),NOT(ISNUMBER('Price History'!P53)),'Price History'!P53=0),"",'Price History'!P54/'Price History'!P53-1),"")</f>
        <v>-0.0213799805636541</v>
      </c>
      <c r="Q53" s="142" t="n">
        <f aca="false">IFERROR(IF(OR(NOT(ISNUMBER('Price History'!Q54)),NOT(ISNUMBER('Price History'!Q53)),'Price History'!Q53=0),"",'Price History'!Q54/'Price History'!Q53-1),"")</f>
        <v>-0.0269678071801787</v>
      </c>
      <c r="R53" s="142" t="n">
        <f aca="false">IFERROR(IF(OR(NOT(ISNUMBER('Price History'!R54)),NOT(ISNUMBER('Price History'!R53)),'Price History'!R53=0),"",'Price History'!R54/'Price History'!R53-1),"")</f>
        <v>-0.0402366863905326</v>
      </c>
      <c r="S53" s="142" t="n">
        <f aca="false">IFERROR(IF(OR(NOT(ISNUMBER('Price History'!S54)),NOT(ISNUMBER('Price History'!S53)),'Price History'!S53=0),"",'Price History'!S54/'Price History'!S53-1),"")</f>
        <v>-0.0598086124401914</v>
      </c>
      <c r="T53" s="142" t="n">
        <f aca="false">IFERROR(IF(OR(NOT(ISNUMBER('Price History'!T54)),NOT(ISNUMBER('Price History'!T53)),'Price History'!T53=0),"",'Price History'!T54/'Price History'!T53-1),"")</f>
        <v>-0.0412531017369727</v>
      </c>
      <c r="U53" s="142" t="n">
        <f aca="false">IFERROR(IF(OR(NOT(ISNUMBER('Price History'!U54)),NOT(ISNUMBER('Price History'!U53)),'Price History'!U53=0),"",'Price History'!U54/'Price History'!U53-1),"")</f>
        <v>-0.0300115429011157</v>
      </c>
      <c r="V53" s="143" t="n">
        <f aca="false">IFERROR(IF(OR(NOT(ISNUMBER('Price History'!V54)),NOT(ISNUMBER('Price History'!V53)),'Price History'!V53=0),"",'Price History'!V54/'Price History'!V53-1),"")</f>
        <v>0.0108348330701145</v>
      </c>
      <c r="W53" s="144" t="n">
        <f aca="false">IFERROR('Price History'!B3+(INDEX('Price History'!B:B,MATCH(9.99E+307,'Returns (Calc)'!$A:$A)+1)-'Price History'!B3)*(ROW()-3)/(MATCH(9.99E+307,'Returns (Calc)'!$A:$A)-3),"")</f>
        <v>436.738101265823</v>
      </c>
      <c r="X53" s="144" t="n">
        <f aca="false">IFERROR('Price History'!C3+(INDEX('Price History'!C:C,MATCH(9.99E+307,'Returns (Calc)'!$A:$A)+1)-'Price History'!C3)*(ROW()-3)/(MATCH(9.99E+307,'Returns (Calc)'!$A:$A)-3),"")</f>
        <v>97.183164556962</v>
      </c>
      <c r="Y53" s="144" t="n">
        <f aca="false">IFERROR('Price History'!D3+(INDEX('Price History'!D:D,MATCH(9.99E+307,'Returns (Calc)'!$A:$A)+1)-'Price History'!D3)*(ROW()-3)/(MATCH(9.99E+307,'Returns (Calc)'!$A:$A)-3),"")</f>
        <v>988.750506329114</v>
      </c>
      <c r="Z53" s="144" t="n">
        <f aca="false">IFERROR('Price History'!E3+(INDEX('Price History'!E:E,MATCH(9.99E+307,'Returns (Calc)'!$A:$A)+1)-'Price History'!E3)*(ROW()-3)/(MATCH(9.99E+307,'Returns (Calc)'!$A:$A)-3),"")</f>
        <v>168.43670886076</v>
      </c>
      <c r="AA53" s="144" t="n">
        <f aca="false">IFERROR('Price History'!F3+(INDEX('Price History'!F:F,MATCH(9.99E+307,'Returns (Calc)'!$A:$A)+1)-'Price History'!F3)*(ROW()-3)/(MATCH(9.99E+307,'Returns (Calc)'!$A:$A)-3),"")</f>
        <v>113.727088607595</v>
      </c>
      <c r="AB53" s="144" t="n">
        <f aca="false">IFERROR('Price History'!G3+(INDEX('Price History'!G:G,MATCH(9.99E+307,'Returns (Calc)'!$A:$A)+1)-'Price History'!G3)*(ROW()-3)/(MATCH(9.99E+307,'Returns (Calc)'!$A:$A)-3),"")</f>
        <v>95.7867088607595</v>
      </c>
      <c r="AC53" s="144" t="n">
        <f aca="false">IFERROR('Price History'!H3+(INDEX('Price History'!H:H,MATCH(9.99E+307,'Returns (Calc)'!$A:$A)+1)-'Price History'!H3)*(ROW()-3)/(MATCH(9.99E+307,'Returns (Calc)'!$A:$A)-3),"")</f>
        <v>387.394810126582</v>
      </c>
      <c r="AD53" s="144" t="n">
        <f aca="false">IFERROR('Price History'!I3+(INDEX('Price History'!I:I,MATCH(9.99E+307,'Returns (Calc)'!$A:$A)+1)-'Price History'!I3)*(ROW()-3)/(MATCH(9.99E+307,'Returns (Calc)'!$A:$A)-3),"")</f>
        <v>103.953544303797</v>
      </c>
      <c r="AE53" s="144" t="n">
        <f aca="false">IFERROR('Price History'!J3+(INDEX('Price History'!J:J,MATCH(9.99E+307,'Returns (Calc)'!$A:$A)+1)-'Price History'!J3)*(ROW()-3)/(MATCH(9.99E+307,'Returns (Calc)'!$A:$A)-3),"")</f>
        <v>117.241898734177</v>
      </c>
      <c r="AF53" s="144" t="n">
        <f aca="false">IFERROR('Price History'!K3+(INDEX('Price History'!K:K,MATCH(9.99E+307,'Returns (Calc)'!$A:$A)+1)-'Price History'!K3)*(ROW()-3)/(MATCH(9.99E+307,'Returns (Calc)'!$A:$A)-3),"")</f>
        <v>70.209746835443</v>
      </c>
      <c r="AG53" s="144" t="n">
        <f aca="false">IFERROR('Price History'!L3+(INDEX('Price History'!L:L,MATCH(9.99E+307,'Returns (Calc)'!$A:$A)+1)-'Price History'!L3)*(ROW()-3)/(MATCH(9.99E+307,'Returns (Calc)'!$A:$A)-3),"")</f>
        <v>208.227848101266</v>
      </c>
      <c r="AH53" s="144" t="n">
        <f aca="false">IFERROR('Price History'!M3+(INDEX('Price History'!M:M,MATCH(9.99E+307,'Returns (Calc)'!$A:$A)+1)-'Price History'!M3)*(ROW()-3)/(MATCH(9.99E+307,'Returns (Calc)'!$A:$A)-3),"")</f>
        <v>105.792151898734</v>
      </c>
      <c r="AI53" s="144" t="n">
        <f aca="false">IFERROR('Price History'!N3+(INDEX('Price History'!N:N,MATCH(9.99E+307,'Returns (Calc)'!$A:$A)+1)-'Price History'!N3)*(ROW()-3)/(MATCH(9.99E+307,'Returns (Calc)'!$A:$A)-3),"")</f>
        <v>398.213291139241</v>
      </c>
      <c r="AJ53" s="144" t="n">
        <f aca="false">IFERROR('Price History'!O3+(INDEX('Price History'!O:O,MATCH(9.99E+307,'Returns (Calc)'!$A:$A)+1)-'Price History'!O3)*(ROW()-3)/(MATCH(9.99E+307,'Returns (Calc)'!$A:$A)-3),"")</f>
        <v>89.4618987341772</v>
      </c>
      <c r="AK53" s="144" t="n">
        <f aca="false">IFERROR('Price History'!Q3+(INDEX('Price History'!Q:Q,MATCH(9.99E+307,'Returns (Calc)'!$A:$A)+1)-'Price History'!Q3)*(ROW()-3)/(MATCH(9.99E+307,'Returns (Calc)'!$A:$A)-3),"")</f>
        <v>21.9683544303797</v>
      </c>
      <c r="AL53" s="144" t="n">
        <f aca="false">IFERROR('Price History'!R3+(INDEX('Price History'!R:R,MATCH(9.99E+307,'Returns (Calc)'!$A:$A)+1)-'Price History'!R3)*(ROW()-3)/(MATCH(9.99E+307,'Returns (Calc)'!$A:$A)-3),"")</f>
        <v>42.8850632911392</v>
      </c>
      <c r="AM53" s="144" t="n">
        <f aca="false">IFERROR('Price History'!S3+(INDEX('Price History'!S:S,MATCH(9.99E+307,'Returns (Calc)'!$A:$A)+1)-'Price History'!S3)*(ROW()-3)/(MATCH(9.99E+307,'Returns (Calc)'!$A:$A)-3),"")</f>
        <v>87.883164556962</v>
      </c>
      <c r="AN53" s="144" t="n">
        <f aca="false">IFERROR('Price History'!T3+(INDEX('Price History'!T:T,MATCH(9.99E+307,'Returns (Calc)'!$A:$A)+1)-'Price History'!T3)*(ROW()-3)/(MATCH(9.99E+307,'Returns (Calc)'!$A:$A)-3),"")</f>
        <v>33.6513924050633</v>
      </c>
      <c r="AO53" s="145" t="n">
        <f aca="false">IFERROR('Price History'!V3+(INDEX('Price History'!V:V,MATCH(9.99E+307,'Returns (Calc)'!$A:$A)+1)-'Price History'!V3)*(ROW()-3)/(MATCH(9.99E+307,'Returns (Calc)'!$A:$A)-3),"")</f>
        <v>275.196455696203</v>
      </c>
      <c r="AP53" s="143" t="n">
        <f aca="false">IFERROR(IF(OR(NOT(ISNUMBER('Price History'!W54)),NOT(ISNUMBER('Price History'!W53)),'Price History'!W53=0),"",'Price History'!W54/'Price History'!W53-1),"")</f>
        <v>-0.0336050573947762</v>
      </c>
      <c r="AQ53" s="143" t="str">
        <f aca="false">IFERROR(IF(OR(NOT(ISNUMBER('Price History'!X54)),NOT(ISNUMBER('Price History'!X53)),'Price History'!X53=0),"",'Price History'!X54/'Price History'!X53-1),"")</f>
        <v/>
      </c>
      <c r="AR53" s="143" t="n">
        <f aca="false">IFERROR(IF(OR(NOT(ISNUMBER('Price History'!Y54)),NOT(ISNUMBER('Price History'!Y53)),'Price History'!Y53=0),"",'Price History'!Y54/'Price History'!Y53-1),"")</f>
        <v>-0.0154064463815122</v>
      </c>
      <c r="AS53" s="143" t="n">
        <f aca="false">IFERROR(IF(OR(NOT(ISNUMBER('Price History'!Z54)),NOT(ISNUMBER('Price History'!Z53)),'Price History'!Z53=0),"",'Price History'!Z54/'Price History'!Z53-1),"")</f>
        <v>-0.0766423357664234</v>
      </c>
      <c r="AT53" s="143" t="n">
        <f aca="false">IFERROR(IF(OR(NOT(ISNUMBER('Price History'!AA54)),NOT(ISNUMBER('Price History'!AA53)),'Price History'!AA53=0),"",'Price History'!AA54/'Price History'!AA53-1),"")</f>
        <v>-0.050755631593955</v>
      </c>
    </row>
    <row r="54" customFormat="false" ht="15" hidden="false" customHeight="true" outlineLevel="0" collapsed="false">
      <c r="A54" s="141" t="n">
        <f aca="false">IF('Price History'!A55="","",'Price History'!A55)</f>
        <v>45548</v>
      </c>
      <c r="B54" s="142" t="n">
        <f aca="false">IFERROR(IF(OR(NOT(ISNUMBER('Price History'!B55)),NOT(ISNUMBER('Price History'!B54)),'Price History'!B54=0),"",'Price History'!B55/'Price History'!B54-1),"")</f>
        <v>-0.0471060151577004</v>
      </c>
      <c r="C54" s="142" t="n">
        <f aca="false">IFERROR(IF(OR(NOT(ISNUMBER('Price History'!C55)),NOT(ISNUMBER('Price History'!C54)),'Price History'!C54=0),"",'Price History'!C55/'Price History'!C54-1),"")</f>
        <v>0.14456604734029</v>
      </c>
      <c r="D54" s="142" t="n">
        <f aca="false">IFERROR(IF(OR(NOT(ISNUMBER('Price History'!D55)),NOT(ISNUMBER('Price History'!D54)),'Price History'!D54=0),"",'Price History'!D55/'Price History'!D54-1),"")</f>
        <v>0.0844431238012913</v>
      </c>
      <c r="E54" s="142" t="n">
        <f aca="false">IFERROR(IF(OR(NOT(ISNUMBER('Price History'!E55)),NOT(ISNUMBER('Price History'!E54)),'Price History'!E54=0),"",'Price History'!E55/'Price History'!E54-1),"")</f>
        <v>0.224018475750578</v>
      </c>
      <c r="F54" s="142" t="n">
        <f aca="false">IFERROR(IF(OR(NOT(ISNUMBER('Price History'!F55)),NOT(ISNUMBER('Price History'!F54)),'Price History'!F54=0),"",'Price History'!F55/'Price History'!F54-1),"")</f>
        <v>0.0516233766233767</v>
      </c>
      <c r="G54" s="142" t="n">
        <f aca="false">IFERROR(IF(OR(NOT(ISNUMBER('Price History'!G55)),NOT(ISNUMBER('Price History'!G54)),'Price History'!G54=0),"",'Price History'!G55/'Price History'!G54-1),"")</f>
        <v>0.0693341037122635</v>
      </c>
      <c r="H54" s="142" t="n">
        <f aca="false">IFERROR(IF(OR(NOT(ISNUMBER('Price History'!H55)),NOT(ISNUMBER('Price History'!H54)),'Price History'!H54=0),"",'Price History'!H55/'Price History'!H54-1),"")</f>
        <v>0.0560344827586208</v>
      </c>
      <c r="I54" s="142" t="n">
        <f aca="false">IFERROR(IF(OR(NOT(ISNUMBER('Price History'!I55)),NOT(ISNUMBER('Price History'!I54)),'Price History'!I54=0),"",'Price History'!I55/'Price History'!I54-1),"")</f>
        <v>0.158264261335934</v>
      </c>
      <c r="J54" s="142" t="n">
        <f aca="false">IFERROR(IF(OR(NOT(ISNUMBER('Price History'!J55)),NOT(ISNUMBER('Price History'!J54)),'Price History'!J54=0),"",'Price History'!J55/'Price History'!J54-1),"")</f>
        <v>0.0215863878777618</v>
      </c>
      <c r="K54" s="142" t="n">
        <f aca="false">IFERROR(IF(OR(NOT(ISNUMBER('Price History'!K55)),NOT(ISNUMBER('Price History'!K54)),'Price History'!K54=0),"",'Price History'!K55/'Price History'!K54-1),"")</f>
        <v>0.173425651170458</v>
      </c>
      <c r="L54" s="142" t="n">
        <f aca="false">IFERROR(IF(OR(NOT(ISNUMBER('Price History'!L55)),NOT(ISNUMBER('Price History'!L54)),'Price History'!L54=0),"",'Price History'!L55/'Price History'!L54-1),"")</f>
        <v>0.104013641133264</v>
      </c>
      <c r="M54" s="142" t="n">
        <f aca="false">IFERROR(IF(OR(NOT(ISNUMBER('Price History'!M55)),NOT(ISNUMBER('Price History'!M54)),'Price History'!M54=0),"",'Price History'!M55/'Price History'!M54-1),"")</f>
        <v>0.194886839899413</v>
      </c>
      <c r="N54" s="142" t="n">
        <f aca="false">IFERROR(IF(OR(NOT(ISNUMBER('Price History'!N55)),NOT(ISNUMBER('Price History'!N54)),'Price History'!N54=0),"",'Price History'!N55/'Price History'!N54-1),"")</f>
        <v>0.0371153846153847</v>
      </c>
      <c r="O54" s="142" t="n">
        <f aca="false">IFERROR(IF(OR(NOT(ISNUMBER('Price History'!O55)),NOT(ISNUMBER('Price History'!O54)),'Price History'!O54=0),"",'Price History'!O55/'Price History'!O54-1),"")</f>
        <v>0.0288329519450801</v>
      </c>
      <c r="P54" s="142" t="n">
        <f aca="false">IFERROR(IF(OR(NOT(ISNUMBER('Price History'!P55)),NOT(ISNUMBER('Price History'!P54)),'Price History'!P54=0),"",'Price History'!P55/'Price History'!P54-1),"")</f>
        <v>0.0185369083085072</v>
      </c>
      <c r="Q54" s="142" t="n">
        <f aca="false">IFERROR(IF(OR(NOT(ISNUMBER('Price History'!Q55)),NOT(ISNUMBER('Price History'!Q54)),'Price History'!Q54=0),"",'Price History'!Q55/'Price History'!Q54-1),"")</f>
        <v>0.0259830244240429</v>
      </c>
      <c r="R54" s="142" t="n">
        <f aca="false">IFERROR(IF(OR(NOT(ISNUMBER('Price History'!R55)),NOT(ISNUMBER('Price History'!R54)),'Price History'!R54=0),"",'Price History'!R55/'Price History'!R54-1),"")</f>
        <v>0.0463625154130705</v>
      </c>
      <c r="S54" s="142" t="n">
        <f aca="false">IFERROR(IF(OR(NOT(ISNUMBER('Price History'!S55)),NOT(ISNUMBER('Price History'!S54)),'Price History'!S54=0),"",'Price History'!S55/'Price History'!S54-1),"")</f>
        <v>0.0615533745304737</v>
      </c>
      <c r="T54" s="142" t="n">
        <f aca="false">IFERROR(IF(OR(NOT(ISNUMBER('Price History'!T55)),NOT(ISNUMBER('Price History'!T54)),'Price History'!T54=0),"",'Price History'!T55/'Price History'!T54-1),"")</f>
        <v>0.025558071821417</v>
      </c>
      <c r="U54" s="142" t="n">
        <f aca="false">IFERROR(IF(OR(NOT(ISNUMBER('Price History'!U55)),NOT(ISNUMBER('Price History'!U54)),'Price History'!U54=0),"",'Price History'!U55/'Price History'!U54-1),"")</f>
        <v>0.0166600555335183</v>
      </c>
      <c r="V54" s="143" t="n">
        <f aca="false">IFERROR(IF(OR(NOT(ISNUMBER('Price History'!V55)),NOT(ISNUMBER('Price History'!V54)),'Price History'!V54=0),"",'Price History'!V55/'Price History'!V54-1),"")</f>
        <v>0.028558971005014</v>
      </c>
      <c r="W54" s="144" t="n">
        <f aca="false">IFERROR('Price History'!B3+(INDEX('Price History'!B:B,MATCH(9.99E+307,'Returns (Calc)'!$A:$A)+1)-'Price History'!B3)*(ROW()-3)/(MATCH(9.99E+307,'Returns (Calc)'!$A:$A)-3),"")</f>
        <v>434.895063291139</v>
      </c>
      <c r="X54" s="144" t="n">
        <f aca="false">IFERROR('Price History'!C3+(INDEX('Price History'!C:C,MATCH(9.99E+307,'Returns (Calc)'!$A:$A)+1)-'Price History'!C3)*(ROW()-3)/(MATCH(9.99E+307,'Returns (Calc)'!$A:$A)-3),"")</f>
        <v>98.2032278481013</v>
      </c>
      <c r="Y54" s="144" t="n">
        <f aca="false">IFERROR('Price History'!D3+(INDEX('Price History'!D:D,MATCH(9.99E+307,'Returns (Calc)'!$A:$A)+1)-'Price History'!D3)*(ROW()-3)/(MATCH(9.99E+307,'Returns (Calc)'!$A:$A)-3),"")</f>
        <v>996.885316455696</v>
      </c>
      <c r="Z54" s="144" t="n">
        <f aca="false">IFERROR('Price History'!E3+(INDEX('Price History'!E:E,MATCH(9.99E+307,'Returns (Calc)'!$A:$A)+1)-'Price History'!E3)*(ROW()-3)/(MATCH(9.99E+307,'Returns (Calc)'!$A:$A)-3),"")</f>
        <v>170.165443037975</v>
      </c>
      <c r="AA54" s="144" t="n">
        <f aca="false">IFERROR('Price History'!F3+(INDEX('Price History'!F:F,MATCH(9.99E+307,'Returns (Calc)'!$A:$A)+1)-'Price History'!F3)*(ROW()-3)/(MATCH(9.99E+307,'Returns (Calc)'!$A:$A)-3),"")</f>
        <v>115.174430379747</v>
      </c>
      <c r="AB54" s="144" t="n">
        <f aca="false">IFERROR('Price History'!G3+(INDEX('Price History'!G:G,MATCH(9.99E+307,'Returns (Calc)'!$A:$A)+1)-'Price History'!G3)*(ROW()-3)/(MATCH(9.99E+307,'Returns (Calc)'!$A:$A)-3),"")</f>
        <v>96.8154430379747</v>
      </c>
      <c r="AC54" s="144" t="n">
        <f aca="false">IFERROR('Price History'!H3+(INDEX('Price History'!H:H,MATCH(9.99E+307,'Returns (Calc)'!$A:$A)+1)-'Price History'!H3)*(ROW()-3)/(MATCH(9.99E+307,'Returns (Calc)'!$A:$A)-3),"")</f>
        <v>393.760506329114</v>
      </c>
      <c r="AD54" s="144" t="n">
        <f aca="false">IFERROR('Price History'!I3+(INDEX('Price History'!I:I,MATCH(9.99E+307,'Returns (Calc)'!$A:$A)+1)-'Price History'!I3)*(ROW()-3)/(MATCH(9.99E+307,'Returns (Calc)'!$A:$A)-3),"")</f>
        <v>105.157215189873</v>
      </c>
      <c r="AE54" s="144" t="n">
        <f aca="false">IFERROR('Price History'!J3+(INDEX('Price History'!J:J,MATCH(9.99E+307,'Returns (Calc)'!$A:$A)+1)-'Price History'!J3)*(ROW()-3)/(MATCH(9.99E+307,'Returns (Calc)'!$A:$A)-3),"")</f>
        <v>117.349936708861</v>
      </c>
      <c r="AF54" s="144" t="n">
        <f aca="false">IFERROR('Price History'!K3+(INDEX('Price History'!K:K,MATCH(9.99E+307,'Returns (Calc)'!$A:$A)+1)-'Price History'!K3)*(ROW()-3)/(MATCH(9.99E+307,'Returns (Calc)'!$A:$A)-3),"")</f>
        <v>71.3073417721519</v>
      </c>
      <c r="AG54" s="144" t="n">
        <f aca="false">IFERROR('Price History'!L3+(INDEX('Price History'!L:L,MATCH(9.99E+307,'Returns (Calc)'!$A:$A)+1)-'Price History'!L3)*(ROW()-3)/(MATCH(9.99E+307,'Returns (Calc)'!$A:$A)-3),"")</f>
        <v>210.677405063291</v>
      </c>
      <c r="AH54" s="144" t="n">
        <f aca="false">IFERROR('Price History'!M3+(INDEX('Price History'!M:M,MATCH(9.99E+307,'Returns (Calc)'!$A:$A)+1)-'Price History'!M3)*(ROW()-3)/(MATCH(9.99E+307,'Returns (Calc)'!$A:$A)-3),"")</f>
        <v>107.147594936709</v>
      </c>
      <c r="AI54" s="144" t="n">
        <f aca="false">IFERROR('Price History'!N3+(INDEX('Price History'!N:N,MATCH(9.99E+307,'Returns (Calc)'!$A:$A)+1)-'Price History'!N3)*(ROW()-3)/(MATCH(9.99E+307,'Returns (Calc)'!$A:$A)-3),"")</f>
        <v>399.199556962025</v>
      </c>
      <c r="AJ54" s="144" t="n">
        <f aca="false">IFERROR('Price History'!O3+(INDEX('Price History'!O:O,MATCH(9.99E+307,'Returns (Calc)'!$A:$A)+1)-'Price History'!O3)*(ROW()-3)/(MATCH(9.99E+307,'Returns (Calc)'!$A:$A)-3),"")</f>
        <v>89.7449367088608</v>
      </c>
      <c r="AK54" s="144" t="n">
        <f aca="false">IFERROR('Price History'!Q3+(INDEX('Price History'!Q:Q,MATCH(9.99E+307,'Returns (Calc)'!$A:$A)+1)-'Price History'!Q3)*(ROW()-3)/(MATCH(9.99E+307,'Returns (Calc)'!$A:$A)-3),"")</f>
        <v>22.4077215189873</v>
      </c>
      <c r="AL54" s="144" t="n">
        <f aca="false">IFERROR('Price History'!R3+(INDEX('Price History'!R:R,MATCH(9.99E+307,'Returns (Calc)'!$A:$A)+1)-'Price History'!R3)*(ROW()-3)/(MATCH(9.99E+307,'Returns (Calc)'!$A:$A)-3),"")</f>
        <v>43.053164556962</v>
      </c>
      <c r="AM54" s="144" t="n">
        <f aca="false">IFERROR('Price History'!S3+(INDEX('Price History'!S:S,MATCH(9.99E+307,'Returns (Calc)'!$A:$A)+1)-'Price History'!S3)*(ROW()-3)/(MATCH(9.99E+307,'Returns (Calc)'!$A:$A)-3),"")</f>
        <v>88.4882278481013</v>
      </c>
      <c r="AN54" s="144" t="n">
        <f aca="false">IFERROR('Price History'!T3+(INDEX('Price History'!T:T,MATCH(9.99E+307,'Returns (Calc)'!$A:$A)+1)-'Price History'!T3)*(ROW()-3)/(MATCH(9.99E+307,'Returns (Calc)'!$A:$A)-3),"")</f>
        <v>33.8196202531646</v>
      </c>
      <c r="AO54" s="145" t="n">
        <f aca="false">IFERROR('Price History'!V3+(INDEX('Price History'!V:V,MATCH(9.99E+307,'Returns (Calc)'!$A:$A)+1)-'Price History'!V3)*(ROW()-3)/(MATCH(9.99E+307,'Returns (Calc)'!$A:$A)-3),"")</f>
        <v>275.987784810127</v>
      </c>
      <c r="AP54" s="143" t="n">
        <f aca="false">IFERROR(IF(OR(NOT(ISNUMBER('Price History'!W55)),NOT(ISNUMBER('Price History'!W54)),'Price History'!W54=0),"",'Price History'!W55/'Price History'!W54-1),"")</f>
        <v>0.0239283869857116</v>
      </c>
      <c r="AQ54" s="143" t="str">
        <f aca="false">IFERROR(IF(OR(NOT(ISNUMBER('Price History'!X55)),NOT(ISNUMBER('Price History'!X54)),'Price History'!X54=0),"",'Price History'!X55/'Price History'!X54-1),"")</f>
        <v/>
      </c>
      <c r="AR54" s="143" t="n">
        <f aca="false">IFERROR(IF(OR(NOT(ISNUMBER('Price History'!Y55)),NOT(ISNUMBER('Price History'!Y54)),'Price History'!Y54=0),"",'Price History'!Y55/'Price History'!Y54-1),"")</f>
        <v>0.0226477249330863</v>
      </c>
      <c r="AS54" s="143" t="n">
        <f aca="false">IFERROR(IF(OR(NOT(ISNUMBER('Price History'!Z55)),NOT(ISNUMBER('Price History'!Z54)),'Price History'!Z54=0),"",'Price History'!Z55/'Price History'!Z54-1),"")</f>
        <v>0.105715540498149</v>
      </c>
      <c r="AT54" s="143" t="n">
        <f aca="false">IFERROR(IF(OR(NOT(ISNUMBER('Price History'!AA55)),NOT(ISNUMBER('Price History'!AA54)),'Price History'!AA54=0),"",'Price History'!AA55/'Price History'!AA54-1),"")</f>
        <v>0.0470111144487833</v>
      </c>
    </row>
    <row r="55" customFormat="false" ht="15" hidden="false" customHeight="true" outlineLevel="0" collapsed="false">
      <c r="A55" s="141" t="n">
        <f aca="false">IF('Price History'!A56="","",'Price History'!A56)</f>
        <v>45555</v>
      </c>
      <c r="B55" s="142" t="n">
        <f aca="false">IFERROR(IF(OR(NOT(ISNUMBER('Price History'!B56)),NOT(ISNUMBER('Price History'!B55)),'Price History'!B55=0),"",'Price History'!B56/'Price History'!B55-1),"")</f>
        <v>-0.0271387859258294</v>
      </c>
      <c r="C55" s="142" t="n">
        <f aca="false">IFERROR(IF(OR(NOT(ISNUMBER('Price History'!C56)),NOT(ISNUMBER('Price History'!C55)),'Price History'!C55=0),"",'Price History'!C56/'Price History'!C55-1),"")</f>
        <v>0.0686012897487214</v>
      </c>
      <c r="D55" s="142" t="n">
        <f aca="false">IFERROR(IF(OR(NOT(ISNUMBER('Price History'!D56)),NOT(ISNUMBER('Price History'!D55)),'Price History'!D55=0),"",'Price History'!D56/'Price History'!D55-1),"")</f>
        <v>-0.0258189064640678</v>
      </c>
      <c r="E55" s="142" t="n">
        <f aca="false">IFERROR(IF(OR(NOT(ISNUMBER('Price History'!E56)),NOT(ISNUMBER('Price History'!E55)),'Price History'!E55=0),"",'Price History'!E56/'Price History'!E55-1),"")</f>
        <v>0.0236762020693853</v>
      </c>
      <c r="F55" s="142" t="n">
        <f aca="false">IFERROR(IF(OR(NOT(ISNUMBER('Price History'!F56)),NOT(ISNUMBER('Price History'!F55)),'Price History'!F55=0),"",'Price History'!F56/'Price History'!F55-1),"")</f>
        <v>0.157147267675208</v>
      </c>
      <c r="G55" s="142" t="n">
        <f aca="false">IFERROR(IF(OR(NOT(ISNUMBER('Price History'!G56)),NOT(ISNUMBER('Price History'!G55)),'Price History'!G55=0),"",'Price History'!G56/'Price History'!G55-1),"")</f>
        <v>0.00986086721599366</v>
      </c>
      <c r="H55" s="142" t="n">
        <f aca="false">IFERROR(IF(OR(NOT(ISNUMBER('Price History'!H56)),NOT(ISNUMBER('Price History'!H55)),'Price History'!H55=0),"",'Price History'!H56/'Price History'!H55-1),"")</f>
        <v>-0.00353006067291795</v>
      </c>
      <c r="I55" s="142" t="n">
        <f aca="false">IFERROR(IF(OR(NOT(ISNUMBER('Price History'!I56)),NOT(ISNUMBER('Price History'!I55)),'Price History'!I55=0),"",'Price History'!I56/'Price History'!I55-1),"")</f>
        <v>-0.0260144805522815</v>
      </c>
      <c r="J55" s="142" t="n">
        <f aca="false">IFERROR(IF(OR(NOT(ISNUMBER('Price History'!J56)),NOT(ISNUMBER('Price History'!J55)),'Price History'!J55=0),"",'Price History'!J56/'Price History'!J55-1),"")</f>
        <v>-0.0275107722903547</v>
      </c>
      <c r="K55" s="142" t="n">
        <f aca="false">IFERROR(IF(OR(NOT(ISNUMBER('Price History'!K56)),NOT(ISNUMBER('Price History'!K55)),'Price History'!K55=0),"",'Price History'!K56/'Price History'!K55-1),"")</f>
        <v>0.0452374262433268</v>
      </c>
      <c r="L55" s="142" t="n">
        <f aca="false">IFERROR(IF(OR(NOT(ISNUMBER('Price History'!L56)),NOT(ISNUMBER('Price History'!L55)),'Price History'!L55=0),"",'Price History'!L56/'Price History'!L55-1),"")</f>
        <v>0.00920755613639046</v>
      </c>
      <c r="M55" s="142" t="n">
        <f aca="false">IFERROR(IF(OR(NOT(ISNUMBER('Price History'!M56)),NOT(ISNUMBER('Price History'!M55)),'Price History'!M55=0),"",'Price History'!M56/'Price History'!M55-1),"")</f>
        <v>0.102654039518298</v>
      </c>
      <c r="N55" s="142" t="n">
        <f aca="false">IFERROR(IF(OR(NOT(ISNUMBER('Price History'!N56)),NOT(ISNUMBER('Price History'!N55)),'Price History'!N55=0),"",'Price History'!N56/'Price History'!N55-1),"")</f>
        <v>-0.0421328059006531</v>
      </c>
      <c r="O55" s="142" t="n">
        <f aca="false">IFERROR(IF(OR(NOT(ISNUMBER('Price History'!O56)),NOT(ISNUMBER('Price History'!O55)),'Price History'!O55=0),"",'Price History'!O56/'Price History'!O55-1),"")</f>
        <v>0.0302491103202847</v>
      </c>
      <c r="P55" s="142" t="n">
        <f aca="false">IFERROR(IF(OR(NOT(ISNUMBER('Price History'!P56)),NOT(ISNUMBER('Price History'!P55)),'Price History'!P55=0),"",'Price History'!P56/'Price History'!P55-1),"")</f>
        <v>0.0121059473513161</v>
      </c>
      <c r="Q55" s="142" t="n">
        <f aca="false">IFERROR(IF(OR(NOT(ISNUMBER('Price History'!Q56)),NOT(ISNUMBER('Price History'!Q55)),'Price History'!Q55=0),"",'Price History'!Q56/'Price History'!Q55-1),"")</f>
        <v>0.00827283471213924</v>
      </c>
      <c r="R55" s="142" t="n">
        <f aca="false">IFERROR(IF(OR(NOT(ISNUMBER('Price History'!R56)),NOT(ISNUMBER('Price History'!R55)),'Price History'!R55=0),"",'Price History'!R56/'Price History'!R55-1),"")</f>
        <v>0.0124911619137402</v>
      </c>
      <c r="S55" s="142" t="n">
        <f aca="false">IFERROR(IF(OR(NOT(ISNUMBER('Price History'!S56)),NOT(ISNUMBER('Price History'!S55)),'Price History'!S55=0),"",'Price History'!S56/'Price History'!S55-1),"")</f>
        <v>0.0162081954114828</v>
      </c>
      <c r="T55" s="142" t="n">
        <f aca="false">IFERROR(IF(OR(NOT(ISNUMBER('Price History'!T56)),NOT(ISNUMBER('Price History'!T55)),'Price History'!T55=0),"",'Price History'!T56/'Price History'!T55-1),"")</f>
        <v>0.0173501577287067</v>
      </c>
      <c r="U55" s="142" t="n">
        <f aca="false">IFERROR(IF(OR(NOT(ISNUMBER('Price History'!U56)),NOT(ISNUMBER('Price History'!U55)),'Price History'!U55=0),"",'Price History'!U56/'Price History'!U55-1),"")</f>
        <v>0.0132657042528288</v>
      </c>
      <c r="V55" s="143" t="n">
        <f aca="false">IFERROR(IF(OR(NOT(ISNUMBER('Price History'!V56)),NOT(ISNUMBER('Price History'!V55)),'Price History'!V55=0),"",'Price History'!V56/'Price History'!V55-1),"")</f>
        <v>-0.00897272855729814</v>
      </c>
      <c r="W55" s="144" t="n">
        <f aca="false">IFERROR('Price History'!B3+(INDEX('Price History'!B:B,MATCH(9.99E+307,'Returns (Calc)'!$A:$A)+1)-'Price History'!B3)*(ROW()-3)/(MATCH(9.99E+307,'Returns (Calc)'!$A:$A)-3),"")</f>
        <v>433.052025316456</v>
      </c>
      <c r="X55" s="144" t="n">
        <f aca="false">IFERROR('Price History'!C3+(INDEX('Price History'!C:C,MATCH(9.99E+307,'Returns (Calc)'!$A:$A)+1)-'Price History'!C3)*(ROW()-3)/(MATCH(9.99E+307,'Returns (Calc)'!$A:$A)-3),"")</f>
        <v>99.2232911392405</v>
      </c>
      <c r="Y55" s="144" t="n">
        <f aca="false">IFERROR('Price History'!D3+(INDEX('Price History'!D:D,MATCH(9.99E+307,'Returns (Calc)'!$A:$A)+1)-'Price History'!D3)*(ROW()-3)/(MATCH(9.99E+307,'Returns (Calc)'!$A:$A)-3),"")</f>
        <v>1005.02012658228</v>
      </c>
      <c r="Z55" s="144" t="n">
        <f aca="false">IFERROR('Price History'!E3+(INDEX('Price History'!E:E,MATCH(9.99E+307,'Returns (Calc)'!$A:$A)+1)-'Price History'!E3)*(ROW()-3)/(MATCH(9.99E+307,'Returns (Calc)'!$A:$A)-3),"")</f>
        <v>171.89417721519</v>
      </c>
      <c r="AA55" s="144" t="n">
        <f aca="false">IFERROR('Price History'!F3+(INDEX('Price History'!F:F,MATCH(9.99E+307,'Returns (Calc)'!$A:$A)+1)-'Price History'!F3)*(ROW()-3)/(MATCH(9.99E+307,'Returns (Calc)'!$A:$A)-3),"")</f>
        <v>116.621772151899</v>
      </c>
      <c r="AB55" s="144" t="n">
        <f aca="false">IFERROR('Price History'!G3+(INDEX('Price History'!G:G,MATCH(9.99E+307,'Returns (Calc)'!$A:$A)+1)-'Price History'!G3)*(ROW()-3)/(MATCH(9.99E+307,'Returns (Calc)'!$A:$A)-3),"")</f>
        <v>97.8441772151899</v>
      </c>
      <c r="AC55" s="144" t="n">
        <f aca="false">IFERROR('Price History'!H3+(INDEX('Price History'!H:H,MATCH(9.99E+307,'Returns (Calc)'!$A:$A)+1)-'Price History'!H3)*(ROW()-3)/(MATCH(9.99E+307,'Returns (Calc)'!$A:$A)-3),"")</f>
        <v>400.126202531646</v>
      </c>
      <c r="AD55" s="144" t="n">
        <f aca="false">IFERROR('Price History'!I3+(INDEX('Price History'!I:I,MATCH(9.99E+307,'Returns (Calc)'!$A:$A)+1)-'Price History'!I3)*(ROW()-3)/(MATCH(9.99E+307,'Returns (Calc)'!$A:$A)-3),"")</f>
        <v>106.360886075949</v>
      </c>
      <c r="AE55" s="144" t="n">
        <f aca="false">IFERROR('Price History'!J3+(INDEX('Price History'!J:J,MATCH(9.99E+307,'Returns (Calc)'!$A:$A)+1)-'Price History'!J3)*(ROW()-3)/(MATCH(9.99E+307,'Returns (Calc)'!$A:$A)-3),"")</f>
        <v>117.457974683544</v>
      </c>
      <c r="AF55" s="144" t="n">
        <f aca="false">IFERROR('Price History'!K3+(INDEX('Price History'!K:K,MATCH(9.99E+307,'Returns (Calc)'!$A:$A)+1)-'Price History'!K3)*(ROW()-3)/(MATCH(9.99E+307,'Returns (Calc)'!$A:$A)-3),"")</f>
        <v>72.4049367088608</v>
      </c>
      <c r="AG55" s="144" t="n">
        <f aca="false">IFERROR('Price History'!L3+(INDEX('Price History'!L:L,MATCH(9.99E+307,'Returns (Calc)'!$A:$A)+1)-'Price History'!L3)*(ROW()-3)/(MATCH(9.99E+307,'Returns (Calc)'!$A:$A)-3),"")</f>
        <v>213.126962025316</v>
      </c>
      <c r="AH55" s="144" t="n">
        <f aca="false">IFERROR('Price History'!M3+(INDEX('Price History'!M:M,MATCH(9.99E+307,'Returns (Calc)'!$A:$A)+1)-'Price History'!M3)*(ROW()-3)/(MATCH(9.99E+307,'Returns (Calc)'!$A:$A)-3),"")</f>
        <v>108.503037974684</v>
      </c>
      <c r="AI55" s="144" t="n">
        <f aca="false">IFERROR('Price History'!N3+(INDEX('Price History'!N:N,MATCH(9.99E+307,'Returns (Calc)'!$A:$A)+1)-'Price History'!N3)*(ROW()-3)/(MATCH(9.99E+307,'Returns (Calc)'!$A:$A)-3),"")</f>
        <v>400.18582278481</v>
      </c>
      <c r="AJ55" s="144" t="n">
        <f aca="false">IFERROR('Price History'!O3+(INDEX('Price History'!O:O,MATCH(9.99E+307,'Returns (Calc)'!$A:$A)+1)-'Price History'!O3)*(ROW()-3)/(MATCH(9.99E+307,'Returns (Calc)'!$A:$A)-3),"")</f>
        <v>90.0279746835443</v>
      </c>
      <c r="AK55" s="144" t="n">
        <f aca="false">IFERROR('Price History'!Q3+(INDEX('Price History'!Q:Q,MATCH(9.99E+307,'Returns (Calc)'!$A:$A)+1)-'Price History'!Q3)*(ROW()-3)/(MATCH(9.99E+307,'Returns (Calc)'!$A:$A)-3),"")</f>
        <v>22.8470886075949</v>
      </c>
      <c r="AL55" s="144" t="n">
        <f aca="false">IFERROR('Price History'!R3+(INDEX('Price History'!R:R,MATCH(9.99E+307,'Returns (Calc)'!$A:$A)+1)-'Price History'!R3)*(ROW()-3)/(MATCH(9.99E+307,'Returns (Calc)'!$A:$A)-3),"")</f>
        <v>43.2212658227848</v>
      </c>
      <c r="AM55" s="144" t="n">
        <f aca="false">IFERROR('Price History'!S3+(INDEX('Price History'!S:S,MATCH(9.99E+307,'Returns (Calc)'!$A:$A)+1)-'Price History'!S3)*(ROW()-3)/(MATCH(9.99E+307,'Returns (Calc)'!$A:$A)-3),"")</f>
        <v>89.0932911392405</v>
      </c>
      <c r="AN55" s="144" t="n">
        <f aca="false">IFERROR('Price History'!T3+(INDEX('Price History'!T:T,MATCH(9.99E+307,'Returns (Calc)'!$A:$A)+1)-'Price History'!T3)*(ROW()-3)/(MATCH(9.99E+307,'Returns (Calc)'!$A:$A)-3),"")</f>
        <v>33.9878481012658</v>
      </c>
      <c r="AO55" s="145" t="n">
        <f aca="false">IFERROR('Price History'!V3+(INDEX('Price History'!V:V,MATCH(9.99E+307,'Returns (Calc)'!$A:$A)+1)-'Price History'!V3)*(ROW()-3)/(MATCH(9.99E+307,'Returns (Calc)'!$A:$A)-3),"")</f>
        <v>276.779113924051</v>
      </c>
      <c r="AP55" s="143" t="n">
        <f aca="false">IFERROR(IF(OR(NOT(ISNUMBER('Price History'!W56)),NOT(ISNUMBER('Price History'!W55)),'Price History'!W55=0),"",'Price History'!W56/'Price History'!W55-1),"")</f>
        <v>0.0145427034297243</v>
      </c>
      <c r="AQ55" s="143" t="str">
        <f aca="false">IFERROR(IF(OR(NOT(ISNUMBER('Price History'!X56)),NOT(ISNUMBER('Price History'!X55)),'Price History'!X55=0),"",'Price History'!X56/'Price History'!X55-1),"")</f>
        <v/>
      </c>
      <c r="AR55" s="143" t="n">
        <f aca="false">IFERROR(IF(OR(NOT(ISNUMBER('Price History'!Y56)),NOT(ISNUMBER('Price History'!Y55)),'Price History'!Y55=0),"",'Price History'!Y56/'Price History'!Y55-1),"")</f>
        <v>0.0054358767867928</v>
      </c>
      <c r="AS55" s="143" t="n">
        <f aca="false">IFERROR(IF(OR(NOT(ISNUMBER('Price History'!Z56)),NOT(ISNUMBER('Price History'!Z55)),'Price History'!Z55=0),"",'Price History'!Z56/'Price History'!Z55-1),"")</f>
        <v>0.0513504312301407</v>
      </c>
      <c r="AT55" s="143" t="n">
        <f aca="false">IFERROR(IF(OR(NOT(ISNUMBER('Price History'!AA56)),NOT(ISNUMBER('Price History'!AA55)),'Price History'!AA55=0),"",'Price History'!AA56/'Price History'!AA55-1),"")</f>
        <v>0.00559460622579255</v>
      </c>
    </row>
    <row r="56" customFormat="false" ht="15" hidden="false" customHeight="true" outlineLevel="0" collapsed="false">
      <c r="A56" s="141" t="n">
        <f aca="false">IF('Price History'!A57="","",'Price History'!A57)</f>
        <v>45562</v>
      </c>
      <c r="B56" s="142" t="n">
        <f aca="false">IFERROR(IF(OR(NOT(ISNUMBER('Price History'!B57)),NOT(ISNUMBER('Price History'!B56)),'Price History'!B56=0),"",'Price History'!B57/'Price History'!B56-1),"")</f>
        <v>-0.0130576297147232</v>
      </c>
      <c r="C56" s="142" t="n">
        <f aca="false">IFERROR(IF(OR(NOT(ISNUMBER('Price History'!C57)),NOT(ISNUMBER('Price History'!C56)),'Price History'!C56=0),"",'Price History'!C57/'Price History'!C56-1),"")</f>
        <v>-0.0108209343460619</v>
      </c>
      <c r="D56" s="142" t="n">
        <f aca="false">IFERROR(IF(OR(NOT(ISNUMBER('Price History'!D57)),NOT(ISNUMBER('Price History'!D56)),'Price History'!D56=0),"",'Price History'!D57/'Price History'!D56-1),"")</f>
        <v>0.0581714972448444</v>
      </c>
      <c r="E56" s="142" t="n">
        <f aca="false">IFERROR(IF(OR(NOT(ISNUMBER('Price History'!E57)),NOT(ISNUMBER('Price History'!E56)),'Price History'!E56=0),"",'Price History'!E57/'Price History'!E56-1),"")</f>
        <v>0.00927522444854034</v>
      </c>
      <c r="F56" s="142" t="n">
        <f aca="false">IFERROR(IF(OR(NOT(ISNUMBER('Price History'!F57)),NOT(ISNUMBER('Price History'!F56)),'Price History'!F56=0),"",'Price History'!F57/'Price History'!F56-1),"")</f>
        <v>-0.0466915688367129</v>
      </c>
      <c r="G56" s="142" t="n">
        <f aca="false">IFERROR(IF(OR(NOT(ISNUMBER('Price History'!G57)),NOT(ISNUMBER('Price History'!G56)),'Price History'!G56=0),"",'Price History'!G57/'Price History'!G56-1),"")</f>
        <v>0.0310326377742107</v>
      </c>
      <c r="H56" s="142" t="n">
        <f aca="false">IFERROR(IF(OR(NOT(ISNUMBER('Price History'!H57)),NOT(ISNUMBER('Price History'!H56)),'Price History'!H56=0),"",'Price History'!H57/'Price History'!H56-1),"")</f>
        <v>0.182663566921289</v>
      </c>
      <c r="I56" s="142" t="n">
        <f aca="false">IFERROR(IF(OR(NOT(ISNUMBER('Price History'!I57)),NOT(ISNUMBER('Price History'!I56)),'Price History'!I56=0),"",'Price History'!I57/'Price History'!I56-1),"")</f>
        <v>0.0465900250669893</v>
      </c>
      <c r="J56" s="142" t="n">
        <f aca="false">IFERROR(IF(OR(NOT(ISNUMBER('Price History'!J57)),NOT(ISNUMBER('Price History'!J56)),'Price History'!J56=0),"",'Price History'!J57/'Price History'!J56-1),"")</f>
        <v>0.000937286980231766</v>
      </c>
      <c r="K56" s="142" t="n">
        <f aca="false">IFERROR(IF(OR(NOT(ISNUMBER('Price History'!K57)),NOT(ISNUMBER('Price History'!K56)),'Price History'!K56=0),"",'Price History'!K57/'Price History'!K56-1),"")</f>
        <v>-0.00967741935483868</v>
      </c>
      <c r="L56" s="142" t="n">
        <f aca="false">IFERROR(IF(OR(NOT(ISNUMBER('Price History'!L57)),NOT(ISNUMBER('Price History'!L56)),'Price History'!L56=0),"",'Price History'!L57/'Price History'!L56-1),"")</f>
        <v>0.0223085525928544</v>
      </c>
      <c r="M56" s="142" t="n">
        <f aca="false">IFERROR(IF(OR(NOT(ISNUMBER('Price History'!M57)),NOT(ISNUMBER('Price History'!M56)),'Price History'!M56=0),"",'Price History'!M57/'Price History'!M56-1),"")</f>
        <v>0.0409288516594211</v>
      </c>
      <c r="N56" s="142" t="n">
        <f aca="false">IFERROR(IF(OR(NOT(ISNUMBER('Price History'!N57)),NOT(ISNUMBER('Price History'!N56)),'Price History'!N56=0),"",'Price History'!N57/'Price History'!N56-1),"")</f>
        <v>-0.00438785167340627</v>
      </c>
      <c r="O56" s="142" t="n">
        <f aca="false">IFERROR(IF(OR(NOT(ISNUMBER('Price History'!O57)),NOT(ISNUMBER('Price History'!O56)),'Price History'!O56=0),"",'Price History'!O57/'Price History'!O56-1),"")</f>
        <v>0.000431778929188331</v>
      </c>
      <c r="P56" s="142" t="n">
        <f aca="false">IFERROR(IF(OR(NOT(ISNUMBER('Price History'!P57)),NOT(ISNUMBER('Price History'!P56)),'Price History'!P56=0),"",'Price History'!P57/'Price History'!P56-1),"")</f>
        <v>0.00770651039576142</v>
      </c>
      <c r="Q56" s="142" t="n">
        <f aca="false">IFERROR(IF(OR(NOT(ISNUMBER('Price History'!Q57)),NOT(ISNUMBER('Price History'!Q56)),'Price History'!Q56=0),"",'Price History'!Q57/'Price History'!Q56-1),"")</f>
        <v>0.0068653717347622</v>
      </c>
      <c r="R56" s="142" t="n">
        <f aca="false">IFERROR(IF(OR(NOT(ISNUMBER('Price History'!R57)),NOT(ISNUMBER('Price History'!R56)),'Price History'!R56=0),"",'Price History'!R57/'Price History'!R56-1),"")</f>
        <v>0.00698324022346353</v>
      </c>
      <c r="S56" s="142" t="n">
        <f aca="false">IFERROR(IF(OR(NOT(ISNUMBER('Price History'!S57)),NOT(ISNUMBER('Price History'!S56)),'Price History'!S56=0),"",'Price History'!S57/'Price History'!S56-1),"")</f>
        <v>-0.00134786027181855</v>
      </c>
      <c r="T56" s="142" t="n">
        <f aca="false">IFERROR(IF(OR(NOT(ISNUMBER('Price History'!T57)),NOT(ISNUMBER('Price History'!T56)),'Price History'!T56=0),"",'Price History'!T57/'Price History'!T56-1),"")</f>
        <v>0.00217054263565886</v>
      </c>
      <c r="U56" s="142" t="n">
        <f aca="false">IFERROR(IF(OR(NOT(ISNUMBER('Price History'!U57)),NOT(ISNUMBER('Price History'!U56)),'Price History'!U56=0),"",'Price History'!U57/'Price History'!U56-1),"")</f>
        <v>0.00616095494801705</v>
      </c>
      <c r="V56" s="143" t="n">
        <f aca="false">IFERROR(IF(OR(NOT(ISNUMBER('Price History'!V57)),NOT(ISNUMBER('Price History'!V56)),'Price History'!V56=0),"",'Price History'!V57/'Price History'!V56-1),"")</f>
        <v>-0.0337206815427391</v>
      </c>
      <c r="W56" s="144" t="n">
        <f aca="false">IFERROR('Price History'!B3+(INDEX('Price History'!B:B,MATCH(9.99E+307,'Returns (Calc)'!$A:$A)+1)-'Price History'!B3)*(ROW()-3)/(MATCH(9.99E+307,'Returns (Calc)'!$A:$A)-3),"")</f>
        <v>431.208987341772</v>
      </c>
      <c r="X56" s="144" t="n">
        <f aca="false">IFERROR('Price History'!C3+(INDEX('Price History'!C:C,MATCH(9.99E+307,'Returns (Calc)'!$A:$A)+1)-'Price History'!C3)*(ROW()-3)/(MATCH(9.99E+307,'Returns (Calc)'!$A:$A)-3),"")</f>
        <v>100.24335443038</v>
      </c>
      <c r="Y56" s="144" t="n">
        <f aca="false">IFERROR('Price History'!D3+(INDEX('Price History'!D:D,MATCH(9.99E+307,'Returns (Calc)'!$A:$A)+1)-'Price History'!D3)*(ROW()-3)/(MATCH(9.99E+307,'Returns (Calc)'!$A:$A)-3),"")</f>
        <v>1013.15493670886</v>
      </c>
      <c r="Z56" s="144" t="n">
        <f aca="false">IFERROR('Price History'!E3+(INDEX('Price History'!E:E,MATCH(9.99E+307,'Returns (Calc)'!$A:$A)+1)-'Price History'!E3)*(ROW()-3)/(MATCH(9.99E+307,'Returns (Calc)'!$A:$A)-3),"")</f>
        <v>173.622911392405</v>
      </c>
      <c r="AA56" s="144" t="n">
        <f aca="false">IFERROR('Price History'!F3+(INDEX('Price History'!F:F,MATCH(9.99E+307,'Returns (Calc)'!$A:$A)+1)-'Price History'!F3)*(ROW()-3)/(MATCH(9.99E+307,'Returns (Calc)'!$A:$A)-3),"")</f>
        <v>118.069113924051</v>
      </c>
      <c r="AB56" s="144" t="n">
        <f aca="false">IFERROR('Price History'!G3+(INDEX('Price History'!G:G,MATCH(9.99E+307,'Returns (Calc)'!$A:$A)+1)-'Price History'!G3)*(ROW()-3)/(MATCH(9.99E+307,'Returns (Calc)'!$A:$A)-3),"")</f>
        <v>98.8729113924051</v>
      </c>
      <c r="AC56" s="144" t="n">
        <f aca="false">IFERROR('Price History'!H3+(INDEX('Price History'!H:H,MATCH(9.99E+307,'Returns (Calc)'!$A:$A)+1)-'Price History'!H3)*(ROW()-3)/(MATCH(9.99E+307,'Returns (Calc)'!$A:$A)-3),"")</f>
        <v>406.491898734177</v>
      </c>
      <c r="AD56" s="144" t="n">
        <f aca="false">IFERROR('Price History'!I3+(INDEX('Price History'!I:I,MATCH(9.99E+307,'Returns (Calc)'!$A:$A)+1)-'Price History'!I3)*(ROW()-3)/(MATCH(9.99E+307,'Returns (Calc)'!$A:$A)-3),"")</f>
        <v>107.564556962025</v>
      </c>
      <c r="AE56" s="144" t="n">
        <f aca="false">IFERROR('Price History'!J3+(INDEX('Price History'!J:J,MATCH(9.99E+307,'Returns (Calc)'!$A:$A)+1)-'Price History'!J3)*(ROW()-3)/(MATCH(9.99E+307,'Returns (Calc)'!$A:$A)-3),"")</f>
        <v>117.566012658228</v>
      </c>
      <c r="AF56" s="144" t="n">
        <f aca="false">IFERROR('Price History'!K3+(INDEX('Price History'!K:K,MATCH(9.99E+307,'Returns (Calc)'!$A:$A)+1)-'Price History'!K3)*(ROW()-3)/(MATCH(9.99E+307,'Returns (Calc)'!$A:$A)-3),"")</f>
        <v>73.5025316455696</v>
      </c>
      <c r="AG56" s="144" t="n">
        <f aca="false">IFERROR('Price History'!L3+(INDEX('Price History'!L:L,MATCH(9.99E+307,'Returns (Calc)'!$A:$A)+1)-'Price History'!L3)*(ROW()-3)/(MATCH(9.99E+307,'Returns (Calc)'!$A:$A)-3),"")</f>
        <v>215.576518987342</v>
      </c>
      <c r="AH56" s="144" t="n">
        <f aca="false">IFERROR('Price History'!M3+(INDEX('Price History'!M:M,MATCH(9.99E+307,'Returns (Calc)'!$A:$A)+1)-'Price History'!M3)*(ROW()-3)/(MATCH(9.99E+307,'Returns (Calc)'!$A:$A)-3),"")</f>
        <v>109.858481012658</v>
      </c>
      <c r="AI56" s="144" t="n">
        <f aca="false">IFERROR('Price History'!N3+(INDEX('Price History'!N:N,MATCH(9.99E+307,'Returns (Calc)'!$A:$A)+1)-'Price History'!N3)*(ROW()-3)/(MATCH(9.99E+307,'Returns (Calc)'!$A:$A)-3),"")</f>
        <v>401.172088607595</v>
      </c>
      <c r="AJ56" s="144" t="n">
        <f aca="false">IFERROR('Price History'!O3+(INDEX('Price History'!O:O,MATCH(9.99E+307,'Returns (Calc)'!$A:$A)+1)-'Price History'!O3)*(ROW()-3)/(MATCH(9.99E+307,'Returns (Calc)'!$A:$A)-3),"")</f>
        <v>90.3110126582279</v>
      </c>
      <c r="AK56" s="144" t="n">
        <f aca="false">IFERROR('Price History'!Q3+(INDEX('Price History'!Q:Q,MATCH(9.99E+307,'Returns (Calc)'!$A:$A)+1)-'Price History'!Q3)*(ROW()-3)/(MATCH(9.99E+307,'Returns (Calc)'!$A:$A)-3),"")</f>
        <v>23.2864556962025</v>
      </c>
      <c r="AL56" s="144" t="n">
        <f aca="false">IFERROR('Price History'!R3+(INDEX('Price History'!R:R,MATCH(9.99E+307,'Returns (Calc)'!$A:$A)+1)-'Price History'!R3)*(ROW()-3)/(MATCH(9.99E+307,'Returns (Calc)'!$A:$A)-3),"")</f>
        <v>43.3893670886076</v>
      </c>
      <c r="AM56" s="144" t="n">
        <f aca="false">IFERROR('Price History'!S3+(INDEX('Price History'!S:S,MATCH(9.99E+307,'Returns (Calc)'!$A:$A)+1)-'Price History'!S3)*(ROW()-3)/(MATCH(9.99E+307,'Returns (Calc)'!$A:$A)-3),"")</f>
        <v>89.6983544303797</v>
      </c>
      <c r="AN56" s="144" t="n">
        <f aca="false">IFERROR('Price History'!T3+(INDEX('Price History'!T:T,MATCH(9.99E+307,'Returns (Calc)'!$A:$A)+1)-'Price History'!T3)*(ROW()-3)/(MATCH(9.99E+307,'Returns (Calc)'!$A:$A)-3),"")</f>
        <v>34.1560759493671</v>
      </c>
      <c r="AO56" s="145" t="n">
        <f aca="false">IFERROR('Price History'!V3+(INDEX('Price History'!V:V,MATCH(9.99E+307,'Returns (Calc)'!$A:$A)+1)-'Price History'!V3)*(ROW()-3)/(MATCH(9.99E+307,'Returns (Calc)'!$A:$A)-3),"")</f>
        <v>277.570443037975</v>
      </c>
      <c r="AP56" s="143" t="n">
        <f aca="false">IFERROR(IF(OR(NOT(ISNUMBER('Price History'!W57)),NOT(ISNUMBER('Price History'!W56)),'Price History'!W56=0),"",'Price History'!W57/'Price History'!W56-1),"")</f>
        <v>0.00596569724086504</v>
      </c>
      <c r="AQ56" s="143" t="str">
        <f aca="false">IFERROR(IF(OR(NOT(ISNUMBER('Price History'!X57)),NOT(ISNUMBER('Price History'!X56)),'Price History'!X56=0),"",'Price History'!X57/'Price History'!X56-1),"")</f>
        <v/>
      </c>
      <c r="AR56" s="143" t="n">
        <f aca="false">IFERROR(IF(OR(NOT(ISNUMBER('Price History'!Y57)),NOT(ISNUMBER('Price History'!Y56)),'Price History'!Y56=0),"",'Price History'!Y57/'Price History'!Y56-1),"")</f>
        <v>0.00440528634361237</v>
      </c>
      <c r="AS56" s="143" t="n">
        <f aca="false">IFERROR(IF(OR(NOT(ISNUMBER('Price History'!Z57)),NOT(ISNUMBER('Price History'!Z56)),'Price History'!Z56=0),"",'Price History'!Z57/'Price History'!Z56-1),"")</f>
        <v>-0.00949862377894106</v>
      </c>
      <c r="AT56" s="143" t="n">
        <f aca="false">IFERROR(IF(OR(NOT(ISNUMBER('Price History'!AA57)),NOT(ISNUMBER('Price History'!AA56)),'Price History'!AA56=0),"",'Price History'!AA57/'Price History'!AA56-1),"")</f>
        <v>0.00912981455064199</v>
      </c>
    </row>
    <row r="57" customFormat="false" ht="15" hidden="false" customHeight="true" outlineLevel="0" collapsed="false">
      <c r="A57" s="141" t="n">
        <f aca="false">IF('Price History'!A58="","",'Price History'!A58)</f>
        <v>45569</v>
      </c>
      <c r="B57" s="142" t="n">
        <f aca="false">IFERROR(IF(OR(NOT(ISNUMBER('Price History'!B58)),NOT(ISNUMBER('Price History'!B57)),'Price History'!B57=0),"",'Price History'!B58/'Price History'!B57-1),"")</f>
        <v>-0.0160239000543183</v>
      </c>
      <c r="C57" s="142" t="n">
        <f aca="false">IFERROR(IF(OR(NOT(ISNUMBER('Price History'!C58)),NOT(ISNUMBER('Price History'!C57)),'Price History'!C57=0),"",'Price History'!C58/'Price History'!C57-1),"")</f>
        <v>0.0412327758493742</v>
      </c>
      <c r="D57" s="142" t="n">
        <f aca="false">IFERROR(IF(OR(NOT(ISNUMBER('Price History'!D58)),NOT(ISNUMBER('Price History'!D57)),'Price History'!D57=0),"",'Price History'!D58/'Price History'!D57-1),"")</f>
        <v>-0.0101489724165428</v>
      </c>
      <c r="E57" s="142" t="n">
        <f aca="false">IFERROR(IF(OR(NOT(ISNUMBER('Price History'!E58)),NOT(ISNUMBER('Price History'!E57)),'Price History'!E57=0),"",'Price History'!E58/'Price History'!E57-1),"")</f>
        <v>0.0228571428571429</v>
      </c>
      <c r="F57" s="142" t="n">
        <f aca="false">IFERROR(IF(OR(NOT(ISNUMBER('Price History'!F58)),NOT(ISNUMBER('Price History'!F57)),'Price History'!F57=0),"",'Price History'!F58/'Price History'!F57-1),"")</f>
        <v>0.0223901483347329</v>
      </c>
      <c r="G57" s="142" t="n">
        <f aca="false">IFERROR(IF(OR(NOT(ISNUMBER('Price History'!G58)),NOT(ISNUMBER('Price History'!G57)),'Price History'!G57=0),"",'Price History'!G58/'Price History'!G57-1),"")</f>
        <v>0.0063570316554229</v>
      </c>
      <c r="H57" s="142" t="n">
        <f aca="false">IFERROR(IF(OR(NOT(ISNUMBER('Price History'!H58)),NOT(ISNUMBER('Price History'!H57)),'Price History'!H57=0),"",'Price History'!H58/'Price History'!H57-1),"")</f>
        <v>-0.0488626790227464</v>
      </c>
      <c r="I57" s="142" t="n">
        <f aca="false">IFERROR(IF(OR(NOT(ISNUMBER('Price History'!I58)),NOT(ISNUMBER('Price History'!I57)),'Price History'!I57=0),"",'Price History'!I58/'Price History'!I57-1),"")</f>
        <v>0.0289890981169476</v>
      </c>
      <c r="J57" s="142" t="n">
        <f aca="false">IFERROR(IF(OR(NOT(ISNUMBER('Price History'!J58)),NOT(ISNUMBER('Price History'!J57)),'Price History'!J57=0),"",'Price History'!J58/'Price History'!J57-1),"")</f>
        <v>-0.0251979228739252</v>
      </c>
      <c r="K57" s="142" t="n">
        <f aca="false">IFERROR(IF(OR(NOT(ISNUMBER('Price History'!K58)),NOT(ISNUMBER('Price History'!K57)),'Price History'!K57=0),"",'Price History'!K58/'Price History'!K57-1),"")</f>
        <v>0.0860477741585233</v>
      </c>
      <c r="L57" s="142" t="n">
        <f aca="false">IFERROR(IF(OR(NOT(ISNUMBER('Price History'!L58)),NOT(ISNUMBER('Price History'!L57)),'Price History'!L57=0),"",'Price History'!L58/'Price History'!L57-1),"")</f>
        <v>0.0179640718562875</v>
      </c>
      <c r="M57" s="142" t="n">
        <f aca="false">IFERROR(IF(OR(NOT(ISNUMBER('Price History'!M58)),NOT(ISNUMBER('Price History'!M57)),'Price History'!M57=0),"",'Price History'!M58/'Price History'!M57-1),"")</f>
        <v>0.0690638687990222</v>
      </c>
      <c r="N57" s="142" t="n">
        <f aca="false">IFERROR(IF(OR(NOT(ISNUMBER('Price History'!N58)),NOT(ISNUMBER('Price History'!N57)),'Price History'!N57=0),"",'Price History'!N58/'Price History'!N57-1),"")</f>
        <v>-0.0163541306602143</v>
      </c>
      <c r="O57" s="142" t="n">
        <f aca="false">IFERROR(IF(OR(NOT(ISNUMBER('Price History'!O58)),NOT(ISNUMBER('Price History'!O57)),'Price History'!O57=0),"",'Price History'!O58/'Price History'!O57-1),"")</f>
        <v>0.00280535174794982</v>
      </c>
      <c r="P57" s="142" t="n">
        <f aca="false">IFERROR(IF(OR(NOT(ISNUMBER('Price History'!P58)),NOT(ISNUMBER('Price History'!P57)),'Price History'!P57=0),"",'Price History'!P58/'Price History'!P57-1),"")</f>
        <v>-0.00398311160678722</v>
      </c>
      <c r="Q57" s="142" t="n">
        <f aca="false">IFERROR(IF(OR(NOT(ISNUMBER('Price History'!Q58)),NOT(ISNUMBER('Price History'!Q57)),'Price History'!Q57=0),"",'Price History'!Q58/'Price History'!Q57-1),"")</f>
        <v>0.00133045069017124</v>
      </c>
      <c r="R57" s="142" t="n">
        <f aca="false">IFERROR(IF(OR(NOT(ISNUMBER('Price History'!R58)),NOT(ISNUMBER('Price History'!R57)),'Price History'!R57=0),"",'Price History'!R58/'Price History'!R57-1),"")</f>
        <v>0.00231160425335175</v>
      </c>
      <c r="S57" s="142" t="n">
        <f aca="false">IFERROR(IF(OR(NOT(ISNUMBER('Price History'!S58)),NOT(ISNUMBER('Price History'!S57)),'Price History'!S57=0),"",'Price History'!S58/'Price History'!S57-1),"")</f>
        <v>0.014958947250028</v>
      </c>
      <c r="T57" s="142" t="n">
        <f aca="false">IFERROR(IF(OR(NOT(ISNUMBER('Price History'!T58)),NOT(ISNUMBER('Price History'!T57)),'Price History'!T57=0),"",'Price History'!T58/'Price History'!T57-1),"")</f>
        <v>0.0185643564356437</v>
      </c>
      <c r="U57" s="142" t="n">
        <f aca="false">IFERROR(IF(OR(NOT(ISNUMBER('Price History'!U58)),NOT(ISNUMBER('Price History'!U57)),'Price History'!U57=0),"",'Price History'!U58/'Price History'!U57-1),"")</f>
        <v>0.00497512437810954</v>
      </c>
      <c r="V57" s="143" t="n">
        <f aca="false">IFERROR(IF(OR(NOT(ISNUMBER('Price History'!V58)),NOT(ISNUMBER('Price History'!V57)),'Price History'!V57=0),"",'Price History'!V58/'Price History'!V57-1),"")</f>
        <v>0.010033938320791</v>
      </c>
      <c r="W57" s="144" t="n">
        <f aca="false">IFERROR('Price History'!B3+(INDEX('Price History'!B:B,MATCH(9.99E+307,'Returns (Calc)'!$A:$A)+1)-'Price History'!B3)*(ROW()-3)/(MATCH(9.99E+307,'Returns (Calc)'!$A:$A)-3),"")</f>
        <v>429.365949367089</v>
      </c>
      <c r="X57" s="144" t="n">
        <f aca="false">IFERROR('Price History'!C3+(INDEX('Price History'!C:C,MATCH(9.99E+307,'Returns (Calc)'!$A:$A)+1)-'Price History'!C3)*(ROW()-3)/(MATCH(9.99E+307,'Returns (Calc)'!$A:$A)-3),"")</f>
        <v>101.263417721519</v>
      </c>
      <c r="Y57" s="144" t="n">
        <f aca="false">IFERROR('Price History'!D3+(INDEX('Price History'!D:D,MATCH(9.99E+307,'Returns (Calc)'!$A:$A)+1)-'Price History'!D3)*(ROW()-3)/(MATCH(9.99E+307,'Returns (Calc)'!$A:$A)-3),"")</f>
        <v>1021.28974683544</v>
      </c>
      <c r="Z57" s="144" t="n">
        <f aca="false">IFERROR('Price History'!E3+(INDEX('Price History'!E:E,MATCH(9.99E+307,'Returns (Calc)'!$A:$A)+1)-'Price History'!E3)*(ROW()-3)/(MATCH(9.99E+307,'Returns (Calc)'!$A:$A)-3),"")</f>
        <v>175.35164556962</v>
      </c>
      <c r="AA57" s="144" t="n">
        <f aca="false">IFERROR('Price History'!F3+(INDEX('Price History'!F:F,MATCH(9.99E+307,'Returns (Calc)'!$A:$A)+1)-'Price History'!F3)*(ROW()-3)/(MATCH(9.99E+307,'Returns (Calc)'!$A:$A)-3),"")</f>
        <v>119.516455696203</v>
      </c>
      <c r="AB57" s="144" t="n">
        <f aca="false">IFERROR('Price History'!G3+(INDEX('Price History'!G:G,MATCH(9.99E+307,'Returns (Calc)'!$A:$A)+1)-'Price History'!G3)*(ROW()-3)/(MATCH(9.99E+307,'Returns (Calc)'!$A:$A)-3),"")</f>
        <v>99.9016455696203</v>
      </c>
      <c r="AC57" s="144" t="n">
        <f aca="false">IFERROR('Price History'!H3+(INDEX('Price History'!H:H,MATCH(9.99E+307,'Returns (Calc)'!$A:$A)+1)-'Price History'!H3)*(ROW()-3)/(MATCH(9.99E+307,'Returns (Calc)'!$A:$A)-3),"")</f>
        <v>412.857594936709</v>
      </c>
      <c r="AD57" s="144" t="n">
        <f aca="false">IFERROR('Price History'!I3+(INDEX('Price History'!I:I,MATCH(9.99E+307,'Returns (Calc)'!$A:$A)+1)-'Price History'!I3)*(ROW()-3)/(MATCH(9.99E+307,'Returns (Calc)'!$A:$A)-3),"")</f>
        <v>108.768227848101</v>
      </c>
      <c r="AE57" s="144" t="n">
        <f aca="false">IFERROR('Price History'!J3+(INDEX('Price History'!J:J,MATCH(9.99E+307,'Returns (Calc)'!$A:$A)+1)-'Price History'!J3)*(ROW()-3)/(MATCH(9.99E+307,'Returns (Calc)'!$A:$A)-3),"")</f>
        <v>117.674050632911</v>
      </c>
      <c r="AF57" s="144" t="n">
        <f aca="false">IFERROR('Price History'!K3+(INDEX('Price History'!K:K,MATCH(9.99E+307,'Returns (Calc)'!$A:$A)+1)-'Price History'!K3)*(ROW()-3)/(MATCH(9.99E+307,'Returns (Calc)'!$A:$A)-3),"")</f>
        <v>74.6001265822785</v>
      </c>
      <c r="AG57" s="144" t="n">
        <f aca="false">IFERROR('Price History'!L3+(INDEX('Price History'!L:L,MATCH(9.99E+307,'Returns (Calc)'!$A:$A)+1)-'Price History'!L3)*(ROW()-3)/(MATCH(9.99E+307,'Returns (Calc)'!$A:$A)-3),"")</f>
        <v>218.026075949367</v>
      </c>
      <c r="AH57" s="144" t="n">
        <f aca="false">IFERROR('Price History'!M3+(INDEX('Price History'!M:M,MATCH(9.99E+307,'Returns (Calc)'!$A:$A)+1)-'Price History'!M3)*(ROW()-3)/(MATCH(9.99E+307,'Returns (Calc)'!$A:$A)-3),"")</f>
        <v>111.213924050633</v>
      </c>
      <c r="AI57" s="144" t="n">
        <f aca="false">IFERROR('Price History'!N3+(INDEX('Price History'!N:N,MATCH(9.99E+307,'Returns (Calc)'!$A:$A)+1)-'Price History'!N3)*(ROW()-3)/(MATCH(9.99E+307,'Returns (Calc)'!$A:$A)-3),"")</f>
        <v>402.15835443038</v>
      </c>
      <c r="AJ57" s="144" t="n">
        <f aca="false">IFERROR('Price History'!O3+(INDEX('Price History'!O:O,MATCH(9.99E+307,'Returns (Calc)'!$A:$A)+1)-'Price History'!O3)*(ROW()-3)/(MATCH(9.99E+307,'Returns (Calc)'!$A:$A)-3),"")</f>
        <v>90.5940506329114</v>
      </c>
      <c r="AK57" s="144" t="n">
        <f aca="false">IFERROR('Price History'!Q3+(INDEX('Price History'!Q:Q,MATCH(9.99E+307,'Returns (Calc)'!$A:$A)+1)-'Price History'!Q3)*(ROW()-3)/(MATCH(9.99E+307,'Returns (Calc)'!$A:$A)-3),"")</f>
        <v>23.7258227848101</v>
      </c>
      <c r="AL57" s="144" t="n">
        <f aca="false">IFERROR('Price History'!R3+(INDEX('Price History'!R:R,MATCH(9.99E+307,'Returns (Calc)'!$A:$A)+1)-'Price History'!R3)*(ROW()-3)/(MATCH(9.99E+307,'Returns (Calc)'!$A:$A)-3),"")</f>
        <v>43.5574683544304</v>
      </c>
      <c r="AM57" s="144" t="n">
        <f aca="false">IFERROR('Price History'!S3+(INDEX('Price History'!S:S,MATCH(9.99E+307,'Returns (Calc)'!$A:$A)+1)-'Price History'!S3)*(ROW()-3)/(MATCH(9.99E+307,'Returns (Calc)'!$A:$A)-3),"")</f>
        <v>90.303417721519</v>
      </c>
      <c r="AN57" s="144" t="n">
        <f aca="false">IFERROR('Price History'!T3+(INDEX('Price History'!T:T,MATCH(9.99E+307,'Returns (Calc)'!$A:$A)+1)-'Price History'!T3)*(ROW()-3)/(MATCH(9.99E+307,'Returns (Calc)'!$A:$A)-3),"")</f>
        <v>34.3243037974684</v>
      </c>
      <c r="AO57" s="145" t="n">
        <f aca="false">IFERROR('Price History'!V3+(INDEX('Price History'!V:V,MATCH(9.99E+307,'Returns (Calc)'!$A:$A)+1)-'Price History'!V3)*(ROW()-3)/(MATCH(9.99E+307,'Returns (Calc)'!$A:$A)-3),"")</f>
        <v>278.361772151899</v>
      </c>
      <c r="AP57" s="143" t="n">
        <f aca="false">IFERROR(IF(OR(NOT(ISNUMBER('Price History'!W58)),NOT(ISNUMBER('Price History'!W57)),'Price History'!W57=0),"",'Price History'!W58/'Price History'!W57-1),"")</f>
        <v>0.00716580182851501</v>
      </c>
      <c r="AQ57" s="143" t="str">
        <f aca="false">IFERROR(IF(OR(NOT(ISNUMBER('Price History'!X58)),NOT(ISNUMBER('Price History'!X57)),'Price History'!X57=0),"",'Price History'!X58/'Price History'!X57-1),"")</f>
        <v/>
      </c>
      <c r="AR57" s="143" t="n">
        <f aca="false">IFERROR(IF(OR(NOT(ISNUMBER('Price History'!Y58)),NOT(ISNUMBER('Price History'!Y57)),'Price History'!Y57=0),"",'Price History'!Y58/'Price History'!Y57-1),"")</f>
        <v>0.00219298245614041</v>
      </c>
      <c r="AS57" s="143" t="n">
        <f aca="false">IFERROR(IF(OR(NOT(ISNUMBER('Price History'!Z58)),NOT(ISNUMBER('Price History'!Z57)),'Price History'!Z57=0),"",'Price History'!Z58/'Price History'!Z57-1),"")</f>
        <v>0.00920830381953897</v>
      </c>
      <c r="AT57" s="143" t="n">
        <f aca="false">IFERROR(IF(OR(NOT(ISNUMBER('Price History'!AA58)),NOT(ISNUMBER('Price History'!AA57)),'Price History'!AA57=0),"",'Price History'!AA58/'Price History'!AA57-1),"")</f>
        <v>0.0173876166242579</v>
      </c>
    </row>
    <row r="58" customFormat="false" ht="15" hidden="false" customHeight="true" outlineLevel="0" collapsed="false">
      <c r="A58" s="141" t="n">
        <f aca="false">IF('Price History'!A59="","",'Price History'!A59)</f>
        <v>45576</v>
      </c>
      <c r="B58" s="142" t="n">
        <f aca="false">IFERROR(IF(OR(NOT(ISNUMBER('Price History'!B59)),NOT(ISNUMBER('Price History'!B58)),'Price History'!B58=0),"",'Price History'!B59/'Price History'!B58-1),"")</f>
        <v>-0.0232640668743346</v>
      </c>
      <c r="C58" s="142" t="n">
        <f aca="false">IFERROR(IF(OR(NOT(ISNUMBER('Price History'!C59)),NOT(ISNUMBER('Price History'!C58)),'Price History'!C58=0),"",'Price History'!C59/'Price History'!C58-1),"")</f>
        <v>0.0529346398626125</v>
      </c>
      <c r="D58" s="142" t="n">
        <f aca="false">IFERROR(IF(OR(NOT(ISNUMBER('Price History'!D59)),NOT(ISNUMBER('Price History'!D58)),'Price History'!D58=0),"",'Price History'!D59/'Price History'!D58-1),"")</f>
        <v>0.00922772712292663</v>
      </c>
      <c r="E58" s="142" t="n">
        <f aca="false">IFERROR(IF(OR(NOT(ISNUMBER('Price History'!E59)),NOT(ISNUMBER('Price History'!E58)),'Price History'!E58=0),"",'Price History'!E59/'Price History'!E58-1),"")</f>
        <v>0.0274146172896388</v>
      </c>
      <c r="F58" s="142" t="n">
        <f aca="false">IFERROR(IF(OR(NOT(ISNUMBER('Price History'!F59)),NOT(ISNUMBER('Price History'!F58)),'Price History'!F58=0),"",'Price History'!F59/'Price History'!F58-1),"")</f>
        <v>0.0956747878456064</v>
      </c>
      <c r="G58" s="142" t="n">
        <f aca="false">IFERROR(IF(OR(NOT(ISNUMBER('Price History'!G59)),NOT(ISNUMBER('Price History'!G58)),'Price History'!G58=0),"",'Price History'!G59/'Price History'!G58-1),"")</f>
        <v>0.0207554466933095</v>
      </c>
      <c r="H58" s="142" t="n">
        <f aca="false">IFERROR(IF(OR(NOT(ISNUMBER('Price History'!H59)),NOT(ISNUMBER('Price History'!H58)),'Price History'!H58=0),"",'Price History'!H59/'Price History'!H58-1),"")</f>
        <v>0.0468457828953843</v>
      </c>
      <c r="I58" s="142" t="n">
        <f aca="false">IFERROR(IF(OR(NOT(ISNUMBER('Price History'!I59)),NOT(ISNUMBER('Price History'!I58)),'Price History'!I58=0),"",'Price History'!I59/'Price History'!I58-1),"")</f>
        <v>0.0790593145517295</v>
      </c>
      <c r="J58" s="142" t="n">
        <f aca="false">IFERROR(IF(OR(NOT(ISNUMBER('Price History'!J59)),NOT(ISNUMBER('Price History'!J58)),'Price History'!J58=0),"",'Price History'!J59/'Price History'!J58-1),"")</f>
        <v>-0.0178150379879487</v>
      </c>
      <c r="K58" s="142" t="n">
        <f aca="false">IFERROR(IF(OR(NOT(ISNUMBER('Price History'!K59)),NOT(ISNUMBER('Price History'!K58)),'Price History'!K58=0),"",'Price History'!K59/'Price History'!K58-1),"")</f>
        <v>0.0874781304673831</v>
      </c>
      <c r="L58" s="142" t="n">
        <f aca="false">IFERROR(IF(OR(NOT(ISNUMBER('Price History'!L59)),NOT(ISNUMBER('Price History'!L58)),'Price History'!L58=0),"",'Price History'!L59/'Price History'!L58-1),"")</f>
        <v>0.0532239819004525</v>
      </c>
      <c r="M58" s="142" t="n">
        <f aca="false">IFERROR(IF(OR(NOT(ISNUMBER('Price History'!M59)),NOT(ISNUMBER('Price History'!M58)),'Price History'!M58=0),"",'Price History'!M59/'Price History'!M58-1),"")</f>
        <v>0.0630776560266793</v>
      </c>
      <c r="N58" s="142" t="n">
        <f aca="false">IFERROR(IF(OR(NOT(ISNUMBER('Price History'!N59)),NOT(ISNUMBER('Price History'!N58)),'Price History'!N58=0),"",'Price History'!N59/'Price History'!N58-1),"")</f>
        <v>0.0579824734796073</v>
      </c>
      <c r="O58" s="142" t="n">
        <f aca="false">IFERROR(IF(OR(NOT(ISNUMBER('Price History'!O59)),NOT(ISNUMBER('Price History'!O58)),'Price History'!O58=0),"",'Price History'!O59/'Price History'!O58-1),"")</f>
        <v>0.0119431891542932</v>
      </c>
      <c r="P58" s="142" t="n">
        <f aca="false">IFERROR(IF(OR(NOT(ISNUMBER('Price History'!P59)),NOT(ISNUMBER('Price History'!P58)),'Price History'!P58=0),"",'Price History'!P59/'Price History'!P58-1),"")</f>
        <v>0.000559865632248302</v>
      </c>
      <c r="Q58" s="142" t="n">
        <f aca="false">IFERROR(IF(OR(NOT(ISNUMBER('Price History'!Q59)),NOT(ISNUMBER('Price History'!Q58)),'Price History'!Q58=0),"",'Price History'!Q59/'Price History'!Q58-1),"")</f>
        <v>0.00813818302607539</v>
      </c>
      <c r="R58" s="142" t="n">
        <f aca="false">IFERROR(IF(OR(NOT(ISNUMBER('Price History'!R59)),NOT(ISNUMBER('Price History'!R58)),'Price History'!R58=0),"",'Price History'!R59/'Price History'!R58-1),"")</f>
        <v>0.00899446494464939</v>
      </c>
      <c r="S58" s="142" t="n">
        <f aca="false">IFERROR(IF(OR(NOT(ISNUMBER('Price History'!S59)),NOT(ISNUMBER('Price History'!S58)),'Price History'!S58=0),"",'Price History'!S59/'Price History'!S58-1),"")</f>
        <v>0.0216090425531916</v>
      </c>
      <c r="T58" s="142" t="n">
        <f aca="false">IFERROR(IF(OR(NOT(ISNUMBER('Price History'!T59)),NOT(ISNUMBER('Price History'!T58)),'Price History'!T58=0),"",'Price History'!T59/'Price History'!T58-1),"")</f>
        <v>0.00425273390036463</v>
      </c>
      <c r="U58" s="142" t="n">
        <f aca="false">IFERROR(IF(OR(NOT(ISNUMBER('Price History'!U59)),NOT(ISNUMBER('Price History'!U58)),'Price History'!U58=0),"",'Price History'!U59/'Price History'!U58-1),"")</f>
        <v>0.0114242193450114</v>
      </c>
      <c r="V58" s="143" t="n">
        <f aca="false">IFERROR(IF(OR(NOT(ISNUMBER('Price History'!V59)),NOT(ISNUMBER('Price History'!V58)),'Price History'!V58=0),"",'Price History'!V59/'Price History'!V58-1),"")</f>
        <v>-0.000328707085463953</v>
      </c>
      <c r="W58" s="144" t="n">
        <f aca="false">IFERROR('Price History'!B3+(INDEX('Price History'!B:B,MATCH(9.99E+307,'Returns (Calc)'!$A:$A)+1)-'Price History'!B3)*(ROW()-3)/(MATCH(9.99E+307,'Returns (Calc)'!$A:$A)-3),"")</f>
        <v>427.522911392405</v>
      </c>
      <c r="X58" s="144" t="n">
        <f aca="false">IFERROR('Price History'!C3+(INDEX('Price History'!C:C,MATCH(9.99E+307,'Returns (Calc)'!$A:$A)+1)-'Price History'!C3)*(ROW()-3)/(MATCH(9.99E+307,'Returns (Calc)'!$A:$A)-3),"")</f>
        <v>102.283481012658</v>
      </c>
      <c r="Y58" s="144" t="n">
        <f aca="false">IFERROR('Price History'!D3+(INDEX('Price History'!D:D,MATCH(9.99E+307,'Returns (Calc)'!$A:$A)+1)-'Price History'!D3)*(ROW()-3)/(MATCH(9.99E+307,'Returns (Calc)'!$A:$A)-3),"")</f>
        <v>1029.42455696203</v>
      </c>
      <c r="Z58" s="144" t="n">
        <f aca="false">IFERROR('Price History'!E3+(INDEX('Price History'!E:E,MATCH(9.99E+307,'Returns (Calc)'!$A:$A)+1)-'Price History'!E3)*(ROW()-3)/(MATCH(9.99E+307,'Returns (Calc)'!$A:$A)-3),"")</f>
        <v>177.080379746835</v>
      </c>
      <c r="AA58" s="144" t="n">
        <f aca="false">IFERROR('Price History'!F3+(INDEX('Price History'!F:F,MATCH(9.99E+307,'Returns (Calc)'!$A:$A)+1)-'Price History'!F3)*(ROW()-3)/(MATCH(9.99E+307,'Returns (Calc)'!$A:$A)-3),"")</f>
        <v>120.963797468354</v>
      </c>
      <c r="AB58" s="144" t="n">
        <f aca="false">IFERROR('Price History'!G3+(INDEX('Price History'!G:G,MATCH(9.99E+307,'Returns (Calc)'!$A:$A)+1)-'Price History'!G3)*(ROW()-3)/(MATCH(9.99E+307,'Returns (Calc)'!$A:$A)-3),"")</f>
        <v>100.930379746835</v>
      </c>
      <c r="AC58" s="144" t="n">
        <f aca="false">IFERROR('Price History'!H3+(INDEX('Price History'!H:H,MATCH(9.99E+307,'Returns (Calc)'!$A:$A)+1)-'Price History'!H3)*(ROW()-3)/(MATCH(9.99E+307,'Returns (Calc)'!$A:$A)-3),"")</f>
        <v>419.223291139241</v>
      </c>
      <c r="AD58" s="144" t="n">
        <f aca="false">IFERROR('Price History'!I3+(INDEX('Price History'!I:I,MATCH(9.99E+307,'Returns (Calc)'!$A:$A)+1)-'Price History'!I3)*(ROW()-3)/(MATCH(9.99E+307,'Returns (Calc)'!$A:$A)-3),"")</f>
        <v>109.971898734177</v>
      </c>
      <c r="AE58" s="144" t="n">
        <f aca="false">IFERROR('Price History'!J3+(INDEX('Price History'!J:J,MATCH(9.99E+307,'Returns (Calc)'!$A:$A)+1)-'Price History'!J3)*(ROW()-3)/(MATCH(9.99E+307,'Returns (Calc)'!$A:$A)-3),"")</f>
        <v>117.782088607595</v>
      </c>
      <c r="AF58" s="144" t="n">
        <f aca="false">IFERROR('Price History'!K3+(INDEX('Price History'!K:K,MATCH(9.99E+307,'Returns (Calc)'!$A:$A)+1)-'Price History'!K3)*(ROW()-3)/(MATCH(9.99E+307,'Returns (Calc)'!$A:$A)-3),"")</f>
        <v>75.6977215189873</v>
      </c>
      <c r="AG58" s="144" t="n">
        <f aca="false">IFERROR('Price History'!L3+(INDEX('Price History'!L:L,MATCH(9.99E+307,'Returns (Calc)'!$A:$A)+1)-'Price History'!L3)*(ROW()-3)/(MATCH(9.99E+307,'Returns (Calc)'!$A:$A)-3),"")</f>
        <v>220.475632911392</v>
      </c>
      <c r="AH58" s="144" t="n">
        <f aca="false">IFERROR('Price History'!M3+(INDEX('Price History'!M:M,MATCH(9.99E+307,'Returns (Calc)'!$A:$A)+1)-'Price History'!M3)*(ROW()-3)/(MATCH(9.99E+307,'Returns (Calc)'!$A:$A)-3),"")</f>
        <v>112.569367088608</v>
      </c>
      <c r="AI58" s="144" t="n">
        <f aca="false">IFERROR('Price History'!N3+(INDEX('Price History'!N:N,MATCH(9.99E+307,'Returns (Calc)'!$A:$A)+1)-'Price History'!N3)*(ROW()-3)/(MATCH(9.99E+307,'Returns (Calc)'!$A:$A)-3),"")</f>
        <v>403.144620253165</v>
      </c>
      <c r="AJ58" s="144" t="n">
        <f aca="false">IFERROR('Price History'!O3+(INDEX('Price History'!O:O,MATCH(9.99E+307,'Returns (Calc)'!$A:$A)+1)-'Price History'!O3)*(ROW()-3)/(MATCH(9.99E+307,'Returns (Calc)'!$A:$A)-3),"")</f>
        <v>90.8770886075949</v>
      </c>
      <c r="AK58" s="144" t="n">
        <f aca="false">IFERROR('Price History'!Q3+(INDEX('Price History'!Q:Q,MATCH(9.99E+307,'Returns (Calc)'!$A:$A)+1)-'Price History'!Q3)*(ROW()-3)/(MATCH(9.99E+307,'Returns (Calc)'!$A:$A)-3),"")</f>
        <v>24.1651898734177</v>
      </c>
      <c r="AL58" s="144" t="n">
        <f aca="false">IFERROR('Price History'!R3+(INDEX('Price History'!R:R,MATCH(9.99E+307,'Returns (Calc)'!$A:$A)+1)-'Price History'!R3)*(ROW()-3)/(MATCH(9.99E+307,'Returns (Calc)'!$A:$A)-3),"")</f>
        <v>43.7255696202532</v>
      </c>
      <c r="AM58" s="144" t="n">
        <f aca="false">IFERROR('Price History'!S3+(INDEX('Price History'!S:S,MATCH(9.99E+307,'Returns (Calc)'!$A:$A)+1)-'Price History'!S3)*(ROW()-3)/(MATCH(9.99E+307,'Returns (Calc)'!$A:$A)-3),"")</f>
        <v>90.9084810126582</v>
      </c>
      <c r="AN58" s="144" t="n">
        <f aca="false">IFERROR('Price History'!T3+(INDEX('Price History'!T:T,MATCH(9.99E+307,'Returns (Calc)'!$A:$A)+1)-'Price History'!T3)*(ROW()-3)/(MATCH(9.99E+307,'Returns (Calc)'!$A:$A)-3),"")</f>
        <v>34.4925316455696</v>
      </c>
      <c r="AO58" s="145" t="n">
        <f aca="false">IFERROR('Price History'!V3+(INDEX('Price History'!V:V,MATCH(9.99E+307,'Returns (Calc)'!$A:$A)+1)-'Price History'!V3)*(ROW()-3)/(MATCH(9.99E+307,'Returns (Calc)'!$A:$A)-3),"")</f>
        <v>279.153101265823</v>
      </c>
      <c r="AP58" s="143" t="n">
        <f aca="false">IFERROR(IF(OR(NOT(ISNUMBER('Price History'!W59)),NOT(ISNUMBER('Price History'!W58)),'Price History'!W58=0),"",'Price History'!W59/'Price History'!W58-1),"")</f>
        <v>0.011122015047432</v>
      </c>
      <c r="AQ58" s="143" t="str">
        <f aca="false">IFERROR(IF(OR(NOT(ISNUMBER('Price History'!X59)),NOT(ISNUMBER('Price History'!X58)),'Price History'!X58=0),"",'Price History'!X59/'Price History'!X58-1),"")</f>
        <v/>
      </c>
      <c r="AR58" s="143" t="n">
        <f aca="false">IFERROR(IF(OR(NOT(ISNUMBER('Price History'!Y59)),NOT(ISNUMBER('Price History'!Y58)),'Price History'!Y58=0),"",'Price History'!Y59/'Price History'!Y58-1),"")</f>
        <v>0.00537099661826135</v>
      </c>
      <c r="AS58" s="143" t="n">
        <f aca="false">IFERROR(IF(OR(NOT(ISNUMBER('Price History'!Z59)),NOT(ISNUMBER('Price History'!Z58)),'Price History'!Z58=0),"",'Price History'!Z59/'Price History'!Z58-1),"")</f>
        <v>0.0218118993629197</v>
      </c>
      <c r="AT58" s="143" t="n">
        <f aca="false">IFERROR(IF(OR(NOT(ISNUMBER('Price History'!AA59)),NOT(ISNUMBER('Price History'!AA58)),'Price History'!AA58=0),"",'Price History'!AA59/'Price History'!AA58-1),"")</f>
        <v>0.00430735028484097</v>
      </c>
    </row>
    <row r="59" customFormat="false" ht="15" hidden="false" customHeight="true" outlineLevel="0" collapsed="false">
      <c r="A59" s="141" t="n">
        <f aca="false">IF('Price History'!A60="","",'Price History'!A60)</f>
        <v>45583</v>
      </c>
      <c r="B59" s="142" t="n">
        <f aca="false">IFERROR(IF(OR(NOT(ISNUMBER('Price History'!B60)),NOT(ISNUMBER('Price History'!B59)),'Price History'!B59=0),"",'Price History'!B60/'Price History'!B59-1),"")</f>
        <v>-0.0010496144685318</v>
      </c>
      <c r="C59" s="142" t="n">
        <f aca="false">IFERROR(IF(OR(NOT(ISNUMBER('Price History'!C60)),NOT(ISNUMBER('Price History'!C59)),'Price History'!C59=0),"",'Price History'!C60/'Price History'!C59-1),"")</f>
        <v>-0.0357862419648853</v>
      </c>
      <c r="D59" s="142" t="n">
        <f aca="false">IFERROR(IF(OR(NOT(ISNUMBER('Price History'!D60)),NOT(ISNUMBER('Price History'!D59)),'Price History'!D59=0),"",'Price History'!D60/'Price History'!D59-1),"")</f>
        <v>-0.139678047482554</v>
      </c>
      <c r="E59" s="142" t="n">
        <f aca="false">IFERROR(IF(OR(NOT(ISNUMBER('Price History'!E60)),NOT(ISNUMBER('Price History'!E59)),'Price History'!E59=0),"",'Price History'!E60/'Price History'!E59-1),"")</f>
        <v>-0.00874488480295965</v>
      </c>
      <c r="F59" s="142" t="n">
        <f aca="false">IFERROR(IF(OR(NOT(ISNUMBER('Price History'!F60)),NOT(ISNUMBER('Price History'!F59)),'Price History'!F59=0),"",'Price History'!F60/'Price History'!F59-1),"")</f>
        <v>-0.0313554028732042</v>
      </c>
      <c r="G59" s="142" t="n">
        <f aca="false">IFERROR(IF(OR(NOT(ISNUMBER('Price History'!G60)),NOT(ISNUMBER('Price History'!G59)),'Price History'!G59=0),"",'Price History'!G60/'Price History'!G59-1),"")</f>
        <v>-0.155847436221268</v>
      </c>
      <c r="H59" s="142" t="n">
        <f aca="false">IFERROR(IF(OR(NOT(ISNUMBER('Price History'!H60)),NOT(ISNUMBER('Price History'!H59)),'Price History'!H59=0),"",'Price History'!H60/'Price History'!H59-1),"")</f>
        <v>0.0395788286170913</v>
      </c>
      <c r="I59" s="142" t="n">
        <f aca="false">IFERROR(IF(OR(NOT(ISNUMBER('Price History'!I60)),NOT(ISNUMBER('Price History'!I59)),'Price History'!I59=0),"",'Price History'!I60/'Price History'!I59-1),"")</f>
        <v>0.0237280571258554</v>
      </c>
      <c r="J59" s="142" t="n">
        <f aca="false">IFERROR(IF(OR(NOT(ISNUMBER('Price History'!J60)),NOT(ISNUMBER('Price History'!J59)),'Price History'!J59=0),"",'Price History'!J60/'Price History'!J59-1),"")</f>
        <v>0.0187605583711212</v>
      </c>
      <c r="K59" s="142" t="n">
        <f aca="false">IFERROR(IF(OR(NOT(ISNUMBER('Price History'!K60)),NOT(ISNUMBER('Price History'!K59)),'Price History'!K59=0),"",'Price History'!K60/'Price History'!K59-1),"")</f>
        <v>-0.01241094001379</v>
      </c>
      <c r="L59" s="142" t="n">
        <f aca="false">IFERROR(IF(OR(NOT(ISNUMBER('Price History'!L60)),NOT(ISNUMBER('Price History'!L59)),'Price History'!L59=0),"",'Price History'!L60/'Price History'!L59-1),"")</f>
        <v>0.0522528328231566</v>
      </c>
      <c r="M59" s="142" t="n">
        <f aca="false">IFERROR(IF(OR(NOT(ISNUMBER('Price History'!M60)),NOT(ISNUMBER('Price History'!M59)),'Price History'!M59=0),"",'Price History'!M60/'Price History'!M59-1),"")</f>
        <v>0.00367482298108812</v>
      </c>
      <c r="N59" s="142" t="n">
        <f aca="false">IFERROR(IF(OR(NOT(ISNUMBER('Price History'!N60)),NOT(ISNUMBER('Price History'!N59)),'Price History'!N59=0),"",'Price History'!N60/'Price History'!N59-1),"")</f>
        <v>0.0026779597683253</v>
      </c>
      <c r="O59" s="142" t="n">
        <f aca="false">IFERROR(IF(OR(NOT(ISNUMBER('Price History'!O60)),NOT(ISNUMBER('Price History'!O59)),'Price History'!O59=0),"",'Price History'!O60/'Price History'!O59-1),"")</f>
        <v>0.0125465178096758</v>
      </c>
      <c r="P59" s="142" t="n">
        <f aca="false">IFERROR(IF(OR(NOT(ISNUMBER('Price History'!P60)),NOT(ISNUMBER('Price History'!P59)),'Price History'!P59=0),"",'Price History'!P60/'Price History'!P59-1),"")</f>
        <v>0.0193445243804957</v>
      </c>
      <c r="Q59" s="142" t="n">
        <f aca="false">IFERROR(IF(OR(NOT(ISNUMBER('Price History'!Q60)),NOT(ISNUMBER('Price History'!Q59)),'Price History'!Q59=0),"",'Price History'!Q60/'Price History'!Q59-1),"")</f>
        <v>0.00823723228995066</v>
      </c>
      <c r="R59" s="142" t="n">
        <f aca="false">IFERROR(IF(OR(NOT(ISNUMBER('Price History'!R60)),NOT(ISNUMBER('Price History'!R59)),'Price History'!R59=0),"",'Price History'!R60/'Price History'!R59-1),"")</f>
        <v>0.00754285714285707</v>
      </c>
      <c r="S59" s="142" t="n">
        <f aca="false">IFERROR(IF(OR(NOT(ISNUMBER('Price History'!S60)),NOT(ISNUMBER('Price History'!S59)),'Price History'!S59=0),"",'Price History'!S60/'Price History'!S59-1),"")</f>
        <v>0.00433886538670136</v>
      </c>
      <c r="T59" s="142" t="n">
        <f aca="false">IFERROR(IF(OR(NOT(ISNUMBER('Price History'!T60)),NOT(ISNUMBER('Price History'!T59)),'Price History'!T59=0),"",'Price History'!T60/'Price History'!T59-1),"")</f>
        <v>-0.00483968542044777</v>
      </c>
      <c r="U59" s="142" t="n">
        <f aca="false">IFERROR(IF(OR(NOT(ISNUMBER('Price History'!U60)),NOT(ISNUMBER('Price History'!U59)),'Price History'!U59=0),"",'Price History'!U60/'Price History'!U59-1),"")</f>
        <v>0.0094126506024097</v>
      </c>
      <c r="V59" s="143" t="n">
        <f aca="false">IFERROR(IF(OR(NOT(ISNUMBER('Price History'!V60)),NOT(ISNUMBER('Price History'!V59)),'Price History'!V59=0),"",'Price History'!V60/'Price History'!V59-1),"")</f>
        <v>0.0459975886887583</v>
      </c>
      <c r="W59" s="144" t="n">
        <f aca="false">IFERROR('Price History'!B3+(INDEX('Price History'!B:B,MATCH(9.99E+307,'Returns (Calc)'!$A:$A)+1)-'Price History'!B3)*(ROW()-3)/(MATCH(9.99E+307,'Returns (Calc)'!$A:$A)-3),"")</f>
        <v>425.679873417722</v>
      </c>
      <c r="X59" s="144" t="n">
        <f aca="false">IFERROR('Price History'!C3+(INDEX('Price History'!C:C,MATCH(9.99E+307,'Returns (Calc)'!$A:$A)+1)-'Price History'!C3)*(ROW()-3)/(MATCH(9.99E+307,'Returns (Calc)'!$A:$A)-3),"")</f>
        <v>103.303544303797</v>
      </c>
      <c r="Y59" s="144" t="n">
        <f aca="false">IFERROR('Price History'!D3+(INDEX('Price History'!D:D,MATCH(9.99E+307,'Returns (Calc)'!$A:$A)+1)-'Price History'!D3)*(ROW()-3)/(MATCH(9.99E+307,'Returns (Calc)'!$A:$A)-3),"")</f>
        <v>1037.55936708861</v>
      </c>
      <c r="Z59" s="144" t="n">
        <f aca="false">IFERROR('Price History'!E3+(INDEX('Price History'!E:E,MATCH(9.99E+307,'Returns (Calc)'!$A:$A)+1)-'Price History'!E3)*(ROW()-3)/(MATCH(9.99E+307,'Returns (Calc)'!$A:$A)-3),"")</f>
        <v>178.809113924051</v>
      </c>
      <c r="AA59" s="144" t="n">
        <f aca="false">IFERROR('Price History'!F3+(INDEX('Price History'!F:F,MATCH(9.99E+307,'Returns (Calc)'!$A:$A)+1)-'Price History'!F3)*(ROW()-3)/(MATCH(9.99E+307,'Returns (Calc)'!$A:$A)-3),"")</f>
        <v>122.411139240506</v>
      </c>
      <c r="AB59" s="144" t="n">
        <f aca="false">IFERROR('Price History'!G3+(INDEX('Price History'!G:G,MATCH(9.99E+307,'Returns (Calc)'!$A:$A)+1)-'Price History'!G3)*(ROW()-3)/(MATCH(9.99E+307,'Returns (Calc)'!$A:$A)-3),"")</f>
        <v>101.959113924051</v>
      </c>
      <c r="AC59" s="144" t="n">
        <f aca="false">IFERROR('Price History'!H3+(INDEX('Price History'!H:H,MATCH(9.99E+307,'Returns (Calc)'!$A:$A)+1)-'Price History'!H3)*(ROW()-3)/(MATCH(9.99E+307,'Returns (Calc)'!$A:$A)-3),"")</f>
        <v>425.588987341772</v>
      </c>
      <c r="AD59" s="144" t="n">
        <f aca="false">IFERROR('Price History'!I3+(INDEX('Price History'!I:I,MATCH(9.99E+307,'Returns (Calc)'!$A:$A)+1)-'Price History'!I3)*(ROW()-3)/(MATCH(9.99E+307,'Returns (Calc)'!$A:$A)-3),"")</f>
        <v>111.175569620253</v>
      </c>
      <c r="AE59" s="144" t="n">
        <f aca="false">IFERROR('Price History'!J3+(INDEX('Price History'!J:J,MATCH(9.99E+307,'Returns (Calc)'!$A:$A)+1)-'Price History'!J3)*(ROW()-3)/(MATCH(9.99E+307,'Returns (Calc)'!$A:$A)-3),"")</f>
        <v>117.890126582278</v>
      </c>
      <c r="AF59" s="144" t="n">
        <f aca="false">IFERROR('Price History'!K3+(INDEX('Price History'!K:K,MATCH(9.99E+307,'Returns (Calc)'!$A:$A)+1)-'Price History'!K3)*(ROW()-3)/(MATCH(9.99E+307,'Returns (Calc)'!$A:$A)-3),"")</f>
        <v>76.7953164556962</v>
      </c>
      <c r="AG59" s="144" t="n">
        <f aca="false">IFERROR('Price History'!L3+(INDEX('Price History'!L:L,MATCH(9.99E+307,'Returns (Calc)'!$A:$A)+1)-'Price History'!L3)*(ROW()-3)/(MATCH(9.99E+307,'Returns (Calc)'!$A:$A)-3),"")</f>
        <v>222.925189873418</v>
      </c>
      <c r="AH59" s="144" t="n">
        <f aca="false">IFERROR('Price History'!M3+(INDEX('Price History'!M:M,MATCH(9.99E+307,'Returns (Calc)'!$A:$A)+1)-'Price History'!M3)*(ROW()-3)/(MATCH(9.99E+307,'Returns (Calc)'!$A:$A)-3),"")</f>
        <v>113.924810126582</v>
      </c>
      <c r="AI59" s="144" t="n">
        <f aca="false">IFERROR('Price History'!N3+(INDEX('Price History'!N:N,MATCH(9.99E+307,'Returns (Calc)'!$A:$A)+1)-'Price History'!N3)*(ROW()-3)/(MATCH(9.99E+307,'Returns (Calc)'!$A:$A)-3),"")</f>
        <v>404.130886075949</v>
      </c>
      <c r="AJ59" s="144" t="n">
        <f aca="false">IFERROR('Price History'!O3+(INDEX('Price History'!O:O,MATCH(9.99E+307,'Returns (Calc)'!$A:$A)+1)-'Price History'!O3)*(ROW()-3)/(MATCH(9.99E+307,'Returns (Calc)'!$A:$A)-3),"")</f>
        <v>91.1601265822785</v>
      </c>
      <c r="AK59" s="144" t="n">
        <f aca="false">IFERROR('Price History'!Q3+(INDEX('Price History'!Q:Q,MATCH(9.99E+307,'Returns (Calc)'!$A:$A)+1)-'Price History'!Q3)*(ROW()-3)/(MATCH(9.99E+307,'Returns (Calc)'!$A:$A)-3),"")</f>
        <v>24.6045569620253</v>
      </c>
      <c r="AL59" s="144" t="n">
        <f aca="false">IFERROR('Price History'!R3+(INDEX('Price History'!R:R,MATCH(9.99E+307,'Returns (Calc)'!$A:$A)+1)-'Price History'!R3)*(ROW()-3)/(MATCH(9.99E+307,'Returns (Calc)'!$A:$A)-3),"")</f>
        <v>43.8936708860759</v>
      </c>
      <c r="AM59" s="144" t="n">
        <f aca="false">IFERROR('Price History'!S3+(INDEX('Price History'!S:S,MATCH(9.99E+307,'Returns (Calc)'!$A:$A)+1)-'Price History'!S3)*(ROW()-3)/(MATCH(9.99E+307,'Returns (Calc)'!$A:$A)-3),"")</f>
        <v>91.5135443037975</v>
      </c>
      <c r="AN59" s="144" t="n">
        <f aca="false">IFERROR('Price History'!T3+(INDEX('Price History'!T:T,MATCH(9.99E+307,'Returns (Calc)'!$A:$A)+1)-'Price History'!T3)*(ROW()-3)/(MATCH(9.99E+307,'Returns (Calc)'!$A:$A)-3),"")</f>
        <v>34.6607594936709</v>
      </c>
      <c r="AO59" s="145" t="n">
        <f aca="false">IFERROR('Price History'!V3+(INDEX('Price History'!V:V,MATCH(9.99E+307,'Returns (Calc)'!$A:$A)+1)-'Price History'!V3)*(ROW()-3)/(MATCH(9.99E+307,'Returns (Calc)'!$A:$A)-3),"")</f>
        <v>279.944430379747</v>
      </c>
      <c r="AP59" s="143" t="n">
        <f aca="false">IFERROR(IF(OR(NOT(ISNUMBER('Price History'!W60)),NOT(ISNUMBER('Price History'!W59)),'Price History'!W59=0),"",'Price History'!W60/'Price History'!W59-1),"")</f>
        <v>0.0101099967648011</v>
      </c>
      <c r="AQ59" s="143" t="str">
        <f aca="false">IFERROR(IF(OR(NOT(ISNUMBER('Price History'!X60)),NOT(ISNUMBER('Price History'!X59)),'Price History'!X59=0),"",'Price History'!X60/'Price History'!X59-1),"")</f>
        <v/>
      </c>
      <c r="AR59" s="143" t="n">
        <f aca="false">IFERROR(IF(OR(NOT(ISNUMBER('Price History'!Y60)),NOT(ISNUMBER('Price History'!Y59)),'Price History'!Y59=0),"",'Price History'!Y60/'Price History'!Y59-1),"")</f>
        <v>0.00732093391373168</v>
      </c>
      <c r="AS59" s="143" t="n">
        <f aca="false">IFERROR(IF(OR(NOT(ISNUMBER('Price History'!Z60)),NOT(ISNUMBER('Price History'!Z59)),'Price History'!Z59=0),"",'Price History'!Z60/'Price History'!Z59-1),"")</f>
        <v>0.00755574342174792</v>
      </c>
      <c r="AT59" s="143" t="n">
        <f aca="false">IFERROR(IF(OR(NOT(ISNUMBER('Price History'!AA60)),NOT(ISNUMBER('Price History'!AA59)),'Price History'!AA59=0),"",'Price History'!AA60/'Price History'!AA59-1),"")</f>
        <v>0.0568622025456558</v>
      </c>
    </row>
    <row r="60" customFormat="false" ht="15" hidden="false" customHeight="true" outlineLevel="0" collapsed="false">
      <c r="A60" s="141" t="n">
        <f aca="false">IF('Price History'!A61="","",'Price History'!A61)</f>
        <v>45590</v>
      </c>
      <c r="B60" s="142" t="n">
        <f aca="false">IFERROR(IF(OR(NOT(ISNUMBER('Price History'!B61)),NOT(ISNUMBER('Price History'!B60)),'Price History'!B60=0),"",'Price History'!B61/'Price History'!B60-1),"")</f>
        <v>-0.0225904223075368</v>
      </c>
      <c r="C60" s="142" t="n">
        <f aca="false">IFERROR(IF(OR(NOT(ISNUMBER('Price History'!C61)),NOT(ISNUMBER('Price History'!C60)),'Price History'!C60=0),"",'Price History'!C61/'Price History'!C60-1),"")</f>
        <v>-0.0197014925373135</v>
      </c>
      <c r="D60" s="142" t="n">
        <f aca="false">IFERROR(IF(OR(NOT(ISNUMBER('Price History'!D61)),NOT(ISNUMBER('Price History'!D60)),'Price History'!D60=0),"",'Price History'!D61/'Price History'!D60-1),"")</f>
        <v>-0.0159839176764979</v>
      </c>
      <c r="E60" s="142" t="n">
        <f aca="false">IFERROR(IF(OR(NOT(ISNUMBER('Price History'!E61)),NOT(ISNUMBER('Price History'!E60)),'Price History'!E60=0),"",'Price History'!E61/'Price History'!E60-1),"")</f>
        <v>-0.0382853588192049</v>
      </c>
      <c r="F60" s="142" t="n">
        <f aca="false">IFERROR(IF(OR(NOT(ISNUMBER('Price History'!F61)),NOT(ISNUMBER('Price History'!F60)),'Price History'!F60=0),"",'Price History'!F61/'Price History'!F60-1),"")</f>
        <v>-0.0308228011348981</v>
      </c>
      <c r="G60" s="142" t="n">
        <f aca="false">IFERROR(IF(OR(NOT(ISNUMBER('Price History'!G61)),NOT(ISNUMBER('Price History'!G60)),'Price History'!G60=0),"",'Price History'!G61/'Price History'!G60-1),"")</f>
        <v>-0.00792938360263318</v>
      </c>
      <c r="H60" s="142" t="n">
        <f aca="false">IFERROR(IF(OR(NOT(ISNUMBER('Price History'!H61)),NOT(ISNUMBER('Price History'!H60)),'Price History'!H60=0),"",'Price History'!H61/'Price History'!H60-1),"")</f>
        <v>-0.0291191897268945</v>
      </c>
      <c r="I60" s="142" t="n">
        <f aca="false">IFERROR(IF(OR(NOT(ISNUMBER('Price History'!I61)),NOT(ISNUMBER('Price History'!I60)),'Price History'!I60=0),"",'Price History'!I61/'Price History'!I60-1),"")</f>
        <v>0.0256484778028045</v>
      </c>
      <c r="J60" s="142" t="n">
        <f aca="false">IFERROR(IF(OR(NOT(ISNUMBER('Price History'!J61)),NOT(ISNUMBER('Price History'!J60)),'Price History'!J60=0),"",'Price History'!J61/'Price History'!J60-1),"")</f>
        <v>-0.0404957235119567</v>
      </c>
      <c r="K60" s="142" t="n">
        <f aca="false">IFERROR(IF(OR(NOT(ISNUMBER('Price History'!K61)),NOT(ISNUMBER('Price History'!K60)),'Price History'!K60=0),"",'Price History'!K61/'Price History'!K60-1),"")</f>
        <v>0.0439841750058181</v>
      </c>
      <c r="L60" s="142" t="n">
        <f aca="false">IFERROR(IF(OR(NOT(ISNUMBER('Price History'!L61)),NOT(ISNUMBER('Price History'!L60)),'Price History'!L60=0),"",'Price History'!L61/'Price History'!L60-1),"")</f>
        <v>0.0132693681739309</v>
      </c>
      <c r="M60" s="142" t="n">
        <f aca="false">IFERROR(IF(OR(NOT(ISNUMBER('Price History'!M61)),NOT(ISNUMBER('Price History'!M60)),'Price History'!M60=0),"",'Price History'!M61/'Price History'!M60-1),"")</f>
        <v>-0.00071441328808719</v>
      </c>
      <c r="N60" s="142" t="n">
        <f aca="false">IFERROR(IF(OR(NOT(ISNUMBER('Price History'!N61)),NOT(ISNUMBER('Price History'!N60)),'Price History'!N60=0),"",'Price History'!N61/'Price History'!N60-1),"")</f>
        <v>-0.0109730848861284</v>
      </c>
      <c r="O60" s="142" t="n">
        <f aca="false">IFERROR(IF(OR(NOT(ISNUMBER('Price History'!O61)),NOT(ISNUMBER('Price History'!O60)),'Price History'!O60=0),"",'Price History'!O61/'Price History'!O60-1),"")</f>
        <v>-0.0332878294655046</v>
      </c>
      <c r="P60" s="142" t="n">
        <f aca="false">IFERROR(IF(OR(NOT(ISNUMBER('Price History'!P61)),NOT(ISNUMBER('Price History'!P60)),'Price History'!P60=0),"",'Price History'!P61/'Price History'!P60-1),"")</f>
        <v>-0.0236041405269761</v>
      </c>
      <c r="Q60" s="142" t="n">
        <f aca="false">IFERROR(IF(OR(NOT(ISNUMBER('Price History'!Q61)),NOT(ISNUMBER('Price History'!Q60)),'Price History'!Q60=0),"",'Price History'!Q61/'Price History'!Q60-1),"")</f>
        <v>-0.00277777777777777</v>
      </c>
      <c r="R60" s="142" t="n">
        <f aca="false">IFERROR(IF(OR(NOT(ISNUMBER('Price History'!R61)),NOT(ISNUMBER('Price History'!R60)),'Price History'!R60=0),"",'Price History'!R61/'Price History'!R60-1),"")</f>
        <v>0.00226860254083494</v>
      </c>
      <c r="S60" s="142" t="n">
        <f aca="false">IFERROR(IF(OR(NOT(ISNUMBER('Price History'!S61)),NOT(ISNUMBER('Price History'!S60)),'Price History'!S60=0),"",'Price History'!S61/'Price History'!S60-1),"")</f>
        <v>-0.0146884112755157</v>
      </c>
      <c r="T60" s="142" t="n">
        <f aca="false">IFERROR(IF(OR(NOT(ISNUMBER('Price History'!T61)),NOT(ISNUMBER('Price History'!T60)),'Price History'!T60=0),"",'Price History'!T61/'Price History'!T60-1),"")</f>
        <v>-0.0191489361702126</v>
      </c>
      <c r="U60" s="142" t="n">
        <f aca="false">IFERROR(IF(OR(NOT(ISNUMBER('Price History'!U61)),NOT(ISNUMBER('Price History'!U60)),'Price History'!U60=0),"",'Price History'!U61/'Price History'!U60-1),"")</f>
        <v>-0.0231256993659081</v>
      </c>
      <c r="V60" s="143" t="n">
        <f aca="false">IFERROR(IF(OR(NOT(ISNUMBER('Price History'!V61)),NOT(ISNUMBER('Price History'!V60)),'Price History'!V60=0),"",'Price History'!V61/'Price History'!V60-1),"")</f>
        <v>-0.030562347188264</v>
      </c>
      <c r="W60" s="144" t="n">
        <f aca="false">IFERROR('Price History'!B3+(INDEX('Price History'!B:B,MATCH(9.99E+307,'Returns (Calc)'!$A:$A)+1)-'Price History'!B3)*(ROW()-3)/(MATCH(9.99E+307,'Returns (Calc)'!$A:$A)-3),"")</f>
        <v>423.836835443038</v>
      </c>
      <c r="X60" s="144" t="n">
        <f aca="false">IFERROR('Price History'!C3+(INDEX('Price History'!C:C,MATCH(9.99E+307,'Returns (Calc)'!$A:$A)+1)-'Price History'!C3)*(ROW()-3)/(MATCH(9.99E+307,'Returns (Calc)'!$A:$A)-3),"")</f>
        <v>104.323607594937</v>
      </c>
      <c r="Y60" s="144" t="n">
        <f aca="false">IFERROR('Price History'!D3+(INDEX('Price History'!D:D,MATCH(9.99E+307,'Returns (Calc)'!$A:$A)+1)-'Price History'!D3)*(ROW()-3)/(MATCH(9.99E+307,'Returns (Calc)'!$A:$A)-3),"")</f>
        <v>1045.69417721519</v>
      </c>
      <c r="Z60" s="144" t="n">
        <f aca="false">IFERROR('Price History'!E3+(INDEX('Price History'!E:E,MATCH(9.99E+307,'Returns (Calc)'!$A:$A)+1)-'Price History'!E3)*(ROW()-3)/(MATCH(9.99E+307,'Returns (Calc)'!$A:$A)-3),"")</f>
        <v>180.537848101266</v>
      </c>
      <c r="AA60" s="144" t="n">
        <f aca="false">IFERROR('Price History'!F3+(INDEX('Price History'!F:F,MATCH(9.99E+307,'Returns (Calc)'!$A:$A)+1)-'Price History'!F3)*(ROW()-3)/(MATCH(9.99E+307,'Returns (Calc)'!$A:$A)-3),"")</f>
        <v>123.858481012658</v>
      </c>
      <c r="AB60" s="144" t="n">
        <f aca="false">IFERROR('Price History'!G3+(INDEX('Price History'!G:G,MATCH(9.99E+307,'Returns (Calc)'!$A:$A)+1)-'Price History'!G3)*(ROW()-3)/(MATCH(9.99E+307,'Returns (Calc)'!$A:$A)-3),"")</f>
        <v>102.987848101266</v>
      </c>
      <c r="AC60" s="144" t="n">
        <f aca="false">IFERROR('Price History'!H3+(INDEX('Price History'!H:H,MATCH(9.99E+307,'Returns (Calc)'!$A:$A)+1)-'Price History'!H3)*(ROW()-3)/(MATCH(9.99E+307,'Returns (Calc)'!$A:$A)-3),"")</f>
        <v>431.954683544304</v>
      </c>
      <c r="AD60" s="144" t="n">
        <f aca="false">IFERROR('Price History'!I3+(INDEX('Price History'!I:I,MATCH(9.99E+307,'Returns (Calc)'!$A:$A)+1)-'Price History'!I3)*(ROW()-3)/(MATCH(9.99E+307,'Returns (Calc)'!$A:$A)-3),"")</f>
        <v>112.379240506329</v>
      </c>
      <c r="AE60" s="144" t="n">
        <f aca="false">IFERROR('Price History'!J3+(INDEX('Price History'!J:J,MATCH(9.99E+307,'Returns (Calc)'!$A:$A)+1)-'Price History'!J3)*(ROW()-3)/(MATCH(9.99E+307,'Returns (Calc)'!$A:$A)-3),"")</f>
        <v>117.998164556962</v>
      </c>
      <c r="AF60" s="144" t="n">
        <f aca="false">IFERROR('Price History'!K3+(INDEX('Price History'!K:K,MATCH(9.99E+307,'Returns (Calc)'!$A:$A)+1)-'Price History'!K3)*(ROW()-3)/(MATCH(9.99E+307,'Returns (Calc)'!$A:$A)-3),"")</f>
        <v>77.8929113924051</v>
      </c>
      <c r="AG60" s="144" t="n">
        <f aca="false">IFERROR('Price History'!L3+(INDEX('Price History'!L:L,MATCH(9.99E+307,'Returns (Calc)'!$A:$A)+1)-'Price History'!L3)*(ROW()-3)/(MATCH(9.99E+307,'Returns (Calc)'!$A:$A)-3),"")</f>
        <v>225.374746835443</v>
      </c>
      <c r="AH60" s="144" t="n">
        <f aca="false">IFERROR('Price History'!M3+(INDEX('Price History'!M:M,MATCH(9.99E+307,'Returns (Calc)'!$A:$A)+1)-'Price History'!M3)*(ROW()-3)/(MATCH(9.99E+307,'Returns (Calc)'!$A:$A)-3),"")</f>
        <v>115.280253164557</v>
      </c>
      <c r="AI60" s="144" t="n">
        <f aca="false">IFERROR('Price History'!N3+(INDEX('Price History'!N:N,MATCH(9.99E+307,'Returns (Calc)'!$A:$A)+1)-'Price History'!N3)*(ROW()-3)/(MATCH(9.99E+307,'Returns (Calc)'!$A:$A)-3),"")</f>
        <v>405.117151898734</v>
      </c>
      <c r="AJ60" s="144" t="n">
        <f aca="false">IFERROR('Price History'!O3+(INDEX('Price History'!O:O,MATCH(9.99E+307,'Returns (Calc)'!$A:$A)+1)-'Price History'!O3)*(ROW()-3)/(MATCH(9.99E+307,'Returns (Calc)'!$A:$A)-3),"")</f>
        <v>91.443164556962</v>
      </c>
      <c r="AK60" s="144" t="n">
        <f aca="false">IFERROR('Price History'!Q3+(INDEX('Price History'!Q:Q,MATCH(9.99E+307,'Returns (Calc)'!$A:$A)+1)-'Price History'!Q3)*(ROW()-3)/(MATCH(9.99E+307,'Returns (Calc)'!$A:$A)-3),"")</f>
        <v>25.0439240506329</v>
      </c>
      <c r="AL60" s="144" t="n">
        <f aca="false">IFERROR('Price History'!R3+(INDEX('Price History'!R:R,MATCH(9.99E+307,'Returns (Calc)'!$A:$A)+1)-'Price History'!R3)*(ROW()-3)/(MATCH(9.99E+307,'Returns (Calc)'!$A:$A)-3),"")</f>
        <v>44.0617721518987</v>
      </c>
      <c r="AM60" s="144" t="n">
        <f aca="false">IFERROR('Price History'!S3+(INDEX('Price History'!S:S,MATCH(9.99E+307,'Returns (Calc)'!$A:$A)+1)-'Price History'!S3)*(ROW()-3)/(MATCH(9.99E+307,'Returns (Calc)'!$A:$A)-3),"")</f>
        <v>92.1186075949367</v>
      </c>
      <c r="AN60" s="144" t="n">
        <f aca="false">IFERROR('Price History'!T3+(INDEX('Price History'!T:T,MATCH(9.99E+307,'Returns (Calc)'!$A:$A)+1)-'Price History'!T3)*(ROW()-3)/(MATCH(9.99E+307,'Returns (Calc)'!$A:$A)-3),"")</f>
        <v>34.8289873417722</v>
      </c>
      <c r="AO60" s="145" t="n">
        <f aca="false">IFERROR('Price History'!V3+(INDEX('Price History'!V:V,MATCH(9.99E+307,'Returns (Calc)'!$A:$A)+1)-'Price History'!V3)*(ROW()-3)/(MATCH(9.99E+307,'Returns (Calc)'!$A:$A)-3),"")</f>
        <v>280.735759493671</v>
      </c>
      <c r="AP60" s="143" t="n">
        <f aca="false">IFERROR(IF(OR(NOT(ISNUMBER('Price History'!W61)),NOT(ISNUMBER('Price History'!W60)),'Price History'!W60=0),"",'Price History'!W61/'Price History'!W60-1),"")</f>
        <v>-0.0228200816718712</v>
      </c>
      <c r="AQ60" s="143" t="str">
        <f aca="false">IFERROR(IF(OR(NOT(ISNUMBER('Price History'!X61)),NOT(ISNUMBER('Price History'!X60)),'Price History'!X60=0),"",'Price History'!X61/'Price History'!X60-1),"")</f>
        <v/>
      </c>
      <c r="AR60" s="143" t="n">
        <f aca="false">IFERROR(IF(OR(NOT(ISNUMBER('Price History'!Y61)),NOT(ISNUMBER('Price History'!Y60)),'Price History'!Y60=0),"",'Price History'!Y61/'Price History'!Y60-1),"")</f>
        <v>-0.0111962286387741</v>
      </c>
      <c r="AS60" s="143" t="n">
        <f aca="false">IFERROR(IF(OR(NOT(ISNUMBER('Price History'!Z61)),NOT(ISNUMBER('Price History'!Z60)),'Price History'!Z60=0),"",'Price History'!Z61/'Price History'!Z60-1),"")</f>
        <v>-0.0701137972625728</v>
      </c>
      <c r="AT60" s="143" t="n">
        <f aca="false">IFERROR(IF(OR(NOT(ISNUMBER('Price History'!AA61)),NOT(ISNUMBER('Price History'!AA60)),'Price History'!AA60=0),"",'Price History'!AA61/'Price History'!AA60-1),"")</f>
        <v>-0.0120434611860192</v>
      </c>
    </row>
    <row r="61" customFormat="false" ht="15" hidden="false" customHeight="true" outlineLevel="0" collapsed="false">
      <c r="A61" s="141" t="n">
        <f aca="false">IF('Price History'!A62="","",'Price History'!A62)</f>
        <v>45597</v>
      </c>
      <c r="B61" s="142" t="n">
        <f aca="false">IFERROR(IF(OR(NOT(ISNUMBER('Price History'!B62)),NOT(ISNUMBER('Price History'!B61)),'Price History'!B61=0),"",'Price History'!B62/'Price History'!B61-1),"")</f>
        <v>-0.00190192673447454</v>
      </c>
      <c r="C61" s="142" t="n">
        <f aca="false">IFERROR(IF(OR(NOT(ISNUMBER('Price History'!C62)),NOT(ISNUMBER('Price History'!C61)),'Price History'!C61=0),"",'Price History'!C62/'Price History'!C61-1),"")</f>
        <v>0.000203004466098333</v>
      </c>
      <c r="D61" s="142" t="n">
        <f aca="false">IFERROR(IF(OR(NOT(ISNUMBER('Price History'!D62)),NOT(ISNUMBER('Price History'!D61)),'Price History'!D61=0),"",'Price History'!D62/'Price History'!D61-1),"")</f>
        <v>-0.0497449890709603</v>
      </c>
      <c r="E61" s="142" t="n">
        <f aca="false">IFERROR(IF(OR(NOT(ISNUMBER('Price History'!E62)),NOT(ISNUMBER('Price History'!E61)),'Price History'!E61=0),"",'Price History'!E62/'Price History'!E61-1),"")</f>
        <v>-0.0236387157473833</v>
      </c>
      <c r="F61" s="142" t="n">
        <f aca="false">IFERROR(IF(OR(NOT(ISNUMBER('Price History'!F62)),NOT(ISNUMBER('Price History'!F61)),'Price History'!F61=0),"",'Price History'!F62/'Price History'!F61-1),"")</f>
        <v>0.00838323353293413</v>
      </c>
      <c r="G61" s="142" t="n">
        <f aca="false">IFERROR(IF(OR(NOT(ISNUMBER('Price History'!G62)),NOT(ISNUMBER('Price History'!G61)),'Price History'!G61=0),"",'Price History'!G62/'Price History'!G61-1),"")</f>
        <v>-0.00557985220931989</v>
      </c>
      <c r="H61" s="142" t="n">
        <f aca="false">IFERROR(IF(OR(NOT(ISNUMBER('Price History'!H62)),NOT(ISNUMBER('Price History'!H61)),'Price History'!H61=0),"",'Price History'!H62/'Price History'!H61-1),"")</f>
        <v>-0.0758196721311476</v>
      </c>
      <c r="I61" s="142" t="n">
        <f aca="false">IFERROR(IF(OR(NOT(ISNUMBER('Price History'!I62)),NOT(ISNUMBER('Price History'!I61)),'Price History'!I61=0),"",'Price History'!I62/'Price History'!I61-1),"")</f>
        <v>-0.0433550580901105</v>
      </c>
      <c r="J61" s="142" t="n">
        <f aca="false">IFERROR(IF(OR(NOT(ISNUMBER('Price History'!J62)),NOT(ISNUMBER('Price History'!J61)),'Price History'!J61=0),"",'Price History'!J62/'Price History'!J61-1),"")</f>
        <v>-0.0352010187374933</v>
      </c>
      <c r="K61" s="142" t="n">
        <f aca="false">IFERROR(IF(OR(NOT(ISNUMBER('Price History'!K62)),NOT(ISNUMBER('Price History'!K61)),'Price History'!K61=0),"",'Price History'!K62/'Price History'!K61-1),"")</f>
        <v>-0.0655372269282211</v>
      </c>
      <c r="L61" s="142" t="n">
        <f aca="false">IFERROR(IF(OR(NOT(ISNUMBER('Price History'!L62)),NOT(ISNUMBER('Price History'!L61)),'Price History'!L61=0),"",'Price History'!L62/'Price History'!L61-1),"")</f>
        <v>-0.0515765085121385</v>
      </c>
      <c r="M61" s="142" t="n">
        <f aca="false">IFERROR(IF(OR(NOT(ISNUMBER('Price History'!M62)),NOT(ISNUMBER('Price History'!M61)),'Price History'!M61=0),"",'Price History'!M62/'Price History'!M61-1),"")</f>
        <v>-0.0470062555853441</v>
      </c>
      <c r="N61" s="142" t="n">
        <f aca="false">IFERROR(IF(OR(NOT(ISNUMBER('Price History'!N62)),NOT(ISNUMBER('Price History'!N61)),'Price History'!N61=0),"",'Price History'!N62/'Price History'!N61-1),"")</f>
        <v>-0.0137743353569185</v>
      </c>
      <c r="O61" s="142" t="n">
        <f aca="false">IFERROR(IF(OR(NOT(ISNUMBER('Price History'!O62)),NOT(ISNUMBER('Price History'!O61)),'Price History'!O61=0),"",'Price History'!O62/'Price History'!O61-1),"")</f>
        <v>-0.00238974581794482</v>
      </c>
      <c r="P61" s="142" t="n">
        <f aca="false">IFERROR(IF(OR(NOT(ISNUMBER('Price History'!P62)),NOT(ISNUMBER('Price History'!P61)),'Price History'!P61=0),"",'Price History'!P62/'Price History'!P61-1),"")</f>
        <v>-0.000963778009798411</v>
      </c>
      <c r="Q61" s="142" t="n">
        <f aca="false">IFERROR(IF(OR(NOT(ISNUMBER('Price History'!Q62)),NOT(ISNUMBER('Price History'!Q61)),'Price History'!Q61=0),"",'Price History'!Q62/'Price History'!Q61-1),"")</f>
        <v>-0.00884810748812059</v>
      </c>
      <c r="R61" s="142" t="n">
        <f aca="false">IFERROR(IF(OR(NOT(ISNUMBER('Price History'!R62)),NOT(ISNUMBER('Price History'!R61)),'Price History'!R61=0),"",'Price History'!R62/'Price History'!R61-1),"")</f>
        <v>-0.00837483023992747</v>
      </c>
      <c r="S61" s="142" t="n">
        <f aca="false">IFERROR(IF(OR(NOT(ISNUMBER('Price History'!S62)),NOT(ISNUMBER('Price History'!S61)),'Price History'!S61=0),"",'Price History'!S62/'Price History'!S61-1),"")</f>
        <v>-0.0137016332346815</v>
      </c>
      <c r="T61" s="142" t="n">
        <f aca="false">IFERROR(IF(OR(NOT(ISNUMBER('Price History'!T62)),NOT(ISNUMBER('Price History'!T61)),'Price History'!T61=0),"",'Price History'!T62/'Price History'!T61-1),"")</f>
        <v>0.000619770684846532</v>
      </c>
      <c r="U61" s="142" t="n">
        <f aca="false">IFERROR(IF(OR(NOT(ISNUMBER('Price History'!U62)),NOT(ISNUMBER('Price History'!U61)),'Price History'!U61=0),"",'Price History'!U62/'Price History'!U61-1),"")</f>
        <v>-0.00152730049637273</v>
      </c>
      <c r="V61" s="143" t="n">
        <f aca="false">IFERROR(IF(OR(NOT(ISNUMBER('Price History'!V62)),NOT(ISNUMBER('Price History'!V61)),'Price History'!V61=0),"",'Price History'!V62/'Price History'!V61-1),"")</f>
        <v>0.0319582057286976</v>
      </c>
      <c r="W61" s="144" t="n">
        <f aca="false">IFERROR('Price History'!B3+(INDEX('Price History'!B:B,MATCH(9.99E+307,'Returns (Calc)'!$A:$A)+1)-'Price History'!B3)*(ROW()-3)/(MATCH(9.99E+307,'Returns (Calc)'!$A:$A)-3),"")</f>
        <v>421.993797468354</v>
      </c>
      <c r="X61" s="144" t="n">
        <f aca="false">IFERROR('Price History'!C3+(INDEX('Price History'!C:C,MATCH(9.99E+307,'Returns (Calc)'!$A:$A)+1)-'Price History'!C3)*(ROW()-3)/(MATCH(9.99E+307,'Returns (Calc)'!$A:$A)-3),"")</f>
        <v>105.343670886076</v>
      </c>
      <c r="Y61" s="144" t="n">
        <f aca="false">IFERROR('Price History'!D3+(INDEX('Price History'!D:D,MATCH(9.99E+307,'Returns (Calc)'!$A:$A)+1)-'Price History'!D3)*(ROW()-3)/(MATCH(9.99E+307,'Returns (Calc)'!$A:$A)-3),"")</f>
        <v>1053.82898734177</v>
      </c>
      <c r="Z61" s="144" t="n">
        <f aca="false">IFERROR('Price History'!E3+(INDEX('Price History'!E:E,MATCH(9.99E+307,'Returns (Calc)'!$A:$A)+1)-'Price History'!E3)*(ROW()-3)/(MATCH(9.99E+307,'Returns (Calc)'!$A:$A)-3),"")</f>
        <v>182.266582278481</v>
      </c>
      <c r="AA61" s="144" t="n">
        <f aca="false">IFERROR('Price History'!F3+(INDEX('Price History'!F:F,MATCH(9.99E+307,'Returns (Calc)'!$A:$A)+1)-'Price History'!F3)*(ROW()-3)/(MATCH(9.99E+307,'Returns (Calc)'!$A:$A)-3),"")</f>
        <v>125.30582278481</v>
      </c>
      <c r="AB61" s="144" t="n">
        <f aca="false">IFERROR('Price History'!G3+(INDEX('Price History'!G:G,MATCH(9.99E+307,'Returns (Calc)'!$A:$A)+1)-'Price History'!G3)*(ROW()-3)/(MATCH(9.99E+307,'Returns (Calc)'!$A:$A)-3),"")</f>
        <v>104.016582278481</v>
      </c>
      <c r="AC61" s="144" t="n">
        <f aca="false">IFERROR('Price History'!H3+(INDEX('Price History'!H:H,MATCH(9.99E+307,'Returns (Calc)'!$A:$A)+1)-'Price History'!H3)*(ROW()-3)/(MATCH(9.99E+307,'Returns (Calc)'!$A:$A)-3),"")</f>
        <v>438.320379746836</v>
      </c>
      <c r="AD61" s="144" t="n">
        <f aca="false">IFERROR('Price History'!I3+(INDEX('Price History'!I:I,MATCH(9.99E+307,'Returns (Calc)'!$A:$A)+1)-'Price History'!I3)*(ROW()-3)/(MATCH(9.99E+307,'Returns (Calc)'!$A:$A)-3),"")</f>
        <v>113.582911392405</v>
      </c>
      <c r="AE61" s="144" t="n">
        <f aca="false">IFERROR('Price History'!J3+(INDEX('Price History'!J:J,MATCH(9.99E+307,'Returns (Calc)'!$A:$A)+1)-'Price History'!J3)*(ROW()-3)/(MATCH(9.99E+307,'Returns (Calc)'!$A:$A)-3),"")</f>
        <v>118.106202531646</v>
      </c>
      <c r="AF61" s="144" t="n">
        <f aca="false">IFERROR('Price History'!K3+(INDEX('Price History'!K:K,MATCH(9.99E+307,'Returns (Calc)'!$A:$A)+1)-'Price History'!K3)*(ROW()-3)/(MATCH(9.99E+307,'Returns (Calc)'!$A:$A)-3),"")</f>
        <v>78.9905063291139</v>
      </c>
      <c r="AG61" s="144" t="n">
        <f aca="false">IFERROR('Price History'!L3+(INDEX('Price History'!L:L,MATCH(9.99E+307,'Returns (Calc)'!$A:$A)+1)-'Price History'!L3)*(ROW()-3)/(MATCH(9.99E+307,'Returns (Calc)'!$A:$A)-3),"")</f>
        <v>227.824303797468</v>
      </c>
      <c r="AH61" s="144" t="n">
        <f aca="false">IFERROR('Price History'!M3+(INDEX('Price History'!M:M,MATCH(9.99E+307,'Returns (Calc)'!$A:$A)+1)-'Price History'!M3)*(ROW()-3)/(MATCH(9.99E+307,'Returns (Calc)'!$A:$A)-3),"")</f>
        <v>116.635696202532</v>
      </c>
      <c r="AI61" s="144" t="n">
        <f aca="false">IFERROR('Price History'!N3+(INDEX('Price History'!N:N,MATCH(9.99E+307,'Returns (Calc)'!$A:$A)+1)-'Price History'!N3)*(ROW()-3)/(MATCH(9.99E+307,'Returns (Calc)'!$A:$A)-3),"")</f>
        <v>406.103417721519</v>
      </c>
      <c r="AJ61" s="144" t="n">
        <f aca="false">IFERROR('Price History'!O3+(INDEX('Price History'!O:O,MATCH(9.99E+307,'Returns (Calc)'!$A:$A)+1)-'Price History'!O3)*(ROW()-3)/(MATCH(9.99E+307,'Returns (Calc)'!$A:$A)-3),"")</f>
        <v>91.7262025316456</v>
      </c>
      <c r="AK61" s="144" t="n">
        <f aca="false">IFERROR('Price History'!Q3+(INDEX('Price History'!Q:Q,MATCH(9.99E+307,'Returns (Calc)'!$A:$A)+1)-'Price History'!Q3)*(ROW()-3)/(MATCH(9.99E+307,'Returns (Calc)'!$A:$A)-3),"")</f>
        <v>25.4832911392405</v>
      </c>
      <c r="AL61" s="144" t="n">
        <f aca="false">IFERROR('Price History'!R3+(INDEX('Price History'!R:R,MATCH(9.99E+307,'Returns (Calc)'!$A:$A)+1)-'Price History'!R3)*(ROW()-3)/(MATCH(9.99E+307,'Returns (Calc)'!$A:$A)-3),"")</f>
        <v>44.2298734177215</v>
      </c>
      <c r="AM61" s="144" t="n">
        <f aca="false">IFERROR('Price History'!S3+(INDEX('Price History'!S:S,MATCH(9.99E+307,'Returns (Calc)'!$A:$A)+1)-'Price History'!S3)*(ROW()-3)/(MATCH(9.99E+307,'Returns (Calc)'!$A:$A)-3),"")</f>
        <v>92.723670886076</v>
      </c>
      <c r="AN61" s="144" t="n">
        <f aca="false">IFERROR('Price History'!T3+(INDEX('Price History'!T:T,MATCH(9.99E+307,'Returns (Calc)'!$A:$A)+1)-'Price History'!T3)*(ROW()-3)/(MATCH(9.99E+307,'Returns (Calc)'!$A:$A)-3),"")</f>
        <v>34.9972151898734</v>
      </c>
      <c r="AO61" s="145" t="n">
        <f aca="false">IFERROR('Price History'!V3+(INDEX('Price History'!V:V,MATCH(9.99E+307,'Returns (Calc)'!$A:$A)+1)-'Price History'!V3)*(ROW()-3)/(MATCH(9.99E+307,'Returns (Calc)'!$A:$A)-3),"")</f>
        <v>281.527088607595</v>
      </c>
      <c r="AP61" s="143" t="n">
        <f aca="false">IFERROR(IF(OR(NOT(ISNUMBER('Price History'!W62)),NOT(ISNUMBER('Price History'!W61)),'Price History'!W61=0),"",'Price History'!W62/'Price History'!W61-1),"")</f>
        <v>-0.00696492953130123</v>
      </c>
      <c r="AQ61" s="143" t="str">
        <f aca="false">IFERROR(IF(OR(NOT(ISNUMBER('Price History'!X62)),NOT(ISNUMBER('Price History'!X61)),'Price History'!X61=0),"",'Price History'!X62/'Price History'!X61-1),"")</f>
        <v/>
      </c>
      <c r="AR61" s="143" t="n">
        <f aca="false">IFERROR(IF(OR(NOT(ISNUMBER('Price History'!Y62)),NOT(ISNUMBER('Price History'!Y61)),'Price History'!Y61=0),"",'Price History'!Y62/'Price History'!Y61-1),"")</f>
        <v>-0.00655542312276536</v>
      </c>
      <c r="AS61" s="143" t="n">
        <f aca="false">IFERROR(IF(OR(NOT(ISNUMBER('Price History'!Z62)),NOT(ISNUMBER('Price History'!Z61)),'Price History'!Z61=0),"",'Price History'!Z62/'Price History'!Z61-1),"")</f>
        <v>-0.0413376945635009</v>
      </c>
      <c r="AT61" s="143" t="n">
        <f aca="false">IFERROR(IF(OR(NOT(ISNUMBER('Price History'!AA62)),NOT(ISNUMBER('Price History'!AA61)),'Price History'!AA61=0),"",'Price History'!AA62/'Price History'!AA61-1),"")</f>
        <v>0.00185504173843909</v>
      </c>
    </row>
    <row r="62" customFormat="false" ht="15" hidden="false" customHeight="true" outlineLevel="0" collapsed="false">
      <c r="A62" s="141" t="n">
        <f aca="false">IF('Price History'!A63="","",'Price History'!A63)</f>
        <v>45604</v>
      </c>
      <c r="B62" s="142" t="n">
        <f aca="false">IFERROR(IF(OR(NOT(ISNUMBER('Price History'!B63)),NOT(ISNUMBER('Price History'!B62)),'Price History'!B62=0),"",'Price History'!B63/'Price History'!B62-1),"")</f>
        <v>0.0246064623032312</v>
      </c>
      <c r="C62" s="142" t="n">
        <f aca="false">IFERROR(IF(OR(NOT(ISNUMBER('Price History'!C63)),NOT(ISNUMBER('Price History'!C62)),'Price History'!C62=0),"",'Price History'!C63/'Price History'!C62-1),"")</f>
        <v>0.0159326161964684</v>
      </c>
      <c r="D62" s="142" t="n">
        <f aca="false">IFERROR(IF(OR(NOT(ISNUMBER('Price History'!D63)),NOT(ISNUMBER('Price History'!D62)),'Price History'!D62=0),"",'Price History'!D63/'Price History'!D62-1),"")</f>
        <v>-0.00780275125911445</v>
      </c>
      <c r="E62" s="142" t="n">
        <f aca="false">IFERROR(IF(OR(NOT(ISNUMBER('Price History'!E63)),NOT(ISNUMBER('Price History'!E62)),'Price History'!E62=0),"",'Price History'!E63/'Price History'!E62-1),"")</f>
        <v>0.0871476752589737</v>
      </c>
      <c r="F62" s="142" t="n">
        <f aca="false">IFERROR(IF(OR(NOT(ISNUMBER('Price History'!F63)),NOT(ISNUMBER('Price History'!F62)),'Price History'!F62=0),"",'Price History'!F63/'Price History'!F62-1),"")</f>
        <v>0.0888097123251519</v>
      </c>
      <c r="G62" s="142" t="n">
        <f aca="false">IFERROR(IF(OR(NOT(ISNUMBER('Price History'!G63)),NOT(ISNUMBER('Price History'!G62)),'Price History'!G62=0),"",'Price History'!G63/'Price History'!G62-1),"")</f>
        <v>0.02699423718532</v>
      </c>
      <c r="H62" s="142" t="n">
        <f aca="false">IFERROR(IF(OR(NOT(ISNUMBER('Price History'!H63)),NOT(ISNUMBER('Price History'!H62)),'Price History'!H62=0),"",'Price History'!H63/'Price History'!H62-1),"")</f>
        <v>0.122052005644023</v>
      </c>
      <c r="I62" s="142" t="n">
        <f aca="false">IFERROR(IF(OR(NOT(ISNUMBER('Price History'!I63)),NOT(ISNUMBER('Price History'!I62)),'Price History'!I62=0),"",'Price History'!I63/'Price History'!I62-1),"")</f>
        <v>0.0902695497630333</v>
      </c>
      <c r="J62" s="142" t="n">
        <f aca="false">IFERROR(IF(OR(NOT(ISNUMBER('Price History'!J63)),NOT(ISNUMBER('Price History'!J62)),'Price History'!J62=0),"",'Price History'!J63/'Price History'!J62-1),"")</f>
        <v>0.0214009616291129</v>
      </c>
      <c r="K62" s="142" t="n">
        <f aca="false">IFERROR(IF(OR(NOT(ISNUMBER('Price History'!K63)),NOT(ISNUMBER('Price History'!K62)),'Price History'!K62=0),"",'Price History'!K63/'Price History'!K62-1),"")</f>
        <v>0.392891221374046</v>
      </c>
      <c r="L62" s="142" t="n">
        <f aca="false">IFERROR(IF(OR(NOT(ISNUMBER('Price History'!L63)),NOT(ISNUMBER('Price History'!L62)),'Price History'!L62=0),"",'Price History'!L63/'Price History'!L62-1),"")</f>
        <v>0.0427509293680297</v>
      </c>
      <c r="M62" s="142" t="n">
        <f aca="false">IFERROR(IF(OR(NOT(ISNUMBER('Price History'!M63)),NOT(ISNUMBER('Price History'!M62)),'Price History'!M62=0),"",'Price History'!M63/'Price History'!M62-1),"")</f>
        <v>0.17638784696174</v>
      </c>
      <c r="N62" s="142" t="n">
        <f aca="false">IFERROR(IF(OR(NOT(ISNUMBER('Price History'!N63)),NOT(ISNUMBER('Price History'!N62)),'Price History'!N62=0),"",'Price History'!N63/'Price History'!N62-1),"")</f>
        <v>0.0968330786211582</v>
      </c>
      <c r="O62" s="142" t="n">
        <f aca="false">IFERROR(IF(OR(NOT(ISNUMBER('Price History'!O63)),NOT(ISNUMBER('Price History'!O62)),'Price History'!O62=0),"",'Price History'!O63/'Price History'!O62-1),"")</f>
        <v>0.0886324041811846</v>
      </c>
      <c r="P62" s="142" t="n">
        <f aca="false">IFERROR(IF(OR(NOT(ISNUMBER('Price History'!P63)),NOT(ISNUMBER('Price History'!P62)),'Price History'!P62=0),"",'Price History'!P63/'Price History'!P62-1),"")</f>
        <v>0.0347294798617253</v>
      </c>
      <c r="Q62" s="142" t="n">
        <f aca="false">IFERROR(IF(OR(NOT(ISNUMBER('Price History'!Q63)),NOT(ISNUMBER('Price History'!Q62)),'Price History'!Q62=0),"",'Price History'!Q63/'Price History'!Q62-1),"")</f>
        <v>0.0243015374442057</v>
      </c>
      <c r="R62" s="142" t="n">
        <f aca="false">IFERROR(IF(OR(NOT(ISNUMBER('Price History'!R63)),NOT(ISNUMBER('Price History'!R62)),'Price History'!R62=0),"",'Price History'!R63/'Price History'!R62-1),"")</f>
        <v>0.0385756676557862</v>
      </c>
      <c r="S62" s="142" t="n">
        <f aca="false">IFERROR(IF(OR(NOT(ISNUMBER('Price History'!S63)),NOT(ISNUMBER('Price History'!S62)),'Price History'!S62=0),"",'Price History'!S63/'Price History'!S62-1),"")</f>
        <v>0.0597910646810402</v>
      </c>
      <c r="T62" s="142" t="n">
        <f aca="false">IFERROR(IF(OR(NOT(ISNUMBER('Price History'!T63)),NOT(ISNUMBER('Price History'!T62)),'Price History'!T62=0),"",'Price History'!T63/'Price History'!T62-1),"")</f>
        <v>0.0774233508826263</v>
      </c>
      <c r="U62" s="142" t="n">
        <f aca="false">IFERROR(IF(OR(NOT(ISNUMBER('Price History'!U63)),NOT(ISNUMBER('Price History'!U62)),'Price History'!U62=0),"",'Price History'!U63/'Price History'!U62-1),"")</f>
        <v>0.0347992351816444</v>
      </c>
      <c r="V62" s="143" t="n">
        <f aca="false">IFERROR(IF(OR(NOT(ISNUMBER('Price History'!V63)),NOT(ISNUMBER('Price History'!V62)),'Price History'!V62=0),"",'Price History'!V63/'Price History'!V62-1),"")</f>
        <v>0.0589344319530758</v>
      </c>
      <c r="W62" s="144" t="n">
        <f aca="false">IFERROR('Price History'!B3+(INDEX('Price History'!B:B,MATCH(9.99E+307,'Returns (Calc)'!$A:$A)+1)-'Price History'!B3)*(ROW()-3)/(MATCH(9.99E+307,'Returns (Calc)'!$A:$A)-3),"")</f>
        <v>420.150759493671</v>
      </c>
      <c r="X62" s="144" t="n">
        <f aca="false">IFERROR('Price History'!C3+(INDEX('Price History'!C:C,MATCH(9.99E+307,'Returns (Calc)'!$A:$A)+1)-'Price History'!C3)*(ROW()-3)/(MATCH(9.99E+307,'Returns (Calc)'!$A:$A)-3),"")</f>
        <v>106.363734177215</v>
      </c>
      <c r="Y62" s="144" t="n">
        <f aca="false">IFERROR('Price History'!D3+(INDEX('Price History'!D:D,MATCH(9.99E+307,'Returns (Calc)'!$A:$A)+1)-'Price History'!D3)*(ROW()-3)/(MATCH(9.99E+307,'Returns (Calc)'!$A:$A)-3),"")</f>
        <v>1061.96379746835</v>
      </c>
      <c r="Z62" s="144" t="n">
        <f aca="false">IFERROR('Price History'!E3+(INDEX('Price History'!E:E,MATCH(9.99E+307,'Returns (Calc)'!$A:$A)+1)-'Price History'!E3)*(ROW()-3)/(MATCH(9.99E+307,'Returns (Calc)'!$A:$A)-3),"")</f>
        <v>183.995316455696</v>
      </c>
      <c r="AA62" s="144" t="n">
        <f aca="false">IFERROR('Price History'!F3+(INDEX('Price History'!F:F,MATCH(9.99E+307,'Returns (Calc)'!$A:$A)+1)-'Price History'!F3)*(ROW()-3)/(MATCH(9.99E+307,'Returns (Calc)'!$A:$A)-3),"")</f>
        <v>126.753164556962</v>
      </c>
      <c r="AB62" s="144" t="n">
        <f aca="false">IFERROR('Price History'!G3+(INDEX('Price History'!G:G,MATCH(9.99E+307,'Returns (Calc)'!$A:$A)+1)-'Price History'!G3)*(ROW()-3)/(MATCH(9.99E+307,'Returns (Calc)'!$A:$A)-3),"")</f>
        <v>105.045316455696</v>
      </c>
      <c r="AC62" s="144" t="n">
        <f aca="false">IFERROR('Price History'!H3+(INDEX('Price History'!H:H,MATCH(9.99E+307,'Returns (Calc)'!$A:$A)+1)-'Price History'!H3)*(ROW()-3)/(MATCH(9.99E+307,'Returns (Calc)'!$A:$A)-3),"")</f>
        <v>444.686075949367</v>
      </c>
      <c r="AD62" s="144" t="n">
        <f aca="false">IFERROR('Price History'!I3+(INDEX('Price History'!I:I,MATCH(9.99E+307,'Returns (Calc)'!$A:$A)+1)-'Price History'!I3)*(ROW()-3)/(MATCH(9.99E+307,'Returns (Calc)'!$A:$A)-3),"")</f>
        <v>114.786582278481</v>
      </c>
      <c r="AE62" s="144" t="n">
        <f aca="false">IFERROR('Price History'!J3+(INDEX('Price History'!J:J,MATCH(9.99E+307,'Returns (Calc)'!$A:$A)+1)-'Price History'!J3)*(ROW()-3)/(MATCH(9.99E+307,'Returns (Calc)'!$A:$A)-3),"")</f>
        <v>118.214240506329</v>
      </c>
      <c r="AF62" s="144" t="n">
        <f aca="false">IFERROR('Price History'!K3+(INDEX('Price History'!K:K,MATCH(9.99E+307,'Returns (Calc)'!$A:$A)+1)-'Price History'!K3)*(ROW()-3)/(MATCH(9.99E+307,'Returns (Calc)'!$A:$A)-3),"")</f>
        <v>80.0881012658228</v>
      </c>
      <c r="AG62" s="144" t="n">
        <f aca="false">IFERROR('Price History'!L3+(INDEX('Price History'!L:L,MATCH(9.99E+307,'Returns (Calc)'!$A:$A)+1)-'Price History'!L3)*(ROW()-3)/(MATCH(9.99E+307,'Returns (Calc)'!$A:$A)-3),"")</f>
        <v>230.273860759494</v>
      </c>
      <c r="AH62" s="144" t="n">
        <f aca="false">IFERROR('Price History'!M3+(INDEX('Price History'!M:M,MATCH(9.99E+307,'Returns (Calc)'!$A:$A)+1)-'Price History'!M3)*(ROW()-3)/(MATCH(9.99E+307,'Returns (Calc)'!$A:$A)-3),"")</f>
        <v>117.991139240506</v>
      </c>
      <c r="AI62" s="144" t="n">
        <f aca="false">IFERROR('Price History'!N3+(INDEX('Price History'!N:N,MATCH(9.99E+307,'Returns (Calc)'!$A:$A)+1)-'Price History'!N3)*(ROW()-3)/(MATCH(9.99E+307,'Returns (Calc)'!$A:$A)-3),"")</f>
        <v>407.089683544304</v>
      </c>
      <c r="AJ62" s="144" t="n">
        <f aca="false">IFERROR('Price History'!O3+(INDEX('Price History'!O:O,MATCH(9.99E+307,'Returns (Calc)'!$A:$A)+1)-'Price History'!O3)*(ROW()-3)/(MATCH(9.99E+307,'Returns (Calc)'!$A:$A)-3),"")</f>
        <v>92.0092405063291</v>
      </c>
      <c r="AK62" s="144" t="n">
        <f aca="false">IFERROR('Price History'!Q3+(INDEX('Price History'!Q:Q,MATCH(9.99E+307,'Returns (Calc)'!$A:$A)+1)-'Price History'!Q3)*(ROW()-3)/(MATCH(9.99E+307,'Returns (Calc)'!$A:$A)-3),"")</f>
        <v>25.9226582278481</v>
      </c>
      <c r="AL62" s="144" t="n">
        <f aca="false">IFERROR('Price History'!R3+(INDEX('Price History'!R:R,MATCH(9.99E+307,'Returns (Calc)'!$A:$A)+1)-'Price History'!R3)*(ROW()-3)/(MATCH(9.99E+307,'Returns (Calc)'!$A:$A)-3),"")</f>
        <v>44.3979746835443</v>
      </c>
      <c r="AM62" s="144" t="n">
        <f aca="false">IFERROR('Price History'!S3+(INDEX('Price History'!S:S,MATCH(9.99E+307,'Returns (Calc)'!$A:$A)+1)-'Price History'!S3)*(ROW()-3)/(MATCH(9.99E+307,'Returns (Calc)'!$A:$A)-3),"")</f>
        <v>93.3287341772152</v>
      </c>
      <c r="AN62" s="144" t="n">
        <f aca="false">IFERROR('Price History'!T3+(INDEX('Price History'!T:T,MATCH(9.99E+307,'Returns (Calc)'!$A:$A)+1)-'Price History'!T3)*(ROW()-3)/(MATCH(9.99E+307,'Returns (Calc)'!$A:$A)-3),"")</f>
        <v>35.1654430379747</v>
      </c>
      <c r="AO62" s="145" t="n">
        <f aca="false">IFERROR('Price History'!V3+(INDEX('Price History'!V:V,MATCH(9.99E+307,'Returns (Calc)'!$A:$A)+1)-'Price History'!V3)*(ROW()-3)/(MATCH(9.99E+307,'Returns (Calc)'!$A:$A)-3),"")</f>
        <v>282.318417721519</v>
      </c>
      <c r="AP62" s="143" t="n">
        <f aca="false">IFERROR(IF(OR(NOT(ISNUMBER('Price History'!W63)),NOT(ISNUMBER('Price History'!W62)),'Price History'!W62=0),"",'Price History'!W63/'Price History'!W62-1),"")</f>
        <v>0.0389471078471821</v>
      </c>
      <c r="AQ62" s="143" t="str">
        <f aca="false">IFERROR(IF(OR(NOT(ISNUMBER('Price History'!X63)),NOT(ISNUMBER('Price History'!X62)),'Price History'!X62=0),"",'Price History'!X63/'Price History'!X62-1),"")</f>
        <v/>
      </c>
      <c r="AR62" s="143" t="n">
        <f aca="false">IFERROR(IF(OR(NOT(ISNUMBER('Price History'!Y63)),NOT(ISNUMBER('Price History'!Y62)),'Price History'!Y62=0),"",'Price History'!Y63/'Price History'!Y62-1),"")</f>
        <v>0.0267946410717856</v>
      </c>
      <c r="AS62" s="143" t="n">
        <f aca="false">IFERROR(IF(OR(NOT(ISNUMBER('Price History'!Z63)),NOT(ISNUMBER('Price History'!Z62)),'Price History'!Z62=0),"",'Price History'!Z63/'Price History'!Z62-1),"")</f>
        <v>0.0763574327901642</v>
      </c>
      <c r="AT62" s="143" t="n">
        <f aca="false">IFERROR(IF(OR(NOT(ISNUMBER('Price History'!AA63)),NOT(ISNUMBER('Price History'!AA62)),'Price History'!AA62=0),"",'Price History'!AA63/'Price History'!AA62-1),"")</f>
        <v>0.0514482211347704</v>
      </c>
    </row>
    <row r="63" customFormat="false" ht="15" hidden="false" customHeight="true" outlineLevel="0" collapsed="false">
      <c r="A63" s="141" t="n">
        <f aca="false">IF('Price History'!A64="","",'Price History'!A64)</f>
        <v>45611</v>
      </c>
      <c r="B63" s="142" t="n">
        <f aca="false">IFERROR(IF(OR(NOT(ISNUMBER('Price History'!B64)),NOT(ISNUMBER('Price History'!B63)),'Price History'!B63=0),"",'Price History'!B64/'Price History'!B63-1),"")</f>
        <v>0.0175669119430744</v>
      </c>
      <c r="C63" s="142" t="n">
        <f aca="false">IFERROR(IF(OR(NOT(ISNUMBER('Price History'!C64)),NOT(ISNUMBER('Price History'!C63)),'Price History'!C63=0),"",'Price History'!C64/'Price History'!C63-1),"")</f>
        <v>-0.0650284686844471</v>
      </c>
      <c r="D63" s="142" t="n">
        <f aca="false">IFERROR(IF(OR(NOT(ISNUMBER('Price History'!D64)),NOT(ISNUMBER('Price History'!D63)),'Price History'!D63=0),"",'Price History'!D64/'Price History'!D63-1),"")</f>
        <v>-0.0161827989575126</v>
      </c>
      <c r="E63" s="142" t="n">
        <f aca="false">IFERROR(IF(OR(NOT(ISNUMBER('Price History'!E64)),NOT(ISNUMBER('Price History'!E63)),'Price History'!E63=0),"",'Price History'!E64/'Price History'!E63-1),"")</f>
        <v>-0.102376599634369</v>
      </c>
      <c r="F63" s="142" t="n">
        <f aca="false">IFERROR(IF(OR(NOT(ISNUMBER('Price History'!F64)),NOT(ISNUMBER('Price History'!F63)),'Price History'!F63=0),"",'Price History'!F64/'Price History'!F63-1),"")</f>
        <v>0.020361168343231</v>
      </c>
      <c r="G63" s="142" t="n">
        <f aca="false">IFERROR(IF(OR(NOT(ISNUMBER('Price History'!G64)),NOT(ISNUMBER('Price History'!G63)),'Price History'!G63=0),"",'Price History'!G64/'Price History'!G63-1),"")</f>
        <v>-0.106172474896633</v>
      </c>
      <c r="H63" s="142" t="n">
        <f aca="false">IFERROR(IF(OR(NOT(ISNUMBER('Price History'!H64)),NOT(ISNUMBER('Price History'!H63)),'Price History'!H63=0),"",'Price History'!H64/'Price History'!H63-1),"")</f>
        <v>-0.139046079223929</v>
      </c>
      <c r="I63" s="142" t="n">
        <f aca="false">IFERROR(IF(OR(NOT(ISNUMBER('Price History'!I64)),NOT(ISNUMBER('Price History'!I63)),'Price History'!I63=0),"",'Price History'!I64/'Price History'!I63-1),"")</f>
        <v>-0.038239489234531</v>
      </c>
      <c r="J63" s="142" t="n">
        <f aca="false">IFERROR(IF(OR(NOT(ISNUMBER('Price History'!J64)),NOT(ISNUMBER('Price History'!J63)),'Price History'!J63=0),"",'Price History'!J64/'Price History'!J63-1),"")</f>
        <v>-0.0207679527413698</v>
      </c>
      <c r="K63" s="142" t="n">
        <f aca="false">IFERROR(IF(OR(NOT(ISNUMBER('Price History'!K64)),NOT(ISNUMBER('Price History'!K63)),'Price History'!K63=0),"",'Price History'!K64/'Price History'!K63-1),"")</f>
        <v>0.126391505394759</v>
      </c>
      <c r="L63" s="142" t="n">
        <f aca="false">IFERROR(IF(OR(NOT(ISNUMBER('Price History'!L64)),NOT(ISNUMBER('Price History'!L63)),'Price History'!L63=0),"",'Price History'!L64/'Price History'!L63-1),"")</f>
        <v>-0.0754774637127578</v>
      </c>
      <c r="M63" s="142" t="n">
        <f aca="false">IFERROR(IF(OR(NOT(ISNUMBER('Price History'!M64)),NOT(ISNUMBER('Price History'!M63)),'Price History'!M63=0),"",'Price History'!M64/'Price History'!M63-1),"")</f>
        <v>-0.0388202471104026</v>
      </c>
      <c r="N63" s="142" t="n">
        <f aca="false">IFERROR(IF(OR(NOT(ISNUMBER('Price History'!N64)),NOT(ISNUMBER('Price History'!N63)),'Price History'!N63=0),"",'Price History'!N64/'Price History'!N63-1),"")</f>
        <v>-0.0987730773696637</v>
      </c>
      <c r="O63" s="142" t="n">
        <f aca="false">IFERROR(IF(OR(NOT(ISNUMBER('Price History'!O64)),NOT(ISNUMBER('Price History'!O63)),'Price History'!O63=0),"",'Price History'!O64/'Price History'!O63-1),"")</f>
        <v>-0.0194038807761552</v>
      </c>
      <c r="P63" s="142" t="n">
        <f aca="false">IFERROR(IF(OR(NOT(ISNUMBER('Price History'!P64)),NOT(ISNUMBER('Price History'!P63)),'Price History'!P63=0),"",'Price History'!P64/'Price History'!P63-1),"")</f>
        <v>0.00124310465387301</v>
      </c>
      <c r="Q63" s="142" t="n">
        <f aca="false">IFERROR(IF(OR(NOT(ISNUMBER('Price History'!Q64)),NOT(ISNUMBER('Price History'!Q63)),'Price History'!Q63=0),"",'Price History'!Q64/'Price History'!Q63-1),"")</f>
        <v>-0.00952227243382831</v>
      </c>
      <c r="R63" s="142" t="n">
        <f aca="false">IFERROR(IF(OR(NOT(ISNUMBER('Price History'!R64)),NOT(ISNUMBER('Price History'!R63)),'Price History'!R63=0),"",'Price History'!R64/'Price History'!R63-1),"")</f>
        <v>-0.0164835164835165</v>
      </c>
      <c r="S63" s="142" t="n">
        <f aca="false">IFERROR(IF(OR(NOT(ISNUMBER('Price History'!S64)),NOT(ISNUMBER('Price History'!S63)),'Price History'!S63=0),"",'Price History'!S64/'Price History'!S63-1),"")</f>
        <v>-0.0308305369127516</v>
      </c>
      <c r="T63" s="142" t="n">
        <f aca="false">IFERROR(IF(OR(NOT(ISNUMBER('Price History'!T64)),NOT(ISNUMBER('Price History'!T63)),'Price History'!T63=0),"",'Price History'!T64/'Price History'!T63-1),"")</f>
        <v>-0.0152342627191722</v>
      </c>
      <c r="U63" s="142" t="n">
        <f aca="false">IFERROR(IF(OR(NOT(ISNUMBER('Price History'!U64)),NOT(ISNUMBER('Price History'!U63)),'Price History'!U63=0),"",'Price History'!U64/'Price History'!U63-1),"")</f>
        <v>-0.0155210643015521</v>
      </c>
      <c r="V63" s="143" t="n">
        <f aca="false">IFERROR(IF(OR(NOT(ISNUMBER('Price History'!V64)),NOT(ISNUMBER('Price History'!V63)),'Price History'!V63=0),"",'Price History'!V64/'Price History'!V63-1),"")</f>
        <v>0.00764919221892524</v>
      </c>
      <c r="W63" s="144" t="n">
        <f aca="false">IFERROR('Price History'!B3+(INDEX('Price History'!B:B,MATCH(9.99E+307,'Returns (Calc)'!$A:$A)+1)-'Price History'!B3)*(ROW()-3)/(MATCH(9.99E+307,'Returns (Calc)'!$A:$A)-3),"")</f>
        <v>418.307721518987</v>
      </c>
      <c r="X63" s="144" t="n">
        <f aca="false">IFERROR('Price History'!C3+(INDEX('Price History'!C:C,MATCH(9.99E+307,'Returns (Calc)'!$A:$A)+1)-'Price History'!C3)*(ROW()-3)/(MATCH(9.99E+307,'Returns (Calc)'!$A:$A)-3),"")</f>
        <v>107.383797468354</v>
      </c>
      <c r="Y63" s="144" t="n">
        <f aca="false">IFERROR('Price History'!D3+(INDEX('Price History'!D:D,MATCH(9.99E+307,'Returns (Calc)'!$A:$A)+1)-'Price History'!D3)*(ROW()-3)/(MATCH(9.99E+307,'Returns (Calc)'!$A:$A)-3),"")</f>
        <v>1070.09860759494</v>
      </c>
      <c r="Z63" s="144" t="n">
        <f aca="false">IFERROR('Price History'!E3+(INDEX('Price History'!E:E,MATCH(9.99E+307,'Returns (Calc)'!$A:$A)+1)-'Price History'!E3)*(ROW()-3)/(MATCH(9.99E+307,'Returns (Calc)'!$A:$A)-3),"")</f>
        <v>185.724050632911</v>
      </c>
      <c r="AA63" s="144" t="n">
        <f aca="false">IFERROR('Price History'!F3+(INDEX('Price History'!F:F,MATCH(9.99E+307,'Returns (Calc)'!$A:$A)+1)-'Price History'!F3)*(ROW()-3)/(MATCH(9.99E+307,'Returns (Calc)'!$A:$A)-3),"")</f>
        <v>128.200506329114</v>
      </c>
      <c r="AB63" s="144" t="n">
        <f aca="false">IFERROR('Price History'!G3+(INDEX('Price History'!G:G,MATCH(9.99E+307,'Returns (Calc)'!$A:$A)+1)-'Price History'!G3)*(ROW()-3)/(MATCH(9.99E+307,'Returns (Calc)'!$A:$A)-3),"")</f>
        <v>106.074050632911</v>
      </c>
      <c r="AC63" s="144" t="n">
        <f aca="false">IFERROR('Price History'!H3+(INDEX('Price History'!H:H,MATCH(9.99E+307,'Returns (Calc)'!$A:$A)+1)-'Price History'!H3)*(ROW()-3)/(MATCH(9.99E+307,'Returns (Calc)'!$A:$A)-3),"")</f>
        <v>451.051772151899</v>
      </c>
      <c r="AD63" s="144" t="n">
        <f aca="false">IFERROR('Price History'!I3+(INDEX('Price History'!I:I,MATCH(9.99E+307,'Returns (Calc)'!$A:$A)+1)-'Price History'!I3)*(ROW()-3)/(MATCH(9.99E+307,'Returns (Calc)'!$A:$A)-3),"")</f>
        <v>115.990253164557</v>
      </c>
      <c r="AE63" s="144" t="n">
        <f aca="false">IFERROR('Price History'!J3+(INDEX('Price History'!J:J,MATCH(9.99E+307,'Returns (Calc)'!$A:$A)+1)-'Price History'!J3)*(ROW()-3)/(MATCH(9.99E+307,'Returns (Calc)'!$A:$A)-3),"")</f>
        <v>118.322278481013</v>
      </c>
      <c r="AF63" s="144" t="n">
        <f aca="false">IFERROR('Price History'!K3+(INDEX('Price History'!K:K,MATCH(9.99E+307,'Returns (Calc)'!$A:$A)+1)-'Price History'!K3)*(ROW()-3)/(MATCH(9.99E+307,'Returns (Calc)'!$A:$A)-3),"")</f>
        <v>81.1856962025316</v>
      </c>
      <c r="AG63" s="144" t="n">
        <f aca="false">IFERROR('Price History'!L3+(INDEX('Price History'!L:L,MATCH(9.99E+307,'Returns (Calc)'!$A:$A)+1)-'Price History'!L3)*(ROW()-3)/(MATCH(9.99E+307,'Returns (Calc)'!$A:$A)-3),"")</f>
        <v>232.723417721519</v>
      </c>
      <c r="AH63" s="144" t="n">
        <f aca="false">IFERROR('Price History'!M3+(INDEX('Price History'!M:M,MATCH(9.99E+307,'Returns (Calc)'!$A:$A)+1)-'Price History'!M3)*(ROW()-3)/(MATCH(9.99E+307,'Returns (Calc)'!$A:$A)-3),"")</f>
        <v>119.346582278481</v>
      </c>
      <c r="AI63" s="144" t="n">
        <f aca="false">IFERROR('Price History'!N3+(INDEX('Price History'!N:N,MATCH(9.99E+307,'Returns (Calc)'!$A:$A)+1)-'Price History'!N3)*(ROW()-3)/(MATCH(9.99E+307,'Returns (Calc)'!$A:$A)-3),"")</f>
        <v>408.075949367089</v>
      </c>
      <c r="AJ63" s="144" t="n">
        <f aca="false">IFERROR('Price History'!O3+(INDEX('Price History'!O:O,MATCH(9.99E+307,'Returns (Calc)'!$A:$A)+1)-'Price History'!O3)*(ROW()-3)/(MATCH(9.99E+307,'Returns (Calc)'!$A:$A)-3),"")</f>
        <v>92.2922784810127</v>
      </c>
      <c r="AK63" s="144" t="n">
        <f aca="false">IFERROR('Price History'!Q3+(INDEX('Price History'!Q:Q,MATCH(9.99E+307,'Returns (Calc)'!$A:$A)+1)-'Price History'!Q3)*(ROW()-3)/(MATCH(9.99E+307,'Returns (Calc)'!$A:$A)-3),"")</f>
        <v>26.3620253164557</v>
      </c>
      <c r="AL63" s="144" t="n">
        <f aca="false">IFERROR('Price History'!R3+(INDEX('Price History'!R:R,MATCH(9.99E+307,'Returns (Calc)'!$A:$A)+1)-'Price History'!R3)*(ROW()-3)/(MATCH(9.99E+307,'Returns (Calc)'!$A:$A)-3),"")</f>
        <v>44.5660759493671</v>
      </c>
      <c r="AM63" s="144" t="n">
        <f aca="false">IFERROR('Price History'!S3+(INDEX('Price History'!S:S,MATCH(9.99E+307,'Returns (Calc)'!$A:$A)+1)-'Price History'!S3)*(ROW()-3)/(MATCH(9.99E+307,'Returns (Calc)'!$A:$A)-3),"")</f>
        <v>93.9337974683544</v>
      </c>
      <c r="AN63" s="144" t="n">
        <f aca="false">IFERROR('Price History'!T3+(INDEX('Price History'!T:T,MATCH(9.99E+307,'Returns (Calc)'!$A:$A)+1)-'Price History'!T3)*(ROW()-3)/(MATCH(9.99E+307,'Returns (Calc)'!$A:$A)-3),"")</f>
        <v>35.333670886076</v>
      </c>
      <c r="AO63" s="145" t="n">
        <f aca="false">IFERROR('Price History'!V3+(INDEX('Price History'!V:V,MATCH(9.99E+307,'Returns (Calc)'!$A:$A)+1)-'Price History'!V3)*(ROW()-3)/(MATCH(9.99E+307,'Returns (Calc)'!$A:$A)-3),"")</f>
        <v>283.109746835443</v>
      </c>
      <c r="AP63" s="143" t="n">
        <f aca="false">IFERROR(IF(OR(NOT(ISNUMBER('Price History'!W64)),NOT(ISNUMBER('Price History'!W63)),'Price History'!W63=0),"",'Price History'!W64/'Price History'!W63-1),"")</f>
        <v>-0.0135811293781272</v>
      </c>
      <c r="AQ63" s="143" t="str">
        <f aca="false">IFERROR(IF(OR(NOT(ISNUMBER('Price History'!X64)),NOT(ISNUMBER('Price History'!X63)),'Price History'!X63=0),"",'Price History'!X64/'Price History'!X63-1),"")</f>
        <v/>
      </c>
      <c r="AR63" s="143" t="n">
        <f aca="false">IFERROR(IF(OR(NOT(ISNUMBER('Price History'!Y64)),NOT(ISNUMBER('Price History'!Y63)),'Price History'!Y63=0),"",'Price History'!Y64/'Price History'!Y63-1),"")</f>
        <v>-0.0126582278481012</v>
      </c>
      <c r="AS63" s="143" t="n">
        <f aca="false">IFERROR(IF(OR(NOT(ISNUMBER('Price History'!Z64)),NOT(ISNUMBER('Price History'!Z63)),'Price History'!Z63=0),"",'Price History'!Z64/'Price History'!Z63-1),"")</f>
        <v>-0.0426299393343171</v>
      </c>
      <c r="AT63" s="143" t="n">
        <f aca="false">IFERROR(IF(OR(NOT(ISNUMBER('Price History'!AA64)),NOT(ISNUMBER('Price History'!AA63)),'Price History'!AA63=0),"",'Price History'!AA64/'Price History'!AA63-1),"")</f>
        <v>0.0364779874213836</v>
      </c>
    </row>
    <row r="64" customFormat="false" ht="15" hidden="false" customHeight="true" outlineLevel="0" collapsed="false">
      <c r="A64" s="141" t="n">
        <f aca="false">IF('Price History'!A65="","",'Price History'!A65)</f>
        <v>45618</v>
      </c>
      <c r="B64" s="142" t="n">
        <f aca="false">IFERROR(IF(OR(NOT(ISNUMBER('Price History'!B65)),NOT(ISNUMBER('Price History'!B64)),'Price History'!B64=0),"",'Price History'!B65/'Price History'!B64-1),"")</f>
        <v>0.0174424379680951</v>
      </c>
      <c r="C64" s="142" t="n">
        <f aca="false">IFERROR(IF(OR(NOT(ISNUMBER('Price History'!C65)),NOT(ISNUMBER('Price History'!C64)),'Price History'!C64=0),"",'Price History'!C65/'Price History'!C64-1),"")</f>
        <v>0.0856837606837608</v>
      </c>
      <c r="D64" s="142" t="n">
        <f aca="false">IFERROR(IF(OR(NOT(ISNUMBER('Price History'!D65)),NOT(ISNUMBER('Price History'!D64)),'Price History'!D64=0),"",'Price History'!D65/'Price History'!D64-1),"")</f>
        <v>0.0216239526860524</v>
      </c>
      <c r="E64" s="142" t="n">
        <f aca="false">IFERROR(IF(OR(NOT(ISNUMBER('Price History'!E65)),NOT(ISNUMBER('Price History'!E64)),'Price History'!E64=0),"",'Price History'!E65/'Price History'!E64-1),"")</f>
        <v>-0.00370301795963712</v>
      </c>
      <c r="F64" s="142" t="n">
        <f aca="false">IFERROR(IF(OR(NOT(ISNUMBER('Price History'!F65)),NOT(ISNUMBER('Price History'!F64)),'Price History'!F64=0),"",'Price History'!F65/'Price History'!F64-1),"")</f>
        <v>0.10547570970424</v>
      </c>
      <c r="G64" s="142" t="n">
        <f aca="false">IFERROR(IF(OR(NOT(ISNUMBER('Price History'!G65)),NOT(ISNUMBER('Price History'!G64)),'Price History'!G64=0),"",'Price History'!G65/'Price History'!G64-1),"")</f>
        <v>0.0437799438295059</v>
      </c>
      <c r="H64" s="142" t="n">
        <f aca="false">IFERROR(IF(OR(NOT(ISNUMBER('Price History'!H65)),NOT(ISNUMBER('Price History'!H64)),'Price History'!H64=0),"",'Price History'!H65/'Price History'!H64-1),"")</f>
        <v>0.0653103808033386</v>
      </c>
      <c r="I64" s="142" t="n">
        <f aca="false">IFERROR(IF(OR(NOT(ISNUMBER('Price History'!I65)),NOT(ISNUMBER('Price History'!I64)),'Price History'!I64=0),"",'Price History'!I65/'Price History'!I64-1),"")</f>
        <v>-0.000211864406779672</v>
      </c>
      <c r="J64" s="142" t="n">
        <f aca="false">IFERROR(IF(OR(NOT(ISNUMBER('Price History'!J65)),NOT(ISNUMBER('Price History'!J64)),'Price History'!J64=0),"",'Price History'!J65/'Price History'!J64-1),"")</f>
        <v>0.0209256291827693</v>
      </c>
      <c r="K64" s="142" t="n">
        <f aca="false">IFERROR(IF(OR(NOT(ISNUMBER('Price History'!K65)),NOT(ISNUMBER('Price History'!K64)),'Price History'!K64=0),"",'Price History'!K65/'Price History'!K64-1),"")</f>
        <v>-0.0215903907556637</v>
      </c>
      <c r="L64" s="142" t="n">
        <f aca="false">IFERROR(IF(OR(NOT(ISNUMBER('Price History'!L65)),NOT(ISNUMBER('Price History'!L64)),'Price History'!L64=0),"",'Price History'!L65/'Price History'!L64-1),"")</f>
        <v>0.0218696634165152</v>
      </c>
      <c r="M64" s="142" t="n">
        <f aca="false">IFERROR(IF(OR(NOT(ISNUMBER('Price History'!M65)),NOT(ISNUMBER('Price History'!M64)),'Price History'!M64=0),"",'Price History'!M65/'Price History'!M64-1),"")</f>
        <v>0.159479183944269</v>
      </c>
      <c r="N64" s="142" t="n">
        <f aca="false">IFERROR(IF(OR(NOT(ISNUMBER('Price History'!N65)),NOT(ISNUMBER('Price History'!N64)),'Price History'!N64=0),"",'Price History'!N65/'Price History'!N64-1),"")</f>
        <v>-0.0316298045952329</v>
      </c>
      <c r="O64" s="142" t="n">
        <f aca="false">IFERROR(IF(OR(NOT(ISNUMBER('Price History'!O65)),NOT(ISNUMBER('Price History'!O64)),'Price History'!O64=0),"",'Price History'!O65/'Price History'!O64-1),"")</f>
        <v>0.036515707874337</v>
      </c>
      <c r="P64" s="142" t="n">
        <f aca="false">IFERROR(IF(OR(NOT(ISNUMBER('Price History'!P65)),NOT(ISNUMBER('Price History'!P64)),'Price History'!P64=0),"",'Price History'!P65/'Price History'!P64-1),"")</f>
        <v>0.0271591526344379</v>
      </c>
      <c r="Q64" s="142" t="n">
        <f aca="false">IFERROR(IF(OR(NOT(ISNUMBER('Price History'!Q65)),NOT(ISNUMBER('Price History'!Q64)),'Price History'!Q64=0),"",'Price History'!Q65/'Price History'!Q64-1),"")</f>
        <v>0.00749551898321665</v>
      </c>
      <c r="R64" s="142" t="n">
        <f aca="false">IFERROR(IF(OR(NOT(ISNUMBER('Price History'!R65)),NOT(ISNUMBER('Price History'!R64)),'Price History'!R64=0),"",'Price History'!R65/'Price History'!R64-1),"")</f>
        <v>0.0172067039106145</v>
      </c>
      <c r="S64" s="142" t="n">
        <f aca="false">IFERROR(IF(OR(NOT(ISNUMBER('Price History'!S65)),NOT(ISNUMBER('Price History'!S64)),'Price History'!S64=0),"",'Price History'!S65/'Price History'!S64-1),"")</f>
        <v>0.0178532785111447</v>
      </c>
      <c r="T64" s="142" t="n">
        <f aca="false">IFERROR(IF(OR(NOT(ISNUMBER('Price History'!T65)),NOT(ISNUMBER('Price History'!T64)),'Price History'!T64=0),"",'Price History'!T65/'Price History'!T64-1),"")</f>
        <v>0.0385288966725044</v>
      </c>
      <c r="U64" s="142" t="n">
        <f aca="false">IFERROR(IF(OR(NOT(ISNUMBER('Price History'!U65)),NOT(ISNUMBER('Price History'!U64)),'Price History'!U64=0),"",'Price History'!U65/'Price History'!U64-1),"")</f>
        <v>0.0251501501501501</v>
      </c>
      <c r="V64" s="143" t="n">
        <f aca="false">IFERROR(IF(OR(NOT(ISNUMBER('Price History'!V65)),NOT(ISNUMBER('Price History'!V64)),'Price History'!V64=0),"",'Price History'!V65/'Price History'!V64-1),"")</f>
        <v>0.000916170407695649</v>
      </c>
      <c r="W64" s="144" t="n">
        <f aca="false">IFERROR('Price History'!B3+(INDEX('Price History'!B:B,MATCH(9.99E+307,'Returns (Calc)'!$A:$A)+1)-'Price History'!B3)*(ROW()-3)/(MATCH(9.99E+307,'Returns (Calc)'!$A:$A)-3),"")</f>
        <v>416.464683544304</v>
      </c>
      <c r="X64" s="144" t="n">
        <f aca="false">IFERROR('Price History'!C3+(INDEX('Price History'!C:C,MATCH(9.99E+307,'Returns (Calc)'!$A:$A)+1)-'Price History'!C3)*(ROW()-3)/(MATCH(9.99E+307,'Returns (Calc)'!$A:$A)-3),"")</f>
        <v>108.403860759494</v>
      </c>
      <c r="Y64" s="144" t="n">
        <f aca="false">IFERROR('Price History'!D3+(INDEX('Price History'!D:D,MATCH(9.99E+307,'Returns (Calc)'!$A:$A)+1)-'Price History'!D3)*(ROW()-3)/(MATCH(9.99E+307,'Returns (Calc)'!$A:$A)-3),"")</f>
        <v>1078.23341772152</v>
      </c>
      <c r="Z64" s="144" t="n">
        <f aca="false">IFERROR('Price History'!E3+(INDEX('Price History'!E:E,MATCH(9.99E+307,'Returns (Calc)'!$A:$A)+1)-'Price History'!E3)*(ROW()-3)/(MATCH(9.99E+307,'Returns (Calc)'!$A:$A)-3),"")</f>
        <v>187.452784810127</v>
      </c>
      <c r="AA64" s="144" t="n">
        <f aca="false">IFERROR('Price History'!F3+(INDEX('Price History'!F:F,MATCH(9.99E+307,'Returns (Calc)'!$A:$A)+1)-'Price History'!F3)*(ROW()-3)/(MATCH(9.99E+307,'Returns (Calc)'!$A:$A)-3),"")</f>
        <v>129.647848101266</v>
      </c>
      <c r="AB64" s="144" t="n">
        <f aca="false">IFERROR('Price History'!G3+(INDEX('Price History'!G:G,MATCH(9.99E+307,'Returns (Calc)'!$A:$A)+1)-'Price History'!G3)*(ROW()-3)/(MATCH(9.99E+307,'Returns (Calc)'!$A:$A)-3),"")</f>
        <v>107.102784810127</v>
      </c>
      <c r="AC64" s="144" t="n">
        <f aca="false">IFERROR('Price History'!H3+(INDEX('Price History'!H:H,MATCH(9.99E+307,'Returns (Calc)'!$A:$A)+1)-'Price History'!H3)*(ROW()-3)/(MATCH(9.99E+307,'Returns (Calc)'!$A:$A)-3),"")</f>
        <v>457.41746835443</v>
      </c>
      <c r="AD64" s="144" t="n">
        <f aca="false">IFERROR('Price History'!I3+(INDEX('Price History'!I:I,MATCH(9.99E+307,'Returns (Calc)'!$A:$A)+1)-'Price History'!I3)*(ROW()-3)/(MATCH(9.99E+307,'Returns (Calc)'!$A:$A)-3),"")</f>
        <v>117.193924050633</v>
      </c>
      <c r="AE64" s="144" t="n">
        <f aca="false">IFERROR('Price History'!J3+(INDEX('Price History'!J:J,MATCH(9.99E+307,'Returns (Calc)'!$A:$A)+1)-'Price History'!J3)*(ROW()-3)/(MATCH(9.99E+307,'Returns (Calc)'!$A:$A)-3),"")</f>
        <v>118.430316455696</v>
      </c>
      <c r="AF64" s="144" t="n">
        <f aca="false">IFERROR('Price History'!K3+(INDEX('Price History'!K:K,MATCH(9.99E+307,'Returns (Calc)'!$A:$A)+1)-'Price History'!K3)*(ROW()-3)/(MATCH(9.99E+307,'Returns (Calc)'!$A:$A)-3),"")</f>
        <v>82.2832911392405</v>
      </c>
      <c r="AG64" s="144" t="n">
        <f aca="false">IFERROR('Price History'!L3+(INDEX('Price History'!L:L,MATCH(9.99E+307,'Returns (Calc)'!$A:$A)+1)-'Price History'!L3)*(ROW()-3)/(MATCH(9.99E+307,'Returns (Calc)'!$A:$A)-3),"")</f>
        <v>235.172974683544</v>
      </c>
      <c r="AH64" s="144" t="n">
        <f aca="false">IFERROR('Price History'!M3+(INDEX('Price History'!M:M,MATCH(9.99E+307,'Returns (Calc)'!$A:$A)+1)-'Price History'!M3)*(ROW()-3)/(MATCH(9.99E+307,'Returns (Calc)'!$A:$A)-3),"")</f>
        <v>120.702025316456</v>
      </c>
      <c r="AI64" s="144" t="n">
        <f aca="false">IFERROR('Price History'!N3+(INDEX('Price History'!N:N,MATCH(9.99E+307,'Returns (Calc)'!$A:$A)+1)-'Price History'!N3)*(ROW()-3)/(MATCH(9.99E+307,'Returns (Calc)'!$A:$A)-3),"")</f>
        <v>409.062215189873</v>
      </c>
      <c r="AJ64" s="144" t="n">
        <f aca="false">IFERROR('Price History'!O3+(INDEX('Price History'!O:O,MATCH(9.99E+307,'Returns (Calc)'!$A:$A)+1)-'Price History'!O3)*(ROW()-3)/(MATCH(9.99E+307,'Returns (Calc)'!$A:$A)-3),"")</f>
        <v>92.5753164556962</v>
      </c>
      <c r="AK64" s="144" t="n">
        <f aca="false">IFERROR('Price History'!Q3+(INDEX('Price History'!Q:Q,MATCH(9.99E+307,'Returns (Calc)'!$A:$A)+1)-'Price History'!Q3)*(ROW()-3)/(MATCH(9.99E+307,'Returns (Calc)'!$A:$A)-3),"")</f>
        <v>26.8013924050633</v>
      </c>
      <c r="AL64" s="144" t="n">
        <f aca="false">IFERROR('Price History'!R3+(INDEX('Price History'!R:R,MATCH(9.99E+307,'Returns (Calc)'!$A:$A)+1)-'Price History'!R3)*(ROW()-3)/(MATCH(9.99E+307,'Returns (Calc)'!$A:$A)-3),"")</f>
        <v>44.7341772151899</v>
      </c>
      <c r="AM64" s="144" t="n">
        <f aca="false">IFERROR('Price History'!S3+(INDEX('Price History'!S:S,MATCH(9.99E+307,'Returns (Calc)'!$A:$A)+1)-'Price History'!S3)*(ROW()-3)/(MATCH(9.99E+307,'Returns (Calc)'!$A:$A)-3),"")</f>
        <v>94.5388607594937</v>
      </c>
      <c r="AN64" s="144" t="n">
        <f aca="false">IFERROR('Price History'!T3+(INDEX('Price History'!T:T,MATCH(9.99E+307,'Returns (Calc)'!$A:$A)+1)-'Price History'!T3)*(ROW()-3)/(MATCH(9.99E+307,'Returns (Calc)'!$A:$A)-3),"")</f>
        <v>35.5018987341772</v>
      </c>
      <c r="AO64" s="145" t="n">
        <f aca="false">IFERROR('Price History'!V3+(INDEX('Price History'!V:V,MATCH(9.99E+307,'Returns (Calc)'!$A:$A)+1)-'Price History'!V3)*(ROW()-3)/(MATCH(9.99E+307,'Returns (Calc)'!$A:$A)-3),"")</f>
        <v>283.901075949367</v>
      </c>
      <c r="AP64" s="143" t="n">
        <f aca="false">IFERROR(IF(OR(NOT(ISNUMBER('Price History'!W65)),NOT(ISNUMBER('Price History'!W64)),'Price History'!W64=0),"",'Price History'!W65/'Price History'!W64-1),"")</f>
        <v>0.0223832528180354</v>
      </c>
      <c r="AQ64" s="143" t="str">
        <f aca="false">IFERROR(IF(OR(NOT(ISNUMBER('Price History'!X65)),NOT(ISNUMBER('Price History'!X64)),'Price History'!X64=0),"",'Price History'!X65/'Price History'!X64-1),"")</f>
        <v/>
      </c>
      <c r="AR64" s="143" t="n">
        <f aca="false">IFERROR(IF(OR(NOT(ISNUMBER('Price History'!Y65)),NOT(ISNUMBER('Price History'!Y64)),'Price History'!Y64=0),"",'Price History'!Y65/'Price History'!Y64-1),"")</f>
        <v>0.0149901380670612</v>
      </c>
      <c r="AS64" s="143" t="n">
        <f aca="false">IFERROR(IF(OR(NOT(ISNUMBER('Price History'!Z65)),NOT(ISNUMBER('Price History'!Z64)),'Price History'!Z64=0),"",'Price History'!Z65/'Price History'!Z64-1),"")</f>
        <v>0.023862533538848</v>
      </c>
      <c r="AT64" s="143" t="n">
        <f aca="false">IFERROR(IF(OR(NOT(ISNUMBER('Price History'!AA65)),NOT(ISNUMBER('Price History'!AA64)),'Price History'!AA64=0),"",'Price History'!AA65/'Price History'!AA64-1),"")</f>
        <v>0.0895631067961165</v>
      </c>
    </row>
    <row r="65" customFormat="false" ht="15" hidden="false" customHeight="true" outlineLevel="0" collapsed="false">
      <c r="A65" s="141" t="n">
        <f aca="false">IF('Price History'!A66="","",'Price History'!A66)</f>
        <v>45625</v>
      </c>
      <c r="B65" s="142" t="n">
        <f aca="false">IFERROR(IF(OR(NOT(ISNUMBER('Price History'!B66)),NOT(ISNUMBER('Price History'!B65)),'Price History'!B65=0),"",'Price History'!B66/'Price History'!B65-1),"")</f>
        <v>0.00738065020013656</v>
      </c>
      <c r="C65" s="142" t="n">
        <f aca="false">IFERROR(IF(OR(NOT(ISNUMBER('Price History'!C66)),NOT(ISNUMBER('Price History'!C65)),'Price History'!C65=0),"",'Price History'!C66/'Price History'!C65-1),"")</f>
        <v>-0.00157449320999814</v>
      </c>
      <c r="D65" s="142" t="n">
        <f aca="false">IFERROR(IF(OR(NOT(ISNUMBER('Price History'!D66)),NOT(ISNUMBER('Price History'!D65)),'Price History'!D65=0),"",'Price History'!D66/'Price History'!D65-1),"")</f>
        <v>0.020412470602424</v>
      </c>
      <c r="E65" s="142" t="n">
        <f aca="false">IFERROR(IF(OR(NOT(ISNUMBER('Price History'!E66)),NOT(ISNUMBER('Price History'!E65)),'Price History'!E65=0),"",'Price History'!E66/'Price History'!E65-1),"")</f>
        <v>-0.0130706807904356</v>
      </c>
      <c r="F65" s="142" t="n">
        <f aca="false">IFERROR(IF(OR(NOT(ISNUMBER('Price History'!F66)),NOT(ISNUMBER('Price History'!F65)),'Price History'!F65=0),"",'Price History'!F66/'Price History'!F65-1),"")</f>
        <v>-0.070699473514559</v>
      </c>
      <c r="G65" s="142" t="n">
        <f aca="false">IFERROR(IF(OR(NOT(ISNUMBER('Price History'!G66)),NOT(ISNUMBER('Price History'!G65)),'Price History'!G65=0),"",'Price History'!G66/'Price History'!G65-1),"")</f>
        <v>0.0117125672681229</v>
      </c>
      <c r="H65" s="142" t="n">
        <f aca="false">IFERROR(IF(OR(NOT(ISNUMBER('Price History'!H66)),NOT(ISNUMBER('Price History'!H65)),'Price History'!H65=0),"",'Price History'!H66/'Price History'!H65-1),"")</f>
        <v>-0.0456370580746254</v>
      </c>
      <c r="I65" s="142" t="n">
        <f aca="false">IFERROR(IF(OR(NOT(ISNUMBER('Price History'!I66)),NOT(ISNUMBER('Price History'!I65)),'Price History'!I65=0),"",'Price History'!I66/'Price History'!I65-1),"")</f>
        <v>-0.0260648442466624</v>
      </c>
      <c r="J65" s="142" t="n">
        <f aca="false">IFERROR(IF(OR(NOT(ISNUMBER('Price History'!J66)),NOT(ISNUMBER('Price History'!J65)),'Price History'!J65=0),"",'Price History'!J66/'Price History'!J65-1),"")</f>
        <v>0.00849413719878123</v>
      </c>
      <c r="K65" s="142" t="n">
        <f aca="false">IFERROR(IF(OR(NOT(ISNUMBER('Price History'!K66)),NOT(ISNUMBER('Price History'!K65)),'Price History'!K65=0),"",'Price History'!K66/'Price History'!K65-1),"")</f>
        <v>0.0424242424242425</v>
      </c>
      <c r="L65" s="142" t="n">
        <f aca="false">IFERROR(IF(OR(NOT(ISNUMBER('Price History'!L66)),NOT(ISNUMBER('Price History'!L65)),'Price History'!L65=0),"",'Price History'!L66/'Price History'!L65-1),"")</f>
        <v>-0.0285175202156334</v>
      </c>
      <c r="M65" s="142" t="n">
        <f aca="false">IFERROR(IF(OR(NOT(ISNUMBER('Price History'!M66)),NOT(ISNUMBER('Price History'!M65)),'Price History'!M65=0),"",'Price History'!M66/'Price History'!M65-1),"")</f>
        <v>-0.0895501037121808</v>
      </c>
      <c r="N65" s="142" t="n">
        <f aca="false">IFERROR(IF(OR(NOT(ISNUMBER('Price History'!N66)),NOT(ISNUMBER('Price History'!N65)),'Price History'!N65=0),"",'Price History'!N66/'Price History'!N65-1),"")</f>
        <v>0.0380513116171806</v>
      </c>
      <c r="O65" s="142" t="n">
        <f aca="false">IFERROR(IF(OR(NOT(ISNUMBER('Price History'!O66)),NOT(ISNUMBER('Price History'!O65)),'Price History'!O65=0),"",'Price History'!O66/'Price History'!O65-1),"")</f>
        <v>0.00679000196811641</v>
      </c>
      <c r="P65" s="142" t="n">
        <f aca="false">IFERROR(IF(OR(NOT(ISNUMBER('Price History'!P66)),NOT(ISNUMBER('Price History'!P65)),'Price History'!P65=0),"",'Price History'!P66/'Price History'!P65-1),"")</f>
        <v>0.00936768149882905</v>
      </c>
      <c r="Q65" s="142" t="n">
        <f aca="false">IFERROR(IF(OR(NOT(ISNUMBER('Price History'!Q66)),NOT(ISNUMBER('Price History'!Q65)),'Price History'!Q65=0),"",'Price History'!Q66/'Price History'!Q65-1),"")</f>
        <v>0.00614588387514159</v>
      </c>
      <c r="R65" s="142" t="n">
        <f aca="false">IFERROR(IF(OR(NOT(ISNUMBER('Price History'!R66)),NOT(ISNUMBER('Price History'!R65)),'Price History'!R65=0),"",'Price History'!R66/'Price History'!R65-1),"")</f>
        <v>0.00922671353251303</v>
      </c>
      <c r="S65" s="142" t="n">
        <f aca="false">IFERROR(IF(OR(NOT(ISNUMBER('Price History'!S66)),NOT(ISNUMBER('Price History'!S65)),'Price History'!S65=0),"",'Price History'!S66/'Price History'!S65-1),"")</f>
        <v>0.0130753694057617</v>
      </c>
      <c r="T65" s="142" t="n">
        <f aca="false">IFERROR(IF(OR(NOT(ISNUMBER('Price History'!T66)),NOT(ISNUMBER('Price History'!T65)),'Price History'!T65=0),"",'Price History'!T66/'Price History'!T65-1),"")</f>
        <v>0.00196739741427776</v>
      </c>
      <c r="U65" s="142" t="n">
        <f aca="false">IFERROR(IF(OR(NOT(ISNUMBER('Price History'!U66)),NOT(ISNUMBER('Price History'!U65)),'Price History'!U65=0),"",'Price History'!U66/'Price History'!U65-1),"")</f>
        <v>0.00622482607103625</v>
      </c>
      <c r="V65" s="143" t="n">
        <f aca="false">IFERROR(IF(OR(NOT(ISNUMBER('Price History'!V66)),NOT(ISNUMBER('Price History'!V65)),'Price History'!V65=0),"",'Price History'!V66/'Price History'!V65-1),"")</f>
        <v>0.0166394246485782</v>
      </c>
      <c r="W65" s="144" t="n">
        <f aca="false">IFERROR('Price History'!B3+(INDEX('Price History'!B:B,MATCH(9.99E+307,'Returns (Calc)'!$A:$A)+1)-'Price History'!B3)*(ROW()-3)/(MATCH(9.99E+307,'Returns (Calc)'!$A:$A)-3),"")</f>
        <v>414.62164556962</v>
      </c>
      <c r="X65" s="144" t="n">
        <f aca="false">IFERROR('Price History'!C3+(INDEX('Price History'!C:C,MATCH(9.99E+307,'Returns (Calc)'!$A:$A)+1)-'Price History'!C3)*(ROW()-3)/(MATCH(9.99E+307,'Returns (Calc)'!$A:$A)-3),"")</f>
        <v>109.423924050633</v>
      </c>
      <c r="Y65" s="144" t="n">
        <f aca="false">IFERROR('Price History'!D3+(INDEX('Price History'!D:D,MATCH(9.99E+307,'Returns (Calc)'!$A:$A)+1)-'Price History'!D3)*(ROW()-3)/(MATCH(9.99E+307,'Returns (Calc)'!$A:$A)-3),"")</f>
        <v>1086.3682278481</v>
      </c>
      <c r="Z65" s="144" t="n">
        <f aca="false">IFERROR('Price History'!E3+(INDEX('Price History'!E:E,MATCH(9.99E+307,'Returns (Calc)'!$A:$A)+1)-'Price History'!E3)*(ROW()-3)/(MATCH(9.99E+307,'Returns (Calc)'!$A:$A)-3),"")</f>
        <v>189.181518987342</v>
      </c>
      <c r="AA65" s="144" t="n">
        <f aca="false">IFERROR('Price History'!F3+(INDEX('Price History'!F:F,MATCH(9.99E+307,'Returns (Calc)'!$A:$A)+1)-'Price History'!F3)*(ROW()-3)/(MATCH(9.99E+307,'Returns (Calc)'!$A:$A)-3),"")</f>
        <v>131.095189873418</v>
      </c>
      <c r="AB65" s="144" t="n">
        <f aca="false">IFERROR('Price History'!G3+(INDEX('Price History'!G:G,MATCH(9.99E+307,'Returns (Calc)'!$A:$A)+1)-'Price History'!G3)*(ROW()-3)/(MATCH(9.99E+307,'Returns (Calc)'!$A:$A)-3),"")</f>
        <v>108.131518987342</v>
      </c>
      <c r="AC65" s="144" t="n">
        <f aca="false">IFERROR('Price History'!H3+(INDEX('Price History'!H:H,MATCH(9.99E+307,'Returns (Calc)'!$A:$A)+1)-'Price History'!H3)*(ROW()-3)/(MATCH(9.99E+307,'Returns (Calc)'!$A:$A)-3),"")</f>
        <v>463.783164556962</v>
      </c>
      <c r="AD65" s="144" t="n">
        <f aca="false">IFERROR('Price History'!I3+(INDEX('Price History'!I:I,MATCH(9.99E+307,'Returns (Calc)'!$A:$A)+1)-'Price History'!I3)*(ROW()-3)/(MATCH(9.99E+307,'Returns (Calc)'!$A:$A)-3),"")</f>
        <v>118.397594936709</v>
      </c>
      <c r="AE65" s="144" t="n">
        <f aca="false">IFERROR('Price History'!J3+(INDEX('Price History'!J:J,MATCH(9.99E+307,'Returns (Calc)'!$A:$A)+1)-'Price History'!J3)*(ROW()-3)/(MATCH(9.99E+307,'Returns (Calc)'!$A:$A)-3),"")</f>
        <v>118.53835443038</v>
      </c>
      <c r="AF65" s="144" t="n">
        <f aca="false">IFERROR('Price History'!K3+(INDEX('Price History'!K:K,MATCH(9.99E+307,'Returns (Calc)'!$A:$A)+1)-'Price History'!K3)*(ROW()-3)/(MATCH(9.99E+307,'Returns (Calc)'!$A:$A)-3),"")</f>
        <v>83.3808860759494</v>
      </c>
      <c r="AG65" s="144" t="n">
        <f aca="false">IFERROR('Price History'!L3+(INDEX('Price History'!L:L,MATCH(9.99E+307,'Returns (Calc)'!$A:$A)+1)-'Price History'!L3)*(ROW()-3)/(MATCH(9.99E+307,'Returns (Calc)'!$A:$A)-3),"")</f>
        <v>237.62253164557</v>
      </c>
      <c r="AH65" s="144" t="n">
        <f aca="false">IFERROR('Price History'!M3+(INDEX('Price History'!M:M,MATCH(9.99E+307,'Returns (Calc)'!$A:$A)+1)-'Price History'!M3)*(ROW()-3)/(MATCH(9.99E+307,'Returns (Calc)'!$A:$A)-3),"")</f>
        <v>122.05746835443</v>
      </c>
      <c r="AI65" s="144" t="n">
        <f aca="false">IFERROR('Price History'!N3+(INDEX('Price History'!N:N,MATCH(9.99E+307,'Returns (Calc)'!$A:$A)+1)-'Price History'!N3)*(ROW()-3)/(MATCH(9.99E+307,'Returns (Calc)'!$A:$A)-3),"")</f>
        <v>410.048481012658</v>
      </c>
      <c r="AJ65" s="144" t="n">
        <f aca="false">IFERROR('Price History'!O3+(INDEX('Price History'!O:O,MATCH(9.99E+307,'Returns (Calc)'!$A:$A)+1)-'Price History'!O3)*(ROW()-3)/(MATCH(9.99E+307,'Returns (Calc)'!$A:$A)-3),"")</f>
        <v>92.8583544303798</v>
      </c>
      <c r="AK65" s="144" t="n">
        <f aca="false">IFERROR('Price History'!Q3+(INDEX('Price History'!Q:Q,MATCH(9.99E+307,'Returns (Calc)'!$A:$A)+1)-'Price History'!Q3)*(ROW()-3)/(MATCH(9.99E+307,'Returns (Calc)'!$A:$A)-3),"")</f>
        <v>27.2407594936709</v>
      </c>
      <c r="AL65" s="144" t="n">
        <f aca="false">IFERROR('Price History'!R3+(INDEX('Price History'!R:R,MATCH(9.99E+307,'Returns (Calc)'!$A:$A)+1)-'Price History'!R3)*(ROW()-3)/(MATCH(9.99E+307,'Returns (Calc)'!$A:$A)-3),"")</f>
        <v>44.9022784810127</v>
      </c>
      <c r="AM65" s="144" t="n">
        <f aca="false">IFERROR('Price History'!S3+(INDEX('Price History'!S:S,MATCH(9.99E+307,'Returns (Calc)'!$A:$A)+1)-'Price History'!S3)*(ROW()-3)/(MATCH(9.99E+307,'Returns (Calc)'!$A:$A)-3),"")</f>
        <v>95.1439240506329</v>
      </c>
      <c r="AN65" s="144" t="n">
        <f aca="false">IFERROR('Price History'!T3+(INDEX('Price History'!T:T,MATCH(9.99E+307,'Returns (Calc)'!$A:$A)+1)-'Price History'!T3)*(ROW()-3)/(MATCH(9.99E+307,'Returns (Calc)'!$A:$A)-3),"")</f>
        <v>35.6701265822785</v>
      </c>
      <c r="AO65" s="145" t="n">
        <f aca="false">IFERROR('Price History'!V3+(INDEX('Price History'!V:V,MATCH(9.99E+307,'Returns (Calc)'!$A:$A)+1)-'Price History'!V3)*(ROW()-3)/(MATCH(9.99E+307,'Returns (Calc)'!$A:$A)-3),"")</f>
        <v>284.692405063291</v>
      </c>
      <c r="AP65" s="143" t="n">
        <f aca="false">IFERROR(IF(OR(NOT(ISNUMBER('Price History'!W66)),NOT(ISNUMBER('Price History'!W65)),'Price History'!W65=0),"",'Price History'!W66/'Price History'!W65-1),"")</f>
        <v>0.00834777130256725</v>
      </c>
      <c r="AQ65" s="143" t="str">
        <f aca="false">IFERROR(IF(OR(NOT(ISNUMBER('Price History'!X66)),NOT(ISNUMBER('Price History'!X65)),'Price History'!X65=0),"",'Price History'!X66/'Price History'!X65-1),"")</f>
        <v/>
      </c>
      <c r="AR65" s="143" t="n">
        <f aca="false">IFERROR(IF(OR(NOT(ISNUMBER('Price History'!Y66)),NOT(ISNUMBER('Price History'!Y65)),'Price History'!Y65=0),"",'Price History'!Y66/'Price History'!Y65-1),"")</f>
        <v>0.0110765643218034</v>
      </c>
      <c r="AS65" s="143" t="n">
        <f aca="false">IFERROR(IF(OR(NOT(ISNUMBER('Price History'!Z66)),NOT(ISNUMBER('Price History'!Z65)),'Price History'!Z65=0),"",'Price History'!Z66/'Price History'!Z65-1),"")</f>
        <v>0.00557568999163638</v>
      </c>
      <c r="AT65" s="143" t="n">
        <f aca="false">IFERROR(IF(OR(NOT(ISNUMBER('Price History'!AA66)),NOT(ISNUMBER('Price History'!AA65)),'Price History'!AA65=0),"",'Price History'!AA66/'Price History'!AA65-1),"")</f>
        <v>-0.0122521719759411</v>
      </c>
    </row>
    <row r="66" customFormat="false" ht="15" hidden="false" customHeight="true" outlineLevel="0" collapsed="false">
      <c r="A66" s="141" t="n">
        <f aca="false">IF('Price History'!A67="","",'Price History'!A67)</f>
        <v>45632</v>
      </c>
      <c r="B66" s="142" t="n">
        <f aca="false">IFERROR(IF(OR(NOT(ISNUMBER('Price History'!B67)),NOT(ISNUMBER('Price History'!B66)),'Price History'!B66=0),"",'Price History'!B67/'Price History'!B66-1),"")</f>
        <v>0.0717733025798075</v>
      </c>
      <c r="C66" s="142" t="n">
        <f aca="false">IFERROR(IF(OR(NOT(ISNUMBER('Price History'!C67)),NOT(ISNUMBER('Price History'!C66)),'Price History'!C66=0),"",'Price History'!C67/'Price History'!C66-1),"")</f>
        <v>0.0669229252907551</v>
      </c>
      <c r="D66" s="142" t="n">
        <f aca="false">IFERROR(IF(OR(NOT(ISNUMBER('Price History'!D67)),NOT(ISNUMBER('Price History'!D66)),'Price History'!D66=0),"",'Price History'!D67/'Price History'!D66-1),"")</f>
        <v>0.0325768992110629</v>
      </c>
      <c r="E66" s="142" t="n">
        <f aca="false">IFERROR(IF(OR(NOT(ISNUMBER('Price History'!E67)),NOT(ISNUMBER('Price History'!E66)),'Price History'!E66=0),"",'Price History'!E67/'Price History'!E66-1),"")</f>
        <v>0.107644991212654</v>
      </c>
      <c r="F66" s="142" t="n">
        <f aca="false">IFERROR(IF(OR(NOT(ISNUMBER('Price History'!F67)),NOT(ISNUMBER('Price History'!F66)),'Price History'!F66=0),"",'Price History'!F67/'Price History'!F66-1),"")</f>
        <v>0.0568851890391953</v>
      </c>
      <c r="G66" s="142" t="n">
        <f aca="false">IFERROR(IF(OR(NOT(ISNUMBER('Price History'!G67)),NOT(ISNUMBER('Price History'!G66)),'Price History'!G66=0),"",'Price History'!G67/'Price History'!G66-1),"")</f>
        <v>0.0020337922403002</v>
      </c>
      <c r="H66" s="142" t="n">
        <f aca="false">IFERROR(IF(OR(NOT(ISNUMBER('Price History'!H67)),NOT(ISNUMBER('Price History'!H66)),'Price History'!H66=0),"",'Price History'!H67/'Price History'!H66-1),"")</f>
        <v>0.0328373524884555</v>
      </c>
      <c r="I66" s="142" t="n">
        <f aca="false">IFERROR(IF(OR(NOT(ISNUMBER('Price History'!I67)),NOT(ISNUMBER('Price History'!I66)),'Price History'!I66=0),"",'Price History'!I67/'Price History'!I66-1),"")</f>
        <v>0.0303887438352191</v>
      </c>
      <c r="J66" s="142" t="n">
        <f aca="false">IFERROR(IF(OR(NOT(ISNUMBER('Price History'!J67)),NOT(ISNUMBER('Price History'!J66)),'Price History'!J66=0),"",'Price History'!J67/'Price History'!J66-1),"")</f>
        <v>-0.0409228234001647</v>
      </c>
      <c r="K66" s="142" t="n">
        <f aca="false">IFERROR(IF(OR(NOT(ISNUMBER('Price History'!K67)),NOT(ISNUMBER('Price History'!K66)),'Price History'!K66=0),"",'Price History'!K67/'Price History'!K66-1),"")</f>
        <v>0.13804412641622</v>
      </c>
      <c r="L66" s="142" t="n">
        <f aca="false">IFERROR(IF(OR(NOT(ISNUMBER('Price History'!L67)),NOT(ISNUMBER('Price History'!L66)),'Price History'!L66=0),"",'Price History'!L67/'Price History'!L66-1),"")</f>
        <v>0.0994395427556738</v>
      </c>
      <c r="M66" s="142" t="n">
        <f aca="false">IFERROR(IF(OR(NOT(ISNUMBER('Price History'!M67)),NOT(ISNUMBER('Price History'!M66)),'Price History'!M66=0),"",'Price History'!M67/'Price History'!M66-1),"")</f>
        <v>0.0493361615209365</v>
      </c>
      <c r="N66" s="142" t="n">
        <f aca="false">IFERROR(IF(OR(NOT(ISNUMBER('Price History'!N67)),NOT(ISNUMBER('Price History'!N66)),'Price History'!N66=0),"",'Price History'!N67/'Price History'!N66-1),"")</f>
        <v>-0.0128810373186935</v>
      </c>
      <c r="O66" s="142" t="n">
        <f aca="false">IFERROR(IF(OR(NOT(ISNUMBER('Price History'!O67)),NOT(ISNUMBER('Price History'!O66)),'Price History'!O66=0),"",'Price History'!O67/'Price History'!O66-1),"")</f>
        <v>-0.0208190792688886</v>
      </c>
      <c r="P66" s="142" t="n">
        <f aca="false">IFERROR(IF(OR(NOT(ISNUMBER('Price History'!P67)),NOT(ISNUMBER('Price History'!P66)),'Price History'!P66=0),"",'Price History'!P67/'Price History'!P66-1),"")</f>
        <v>-0.0252975076715817</v>
      </c>
      <c r="Q66" s="142" t="n">
        <f aca="false">IFERROR(IF(OR(NOT(ISNUMBER('Price History'!Q67)),NOT(ISNUMBER('Price History'!Q66)),'Price History'!Q66=0),"",'Price History'!Q67/'Price History'!Q66-1),"")</f>
        <v>0.00369715479826382</v>
      </c>
      <c r="R66" s="142" t="n">
        <f aca="false">IFERROR(IF(OR(NOT(ISNUMBER('Price History'!R67)),NOT(ISNUMBER('Price History'!R66)),'Price History'!R66=0),"",'Price History'!R67/'Price History'!R66-1),"")</f>
        <v>0.0185023944275142</v>
      </c>
      <c r="S66" s="142" t="n">
        <f aca="false">IFERROR(IF(OR(NOT(ISNUMBER('Price History'!S67)),NOT(ISNUMBER('Price History'!S66)),'Price History'!S66=0),"",'Price History'!S67/'Price History'!S66-1),"")</f>
        <v>0.0193074501573978</v>
      </c>
      <c r="T66" s="142" t="n">
        <f aca="false">IFERROR(IF(OR(NOT(ISNUMBER('Price History'!T67)),NOT(ISNUMBER('Price History'!T66)),'Price History'!T66=0),"",'Price History'!T67/'Price History'!T66-1),"")</f>
        <v>-0.000841514726507731</v>
      </c>
      <c r="U66" s="142" t="n">
        <f aca="false">IFERROR(IF(OR(NOT(ISNUMBER('Price History'!U67)),NOT(ISNUMBER('Price History'!U66)),'Price History'!U66=0),"",'Price History'!U67/'Price History'!U66-1),"")</f>
        <v>-0.0240174672489083</v>
      </c>
      <c r="V66" s="143" t="n">
        <f aca="false">IFERROR(IF(OR(NOT(ISNUMBER('Price History'!V67)),NOT(ISNUMBER('Price History'!V66)),'Price History'!V66=0),"",'Price History'!V67/'Price History'!V66-1),"")</f>
        <v>-0.0129264606578989</v>
      </c>
      <c r="W66" s="144" t="n">
        <f aca="false">IFERROR('Price History'!B3+(INDEX('Price History'!B:B,MATCH(9.99E+307,'Returns (Calc)'!$A:$A)+1)-'Price History'!B3)*(ROW()-3)/(MATCH(9.99E+307,'Returns (Calc)'!$A:$A)-3),"")</f>
        <v>412.778607594937</v>
      </c>
      <c r="X66" s="144" t="n">
        <f aca="false">IFERROR('Price History'!C3+(INDEX('Price History'!C:C,MATCH(9.99E+307,'Returns (Calc)'!$A:$A)+1)-'Price History'!C3)*(ROW()-3)/(MATCH(9.99E+307,'Returns (Calc)'!$A:$A)-3),"")</f>
        <v>110.443987341772</v>
      </c>
      <c r="Y66" s="144" t="n">
        <f aca="false">IFERROR('Price History'!D3+(INDEX('Price History'!D:D,MATCH(9.99E+307,'Returns (Calc)'!$A:$A)+1)-'Price History'!D3)*(ROW()-3)/(MATCH(9.99E+307,'Returns (Calc)'!$A:$A)-3),"")</f>
        <v>1094.50303797468</v>
      </c>
      <c r="Z66" s="144" t="n">
        <f aca="false">IFERROR('Price History'!E3+(INDEX('Price History'!E:E,MATCH(9.99E+307,'Returns (Calc)'!$A:$A)+1)-'Price History'!E3)*(ROW()-3)/(MATCH(9.99E+307,'Returns (Calc)'!$A:$A)-3),"")</f>
        <v>190.910253164557</v>
      </c>
      <c r="AA66" s="144" t="n">
        <f aca="false">IFERROR('Price History'!F3+(INDEX('Price History'!F:F,MATCH(9.99E+307,'Returns (Calc)'!$A:$A)+1)-'Price History'!F3)*(ROW()-3)/(MATCH(9.99E+307,'Returns (Calc)'!$A:$A)-3),"")</f>
        <v>132.54253164557</v>
      </c>
      <c r="AB66" s="144" t="n">
        <f aca="false">IFERROR('Price History'!G3+(INDEX('Price History'!G:G,MATCH(9.99E+307,'Returns (Calc)'!$A:$A)+1)-'Price History'!G3)*(ROW()-3)/(MATCH(9.99E+307,'Returns (Calc)'!$A:$A)-3),"")</f>
        <v>109.160253164557</v>
      </c>
      <c r="AC66" s="144" t="n">
        <f aca="false">IFERROR('Price History'!H3+(INDEX('Price History'!H:H,MATCH(9.99E+307,'Returns (Calc)'!$A:$A)+1)-'Price History'!H3)*(ROW()-3)/(MATCH(9.99E+307,'Returns (Calc)'!$A:$A)-3),"")</f>
        <v>470.148860759494</v>
      </c>
      <c r="AD66" s="144" t="n">
        <f aca="false">IFERROR('Price History'!I3+(INDEX('Price History'!I:I,MATCH(9.99E+307,'Returns (Calc)'!$A:$A)+1)-'Price History'!I3)*(ROW()-3)/(MATCH(9.99E+307,'Returns (Calc)'!$A:$A)-3),"")</f>
        <v>119.601265822785</v>
      </c>
      <c r="AE66" s="144" t="n">
        <f aca="false">IFERROR('Price History'!J3+(INDEX('Price History'!J:J,MATCH(9.99E+307,'Returns (Calc)'!$A:$A)+1)-'Price History'!J3)*(ROW()-3)/(MATCH(9.99E+307,'Returns (Calc)'!$A:$A)-3),"")</f>
        <v>118.646392405063</v>
      </c>
      <c r="AF66" s="144" t="n">
        <f aca="false">IFERROR('Price History'!K3+(INDEX('Price History'!K:K,MATCH(9.99E+307,'Returns (Calc)'!$A:$A)+1)-'Price History'!K3)*(ROW()-3)/(MATCH(9.99E+307,'Returns (Calc)'!$A:$A)-3),"")</f>
        <v>84.4784810126582</v>
      </c>
      <c r="AG66" s="144" t="n">
        <f aca="false">IFERROR('Price History'!L3+(INDEX('Price History'!L:L,MATCH(9.99E+307,'Returns (Calc)'!$A:$A)+1)-'Price History'!L3)*(ROW()-3)/(MATCH(9.99E+307,'Returns (Calc)'!$A:$A)-3),"")</f>
        <v>240.072088607595</v>
      </c>
      <c r="AH66" s="144" t="n">
        <f aca="false">IFERROR('Price History'!M3+(INDEX('Price History'!M:M,MATCH(9.99E+307,'Returns (Calc)'!$A:$A)+1)-'Price History'!M3)*(ROW()-3)/(MATCH(9.99E+307,'Returns (Calc)'!$A:$A)-3),"")</f>
        <v>123.412911392405</v>
      </c>
      <c r="AI66" s="144" t="n">
        <f aca="false">IFERROR('Price History'!N3+(INDEX('Price History'!N:N,MATCH(9.99E+307,'Returns (Calc)'!$A:$A)+1)-'Price History'!N3)*(ROW()-3)/(MATCH(9.99E+307,'Returns (Calc)'!$A:$A)-3),"")</f>
        <v>411.034746835443</v>
      </c>
      <c r="AJ66" s="144" t="n">
        <f aca="false">IFERROR('Price History'!O3+(INDEX('Price History'!O:O,MATCH(9.99E+307,'Returns (Calc)'!$A:$A)+1)-'Price History'!O3)*(ROW()-3)/(MATCH(9.99E+307,'Returns (Calc)'!$A:$A)-3),"")</f>
        <v>93.1413924050633</v>
      </c>
      <c r="AK66" s="144" t="n">
        <f aca="false">IFERROR('Price History'!Q3+(INDEX('Price History'!Q:Q,MATCH(9.99E+307,'Returns (Calc)'!$A:$A)+1)-'Price History'!Q3)*(ROW()-3)/(MATCH(9.99E+307,'Returns (Calc)'!$A:$A)-3),"")</f>
        <v>27.6801265822785</v>
      </c>
      <c r="AL66" s="144" t="n">
        <f aca="false">IFERROR('Price History'!R3+(INDEX('Price History'!R:R,MATCH(9.99E+307,'Returns (Calc)'!$A:$A)+1)-'Price History'!R3)*(ROW()-3)/(MATCH(9.99E+307,'Returns (Calc)'!$A:$A)-3),"")</f>
        <v>45.0703797468354</v>
      </c>
      <c r="AM66" s="144" t="n">
        <f aca="false">IFERROR('Price History'!S3+(INDEX('Price History'!S:S,MATCH(9.99E+307,'Returns (Calc)'!$A:$A)+1)-'Price History'!S3)*(ROW()-3)/(MATCH(9.99E+307,'Returns (Calc)'!$A:$A)-3),"")</f>
        <v>95.7489873417722</v>
      </c>
      <c r="AN66" s="144" t="n">
        <f aca="false">IFERROR('Price History'!T3+(INDEX('Price History'!T:T,MATCH(9.99E+307,'Returns (Calc)'!$A:$A)+1)-'Price History'!T3)*(ROW()-3)/(MATCH(9.99E+307,'Returns (Calc)'!$A:$A)-3),"")</f>
        <v>35.8383544303797</v>
      </c>
      <c r="AO66" s="145" t="n">
        <f aca="false">IFERROR('Price History'!V3+(INDEX('Price History'!V:V,MATCH(9.99E+307,'Returns (Calc)'!$A:$A)+1)-'Price History'!V3)*(ROW()-3)/(MATCH(9.99E+307,'Returns (Calc)'!$A:$A)-3),"")</f>
        <v>285.483734177215</v>
      </c>
      <c r="AP66" s="143" t="n">
        <f aca="false">IFERROR(IF(OR(NOT(ISNUMBER('Price History'!W67)),NOT(ISNUMBER('Price History'!W66)),'Price History'!W66=0),"",'Price History'!W67/'Price History'!W66-1),"")</f>
        <v>-0.0143705092158699</v>
      </c>
      <c r="AQ66" s="143" t="str">
        <f aca="false">IFERROR(IF(OR(NOT(ISNUMBER('Price History'!X67)),NOT(ISNUMBER('Price History'!X66)),'Price History'!X66=0),"",'Price History'!X67/'Price History'!X66-1),"")</f>
        <v/>
      </c>
      <c r="AR66" s="143" t="n">
        <f aca="false">IFERROR(IF(OR(NOT(ISNUMBER('Price History'!Y67)),NOT(ISNUMBER('Price History'!Y66)),'Price History'!Y66=0),"",'Price History'!Y67/'Price History'!Y66-1),"")</f>
        <v>-0.0084566596194503</v>
      </c>
      <c r="AS66" s="143" t="n">
        <f aca="false">IFERROR(IF(OR(NOT(ISNUMBER('Price History'!Z67)),NOT(ISNUMBER('Price History'!Z66)),'Price History'!Z66=0),"",'Price History'!Z67/'Price History'!Z66-1),"")</f>
        <v>-0.0361519268089824</v>
      </c>
      <c r="AT66" s="143" t="n">
        <f aca="false">IFERROR(IF(OR(NOT(ISNUMBER('Price History'!AA67)),NOT(ISNUMBER('Price History'!AA66)),'Price History'!AA66=0),"",'Price History'!AA67/'Price History'!AA66-1),"")</f>
        <v>0.0540144339197113</v>
      </c>
    </row>
    <row r="67" customFormat="false" ht="15" hidden="false" customHeight="true" outlineLevel="0" collapsed="false">
      <c r="A67" s="141" t="n">
        <f aca="false">IF('Price History'!A68="","",'Price History'!A68)</f>
        <v>45639</v>
      </c>
      <c r="B67" s="142" t="n">
        <f aca="false">IFERROR(IF(OR(NOT(ISNUMBER('Price History'!B68)),NOT(ISNUMBER('Price History'!B67)),'Price History'!B67=0),"",'Price History'!B68/'Price History'!B67-1),"")</f>
        <v>-0.157823350694445</v>
      </c>
      <c r="C67" s="142" t="n">
        <f aca="false">IFERROR(IF(OR(NOT(ISNUMBER('Price History'!C68)),NOT(ISNUMBER('Price History'!C67)),'Price History'!C67=0),"",'Price History'!C68/'Price History'!C67-1),"")</f>
        <v>0.0380600461893765</v>
      </c>
      <c r="D67" s="142" t="n">
        <f aca="false">IFERROR(IF(OR(NOT(ISNUMBER('Price History'!D68)),NOT(ISNUMBER('Price History'!D67)),'Price History'!D67=0),"",'Price History'!D68/'Price History'!D67-1),"")</f>
        <v>0.0135496702007412</v>
      </c>
      <c r="E67" s="142" t="n">
        <f aca="false">IFERROR(IF(OR(NOT(ISNUMBER('Price History'!E68)),NOT(ISNUMBER('Price History'!E67)),'Price History'!E67=0),"",'Price History'!E68/'Price History'!E67-1),"")</f>
        <v>0.252167507225024</v>
      </c>
      <c r="F67" s="142" t="n">
        <f aca="false">IFERROR(IF(OR(NOT(ISNUMBER('Price History'!F68)),NOT(ISNUMBER('Price History'!F67)),'Price History'!F67=0),"",'Price History'!F68/'Price History'!F67-1),"")</f>
        <v>0.00645443605732421</v>
      </c>
      <c r="G67" s="142" t="n">
        <f aca="false">IFERROR(IF(OR(NOT(ISNUMBER('Price History'!G68)),NOT(ISNUMBER('Price History'!G67)),'Price History'!G67=0),"",'Price History'!G68/'Price History'!G67-1),"")</f>
        <v>0.00827478532396575</v>
      </c>
      <c r="H67" s="142" t="n">
        <f aca="false">IFERROR(IF(OR(NOT(ISNUMBER('Price History'!H68)),NOT(ISNUMBER('Price History'!H67)),'Price History'!H67=0),"",'Price History'!H68/'Price History'!H67-1),"")</f>
        <v>0.0131147540983605</v>
      </c>
      <c r="I67" s="142" t="n">
        <f aca="false">IFERROR(IF(OR(NOT(ISNUMBER('Price History'!I68)),NOT(ISNUMBER('Price History'!I67)),'Price History'!I67=0),"",'Price History'!I68/'Price History'!I67-1),"")</f>
        <v>-0.0575068628141057</v>
      </c>
      <c r="J67" s="142" t="n">
        <f aca="false">IFERROR(IF(OR(NOT(ISNUMBER('Price History'!J68)),NOT(ISNUMBER('Price History'!J67)),'Price History'!J67=0),"",'Price History'!J68/'Price History'!J67-1),"")</f>
        <v>-0.00773195876288657</v>
      </c>
      <c r="K67" s="142" t="n">
        <f aca="false">IFERROR(IF(OR(NOT(ISNUMBER('Price History'!K68)),NOT(ISNUMBER('Price History'!K67)),'Price History'!K67=0),"",'Price History'!K68/'Price History'!K67-1),"")</f>
        <v>-0.00353680901231346</v>
      </c>
      <c r="L67" s="142" t="n">
        <f aca="false">IFERROR(IF(OR(NOT(ISNUMBER('Price History'!L68)),NOT(ISNUMBER('Price History'!L67)),'Price History'!L67=0),"",'Price History'!L68/'Price History'!L67-1),"")</f>
        <v>-0.00686418008378331</v>
      </c>
      <c r="M67" s="142" t="n">
        <f aca="false">IFERROR(IF(OR(NOT(ISNUMBER('Price History'!M68)),NOT(ISNUMBER('Price History'!M67)),'Price History'!M67=0),"",'Price History'!M68/'Price History'!M67-1),"")</f>
        <v>-0.060342891367822</v>
      </c>
      <c r="N67" s="142" t="n">
        <f aca="false">IFERROR(IF(OR(NOT(ISNUMBER('Price History'!N68)),NOT(ISNUMBER('Price History'!N67)),'Price History'!N67=0),"",'Price History'!N68/'Price History'!N67-1),"")</f>
        <v>0.00352737502705036</v>
      </c>
      <c r="O67" s="142" t="n">
        <f aca="false">IFERROR(IF(OR(NOT(ISNUMBER('Price History'!O68)),NOT(ISNUMBER('Price History'!O67)),'Price History'!O67=0),"",'Price History'!O68/'Price History'!O67-1),"")</f>
        <v>-0.0123777201038132</v>
      </c>
      <c r="P67" s="142" t="n">
        <f aca="false">IFERROR(IF(OR(NOT(ISNUMBER('Price History'!P68)),NOT(ISNUMBER('Price History'!P67)),'Price History'!P67=0),"",'Price History'!P68/'Price History'!P67-1),"")</f>
        <v>-0.0201950395454196</v>
      </c>
      <c r="Q67" s="142" t="n">
        <f aca="false">IFERROR(IF(OR(NOT(ISNUMBER('Price History'!Q68)),NOT(ISNUMBER('Price History'!Q67)),'Price History'!Q67=0),"",'Price History'!Q68/'Price History'!Q67-1),"")</f>
        <v>-0.00176169122357461</v>
      </c>
      <c r="R67" s="142" t="n">
        <f aca="false">IFERROR(IF(OR(NOT(ISNUMBER('Price History'!R68)),NOT(ISNUMBER('Price History'!R67)),'Price History'!R67=0),"",'Price History'!R68/'Price History'!R67-1),"")</f>
        <v>0.00384697584954052</v>
      </c>
      <c r="S67" s="142" t="n">
        <f aca="false">IFERROR(IF(OR(NOT(ISNUMBER('Price History'!S68)),NOT(ISNUMBER('Price History'!S67)),'Price History'!S67=0),"",'Price History'!S68/'Price History'!S67-1),"")</f>
        <v>-0.00936792258595842</v>
      </c>
      <c r="T67" s="142" t="n">
        <f aca="false">IFERROR(IF(OR(NOT(ISNUMBER('Price History'!T68)),NOT(ISNUMBER('Price History'!T67)),'Price History'!T67=0),"",'Price History'!T68/'Price History'!T67-1),"")</f>
        <v>-0.0415496911847276</v>
      </c>
      <c r="U67" s="142" t="n">
        <f aca="false">IFERROR(IF(OR(NOT(ISNUMBER('Price History'!U68)),NOT(ISNUMBER('Price History'!U67)),'Price History'!U67=0),"",'Price History'!U68/'Price History'!U67-1),"")</f>
        <v>-0.0149142431021625</v>
      </c>
      <c r="V67" s="143" t="n">
        <f aca="false">IFERROR(IF(OR(NOT(ISNUMBER('Price History'!V68)),NOT(ISNUMBER('Price History'!V67)),'Price History'!V67=0),"",'Price History'!V68/'Price History'!V67-1),"")</f>
        <v>0.0119881421637291</v>
      </c>
      <c r="W67" s="144" t="n">
        <f aca="false">IFERROR('Price History'!B3+(INDEX('Price History'!B:B,MATCH(9.99E+307,'Returns (Calc)'!$A:$A)+1)-'Price History'!B3)*(ROW()-3)/(MATCH(9.99E+307,'Returns (Calc)'!$A:$A)-3),"")</f>
        <v>410.935569620253</v>
      </c>
      <c r="X67" s="144" t="n">
        <f aca="false">IFERROR('Price History'!C3+(INDEX('Price History'!C:C,MATCH(9.99E+307,'Returns (Calc)'!$A:$A)+1)-'Price History'!C3)*(ROW()-3)/(MATCH(9.99E+307,'Returns (Calc)'!$A:$A)-3),"")</f>
        <v>111.464050632911</v>
      </c>
      <c r="Y67" s="144" t="n">
        <f aca="false">IFERROR('Price History'!D3+(INDEX('Price History'!D:D,MATCH(9.99E+307,'Returns (Calc)'!$A:$A)+1)-'Price History'!D3)*(ROW()-3)/(MATCH(9.99E+307,'Returns (Calc)'!$A:$A)-3),"")</f>
        <v>1102.63784810127</v>
      </c>
      <c r="Z67" s="144" t="n">
        <f aca="false">IFERROR('Price History'!E3+(INDEX('Price History'!E:E,MATCH(9.99E+307,'Returns (Calc)'!$A:$A)+1)-'Price History'!E3)*(ROW()-3)/(MATCH(9.99E+307,'Returns (Calc)'!$A:$A)-3),"")</f>
        <v>192.638987341772</v>
      </c>
      <c r="AA67" s="144" t="n">
        <f aca="false">IFERROR('Price History'!F3+(INDEX('Price History'!F:F,MATCH(9.99E+307,'Returns (Calc)'!$A:$A)+1)-'Price History'!F3)*(ROW()-3)/(MATCH(9.99E+307,'Returns (Calc)'!$A:$A)-3),"")</f>
        <v>133.989873417722</v>
      </c>
      <c r="AB67" s="144" t="n">
        <f aca="false">IFERROR('Price History'!G3+(INDEX('Price History'!G:G,MATCH(9.99E+307,'Returns (Calc)'!$A:$A)+1)-'Price History'!G3)*(ROW()-3)/(MATCH(9.99E+307,'Returns (Calc)'!$A:$A)-3),"")</f>
        <v>110.188987341772</v>
      </c>
      <c r="AC67" s="144" t="n">
        <f aca="false">IFERROR('Price History'!H3+(INDEX('Price History'!H:H,MATCH(9.99E+307,'Returns (Calc)'!$A:$A)+1)-'Price History'!H3)*(ROW()-3)/(MATCH(9.99E+307,'Returns (Calc)'!$A:$A)-3),"")</f>
        <v>476.514556962025</v>
      </c>
      <c r="AD67" s="144" t="n">
        <f aca="false">IFERROR('Price History'!I3+(INDEX('Price History'!I:I,MATCH(9.99E+307,'Returns (Calc)'!$A:$A)+1)-'Price History'!I3)*(ROW()-3)/(MATCH(9.99E+307,'Returns (Calc)'!$A:$A)-3),"")</f>
        <v>120.804936708861</v>
      </c>
      <c r="AE67" s="144" t="n">
        <f aca="false">IFERROR('Price History'!J3+(INDEX('Price History'!J:J,MATCH(9.99E+307,'Returns (Calc)'!$A:$A)+1)-'Price History'!J3)*(ROW()-3)/(MATCH(9.99E+307,'Returns (Calc)'!$A:$A)-3),"")</f>
        <v>118.754430379747</v>
      </c>
      <c r="AF67" s="144" t="n">
        <f aca="false">IFERROR('Price History'!K3+(INDEX('Price History'!K:K,MATCH(9.99E+307,'Returns (Calc)'!$A:$A)+1)-'Price History'!K3)*(ROW()-3)/(MATCH(9.99E+307,'Returns (Calc)'!$A:$A)-3),"")</f>
        <v>85.5760759493671</v>
      </c>
      <c r="AG67" s="144" t="n">
        <f aca="false">IFERROR('Price History'!L3+(INDEX('Price History'!L:L,MATCH(9.99E+307,'Returns (Calc)'!$A:$A)+1)-'Price History'!L3)*(ROW()-3)/(MATCH(9.99E+307,'Returns (Calc)'!$A:$A)-3),"")</f>
        <v>242.52164556962</v>
      </c>
      <c r="AH67" s="144" t="n">
        <f aca="false">IFERROR('Price History'!M3+(INDEX('Price History'!M:M,MATCH(9.99E+307,'Returns (Calc)'!$A:$A)+1)-'Price History'!M3)*(ROW()-3)/(MATCH(9.99E+307,'Returns (Calc)'!$A:$A)-3),"")</f>
        <v>124.76835443038</v>
      </c>
      <c r="AI67" s="144" t="n">
        <f aca="false">IFERROR('Price History'!N3+(INDEX('Price History'!N:N,MATCH(9.99E+307,'Returns (Calc)'!$A:$A)+1)-'Price History'!N3)*(ROW()-3)/(MATCH(9.99E+307,'Returns (Calc)'!$A:$A)-3),"")</f>
        <v>412.021012658228</v>
      </c>
      <c r="AJ67" s="144" t="n">
        <f aca="false">IFERROR('Price History'!O3+(INDEX('Price History'!O:O,MATCH(9.99E+307,'Returns (Calc)'!$A:$A)+1)-'Price History'!O3)*(ROW()-3)/(MATCH(9.99E+307,'Returns (Calc)'!$A:$A)-3),"")</f>
        <v>93.4244303797468</v>
      </c>
      <c r="AK67" s="144" t="n">
        <f aca="false">IFERROR('Price History'!Q3+(INDEX('Price History'!Q:Q,MATCH(9.99E+307,'Returns (Calc)'!$A:$A)+1)-'Price History'!Q3)*(ROW()-3)/(MATCH(9.99E+307,'Returns (Calc)'!$A:$A)-3),"")</f>
        <v>28.1194936708861</v>
      </c>
      <c r="AL67" s="144" t="n">
        <f aca="false">IFERROR('Price History'!R3+(INDEX('Price History'!R:R,MATCH(9.99E+307,'Returns (Calc)'!$A:$A)+1)-'Price History'!R3)*(ROW()-3)/(MATCH(9.99E+307,'Returns (Calc)'!$A:$A)-3),"")</f>
        <v>45.2384810126582</v>
      </c>
      <c r="AM67" s="144" t="n">
        <f aca="false">IFERROR('Price History'!S3+(INDEX('Price History'!S:S,MATCH(9.99E+307,'Returns (Calc)'!$A:$A)+1)-'Price History'!S3)*(ROW()-3)/(MATCH(9.99E+307,'Returns (Calc)'!$A:$A)-3),"")</f>
        <v>96.3540506329114</v>
      </c>
      <c r="AN67" s="144" t="n">
        <f aca="false">IFERROR('Price History'!T3+(INDEX('Price History'!T:T,MATCH(9.99E+307,'Returns (Calc)'!$A:$A)+1)-'Price History'!T3)*(ROW()-3)/(MATCH(9.99E+307,'Returns (Calc)'!$A:$A)-3),"")</f>
        <v>36.006582278481</v>
      </c>
      <c r="AO67" s="145" t="n">
        <f aca="false">IFERROR('Price History'!V3+(INDEX('Price History'!V:V,MATCH(9.99E+307,'Returns (Calc)'!$A:$A)+1)-'Price History'!V3)*(ROW()-3)/(MATCH(9.99E+307,'Returns (Calc)'!$A:$A)-3),"")</f>
        <v>286.275063291139</v>
      </c>
      <c r="AP67" s="143" t="n">
        <f aca="false">IFERROR(IF(OR(NOT(ISNUMBER('Price History'!W68)),NOT(ISNUMBER('Price History'!W67)),'Price History'!W67=0),"",'Price History'!W68/'Price History'!W67-1),"")</f>
        <v>-0.00705229793977813</v>
      </c>
      <c r="AQ67" s="143" t="str">
        <f aca="false">IFERROR(IF(OR(NOT(ISNUMBER('Price History'!X68)),NOT(ISNUMBER('Price History'!X67)),'Price History'!X67=0),"",'Price History'!X68/'Price History'!X67-1),"")</f>
        <v/>
      </c>
      <c r="AR67" s="143" t="n">
        <f aca="false">IFERROR(IF(OR(NOT(ISNUMBER('Price History'!Y68)),NOT(ISNUMBER('Price History'!Y67)),'Price History'!Y67=0),"",'Price History'!Y68/'Price History'!Y67-1),"")</f>
        <v>-0.00814111261872463</v>
      </c>
      <c r="AS67" s="143" t="n">
        <f aca="false">IFERROR(IF(OR(NOT(ISNUMBER('Price History'!Z68)),NOT(ISNUMBER('Price History'!Z67)),'Price History'!Z67=0),"",'Price History'!Z68/'Price History'!Z67-1),"")</f>
        <v>-0.0544785134901915</v>
      </c>
      <c r="AT67" s="143" t="n">
        <f aca="false">IFERROR(IF(OR(NOT(ISNUMBER('Price History'!AA68)),NOT(ISNUMBER('Price History'!AA67)),'Price History'!AA67=0),"",'Price History'!AA68/'Price History'!AA67-1),"")</f>
        <v>-0.0169038194072965</v>
      </c>
    </row>
    <row r="68" customFormat="false" ht="15" hidden="false" customHeight="true" outlineLevel="0" collapsed="false">
      <c r="A68" s="141" t="n">
        <f aca="false">IF('Price History'!A69="","",'Price History'!A69)</f>
        <v>45646</v>
      </c>
      <c r="B68" s="142" t="n">
        <f aca="false">IFERROR(IF(OR(NOT(ISNUMBER('Price History'!B69)),NOT(ISNUMBER('Price History'!B68)),'Price History'!B68=0),"",'Price History'!B69/'Price History'!B68-1),"")</f>
        <v>-0.0397689450063347</v>
      </c>
      <c r="C68" s="142" t="n">
        <f aca="false">IFERROR(IF(OR(NOT(ISNUMBER('Price History'!C69)),NOT(ISNUMBER('Price History'!C68)),'Price History'!C68=0),"",'Price History'!C69/'Price History'!C68-1),"")</f>
        <v>0.00391563584586629</v>
      </c>
      <c r="D68" s="142" t="n">
        <f aca="false">IFERROR(IF(OR(NOT(ISNUMBER('Price History'!D69)),NOT(ISNUMBER('Price History'!D68)),'Price History'!D68=0),"",'Price History'!D69/'Price History'!D68-1),"")</f>
        <v>-0.0179564640447218</v>
      </c>
      <c r="E68" s="142" t="n">
        <f aca="false">IFERROR(IF(OR(NOT(ISNUMBER('Price History'!E69)),NOT(ISNUMBER('Price History'!E68)),'Price History'!E68=0),"",'Price History'!E69/'Price History'!E68-1),"")</f>
        <v>-0.0178304747250758</v>
      </c>
      <c r="F68" s="142" t="n">
        <f aca="false">IFERROR(IF(OR(NOT(ISNUMBER('Price History'!F69)),NOT(ISNUMBER('Price History'!F68)),'Price History'!F68=0),"",'Price History'!F69/'Price History'!F68-1),"")</f>
        <v>-0.0155434782608697</v>
      </c>
      <c r="G68" s="142" t="n">
        <f aca="false">IFERROR(IF(OR(NOT(ISNUMBER('Price History'!G69)),NOT(ISNUMBER('Price History'!G68)),'Price History'!G68=0),"",'Price History'!G69/'Price History'!G68-1),"")</f>
        <v>-0.0373180551254257</v>
      </c>
      <c r="H68" s="142" t="n">
        <f aca="false">IFERROR(IF(OR(NOT(ISNUMBER('Price History'!H69)),NOT(ISNUMBER('Price History'!H68)),'Price History'!H68=0),"",'Price History'!H69/'Price History'!H68-1),"")</f>
        <v>-0.120721780915956</v>
      </c>
      <c r="I68" s="142" t="n">
        <f aca="false">IFERROR(IF(OR(NOT(ISNUMBER('Price History'!I69)),NOT(ISNUMBER('Price History'!I68)),'Price History'!I68=0),"",'Price History'!I69/'Price History'!I68-1),"")</f>
        <v>0.00336071695294993</v>
      </c>
      <c r="J68" s="142" t="n">
        <f aca="false">IFERROR(IF(OR(NOT(ISNUMBER('Price History'!J69)),NOT(ISNUMBER('Price History'!J68)),'Price History'!J68=0),"",'Price History'!J69/'Price History'!J68-1),"")</f>
        <v>-0.0622414622414622</v>
      </c>
      <c r="K68" s="142" t="n">
        <f aca="false">IFERROR(IF(OR(NOT(ISNUMBER('Price History'!K69)),NOT(ISNUMBER('Price History'!K68)),'Price History'!K68=0),"",'Price History'!K69/'Price History'!K68-1),"")</f>
        <v>0.0588931247535165</v>
      </c>
      <c r="L68" s="142" t="n">
        <f aca="false">IFERROR(IF(OR(NOT(ISNUMBER('Price History'!L69)),NOT(ISNUMBER('Price History'!L68)),'Price History'!L68=0),"",'Price History'!L69/'Price History'!L68-1),"")</f>
        <v>-0.0188036794226764</v>
      </c>
      <c r="M68" s="142" t="n">
        <f aca="false">IFERROR(IF(OR(NOT(ISNUMBER('Price History'!M69)),NOT(ISNUMBER('Price History'!M68)),'Price History'!M68=0),"",'Price History'!M69/'Price History'!M68-1),"")</f>
        <v>-0.0455740578439965</v>
      </c>
      <c r="N68" s="142" t="n">
        <f aca="false">IFERROR(IF(OR(NOT(ISNUMBER('Price History'!N69)),NOT(ISNUMBER('Price History'!N68)),'Price History'!N68=0),"",'Price History'!N69/'Price History'!N68-1),"")</f>
        <v>-0.14331615379639</v>
      </c>
      <c r="O68" s="142" t="n">
        <f aca="false">IFERROR(IF(OR(NOT(ISNUMBER('Price History'!O69)),NOT(ISNUMBER('Price History'!O68)),'Price History'!O68=0),"",'Price History'!O69/'Price History'!O68-1),"")</f>
        <v>-0.0538710329492622</v>
      </c>
      <c r="P68" s="142" t="n">
        <f aca="false">IFERROR(IF(OR(NOT(ISNUMBER('Price History'!P69)),NOT(ISNUMBER('Price History'!P68)),'Price History'!P68=0),"",'Price History'!P69/'Price History'!P68-1),"")</f>
        <v>-0.0315830721003135</v>
      </c>
      <c r="Q68" s="142" t="n">
        <f aca="false">IFERROR(IF(OR(NOT(ISNUMBER('Price History'!Q69)),NOT(ISNUMBER('Price History'!Q68)),'Price History'!Q68=0),"",'Price History'!Q69/'Price History'!Q68-1),"")</f>
        <v>-0.0121931654099149</v>
      </c>
      <c r="R68" s="142" t="n">
        <f aca="false">IFERROR(IF(OR(NOT(ISNUMBER('Price History'!R69)),NOT(ISNUMBER('Price History'!R68)),'Price History'!R68=0),"",'Price History'!R69/'Price History'!R68-1),"")</f>
        <v>-0.0110708963167979</v>
      </c>
      <c r="S68" s="142" t="n">
        <f aca="false">IFERROR(IF(OR(NOT(ISNUMBER('Price History'!S69)),NOT(ISNUMBER('Price History'!S68)),'Price History'!S68=0),"",'Price History'!S69/'Price History'!S68-1),"")</f>
        <v>-0.0224462225917075</v>
      </c>
      <c r="T68" s="142" t="n">
        <f aca="false">IFERROR(IF(OR(NOT(ISNUMBER('Price History'!T69)),NOT(ISNUMBER('Price History'!T68)),'Price History'!T68=0),"",'Price History'!T69/'Price History'!T68-1),"")</f>
        <v>-0.0304628002343292</v>
      </c>
      <c r="U68" s="142" t="n">
        <f aca="false">IFERROR(IF(OR(NOT(ISNUMBER('Price History'!U69)),NOT(ISNUMBER('Price History'!U68)),'Price History'!U68=0),"",'Price History'!U69/'Price History'!U68-1),"")</f>
        <v>-0.0299015897047692</v>
      </c>
      <c r="V68" s="143" t="n">
        <f aca="false">IFERROR(IF(OR(NOT(ISNUMBER('Price History'!V69)),NOT(ISNUMBER('Price History'!V68)),'Price History'!V68=0),"",'Price History'!V69/'Price History'!V68-1),"")</f>
        <v>0.00946402704007721</v>
      </c>
      <c r="W68" s="144" t="n">
        <f aca="false">IFERROR('Price History'!B3+(INDEX('Price History'!B:B,MATCH(9.99E+307,'Returns (Calc)'!$A:$A)+1)-'Price History'!B3)*(ROW()-3)/(MATCH(9.99E+307,'Returns (Calc)'!$A:$A)-3),"")</f>
        <v>409.09253164557</v>
      </c>
      <c r="X68" s="144" t="n">
        <f aca="false">IFERROR('Price History'!C3+(INDEX('Price History'!C:C,MATCH(9.99E+307,'Returns (Calc)'!$A:$A)+1)-'Price History'!C3)*(ROW()-3)/(MATCH(9.99E+307,'Returns (Calc)'!$A:$A)-3),"")</f>
        <v>112.484113924051</v>
      </c>
      <c r="Y68" s="144" t="n">
        <f aca="false">IFERROR('Price History'!D3+(INDEX('Price History'!D:D,MATCH(9.99E+307,'Returns (Calc)'!$A:$A)+1)-'Price History'!D3)*(ROW()-3)/(MATCH(9.99E+307,'Returns (Calc)'!$A:$A)-3),"")</f>
        <v>1110.77265822785</v>
      </c>
      <c r="Z68" s="144" t="n">
        <f aca="false">IFERROR('Price History'!E3+(INDEX('Price History'!E:E,MATCH(9.99E+307,'Returns (Calc)'!$A:$A)+1)-'Price History'!E3)*(ROW()-3)/(MATCH(9.99E+307,'Returns (Calc)'!$A:$A)-3),"")</f>
        <v>194.367721518987</v>
      </c>
      <c r="AA68" s="144" t="n">
        <f aca="false">IFERROR('Price History'!F3+(INDEX('Price History'!F:F,MATCH(9.99E+307,'Returns (Calc)'!$A:$A)+1)-'Price History'!F3)*(ROW()-3)/(MATCH(9.99E+307,'Returns (Calc)'!$A:$A)-3),"")</f>
        <v>135.437215189873</v>
      </c>
      <c r="AB68" s="144" t="n">
        <f aca="false">IFERROR('Price History'!G3+(INDEX('Price History'!G:G,MATCH(9.99E+307,'Returns (Calc)'!$A:$A)+1)-'Price History'!G3)*(ROW()-3)/(MATCH(9.99E+307,'Returns (Calc)'!$A:$A)-3),"")</f>
        <v>111.217721518987</v>
      </c>
      <c r="AC68" s="144" t="n">
        <f aca="false">IFERROR('Price History'!H3+(INDEX('Price History'!H:H,MATCH(9.99E+307,'Returns (Calc)'!$A:$A)+1)-'Price History'!H3)*(ROW()-3)/(MATCH(9.99E+307,'Returns (Calc)'!$A:$A)-3),"")</f>
        <v>482.880253164557</v>
      </c>
      <c r="AD68" s="144" t="n">
        <f aca="false">IFERROR('Price History'!I3+(INDEX('Price History'!I:I,MATCH(9.99E+307,'Returns (Calc)'!$A:$A)+1)-'Price History'!I3)*(ROW()-3)/(MATCH(9.99E+307,'Returns (Calc)'!$A:$A)-3),"")</f>
        <v>122.008607594937</v>
      </c>
      <c r="AE68" s="144" t="n">
        <f aca="false">IFERROR('Price History'!J3+(INDEX('Price History'!J:J,MATCH(9.99E+307,'Returns (Calc)'!$A:$A)+1)-'Price History'!J3)*(ROW()-3)/(MATCH(9.99E+307,'Returns (Calc)'!$A:$A)-3),"")</f>
        <v>118.86246835443</v>
      </c>
      <c r="AF68" s="144" t="n">
        <f aca="false">IFERROR('Price History'!K3+(INDEX('Price History'!K:K,MATCH(9.99E+307,'Returns (Calc)'!$A:$A)+1)-'Price History'!K3)*(ROW()-3)/(MATCH(9.99E+307,'Returns (Calc)'!$A:$A)-3),"")</f>
        <v>86.6736708860759</v>
      </c>
      <c r="AG68" s="144" t="n">
        <f aca="false">IFERROR('Price History'!L3+(INDEX('Price History'!L:L,MATCH(9.99E+307,'Returns (Calc)'!$A:$A)+1)-'Price History'!L3)*(ROW()-3)/(MATCH(9.99E+307,'Returns (Calc)'!$A:$A)-3),"")</f>
        <v>244.971202531646</v>
      </c>
      <c r="AH68" s="144" t="n">
        <f aca="false">IFERROR('Price History'!M3+(INDEX('Price History'!M:M,MATCH(9.99E+307,'Returns (Calc)'!$A:$A)+1)-'Price History'!M3)*(ROW()-3)/(MATCH(9.99E+307,'Returns (Calc)'!$A:$A)-3),"")</f>
        <v>126.123797468354</v>
      </c>
      <c r="AI68" s="144" t="n">
        <f aca="false">IFERROR('Price History'!N3+(INDEX('Price History'!N:N,MATCH(9.99E+307,'Returns (Calc)'!$A:$A)+1)-'Price History'!N3)*(ROW()-3)/(MATCH(9.99E+307,'Returns (Calc)'!$A:$A)-3),"")</f>
        <v>413.007278481013</v>
      </c>
      <c r="AJ68" s="144" t="n">
        <f aca="false">IFERROR('Price History'!O3+(INDEX('Price History'!O:O,MATCH(9.99E+307,'Returns (Calc)'!$A:$A)+1)-'Price History'!O3)*(ROW()-3)/(MATCH(9.99E+307,'Returns (Calc)'!$A:$A)-3),"")</f>
        <v>93.7074683544304</v>
      </c>
      <c r="AK68" s="144" t="n">
        <f aca="false">IFERROR('Price History'!Q3+(INDEX('Price History'!Q:Q,MATCH(9.99E+307,'Returns (Calc)'!$A:$A)+1)-'Price History'!Q3)*(ROW()-3)/(MATCH(9.99E+307,'Returns (Calc)'!$A:$A)-3),"")</f>
        <v>28.5588607594937</v>
      </c>
      <c r="AL68" s="144" t="n">
        <f aca="false">IFERROR('Price History'!R3+(INDEX('Price History'!R:R,MATCH(9.99E+307,'Returns (Calc)'!$A:$A)+1)-'Price History'!R3)*(ROW()-3)/(MATCH(9.99E+307,'Returns (Calc)'!$A:$A)-3),"")</f>
        <v>45.406582278481</v>
      </c>
      <c r="AM68" s="144" t="n">
        <f aca="false">IFERROR('Price History'!S3+(INDEX('Price History'!S:S,MATCH(9.99E+307,'Returns (Calc)'!$A:$A)+1)-'Price History'!S3)*(ROW()-3)/(MATCH(9.99E+307,'Returns (Calc)'!$A:$A)-3),"")</f>
        <v>96.9591139240506</v>
      </c>
      <c r="AN68" s="144" t="n">
        <f aca="false">IFERROR('Price History'!T3+(INDEX('Price History'!T:T,MATCH(9.99E+307,'Returns (Calc)'!$A:$A)+1)-'Price History'!T3)*(ROW()-3)/(MATCH(9.99E+307,'Returns (Calc)'!$A:$A)-3),"")</f>
        <v>36.1748101265823</v>
      </c>
      <c r="AO68" s="145" t="n">
        <f aca="false">IFERROR('Price History'!V3+(INDEX('Price History'!V:V,MATCH(9.99E+307,'Returns (Calc)'!$A:$A)+1)-'Price History'!V3)*(ROW()-3)/(MATCH(9.99E+307,'Returns (Calc)'!$A:$A)-3),"")</f>
        <v>287.066392405063</v>
      </c>
      <c r="AP68" s="143" t="n">
        <f aca="false">IFERROR(IF(OR(NOT(ISNUMBER('Price History'!W69)),NOT(ISNUMBER('Price History'!W68)),'Price History'!W68=0),"",'Price History'!W69/'Price History'!W68-1),"")</f>
        <v>-0.028569148511691</v>
      </c>
      <c r="AQ68" s="143" t="str">
        <f aca="false">IFERROR(IF(OR(NOT(ISNUMBER('Price History'!X69)),NOT(ISNUMBER('Price History'!X68)),'Price History'!X68=0),"",'Price History'!X69/'Price History'!X68-1),"")</f>
        <v/>
      </c>
      <c r="AR68" s="143" t="n">
        <f aca="false">IFERROR(IF(OR(NOT(ISNUMBER('Price History'!Y69)),NOT(ISNUMBER('Price History'!Y68)),'Price History'!Y68=0),"",'Price History'!Y69/'Price History'!Y68-1),"")</f>
        <v>-0.0205198358413133</v>
      </c>
      <c r="AS68" s="143" t="n">
        <f aca="false">IFERROR(IF(OR(NOT(ISNUMBER('Price History'!Z69)),NOT(ISNUMBER('Price History'!Z68)),'Price History'!Z68=0),"",'Price History'!Z69/'Price History'!Z68-1),"")</f>
        <v>0.0141761985884643</v>
      </c>
      <c r="AT68" s="143" t="n">
        <f aca="false">IFERROR(IF(OR(NOT(ISNUMBER('Price History'!AA69)),NOT(ISNUMBER('Price History'!AA68)),'Price History'!AA68=0),"",'Price History'!AA69/'Price History'!AA68-1),"")</f>
        <v>-0.0107737512242898</v>
      </c>
    </row>
    <row r="69" customFormat="false" ht="15" hidden="false" customHeight="true" outlineLevel="0" collapsed="false">
      <c r="A69" s="141" t="n">
        <f aca="false">IF('Price History'!A70="","",'Price History'!A70)</f>
        <v>45653</v>
      </c>
      <c r="B69" s="142" t="n">
        <f aca="false">IFERROR(IF(OR(NOT(ISNUMBER('Price History'!B70)),NOT(ISNUMBER('Price History'!B69)),'Price History'!B69=0),"",'Price History'!B70/'Price History'!B69-1),"")</f>
        <v>-0.00154303732361294</v>
      </c>
      <c r="C69" s="142" t="n">
        <f aca="false">IFERROR(IF(OR(NOT(ISNUMBER('Price History'!C70)),NOT(ISNUMBER('Price History'!C69)),'Price History'!C69=0),"",'Price History'!C70/'Price History'!C69-1),"")</f>
        <v>0.00195018172147865</v>
      </c>
      <c r="D69" s="142" t="n">
        <f aca="false">IFERROR(IF(OR(NOT(ISNUMBER('Price History'!D70)),NOT(ISNUMBER('Price History'!D69)),'Price History'!D69=0),"",'Price History'!D70/'Price History'!D69-1),"")</f>
        <v>0.0112123738607941</v>
      </c>
      <c r="E69" s="142" t="n">
        <f aca="false">IFERROR(IF(OR(NOT(ISNUMBER('Price History'!E70)),NOT(ISNUMBER('Price History'!E69)),'Price History'!E69=0),"",'Price History'!E70/'Price History'!E69-1),"")</f>
        <v>0.097866654379579</v>
      </c>
      <c r="F69" s="142" t="n">
        <f aca="false">IFERROR(IF(OR(NOT(ISNUMBER('Price History'!F70)),NOT(ISNUMBER('Price History'!F69)),'Price History'!F69=0),"",'Price History'!F70/'Price History'!F69-1),"")</f>
        <v>-0.0200949541790879</v>
      </c>
      <c r="G69" s="142" t="n">
        <f aca="false">IFERROR(IF(OR(NOT(ISNUMBER('Price History'!G70)),NOT(ISNUMBER('Price History'!G69)),'Price History'!G69=0),"",'Price History'!G70/'Price History'!G69-1),"")</f>
        <v>0.0246099404857649</v>
      </c>
      <c r="H69" s="142" t="n">
        <f aca="false">IFERROR(IF(OR(NOT(ISNUMBER('Price History'!H70)),NOT(ISNUMBER('Price History'!H69)),'Price History'!H69=0),"",'Price History'!H70/'Price History'!H69-1),"")</f>
        <v>-0.0165068034798125</v>
      </c>
      <c r="I69" s="142" t="n">
        <f aca="false">IFERROR(IF(OR(NOT(ISNUMBER('Price History'!I70)),NOT(ISNUMBER('Price History'!I69)),'Price History'!I69=0),"",'Price History'!I70/'Price History'!I69-1),"")</f>
        <v>0.0171194640863417</v>
      </c>
      <c r="J69" s="142" t="n">
        <f aca="false">IFERROR(IF(OR(NOT(ISNUMBER('Price History'!J70)),NOT(ISNUMBER('Price History'!J69)),'Price History'!J69=0),"",'Price History'!J70/'Price History'!J69-1),"")</f>
        <v>0.0185679113664341</v>
      </c>
      <c r="K69" s="142" t="n">
        <f aca="false">IFERROR(IF(OR(NOT(ISNUMBER('Price History'!K70)),NOT(ISNUMBER('Price History'!K69)),'Price History'!K69=0),"",'Price History'!K70/'Price History'!K69-1),"")</f>
        <v>-0.0182495344506518</v>
      </c>
      <c r="L69" s="142" t="n">
        <f aca="false">IFERROR(IF(OR(NOT(ISNUMBER('Price History'!L70)),NOT(ISNUMBER('Price History'!L69)),'Price History'!L69=0),"",'Price History'!L70/'Price History'!L69-1),"")</f>
        <v>0.0224270989796447</v>
      </c>
      <c r="M69" s="142" t="n">
        <f aca="false">IFERROR(IF(OR(NOT(ISNUMBER('Price History'!M70)),NOT(ISNUMBER('Price History'!M69)),'Price History'!M69=0),"",'Price History'!M70/'Price History'!M69-1),"")</f>
        <v>-0.0410718757826196</v>
      </c>
      <c r="N69" s="142" t="n">
        <f aca="false">IFERROR(IF(OR(NOT(ISNUMBER('Price History'!N70)),NOT(ISNUMBER('Price History'!N69)),'Price History'!N69=0),"",'Price History'!N70/'Price History'!N69-1),"")</f>
        <v>0.0289223953482518</v>
      </c>
      <c r="O69" s="142" t="n">
        <f aca="false">IFERROR(IF(OR(NOT(ISNUMBER('Price History'!O70)),NOT(ISNUMBER('Price History'!O69)),'Price History'!O69=0),"",'Price History'!O70/'Price History'!O69-1),"")</f>
        <v>0.00395256916996045</v>
      </c>
      <c r="P69" s="142" t="n">
        <f aca="false">IFERROR(IF(OR(NOT(ISNUMBER('Price History'!P70)),NOT(ISNUMBER('Price History'!P69)),'Price History'!P69=0),"",'Price History'!P70/'Price History'!P69-1),"")</f>
        <v>0.00453184429877807</v>
      </c>
      <c r="Q69" s="142" t="n">
        <f aca="false">IFERROR(IF(OR(NOT(ISNUMBER('Price History'!Q70)),NOT(ISNUMBER('Price History'!Q69)),'Price History'!Q69=0),"",'Price History'!Q70/'Price History'!Q69-1),"")</f>
        <v>0.00649667045639113</v>
      </c>
      <c r="R69" s="142" t="n">
        <f aca="false">IFERROR(IF(OR(NOT(ISNUMBER('Price History'!R70)),NOT(ISNUMBER('Price History'!R69)),'Price History'!R69=0),"",'Price History'!R70/'Price History'!R69-1),"")</f>
        <v>0.00925726587728737</v>
      </c>
      <c r="S69" s="142" t="n">
        <f aca="false">IFERROR(IF(OR(NOT(ISNUMBER('Price History'!S70)),NOT(ISNUMBER('Price History'!S69)),'Price History'!S69=0),"",'Price History'!S70/'Price History'!S69-1),"")</f>
        <v>0.0126501541405337</v>
      </c>
      <c r="T69" s="142" t="n">
        <f aca="false">IFERROR(IF(OR(NOT(ISNUMBER('Price History'!T70)),NOT(ISNUMBER('Price History'!T69)),'Price History'!T69=0),"",'Price History'!T70/'Price History'!T69-1),"")</f>
        <v>0.00936555891238666</v>
      </c>
      <c r="U69" s="142" t="n">
        <f aca="false">IFERROR(IF(OR(NOT(ISNUMBER('Price History'!U70)),NOT(ISNUMBER('Price History'!U69)),'Price History'!U69=0),"",'Price History'!U70/'Price History'!U69-1),"")</f>
        <v>0.00663285212641451</v>
      </c>
      <c r="V69" s="143" t="n">
        <f aca="false">IFERROR(IF(OR(NOT(ISNUMBER('Price History'!V70)),NOT(ISNUMBER('Price History'!V69)),'Price History'!V69=0),"",'Price History'!V70/'Price History'!V69-1),"")</f>
        <v>0.00296565579259545</v>
      </c>
      <c r="W69" s="144" t="n">
        <f aca="false">IFERROR('Price History'!B3+(INDEX('Price History'!B:B,MATCH(9.99E+307,'Returns (Calc)'!$A:$A)+1)-'Price History'!B3)*(ROW()-3)/(MATCH(9.99E+307,'Returns (Calc)'!$A:$A)-3),"")</f>
        <v>407.249493670886</v>
      </c>
      <c r="X69" s="144" t="n">
        <f aca="false">IFERROR('Price History'!C3+(INDEX('Price History'!C:C,MATCH(9.99E+307,'Returns (Calc)'!$A:$A)+1)-'Price History'!C3)*(ROW()-3)/(MATCH(9.99E+307,'Returns (Calc)'!$A:$A)-3),"")</f>
        <v>113.50417721519</v>
      </c>
      <c r="Y69" s="144" t="n">
        <f aca="false">IFERROR('Price History'!D3+(INDEX('Price History'!D:D,MATCH(9.99E+307,'Returns (Calc)'!$A:$A)+1)-'Price History'!D3)*(ROW()-3)/(MATCH(9.99E+307,'Returns (Calc)'!$A:$A)-3),"")</f>
        <v>1118.90746835443</v>
      </c>
      <c r="Z69" s="144" t="n">
        <f aca="false">IFERROR('Price History'!E3+(INDEX('Price History'!E:E,MATCH(9.99E+307,'Returns (Calc)'!$A:$A)+1)-'Price History'!E3)*(ROW()-3)/(MATCH(9.99E+307,'Returns (Calc)'!$A:$A)-3),"")</f>
        <v>196.096455696203</v>
      </c>
      <c r="AA69" s="144" t="n">
        <f aca="false">IFERROR('Price History'!F3+(INDEX('Price History'!F:F,MATCH(9.99E+307,'Returns (Calc)'!$A:$A)+1)-'Price History'!F3)*(ROW()-3)/(MATCH(9.99E+307,'Returns (Calc)'!$A:$A)-3),"")</f>
        <v>136.884556962025</v>
      </c>
      <c r="AB69" s="144" t="n">
        <f aca="false">IFERROR('Price History'!G3+(INDEX('Price History'!G:G,MATCH(9.99E+307,'Returns (Calc)'!$A:$A)+1)-'Price History'!G3)*(ROW()-3)/(MATCH(9.99E+307,'Returns (Calc)'!$A:$A)-3),"")</f>
        <v>112.246455696203</v>
      </c>
      <c r="AC69" s="144" t="n">
        <f aca="false">IFERROR('Price History'!H3+(INDEX('Price History'!H:H,MATCH(9.99E+307,'Returns (Calc)'!$A:$A)+1)-'Price History'!H3)*(ROW()-3)/(MATCH(9.99E+307,'Returns (Calc)'!$A:$A)-3),"")</f>
        <v>489.245949367089</v>
      </c>
      <c r="AD69" s="144" t="n">
        <f aca="false">IFERROR('Price History'!I3+(INDEX('Price History'!I:I,MATCH(9.99E+307,'Returns (Calc)'!$A:$A)+1)-'Price History'!I3)*(ROW()-3)/(MATCH(9.99E+307,'Returns (Calc)'!$A:$A)-3),"")</f>
        <v>123.212278481013</v>
      </c>
      <c r="AE69" s="144" t="n">
        <f aca="false">IFERROR('Price History'!J3+(INDEX('Price History'!J:J,MATCH(9.99E+307,'Returns (Calc)'!$A:$A)+1)-'Price History'!J3)*(ROW()-3)/(MATCH(9.99E+307,'Returns (Calc)'!$A:$A)-3),"")</f>
        <v>118.970506329114</v>
      </c>
      <c r="AF69" s="144" t="n">
        <f aca="false">IFERROR('Price History'!K3+(INDEX('Price History'!K:K,MATCH(9.99E+307,'Returns (Calc)'!$A:$A)+1)-'Price History'!K3)*(ROW()-3)/(MATCH(9.99E+307,'Returns (Calc)'!$A:$A)-3),"")</f>
        <v>87.7712658227848</v>
      </c>
      <c r="AG69" s="144" t="n">
        <f aca="false">IFERROR('Price History'!L3+(INDEX('Price History'!L:L,MATCH(9.99E+307,'Returns (Calc)'!$A:$A)+1)-'Price History'!L3)*(ROW()-3)/(MATCH(9.99E+307,'Returns (Calc)'!$A:$A)-3),"")</f>
        <v>247.420759493671</v>
      </c>
      <c r="AH69" s="144" t="n">
        <f aca="false">IFERROR('Price History'!M3+(INDEX('Price History'!M:M,MATCH(9.99E+307,'Returns (Calc)'!$A:$A)+1)-'Price History'!M3)*(ROW()-3)/(MATCH(9.99E+307,'Returns (Calc)'!$A:$A)-3),"")</f>
        <v>127.479240506329</v>
      </c>
      <c r="AI69" s="144" t="n">
        <f aca="false">IFERROR('Price History'!N3+(INDEX('Price History'!N:N,MATCH(9.99E+307,'Returns (Calc)'!$A:$A)+1)-'Price History'!N3)*(ROW()-3)/(MATCH(9.99E+307,'Returns (Calc)'!$A:$A)-3),"")</f>
        <v>413.993544303798</v>
      </c>
      <c r="AJ69" s="144" t="n">
        <f aca="false">IFERROR('Price History'!O3+(INDEX('Price History'!O:O,MATCH(9.99E+307,'Returns (Calc)'!$A:$A)+1)-'Price History'!O3)*(ROW()-3)/(MATCH(9.99E+307,'Returns (Calc)'!$A:$A)-3),"")</f>
        <v>93.9905063291139</v>
      </c>
      <c r="AK69" s="144" t="n">
        <f aca="false">IFERROR('Price History'!Q3+(INDEX('Price History'!Q:Q,MATCH(9.99E+307,'Returns (Calc)'!$A:$A)+1)-'Price History'!Q3)*(ROW()-3)/(MATCH(9.99E+307,'Returns (Calc)'!$A:$A)-3),"")</f>
        <v>28.9982278481013</v>
      </c>
      <c r="AL69" s="144" t="n">
        <f aca="false">IFERROR('Price History'!R3+(INDEX('Price History'!R:R,MATCH(9.99E+307,'Returns (Calc)'!$A:$A)+1)-'Price History'!R3)*(ROW()-3)/(MATCH(9.99E+307,'Returns (Calc)'!$A:$A)-3),"")</f>
        <v>45.5746835443038</v>
      </c>
      <c r="AM69" s="144" t="n">
        <f aca="false">IFERROR('Price History'!S3+(INDEX('Price History'!S:S,MATCH(9.99E+307,'Returns (Calc)'!$A:$A)+1)-'Price History'!S3)*(ROW()-3)/(MATCH(9.99E+307,'Returns (Calc)'!$A:$A)-3),"")</f>
        <v>97.5641772151899</v>
      </c>
      <c r="AN69" s="144" t="n">
        <f aca="false">IFERROR('Price History'!T3+(INDEX('Price History'!T:T,MATCH(9.99E+307,'Returns (Calc)'!$A:$A)+1)-'Price History'!T3)*(ROW()-3)/(MATCH(9.99E+307,'Returns (Calc)'!$A:$A)-3),"")</f>
        <v>36.3430379746835</v>
      </c>
      <c r="AO69" s="145" t="n">
        <f aca="false">IFERROR('Price History'!V3+(INDEX('Price History'!V:V,MATCH(9.99E+307,'Returns (Calc)'!$A:$A)+1)-'Price History'!V3)*(ROW()-3)/(MATCH(9.99E+307,'Returns (Calc)'!$A:$A)-3),"")</f>
        <v>287.857721518987</v>
      </c>
      <c r="AP69" s="143" t="n">
        <f aca="false">IFERROR(IF(OR(NOT(ISNUMBER('Price History'!W70)),NOT(ISNUMBER('Price History'!W69)),'Price History'!W69=0),"",'Price History'!W70/'Price History'!W69-1),"")</f>
        <v>0.0119116076562886</v>
      </c>
      <c r="AQ69" s="143" t="str">
        <f aca="false">IFERROR(IF(OR(NOT(ISNUMBER('Price History'!X70)),NOT(ISNUMBER('Price History'!X69)),'Price History'!X69=0),"",'Price History'!X70/'Price History'!X69-1),"")</f>
        <v/>
      </c>
      <c r="AR69" s="143" t="n">
        <f aca="false">IFERROR(IF(OR(NOT(ISNUMBER('Price History'!Y70)),NOT(ISNUMBER('Price History'!Y69)),'Price History'!Y69=0),"",'Price History'!Y70/'Price History'!Y69-1),"")</f>
        <v>0.00438946528332007</v>
      </c>
      <c r="AS69" s="143" t="n">
        <f aca="false">IFERROR(IF(OR(NOT(ISNUMBER('Price History'!Z70)),NOT(ISNUMBER('Price History'!Z69)),'Price History'!Z69=0),"",'Price History'!Z70/'Price History'!Z69-1),"")</f>
        <v>0.0118183454316396</v>
      </c>
      <c r="AT69" s="143" t="n">
        <f aca="false">IFERROR(IF(OR(NOT(ISNUMBER('Price History'!AA70)),NOT(ISNUMBER('Price History'!AA69)),'Price History'!AA69=0),"",'Price History'!AA70/'Price History'!AA69-1),"")</f>
        <v>-0.00165016501650173</v>
      </c>
    </row>
    <row r="70" customFormat="false" ht="15" hidden="false" customHeight="true" outlineLevel="0" collapsed="false">
      <c r="A70" s="141" t="n">
        <f aca="false">IF('Price History'!A71="","",'Price History'!A71)</f>
        <v>45660</v>
      </c>
      <c r="B70" s="142" t="n">
        <f aca="false">IFERROR(IF(OR(NOT(ISNUMBER('Price History'!B71)),NOT(ISNUMBER('Price History'!B70)),'Price History'!B70=0),"",'Price History'!B71/'Price History'!B70-1),"")</f>
        <v>-0.0356342949292242</v>
      </c>
      <c r="C70" s="142" t="n">
        <f aca="false">IFERROR(IF(OR(NOT(ISNUMBER('Price History'!C71)),NOT(ISNUMBER('Price History'!C70)),'Price History'!C70=0),"",'Price History'!C71/'Price History'!C70-1),"")</f>
        <v>0.0191984428912679</v>
      </c>
      <c r="D70" s="142" t="n">
        <f aca="false">IFERROR(IF(OR(NOT(ISNUMBER('Price History'!D71)),NOT(ISNUMBER('Price History'!D70)),'Price History'!D70=0),"",'Price History'!D71/'Price History'!D70-1),"")</f>
        <v>0.0010803741506269</v>
      </c>
      <c r="E70" s="142" t="n">
        <f aca="false">IFERROR(IF(OR(NOT(ISNUMBER('Price History'!E71)),NOT(ISNUMBER('Price History'!E70)),'Price History'!E70=0),"",'Price History'!E71/'Price History'!E70-1),"")</f>
        <v>-0.038066059512318</v>
      </c>
      <c r="F70" s="142" t="n">
        <f aca="false">IFERROR(IF(OR(NOT(ISNUMBER('Price History'!F71)),NOT(ISNUMBER('Price History'!F70)),'Price History'!F70=0),"",'Price History'!F71/'Price History'!F70-1),"")</f>
        <v>0.0112676056338028</v>
      </c>
      <c r="G70" s="142" t="n">
        <f aca="false">IFERROR(IF(OR(NOT(ISNUMBER('Price History'!G71)),NOT(ISNUMBER('Price History'!G70)),'Price History'!G70=0),"",'Price History'!G71/'Price History'!G70-1),"")</f>
        <v>0.0188383045525904</v>
      </c>
      <c r="H70" s="142" t="n">
        <f aca="false">IFERROR(IF(OR(NOT(ISNUMBER('Price History'!H71)),NOT(ISNUMBER('Price History'!H70)),'Price History'!H70=0),"",'Price History'!H71/'Price History'!H70-1),"")</f>
        <v>0.0153095940122476</v>
      </c>
      <c r="I70" s="142" t="n">
        <f aca="false">IFERROR(IF(OR(NOT(ISNUMBER('Price History'!I71)),NOT(ISNUMBER('Price History'!I70)),'Price History'!I70=0),"",'Price History'!I71/'Price History'!I70-1),"")</f>
        <v>0.0544456641053788</v>
      </c>
      <c r="J70" s="142" t="n">
        <f aca="false">IFERROR(IF(OR(NOT(ISNUMBER('Price History'!J71)),NOT(ISNUMBER('Price History'!J70)),'Price History'!J70=0),"",'Price History'!J71/'Price History'!J70-1),"")</f>
        <v>0.00372645785074011</v>
      </c>
      <c r="K70" s="142" t="n">
        <f aca="false">IFERROR(IF(OR(NOT(ISNUMBER('Price History'!K71)),NOT(ISNUMBER('Price History'!K70)),'Price History'!K70=0),"",'Price History'!K71/'Price History'!K70-1),"")</f>
        <v>0.0102427921092565</v>
      </c>
      <c r="L70" s="142" t="n">
        <f aca="false">IFERROR(IF(OR(NOT(ISNUMBER('Price History'!L71)),NOT(ISNUMBER('Price History'!L70)),'Price History'!L70=0),"",'Price History'!L71/'Price History'!L70-1),"")</f>
        <v>0.0345997973657548</v>
      </c>
      <c r="M70" s="142" t="n">
        <f aca="false">IFERROR(IF(OR(NOT(ISNUMBER('Price History'!M71)),NOT(ISNUMBER('Price History'!M70)),'Price History'!M70=0),"",'Price History'!M71/'Price History'!M70-1),"")</f>
        <v>0.0916688430399582</v>
      </c>
      <c r="N70" s="142" t="n">
        <f aca="false">IFERROR(IF(OR(NOT(ISNUMBER('Price History'!N71)),NOT(ISNUMBER('Price History'!N70)),'Price History'!N70=0),"",'Price History'!N71/'Price History'!N70-1),"")</f>
        <v>-0.0040365984930032</v>
      </c>
      <c r="O70" s="142" t="n">
        <f aca="false">IFERROR(IF(OR(NOT(ISNUMBER('Price History'!O71)),NOT(ISNUMBER('Price History'!O70)),'Price History'!O70=0),"",'Price History'!O71/'Price History'!O70-1),"")</f>
        <v>0.00787401574803148</v>
      </c>
      <c r="P70" s="142" t="n">
        <f aca="false">IFERROR(IF(OR(NOT(ISNUMBER('Price History'!P71)),NOT(ISNUMBER('Price History'!P70)),'Price History'!P70=0),"",'Price History'!P71/'Price History'!P70-1),"")</f>
        <v>-0.000563924917425185</v>
      </c>
      <c r="Q70" s="142" t="n">
        <f aca="false">IFERROR(IF(OR(NOT(ISNUMBER('Price History'!Q71)),NOT(ISNUMBER('Price History'!Q70)),'Price History'!Q70=0),"",'Price History'!Q71/'Price History'!Q70-1),"")</f>
        <v>-0.00403421010166205</v>
      </c>
      <c r="R70" s="142" t="n">
        <f aca="false">IFERROR(IF(OR(NOT(ISNUMBER('Price History'!R71)),NOT(ISNUMBER('Price History'!R70)),'Price History'!R70=0),"",'Price History'!R71/'Price History'!R70-1),"")</f>
        <v>-0.0034129692832765</v>
      </c>
      <c r="S70" s="142" t="n">
        <f aca="false">IFERROR(IF(OR(NOT(ISNUMBER('Price History'!S71)),NOT(ISNUMBER('Price History'!S70)),'Price History'!S70=0),"",'Price History'!S71/'Price History'!S70-1),"")</f>
        <v>0.00304429981104337</v>
      </c>
      <c r="T70" s="142" t="n">
        <f aca="false">IFERROR(IF(OR(NOT(ISNUMBER('Price History'!T71)),NOT(ISNUMBER('Price History'!T70)),'Price History'!T70=0),"",'Price History'!T71/'Price History'!T70-1),"")</f>
        <v>0.00748278958395687</v>
      </c>
      <c r="U70" s="142" t="n">
        <f aca="false">IFERROR(IF(OR(NOT(ISNUMBER('Price History'!U71)),NOT(ISNUMBER('Price History'!U70)),'Price History'!U70=0),"",'Price History'!U71/'Price History'!U70-1),"")</f>
        <v>-0.00116279069767444</v>
      </c>
      <c r="V70" s="143" t="n">
        <f aca="false">IFERROR(IF(OR(NOT(ISNUMBER('Price History'!V71)),NOT(ISNUMBER('Price History'!V70)),'Price History'!V70=0),"",'Price History'!V71/'Price History'!V70-1),"")</f>
        <v>-0.0117639577769298</v>
      </c>
      <c r="W70" s="144" t="n">
        <f aca="false">IFERROR('Price History'!B3+(INDEX('Price History'!B:B,MATCH(9.99E+307,'Returns (Calc)'!$A:$A)+1)-'Price History'!B3)*(ROW()-3)/(MATCH(9.99E+307,'Returns (Calc)'!$A:$A)-3),"")</f>
        <v>405.406455696203</v>
      </c>
      <c r="X70" s="144" t="n">
        <f aca="false">IFERROR('Price History'!C3+(INDEX('Price History'!C:C,MATCH(9.99E+307,'Returns (Calc)'!$A:$A)+1)-'Price History'!C3)*(ROW()-3)/(MATCH(9.99E+307,'Returns (Calc)'!$A:$A)-3),"")</f>
        <v>114.524240506329</v>
      </c>
      <c r="Y70" s="144" t="n">
        <f aca="false">IFERROR('Price History'!D3+(INDEX('Price History'!D:D,MATCH(9.99E+307,'Returns (Calc)'!$A:$A)+1)-'Price History'!D3)*(ROW()-3)/(MATCH(9.99E+307,'Returns (Calc)'!$A:$A)-3),"")</f>
        <v>1127.04227848101</v>
      </c>
      <c r="Z70" s="144" t="n">
        <f aca="false">IFERROR('Price History'!E3+(INDEX('Price History'!E:E,MATCH(9.99E+307,'Returns (Calc)'!$A:$A)+1)-'Price History'!E3)*(ROW()-3)/(MATCH(9.99E+307,'Returns (Calc)'!$A:$A)-3),"")</f>
        <v>197.825189873418</v>
      </c>
      <c r="AA70" s="144" t="n">
        <f aca="false">IFERROR('Price History'!F3+(INDEX('Price History'!F:F,MATCH(9.99E+307,'Returns (Calc)'!$A:$A)+1)-'Price History'!F3)*(ROW()-3)/(MATCH(9.99E+307,'Returns (Calc)'!$A:$A)-3),"")</f>
        <v>138.331898734177</v>
      </c>
      <c r="AB70" s="144" t="n">
        <f aca="false">IFERROR('Price History'!G3+(INDEX('Price History'!G:G,MATCH(9.99E+307,'Returns (Calc)'!$A:$A)+1)-'Price History'!G3)*(ROW()-3)/(MATCH(9.99E+307,'Returns (Calc)'!$A:$A)-3),"")</f>
        <v>113.275189873418</v>
      </c>
      <c r="AC70" s="144" t="n">
        <f aca="false">IFERROR('Price History'!H3+(INDEX('Price History'!H:H,MATCH(9.99E+307,'Returns (Calc)'!$A:$A)+1)-'Price History'!H3)*(ROW()-3)/(MATCH(9.99E+307,'Returns (Calc)'!$A:$A)-3),"")</f>
        <v>495.61164556962</v>
      </c>
      <c r="AD70" s="144" t="n">
        <f aca="false">IFERROR('Price History'!I3+(INDEX('Price History'!I:I,MATCH(9.99E+307,'Returns (Calc)'!$A:$A)+1)-'Price History'!I3)*(ROW()-3)/(MATCH(9.99E+307,'Returns (Calc)'!$A:$A)-3),"")</f>
        <v>124.415949367089</v>
      </c>
      <c r="AE70" s="144" t="n">
        <f aca="false">IFERROR('Price History'!J3+(INDEX('Price History'!J:J,MATCH(9.99E+307,'Returns (Calc)'!$A:$A)+1)-'Price History'!J3)*(ROW()-3)/(MATCH(9.99E+307,'Returns (Calc)'!$A:$A)-3),"")</f>
        <v>119.078544303797</v>
      </c>
      <c r="AF70" s="144" t="n">
        <f aca="false">IFERROR('Price History'!K3+(INDEX('Price History'!K:K,MATCH(9.99E+307,'Returns (Calc)'!$A:$A)+1)-'Price History'!K3)*(ROW()-3)/(MATCH(9.99E+307,'Returns (Calc)'!$A:$A)-3),"")</f>
        <v>88.8688607594937</v>
      </c>
      <c r="AG70" s="144" t="n">
        <f aca="false">IFERROR('Price History'!L3+(INDEX('Price History'!L:L,MATCH(9.99E+307,'Returns (Calc)'!$A:$A)+1)-'Price History'!L3)*(ROW()-3)/(MATCH(9.99E+307,'Returns (Calc)'!$A:$A)-3),"")</f>
        <v>249.870316455696</v>
      </c>
      <c r="AH70" s="144" t="n">
        <f aca="false">IFERROR('Price History'!M3+(INDEX('Price History'!M:M,MATCH(9.99E+307,'Returns (Calc)'!$A:$A)+1)-'Price History'!M3)*(ROW()-3)/(MATCH(9.99E+307,'Returns (Calc)'!$A:$A)-3),"")</f>
        <v>128.834683544304</v>
      </c>
      <c r="AI70" s="144" t="n">
        <f aca="false">IFERROR('Price History'!N3+(INDEX('Price History'!N:N,MATCH(9.99E+307,'Returns (Calc)'!$A:$A)+1)-'Price History'!N3)*(ROW()-3)/(MATCH(9.99E+307,'Returns (Calc)'!$A:$A)-3),"")</f>
        <v>414.979810126582</v>
      </c>
      <c r="AJ70" s="144" t="n">
        <f aca="false">IFERROR('Price History'!O3+(INDEX('Price History'!O:O,MATCH(9.99E+307,'Returns (Calc)'!$A:$A)+1)-'Price History'!O3)*(ROW()-3)/(MATCH(9.99E+307,'Returns (Calc)'!$A:$A)-3),"")</f>
        <v>94.2735443037975</v>
      </c>
      <c r="AK70" s="144" t="n">
        <f aca="false">IFERROR('Price History'!Q3+(INDEX('Price History'!Q:Q,MATCH(9.99E+307,'Returns (Calc)'!$A:$A)+1)-'Price History'!Q3)*(ROW()-3)/(MATCH(9.99E+307,'Returns (Calc)'!$A:$A)-3),"")</f>
        <v>29.4375949367089</v>
      </c>
      <c r="AL70" s="144" t="n">
        <f aca="false">IFERROR('Price History'!R3+(INDEX('Price History'!R:R,MATCH(9.99E+307,'Returns (Calc)'!$A:$A)+1)-'Price History'!R3)*(ROW()-3)/(MATCH(9.99E+307,'Returns (Calc)'!$A:$A)-3),"")</f>
        <v>45.7427848101266</v>
      </c>
      <c r="AM70" s="144" t="n">
        <f aca="false">IFERROR('Price History'!S3+(INDEX('Price History'!S:S,MATCH(9.99E+307,'Returns (Calc)'!$A:$A)+1)-'Price History'!S3)*(ROW()-3)/(MATCH(9.99E+307,'Returns (Calc)'!$A:$A)-3),"")</f>
        <v>98.1692405063291</v>
      </c>
      <c r="AN70" s="144" t="n">
        <f aca="false">IFERROR('Price History'!T3+(INDEX('Price History'!T:T,MATCH(9.99E+307,'Returns (Calc)'!$A:$A)+1)-'Price History'!T3)*(ROW()-3)/(MATCH(9.99E+307,'Returns (Calc)'!$A:$A)-3),"")</f>
        <v>36.5112658227848</v>
      </c>
      <c r="AO70" s="145" t="n">
        <f aca="false">IFERROR('Price History'!V3+(INDEX('Price History'!V:V,MATCH(9.99E+307,'Returns (Calc)'!$A:$A)+1)-'Price History'!V3)*(ROW()-3)/(MATCH(9.99E+307,'Returns (Calc)'!$A:$A)-3),"")</f>
        <v>288.649050632911</v>
      </c>
      <c r="AP70" s="143" t="n">
        <f aca="false">IFERROR(IF(OR(NOT(ISNUMBER('Price History'!W71)),NOT(ISNUMBER('Price History'!W70)),'Price History'!W70=0),"",'Price History'!W71/'Price History'!W70-1),"")</f>
        <v>-0.00170482221139801</v>
      </c>
      <c r="AQ70" s="143" t="str">
        <f aca="false">IFERROR(IF(OR(NOT(ISNUMBER('Price History'!X71)),NOT(ISNUMBER('Price History'!X70)),'Price History'!X70=0),"",'Price History'!X71/'Price History'!X70-1),"")</f>
        <v/>
      </c>
      <c r="AR70" s="143" t="n">
        <f aca="false">IFERROR(IF(OR(NOT(ISNUMBER('Price History'!Y71)),NOT(ISNUMBER('Price History'!Y70)),'Price History'!Y70=0),"",'Price History'!Y71/'Price History'!Y70-1),"")</f>
        <v>-0.00139054429876839</v>
      </c>
      <c r="AS70" s="143" t="n">
        <f aca="false">IFERROR(IF(OR(NOT(ISNUMBER('Price History'!Z71)),NOT(ISNUMBER('Price History'!Z70)),'Price History'!Z70=0),"",'Price History'!Z71/'Price History'!Z70-1),"")</f>
        <v>0.0110281038776237</v>
      </c>
      <c r="AT70" s="143" t="n">
        <f aca="false">IFERROR(IF(OR(NOT(ISNUMBER('Price History'!AA71)),NOT(ISNUMBER('Price History'!AA70)),'Price History'!AA70=0),"",'Price History'!AA71/'Price History'!AA70-1),"")</f>
        <v>-0.0290909090909091</v>
      </c>
    </row>
    <row r="71" customFormat="false" ht="15" hidden="false" customHeight="true" outlineLevel="0" collapsed="false">
      <c r="A71" s="141" t="n">
        <f aca="false">IF('Price History'!A72="","",'Price History'!A72)</f>
        <v>45667</v>
      </c>
      <c r="B71" s="142" t="n">
        <f aca="false">IFERROR(IF(OR(NOT(ISNUMBER('Price History'!B72)),NOT(ISNUMBER('Price History'!B71)),'Price History'!B71=0),"",'Price History'!B72/'Price History'!B71-1),"")</f>
        <v>-0.0572496922683884</v>
      </c>
      <c r="C71" s="142" t="n">
        <f aca="false">IFERROR(IF(OR(NOT(ISNUMBER('Price History'!C72)),NOT(ISNUMBER('Price History'!C71)),'Price History'!C71=0),"",'Price History'!C72/'Price History'!C71-1),"")</f>
        <v>-0.00746527777777772</v>
      </c>
      <c r="D71" s="142" t="n">
        <f aca="false">IFERROR(IF(OR(NOT(ISNUMBER('Price History'!D72)),NOT(ISNUMBER('Price History'!D71)),'Price History'!D71=0),"",'Price History'!D72/'Price History'!D71-1),"")</f>
        <v>0.0345062622475931</v>
      </c>
      <c r="E71" s="142" t="n">
        <f aca="false">IFERROR(IF(OR(NOT(ISNUMBER('Price History'!E72)),NOT(ISNUMBER('Price History'!E71)),'Price History'!E71=0),"",'Price History'!E72/'Price History'!E71-1),"")</f>
        <v>-0.0354275741710296</v>
      </c>
      <c r="F71" s="142" t="n">
        <f aca="false">IFERROR(IF(OR(NOT(ISNUMBER('Price History'!F72)),NOT(ISNUMBER('Price History'!F71)),'Price History'!F71=0),"",'Price History'!F72/'Price History'!F71-1),"")</f>
        <v>-0.0283008356545962</v>
      </c>
      <c r="G71" s="142" t="n">
        <f aca="false">IFERROR(IF(OR(NOT(ISNUMBER('Price History'!G72)),NOT(ISNUMBER('Price History'!G71)),'Price History'!G71=0),"",'Price History'!G72/'Price History'!G71-1),"")</f>
        <v>0.0397534668721109</v>
      </c>
      <c r="H71" s="142" t="n">
        <f aca="false">IFERROR(IF(OR(NOT(ISNUMBER('Price History'!H72)),NOT(ISNUMBER('Price History'!H71)),'Price History'!H71=0),"",'Price History'!H72/'Price History'!H71-1),"")</f>
        <v>0.105327823076064</v>
      </c>
      <c r="I71" s="142" t="n">
        <f aca="false">IFERROR(IF(OR(NOT(ISNUMBER('Price History'!I72)),NOT(ISNUMBER('Price History'!I71)),'Price History'!I71=0),"",'Price History'!I72/'Price History'!I71-1),"")</f>
        <v>-0.0591991116663196</v>
      </c>
      <c r="J71" s="142" t="n">
        <f aca="false">IFERROR(IF(OR(NOT(ISNUMBER('Price History'!J72)),NOT(ISNUMBER('Price History'!J71)),'Price History'!J71=0),"",'Price History'!J72/'Price History'!J71-1),"")</f>
        <v>-0.0192655027092113</v>
      </c>
      <c r="K71" s="142" t="n">
        <f aca="false">IFERROR(IF(OR(NOT(ISNUMBER('Price History'!K72)),NOT(ISNUMBER('Price History'!K71)),'Price History'!K71=0),"",'Price History'!K72/'Price History'!K71-1),"")</f>
        <v>-0.1580923770184</v>
      </c>
      <c r="L71" s="142" t="n">
        <f aca="false">IFERROR(IF(OR(NOT(ISNUMBER('Price History'!L72)),NOT(ISNUMBER('Price History'!L71)),'Price History'!L71=0),"",'Price History'!L72/'Price History'!L71-1),"")</f>
        <v>-0.00112618126621944</v>
      </c>
      <c r="M71" s="142" t="n">
        <f aca="false">IFERROR(IF(OR(NOT(ISNUMBER('Price History'!M72)),NOT(ISNUMBER('Price History'!M71)),'Price History'!M71=0),"",'Price History'!M72/'Price History'!M71-1),"")</f>
        <v>0.0259968102073365</v>
      </c>
      <c r="N71" s="142" t="n">
        <f aca="false">IFERROR(IF(OR(NOT(ISNUMBER('Price History'!N72)),NOT(ISNUMBER('Price History'!N71)),'Price History'!N71=0),"",'Price History'!N72/'Price History'!N71-1),"")</f>
        <v>0.00601802952518971</v>
      </c>
      <c r="O71" s="142" t="n">
        <f aca="false">IFERROR(IF(OR(NOT(ISNUMBER('Price History'!O72)),NOT(ISNUMBER('Price History'!O71)),'Price History'!O71=0),"",'Price History'!O72/'Price History'!O71-1),"")</f>
        <v>-0.0262880067567567</v>
      </c>
      <c r="P71" s="142" t="n">
        <f aca="false">IFERROR(IF(OR(NOT(ISNUMBER('Price History'!P72)),NOT(ISNUMBER('Price History'!P71)),'Price History'!P71=0),"",'Price History'!P72/'Price History'!P71-1),"")</f>
        <v>-0.0249879090762535</v>
      </c>
      <c r="Q71" s="142" t="n">
        <f aca="false">IFERROR(IF(OR(NOT(ISNUMBER('Price History'!Q72)),NOT(ISNUMBER('Price History'!Q71)),'Price History'!Q71=0),"",'Price History'!Q72/'Price History'!Q71-1),"")</f>
        <v>-0.0121516526247569</v>
      </c>
      <c r="R71" s="142" t="n">
        <f aca="false">IFERROR(IF(OR(NOT(ISNUMBER('Price History'!R72)),NOT(ISNUMBER('Price History'!R71)),'Price History'!R71=0),"",'Price History'!R72/'Price History'!R71-1),"")</f>
        <v>-0.019263698630137</v>
      </c>
      <c r="S71" s="142" t="n">
        <f aca="false">IFERROR(IF(OR(NOT(ISNUMBER('Price History'!S72)),NOT(ISNUMBER('Price History'!S71)),'Price History'!S71=0),"",'Price History'!S72/'Price History'!S71-1),"")</f>
        <v>-0.0135007849293562</v>
      </c>
      <c r="T71" s="142" t="n">
        <f aca="false">IFERROR(IF(OR(NOT(ISNUMBER('Price History'!T72)),NOT(ISNUMBER('Price History'!T71)),'Price History'!T71=0),"",'Price History'!T72/'Price History'!T71-1),"")</f>
        <v>0</v>
      </c>
      <c r="U71" s="142" t="n">
        <f aca="false">IFERROR(IF(OR(NOT(ISNUMBER('Price History'!U72)),NOT(ISNUMBER('Price History'!U71)),'Price History'!U71=0),"",'Price History'!U72/'Price History'!U71-1),"")</f>
        <v>-0.0155219247186651</v>
      </c>
      <c r="V71" s="143" t="n">
        <f aca="false">IFERROR(IF(OR(NOT(ISNUMBER('Price History'!V72)),NOT(ISNUMBER('Price History'!V71)),'Price History'!V71=0),"",'Price History'!V72/'Price History'!V71-1),"")</f>
        <v>-0.0228428029084357</v>
      </c>
      <c r="W71" s="144" t="n">
        <f aca="false">IFERROR('Price History'!B3+(INDEX('Price History'!B:B,MATCH(9.99E+307,'Returns (Calc)'!$A:$A)+1)-'Price History'!B3)*(ROW()-3)/(MATCH(9.99E+307,'Returns (Calc)'!$A:$A)-3),"")</f>
        <v>403.563417721519</v>
      </c>
      <c r="X71" s="144" t="n">
        <f aca="false">IFERROR('Price History'!C3+(INDEX('Price History'!C:C,MATCH(9.99E+307,'Returns (Calc)'!$A:$A)+1)-'Price History'!C3)*(ROW()-3)/(MATCH(9.99E+307,'Returns (Calc)'!$A:$A)-3),"")</f>
        <v>115.544303797468</v>
      </c>
      <c r="Y71" s="144" t="n">
        <f aca="false">IFERROR('Price History'!D3+(INDEX('Price History'!D:D,MATCH(9.99E+307,'Returns (Calc)'!$A:$A)+1)-'Price History'!D3)*(ROW()-3)/(MATCH(9.99E+307,'Returns (Calc)'!$A:$A)-3),"")</f>
        <v>1135.1770886076</v>
      </c>
      <c r="Z71" s="144" t="n">
        <f aca="false">IFERROR('Price History'!E3+(INDEX('Price History'!E:E,MATCH(9.99E+307,'Returns (Calc)'!$A:$A)+1)-'Price History'!E3)*(ROW()-3)/(MATCH(9.99E+307,'Returns (Calc)'!$A:$A)-3),"")</f>
        <v>199.553924050633</v>
      </c>
      <c r="AA71" s="144" t="n">
        <f aca="false">IFERROR('Price History'!F3+(INDEX('Price History'!F:F,MATCH(9.99E+307,'Returns (Calc)'!$A:$A)+1)-'Price History'!F3)*(ROW()-3)/(MATCH(9.99E+307,'Returns (Calc)'!$A:$A)-3),"")</f>
        <v>139.779240506329</v>
      </c>
      <c r="AB71" s="144" t="n">
        <f aca="false">IFERROR('Price History'!G3+(INDEX('Price History'!G:G,MATCH(9.99E+307,'Returns (Calc)'!$A:$A)+1)-'Price History'!G3)*(ROW()-3)/(MATCH(9.99E+307,'Returns (Calc)'!$A:$A)-3),"")</f>
        <v>114.303924050633</v>
      </c>
      <c r="AC71" s="144" t="n">
        <f aca="false">IFERROR('Price History'!H3+(INDEX('Price History'!H:H,MATCH(9.99E+307,'Returns (Calc)'!$A:$A)+1)-'Price History'!H3)*(ROW()-3)/(MATCH(9.99E+307,'Returns (Calc)'!$A:$A)-3),"")</f>
        <v>501.977341772152</v>
      </c>
      <c r="AD71" s="144" t="n">
        <f aca="false">IFERROR('Price History'!I3+(INDEX('Price History'!I:I,MATCH(9.99E+307,'Returns (Calc)'!$A:$A)+1)-'Price History'!I3)*(ROW()-3)/(MATCH(9.99E+307,'Returns (Calc)'!$A:$A)-3),"")</f>
        <v>125.619620253165</v>
      </c>
      <c r="AE71" s="144" t="n">
        <f aca="false">IFERROR('Price History'!J3+(INDEX('Price History'!J:J,MATCH(9.99E+307,'Returns (Calc)'!$A:$A)+1)-'Price History'!J3)*(ROW()-3)/(MATCH(9.99E+307,'Returns (Calc)'!$A:$A)-3),"")</f>
        <v>119.186582278481</v>
      </c>
      <c r="AF71" s="144" t="n">
        <f aca="false">IFERROR('Price History'!K3+(INDEX('Price History'!K:K,MATCH(9.99E+307,'Returns (Calc)'!$A:$A)+1)-'Price History'!K3)*(ROW()-3)/(MATCH(9.99E+307,'Returns (Calc)'!$A:$A)-3),"")</f>
        <v>89.9664556962025</v>
      </c>
      <c r="AG71" s="144" t="n">
        <f aca="false">IFERROR('Price History'!L3+(INDEX('Price History'!L:L,MATCH(9.99E+307,'Returns (Calc)'!$A:$A)+1)-'Price History'!L3)*(ROW()-3)/(MATCH(9.99E+307,'Returns (Calc)'!$A:$A)-3),"")</f>
        <v>252.319873417722</v>
      </c>
      <c r="AH71" s="144" t="n">
        <f aca="false">IFERROR('Price History'!M3+(INDEX('Price History'!M:M,MATCH(9.99E+307,'Returns (Calc)'!$A:$A)+1)-'Price History'!M3)*(ROW()-3)/(MATCH(9.99E+307,'Returns (Calc)'!$A:$A)-3),"")</f>
        <v>130.190126582278</v>
      </c>
      <c r="AI71" s="144" t="n">
        <f aca="false">IFERROR('Price History'!N3+(INDEX('Price History'!N:N,MATCH(9.99E+307,'Returns (Calc)'!$A:$A)+1)-'Price History'!N3)*(ROW()-3)/(MATCH(9.99E+307,'Returns (Calc)'!$A:$A)-3),"")</f>
        <v>415.966075949367</v>
      </c>
      <c r="AJ71" s="144" t="n">
        <f aca="false">IFERROR('Price History'!O3+(INDEX('Price History'!O:O,MATCH(9.99E+307,'Returns (Calc)'!$A:$A)+1)-'Price History'!O3)*(ROW()-3)/(MATCH(9.99E+307,'Returns (Calc)'!$A:$A)-3),"")</f>
        <v>94.556582278481</v>
      </c>
      <c r="AK71" s="144" t="n">
        <f aca="false">IFERROR('Price History'!Q3+(INDEX('Price History'!Q:Q,MATCH(9.99E+307,'Returns (Calc)'!$A:$A)+1)-'Price History'!Q3)*(ROW()-3)/(MATCH(9.99E+307,'Returns (Calc)'!$A:$A)-3),"")</f>
        <v>29.8769620253165</v>
      </c>
      <c r="AL71" s="144" t="n">
        <f aca="false">IFERROR('Price History'!R3+(INDEX('Price History'!R:R,MATCH(9.99E+307,'Returns (Calc)'!$A:$A)+1)-'Price History'!R3)*(ROW()-3)/(MATCH(9.99E+307,'Returns (Calc)'!$A:$A)-3),"")</f>
        <v>45.9108860759494</v>
      </c>
      <c r="AM71" s="144" t="n">
        <f aca="false">IFERROR('Price History'!S3+(INDEX('Price History'!S:S,MATCH(9.99E+307,'Returns (Calc)'!$A:$A)+1)-'Price History'!S3)*(ROW()-3)/(MATCH(9.99E+307,'Returns (Calc)'!$A:$A)-3),"")</f>
        <v>98.7743037974684</v>
      </c>
      <c r="AN71" s="144" t="n">
        <f aca="false">IFERROR('Price History'!T3+(INDEX('Price History'!T:T,MATCH(9.99E+307,'Returns (Calc)'!$A:$A)+1)-'Price History'!T3)*(ROW()-3)/(MATCH(9.99E+307,'Returns (Calc)'!$A:$A)-3),"")</f>
        <v>36.6794936708861</v>
      </c>
      <c r="AO71" s="145" t="n">
        <f aca="false">IFERROR('Price History'!V3+(INDEX('Price History'!V:V,MATCH(9.99E+307,'Returns (Calc)'!$A:$A)+1)-'Price History'!V3)*(ROW()-3)/(MATCH(9.99E+307,'Returns (Calc)'!$A:$A)-3),"")</f>
        <v>289.440379746835</v>
      </c>
      <c r="AP71" s="143" t="n">
        <f aca="false">IFERROR(IF(OR(NOT(ISNUMBER('Price History'!W72)),NOT(ISNUMBER('Price History'!W71)),'Price History'!W71=0),"",'Price History'!W72/'Price History'!W71-1),"")</f>
        <v>-0.0179718630560298</v>
      </c>
      <c r="AQ71" s="143" t="str">
        <f aca="false">IFERROR(IF(OR(NOT(ISNUMBER('Price History'!X72)),NOT(ISNUMBER('Price History'!X71)),'Price History'!X71=0),"",'Price History'!X72/'Price History'!X71-1),"")</f>
        <v/>
      </c>
      <c r="AR71" s="143" t="n">
        <f aca="false">IFERROR(IF(OR(NOT(ISNUMBER('Price History'!Y72)),NOT(ISNUMBER('Price History'!Y71)),'Price History'!Y71=0),"",'Price History'!Y72/'Price History'!Y71-1),"")</f>
        <v>-0.0159140640541079</v>
      </c>
      <c r="AS71" s="143" t="n">
        <f aca="false">IFERROR(IF(OR(NOT(ISNUMBER('Price History'!Z72)),NOT(ISNUMBER('Price History'!Z71)),'Price History'!Z71=0),"",'Price History'!Z72/'Price History'!Z71-1),"")</f>
        <v>-0.00152474783016665</v>
      </c>
      <c r="AT71" s="143" t="n">
        <f aca="false">IFERROR(IF(OR(NOT(ISNUMBER('Price History'!AA72)),NOT(ISNUMBER('Price History'!AA71)),'Price History'!AA71=0),"",'Price History'!AA72/'Price History'!AA71-1),"")</f>
        <v>-0.0492566110543639</v>
      </c>
    </row>
    <row r="72" customFormat="false" ht="15" hidden="false" customHeight="true" outlineLevel="0" collapsed="false">
      <c r="A72" s="141" t="n">
        <f aca="false">IF('Price History'!A73="","",'Price History'!A73)</f>
        <v>45674</v>
      </c>
      <c r="B72" s="142" t="n">
        <f aca="false">IFERROR(IF(OR(NOT(ISNUMBER('Price History'!B73)),NOT(ISNUMBER('Price History'!B72)),'Price History'!B72=0),"",'Price History'!B73/'Price History'!B72-1),"")</f>
        <v>0.0592973985021679</v>
      </c>
      <c r="C72" s="142" t="n">
        <f aca="false">IFERROR(IF(OR(NOT(ISNUMBER('Price History'!C73)),NOT(ISNUMBER('Price History'!C72)),'Price History'!C72=0),"",'Price History'!C73/'Price History'!C72-1),"")</f>
        <v>0.0490641945076089</v>
      </c>
      <c r="D72" s="142" t="n">
        <f aca="false">IFERROR(IF(OR(NOT(ISNUMBER('Price History'!D73)),NOT(ISNUMBER('Price History'!D72)),'Price History'!D72=0),"",'Price History'!D73/'Price History'!D72-1),"")</f>
        <v>0.0234310657222863</v>
      </c>
      <c r="E72" s="142" t="n">
        <f aca="false">IFERROR(IF(OR(NOT(ISNUMBER('Price History'!E73)),NOT(ISNUMBER('Price History'!E72)),'Price History'!E72=0),"",'Price History'!E73/'Price History'!E72-1),"")</f>
        <v>0.0585308485616067</v>
      </c>
      <c r="F72" s="142" t="n">
        <f aca="false">IFERROR(IF(OR(NOT(ISNUMBER('Price History'!F73)),NOT(ISNUMBER('Price History'!F72)),'Price History'!F72=0),"",'Price History'!F73/'Price History'!F72-1),"")</f>
        <v>0.0233918128654971</v>
      </c>
      <c r="G72" s="142" t="n">
        <f aca="false">IFERROR(IF(OR(NOT(ISNUMBER('Price History'!G73)),NOT(ISNUMBER('Price History'!G72)),'Price History'!G72=0),"",'Price History'!G73/'Price History'!G72-1),"")</f>
        <v>0.108921161825726</v>
      </c>
      <c r="H72" s="142" t="n">
        <f aca="false">IFERROR(IF(OR(NOT(ISNUMBER('Price History'!H73)),NOT(ISNUMBER('Price History'!H72)),'Price History'!H72=0),"",'Price History'!H73/'Price History'!H72-1),"")</f>
        <v>0.0644704931285369</v>
      </c>
      <c r="I72" s="142" t="n">
        <f aca="false">IFERROR(IF(OR(NOT(ISNUMBER('Price History'!I73)),NOT(ISNUMBER('Price History'!I72)),'Price History'!I72=0),"",'Price History'!I73/'Price History'!I72-1),"")</f>
        <v>0.0132044850988491</v>
      </c>
      <c r="J72" s="142" t="n">
        <f aca="false">IFERROR(IF(OR(NOT(ISNUMBER('Price History'!J73)),NOT(ISNUMBER('Price History'!J72)),'Price History'!J72=0),"",'Price History'!J73/'Price History'!J72-1),"")</f>
        <v>0.0567833026396563</v>
      </c>
      <c r="K72" s="142" t="n">
        <f aca="false">IFERROR(IF(OR(NOT(ISNUMBER('Price History'!K73)),NOT(ISNUMBER('Price History'!K72)),'Price History'!K72=0),"",'Price History'!K73/'Price History'!K72-1),"")</f>
        <v>0.0670532262860539</v>
      </c>
      <c r="L72" s="142" t="n">
        <f aca="false">IFERROR(IF(OR(NOT(ISNUMBER('Price History'!L73)),NOT(ISNUMBER('Price History'!L72)),'Price History'!L72=0),"",'Price History'!L73/'Price History'!L72-1),"")</f>
        <v>0.0149999999999999</v>
      </c>
      <c r="M72" s="142" t="n">
        <f aca="false">IFERROR(IF(OR(NOT(ISNUMBER('Price History'!M73)),NOT(ISNUMBER('Price History'!M72)),'Price History'!M72=0),"",'Price History'!M73/'Price History'!M72-1),"")</f>
        <v>0.0538628944504898</v>
      </c>
      <c r="N72" s="142" t="n">
        <f aca="false">IFERROR(IF(OR(NOT(ISNUMBER('Price History'!N73)),NOT(ISNUMBER('Price History'!N72)),'Price History'!N72=0),"",'Price History'!N73/'Price History'!N72-1),"")</f>
        <v>0.0303740599667937</v>
      </c>
      <c r="O72" s="142" t="n">
        <f aca="false">IFERROR(IF(OR(NOT(ISNUMBER('Price History'!O73)),NOT(ISNUMBER('Price History'!O72)),'Price History'!O72=0),"",'Price History'!O73/'Price History'!O72-1),"")</f>
        <v>0.0488994904044235</v>
      </c>
      <c r="P72" s="142" t="n">
        <f aca="false">IFERROR(IF(OR(NOT(ISNUMBER('Price History'!P73)),NOT(ISNUMBER('Price History'!P72)),'Price History'!P72=0),"",'Price History'!P73/'Price History'!P72-1),"")</f>
        <v>0.0483630952380953</v>
      </c>
      <c r="Q72" s="142" t="n">
        <f aca="false">IFERROR(IF(OR(NOT(ISNUMBER('Price History'!Q73)),NOT(ISNUMBER('Price History'!Q72)),'Price History'!Q72=0),"",'Price History'!Q73/'Price History'!Q72-1),"")</f>
        <v>0.0172215843857635</v>
      </c>
      <c r="R72" s="142" t="n">
        <f aca="false">IFERROR(IF(OR(NOT(ISNUMBER('Price History'!R73)),NOT(ISNUMBER('Price History'!R72)),'Price History'!R72=0),"",'Price History'!R73/'Price History'!R72-1),"")</f>
        <v>0.0231340026189437</v>
      </c>
      <c r="S72" s="142" t="n">
        <f aca="false">IFERROR(IF(OR(NOT(ISNUMBER('Price History'!S73)),NOT(ISNUMBER('Price History'!S72)),'Price History'!S72=0),"",'Price History'!S73/'Price History'!S72-1),"")</f>
        <v>0.0321451304901337</v>
      </c>
      <c r="T72" s="142" t="n">
        <f aca="false">IFERROR(IF(OR(NOT(ISNUMBER('Price History'!T73)),NOT(ISNUMBER('Price History'!T72)),'Price History'!T72=0),"",'Price History'!T73/'Price History'!T72-1),"")</f>
        <v>0.0386215092097446</v>
      </c>
      <c r="U72" s="142" t="n">
        <f aca="false">IFERROR(IF(OR(NOT(ISNUMBER('Price History'!U73)),NOT(ISNUMBER('Price History'!U72)),'Price History'!U72=0),"",'Price History'!U73/'Price History'!U72-1),"")</f>
        <v>0.0362633031139139</v>
      </c>
      <c r="V72" s="143" t="n">
        <f aca="false">IFERROR(IF(OR(NOT(ISNUMBER('Price History'!V73)),NOT(ISNUMBER('Price History'!V72)),'Price History'!V72=0),"",'Price History'!V73/'Price History'!V72-1),"")</f>
        <v>0.0386869485052022</v>
      </c>
      <c r="W72" s="144" t="n">
        <f aca="false">IFERROR('Price History'!B3+(INDEX('Price History'!B:B,MATCH(9.99E+307,'Returns (Calc)'!$A:$A)+1)-'Price History'!B3)*(ROW()-3)/(MATCH(9.99E+307,'Returns (Calc)'!$A:$A)-3),"")</f>
        <v>401.720379746835</v>
      </c>
      <c r="X72" s="144" t="n">
        <f aca="false">IFERROR('Price History'!C3+(INDEX('Price History'!C:C,MATCH(9.99E+307,'Returns (Calc)'!$A:$A)+1)-'Price History'!C3)*(ROW()-3)/(MATCH(9.99E+307,'Returns (Calc)'!$A:$A)-3),"")</f>
        <v>116.564367088608</v>
      </c>
      <c r="Y72" s="144" t="n">
        <f aca="false">IFERROR('Price History'!D3+(INDEX('Price History'!D:D,MATCH(9.99E+307,'Returns (Calc)'!$A:$A)+1)-'Price History'!D3)*(ROW()-3)/(MATCH(9.99E+307,'Returns (Calc)'!$A:$A)-3),"")</f>
        <v>1143.31189873418</v>
      </c>
      <c r="Z72" s="144" t="n">
        <f aca="false">IFERROR('Price History'!E3+(INDEX('Price History'!E:E,MATCH(9.99E+307,'Returns (Calc)'!$A:$A)+1)-'Price History'!E3)*(ROW()-3)/(MATCH(9.99E+307,'Returns (Calc)'!$A:$A)-3),"")</f>
        <v>201.282658227848</v>
      </c>
      <c r="AA72" s="144" t="n">
        <f aca="false">IFERROR('Price History'!F3+(INDEX('Price History'!F:F,MATCH(9.99E+307,'Returns (Calc)'!$A:$A)+1)-'Price History'!F3)*(ROW()-3)/(MATCH(9.99E+307,'Returns (Calc)'!$A:$A)-3),"")</f>
        <v>141.226582278481</v>
      </c>
      <c r="AB72" s="144" t="n">
        <f aca="false">IFERROR('Price History'!G3+(INDEX('Price History'!G:G,MATCH(9.99E+307,'Returns (Calc)'!$A:$A)+1)-'Price History'!G3)*(ROW()-3)/(MATCH(9.99E+307,'Returns (Calc)'!$A:$A)-3),"")</f>
        <v>115.332658227848</v>
      </c>
      <c r="AC72" s="144" t="n">
        <f aca="false">IFERROR('Price History'!H3+(INDEX('Price History'!H:H,MATCH(9.99E+307,'Returns (Calc)'!$A:$A)+1)-'Price History'!H3)*(ROW()-3)/(MATCH(9.99E+307,'Returns (Calc)'!$A:$A)-3),"")</f>
        <v>508.343037974684</v>
      </c>
      <c r="AD72" s="144" t="n">
        <f aca="false">IFERROR('Price History'!I3+(INDEX('Price History'!I:I,MATCH(9.99E+307,'Returns (Calc)'!$A:$A)+1)-'Price History'!I3)*(ROW()-3)/(MATCH(9.99E+307,'Returns (Calc)'!$A:$A)-3),"")</f>
        <v>126.823291139241</v>
      </c>
      <c r="AE72" s="144" t="n">
        <f aca="false">IFERROR('Price History'!J3+(INDEX('Price History'!J:J,MATCH(9.99E+307,'Returns (Calc)'!$A:$A)+1)-'Price History'!J3)*(ROW()-3)/(MATCH(9.99E+307,'Returns (Calc)'!$A:$A)-3),"")</f>
        <v>119.294620253165</v>
      </c>
      <c r="AF72" s="144" t="n">
        <f aca="false">IFERROR('Price History'!K3+(INDEX('Price History'!K:K,MATCH(9.99E+307,'Returns (Calc)'!$A:$A)+1)-'Price History'!K3)*(ROW()-3)/(MATCH(9.99E+307,'Returns (Calc)'!$A:$A)-3),"")</f>
        <v>91.0640506329114</v>
      </c>
      <c r="AG72" s="144" t="n">
        <f aca="false">IFERROR('Price History'!L3+(INDEX('Price History'!L:L,MATCH(9.99E+307,'Returns (Calc)'!$A:$A)+1)-'Price History'!L3)*(ROW()-3)/(MATCH(9.99E+307,'Returns (Calc)'!$A:$A)-3),"")</f>
        <v>254.769430379747</v>
      </c>
      <c r="AH72" s="144" t="n">
        <f aca="false">IFERROR('Price History'!M3+(INDEX('Price History'!M:M,MATCH(9.99E+307,'Returns (Calc)'!$A:$A)+1)-'Price History'!M3)*(ROW()-3)/(MATCH(9.99E+307,'Returns (Calc)'!$A:$A)-3),"")</f>
        <v>131.545569620253</v>
      </c>
      <c r="AI72" s="144" t="n">
        <f aca="false">IFERROR('Price History'!N3+(INDEX('Price History'!N:N,MATCH(9.99E+307,'Returns (Calc)'!$A:$A)+1)-'Price History'!N3)*(ROW()-3)/(MATCH(9.99E+307,'Returns (Calc)'!$A:$A)-3),"")</f>
        <v>416.952341772152</v>
      </c>
      <c r="AJ72" s="144" t="n">
        <f aca="false">IFERROR('Price History'!O3+(INDEX('Price History'!O:O,MATCH(9.99E+307,'Returns (Calc)'!$A:$A)+1)-'Price History'!O3)*(ROW()-3)/(MATCH(9.99E+307,'Returns (Calc)'!$A:$A)-3),"")</f>
        <v>94.8396202531646</v>
      </c>
      <c r="AK72" s="144" t="n">
        <f aca="false">IFERROR('Price History'!Q3+(INDEX('Price History'!Q:Q,MATCH(9.99E+307,'Returns (Calc)'!$A:$A)+1)-'Price History'!Q3)*(ROW()-3)/(MATCH(9.99E+307,'Returns (Calc)'!$A:$A)-3),"")</f>
        <v>30.3163291139241</v>
      </c>
      <c r="AL72" s="144" t="n">
        <f aca="false">IFERROR('Price History'!R3+(INDEX('Price History'!R:R,MATCH(9.99E+307,'Returns (Calc)'!$A:$A)+1)-'Price History'!R3)*(ROW()-3)/(MATCH(9.99E+307,'Returns (Calc)'!$A:$A)-3),"")</f>
        <v>46.0789873417722</v>
      </c>
      <c r="AM72" s="144" t="n">
        <f aca="false">IFERROR('Price History'!S3+(INDEX('Price History'!S:S,MATCH(9.99E+307,'Returns (Calc)'!$A:$A)+1)-'Price History'!S3)*(ROW()-3)/(MATCH(9.99E+307,'Returns (Calc)'!$A:$A)-3),"")</f>
        <v>99.3793670886076</v>
      </c>
      <c r="AN72" s="144" t="n">
        <f aca="false">IFERROR('Price History'!T3+(INDEX('Price History'!T:T,MATCH(9.99E+307,'Returns (Calc)'!$A:$A)+1)-'Price History'!T3)*(ROW()-3)/(MATCH(9.99E+307,'Returns (Calc)'!$A:$A)-3),"")</f>
        <v>36.8477215189873</v>
      </c>
      <c r="AO72" s="145" t="n">
        <f aca="false">IFERROR('Price History'!V3+(INDEX('Price History'!V:V,MATCH(9.99E+307,'Returns (Calc)'!$A:$A)+1)-'Price History'!V3)*(ROW()-3)/(MATCH(9.99E+307,'Returns (Calc)'!$A:$A)-3),"")</f>
        <v>290.23170886076</v>
      </c>
      <c r="AP72" s="143" t="n">
        <f aca="false">IFERROR(IF(OR(NOT(ISNUMBER('Price History'!W73)),NOT(ISNUMBER('Price History'!W72)),'Price History'!W72=0),"",'Price History'!W73/'Price History'!W72-1),"")</f>
        <v>0.0442199403776085</v>
      </c>
      <c r="AQ72" s="143" t="str">
        <f aca="false">IFERROR(IF(OR(NOT(ISNUMBER('Price History'!X73)),NOT(ISNUMBER('Price History'!X72)),'Price History'!X72=0),"",'Price History'!X73/'Price History'!X72-1),"")</f>
        <v/>
      </c>
      <c r="AR72" s="143" t="n">
        <f aca="false">IFERROR(IF(OR(NOT(ISNUMBER('Price History'!Y73)),NOT(ISNUMBER('Price History'!Y72)),'Price History'!Y72=0),"",'Price History'!Y73/'Price History'!Y72-1),"")</f>
        <v>0.0252678390944006</v>
      </c>
      <c r="AS72" s="143" t="n">
        <f aca="false">IFERROR(IF(OR(NOT(ISNUMBER('Price History'!Z73)),NOT(ISNUMBER('Price History'!Z72)),'Price History'!Z72=0),"",'Price History'!Z73/'Price History'!Z72-1),"")</f>
        <v>0.0649594737460355</v>
      </c>
      <c r="AT72" s="143" t="n">
        <f aca="false">IFERROR(IF(OR(NOT(ISNUMBER('Price History'!AA73)),NOT(ISNUMBER('Price History'!AA72)),'Price History'!AA72=0),"",'Price History'!AA73/'Price History'!AA72-1),"")</f>
        <v>0.0243523934582788</v>
      </c>
    </row>
    <row r="73" customFormat="false" ht="15" hidden="false" customHeight="true" outlineLevel="0" collapsed="false">
      <c r="A73" s="141" t="n">
        <f aca="false">IF('Price History'!A74="","",'Price History'!A74)</f>
        <v>45681</v>
      </c>
      <c r="B73" s="142" t="n">
        <f aca="false">IFERROR(IF(OR(NOT(ISNUMBER('Price History'!B74)),NOT(ISNUMBER('Price History'!B73)),'Price History'!B73=0),"",'Price History'!B74/'Price History'!B73-1),"")</f>
        <v>0.0125351752366334</v>
      </c>
      <c r="C73" s="142" t="n">
        <f aca="false">IFERROR(IF(OR(NOT(ISNUMBER('Price History'!C74)),NOT(ISNUMBER('Price History'!C73)),'Price History'!C73=0),"",'Price History'!C74/'Price History'!C73-1),"")</f>
        <v>0.0768653605669027</v>
      </c>
      <c r="D73" s="142" t="n">
        <f aca="false">IFERROR(IF(OR(NOT(ISNUMBER('Price History'!D74)),NOT(ISNUMBER('Price History'!D73)),'Price History'!D73=0),"",'Price History'!D74/'Price History'!D73-1),"")</f>
        <v>-0.0318405558014459</v>
      </c>
      <c r="E73" s="142" t="n">
        <f aca="false">IFERROR(IF(OR(NOT(ISNUMBER('Price History'!E74)),NOT(ISNUMBER('Price History'!E73)),'Price History'!E73=0),"",'Price History'!E74/'Price History'!E73-1),"")</f>
        <v>0.0305956755832835</v>
      </c>
      <c r="F73" s="142" t="n">
        <f aca="false">IFERROR(IF(OR(NOT(ISNUMBER('Price History'!F74)),NOT(ISNUMBER('Price History'!F73)),'Price History'!F73=0),"",'Price History'!F74/'Price History'!F73-1),"")</f>
        <v>0.0501960784313726</v>
      </c>
      <c r="G73" s="142" t="n">
        <f aca="false">IFERROR(IF(OR(NOT(ISNUMBER('Price History'!G74)),NOT(ISNUMBER('Price History'!G73)),'Price History'!G73=0),"",'Price History'!G74/'Price History'!G73-1),"")</f>
        <v>-0.0101563544033142</v>
      </c>
      <c r="H73" s="142" t="n">
        <f aca="false">IFERROR(IF(OR(NOT(ISNUMBER('Price History'!H74)),NOT(ISNUMBER('Price History'!H73)),'Price History'!H73=0),"",'Price History'!H74/'Price History'!H73-1),"")</f>
        <v>-0.0242073286500855</v>
      </c>
      <c r="I73" s="142" t="n">
        <f aca="false">IFERROR(IF(OR(NOT(ISNUMBER('Price History'!I74)),NOT(ISNUMBER('Price History'!I73)),'Price History'!I73=0),"",'Price History'!I74/'Price History'!I73-1),"")</f>
        <v>0.0356752821259556</v>
      </c>
      <c r="J73" s="142" t="n">
        <f aca="false">IFERROR(IF(OR(NOT(ISNUMBER('Price History'!J74)),NOT(ISNUMBER('Price History'!J73)),'Price History'!J73=0),"",'Price History'!J74/'Price History'!J73-1),"")</f>
        <v>0.0863587956239713</v>
      </c>
      <c r="K73" s="142" t="n">
        <f aca="false">IFERROR(IF(OR(NOT(ISNUMBER('Price History'!K74)),NOT(ISNUMBER('Price History'!K73)),'Price History'!K73=0),"",'Price History'!K74/'Price History'!K73-1),"")</f>
        <v>0.100459802145743</v>
      </c>
      <c r="L73" s="142" t="n">
        <f aca="false">IFERROR(IF(OR(NOT(ISNUMBER('Price History'!L74)),NOT(ISNUMBER('Price History'!L73)),'Price History'!L73=0),"",'Price History'!L74/'Price History'!L73-1),"")</f>
        <v>0.0490679030232784</v>
      </c>
      <c r="M73" s="142" t="n">
        <f aca="false">IFERROR(IF(OR(NOT(ISNUMBER('Price History'!M74)),NOT(ISNUMBER('Price History'!M73)),'Price History'!M73=0),"",'Price History'!M74/'Price History'!M73-1),"")</f>
        <v>0.0768493251714728</v>
      </c>
      <c r="N73" s="142" t="n">
        <f aca="false">IFERROR(IF(OR(NOT(ISNUMBER('Price History'!N74)),NOT(ISNUMBER('Price History'!N73)),'Price History'!N73=0),"",'Price History'!N74/'Price History'!N73-1),"")</f>
        <v>0.0417535545023697</v>
      </c>
      <c r="O73" s="142" t="n">
        <f aca="false">IFERROR(IF(OR(NOT(ISNUMBER('Price History'!O74)),NOT(ISNUMBER('Price History'!O73)),'Price History'!O73=0),"",'Price History'!O74/'Price History'!O73-1),"")</f>
        <v>0.0050651230101304</v>
      </c>
      <c r="P73" s="142" t="n">
        <f aca="false">IFERROR(IF(OR(NOT(ISNUMBER('Price History'!P74)),NOT(ISNUMBER('Price History'!P73)),'Price History'!P73=0),"",'Price History'!P74/'Price History'!P73-1),"")</f>
        <v>0.00220802775806317</v>
      </c>
      <c r="Q73" s="142" t="n">
        <f aca="false">IFERROR(IF(OR(NOT(ISNUMBER('Price History'!Q74)),NOT(ISNUMBER('Price History'!Q73)),'Price History'!Q73=0),"",'Price History'!Q74/'Price History'!Q73-1),"")</f>
        <v>0.0103192518542405</v>
      </c>
      <c r="R73" s="142" t="n">
        <f aca="false">IFERROR(IF(OR(NOT(ISNUMBER('Price History'!R74)),NOT(ISNUMBER('Price History'!R73)),'Price History'!R73=0),"",'Price History'!R74/'Price History'!R73-1),"")</f>
        <v>0.0138651877133105</v>
      </c>
      <c r="S73" s="142" t="n">
        <f aca="false">IFERROR(IF(OR(NOT(ISNUMBER('Price History'!S74)),NOT(ISNUMBER('Price History'!S73)),'Price History'!S73=0),"",'Price History'!S74/'Price History'!S73-1),"")</f>
        <v>0.0271353684859699</v>
      </c>
      <c r="T73" s="142" t="n">
        <f aca="false">IFERROR(IF(OR(NOT(ISNUMBER('Price History'!T74)),NOT(ISNUMBER('Price History'!T73)),'Price History'!T73=0),"",'Price History'!T74/'Price History'!T73-1),"")</f>
        <v>0.00257437070938193</v>
      </c>
      <c r="U73" s="142" t="n">
        <f aca="false">IFERROR(IF(OR(NOT(ISNUMBER('Price History'!U74)),NOT(ISNUMBER('Price History'!U73)),'Price History'!U73=0),"",'Price History'!U74/'Price History'!U73-1),"")</f>
        <v>0.00266260935717</v>
      </c>
      <c r="V73" s="143" t="n">
        <f aca="false">IFERROR(IF(OR(NOT(ISNUMBER('Price History'!V74)),NOT(ISNUMBER('Price History'!V73)),'Price History'!V73=0),"",'Price History'!V74/'Price History'!V73-1),"")</f>
        <v>0.0330934795701652</v>
      </c>
      <c r="W73" s="144" t="n">
        <f aca="false">IFERROR('Price History'!B3+(INDEX('Price History'!B:B,MATCH(9.99E+307,'Returns (Calc)'!$A:$A)+1)-'Price History'!B3)*(ROW()-3)/(MATCH(9.99E+307,'Returns (Calc)'!$A:$A)-3),"")</f>
        <v>399.877341772152</v>
      </c>
      <c r="X73" s="144" t="n">
        <f aca="false">IFERROR('Price History'!C3+(INDEX('Price History'!C:C,MATCH(9.99E+307,'Returns (Calc)'!$A:$A)+1)-'Price History'!C3)*(ROW()-3)/(MATCH(9.99E+307,'Returns (Calc)'!$A:$A)-3),"")</f>
        <v>117.584430379747</v>
      </c>
      <c r="Y73" s="144" t="n">
        <f aca="false">IFERROR('Price History'!D3+(INDEX('Price History'!D:D,MATCH(9.99E+307,'Returns (Calc)'!$A:$A)+1)-'Price History'!D3)*(ROW()-3)/(MATCH(9.99E+307,'Returns (Calc)'!$A:$A)-3),"")</f>
        <v>1151.44670886076</v>
      </c>
      <c r="Z73" s="144" t="n">
        <f aca="false">IFERROR('Price History'!E3+(INDEX('Price History'!E:E,MATCH(9.99E+307,'Returns (Calc)'!$A:$A)+1)-'Price History'!E3)*(ROW()-3)/(MATCH(9.99E+307,'Returns (Calc)'!$A:$A)-3),"")</f>
        <v>203.011392405063</v>
      </c>
      <c r="AA73" s="144" t="n">
        <f aca="false">IFERROR('Price History'!F3+(INDEX('Price History'!F:F,MATCH(9.99E+307,'Returns (Calc)'!$A:$A)+1)-'Price History'!F3)*(ROW()-3)/(MATCH(9.99E+307,'Returns (Calc)'!$A:$A)-3),"")</f>
        <v>142.673924050633</v>
      </c>
      <c r="AB73" s="144" t="n">
        <f aca="false">IFERROR('Price History'!G3+(INDEX('Price History'!G:G,MATCH(9.99E+307,'Returns (Calc)'!$A:$A)+1)-'Price History'!G3)*(ROW()-3)/(MATCH(9.99E+307,'Returns (Calc)'!$A:$A)-3),"")</f>
        <v>116.361392405063</v>
      </c>
      <c r="AC73" s="144" t="n">
        <f aca="false">IFERROR('Price History'!H3+(INDEX('Price History'!H:H,MATCH(9.99E+307,'Returns (Calc)'!$A:$A)+1)-'Price History'!H3)*(ROW()-3)/(MATCH(9.99E+307,'Returns (Calc)'!$A:$A)-3),"")</f>
        <v>514.708734177215</v>
      </c>
      <c r="AD73" s="144" t="n">
        <f aca="false">IFERROR('Price History'!I3+(INDEX('Price History'!I:I,MATCH(9.99E+307,'Returns (Calc)'!$A:$A)+1)-'Price History'!I3)*(ROW()-3)/(MATCH(9.99E+307,'Returns (Calc)'!$A:$A)-3),"")</f>
        <v>128.026962025316</v>
      </c>
      <c r="AE73" s="144" t="n">
        <f aca="false">IFERROR('Price History'!J3+(INDEX('Price History'!J:J,MATCH(9.99E+307,'Returns (Calc)'!$A:$A)+1)-'Price History'!J3)*(ROW()-3)/(MATCH(9.99E+307,'Returns (Calc)'!$A:$A)-3),"")</f>
        <v>119.402658227848</v>
      </c>
      <c r="AF73" s="144" t="n">
        <f aca="false">IFERROR('Price History'!K3+(INDEX('Price History'!K:K,MATCH(9.99E+307,'Returns (Calc)'!$A:$A)+1)-'Price History'!K3)*(ROW()-3)/(MATCH(9.99E+307,'Returns (Calc)'!$A:$A)-3),"")</f>
        <v>92.1616455696203</v>
      </c>
      <c r="AG73" s="144" t="n">
        <f aca="false">IFERROR('Price History'!L3+(INDEX('Price History'!L:L,MATCH(9.99E+307,'Returns (Calc)'!$A:$A)+1)-'Price History'!L3)*(ROW()-3)/(MATCH(9.99E+307,'Returns (Calc)'!$A:$A)-3),"")</f>
        <v>257.218987341772</v>
      </c>
      <c r="AH73" s="144" t="n">
        <f aca="false">IFERROR('Price History'!M3+(INDEX('Price History'!M:M,MATCH(9.99E+307,'Returns (Calc)'!$A:$A)+1)-'Price History'!M3)*(ROW()-3)/(MATCH(9.99E+307,'Returns (Calc)'!$A:$A)-3),"")</f>
        <v>132.901012658228</v>
      </c>
      <c r="AI73" s="144" t="n">
        <f aca="false">IFERROR('Price History'!N3+(INDEX('Price History'!N:N,MATCH(9.99E+307,'Returns (Calc)'!$A:$A)+1)-'Price History'!N3)*(ROW()-3)/(MATCH(9.99E+307,'Returns (Calc)'!$A:$A)-3),"")</f>
        <v>417.938607594937</v>
      </c>
      <c r="AJ73" s="144" t="n">
        <f aca="false">IFERROR('Price History'!O3+(INDEX('Price History'!O:O,MATCH(9.99E+307,'Returns (Calc)'!$A:$A)+1)-'Price History'!O3)*(ROW()-3)/(MATCH(9.99E+307,'Returns (Calc)'!$A:$A)-3),"")</f>
        <v>95.1226582278481</v>
      </c>
      <c r="AK73" s="144" t="n">
        <f aca="false">IFERROR('Price History'!Q3+(INDEX('Price History'!Q:Q,MATCH(9.99E+307,'Returns (Calc)'!$A:$A)+1)-'Price History'!Q3)*(ROW()-3)/(MATCH(9.99E+307,'Returns (Calc)'!$A:$A)-3),"")</f>
        <v>30.7556962025317</v>
      </c>
      <c r="AL73" s="144" t="n">
        <f aca="false">IFERROR('Price History'!R3+(INDEX('Price History'!R:R,MATCH(9.99E+307,'Returns (Calc)'!$A:$A)+1)-'Price History'!R3)*(ROW()-3)/(MATCH(9.99E+307,'Returns (Calc)'!$A:$A)-3),"")</f>
        <v>46.2470886075949</v>
      </c>
      <c r="AM73" s="144" t="n">
        <f aca="false">IFERROR('Price History'!S3+(INDEX('Price History'!S:S,MATCH(9.99E+307,'Returns (Calc)'!$A:$A)+1)-'Price History'!S3)*(ROW()-3)/(MATCH(9.99E+307,'Returns (Calc)'!$A:$A)-3),"")</f>
        <v>99.9844303797468</v>
      </c>
      <c r="AN73" s="144" t="n">
        <f aca="false">IFERROR('Price History'!T3+(INDEX('Price History'!T:T,MATCH(9.99E+307,'Returns (Calc)'!$A:$A)+1)-'Price History'!T3)*(ROW()-3)/(MATCH(9.99E+307,'Returns (Calc)'!$A:$A)-3),"")</f>
        <v>37.0159493670886</v>
      </c>
      <c r="AO73" s="145" t="n">
        <f aca="false">IFERROR('Price History'!V3+(INDEX('Price History'!V:V,MATCH(9.99E+307,'Returns (Calc)'!$A:$A)+1)-'Price History'!V3)*(ROW()-3)/(MATCH(9.99E+307,'Returns (Calc)'!$A:$A)-3),"")</f>
        <v>291.023037974684</v>
      </c>
      <c r="AP73" s="143" t="n">
        <f aca="false">IFERROR(IF(OR(NOT(ISNUMBER('Price History'!W74)),NOT(ISNUMBER('Price History'!W73)),'Price History'!W73=0),"",'Price History'!W74/'Price History'!W73-1),"")</f>
        <v>0.0103885804916732</v>
      </c>
      <c r="AQ73" s="143" t="str">
        <f aca="false">IFERROR(IF(OR(NOT(ISNUMBER('Price History'!X74)),NOT(ISNUMBER('Price History'!X73)),'Price History'!X73=0),"",'Price History'!X74/'Price History'!X73-1),"")</f>
        <v/>
      </c>
      <c r="AR73" s="143" t="n">
        <f aca="false">IFERROR(IF(OR(NOT(ISNUMBER('Price History'!Y74)),NOT(ISNUMBER('Price History'!Y73)),'Price History'!Y73=0),"",'Price History'!Y74/'Price History'!Y73-1),"")</f>
        <v>0.0102523659305995</v>
      </c>
      <c r="AS73" s="143" t="n">
        <f aca="false">IFERROR(IF(OR(NOT(ISNUMBER('Price History'!Z74)),NOT(ISNUMBER('Price History'!Z73)),'Price History'!Z73=0),"",'Price History'!Z74/'Price History'!Z73-1),"")</f>
        <v>0.076053386278403</v>
      </c>
      <c r="AT73" s="143" t="n">
        <f aca="false">IFERROR(IF(OR(NOT(ISNUMBER('Price History'!AA74)),NOT(ISNUMBER('Price History'!AA73)),'Price History'!AA73=0),"",'Price History'!AA74/'Price History'!AA73-1),"")</f>
        <v>0.13926115837315</v>
      </c>
    </row>
    <row r="74" customFormat="false" ht="15" hidden="false" customHeight="true" outlineLevel="0" collapsed="false">
      <c r="A74" s="141" t="n">
        <f aca="false">IF('Price History'!A75="","",'Price History'!A75)</f>
        <v>45688</v>
      </c>
      <c r="B74" s="142" t="n">
        <f aca="false">IFERROR(IF(OR(NOT(ISNUMBER('Price History'!B75)),NOT(ISNUMBER('Price History'!B74)),'Price History'!B74=0),"",'Price History'!B75/'Price History'!B74-1),"")</f>
        <v>0.00475446736184471</v>
      </c>
      <c r="C74" s="142" t="n">
        <f aca="false">IFERROR(IF(OR(NOT(ISNUMBER('Price History'!C75)),NOT(ISNUMBER('Price History'!C74)),'Price History'!C74=0),"",'Price History'!C75/'Price History'!C74-1),"")</f>
        <v>-0.107919795618177</v>
      </c>
      <c r="D74" s="142" t="n">
        <f aca="false">IFERROR(IF(OR(NOT(ISNUMBER('Price History'!D75)),NOT(ISNUMBER('Price History'!D74)),'Price History'!D74=0),"",'Price History'!D75/'Price History'!D74-1),"")</f>
        <v>0.00964189235990842</v>
      </c>
      <c r="E74" s="142" t="n">
        <f aca="false">IFERROR(IF(OR(NOT(ISNUMBER('Price History'!E75)),NOT(ISNUMBER('Price History'!E74)),'Price History'!E74=0),"",'Price History'!E75/'Price History'!E74-1),"")</f>
        <v>-0.0957376233518534</v>
      </c>
      <c r="F74" s="142" t="n">
        <f aca="false">IFERROR(IF(OR(NOT(ISNUMBER('Price History'!F75)),NOT(ISNUMBER('Price History'!F74)),'Price History'!F74=0),"",'Price History'!F75/'Price History'!F74-1),"")</f>
        <v>0.0617731782780326</v>
      </c>
      <c r="G74" s="142" t="n">
        <f aca="false">IFERROR(IF(OR(NOT(ISNUMBER('Price History'!G75)),NOT(ISNUMBER('Price History'!G74)),'Price History'!G74=0),"",'Price History'!G75/'Price History'!G74-1),"")</f>
        <v>-0.0153908464965571</v>
      </c>
      <c r="H74" s="142" t="n">
        <f aca="false">IFERROR(IF(OR(NOT(ISNUMBER('Price History'!H75)),NOT(ISNUMBER('Price History'!H74)),'Price History'!H74=0),"",'Price History'!H75/'Price History'!H74-1),"")</f>
        <v>-0.115770016538574</v>
      </c>
      <c r="I74" s="142" t="n">
        <f aca="false">IFERROR(IF(OR(NOT(ISNUMBER('Price History'!I75)),NOT(ISNUMBER('Price History'!I74)),'Price History'!I74=0),"",'Price History'!I75/'Price History'!I74-1),"")</f>
        <v>-0.158101933216169</v>
      </c>
      <c r="J74" s="142" t="n">
        <f aca="false">IFERROR(IF(OR(NOT(ISNUMBER('Price History'!J75)),NOT(ISNUMBER('Price History'!J74)),'Price History'!J74=0),"",'Price History'!J75/'Price History'!J74-1),"")</f>
        <v>0.00267355850637219</v>
      </c>
      <c r="K74" s="142" t="n">
        <f aca="false">IFERROR(IF(OR(NOT(ISNUMBER('Price History'!K75)),NOT(ISNUMBER('Price History'!K74)),'Price History'!K74=0),"",'Price History'!K75/'Price History'!K74-1),"")</f>
        <v>0.0444416307926057</v>
      </c>
      <c r="L74" s="142" t="n">
        <f aca="false">IFERROR(IF(OR(NOT(ISNUMBER('Price History'!L75)),NOT(ISNUMBER('Price History'!L74)),'Price History'!L74=0),"",'Price History'!L75/'Price History'!L74-1),"")</f>
        <v>-0.0565785839241322</v>
      </c>
      <c r="M74" s="142" t="n">
        <f aca="false">IFERROR(IF(OR(NOT(ISNUMBER('Price History'!M75)),NOT(ISNUMBER('Price History'!M74)),'Price History'!M74=0),"",'Price History'!M75/'Price History'!M74-1),"")</f>
        <v>-0.200260256146839</v>
      </c>
      <c r="N74" s="142" t="n">
        <f aca="false">IFERROR(IF(OR(NOT(ISNUMBER('Price History'!N75)),NOT(ISNUMBER('Price History'!N74)),'Price History'!N74=0),"",'Price History'!N75/'Price History'!N74-1),"")</f>
        <v>0.0501797006505618</v>
      </c>
      <c r="O74" s="142" t="n">
        <f aca="false">IFERROR(IF(OR(NOT(ISNUMBER('Price History'!O75)),NOT(ISNUMBER('Price History'!O74)),'Price History'!O74=0),"",'Price History'!O75/'Price History'!O74-1),"")</f>
        <v>-0.0151187904967602</v>
      </c>
      <c r="P74" s="142" t="n">
        <f aca="false">IFERROR(IF(OR(NOT(ISNUMBER('Price History'!P75)),NOT(ISNUMBER('Price History'!P74)),'Price History'!P74=0),"",'Price History'!P75/'Price History'!P74-1),"")</f>
        <v>-0.0025965850971752</v>
      </c>
      <c r="Q74" s="142" t="n">
        <f aca="false">IFERROR(IF(OR(NOT(ISNUMBER('Price History'!Q75)),NOT(ISNUMBER('Price History'!Q74)),'Price History'!Q74=0),"",'Price History'!Q75/'Price History'!Q74-1),"")</f>
        <v>-0.00861793807851896</v>
      </c>
      <c r="R74" s="142" t="n">
        <f aca="false">IFERROR(IF(OR(NOT(ISNUMBER('Price History'!R75)),NOT(ISNUMBER('Price History'!R74)),'Price History'!R74=0),"",'Price History'!R75/'Price History'!R74-1),"")</f>
        <v>-0.0103092783505155</v>
      </c>
      <c r="S74" s="142" t="n">
        <f aca="false">IFERROR(IF(OR(NOT(ISNUMBER('Price History'!S75)),NOT(ISNUMBER('Price History'!S74)),'Price History'!S74=0),"",'Price History'!S75/'Price History'!S74-1),"")</f>
        <v>-0.0127088962273593</v>
      </c>
      <c r="T74" s="142" t="n">
        <f aca="false">IFERROR(IF(OR(NOT(ISNUMBER('Price History'!T75)),NOT(ISNUMBER('Price History'!T74)),'Price History'!T74=0),"",'Price History'!T75/'Price History'!T74-1),"")</f>
        <v>-0.0102710413694722</v>
      </c>
      <c r="U74" s="142" t="n">
        <f aca="false">IFERROR(IF(OR(NOT(ISNUMBER('Price History'!U75)),NOT(ISNUMBER('Price History'!U74)),'Price History'!U74=0),"",'Price History'!U75/'Price History'!U74-1),"")</f>
        <v>-0.00834597875569043</v>
      </c>
      <c r="V74" s="143" t="n">
        <f aca="false">IFERROR(IF(OR(NOT(ISNUMBER('Price History'!V75)),NOT(ISNUMBER('Price History'!V74)),'Price History'!V74=0),"",'Price History'!V75/'Price History'!V74-1),"")</f>
        <v>0.0351323985149274</v>
      </c>
      <c r="W74" s="144" t="n">
        <f aca="false">IFERROR('Price History'!B3+(INDEX('Price History'!B:B,MATCH(9.99E+307,'Returns (Calc)'!$A:$A)+1)-'Price History'!B3)*(ROW()-3)/(MATCH(9.99E+307,'Returns (Calc)'!$A:$A)-3),"")</f>
        <v>398.034303797468</v>
      </c>
      <c r="X74" s="144" t="n">
        <f aca="false">IFERROR('Price History'!C3+(INDEX('Price History'!C:C,MATCH(9.99E+307,'Returns (Calc)'!$A:$A)+1)-'Price History'!C3)*(ROW()-3)/(MATCH(9.99E+307,'Returns (Calc)'!$A:$A)-3),"")</f>
        <v>118.604493670886</v>
      </c>
      <c r="Y74" s="144" t="n">
        <f aca="false">IFERROR('Price History'!D3+(INDEX('Price History'!D:D,MATCH(9.99E+307,'Returns (Calc)'!$A:$A)+1)-'Price History'!D3)*(ROW()-3)/(MATCH(9.99E+307,'Returns (Calc)'!$A:$A)-3),"")</f>
        <v>1159.58151898734</v>
      </c>
      <c r="Z74" s="144" t="n">
        <f aca="false">IFERROR('Price History'!E3+(INDEX('Price History'!E:E,MATCH(9.99E+307,'Returns (Calc)'!$A:$A)+1)-'Price History'!E3)*(ROW()-3)/(MATCH(9.99E+307,'Returns (Calc)'!$A:$A)-3),"")</f>
        <v>204.740126582279</v>
      </c>
      <c r="AA74" s="144" t="n">
        <f aca="false">IFERROR('Price History'!F3+(INDEX('Price History'!F:F,MATCH(9.99E+307,'Returns (Calc)'!$A:$A)+1)-'Price History'!F3)*(ROW()-3)/(MATCH(9.99E+307,'Returns (Calc)'!$A:$A)-3),"")</f>
        <v>144.121265822785</v>
      </c>
      <c r="AB74" s="144" t="n">
        <f aca="false">IFERROR('Price History'!G3+(INDEX('Price History'!G:G,MATCH(9.99E+307,'Returns (Calc)'!$A:$A)+1)-'Price History'!G3)*(ROW()-3)/(MATCH(9.99E+307,'Returns (Calc)'!$A:$A)-3),"")</f>
        <v>117.390126582278</v>
      </c>
      <c r="AC74" s="144" t="n">
        <f aca="false">IFERROR('Price History'!H3+(INDEX('Price History'!H:H,MATCH(9.99E+307,'Returns (Calc)'!$A:$A)+1)-'Price History'!H3)*(ROW()-3)/(MATCH(9.99E+307,'Returns (Calc)'!$A:$A)-3),"")</f>
        <v>521.074430379747</v>
      </c>
      <c r="AD74" s="144" t="n">
        <f aca="false">IFERROR('Price History'!I3+(INDEX('Price History'!I:I,MATCH(9.99E+307,'Returns (Calc)'!$A:$A)+1)-'Price History'!I3)*(ROW()-3)/(MATCH(9.99E+307,'Returns (Calc)'!$A:$A)-3),"")</f>
        <v>129.230632911392</v>
      </c>
      <c r="AE74" s="144" t="n">
        <f aca="false">IFERROR('Price History'!J3+(INDEX('Price History'!J:J,MATCH(9.99E+307,'Returns (Calc)'!$A:$A)+1)-'Price History'!J3)*(ROW()-3)/(MATCH(9.99E+307,'Returns (Calc)'!$A:$A)-3),"")</f>
        <v>119.510696202532</v>
      </c>
      <c r="AF74" s="144" t="n">
        <f aca="false">IFERROR('Price History'!K3+(INDEX('Price History'!K:K,MATCH(9.99E+307,'Returns (Calc)'!$A:$A)+1)-'Price History'!K3)*(ROW()-3)/(MATCH(9.99E+307,'Returns (Calc)'!$A:$A)-3),"")</f>
        <v>93.2592405063291</v>
      </c>
      <c r="AG74" s="144" t="n">
        <f aca="false">IFERROR('Price History'!L3+(INDEX('Price History'!L:L,MATCH(9.99E+307,'Returns (Calc)'!$A:$A)+1)-'Price History'!L3)*(ROW()-3)/(MATCH(9.99E+307,'Returns (Calc)'!$A:$A)-3),"")</f>
        <v>259.668544303798</v>
      </c>
      <c r="AH74" s="144" t="n">
        <f aca="false">IFERROR('Price History'!M3+(INDEX('Price History'!M:M,MATCH(9.99E+307,'Returns (Calc)'!$A:$A)+1)-'Price History'!M3)*(ROW()-3)/(MATCH(9.99E+307,'Returns (Calc)'!$A:$A)-3),"")</f>
        <v>134.256455696203</v>
      </c>
      <c r="AI74" s="144" t="n">
        <f aca="false">IFERROR('Price History'!N3+(INDEX('Price History'!N:N,MATCH(9.99E+307,'Returns (Calc)'!$A:$A)+1)-'Price History'!N3)*(ROW()-3)/(MATCH(9.99E+307,'Returns (Calc)'!$A:$A)-3),"")</f>
        <v>418.924873417722</v>
      </c>
      <c r="AJ74" s="144" t="n">
        <f aca="false">IFERROR('Price History'!O3+(INDEX('Price History'!O:O,MATCH(9.99E+307,'Returns (Calc)'!$A:$A)+1)-'Price History'!O3)*(ROW()-3)/(MATCH(9.99E+307,'Returns (Calc)'!$A:$A)-3),"")</f>
        <v>95.4056962025316</v>
      </c>
      <c r="AK74" s="144" t="n">
        <f aca="false">IFERROR('Price History'!Q3+(INDEX('Price History'!Q:Q,MATCH(9.99E+307,'Returns (Calc)'!$A:$A)+1)-'Price History'!Q3)*(ROW()-3)/(MATCH(9.99E+307,'Returns (Calc)'!$A:$A)-3),"")</f>
        <v>31.1950632911392</v>
      </c>
      <c r="AL74" s="144" t="n">
        <f aca="false">IFERROR('Price History'!R3+(INDEX('Price History'!R:R,MATCH(9.99E+307,'Returns (Calc)'!$A:$A)+1)-'Price History'!R3)*(ROW()-3)/(MATCH(9.99E+307,'Returns (Calc)'!$A:$A)-3),"")</f>
        <v>46.4151898734177</v>
      </c>
      <c r="AM74" s="144" t="n">
        <f aca="false">IFERROR('Price History'!S3+(INDEX('Price History'!S:S,MATCH(9.99E+307,'Returns (Calc)'!$A:$A)+1)-'Price History'!S3)*(ROW()-3)/(MATCH(9.99E+307,'Returns (Calc)'!$A:$A)-3),"")</f>
        <v>100.589493670886</v>
      </c>
      <c r="AN74" s="144" t="n">
        <f aca="false">IFERROR('Price History'!T3+(INDEX('Price History'!T:T,MATCH(9.99E+307,'Returns (Calc)'!$A:$A)+1)-'Price History'!T3)*(ROW()-3)/(MATCH(9.99E+307,'Returns (Calc)'!$A:$A)-3),"")</f>
        <v>37.1841772151899</v>
      </c>
      <c r="AO74" s="145" t="n">
        <f aca="false">IFERROR('Price History'!V3+(INDEX('Price History'!V:V,MATCH(9.99E+307,'Returns (Calc)'!$A:$A)+1)-'Price History'!V3)*(ROW()-3)/(MATCH(9.99E+307,'Returns (Calc)'!$A:$A)-3),"")</f>
        <v>291.814367088608</v>
      </c>
      <c r="AP74" s="143" t="n">
        <f aca="false">IFERROR(IF(OR(NOT(ISNUMBER('Price History'!W75)),NOT(ISNUMBER('Price History'!W74)),'Price History'!W74=0),"",'Price History'!W75/'Price History'!W74-1),"")</f>
        <v>-0.00525861392355387</v>
      </c>
      <c r="AQ74" s="143" t="str">
        <f aca="false">IFERROR(IF(OR(NOT(ISNUMBER('Price History'!X75)),NOT(ISNUMBER('Price History'!X74)),'Price History'!X74=0),"",'Price History'!X75/'Price History'!X74-1),"")</f>
        <v/>
      </c>
      <c r="AR74" s="143" t="n">
        <f aca="false">IFERROR(IF(OR(NOT(ISNUMBER('Price History'!Y75)),NOT(ISNUMBER('Price History'!Y74)),'Price History'!Y74=0),"",'Price History'!Y75/'Price History'!Y74-1),"")</f>
        <v>-0.0021467603434816</v>
      </c>
      <c r="AS74" s="143" t="n">
        <f aca="false">IFERROR(IF(OR(NOT(ISNUMBER('Price History'!Z75)),NOT(ISNUMBER('Price History'!Z74)),'Price History'!Z74=0),"",'Price History'!Z75/'Price History'!Z74-1),"")</f>
        <v>0.0346471221362308</v>
      </c>
      <c r="AT74" s="143" t="n">
        <f aca="false">IFERROR(IF(OR(NOT(ISNUMBER('Price History'!AA75)),NOT(ISNUMBER('Price History'!AA74)),'Price History'!AA74=0),"",'Price History'!AA75/'Price History'!AA74-1),"")</f>
        <v>-0.000818330605564577</v>
      </c>
    </row>
    <row r="75" customFormat="false" ht="15" hidden="false" customHeight="true" outlineLevel="0" collapsed="false">
      <c r="A75" s="141" t="n">
        <f aca="false">IF('Price History'!A76="","",'Price History'!A76)</f>
        <v>45695</v>
      </c>
      <c r="B75" s="142" t="n">
        <f aca="false">IFERROR(IF(OR(NOT(ISNUMBER('Price History'!B76)),NOT(ISNUMBER('Price History'!B75)),'Price History'!B75=0),"",'Price History'!B76/'Price History'!B75-1),"")</f>
        <v>-0.0100125728654703</v>
      </c>
      <c r="C75" s="142" t="n">
        <f aca="false">IFERROR(IF(OR(NOT(ISNUMBER('Price History'!C76)),NOT(ISNUMBER('Price History'!C75)),'Price History'!C75=0),"",'Price History'!C76/'Price History'!C75-1),"")</f>
        <v>0.028117677688102</v>
      </c>
      <c r="D75" s="142" t="n">
        <f aca="false">IFERROR(IF(OR(NOT(ISNUMBER('Price History'!D76)),NOT(ISNUMBER('Price History'!D75)),'Price History'!D75=0),"",'Price History'!D76/'Price History'!D75-1),"")</f>
        <v>-0.015696820844939</v>
      </c>
      <c r="E75" s="142" t="n">
        <f aca="false">IFERROR(IF(OR(NOT(ISNUMBER('Price History'!E76)),NOT(ISNUMBER('Price History'!E75)),'Price History'!E75=0),"",'Price History'!E76/'Price History'!E75-1),"")</f>
        <v>0.0162318308955018</v>
      </c>
      <c r="F75" s="142" t="n">
        <f aca="false">IFERROR(IF(OR(NOT(ISNUMBER('Price History'!F76)),NOT(ISNUMBER('Price History'!F75)),'Price History'!F75=0),"",'Price History'!F76/'Price History'!F75-1),"")</f>
        <v>0.0590836012861737</v>
      </c>
      <c r="G75" s="142" t="n">
        <f aca="false">IFERROR(IF(OR(NOT(ISNUMBER('Price History'!G76)),NOT(ISNUMBER('Price History'!G75)),'Price History'!G75=0),"",'Price History'!G76/'Price History'!G75-1),"")</f>
        <v>0.0127519539284244</v>
      </c>
      <c r="H75" s="142" t="n">
        <f aca="false">IFERROR(IF(OR(NOT(ISNUMBER('Price History'!H76)),NOT(ISNUMBER('Price History'!H75)),'Price History'!H75=0),"",'Price History'!H76/'Price History'!H75-1),"")</f>
        <v>0.011662449114314</v>
      </c>
      <c r="I75" s="142" t="n">
        <f aca="false">IFERROR(IF(OR(NOT(ISNUMBER('Price History'!I76)),NOT(ISNUMBER('Price History'!I75)),'Price History'!I75=0),"",'Price History'!I76/'Price History'!I75-1),"")</f>
        <v>0.0813293253173013</v>
      </c>
      <c r="J75" s="142" t="n">
        <f aca="false">IFERROR(IF(OR(NOT(ISNUMBER('Price History'!J76)),NOT(ISNUMBER('Price History'!J75)),'Price History'!J75=0),"",'Price History'!J76/'Price History'!J75-1),"")</f>
        <v>-0.0159096969158298</v>
      </c>
      <c r="K75" s="142" t="n">
        <f aca="false">IFERROR(IF(OR(NOT(ISNUMBER('Price History'!K76)),NOT(ISNUMBER('Price History'!K75)),'Price History'!K75=0),"",'Price History'!K76/'Price History'!K75-1),"")</f>
        <v>0.343799248393745</v>
      </c>
      <c r="L75" s="142" t="n">
        <f aca="false">IFERROR(IF(OR(NOT(ISNUMBER('Price History'!L76)),NOT(ISNUMBER('Price History'!L75)),'Price History'!L75=0),"",'Price History'!L76/'Price History'!L75-1),"")</f>
        <v>-0.0153223051773778</v>
      </c>
      <c r="M75" s="142" t="n">
        <f aca="false">IFERROR(IF(OR(NOT(ISNUMBER('Price History'!M76)),NOT(ISNUMBER('Price History'!M75)),'Price History'!M75=0),"",'Price History'!M76/'Price History'!M75-1),"")</f>
        <v>0.0372527190202965</v>
      </c>
      <c r="N75" s="142" t="n">
        <f aca="false">IFERROR(IF(OR(NOT(ISNUMBER('Price History'!N76)),NOT(ISNUMBER('Price History'!N75)),'Price History'!N75=0),"",'Price History'!N76/'Price History'!N75-1),"")</f>
        <v>0.0165482585340495</v>
      </c>
      <c r="O75" s="142" t="n">
        <f aca="false">IFERROR(IF(OR(NOT(ISNUMBER('Price History'!O76)),NOT(ISNUMBER('Price History'!O75)),'Price History'!O75=0),"",'Price History'!O76/'Price History'!O75-1),"")</f>
        <v>-0.0115914786967418</v>
      </c>
      <c r="P75" s="142" t="n">
        <f aca="false">IFERROR(IF(OR(NOT(ISNUMBER('Price History'!P76)),NOT(ISNUMBER('Price History'!P75)),'Price History'!P75=0),"",'Price History'!P76/'Price History'!P75-1),"")</f>
        <v>-0.00481224360997157</v>
      </c>
      <c r="Q75" s="142" t="n">
        <f aca="false">IFERROR(IF(OR(NOT(ISNUMBER('Price History'!Q76)),NOT(ISNUMBER('Price History'!Q75)),'Price History'!Q75=0),"",'Price History'!Q76/'Price History'!Q75-1),"")</f>
        <v>-0.000643915003219586</v>
      </c>
      <c r="R75" s="142" t="n">
        <f aca="false">IFERROR(IF(OR(NOT(ISNUMBER('Price History'!R76)),NOT(ISNUMBER('Price History'!R75)),'Price History'!R75=0),"",'Price History'!R76/'Price History'!R75-1),"")</f>
        <v>0.00255102040816313</v>
      </c>
      <c r="S75" s="142" t="n">
        <f aca="false">IFERROR(IF(OR(NOT(ISNUMBER('Price History'!S76)),NOT(ISNUMBER('Price History'!S75)),'Price History'!S75=0),"",'Price History'!S76/'Price History'!S75-1),"")</f>
        <v>0.0198662071761606</v>
      </c>
      <c r="T75" s="142" t="n">
        <f aca="false">IFERROR(IF(OR(NOT(ISNUMBER('Price History'!T76)),NOT(ISNUMBER('Price History'!T75)),'Price History'!T75=0),"",'Price History'!T76/'Price History'!T75-1),"")</f>
        <v>-0.0074949553185355</v>
      </c>
      <c r="U75" s="142" t="n">
        <f aca="false">IFERROR(IF(OR(NOT(ISNUMBER('Price History'!U76)),NOT(ISNUMBER('Price History'!U75)),'Price History'!U75=0),"",'Price History'!U76/'Price History'!U75-1),"")</f>
        <v>-0.009946442234124</v>
      </c>
      <c r="V75" s="143" t="n">
        <f aca="false">IFERROR(IF(OR(NOT(ISNUMBER('Price History'!V76)),NOT(ISNUMBER('Price History'!V75)),'Price History'!V75=0),"",'Price History'!V76/'Price History'!V75-1),"")</f>
        <v>0.0182001422812426</v>
      </c>
      <c r="W75" s="144" t="n">
        <f aca="false">IFERROR('Price History'!B3+(INDEX('Price History'!B:B,MATCH(9.99E+307,'Returns (Calc)'!$A:$A)+1)-'Price History'!B3)*(ROW()-3)/(MATCH(9.99E+307,'Returns (Calc)'!$A:$A)-3),"")</f>
        <v>396.191265822785</v>
      </c>
      <c r="X75" s="144" t="n">
        <f aca="false">IFERROR('Price History'!C3+(INDEX('Price History'!C:C,MATCH(9.99E+307,'Returns (Calc)'!$A:$A)+1)-'Price History'!C3)*(ROW()-3)/(MATCH(9.99E+307,'Returns (Calc)'!$A:$A)-3),"")</f>
        <v>119.624556962025</v>
      </c>
      <c r="Y75" s="144" t="n">
        <f aca="false">IFERROR('Price History'!D3+(INDEX('Price History'!D:D,MATCH(9.99E+307,'Returns (Calc)'!$A:$A)+1)-'Price History'!D3)*(ROW()-3)/(MATCH(9.99E+307,'Returns (Calc)'!$A:$A)-3),"")</f>
        <v>1167.71632911392</v>
      </c>
      <c r="Z75" s="144" t="n">
        <f aca="false">IFERROR('Price History'!E3+(INDEX('Price History'!E:E,MATCH(9.99E+307,'Returns (Calc)'!$A:$A)+1)-'Price History'!E3)*(ROW()-3)/(MATCH(9.99E+307,'Returns (Calc)'!$A:$A)-3),"")</f>
        <v>206.468860759494</v>
      </c>
      <c r="AA75" s="144" t="n">
        <f aca="false">IFERROR('Price History'!F3+(INDEX('Price History'!F:F,MATCH(9.99E+307,'Returns (Calc)'!$A:$A)+1)-'Price History'!F3)*(ROW()-3)/(MATCH(9.99E+307,'Returns (Calc)'!$A:$A)-3),"")</f>
        <v>145.568607594937</v>
      </c>
      <c r="AB75" s="144" t="n">
        <f aca="false">IFERROR('Price History'!G3+(INDEX('Price History'!G:G,MATCH(9.99E+307,'Returns (Calc)'!$A:$A)+1)-'Price History'!G3)*(ROW()-3)/(MATCH(9.99E+307,'Returns (Calc)'!$A:$A)-3),"")</f>
        <v>118.418860759494</v>
      </c>
      <c r="AC75" s="144" t="n">
        <f aca="false">IFERROR('Price History'!H3+(INDEX('Price History'!H:H,MATCH(9.99E+307,'Returns (Calc)'!$A:$A)+1)-'Price History'!H3)*(ROW()-3)/(MATCH(9.99E+307,'Returns (Calc)'!$A:$A)-3),"")</f>
        <v>527.440126582279</v>
      </c>
      <c r="AD75" s="144" t="n">
        <f aca="false">IFERROR('Price History'!I3+(INDEX('Price History'!I:I,MATCH(9.99E+307,'Returns (Calc)'!$A:$A)+1)-'Price History'!I3)*(ROW()-3)/(MATCH(9.99E+307,'Returns (Calc)'!$A:$A)-3),"")</f>
        <v>130.434303797468</v>
      </c>
      <c r="AE75" s="144" t="n">
        <f aca="false">IFERROR('Price History'!J3+(INDEX('Price History'!J:J,MATCH(9.99E+307,'Returns (Calc)'!$A:$A)+1)-'Price History'!J3)*(ROW()-3)/(MATCH(9.99E+307,'Returns (Calc)'!$A:$A)-3),"")</f>
        <v>119.618734177215</v>
      </c>
      <c r="AF75" s="144" t="n">
        <f aca="false">IFERROR('Price History'!K3+(INDEX('Price History'!K:K,MATCH(9.99E+307,'Returns (Calc)'!$A:$A)+1)-'Price History'!K3)*(ROW()-3)/(MATCH(9.99E+307,'Returns (Calc)'!$A:$A)-3),"")</f>
        <v>94.356835443038</v>
      </c>
      <c r="AG75" s="144" t="n">
        <f aca="false">IFERROR('Price History'!L3+(INDEX('Price History'!L:L,MATCH(9.99E+307,'Returns (Calc)'!$A:$A)+1)-'Price History'!L3)*(ROW()-3)/(MATCH(9.99E+307,'Returns (Calc)'!$A:$A)-3),"")</f>
        <v>262.118101265823</v>
      </c>
      <c r="AH75" s="144" t="n">
        <f aca="false">IFERROR('Price History'!M3+(INDEX('Price History'!M:M,MATCH(9.99E+307,'Returns (Calc)'!$A:$A)+1)-'Price History'!M3)*(ROW()-3)/(MATCH(9.99E+307,'Returns (Calc)'!$A:$A)-3),"")</f>
        <v>135.611898734177</v>
      </c>
      <c r="AI75" s="144" t="n">
        <f aca="false">IFERROR('Price History'!N3+(INDEX('Price History'!N:N,MATCH(9.99E+307,'Returns (Calc)'!$A:$A)+1)-'Price History'!N3)*(ROW()-3)/(MATCH(9.99E+307,'Returns (Calc)'!$A:$A)-3),"")</f>
        <v>419.911139240506</v>
      </c>
      <c r="AJ75" s="144" t="n">
        <f aca="false">IFERROR('Price History'!O3+(INDEX('Price History'!O:O,MATCH(9.99E+307,'Returns (Calc)'!$A:$A)+1)-'Price History'!O3)*(ROW()-3)/(MATCH(9.99E+307,'Returns (Calc)'!$A:$A)-3),"")</f>
        <v>95.6887341772152</v>
      </c>
      <c r="AK75" s="144" t="n">
        <f aca="false">IFERROR('Price History'!Q3+(INDEX('Price History'!Q:Q,MATCH(9.99E+307,'Returns (Calc)'!$A:$A)+1)-'Price History'!Q3)*(ROW()-3)/(MATCH(9.99E+307,'Returns (Calc)'!$A:$A)-3),"")</f>
        <v>31.6344303797468</v>
      </c>
      <c r="AL75" s="144" t="n">
        <f aca="false">IFERROR('Price History'!R3+(INDEX('Price History'!R:R,MATCH(9.99E+307,'Returns (Calc)'!$A:$A)+1)-'Price History'!R3)*(ROW()-3)/(MATCH(9.99E+307,'Returns (Calc)'!$A:$A)-3),"")</f>
        <v>46.5832911392405</v>
      </c>
      <c r="AM75" s="144" t="n">
        <f aca="false">IFERROR('Price History'!S3+(INDEX('Price History'!S:S,MATCH(9.99E+307,'Returns (Calc)'!$A:$A)+1)-'Price History'!S3)*(ROW()-3)/(MATCH(9.99E+307,'Returns (Calc)'!$A:$A)-3),"")</f>
        <v>101.194556962025</v>
      </c>
      <c r="AN75" s="144" t="n">
        <f aca="false">IFERROR('Price History'!T3+(INDEX('Price History'!T:T,MATCH(9.99E+307,'Returns (Calc)'!$A:$A)+1)-'Price History'!T3)*(ROW()-3)/(MATCH(9.99E+307,'Returns (Calc)'!$A:$A)-3),"")</f>
        <v>37.3524050632911</v>
      </c>
      <c r="AO75" s="145" t="n">
        <f aca="false">IFERROR('Price History'!V3+(INDEX('Price History'!V:V,MATCH(9.99E+307,'Returns (Calc)'!$A:$A)+1)-'Price History'!V3)*(ROW()-3)/(MATCH(9.99E+307,'Returns (Calc)'!$A:$A)-3),"")</f>
        <v>292.605696202532</v>
      </c>
      <c r="AP75" s="143" t="n">
        <f aca="false">IFERROR(IF(OR(NOT(ISNUMBER('Price History'!W76)),NOT(ISNUMBER('Price History'!W75)),'Price History'!W75=0),"",'Price History'!W76/'Price History'!W75-1),"")</f>
        <v>-0.000315606753984454</v>
      </c>
      <c r="AQ75" s="143" t="str">
        <f aca="false">IFERROR(IF(OR(NOT(ISNUMBER('Price History'!X76)),NOT(ISNUMBER('Price History'!X75)),'Price History'!X75=0),"",'Price History'!X76/'Price History'!X75-1),"")</f>
        <v/>
      </c>
      <c r="AR75" s="143" t="n">
        <f aca="false">IFERROR(IF(OR(NOT(ISNUMBER('Price History'!Y76)),NOT(ISNUMBER('Price History'!Y75)),'Price History'!Y75=0),"",'Price History'!Y76/'Price History'!Y75-1),"")</f>
        <v>0.00234695873264212</v>
      </c>
      <c r="AS75" s="143" t="n">
        <f aca="false">IFERROR(IF(OR(NOT(ISNUMBER('Price History'!Z76)),NOT(ISNUMBER('Price History'!Z75)),'Price History'!Z75=0),"",'Price History'!Z76/'Price History'!Z75-1),"")</f>
        <v>0.00842126120770792</v>
      </c>
      <c r="AT75" s="143" t="n">
        <f aca="false">IFERROR(IF(OR(NOT(ISNUMBER('Price History'!AA76)),NOT(ISNUMBER('Price History'!AA75)),'Price History'!AA75=0),"",'Price History'!AA76/'Price History'!AA75-1),"")</f>
        <v>0.0379811629811628</v>
      </c>
    </row>
    <row r="76" customFormat="false" ht="15" hidden="false" customHeight="true" outlineLevel="0" collapsed="false">
      <c r="A76" s="141" t="n">
        <f aca="false">IF('Price History'!A77="","",'Price History'!A77)</f>
        <v>45702</v>
      </c>
      <c r="B76" s="142" t="n">
        <f aca="false">IFERROR(IF(OR(NOT(ISNUMBER('Price History'!B77)),NOT(ISNUMBER('Price History'!B76)),'Price History'!B76=0),"",'Price History'!B77/'Price History'!B76-1),"")</f>
        <v>0.0625533978340684</v>
      </c>
      <c r="C76" s="142" t="n">
        <f aca="false">IFERROR(IF(OR(NOT(ISNUMBER('Price History'!C77)),NOT(ISNUMBER('Price History'!C76)),'Price History'!C76=0),"",'Price History'!C77/'Price History'!C76-1),"")</f>
        <v>-0.0979150839875074</v>
      </c>
      <c r="D76" s="142" t="n">
        <f aca="false">IFERROR(IF(OR(NOT(ISNUMBER('Price History'!D77)),NOT(ISNUMBER('Price History'!D76)),'Price History'!D76=0),"",'Price History'!D77/'Price History'!D76-1),"")</f>
        <v>0.0349470984289837</v>
      </c>
      <c r="E76" s="142" t="n">
        <f aca="false">IFERROR(IF(OR(NOT(ISNUMBER('Price History'!E77)),NOT(ISNUMBER('Price History'!E76)),'Price History'!E76=0),"",'Price History'!E77/'Price History'!E76-1),"")</f>
        <v>0.0363669178360331</v>
      </c>
      <c r="F76" s="142" t="n">
        <f aca="false">IFERROR(IF(OR(NOT(ISNUMBER('Price History'!F77)),NOT(ISNUMBER('Price History'!F76)),'Price History'!F76=0),"",'Price History'!F77/'Price History'!F76-1),"")</f>
        <v>0.0714421252371917</v>
      </c>
      <c r="G76" s="142" t="n">
        <f aca="false">IFERROR(IF(OR(NOT(ISNUMBER('Price History'!G77)),NOT(ISNUMBER('Price History'!G76)),'Price History'!G76=0),"",'Price History'!G77/'Price History'!G76-1),"")</f>
        <v>0.00406173842404556</v>
      </c>
      <c r="H76" s="142" t="n">
        <f aca="false">IFERROR(IF(OR(NOT(ISNUMBER('Price History'!H77)),NOT(ISNUMBER('Price History'!H76)),'Price History'!H76=0),"",'Price History'!H77/'Price History'!H76-1),"")</f>
        <v>0.0781946710168571</v>
      </c>
      <c r="I76" s="142" t="n">
        <f aca="false">IFERROR(IF(OR(NOT(ISNUMBER('Price History'!I77)),NOT(ISNUMBER('Price History'!I76)),'Price History'!I76=0),"",'Price History'!I77/'Price History'!I76-1),"")</f>
        <v>0.0694208494208495</v>
      </c>
      <c r="J76" s="142" t="n">
        <f aca="false">IFERROR(IF(OR(NOT(ISNUMBER('Price History'!J77)),NOT(ISNUMBER('Price History'!J76)),'Price History'!J76=0),"",'Price History'!J77/'Price History'!J76-1),"")</f>
        <v>0.0298049132947977</v>
      </c>
      <c r="K76" s="142" t="n">
        <f aca="false">IFERROR(IF(OR(NOT(ISNUMBER('Price History'!K77)),NOT(ISNUMBER('Price History'!K76)),'Price History'!K76=0),"",'Price History'!K77/'Price History'!K76-1),"")</f>
        <v>0.0749661705006766</v>
      </c>
      <c r="L76" s="142" t="n">
        <f aca="false">IFERROR(IF(OR(NOT(ISNUMBER('Price History'!L77)),NOT(ISNUMBER('Price History'!L76)),'Price History'!L76=0),"",'Price History'!L77/'Price History'!L76-1),"")</f>
        <v>-0.0107537539025719</v>
      </c>
      <c r="M76" s="142" t="n">
        <f aca="false">IFERROR(IF(OR(NOT(ISNUMBER('Price History'!M77)),NOT(ISNUMBER('Price History'!M76)),'Price History'!M76=0),"",'Price History'!M77/'Price History'!M76-1),"")</f>
        <v>-0.109808454425363</v>
      </c>
      <c r="N76" s="142" t="n">
        <f aca="false">IFERROR(IF(OR(NOT(ISNUMBER('Price History'!N77)),NOT(ISNUMBER('Price History'!N76)),'Price History'!N76=0),"",'Price History'!N77/'Price History'!N76-1),"")</f>
        <v>-0.0219892610585528</v>
      </c>
      <c r="O76" s="142" t="n">
        <f aca="false">IFERROR(IF(OR(NOT(ISNUMBER('Price History'!O77)),NOT(ISNUMBER('Price History'!O76)),'Price History'!O76=0),"",'Price History'!O77/'Price History'!O76-1),"")</f>
        <v>0.00306391970417308</v>
      </c>
      <c r="P76" s="142" t="n">
        <f aca="false">IFERROR(IF(OR(NOT(ISNUMBER('Price History'!P77)),NOT(ISNUMBER('Price History'!P76)),'Price History'!P76=0),"",'Price History'!P77/'Price History'!P76-1),"")</f>
        <v>0.0119698771304002</v>
      </c>
      <c r="Q76" s="142" t="n">
        <f aca="false">IFERROR(IF(OR(NOT(ISNUMBER('Price History'!Q77)),NOT(ISNUMBER('Price History'!Q76)),'Price History'!Q76=0),"",'Price History'!Q77/'Price History'!Q76-1),"")</f>
        <v>0.0104703608247423</v>
      </c>
      <c r="R76" s="142" t="n">
        <f aca="false">IFERROR(IF(OR(NOT(ISNUMBER('Price History'!R77)),NOT(ISNUMBER('Price History'!R76)),'Price History'!R76=0),"",'Price History'!R77/'Price History'!R76-1),"")</f>
        <v>0.0192960135708229</v>
      </c>
      <c r="S76" s="142" t="n">
        <f aca="false">IFERROR(IF(OR(NOT(ISNUMBER('Price History'!S77)),NOT(ISNUMBER('Price History'!S76)),'Price History'!S76=0),"",'Price History'!S77/'Price History'!S76-1),"")</f>
        <v>0.0101371496720333</v>
      </c>
      <c r="T76" s="142" t="n">
        <f aca="false">IFERROR(IF(OR(NOT(ISNUMBER('Price History'!T77)),NOT(ISNUMBER('Price History'!T76)),'Price History'!T76=0),"",'Price History'!T77/'Price History'!T76-1),"")</f>
        <v>0.01161777519605</v>
      </c>
      <c r="U76" s="142" t="n">
        <f aca="false">IFERROR(IF(OR(NOT(ISNUMBER('Price History'!U77)),NOT(ISNUMBER('Price History'!U76)),'Price History'!U76=0),"",'Price History'!U77/'Price History'!U76-1),"")</f>
        <v>0.00850077279752703</v>
      </c>
      <c r="V76" s="143" t="n">
        <f aca="false">IFERROR(IF(OR(NOT(ISNUMBER('Price History'!V77)),NOT(ISNUMBER('Price History'!V76)),'Price History'!V76=0),"",'Price History'!V77/'Price History'!V76-1),"")</f>
        <v>0.0183697234352256</v>
      </c>
      <c r="W76" s="144" t="n">
        <f aca="false">IFERROR('Price History'!B3+(INDEX('Price History'!B:B,MATCH(9.99E+307,'Returns (Calc)'!$A:$A)+1)-'Price History'!B3)*(ROW()-3)/(MATCH(9.99E+307,'Returns (Calc)'!$A:$A)-3),"")</f>
        <v>394.348227848101</v>
      </c>
      <c r="X76" s="144" t="n">
        <f aca="false">IFERROR('Price History'!C3+(INDEX('Price History'!C:C,MATCH(9.99E+307,'Returns (Calc)'!$A:$A)+1)-'Price History'!C3)*(ROW()-3)/(MATCH(9.99E+307,'Returns (Calc)'!$A:$A)-3),"")</f>
        <v>120.644620253165</v>
      </c>
      <c r="Y76" s="144" t="n">
        <f aca="false">IFERROR('Price History'!D3+(INDEX('Price History'!D:D,MATCH(9.99E+307,'Returns (Calc)'!$A:$A)+1)-'Price History'!D3)*(ROW()-3)/(MATCH(9.99E+307,'Returns (Calc)'!$A:$A)-3),"")</f>
        <v>1175.85113924051</v>
      </c>
      <c r="Z76" s="144" t="n">
        <f aca="false">IFERROR('Price History'!E3+(INDEX('Price History'!E:E,MATCH(9.99E+307,'Returns (Calc)'!$A:$A)+1)-'Price History'!E3)*(ROW()-3)/(MATCH(9.99E+307,'Returns (Calc)'!$A:$A)-3),"")</f>
        <v>208.197594936709</v>
      </c>
      <c r="AA76" s="144" t="n">
        <f aca="false">IFERROR('Price History'!F3+(INDEX('Price History'!F:F,MATCH(9.99E+307,'Returns (Calc)'!$A:$A)+1)-'Price History'!F3)*(ROW()-3)/(MATCH(9.99E+307,'Returns (Calc)'!$A:$A)-3),"")</f>
        <v>147.015949367089</v>
      </c>
      <c r="AB76" s="144" t="n">
        <f aca="false">IFERROR('Price History'!G3+(INDEX('Price History'!G:G,MATCH(9.99E+307,'Returns (Calc)'!$A:$A)+1)-'Price History'!G3)*(ROW()-3)/(MATCH(9.99E+307,'Returns (Calc)'!$A:$A)-3),"")</f>
        <v>119.447594936709</v>
      </c>
      <c r="AC76" s="144" t="n">
        <f aca="false">IFERROR('Price History'!H3+(INDEX('Price History'!H:H,MATCH(9.99E+307,'Returns (Calc)'!$A:$A)+1)-'Price History'!H3)*(ROW()-3)/(MATCH(9.99E+307,'Returns (Calc)'!$A:$A)-3),"")</f>
        <v>533.80582278481</v>
      </c>
      <c r="AD76" s="144" t="n">
        <f aca="false">IFERROR('Price History'!I3+(INDEX('Price History'!I:I,MATCH(9.99E+307,'Returns (Calc)'!$A:$A)+1)-'Price History'!I3)*(ROW()-3)/(MATCH(9.99E+307,'Returns (Calc)'!$A:$A)-3),"")</f>
        <v>131.637974683544</v>
      </c>
      <c r="AE76" s="144" t="n">
        <f aca="false">IFERROR('Price History'!J3+(INDEX('Price History'!J:J,MATCH(9.99E+307,'Returns (Calc)'!$A:$A)+1)-'Price History'!J3)*(ROW()-3)/(MATCH(9.99E+307,'Returns (Calc)'!$A:$A)-3),"")</f>
        <v>119.726772151899</v>
      </c>
      <c r="AF76" s="144" t="n">
        <f aca="false">IFERROR('Price History'!K3+(INDEX('Price History'!K:K,MATCH(9.99E+307,'Returns (Calc)'!$A:$A)+1)-'Price History'!K3)*(ROW()-3)/(MATCH(9.99E+307,'Returns (Calc)'!$A:$A)-3),"")</f>
        <v>95.4544303797468</v>
      </c>
      <c r="AG76" s="144" t="n">
        <f aca="false">IFERROR('Price History'!L3+(INDEX('Price History'!L:L,MATCH(9.99E+307,'Returns (Calc)'!$A:$A)+1)-'Price History'!L3)*(ROW()-3)/(MATCH(9.99E+307,'Returns (Calc)'!$A:$A)-3),"")</f>
        <v>264.567658227848</v>
      </c>
      <c r="AH76" s="144" t="n">
        <f aca="false">IFERROR('Price History'!M3+(INDEX('Price History'!M:M,MATCH(9.99E+307,'Returns (Calc)'!$A:$A)+1)-'Price History'!M3)*(ROW()-3)/(MATCH(9.99E+307,'Returns (Calc)'!$A:$A)-3),"")</f>
        <v>136.967341772152</v>
      </c>
      <c r="AI76" s="144" t="n">
        <f aca="false">IFERROR('Price History'!N3+(INDEX('Price History'!N:N,MATCH(9.99E+307,'Returns (Calc)'!$A:$A)+1)-'Price History'!N3)*(ROW()-3)/(MATCH(9.99E+307,'Returns (Calc)'!$A:$A)-3),"")</f>
        <v>420.897405063291</v>
      </c>
      <c r="AJ76" s="144" t="n">
        <f aca="false">IFERROR('Price History'!O3+(INDEX('Price History'!O:O,MATCH(9.99E+307,'Returns (Calc)'!$A:$A)+1)-'Price History'!O3)*(ROW()-3)/(MATCH(9.99E+307,'Returns (Calc)'!$A:$A)-3),"")</f>
        <v>95.9717721518987</v>
      </c>
      <c r="AK76" s="144" t="n">
        <f aca="false">IFERROR('Price History'!Q3+(INDEX('Price History'!Q:Q,MATCH(9.99E+307,'Returns (Calc)'!$A:$A)+1)-'Price History'!Q3)*(ROW()-3)/(MATCH(9.99E+307,'Returns (Calc)'!$A:$A)-3),"")</f>
        <v>32.0737974683544</v>
      </c>
      <c r="AL76" s="144" t="n">
        <f aca="false">IFERROR('Price History'!R3+(INDEX('Price History'!R:R,MATCH(9.99E+307,'Returns (Calc)'!$A:$A)+1)-'Price History'!R3)*(ROW()-3)/(MATCH(9.99E+307,'Returns (Calc)'!$A:$A)-3),"")</f>
        <v>46.7513924050633</v>
      </c>
      <c r="AM76" s="144" t="n">
        <f aca="false">IFERROR('Price History'!S3+(INDEX('Price History'!S:S,MATCH(9.99E+307,'Returns (Calc)'!$A:$A)+1)-'Price History'!S3)*(ROW()-3)/(MATCH(9.99E+307,'Returns (Calc)'!$A:$A)-3),"")</f>
        <v>101.799620253165</v>
      </c>
      <c r="AN76" s="144" t="n">
        <f aca="false">IFERROR('Price History'!T3+(INDEX('Price History'!T:T,MATCH(9.99E+307,'Returns (Calc)'!$A:$A)+1)-'Price History'!T3)*(ROW()-3)/(MATCH(9.99E+307,'Returns (Calc)'!$A:$A)-3),"")</f>
        <v>37.5206329113924</v>
      </c>
      <c r="AO76" s="145" t="n">
        <f aca="false">IFERROR('Price History'!V3+(INDEX('Price History'!V:V,MATCH(9.99E+307,'Returns (Calc)'!$A:$A)+1)-'Price History'!V3)*(ROW()-3)/(MATCH(9.99E+307,'Returns (Calc)'!$A:$A)-3),"")</f>
        <v>293.397025316456</v>
      </c>
      <c r="AP76" s="143" t="n">
        <f aca="false">IFERROR(IF(OR(NOT(ISNUMBER('Price History'!W77)),NOT(ISNUMBER('Price History'!W76)),'Price History'!W76=0),"",'Price History'!W77/'Price History'!W76-1),"")</f>
        <v>0.0109707971586426</v>
      </c>
      <c r="AQ76" s="143" t="str">
        <f aca="false">IFERROR(IF(OR(NOT(ISNUMBER('Price History'!X77)),NOT(ISNUMBER('Price History'!X76)),'Price History'!X76=0),"",'Price History'!X77/'Price History'!X76-1),"")</f>
        <v/>
      </c>
      <c r="AR76" s="143" t="n">
        <f aca="false">IFERROR(IF(OR(NOT(ISNUMBER('Price History'!Y77)),NOT(ISNUMBER('Price History'!Y76)),'Price History'!Y76=0),"",'Price History'!Y77/'Price History'!Y76-1),"")</f>
        <v>0.00663414634146342</v>
      </c>
      <c r="AS76" s="143" t="n">
        <f aca="false">IFERROR(IF(OR(NOT(ISNUMBER('Price History'!Z77)),NOT(ISNUMBER('Price History'!Z76)),'Price History'!Z76=0),"",'Price History'!Z77/'Price History'!Z76-1),"")</f>
        <v>0.0145404529154591</v>
      </c>
      <c r="AT76" s="143" t="n">
        <f aca="false">IFERROR(IF(OR(NOT(ISNUMBER('Price History'!AA77)),NOT(ISNUMBER('Price History'!AA76)),'Price History'!AA76=0),"",'Price History'!AA77/'Price History'!AA76-1),"")</f>
        <v>0.04408718808561</v>
      </c>
    </row>
    <row r="77" customFormat="false" ht="15" hidden="false" customHeight="true" outlineLevel="0" collapsed="false">
      <c r="A77" s="141" t="n">
        <f aca="false">IF('Price History'!A78="","",'Price History'!A78)</f>
        <v>45709</v>
      </c>
      <c r="B77" s="142" t="n">
        <f aca="false">IFERROR(IF(OR(NOT(ISNUMBER('Price History'!B78)),NOT(ISNUMBER('Price History'!B77)),'Price History'!B77=0),"",'Price History'!B78/'Price History'!B77-1),"")</f>
        <v>-0.03442280945758</v>
      </c>
      <c r="C77" s="142" t="n">
        <f aca="false">IFERROR(IF(OR(NOT(ISNUMBER('Price History'!C78)),NOT(ISNUMBER('Price History'!C77)),'Price History'!C77=0),"",'Price History'!C78/'Price History'!C77-1),"")</f>
        <v>-0.0801908861233275</v>
      </c>
      <c r="D77" s="142" t="n">
        <f aca="false">IFERROR(IF(OR(NOT(ISNUMBER('Price History'!D78)),NOT(ISNUMBER('Price History'!D77)),'Price History'!D77=0),"",'Price History'!D78/'Price History'!D77-1),"")</f>
        <v>-0.019072248262486</v>
      </c>
      <c r="E77" s="142" t="n">
        <f aca="false">IFERROR(IF(OR(NOT(ISNUMBER('Price History'!E78)),NOT(ISNUMBER('Price History'!E77)),'Price History'!E77=0),"",'Price History'!E78/'Price History'!E77-1),"")</f>
        <v>-0.0617353824720276</v>
      </c>
      <c r="F77" s="142" t="n">
        <f aca="false">IFERROR(IF(OR(NOT(ISNUMBER('Price History'!F78)),NOT(ISNUMBER('Price History'!F77)),'Price History'!F77=0),"",'Price History'!F78/'Price History'!F77-1),"")</f>
        <v>-0.0997077835827505</v>
      </c>
      <c r="G77" s="142" t="n">
        <f aca="false">IFERROR(IF(OR(NOT(ISNUMBER('Price History'!G78)),NOT(ISNUMBER('Price History'!G77)),'Price History'!G77=0),"",'Price History'!G78/'Price History'!G77-1),"")</f>
        <v>0.00471952535059339</v>
      </c>
      <c r="H77" s="142" t="n">
        <f aca="false">IFERROR(IF(OR(NOT(ISNUMBER('Price History'!H78)),NOT(ISNUMBER('Price History'!H77)),'Price History'!H77=0),"",'Price History'!H78/'Price History'!H77-1),"")</f>
        <v>-0.00685898729070011</v>
      </c>
      <c r="I77" s="142" t="n">
        <f aca="false">IFERROR(IF(OR(NOT(ISNUMBER('Price History'!I78)),NOT(ISNUMBER('Price History'!I77)),'Price History'!I77=0),"",'Price History'!I78/'Price History'!I77-1),"")</f>
        <v>-0.0318434544010398</v>
      </c>
      <c r="J77" s="142" t="n">
        <f aca="false">IFERROR(IF(OR(NOT(ISNUMBER('Price History'!J78)),NOT(ISNUMBER('Price History'!J77)),'Price History'!J77=0),"",'Price History'!J78/'Price History'!J77-1),"")</f>
        <v>0.00105244693913353</v>
      </c>
      <c r="K77" s="142" t="n">
        <f aca="false">IFERROR(IF(OR(NOT(ISNUMBER('Price History'!K78)),NOT(ISNUMBER('Price History'!K77)),'Price History'!K77=0),"",'Price History'!K78/'Price History'!K77-1),"")</f>
        <v>-0.149462907015777</v>
      </c>
      <c r="L77" s="142" t="n">
        <f aca="false">IFERROR(IF(OR(NOT(ISNUMBER('Price History'!L78)),NOT(ISNUMBER('Price History'!L77)),'Price History'!L77=0),"",'Price History'!L78/'Price History'!L77-1),"")</f>
        <v>-0.0277527301873559</v>
      </c>
      <c r="M77" s="142" t="n">
        <f aca="false">IFERROR(IF(OR(NOT(ISNUMBER('Price History'!M78)),NOT(ISNUMBER('Price History'!M77)),'Price History'!M77=0),"",'Price History'!M78/'Price History'!M77-1),"")</f>
        <v>-0.111574846967167</v>
      </c>
      <c r="N77" s="142" t="n">
        <f aca="false">IFERROR(IF(OR(NOT(ISNUMBER('Price History'!N78)),NOT(ISNUMBER('Price History'!N77)),'Price History'!N77=0),"",'Price History'!N78/'Price History'!N77-1),"")</f>
        <v>0.0549891067538126</v>
      </c>
      <c r="O77" s="142" t="n">
        <f aca="false">IFERROR(IF(OR(NOT(ISNUMBER('Price History'!O78)),NOT(ISNUMBER('Price History'!O77)),'Price History'!O77=0),"",'Price History'!O78/'Price History'!O77-1),"")</f>
        <v>-0.0365493996208132</v>
      </c>
      <c r="P77" s="142" t="n">
        <f aca="false">IFERROR(IF(OR(NOT(ISNUMBER('Price History'!P78)),NOT(ISNUMBER('Price History'!P77)),'Price History'!P77=0),"",'Price History'!P78/'Price History'!P77-1),"")</f>
        <v>0.00728497571674769</v>
      </c>
      <c r="Q77" s="142" t="n">
        <f aca="false">IFERROR(IF(OR(NOT(ISNUMBER('Price History'!Q78)),NOT(ISNUMBER('Price History'!Q77)),'Price History'!Q77=0),"",'Price History'!Q78/'Price History'!Q77-1),"")</f>
        <v>-0.00892714809501027</v>
      </c>
      <c r="R77" s="142" t="n">
        <f aca="false">IFERROR(IF(OR(NOT(ISNUMBER('Price History'!R78)),NOT(ISNUMBER('Price History'!R77)),'Price History'!R77=0),"",'Price History'!R78/'Price History'!R77-1),"")</f>
        <v>-0.0120657374661951</v>
      </c>
      <c r="S77" s="142" t="n">
        <f aca="false">IFERROR(IF(OR(NOT(ISNUMBER('Price History'!S78)),NOT(ISNUMBER('Price History'!S77)),'Price History'!S77=0),"",'Price History'!S78/'Price History'!S77-1),"")</f>
        <v>-0.0305981896890988</v>
      </c>
      <c r="T77" s="142" t="n">
        <f aca="false">IFERROR(IF(OR(NOT(ISNUMBER('Price History'!T78)),NOT(ISNUMBER('Price History'!T77)),'Price History'!T77=0),"",'Price History'!T78/'Price History'!T77-1),"")</f>
        <v>-0.00344530577088709</v>
      </c>
      <c r="U77" s="142" t="n">
        <f aca="false">IFERROR(IF(OR(NOT(ISNUMBER('Price History'!U78)),NOT(ISNUMBER('Price History'!U77)),'Price History'!U77=0),"",'Price History'!U78/'Price History'!U77-1),"")</f>
        <v>0.0149425287356322</v>
      </c>
      <c r="V77" s="143" t="n">
        <f aca="false">IFERROR(IF(OR(NOT(ISNUMBER('Price History'!V78)),NOT(ISNUMBER('Price History'!V77)),'Price History'!V77=0),"",'Price History'!V78/'Price History'!V77-1),"")</f>
        <v>-0.0149223864383523</v>
      </c>
      <c r="W77" s="144" t="n">
        <f aca="false">IFERROR('Price History'!B3+(INDEX('Price History'!B:B,MATCH(9.99E+307,'Returns (Calc)'!$A:$A)+1)-'Price History'!B3)*(ROW()-3)/(MATCH(9.99E+307,'Returns (Calc)'!$A:$A)-3),"")</f>
        <v>392.505189873418</v>
      </c>
      <c r="X77" s="144" t="n">
        <f aca="false">IFERROR('Price History'!C3+(INDEX('Price History'!C:C,MATCH(9.99E+307,'Returns (Calc)'!$A:$A)+1)-'Price History'!C3)*(ROW()-3)/(MATCH(9.99E+307,'Returns (Calc)'!$A:$A)-3),"")</f>
        <v>121.664683544304</v>
      </c>
      <c r="Y77" s="144" t="n">
        <f aca="false">IFERROR('Price History'!D3+(INDEX('Price History'!D:D,MATCH(9.99E+307,'Returns (Calc)'!$A:$A)+1)-'Price History'!D3)*(ROW()-3)/(MATCH(9.99E+307,'Returns (Calc)'!$A:$A)-3),"")</f>
        <v>1183.98594936709</v>
      </c>
      <c r="Z77" s="144" t="n">
        <f aca="false">IFERROR('Price History'!E3+(INDEX('Price History'!E:E,MATCH(9.99E+307,'Returns (Calc)'!$A:$A)+1)-'Price History'!E3)*(ROW()-3)/(MATCH(9.99E+307,'Returns (Calc)'!$A:$A)-3),"")</f>
        <v>209.926329113924</v>
      </c>
      <c r="AA77" s="144" t="n">
        <f aca="false">IFERROR('Price History'!F3+(INDEX('Price History'!F:F,MATCH(9.99E+307,'Returns (Calc)'!$A:$A)+1)-'Price History'!F3)*(ROW()-3)/(MATCH(9.99E+307,'Returns (Calc)'!$A:$A)-3),"")</f>
        <v>148.463291139241</v>
      </c>
      <c r="AB77" s="144" t="n">
        <f aca="false">IFERROR('Price History'!G3+(INDEX('Price History'!G:G,MATCH(9.99E+307,'Returns (Calc)'!$A:$A)+1)-'Price History'!G3)*(ROW()-3)/(MATCH(9.99E+307,'Returns (Calc)'!$A:$A)-3),"")</f>
        <v>120.476329113924</v>
      </c>
      <c r="AC77" s="144" t="n">
        <f aca="false">IFERROR('Price History'!H3+(INDEX('Price History'!H:H,MATCH(9.99E+307,'Returns (Calc)'!$A:$A)+1)-'Price History'!H3)*(ROW()-3)/(MATCH(9.99E+307,'Returns (Calc)'!$A:$A)-3),"")</f>
        <v>540.171518987342</v>
      </c>
      <c r="AD77" s="144" t="n">
        <f aca="false">IFERROR('Price History'!I3+(INDEX('Price History'!I:I,MATCH(9.99E+307,'Returns (Calc)'!$A:$A)+1)-'Price History'!I3)*(ROW()-3)/(MATCH(9.99E+307,'Returns (Calc)'!$A:$A)-3),"")</f>
        <v>132.84164556962</v>
      </c>
      <c r="AE77" s="144" t="n">
        <f aca="false">IFERROR('Price History'!J3+(INDEX('Price History'!J:J,MATCH(9.99E+307,'Returns (Calc)'!$A:$A)+1)-'Price History'!J3)*(ROW()-3)/(MATCH(9.99E+307,'Returns (Calc)'!$A:$A)-3),"")</f>
        <v>119.834810126582</v>
      </c>
      <c r="AF77" s="144" t="n">
        <f aca="false">IFERROR('Price History'!K3+(INDEX('Price History'!K:K,MATCH(9.99E+307,'Returns (Calc)'!$A:$A)+1)-'Price History'!K3)*(ROW()-3)/(MATCH(9.99E+307,'Returns (Calc)'!$A:$A)-3),"")</f>
        <v>96.5520253164557</v>
      </c>
      <c r="AG77" s="144" t="n">
        <f aca="false">IFERROR('Price History'!L3+(INDEX('Price History'!L:L,MATCH(9.99E+307,'Returns (Calc)'!$A:$A)+1)-'Price History'!L3)*(ROW()-3)/(MATCH(9.99E+307,'Returns (Calc)'!$A:$A)-3),"")</f>
        <v>267.017215189873</v>
      </c>
      <c r="AH77" s="144" t="n">
        <f aca="false">IFERROR('Price History'!M3+(INDEX('Price History'!M:M,MATCH(9.99E+307,'Returns (Calc)'!$A:$A)+1)-'Price History'!M3)*(ROW()-3)/(MATCH(9.99E+307,'Returns (Calc)'!$A:$A)-3),"")</f>
        <v>138.322784810127</v>
      </c>
      <c r="AI77" s="144" t="n">
        <f aca="false">IFERROR('Price History'!N3+(INDEX('Price History'!N:N,MATCH(9.99E+307,'Returns (Calc)'!$A:$A)+1)-'Price History'!N3)*(ROW()-3)/(MATCH(9.99E+307,'Returns (Calc)'!$A:$A)-3),"")</f>
        <v>421.883670886076</v>
      </c>
      <c r="AJ77" s="144" t="n">
        <f aca="false">IFERROR('Price History'!O3+(INDEX('Price History'!O:O,MATCH(9.99E+307,'Returns (Calc)'!$A:$A)+1)-'Price History'!O3)*(ROW()-3)/(MATCH(9.99E+307,'Returns (Calc)'!$A:$A)-3),"")</f>
        <v>96.2548101265823</v>
      </c>
      <c r="AK77" s="144" t="n">
        <f aca="false">IFERROR('Price History'!Q3+(INDEX('Price History'!Q:Q,MATCH(9.99E+307,'Returns (Calc)'!$A:$A)+1)-'Price History'!Q3)*(ROW()-3)/(MATCH(9.99E+307,'Returns (Calc)'!$A:$A)-3),"")</f>
        <v>32.513164556962</v>
      </c>
      <c r="AL77" s="144" t="n">
        <f aca="false">IFERROR('Price History'!R3+(INDEX('Price History'!R:R,MATCH(9.99E+307,'Returns (Calc)'!$A:$A)+1)-'Price History'!R3)*(ROW()-3)/(MATCH(9.99E+307,'Returns (Calc)'!$A:$A)-3),"")</f>
        <v>46.9194936708861</v>
      </c>
      <c r="AM77" s="144" t="n">
        <f aca="false">IFERROR('Price History'!S3+(INDEX('Price History'!S:S,MATCH(9.99E+307,'Returns (Calc)'!$A:$A)+1)-'Price History'!S3)*(ROW()-3)/(MATCH(9.99E+307,'Returns (Calc)'!$A:$A)-3),"")</f>
        <v>102.404683544304</v>
      </c>
      <c r="AN77" s="144" t="n">
        <f aca="false">IFERROR('Price History'!T3+(INDEX('Price History'!T:T,MATCH(9.99E+307,'Returns (Calc)'!$A:$A)+1)-'Price History'!T3)*(ROW()-3)/(MATCH(9.99E+307,'Returns (Calc)'!$A:$A)-3),"")</f>
        <v>37.6888607594937</v>
      </c>
      <c r="AO77" s="145" t="n">
        <f aca="false">IFERROR('Price History'!V3+(INDEX('Price History'!V:V,MATCH(9.99E+307,'Returns (Calc)'!$A:$A)+1)-'Price History'!V3)*(ROW()-3)/(MATCH(9.99E+307,'Returns (Calc)'!$A:$A)-3),"")</f>
        <v>294.18835443038</v>
      </c>
      <c r="AP77" s="143" t="n">
        <f aca="false">IFERROR(IF(OR(NOT(ISNUMBER('Price History'!W78)),NOT(ISNUMBER('Price History'!W77)),'Price History'!W77=0),"",'Price History'!W78/'Price History'!W77-1),"")</f>
        <v>-0.00335701459911009</v>
      </c>
      <c r="AQ77" s="143" t="str">
        <f aca="false">IFERROR(IF(OR(NOT(ISNUMBER('Price History'!X78)),NOT(ISNUMBER('Price History'!X77)),'Price History'!X77=0),"",'Price History'!X78/'Price History'!X77-1),"")</f>
        <v/>
      </c>
      <c r="AR77" s="143" t="n">
        <f aca="false">IFERROR(IF(OR(NOT(ISNUMBER('Price History'!Y78)),NOT(ISNUMBER('Price History'!Y77)),'Price History'!Y77=0),"",'Price History'!Y78/'Price History'!Y77-1),"")</f>
        <v>-0.000775344058926319</v>
      </c>
      <c r="AS77" s="143" t="n">
        <f aca="false">IFERROR(IF(OR(NOT(ISNUMBER('Price History'!Z78)),NOT(ISNUMBER('Price History'!Z77)),'Price History'!Z77=0),"",'Price History'!Z78/'Price History'!Z77-1),"")</f>
        <v>-0.0405267999806324</v>
      </c>
      <c r="AT77" s="143" t="n">
        <f aca="false">IFERROR(IF(OR(NOT(ISNUMBER('Price History'!AA78)),NOT(ISNUMBER('Price History'!AA77)),'Price History'!AA77=0),"",'Price History'!AA78/'Price History'!AA77-1),"")</f>
        <v>-0.0523332703570755</v>
      </c>
    </row>
    <row r="78" customFormat="false" ht="15" hidden="false" customHeight="true" outlineLevel="0" collapsed="false">
      <c r="A78" s="141" t="n">
        <f aca="false">IF('Price History'!A79="","",'Price History'!A79)</f>
        <v>45716</v>
      </c>
      <c r="B78" s="142" t="n">
        <f aca="false">IFERROR(IF(OR(NOT(ISNUMBER('Price History'!B79)),NOT(ISNUMBER('Price History'!B78)),'Price History'!B78=0),"",'Price History'!B79/'Price History'!B78-1),"")</f>
        <v>-0.0129636298163486</v>
      </c>
      <c r="C78" s="142" t="n">
        <f aca="false">IFERROR(IF(OR(NOT(ISNUMBER('Price History'!C79)),NOT(ISNUMBER('Price History'!C78)),'Price History'!C78=0),"",'Price History'!C79/'Price History'!C78-1),"")</f>
        <v>-0.0534079348931842</v>
      </c>
      <c r="D78" s="142" t="n">
        <f aca="false">IFERROR(IF(OR(NOT(ISNUMBER('Price History'!D79)),NOT(ISNUMBER('Price History'!D78)),'Price History'!D78=0),"",'Price History'!D79/'Price History'!D78-1),"")</f>
        <v>-0.038158400615148</v>
      </c>
      <c r="E78" s="142" t="n">
        <f aca="false">IFERROR(IF(OR(NOT(ISNUMBER('Price History'!E79)),NOT(ISNUMBER('Price History'!E78)),'Price History'!E78=0),"",'Price History'!E79/'Price History'!E78-1),"")</f>
        <v>-0.0879309544800705</v>
      </c>
      <c r="F78" s="142" t="n">
        <f aca="false">IFERROR(IF(OR(NOT(ISNUMBER('Price History'!F79)),NOT(ISNUMBER('Price History'!F78)),'Price History'!F78=0),"",'Price History'!F79/'Price History'!F78-1),"")</f>
        <v>-0.0418019081341595</v>
      </c>
      <c r="G78" s="142" t="n">
        <f aca="false">IFERROR(IF(OR(NOT(ISNUMBER('Price History'!G79)),NOT(ISNUMBER('Price History'!G78)),'Price History'!G78=0),"",'Price History'!G79/'Price History'!G78-1),"")</f>
        <v>-0.0581130049657764</v>
      </c>
      <c r="H78" s="142" t="n">
        <f aca="false">IFERROR(IF(OR(NOT(ISNUMBER('Price History'!H79)),NOT(ISNUMBER('Price History'!H78)),'Price History'!H78=0),"",'Price History'!H79/'Price History'!H78-1),"")</f>
        <v>-0.0527117611212675</v>
      </c>
      <c r="I78" s="142" t="n">
        <f aca="false">IFERROR(IF(OR(NOT(ISNUMBER('Price History'!I79)),NOT(ISNUMBER('Price History'!I78)),'Price History'!I78=0),"",'Price History'!I79/'Price History'!I78-1),"")</f>
        <v>-0.0707786396181385</v>
      </c>
      <c r="J78" s="142" t="n">
        <f aca="false">IFERROR(IF(OR(NOT(ISNUMBER('Price History'!J79)),NOT(ISNUMBER('Price History'!J78)),'Price History'!J78=0),"",'Price History'!J79/'Price History'!J78-1),"")</f>
        <v>0.0243560539688104</v>
      </c>
      <c r="K78" s="142" t="n">
        <f aca="false">IFERROR(IF(OR(NOT(ISNUMBER('Price History'!K79)),NOT(ISNUMBER('Price History'!K78)),'Price History'!K78=0),"",'Price History'!K79/'Price History'!K78-1),"")</f>
        <v>-0.162111494819931</v>
      </c>
      <c r="L78" s="142" t="n">
        <f aca="false">IFERROR(IF(OR(NOT(ISNUMBER('Price History'!L79)),NOT(ISNUMBER('Price History'!L78)),'Price History'!L78=0),"",'Price History'!L79/'Price History'!L78-1),"")</f>
        <v>-0.0893446001648804</v>
      </c>
      <c r="M78" s="142" t="n">
        <f aca="false">IFERROR(IF(OR(NOT(ISNUMBER('Price History'!M79)),NOT(ISNUMBER('Price History'!M78)),'Price History'!M78=0),"",'Price History'!M79/'Price History'!M78-1),"")</f>
        <v>-0.00856039252531582</v>
      </c>
      <c r="N78" s="142" t="n">
        <f aca="false">IFERROR(IF(OR(NOT(ISNUMBER('Price History'!N79)),NOT(ISNUMBER('Price History'!N78)),'Price History'!N78=0),"",'Price History'!N79/'Price History'!N78-1),"")</f>
        <v>-0.00918965802081606</v>
      </c>
      <c r="O78" s="142" t="n">
        <f aca="false">IFERROR(IF(OR(NOT(ISNUMBER('Price History'!O79)),NOT(ISNUMBER('Price History'!O78)),'Price History'!O78=0),"",'Price History'!O79/'Price History'!O78-1),"")</f>
        <v>-0.0112605225757079</v>
      </c>
      <c r="P78" s="142" t="n">
        <f aca="false">IFERROR(IF(OR(NOT(ISNUMBER('Price History'!P79)),NOT(ISNUMBER('Price History'!P78)),'Price History'!P78=0),"",'Price History'!P79/'Price History'!P78-1),"")</f>
        <v>0.0102651839178785</v>
      </c>
      <c r="Q78" s="142" t="n">
        <f aca="false">IFERROR(IF(OR(NOT(ISNUMBER('Price History'!Q79)),NOT(ISNUMBER('Price History'!Q78)),'Price History'!Q78=0),"",'Price History'!Q79/'Price History'!Q78-1),"")</f>
        <v>-0.0064339713688274</v>
      </c>
      <c r="R78" s="142" t="n">
        <f aca="false">IFERROR(IF(OR(NOT(ISNUMBER('Price History'!R79)),NOT(ISNUMBER('Price History'!R78)),'Price History'!R78=0),"",'Price History'!R79/'Price History'!R78-1),"")</f>
        <v>-0.0275847546851969</v>
      </c>
      <c r="S78" s="142" t="n">
        <f aca="false">IFERROR(IF(OR(NOT(ISNUMBER('Price History'!S79)),NOT(ISNUMBER('Price History'!S78)),'Price History'!S78=0),"",'Price History'!S79/'Price History'!S78-1),"")</f>
        <v>-0.00111641124530604</v>
      </c>
      <c r="T78" s="142" t="n">
        <f aca="false">IFERROR(IF(OR(NOT(ISNUMBER('Price History'!T79)),NOT(ISNUMBER('Price History'!T78)),'Price History'!T78=0),"",'Price History'!T79/'Price History'!T78-1),"")</f>
        <v>-0.00460962258715081</v>
      </c>
      <c r="U78" s="142" t="n">
        <f aca="false">IFERROR(IF(OR(NOT(ISNUMBER('Price History'!U79)),NOT(ISNUMBER('Price History'!U78)),'Price History'!U78=0),"",'Price History'!U79/'Price History'!U78-1),"")</f>
        <v>0.0117025292563233</v>
      </c>
      <c r="V78" s="143" t="n">
        <f aca="false">IFERROR(IF(OR(NOT(ISNUMBER('Price History'!V79)),NOT(ISNUMBER('Price History'!V78)),'Price History'!V78=0),"",'Price History'!V79/'Price History'!V78-1),"")</f>
        <v>0.0406570126817378</v>
      </c>
      <c r="W78" s="144" t="n">
        <f aca="false">IFERROR('Price History'!B3+(INDEX('Price History'!B:B,MATCH(9.99E+307,'Returns (Calc)'!$A:$A)+1)-'Price History'!B3)*(ROW()-3)/(MATCH(9.99E+307,'Returns (Calc)'!$A:$A)-3),"")</f>
        <v>390.662151898734</v>
      </c>
      <c r="X78" s="144" t="n">
        <f aca="false">IFERROR('Price History'!C3+(INDEX('Price History'!C:C,MATCH(9.99E+307,'Returns (Calc)'!$A:$A)+1)-'Price History'!C3)*(ROW()-3)/(MATCH(9.99E+307,'Returns (Calc)'!$A:$A)-3),"")</f>
        <v>122.684746835443</v>
      </c>
      <c r="Y78" s="144" t="n">
        <f aca="false">IFERROR('Price History'!D3+(INDEX('Price History'!D:D,MATCH(9.99E+307,'Returns (Calc)'!$A:$A)+1)-'Price History'!D3)*(ROW()-3)/(MATCH(9.99E+307,'Returns (Calc)'!$A:$A)-3),"")</f>
        <v>1192.12075949367</v>
      </c>
      <c r="Z78" s="144" t="n">
        <f aca="false">IFERROR('Price History'!E3+(INDEX('Price History'!E:E,MATCH(9.99E+307,'Returns (Calc)'!$A:$A)+1)-'Price History'!E3)*(ROW()-3)/(MATCH(9.99E+307,'Returns (Calc)'!$A:$A)-3),"")</f>
        <v>211.655063291139</v>
      </c>
      <c r="AA78" s="144" t="n">
        <f aca="false">IFERROR('Price History'!F3+(INDEX('Price History'!F:F,MATCH(9.99E+307,'Returns (Calc)'!$A:$A)+1)-'Price History'!F3)*(ROW()-3)/(MATCH(9.99E+307,'Returns (Calc)'!$A:$A)-3),"")</f>
        <v>149.910632911392</v>
      </c>
      <c r="AB78" s="144" t="n">
        <f aca="false">IFERROR('Price History'!G3+(INDEX('Price History'!G:G,MATCH(9.99E+307,'Returns (Calc)'!$A:$A)+1)-'Price History'!G3)*(ROW()-3)/(MATCH(9.99E+307,'Returns (Calc)'!$A:$A)-3),"")</f>
        <v>121.505063291139</v>
      </c>
      <c r="AC78" s="144" t="n">
        <f aca="false">IFERROR('Price History'!H3+(INDEX('Price History'!H:H,MATCH(9.99E+307,'Returns (Calc)'!$A:$A)+1)-'Price History'!H3)*(ROW()-3)/(MATCH(9.99E+307,'Returns (Calc)'!$A:$A)-3),"")</f>
        <v>546.537215189874</v>
      </c>
      <c r="AD78" s="144" t="n">
        <f aca="false">IFERROR('Price History'!I3+(INDEX('Price History'!I:I,MATCH(9.99E+307,'Returns (Calc)'!$A:$A)+1)-'Price History'!I3)*(ROW()-3)/(MATCH(9.99E+307,'Returns (Calc)'!$A:$A)-3),"")</f>
        <v>134.045316455696</v>
      </c>
      <c r="AE78" s="144" t="n">
        <f aca="false">IFERROR('Price History'!J3+(INDEX('Price History'!J:J,MATCH(9.99E+307,'Returns (Calc)'!$A:$A)+1)-'Price History'!J3)*(ROW()-3)/(MATCH(9.99E+307,'Returns (Calc)'!$A:$A)-3),"")</f>
        <v>119.942848101266</v>
      </c>
      <c r="AF78" s="144" t="n">
        <f aca="false">IFERROR('Price History'!K3+(INDEX('Price History'!K:K,MATCH(9.99E+307,'Returns (Calc)'!$A:$A)+1)-'Price History'!K3)*(ROW()-3)/(MATCH(9.99E+307,'Returns (Calc)'!$A:$A)-3),"")</f>
        <v>97.6496202531645</v>
      </c>
      <c r="AG78" s="144" t="n">
        <f aca="false">IFERROR('Price History'!L3+(INDEX('Price History'!L:L,MATCH(9.99E+307,'Returns (Calc)'!$A:$A)+1)-'Price History'!L3)*(ROW()-3)/(MATCH(9.99E+307,'Returns (Calc)'!$A:$A)-3),"")</f>
        <v>269.466772151899</v>
      </c>
      <c r="AH78" s="144" t="n">
        <f aca="false">IFERROR('Price History'!M3+(INDEX('Price History'!M:M,MATCH(9.99E+307,'Returns (Calc)'!$A:$A)+1)-'Price History'!M3)*(ROW()-3)/(MATCH(9.99E+307,'Returns (Calc)'!$A:$A)-3),"")</f>
        <v>139.678227848101</v>
      </c>
      <c r="AI78" s="144" t="n">
        <f aca="false">IFERROR('Price History'!N3+(INDEX('Price History'!N:N,MATCH(9.99E+307,'Returns (Calc)'!$A:$A)+1)-'Price History'!N3)*(ROW()-3)/(MATCH(9.99E+307,'Returns (Calc)'!$A:$A)-3),"")</f>
        <v>422.869936708861</v>
      </c>
      <c r="AJ78" s="144" t="n">
        <f aca="false">IFERROR('Price History'!O3+(INDEX('Price History'!O:O,MATCH(9.99E+307,'Returns (Calc)'!$A:$A)+1)-'Price History'!O3)*(ROW()-3)/(MATCH(9.99E+307,'Returns (Calc)'!$A:$A)-3),"")</f>
        <v>96.5378481012658</v>
      </c>
      <c r="AK78" s="144" t="n">
        <f aca="false">IFERROR('Price History'!Q3+(INDEX('Price History'!Q:Q,MATCH(9.99E+307,'Returns (Calc)'!$A:$A)+1)-'Price History'!Q3)*(ROW()-3)/(MATCH(9.99E+307,'Returns (Calc)'!$A:$A)-3),"")</f>
        <v>32.9525316455696</v>
      </c>
      <c r="AL78" s="144" t="n">
        <f aca="false">IFERROR('Price History'!R3+(INDEX('Price History'!R:R,MATCH(9.99E+307,'Returns (Calc)'!$A:$A)+1)-'Price History'!R3)*(ROW()-3)/(MATCH(9.99E+307,'Returns (Calc)'!$A:$A)-3),"")</f>
        <v>47.0875949367089</v>
      </c>
      <c r="AM78" s="144" t="n">
        <f aca="false">IFERROR('Price History'!S3+(INDEX('Price History'!S:S,MATCH(9.99E+307,'Returns (Calc)'!$A:$A)+1)-'Price History'!S3)*(ROW()-3)/(MATCH(9.99E+307,'Returns (Calc)'!$A:$A)-3),"")</f>
        <v>103.009746835443</v>
      </c>
      <c r="AN78" s="144" t="n">
        <f aca="false">IFERROR('Price History'!T3+(INDEX('Price History'!T:T,MATCH(9.99E+307,'Returns (Calc)'!$A:$A)+1)-'Price History'!T3)*(ROW()-3)/(MATCH(9.99E+307,'Returns (Calc)'!$A:$A)-3),"")</f>
        <v>37.8570886075949</v>
      </c>
      <c r="AO78" s="145" t="n">
        <f aca="false">IFERROR('Price History'!V3+(INDEX('Price History'!V:V,MATCH(9.99E+307,'Returns (Calc)'!$A:$A)+1)-'Price History'!V3)*(ROW()-3)/(MATCH(9.99E+307,'Returns (Calc)'!$A:$A)-3),"")</f>
        <v>294.979683544304</v>
      </c>
      <c r="AP78" s="143" t="n">
        <f aca="false">IFERROR(IF(OR(NOT(ISNUMBER('Price History'!W79)),NOT(ISNUMBER('Price History'!W78)),'Price History'!W78=0),"",'Price History'!W79/'Price History'!W78-1),"")</f>
        <v>0.00548331505561661</v>
      </c>
      <c r="AQ78" s="143" t="str">
        <f aca="false">IFERROR(IF(OR(NOT(ISNUMBER('Price History'!X79)),NOT(ISNUMBER('Price History'!X78)),'Price History'!X78=0),"",'Price History'!X79/'Price History'!X78-1),"")</f>
        <v/>
      </c>
      <c r="AR78" s="143" t="n">
        <f aca="false">IFERROR(IF(OR(NOT(ISNUMBER('Price History'!Y79)),NOT(ISNUMBER('Price History'!Y78)),'Price History'!Y78=0),"",'Price History'!Y79/'Price History'!Y78-1),"")</f>
        <v>0.00465567410281276</v>
      </c>
      <c r="AS78" s="143" t="n">
        <f aca="false">IFERROR(IF(OR(NOT(ISNUMBER('Price History'!Z79)),NOT(ISNUMBER('Price History'!Z78)),'Price History'!Z78=0),"",'Price History'!Z79/'Price History'!Z78-1),"")</f>
        <v>0.0357791683488091</v>
      </c>
      <c r="AT78" s="143" t="n">
        <f aca="false">IFERROR(IF(OR(NOT(ISNUMBER('Price History'!AA79)),NOT(ISNUMBER('Price History'!AA78)),'Price History'!AA78=0),"",'Price History'!AA79/'Price History'!AA78-1),"")</f>
        <v>-0.0225279106858053</v>
      </c>
    </row>
    <row r="79" customFormat="false" ht="15" hidden="false" customHeight="true" outlineLevel="0" collapsed="false">
      <c r="A79" s="141" t="n">
        <f aca="false">IF('Price History'!A80="","",'Price History'!A80)</f>
        <v>45723</v>
      </c>
      <c r="B79" s="142" t="n">
        <f aca="false">IFERROR(IF(OR(NOT(ISNUMBER('Price History'!B80)),NOT(ISNUMBER('Price History'!B79)),'Price History'!B79=0),"",'Price History'!B80/'Price History'!B79-1),"")</f>
        <v>0.0247172564757387</v>
      </c>
      <c r="C79" s="142" t="n">
        <f aca="false">IFERROR(IF(OR(NOT(ISNUMBER('Price History'!C80)),NOT(ISNUMBER('Price History'!C79)),'Price History'!C79=0),"",'Price History'!C80/'Price History'!C79-1),"")</f>
        <v>-0.10413756045137</v>
      </c>
      <c r="D79" s="142" t="n">
        <f aca="false">IFERROR(IF(OR(NOT(ISNUMBER('Price History'!D80)),NOT(ISNUMBER('Price History'!D79)),'Price History'!D79=0),"",'Price History'!D80/'Price History'!D79-1),"")</f>
        <v>0.0326342988479493</v>
      </c>
      <c r="E79" s="142" t="n">
        <f aca="false">IFERROR(IF(OR(NOT(ISNUMBER('Price History'!E80)),NOT(ISNUMBER('Price History'!E79)),'Price History'!E79=0),"",'Price History'!E80/'Price History'!E79-1),"")</f>
        <v>-0.0223850223850224</v>
      </c>
      <c r="F79" s="142" t="n">
        <f aca="false">IFERROR(IF(OR(NOT(ISNUMBER('Price History'!F80)),NOT(ISNUMBER('Price History'!F79)),'Price History'!F79=0),"",'Price History'!F80/'Price History'!F79-1),"")</f>
        <v>-0.144118250872511</v>
      </c>
      <c r="G79" s="142" t="n">
        <f aca="false">IFERROR(IF(OR(NOT(ISNUMBER('Price History'!G80)),NOT(ISNUMBER('Price History'!G79)),'Price History'!G79=0),"",'Price History'!G80/'Price History'!G79-1),"")</f>
        <v>0.00341977771444846</v>
      </c>
      <c r="H79" s="142" t="n">
        <f aca="false">IFERROR(IF(OR(NOT(ISNUMBER('Price History'!H80)),NOT(ISNUMBER('Price History'!H79)),'Price History'!H79=0),"",'Price History'!H80/'Price History'!H79-1),"")</f>
        <v>-0.00718344590972453</v>
      </c>
      <c r="I79" s="142" t="n">
        <f aca="false">IFERROR(IF(OR(NOT(ISNUMBER('Price History'!I80)),NOT(ISNUMBER('Price History'!I79)),'Price History'!I79=0),"",'Price History'!I80/'Price History'!I79-1),"")</f>
        <v>-0.0978409182117345</v>
      </c>
      <c r="J79" s="142" t="n">
        <f aca="false">IFERROR(IF(OR(NOT(ISNUMBER('Price History'!J80)),NOT(ISNUMBER('Price History'!J79)),'Price History'!J79=0),"",'Price History'!J80/'Price History'!J79-1),"")</f>
        <v>-0.032329798152583</v>
      </c>
      <c r="K79" s="142" t="n">
        <f aca="false">IFERROR(IF(OR(NOT(ISNUMBER('Price History'!K80)),NOT(ISNUMBER('Price History'!K79)),'Price History'!K79=0),"",'Price History'!K80/'Price History'!K79-1),"")</f>
        <v>-0.000117757889778636</v>
      </c>
      <c r="L79" s="142" t="n">
        <f aca="false">IFERROR(IF(OR(NOT(ISNUMBER('Price History'!L80)),NOT(ISNUMBER('Price History'!L79)),'Price History'!L79=0),"",'Price History'!L80/'Price History'!L79-1),"")</f>
        <v>-0.0190109765757611</v>
      </c>
      <c r="M79" s="142" t="n">
        <f aca="false">IFERROR(IF(OR(NOT(ISNUMBER('Price History'!M80)),NOT(ISNUMBER('Price History'!M79)),'Price History'!M79=0),"",'Price History'!M80/'Price History'!M79-1),"")</f>
        <v>-0.106454669895757</v>
      </c>
      <c r="N79" s="142" t="n">
        <f aca="false">IFERROR(IF(OR(NOT(ISNUMBER('Price History'!N80)),NOT(ISNUMBER('Price History'!N79)),'Price History'!N79=0),"",'Price History'!N80/'Price History'!N79-1),"")</f>
        <v>0.0177160841201358</v>
      </c>
      <c r="O79" s="142" t="n">
        <f aca="false">IFERROR(IF(OR(NOT(ISNUMBER('Price History'!O80)),NOT(ISNUMBER('Price History'!O79)),'Price History'!O79=0),"",'Price History'!O80/'Price History'!O79-1),"")</f>
        <v>-0.0448916408668731</v>
      </c>
      <c r="P79" s="142" t="n">
        <f aca="false">IFERROR(IF(OR(NOT(ISNUMBER('Price History'!P80)),NOT(ISNUMBER('Price History'!P79)),'Price History'!P79=0),"",'Price History'!P80/'Price History'!P79-1),"")</f>
        <v>-0.0274805634670156</v>
      </c>
      <c r="Q79" s="142" t="n">
        <f aca="false">IFERROR(IF(OR(NOT(ISNUMBER('Price History'!Q80)),NOT(ISNUMBER('Price History'!Q79)),'Price History'!Q79=0),"",'Price History'!Q80/'Price History'!Q79-1),"")</f>
        <v>-0.0174842156386597</v>
      </c>
      <c r="R79" s="142" t="n">
        <f aca="false">IFERROR(IF(OR(NOT(ISNUMBER('Price History'!R80)),NOT(ISNUMBER('Price History'!R79)),'Price History'!R79=0),"",'Price History'!R80/'Price History'!R79-1),"")</f>
        <v>-0.0313988739714163</v>
      </c>
      <c r="S79" s="142" t="n">
        <f aca="false">IFERROR(IF(OR(NOT(ISNUMBER('Price History'!S80)),NOT(ISNUMBER('Price History'!S79)),'Price History'!S79=0),"",'Price History'!S80/'Price History'!S79-1),"")</f>
        <v>-0.0526315789473685</v>
      </c>
      <c r="T79" s="142" t="n">
        <f aca="false">IFERROR(IF(OR(NOT(ISNUMBER('Price History'!T80)),NOT(ISNUMBER('Price History'!T79)),'Price History'!T79=0),"",'Price History'!T80/'Price History'!T79-1),"")</f>
        <v>-0.0144717800289436</v>
      </c>
      <c r="U79" s="142" t="n">
        <f aca="false">IFERROR(IF(OR(NOT(ISNUMBER('Price History'!U80)),NOT(ISNUMBER('Price History'!U79)),'Price History'!U79=0),"",'Price History'!U80/'Price History'!U79-1),"")</f>
        <v>-0.00261194029850742</v>
      </c>
      <c r="V79" s="143" t="n">
        <f aca="false">IFERROR(IF(OR(NOT(ISNUMBER('Price History'!V80)),NOT(ISNUMBER('Price History'!V79)),'Price History'!V79=0),"",'Price History'!V80/'Price History'!V79-1),"")</f>
        <v>-0.047936419408812</v>
      </c>
      <c r="W79" s="144" t="n">
        <f aca="false">IFERROR('Price History'!B3+(INDEX('Price History'!B:B,MATCH(9.99E+307,'Returns (Calc)'!$A:$A)+1)-'Price History'!B3)*(ROW()-3)/(MATCH(9.99E+307,'Returns (Calc)'!$A:$A)-3),"")</f>
        <v>388.819113924051</v>
      </c>
      <c r="X79" s="144" t="n">
        <f aca="false">IFERROR('Price History'!C3+(INDEX('Price History'!C:C,MATCH(9.99E+307,'Returns (Calc)'!$A:$A)+1)-'Price History'!C3)*(ROW()-3)/(MATCH(9.99E+307,'Returns (Calc)'!$A:$A)-3),"")</f>
        <v>123.704810126582</v>
      </c>
      <c r="Y79" s="144" t="n">
        <f aca="false">IFERROR('Price History'!D3+(INDEX('Price History'!D:D,MATCH(9.99E+307,'Returns (Calc)'!$A:$A)+1)-'Price History'!D3)*(ROW()-3)/(MATCH(9.99E+307,'Returns (Calc)'!$A:$A)-3),"")</f>
        <v>1200.25556962025</v>
      </c>
      <c r="Z79" s="144" t="n">
        <f aca="false">IFERROR('Price History'!E3+(INDEX('Price History'!E:E,MATCH(9.99E+307,'Returns (Calc)'!$A:$A)+1)-'Price History'!E3)*(ROW()-3)/(MATCH(9.99E+307,'Returns (Calc)'!$A:$A)-3),"")</f>
        <v>213.383797468354</v>
      </c>
      <c r="AA79" s="144" t="n">
        <f aca="false">IFERROR('Price History'!F3+(INDEX('Price History'!F:F,MATCH(9.99E+307,'Returns (Calc)'!$A:$A)+1)-'Price History'!F3)*(ROW()-3)/(MATCH(9.99E+307,'Returns (Calc)'!$A:$A)-3),"")</f>
        <v>151.357974683544</v>
      </c>
      <c r="AB79" s="144" t="n">
        <f aca="false">IFERROR('Price History'!G3+(INDEX('Price History'!G:G,MATCH(9.99E+307,'Returns (Calc)'!$A:$A)+1)-'Price History'!G3)*(ROW()-3)/(MATCH(9.99E+307,'Returns (Calc)'!$A:$A)-3),"")</f>
        <v>122.533797468354</v>
      </c>
      <c r="AC79" s="144" t="n">
        <f aca="false">IFERROR('Price History'!H3+(INDEX('Price History'!H:H,MATCH(9.99E+307,'Returns (Calc)'!$A:$A)+1)-'Price History'!H3)*(ROW()-3)/(MATCH(9.99E+307,'Returns (Calc)'!$A:$A)-3),"")</f>
        <v>552.902911392405</v>
      </c>
      <c r="AD79" s="144" t="n">
        <f aca="false">IFERROR('Price History'!I3+(INDEX('Price History'!I:I,MATCH(9.99E+307,'Returns (Calc)'!$A:$A)+1)-'Price History'!I3)*(ROW()-3)/(MATCH(9.99E+307,'Returns (Calc)'!$A:$A)-3),"")</f>
        <v>135.248987341772</v>
      </c>
      <c r="AE79" s="144" t="n">
        <f aca="false">IFERROR('Price History'!J3+(INDEX('Price History'!J:J,MATCH(9.99E+307,'Returns (Calc)'!$A:$A)+1)-'Price History'!J3)*(ROW()-3)/(MATCH(9.99E+307,'Returns (Calc)'!$A:$A)-3),"")</f>
        <v>120.050886075949</v>
      </c>
      <c r="AF79" s="144" t="n">
        <f aca="false">IFERROR('Price History'!K3+(INDEX('Price History'!K:K,MATCH(9.99E+307,'Returns (Calc)'!$A:$A)+1)-'Price History'!K3)*(ROW()-3)/(MATCH(9.99E+307,'Returns (Calc)'!$A:$A)-3),"")</f>
        <v>98.7472151898734</v>
      </c>
      <c r="AG79" s="144" t="n">
        <f aca="false">IFERROR('Price History'!L3+(INDEX('Price History'!L:L,MATCH(9.99E+307,'Returns (Calc)'!$A:$A)+1)-'Price History'!L3)*(ROW()-3)/(MATCH(9.99E+307,'Returns (Calc)'!$A:$A)-3),"")</f>
        <v>271.916329113924</v>
      </c>
      <c r="AH79" s="144" t="n">
        <f aca="false">IFERROR('Price History'!M3+(INDEX('Price History'!M:M,MATCH(9.99E+307,'Returns (Calc)'!$A:$A)+1)-'Price History'!M3)*(ROW()-3)/(MATCH(9.99E+307,'Returns (Calc)'!$A:$A)-3),"")</f>
        <v>141.033670886076</v>
      </c>
      <c r="AI79" s="144" t="n">
        <f aca="false">IFERROR('Price History'!N3+(INDEX('Price History'!N:N,MATCH(9.99E+307,'Returns (Calc)'!$A:$A)+1)-'Price History'!N3)*(ROW()-3)/(MATCH(9.99E+307,'Returns (Calc)'!$A:$A)-3),"")</f>
        <v>423.856202531646</v>
      </c>
      <c r="AJ79" s="144" t="n">
        <f aca="false">IFERROR('Price History'!O3+(INDEX('Price History'!O:O,MATCH(9.99E+307,'Returns (Calc)'!$A:$A)+1)-'Price History'!O3)*(ROW()-3)/(MATCH(9.99E+307,'Returns (Calc)'!$A:$A)-3),"")</f>
        <v>96.8208860759494</v>
      </c>
      <c r="AK79" s="144" t="n">
        <f aca="false">IFERROR('Price History'!Q3+(INDEX('Price History'!Q:Q,MATCH(9.99E+307,'Returns (Calc)'!$A:$A)+1)-'Price History'!Q3)*(ROW()-3)/(MATCH(9.99E+307,'Returns (Calc)'!$A:$A)-3),"")</f>
        <v>33.3918987341772</v>
      </c>
      <c r="AL79" s="144" t="n">
        <f aca="false">IFERROR('Price History'!R3+(INDEX('Price History'!R:R,MATCH(9.99E+307,'Returns (Calc)'!$A:$A)+1)-'Price History'!R3)*(ROW()-3)/(MATCH(9.99E+307,'Returns (Calc)'!$A:$A)-3),"")</f>
        <v>47.2556962025316</v>
      </c>
      <c r="AM79" s="144" t="n">
        <f aca="false">IFERROR('Price History'!S3+(INDEX('Price History'!S:S,MATCH(9.99E+307,'Returns (Calc)'!$A:$A)+1)-'Price History'!S3)*(ROW()-3)/(MATCH(9.99E+307,'Returns (Calc)'!$A:$A)-3),"")</f>
        <v>103.614810126582</v>
      </c>
      <c r="AN79" s="144" t="n">
        <f aca="false">IFERROR('Price History'!T3+(INDEX('Price History'!T:T,MATCH(9.99E+307,'Returns (Calc)'!$A:$A)+1)-'Price History'!T3)*(ROW()-3)/(MATCH(9.99E+307,'Returns (Calc)'!$A:$A)-3),"")</f>
        <v>38.0253164556962</v>
      </c>
      <c r="AO79" s="145" t="n">
        <f aca="false">IFERROR('Price History'!V3+(INDEX('Price History'!V:V,MATCH(9.99E+307,'Returns (Calc)'!$A:$A)+1)-'Price History'!V3)*(ROW()-3)/(MATCH(9.99E+307,'Returns (Calc)'!$A:$A)-3),"")</f>
        <v>295.771012658228</v>
      </c>
      <c r="AP79" s="143" t="n">
        <f aca="false">IFERROR(IF(OR(NOT(ISNUMBER('Price History'!W80)),NOT(ISNUMBER('Price History'!W79)),'Price History'!W79=0),"",'Price History'!W80/'Price History'!W79-1),"")</f>
        <v>-0.0210345902150204</v>
      </c>
      <c r="AQ79" s="143" t="str">
        <f aca="false">IFERROR(IF(OR(NOT(ISNUMBER('Price History'!X80)),NOT(ISNUMBER('Price History'!X79)),'Price History'!X79=0),"",'Price History'!X80/'Price History'!X79-1),"")</f>
        <v/>
      </c>
      <c r="AR79" s="143" t="n">
        <f aca="false">IFERROR(IF(OR(NOT(ISNUMBER('Price History'!Y80)),NOT(ISNUMBER('Price History'!Y79)),'Price History'!Y79=0),"",'Price History'!Y80/'Price History'!Y79-1),"")</f>
        <v>-0.014867735083993</v>
      </c>
      <c r="AS79" s="143" t="n">
        <f aca="false">IFERROR(IF(OR(NOT(ISNUMBER('Price History'!Z80)),NOT(ISNUMBER('Price History'!Z79)),'Price History'!Z79=0),"",'Price History'!Z80/'Price History'!Z79-1),"")</f>
        <v>-0.0634348355663825</v>
      </c>
      <c r="AT79" s="143" t="n">
        <f aca="false">IFERROR(IF(OR(NOT(ISNUMBER('Price History'!AA80)),NOT(ISNUMBER('Price History'!AA79)),'Price History'!AA79=0),"",'Price History'!AA80/'Price History'!AA79-1),"")</f>
        <v>-0.0912706506220682</v>
      </c>
    </row>
    <row r="80" customFormat="false" ht="15" hidden="false" customHeight="true" outlineLevel="0" collapsed="false">
      <c r="A80" s="141" t="n">
        <f aca="false">IF('Price History'!A81="","",'Price History'!A81)</f>
        <v>45730</v>
      </c>
      <c r="B80" s="142" t="n">
        <f aca="false">IFERROR(IF(OR(NOT(ISNUMBER('Price History'!B81)),NOT(ISNUMBER('Price History'!B80)),'Price History'!B80=0),"",'Price History'!B81/'Price History'!B80-1),"")</f>
        <v>-0.121628838451268</v>
      </c>
      <c r="C80" s="142" t="n">
        <f aca="false">IFERROR(IF(OR(NOT(ISNUMBER('Price History'!C81)),NOT(ISNUMBER('Price History'!C80)),'Price History'!C80=0),"",'Price History'!C81/'Price History'!C80-1),"")</f>
        <v>0.00179942418426116</v>
      </c>
      <c r="D80" s="142" t="n">
        <f aca="false">IFERROR(IF(OR(NOT(ISNUMBER('Price History'!D81)),NOT(ISNUMBER('Price History'!D80)),'Price History'!D80=0),"",'Price History'!D81/'Price History'!D80-1),"")</f>
        <v>-0.0248842192576207</v>
      </c>
      <c r="E80" s="142" t="n">
        <f aca="false">IFERROR(IF(OR(NOT(ISNUMBER('Price History'!E81)),NOT(ISNUMBER('Price History'!E80)),'Price History'!E80=0),"",'Price History'!E81/'Price History'!E80-1),"")</f>
        <v>0.00296627810158201</v>
      </c>
      <c r="F80" s="142" t="n">
        <f aca="false">IFERROR(IF(OR(NOT(ISNUMBER('Price History'!F81)),NOT(ISNUMBER('Price History'!F80)),'Price History'!F80=0),"",'Price History'!F81/'Price History'!F80-1),"")</f>
        <v>0.0605660829935237</v>
      </c>
      <c r="G80" s="142" t="n">
        <f aca="false">IFERROR(IF(OR(NOT(ISNUMBER('Price History'!G81)),NOT(ISNUMBER('Price History'!G80)),'Price History'!G80=0),"",'Price History'!G81/'Price History'!G80-1),"")</f>
        <v>0.00241408690712874</v>
      </c>
      <c r="H80" s="142" t="n">
        <f aca="false">IFERROR(IF(OR(NOT(ISNUMBER('Price History'!H81)),NOT(ISNUMBER('Price History'!H80)),'Price History'!H80=0),"",'Price History'!H81/'Price History'!H80-1),"")</f>
        <v>0.084233261339093</v>
      </c>
      <c r="I80" s="142" t="n">
        <f aca="false">IFERROR(IF(OR(NOT(ISNUMBER('Price History'!I81)),NOT(ISNUMBER('Price History'!I80)),'Price History'!I80=0),"",'Price History'!I81/'Price History'!I80-1),"")</f>
        <v>0.079715302491103</v>
      </c>
      <c r="J80" s="142" t="n">
        <f aca="false">IFERROR(IF(OR(NOT(ISNUMBER('Price History'!J81)),NOT(ISNUMBER('Price History'!J80)),'Price History'!J80=0),"",'Price History'!J81/'Price History'!J80-1),"")</f>
        <v>-0.0669082552589713</v>
      </c>
      <c r="K80" s="142" t="n">
        <f aca="false">IFERROR(IF(OR(NOT(ISNUMBER('Price History'!K81)),NOT(ISNUMBER('Price History'!K80)),'Price History'!K80=0),"",'Price History'!K81/'Price History'!K80-1),"")</f>
        <v>0.0156636438582027</v>
      </c>
      <c r="L80" s="142" t="n">
        <f aca="false">IFERROR(IF(OR(NOT(ISNUMBER('Price History'!L81)),NOT(ISNUMBER('Price History'!L80)),'Price History'!L80=0),"",'Price History'!L81/'Price History'!L80-1),"")</f>
        <v>-0.0169569731226208</v>
      </c>
      <c r="M80" s="142" t="n">
        <f aca="false">IFERROR(IF(OR(NOT(ISNUMBER('Price History'!M81)),NOT(ISNUMBER('Price History'!M80)),'Price History'!M80=0),"",'Price History'!M81/'Price History'!M80-1),"")</f>
        <v>0.0283997171812396</v>
      </c>
      <c r="N80" s="142" t="n">
        <f aca="false">IFERROR(IF(OR(NOT(ISNUMBER('Price History'!N81)),NOT(ISNUMBER('Price History'!N80)),'Price History'!N80=0),"",'Price History'!N81/'Price History'!N80-1),"")</f>
        <v>0.0337504351922013</v>
      </c>
      <c r="O80" s="142" t="n">
        <f aca="false">IFERROR(IF(OR(NOT(ISNUMBER('Price History'!O81)),NOT(ISNUMBER('Price History'!O80)),'Price History'!O80=0),"",'Price History'!O81/'Price History'!O80-1),"")</f>
        <v>-0.0187543412827043</v>
      </c>
      <c r="P80" s="142" t="n">
        <f aca="false">IFERROR(IF(OR(NOT(ISNUMBER('Price History'!P81)),NOT(ISNUMBER('Price History'!P80)),'Price History'!P80=0),"",'Price History'!P81/'Price History'!P80-1),"")</f>
        <v>-0.00839005857210706</v>
      </c>
      <c r="Q80" s="142" t="n">
        <f aca="false">IFERROR(IF(OR(NOT(ISNUMBER('Price History'!Q81)),NOT(ISNUMBER('Price History'!Q80)),'Price History'!Q80=0),"",'Price History'!Q81/'Price History'!Q80-1),"")</f>
        <v>-0.0141703740319657</v>
      </c>
      <c r="R80" s="142" t="n">
        <f aca="false">IFERROR(IF(OR(NOT(ISNUMBER('Price History'!R81)),NOT(ISNUMBER('Price History'!R80)),'Price History'!R80=0),"",'Price History'!R81/'Price History'!R80-1),"")</f>
        <v>-0.0212385423653029</v>
      </c>
      <c r="S80" s="142" t="n">
        <f aca="false">IFERROR(IF(OR(NOT(ISNUMBER('Price History'!S81)),NOT(ISNUMBER('Price History'!S80)),'Price History'!S80=0),"",'Price History'!S81/'Price History'!S80-1),"")</f>
        <v>-0.0071857571857572</v>
      </c>
      <c r="T80" s="142" t="n">
        <f aca="false">IFERROR(IF(OR(NOT(ISNUMBER('Price History'!T81)),NOT(ISNUMBER('Price History'!T80)),'Price History'!T80=0),"",'Price History'!T81/'Price History'!T80-1),"")</f>
        <v>-0.0187958883994126</v>
      </c>
      <c r="U80" s="142" t="n">
        <f aca="false">IFERROR(IF(OR(NOT(ISNUMBER('Price History'!U81)),NOT(ISNUMBER('Price History'!U80)),'Price History'!U80=0),"",'Price History'!U81/'Price History'!U80-1),"")</f>
        <v>-0.0288065843621399</v>
      </c>
      <c r="V80" s="143" t="n">
        <f aca="false">IFERROR(IF(OR(NOT(ISNUMBER('Price History'!V81)),NOT(ISNUMBER('Price History'!V80)),'Price History'!V80=0),"",'Price History'!V81/'Price History'!V80-1),"")</f>
        <v>-0.039161125918983</v>
      </c>
      <c r="W80" s="144" t="n">
        <f aca="false">IFERROR('Price History'!B3+(INDEX('Price History'!B:B,MATCH(9.99E+307,'Returns (Calc)'!$A:$A)+1)-'Price History'!B3)*(ROW()-3)/(MATCH(9.99E+307,'Returns (Calc)'!$A:$A)-3),"")</f>
        <v>386.976075949367</v>
      </c>
      <c r="X80" s="144" t="n">
        <f aca="false">IFERROR('Price History'!C3+(INDEX('Price History'!C:C,MATCH(9.99E+307,'Returns (Calc)'!$A:$A)+1)-'Price History'!C3)*(ROW()-3)/(MATCH(9.99E+307,'Returns (Calc)'!$A:$A)-3),"")</f>
        <v>124.724873417722</v>
      </c>
      <c r="Y80" s="144" t="n">
        <f aca="false">IFERROR('Price History'!D3+(INDEX('Price History'!D:D,MATCH(9.99E+307,'Returns (Calc)'!$A:$A)+1)-'Price History'!D3)*(ROW()-3)/(MATCH(9.99E+307,'Returns (Calc)'!$A:$A)-3),"")</f>
        <v>1208.39037974684</v>
      </c>
      <c r="Z80" s="144" t="n">
        <f aca="false">IFERROR('Price History'!E3+(INDEX('Price History'!E:E,MATCH(9.99E+307,'Returns (Calc)'!$A:$A)+1)-'Price History'!E3)*(ROW()-3)/(MATCH(9.99E+307,'Returns (Calc)'!$A:$A)-3),"")</f>
        <v>215.11253164557</v>
      </c>
      <c r="AA80" s="144" t="n">
        <f aca="false">IFERROR('Price History'!F3+(INDEX('Price History'!F:F,MATCH(9.99E+307,'Returns (Calc)'!$A:$A)+1)-'Price History'!F3)*(ROW()-3)/(MATCH(9.99E+307,'Returns (Calc)'!$A:$A)-3),"")</f>
        <v>152.805316455696</v>
      </c>
      <c r="AB80" s="144" t="n">
        <f aca="false">IFERROR('Price History'!G3+(INDEX('Price History'!G:G,MATCH(9.99E+307,'Returns (Calc)'!$A:$A)+1)-'Price History'!G3)*(ROW()-3)/(MATCH(9.99E+307,'Returns (Calc)'!$A:$A)-3),"")</f>
        <v>123.56253164557</v>
      </c>
      <c r="AC80" s="144" t="n">
        <f aca="false">IFERROR('Price History'!H3+(INDEX('Price History'!H:H,MATCH(9.99E+307,'Returns (Calc)'!$A:$A)+1)-'Price History'!H3)*(ROW()-3)/(MATCH(9.99E+307,'Returns (Calc)'!$A:$A)-3),"")</f>
        <v>559.268607594937</v>
      </c>
      <c r="AD80" s="144" t="n">
        <f aca="false">IFERROR('Price History'!I3+(INDEX('Price History'!I:I,MATCH(9.99E+307,'Returns (Calc)'!$A:$A)+1)-'Price History'!I3)*(ROW()-3)/(MATCH(9.99E+307,'Returns (Calc)'!$A:$A)-3),"")</f>
        <v>136.452658227848</v>
      </c>
      <c r="AE80" s="144" t="n">
        <f aca="false">IFERROR('Price History'!J3+(INDEX('Price History'!J:J,MATCH(9.99E+307,'Returns (Calc)'!$A:$A)+1)-'Price History'!J3)*(ROW()-3)/(MATCH(9.99E+307,'Returns (Calc)'!$A:$A)-3),"")</f>
        <v>120.158924050633</v>
      </c>
      <c r="AF80" s="144" t="n">
        <f aca="false">IFERROR('Price History'!K3+(INDEX('Price History'!K:K,MATCH(9.99E+307,'Returns (Calc)'!$A:$A)+1)-'Price History'!K3)*(ROW()-3)/(MATCH(9.99E+307,'Returns (Calc)'!$A:$A)-3),"")</f>
        <v>99.8448101265823</v>
      </c>
      <c r="AG80" s="144" t="n">
        <f aca="false">IFERROR('Price History'!L3+(INDEX('Price History'!L:L,MATCH(9.99E+307,'Returns (Calc)'!$A:$A)+1)-'Price History'!L3)*(ROW()-3)/(MATCH(9.99E+307,'Returns (Calc)'!$A:$A)-3),"")</f>
        <v>274.365886075949</v>
      </c>
      <c r="AH80" s="144" t="n">
        <f aca="false">IFERROR('Price History'!M3+(INDEX('Price History'!M:M,MATCH(9.99E+307,'Returns (Calc)'!$A:$A)+1)-'Price History'!M3)*(ROW()-3)/(MATCH(9.99E+307,'Returns (Calc)'!$A:$A)-3),"")</f>
        <v>142.389113924051</v>
      </c>
      <c r="AI80" s="144" t="n">
        <f aca="false">IFERROR('Price History'!N3+(INDEX('Price History'!N:N,MATCH(9.99E+307,'Returns (Calc)'!$A:$A)+1)-'Price History'!N3)*(ROW()-3)/(MATCH(9.99E+307,'Returns (Calc)'!$A:$A)-3),"")</f>
        <v>424.84246835443</v>
      </c>
      <c r="AJ80" s="144" t="n">
        <f aca="false">IFERROR('Price History'!O3+(INDEX('Price History'!O:O,MATCH(9.99E+307,'Returns (Calc)'!$A:$A)+1)-'Price History'!O3)*(ROW()-3)/(MATCH(9.99E+307,'Returns (Calc)'!$A:$A)-3),"")</f>
        <v>97.1039240506329</v>
      </c>
      <c r="AK80" s="144" t="n">
        <f aca="false">IFERROR('Price History'!Q3+(INDEX('Price History'!Q:Q,MATCH(9.99E+307,'Returns (Calc)'!$A:$A)+1)-'Price History'!Q3)*(ROW()-3)/(MATCH(9.99E+307,'Returns (Calc)'!$A:$A)-3),"")</f>
        <v>33.8312658227848</v>
      </c>
      <c r="AL80" s="144" t="n">
        <f aca="false">IFERROR('Price History'!R3+(INDEX('Price History'!R:R,MATCH(9.99E+307,'Returns (Calc)'!$A:$A)+1)-'Price History'!R3)*(ROW()-3)/(MATCH(9.99E+307,'Returns (Calc)'!$A:$A)-3),"")</f>
        <v>47.4237974683544</v>
      </c>
      <c r="AM80" s="144" t="n">
        <f aca="false">IFERROR('Price History'!S3+(INDEX('Price History'!S:S,MATCH(9.99E+307,'Returns (Calc)'!$A:$A)+1)-'Price History'!S3)*(ROW()-3)/(MATCH(9.99E+307,'Returns (Calc)'!$A:$A)-3),"")</f>
        <v>104.219873417722</v>
      </c>
      <c r="AN80" s="144" t="n">
        <f aca="false">IFERROR('Price History'!T3+(INDEX('Price History'!T:T,MATCH(9.99E+307,'Returns (Calc)'!$A:$A)+1)-'Price History'!T3)*(ROW()-3)/(MATCH(9.99E+307,'Returns (Calc)'!$A:$A)-3),"")</f>
        <v>38.1935443037975</v>
      </c>
      <c r="AO80" s="145" t="n">
        <f aca="false">IFERROR('Price History'!V3+(INDEX('Price History'!V:V,MATCH(9.99E+307,'Returns (Calc)'!$A:$A)+1)-'Price History'!V3)*(ROW()-3)/(MATCH(9.99E+307,'Returns (Calc)'!$A:$A)-3),"")</f>
        <v>296.562341772152</v>
      </c>
      <c r="AP80" s="143" t="n">
        <f aca="false">IFERROR(IF(OR(NOT(ISNUMBER('Price History'!W81)),NOT(ISNUMBER('Price History'!W80)),'Price History'!W80=0),"",'Price History'!W81/'Price History'!W80-1),"")</f>
        <v>-0.0224415088333598</v>
      </c>
      <c r="AQ80" s="143" t="str">
        <f aca="false">IFERROR(IF(OR(NOT(ISNUMBER('Price History'!X81)),NOT(ISNUMBER('Price History'!X80)),'Price History'!X80=0),"",'Price History'!X81/'Price History'!X80-1),"")</f>
        <v/>
      </c>
      <c r="AR80" s="143" t="n">
        <f aca="false">IFERROR(IF(OR(NOT(ISNUMBER('Price History'!Y81)),NOT(ISNUMBER('Price History'!Y80)),'Price History'!Y80=0),"",'Price History'!Y81/'Price History'!Y80-1),"")</f>
        <v>-0.0213641709133674</v>
      </c>
      <c r="AS80" s="143" t="n">
        <f aca="false">IFERROR(IF(OR(NOT(ISNUMBER('Price History'!Z81)),NOT(ISNUMBER('Price History'!Z80)),'Price History'!Z80=0),"",'Price History'!Z81/'Price History'!Z80-1),"")</f>
        <v>0.0187275659366386</v>
      </c>
      <c r="AT80" s="143" t="n">
        <f aca="false">IFERROR(IF(OR(NOT(ISNUMBER('Price History'!AA81)),NOT(ISNUMBER('Price History'!AA80)),'Price History'!AA80=0),"",'Price History'!AA81/'Price History'!AA80-1),"")</f>
        <v>0.0301874088205589</v>
      </c>
    </row>
    <row r="81" customFormat="false" ht="15" hidden="false" customHeight="true" outlineLevel="0" collapsed="false">
      <c r="A81" s="141" t="n">
        <f aca="false">IF('Price History'!A82="","",'Price History'!A82)</f>
        <v>45737</v>
      </c>
      <c r="B81" s="142" t="n">
        <f aca="false">IFERROR(IF(OR(NOT(ISNUMBER('Price History'!B82)),NOT(ISNUMBER('Price History'!B81)),'Price History'!B81=0),"",'Price History'!B82/'Price History'!B81-1),"")</f>
        <v>-0.0189491817398795</v>
      </c>
      <c r="C81" s="142" t="n">
        <f aca="false">IFERROR(IF(OR(NOT(ISNUMBER('Price History'!C82)),NOT(ISNUMBER('Price History'!C81)),'Price History'!C81=0),"",'Price History'!C82/'Price History'!C81-1),"")</f>
        <v>-0.00455035325110775</v>
      </c>
      <c r="D81" s="142" t="n">
        <f aca="false">IFERROR(IF(OR(NOT(ISNUMBER('Price History'!D82)),NOT(ISNUMBER('Price History'!D81)),'Price History'!D81=0),"",'Price History'!D82/'Price History'!D81-1),"")</f>
        <v>0.00310484156801572</v>
      </c>
      <c r="E81" s="142" t="n">
        <f aca="false">IFERROR(IF(OR(NOT(ISNUMBER('Price History'!E82)),NOT(ISNUMBER('Price History'!E81)),'Price History'!E81=0),"",'Price History'!E82/'Price History'!E81-1),"")</f>
        <v>-0.0169148549784672</v>
      </c>
      <c r="F81" s="142" t="n">
        <f aca="false">IFERROR(IF(OR(NOT(ISNUMBER('Price History'!F82)),NOT(ISNUMBER('Price History'!F81)),'Price History'!F81=0),"",'Price History'!F82/'Price History'!F81-1),"")</f>
        <v>0.0240868483546308</v>
      </c>
      <c r="G81" s="142" t="n">
        <f aca="false">IFERROR(IF(OR(NOT(ISNUMBER('Price History'!G82)),NOT(ISNUMBER('Price History'!G81)),'Price History'!G81=0),"",'Price History'!G82/'Price History'!G81-1),"")</f>
        <v>-0.00906644000566659</v>
      </c>
      <c r="H81" s="142" t="n">
        <f aca="false">IFERROR(IF(OR(NOT(ISNUMBER('Price History'!H82)),NOT(ISNUMBER('Price History'!H81)),'Price History'!H81=0),"",'Price History'!H82/'Price History'!H81-1),"")</f>
        <v>-0.0601593625498008</v>
      </c>
      <c r="I81" s="142" t="n">
        <f aca="false">IFERROR(IF(OR(NOT(ISNUMBER('Price History'!I82)),NOT(ISNUMBER('Price History'!I81)),'Price History'!I81=0),"",'Price History'!I82/'Price History'!I81-1),"")</f>
        <v>-0.0326301911667765</v>
      </c>
      <c r="J81" s="142" t="n">
        <f aca="false">IFERROR(IF(OR(NOT(ISNUMBER('Price History'!J82)),NOT(ISNUMBER('Price History'!J81)),'Price History'!J81=0),"",'Price History'!J82/'Price History'!J81-1),"")</f>
        <v>-0.0223548356540684</v>
      </c>
      <c r="K81" s="142" t="n">
        <f aca="false">IFERROR(IF(OR(NOT(ISNUMBER('Price History'!K82)),NOT(ISNUMBER('Price History'!K81)),'Price History'!K81=0),"",'Price History'!K82/'Price History'!K81-1),"")</f>
        <v>0.0547309833024119</v>
      </c>
      <c r="L81" s="142" t="n">
        <f aca="false">IFERROR(IF(OR(NOT(ISNUMBER('Price History'!L82)),NOT(ISNUMBER('Price History'!L81)),'Price History'!L81=0),"",'Price History'!L82/'Price History'!L81-1),"")</f>
        <v>0.01906829382774</v>
      </c>
      <c r="M81" s="142" t="n">
        <f aca="false">IFERROR(IF(OR(NOT(ISNUMBER('Price History'!M82)),NOT(ISNUMBER('Price History'!M81)),'Price History'!M81=0),"",'Price History'!M82/'Price History'!M81-1),"")</f>
        <v>0.0138650166151026</v>
      </c>
      <c r="N81" s="142" t="n">
        <f aca="false">IFERROR(IF(OR(NOT(ISNUMBER('Price History'!N82)),NOT(ISNUMBER('Price History'!N81)),'Price History'!N81=0),"",'Price History'!N82/'Price History'!N81-1),"")</f>
        <v>-0.00311032747588014</v>
      </c>
      <c r="O81" s="142" t="n">
        <f aca="false">IFERROR(IF(OR(NOT(ISNUMBER('Price History'!O82)),NOT(ISNUMBER('Price History'!O81)),'Price History'!O81=0),"",'Price History'!O82/'Price History'!O81-1),"")</f>
        <v>0.00967437470504939</v>
      </c>
      <c r="P81" s="142" t="n">
        <f aca="false">IFERROR(IF(OR(NOT(ISNUMBER('Price History'!P82)),NOT(ISNUMBER('Price History'!P81)),'Price History'!P81=0),"",'Price History'!P82/'Price History'!P81-1),"")</f>
        <v>0.00478927203065127</v>
      </c>
      <c r="Q81" s="142" t="n">
        <f aca="false">IFERROR(IF(OR(NOT(ISNUMBER('Price History'!Q82)),NOT(ISNUMBER('Price History'!Q81)),'Price History'!Q81=0),"",'Price History'!Q82/'Price History'!Q81-1),"")</f>
        <v>-0.00200568276784219</v>
      </c>
      <c r="R81" s="142" t="n">
        <f aca="false">IFERROR(IF(OR(NOT(ISNUMBER('Price History'!R82)),NOT(ISNUMBER('Price History'!R81)),'Price History'!R81=0),"",'Price History'!R82/'Price History'!R81-1),"")</f>
        <v>0.00365463682046596</v>
      </c>
      <c r="S81" s="142" t="n">
        <f aca="false">IFERROR(IF(OR(NOT(ISNUMBER('Price History'!S82)),NOT(ISNUMBER('Price History'!S81)),'Price History'!S81=0),"",'Price History'!S82/'Price History'!S81-1),"")</f>
        <v>0.0037809225451011</v>
      </c>
      <c r="T81" s="142" t="n">
        <f aca="false">IFERROR(IF(OR(NOT(ISNUMBER('Price History'!T82)),NOT(ISNUMBER('Price History'!T81)),'Price History'!T81=0),"",'Price History'!T82/'Price History'!T81-1),"")</f>
        <v>0.0170607602514217</v>
      </c>
      <c r="U81" s="142" t="n">
        <f aca="false">IFERROR(IF(OR(NOT(ISNUMBER('Price History'!U82)),NOT(ISNUMBER('Price History'!U81)),'Price History'!U81=0),"",'Price History'!U82/'Price History'!U81-1),"")</f>
        <v>0.00423728813559321</v>
      </c>
      <c r="V81" s="143" t="n">
        <f aca="false">IFERROR(IF(OR(NOT(ISNUMBER('Price History'!V82)),NOT(ISNUMBER('Price History'!V81)),'Price History'!V81=0),"",'Price History'!V82/'Price History'!V81-1),"")</f>
        <v>0.0116449213510548</v>
      </c>
      <c r="W81" s="144" t="n">
        <f aca="false">IFERROR('Price History'!B3+(INDEX('Price History'!B:B,MATCH(9.99E+307,'Returns (Calc)'!$A:$A)+1)-'Price History'!B3)*(ROW()-3)/(MATCH(9.99E+307,'Returns (Calc)'!$A:$A)-3),"")</f>
        <v>385.133037974684</v>
      </c>
      <c r="X81" s="144" t="n">
        <f aca="false">IFERROR('Price History'!C3+(INDEX('Price History'!C:C,MATCH(9.99E+307,'Returns (Calc)'!$A:$A)+1)-'Price History'!C3)*(ROW()-3)/(MATCH(9.99E+307,'Returns (Calc)'!$A:$A)-3),"")</f>
        <v>125.744936708861</v>
      </c>
      <c r="Y81" s="144" t="n">
        <f aca="false">IFERROR('Price History'!D3+(INDEX('Price History'!D:D,MATCH(9.99E+307,'Returns (Calc)'!$A:$A)+1)-'Price History'!D3)*(ROW()-3)/(MATCH(9.99E+307,'Returns (Calc)'!$A:$A)-3),"")</f>
        <v>1216.52518987342</v>
      </c>
      <c r="Z81" s="144" t="n">
        <f aca="false">IFERROR('Price History'!E3+(INDEX('Price History'!E:E,MATCH(9.99E+307,'Returns (Calc)'!$A:$A)+1)-'Price History'!E3)*(ROW()-3)/(MATCH(9.99E+307,'Returns (Calc)'!$A:$A)-3),"")</f>
        <v>216.841265822785</v>
      </c>
      <c r="AA81" s="144" t="n">
        <f aca="false">IFERROR('Price History'!F3+(INDEX('Price History'!F:F,MATCH(9.99E+307,'Returns (Calc)'!$A:$A)+1)-'Price History'!F3)*(ROW()-3)/(MATCH(9.99E+307,'Returns (Calc)'!$A:$A)-3),"")</f>
        <v>154.252658227848</v>
      </c>
      <c r="AB81" s="144" t="n">
        <f aca="false">IFERROR('Price History'!G3+(INDEX('Price History'!G:G,MATCH(9.99E+307,'Returns (Calc)'!$A:$A)+1)-'Price History'!G3)*(ROW()-3)/(MATCH(9.99E+307,'Returns (Calc)'!$A:$A)-3),"")</f>
        <v>124.591265822785</v>
      </c>
      <c r="AC81" s="144" t="n">
        <f aca="false">IFERROR('Price History'!H3+(INDEX('Price History'!H:H,MATCH(9.99E+307,'Returns (Calc)'!$A:$A)+1)-'Price History'!H3)*(ROW()-3)/(MATCH(9.99E+307,'Returns (Calc)'!$A:$A)-3),"")</f>
        <v>565.634303797468</v>
      </c>
      <c r="AD81" s="144" t="n">
        <f aca="false">IFERROR('Price History'!I3+(INDEX('Price History'!I:I,MATCH(9.99E+307,'Returns (Calc)'!$A:$A)+1)-'Price History'!I3)*(ROW()-3)/(MATCH(9.99E+307,'Returns (Calc)'!$A:$A)-3),"")</f>
        <v>137.656329113924</v>
      </c>
      <c r="AE81" s="144" t="n">
        <f aca="false">IFERROR('Price History'!J3+(INDEX('Price History'!J:J,MATCH(9.99E+307,'Returns (Calc)'!$A:$A)+1)-'Price History'!J3)*(ROW()-3)/(MATCH(9.99E+307,'Returns (Calc)'!$A:$A)-3),"")</f>
        <v>120.266962025316</v>
      </c>
      <c r="AF81" s="144" t="n">
        <f aca="false">IFERROR('Price History'!K3+(INDEX('Price History'!K:K,MATCH(9.99E+307,'Returns (Calc)'!$A:$A)+1)-'Price History'!K3)*(ROW()-3)/(MATCH(9.99E+307,'Returns (Calc)'!$A:$A)-3),"")</f>
        <v>100.942405063291</v>
      </c>
      <c r="AG81" s="144" t="n">
        <f aca="false">IFERROR('Price History'!L3+(INDEX('Price History'!L:L,MATCH(9.99E+307,'Returns (Calc)'!$A:$A)+1)-'Price History'!L3)*(ROW()-3)/(MATCH(9.99E+307,'Returns (Calc)'!$A:$A)-3),"")</f>
        <v>276.815443037975</v>
      </c>
      <c r="AH81" s="144" t="n">
        <f aca="false">IFERROR('Price History'!M3+(INDEX('Price History'!M:M,MATCH(9.99E+307,'Returns (Calc)'!$A:$A)+1)-'Price History'!M3)*(ROW()-3)/(MATCH(9.99E+307,'Returns (Calc)'!$A:$A)-3),"")</f>
        <v>143.744556962025</v>
      </c>
      <c r="AI81" s="144" t="n">
        <f aca="false">IFERROR('Price History'!N3+(INDEX('Price History'!N:N,MATCH(9.99E+307,'Returns (Calc)'!$A:$A)+1)-'Price History'!N3)*(ROW()-3)/(MATCH(9.99E+307,'Returns (Calc)'!$A:$A)-3),"")</f>
        <v>425.828734177215</v>
      </c>
      <c r="AJ81" s="144" t="n">
        <f aca="false">IFERROR('Price History'!O3+(INDEX('Price History'!O:O,MATCH(9.99E+307,'Returns (Calc)'!$A:$A)+1)-'Price History'!O3)*(ROW()-3)/(MATCH(9.99E+307,'Returns (Calc)'!$A:$A)-3),"")</f>
        <v>97.3869620253165</v>
      </c>
      <c r="AK81" s="144" t="n">
        <f aca="false">IFERROR('Price History'!Q3+(INDEX('Price History'!Q:Q,MATCH(9.99E+307,'Returns (Calc)'!$A:$A)+1)-'Price History'!Q3)*(ROW()-3)/(MATCH(9.99E+307,'Returns (Calc)'!$A:$A)-3),"")</f>
        <v>34.2706329113924</v>
      </c>
      <c r="AL81" s="144" t="n">
        <f aca="false">IFERROR('Price History'!R3+(INDEX('Price History'!R:R,MATCH(9.99E+307,'Returns (Calc)'!$A:$A)+1)-'Price History'!R3)*(ROW()-3)/(MATCH(9.99E+307,'Returns (Calc)'!$A:$A)-3),"")</f>
        <v>47.5918987341772</v>
      </c>
      <c r="AM81" s="144" t="n">
        <f aca="false">IFERROR('Price History'!S3+(INDEX('Price History'!S:S,MATCH(9.99E+307,'Returns (Calc)'!$A:$A)+1)-'Price History'!S3)*(ROW()-3)/(MATCH(9.99E+307,'Returns (Calc)'!$A:$A)-3),"")</f>
        <v>104.824936708861</v>
      </c>
      <c r="AN81" s="144" t="n">
        <f aca="false">IFERROR('Price History'!T3+(INDEX('Price History'!T:T,MATCH(9.99E+307,'Returns (Calc)'!$A:$A)+1)-'Price History'!T3)*(ROW()-3)/(MATCH(9.99E+307,'Returns (Calc)'!$A:$A)-3),"")</f>
        <v>38.3617721518987</v>
      </c>
      <c r="AO81" s="145" t="n">
        <f aca="false">IFERROR('Price History'!V3+(INDEX('Price History'!V:V,MATCH(9.99E+307,'Returns (Calc)'!$A:$A)+1)-'Price History'!V3)*(ROW()-3)/(MATCH(9.99E+307,'Returns (Calc)'!$A:$A)-3),"")</f>
        <v>297.353670886076</v>
      </c>
      <c r="AP81" s="143" t="n">
        <f aca="false">IFERROR(IF(OR(NOT(ISNUMBER('Price History'!W82)),NOT(ISNUMBER('Price History'!W81)),'Price History'!W81=0),"",'Price History'!W82/'Price History'!W81-1),"")</f>
        <v>0.00748941712797135</v>
      </c>
      <c r="AQ81" s="143" t="str">
        <f aca="false">IFERROR(IF(OR(NOT(ISNUMBER('Price History'!X82)),NOT(ISNUMBER('Price History'!X81)),'Price History'!X81=0),"",'Price History'!X82/'Price History'!X81-1),"")</f>
        <v/>
      </c>
      <c r="AR81" s="143" t="n">
        <f aca="false">IFERROR(IF(OR(NOT(ISNUMBER('Price History'!Y82)),NOT(ISNUMBER('Price History'!Y81)),'Price History'!Y81=0),"",'Price History'!Y82/'Price History'!Y81-1),"")</f>
        <v>0.00280392549569397</v>
      </c>
      <c r="AS81" s="143" t="n">
        <f aca="false">IFERROR(IF(OR(NOT(ISNUMBER('Price History'!Z82)),NOT(ISNUMBER('Price History'!Z81)),'Price History'!Z81=0),"",'Price History'!Z82/'Price History'!Z81-1),"")</f>
        <v>0.0355920951845989</v>
      </c>
      <c r="AT81" s="143" t="n">
        <f aca="false">IFERROR(IF(OR(NOT(ISNUMBER('Price History'!AA82)),NOT(ISNUMBER('Price History'!AA81)),'Price History'!AA81=0),"",'Price History'!AA82/'Price History'!AA81-1),"")</f>
        <v>0.0460784313725491</v>
      </c>
    </row>
    <row r="82" customFormat="false" ht="15" hidden="false" customHeight="true" outlineLevel="0" collapsed="false">
      <c r="A82" s="141" t="n">
        <f aca="false">IF('Price History'!A83="","",'Price History'!A83)</f>
        <v>45744</v>
      </c>
      <c r="B82" s="142" t="n">
        <f aca="false">IFERROR(IF(OR(NOT(ISNUMBER('Price History'!B83)),NOT(ISNUMBER('Price History'!B82)),'Price History'!B82=0),"",'Price History'!B83/'Price History'!B82-1),"")</f>
        <v>-0.00400247895470751</v>
      </c>
      <c r="C82" s="142" t="n">
        <f aca="false">IFERROR(IF(OR(NOT(ISNUMBER('Price History'!C83)),NOT(ISNUMBER('Price History'!C82)),'Price History'!C82=0),"",'Price History'!C83/'Price History'!C82-1),"")</f>
        <v>-0.0624323348971491</v>
      </c>
      <c r="D82" s="142" t="n">
        <f aca="false">IFERROR(IF(OR(NOT(ISNUMBER('Price History'!D83)),NOT(ISNUMBER('Price History'!D82)),'Price History'!D82=0),"",'Price History'!D83/'Price History'!D82-1),"")</f>
        <v>-0.0581309890606891</v>
      </c>
      <c r="E82" s="142" t="n">
        <f aca="false">IFERROR(IF(OR(NOT(ISNUMBER('Price History'!E83)),NOT(ISNUMBER('Price History'!E82)),'Price History'!E82=0),"",'Price History'!E83/'Price History'!E82-1),"")</f>
        <v>-0.117591175383966</v>
      </c>
      <c r="F82" s="142" t="n">
        <f aca="false">IFERROR(IF(OR(NOT(ISNUMBER('Price History'!F83)),NOT(ISNUMBER('Price History'!F82)),'Price History'!F82=0),"",'Price History'!F83/'Price History'!F82-1),"")</f>
        <v>-0.0141342756183745</v>
      </c>
      <c r="G82" s="142" t="n">
        <f aca="false">IFERROR(IF(OR(NOT(ISNUMBER('Price History'!G83)),NOT(ISNUMBER('Price History'!G82)),'Price History'!G82=0),"",'Price History'!G83/'Price History'!G82-1),"")</f>
        <v>-0.0466047176554683</v>
      </c>
      <c r="H82" s="142" t="n">
        <f aca="false">IFERROR(IF(OR(NOT(ISNUMBER('Price History'!H83)),NOT(ISNUMBER('Price History'!H82)),'Price History'!H82=0),"",'Price History'!H83/'Price History'!H82-1),"")</f>
        <v>-0.066341670199237</v>
      </c>
      <c r="I82" s="142" t="n">
        <f aca="false">IFERROR(IF(OR(NOT(ISNUMBER('Price History'!I83)),NOT(ISNUMBER('Price History'!I82)),'Price History'!I82=0),"",'Price History'!I83/'Price History'!I82-1),"")</f>
        <v>-0.0682282793867122</v>
      </c>
      <c r="J82" s="142" t="n">
        <f aca="false">IFERROR(IF(OR(NOT(ISNUMBER('Price History'!J83)),NOT(ISNUMBER('Price History'!J82)),'Price History'!J82=0),"",'Price History'!J83/'Price History'!J82-1),"")</f>
        <v>0.0186997383974421</v>
      </c>
      <c r="K82" s="142" t="n">
        <f aca="false">IFERROR(IF(OR(NOT(ISNUMBER('Price History'!K83)),NOT(ISNUMBER('Price History'!K82)),'Price History'!K82=0),"",'Price History'!K83/'Price History'!K82-1),"")</f>
        <v>-0.0561785400175902</v>
      </c>
      <c r="L82" s="142" t="n">
        <f aca="false">IFERROR(IF(OR(NOT(ISNUMBER('Price History'!L83)),NOT(ISNUMBER('Price History'!L82)),'Price History'!L82=0),"",'Price History'!L83/'Price History'!L82-1),"")</f>
        <v>-0.0649432897691289</v>
      </c>
      <c r="M82" s="142" t="n">
        <f aca="false">IFERROR(IF(OR(NOT(ISNUMBER('Price History'!M83)),NOT(ISNUMBER('Price History'!M82)),'Price History'!M82=0),"",'Price History'!M83/'Price History'!M82-1),"")</f>
        <v>-0.162296564195298</v>
      </c>
      <c r="N82" s="142" t="n">
        <f aca="false">IFERROR(IF(OR(NOT(ISNUMBER('Price History'!N83)),NOT(ISNUMBER('Price History'!N82)),'Price History'!N82=0),"",'Price History'!N83/'Price History'!N82-1),"")</f>
        <v>-0.0208863275039746</v>
      </c>
      <c r="O82" s="142" t="n">
        <f aca="false">IFERROR(IF(OR(NOT(ISNUMBER('Price History'!O83)),NOT(ISNUMBER('Price History'!O82)),'Price History'!O82=0),"",'Price History'!O83/'Price History'!O82-1),"")</f>
        <v>-0.00467398924982465</v>
      </c>
      <c r="P82" s="142" t="n">
        <f aca="false">IFERROR(IF(OR(NOT(ISNUMBER('Price History'!P83)),NOT(ISNUMBER('Price History'!P82)),'Price History'!P82=0),"",'Price History'!P83/'Price History'!P82-1),"")</f>
        <v>-0.000238322211630115</v>
      </c>
      <c r="Q82" s="142" t="n">
        <f aca="false">IFERROR(IF(OR(NOT(ISNUMBER('Price History'!Q83)),NOT(ISNUMBER('Price History'!Q82)),'Price History'!Q82=0),"",'Price History'!Q83/'Price History'!Q82-1),"")</f>
        <v>-0.011555853290906</v>
      </c>
      <c r="R82" s="142" t="n">
        <f aca="false">IFERROR(IF(OR(NOT(ISNUMBER('Price History'!R83)),NOT(ISNUMBER('Price History'!R82)),'Price History'!R82=0),"",'Price History'!R83/'Price History'!R82-1),"")</f>
        <v>-0.0188893946290396</v>
      </c>
      <c r="S82" s="142" t="n">
        <f aca="false">IFERROR(IF(OR(NOT(ISNUMBER('Price History'!S83)),NOT(ISNUMBER('Price History'!S82)),'Price History'!S82=0),"",'Price History'!S83/'Price History'!S82-1),"")</f>
        <v>-0.0196943607404219</v>
      </c>
      <c r="T82" s="142" t="n">
        <f aca="false">IFERROR(IF(OR(NOT(ISNUMBER('Price History'!T83)),NOT(ISNUMBER('Price History'!T82)),'Price History'!T82=0),"",'Price History'!T83/'Price History'!T82-1),"")</f>
        <v>-0.0164802825191288</v>
      </c>
      <c r="U82" s="142" t="n">
        <f aca="false">IFERROR(IF(OR(NOT(ISNUMBER('Price History'!U83)),NOT(ISNUMBER('Price History'!U82)),'Price History'!U82=0),"",'Price History'!U83/'Price History'!U82-1),"")</f>
        <v>0.00268507863444567</v>
      </c>
      <c r="V82" s="143" t="n">
        <f aca="false">IFERROR(IF(OR(NOT(ISNUMBER('Price History'!V83)),NOT(ISNUMBER('Price History'!V82)),'Price History'!V82=0),"",'Price History'!V83/'Price History'!V82-1),"")</f>
        <v>0.0214246971614536</v>
      </c>
      <c r="W82" s="144" t="n">
        <f aca="false">IFERROR('Price History'!B3+(INDEX('Price History'!B:B,MATCH(9.99E+307,'Returns (Calc)'!$A:$A)+1)-'Price History'!B3)*(ROW()-3)/(MATCH(9.99E+307,'Returns (Calc)'!$A:$A)-3),"")</f>
        <v>383.29</v>
      </c>
      <c r="X82" s="144" t="n">
        <f aca="false">IFERROR('Price History'!C3+(INDEX('Price History'!C:C,MATCH(9.99E+307,'Returns (Calc)'!$A:$A)+1)-'Price History'!C3)*(ROW()-3)/(MATCH(9.99E+307,'Returns (Calc)'!$A:$A)-3),"")</f>
        <v>126.765</v>
      </c>
      <c r="Y82" s="144" t="n">
        <f aca="false">IFERROR('Price History'!D3+(INDEX('Price History'!D:D,MATCH(9.99E+307,'Returns (Calc)'!$A:$A)+1)-'Price History'!D3)*(ROW()-3)/(MATCH(9.99E+307,'Returns (Calc)'!$A:$A)-3),"")</f>
        <v>1224.66</v>
      </c>
      <c r="Z82" s="144" t="n">
        <f aca="false">IFERROR('Price History'!E3+(INDEX('Price History'!E:E,MATCH(9.99E+307,'Returns (Calc)'!$A:$A)+1)-'Price History'!E3)*(ROW()-3)/(MATCH(9.99E+307,'Returns (Calc)'!$A:$A)-3),"")</f>
        <v>218.57</v>
      </c>
      <c r="AA82" s="144" t="n">
        <f aca="false">IFERROR('Price History'!F3+(INDEX('Price History'!F:F,MATCH(9.99E+307,'Returns (Calc)'!$A:$A)+1)-'Price History'!F3)*(ROW()-3)/(MATCH(9.99E+307,'Returns (Calc)'!$A:$A)-3),"")</f>
        <v>155.7</v>
      </c>
      <c r="AB82" s="144" t="n">
        <f aca="false">IFERROR('Price History'!G3+(INDEX('Price History'!G:G,MATCH(9.99E+307,'Returns (Calc)'!$A:$A)+1)-'Price History'!G3)*(ROW()-3)/(MATCH(9.99E+307,'Returns (Calc)'!$A:$A)-3),"")</f>
        <v>125.62</v>
      </c>
      <c r="AC82" s="144" t="n">
        <f aca="false">IFERROR('Price History'!H3+(INDEX('Price History'!H:H,MATCH(9.99E+307,'Returns (Calc)'!$A:$A)+1)-'Price History'!H3)*(ROW()-3)/(MATCH(9.99E+307,'Returns (Calc)'!$A:$A)-3),"")</f>
        <v>572</v>
      </c>
      <c r="AD82" s="144" t="n">
        <f aca="false">IFERROR('Price History'!I3+(INDEX('Price History'!I:I,MATCH(9.99E+307,'Returns (Calc)'!$A:$A)+1)-'Price History'!I3)*(ROW()-3)/(MATCH(9.99E+307,'Returns (Calc)'!$A:$A)-3),"")</f>
        <v>138.86</v>
      </c>
      <c r="AE82" s="144" t="n">
        <f aca="false">IFERROR('Price History'!J3+(INDEX('Price History'!J:J,MATCH(9.99E+307,'Returns (Calc)'!$A:$A)+1)-'Price History'!J3)*(ROW()-3)/(MATCH(9.99E+307,'Returns (Calc)'!$A:$A)-3),"")</f>
        <v>120.375</v>
      </c>
      <c r="AF82" s="144" t="n">
        <f aca="false">IFERROR('Price History'!K3+(INDEX('Price History'!K:K,MATCH(9.99E+307,'Returns (Calc)'!$A:$A)+1)-'Price History'!K3)*(ROW()-3)/(MATCH(9.99E+307,'Returns (Calc)'!$A:$A)-3),"")</f>
        <v>102.04</v>
      </c>
      <c r="AG82" s="144" t="n">
        <f aca="false">IFERROR('Price History'!L3+(INDEX('Price History'!L:L,MATCH(9.99E+307,'Returns (Calc)'!$A:$A)+1)-'Price History'!L3)*(ROW()-3)/(MATCH(9.99E+307,'Returns (Calc)'!$A:$A)-3),"")</f>
        <v>279.265</v>
      </c>
      <c r="AH82" s="144" t="n">
        <f aca="false">IFERROR('Price History'!M3+(INDEX('Price History'!M:M,MATCH(9.99E+307,'Returns (Calc)'!$A:$A)+1)-'Price History'!M3)*(ROW()-3)/(MATCH(9.99E+307,'Returns (Calc)'!$A:$A)-3),"")</f>
        <v>145.1</v>
      </c>
      <c r="AI82" s="144" t="n">
        <f aca="false">IFERROR('Price History'!N3+(INDEX('Price History'!N:N,MATCH(9.99E+307,'Returns (Calc)'!$A:$A)+1)-'Price History'!N3)*(ROW()-3)/(MATCH(9.99E+307,'Returns (Calc)'!$A:$A)-3),"")</f>
        <v>426.815</v>
      </c>
      <c r="AJ82" s="144" t="n">
        <f aca="false">IFERROR('Price History'!O3+(INDEX('Price History'!O:O,MATCH(9.99E+307,'Returns (Calc)'!$A:$A)+1)-'Price History'!O3)*(ROW()-3)/(MATCH(9.99E+307,'Returns (Calc)'!$A:$A)-3),"")</f>
        <v>97.67</v>
      </c>
      <c r="AK82" s="144" t="n">
        <f aca="false">IFERROR('Price History'!Q3+(INDEX('Price History'!Q:Q,MATCH(9.99E+307,'Returns (Calc)'!$A:$A)+1)-'Price History'!Q3)*(ROW()-3)/(MATCH(9.99E+307,'Returns (Calc)'!$A:$A)-3),"")</f>
        <v>34.71</v>
      </c>
      <c r="AL82" s="144" t="n">
        <f aca="false">IFERROR('Price History'!R3+(INDEX('Price History'!R:R,MATCH(9.99E+307,'Returns (Calc)'!$A:$A)+1)-'Price History'!R3)*(ROW()-3)/(MATCH(9.99E+307,'Returns (Calc)'!$A:$A)-3),"")</f>
        <v>47.76</v>
      </c>
      <c r="AM82" s="144" t="n">
        <f aca="false">IFERROR('Price History'!S3+(INDEX('Price History'!S:S,MATCH(9.99E+307,'Returns (Calc)'!$A:$A)+1)-'Price History'!S3)*(ROW()-3)/(MATCH(9.99E+307,'Returns (Calc)'!$A:$A)-3),"")</f>
        <v>105.43</v>
      </c>
      <c r="AN82" s="144" t="n">
        <f aca="false">IFERROR('Price History'!T3+(INDEX('Price History'!T:T,MATCH(9.99E+307,'Returns (Calc)'!$A:$A)+1)-'Price History'!T3)*(ROW()-3)/(MATCH(9.99E+307,'Returns (Calc)'!$A:$A)-3),"")</f>
        <v>38.53</v>
      </c>
      <c r="AO82" s="145" t="n">
        <f aca="false">IFERROR('Price History'!V3+(INDEX('Price History'!V:V,MATCH(9.99E+307,'Returns (Calc)'!$A:$A)+1)-'Price History'!V3)*(ROW()-3)/(MATCH(9.99E+307,'Returns (Calc)'!$A:$A)-3),"")</f>
        <v>298.145</v>
      </c>
      <c r="AP82" s="143" t="n">
        <f aca="false">IFERROR(IF(OR(NOT(ISNUMBER('Price History'!W83)),NOT(ISNUMBER('Price History'!W82)),'Price History'!W82=0),"",'Price History'!W83/'Price History'!W82-1),"")</f>
        <v>-0.0066257272139626</v>
      </c>
      <c r="AQ82" s="143" t="str">
        <f aca="false">IFERROR(IF(OR(NOT(ISNUMBER('Price History'!X83)),NOT(ISNUMBER('Price History'!X82)),'Price History'!X82=0),"",'Price History'!X83/'Price History'!X82-1),"")</f>
        <v/>
      </c>
      <c r="AR82" s="143" t="n">
        <f aca="false">IFERROR(IF(OR(NOT(ISNUMBER('Price History'!Y83)),NOT(ISNUMBER('Price History'!Y82)),'Price History'!Y82=0),"",'Price History'!Y83/'Price History'!Y82-1),"")</f>
        <v>-0.00758937487517486</v>
      </c>
      <c r="AS82" s="143" t="n">
        <f aca="false">IFERROR(IF(OR(NOT(ISNUMBER('Price History'!Z83)),NOT(ISNUMBER('Price History'!Z82)),'Price History'!Z82=0),"",'Price History'!Z83/'Price History'!Z82-1),"")</f>
        <v>-0.0208086785009862</v>
      </c>
      <c r="AT82" s="143" t="n">
        <f aca="false">IFERROR(IF(OR(NOT(ISNUMBER('Price History'!AA83)),NOT(ISNUMBER('Price History'!AA82)),'Price History'!AA82=0),"",'Price History'!AA83/'Price History'!AA82-1),"")</f>
        <v>-0.0274914089347079</v>
      </c>
    </row>
    <row r="83" customFormat="false" ht="15" hidden="false" customHeight="true" outlineLevel="0" collapsed="false">
      <c r="A83" s="141" t="n">
        <f aca="false">IF('Price History'!A84="","",'Price History'!A84)</f>
        <v>45751</v>
      </c>
      <c r="B83" s="142" t="n">
        <f aca="false">IFERROR(IF(OR(NOT(ISNUMBER('Price History'!B84)),NOT(ISNUMBER('Price History'!B83)),'Price History'!B83=0),"",'Price History'!B84/'Price History'!B83-1),"")</f>
        <v>-0.0949936480775712</v>
      </c>
      <c r="C83" s="142" t="n">
        <f aca="false">IFERROR(IF(OR(NOT(ISNUMBER('Price History'!C84)),NOT(ISNUMBER('Price History'!C83)),'Price History'!C83=0),"",'Price History'!C84/'Price History'!C83-1),"")</f>
        <v>-0.174108288426995</v>
      </c>
      <c r="D83" s="142" t="n">
        <f aca="false">IFERROR(IF(OR(NOT(ISNUMBER('Price History'!D84)),NOT(ISNUMBER('Price History'!D83)),'Price History'!D83=0),"",'Price History'!D84/'Price History'!D83-1),"")</f>
        <v>-0.102339400669258</v>
      </c>
      <c r="E83" s="142" t="n">
        <f aca="false">IFERROR(IF(OR(NOT(ISNUMBER('Price History'!E84)),NOT(ISNUMBER('Price History'!E83)),'Price History'!E83=0),"",'Price History'!E84/'Price History'!E83-1),"")</f>
        <v>-0.134996112207668</v>
      </c>
      <c r="F83" s="142" t="n">
        <f aca="false">IFERROR(IF(OR(NOT(ISNUMBER('Price History'!F84)),NOT(ISNUMBER('Price History'!F83)),'Price History'!F83=0),"",'Price History'!F84/'Price History'!F83-1),"")</f>
        <v>-0.0993503584229392</v>
      </c>
      <c r="G83" s="142" t="n">
        <f aca="false">IFERROR(IF(OR(NOT(ISNUMBER('Price History'!G84)),NOT(ISNUMBER('Price History'!G83)),'Price History'!G83=0),"",'Price History'!G84/'Price History'!G83-1),"")</f>
        <v>-0.144099565152197</v>
      </c>
      <c r="H83" s="142" t="n">
        <f aca="false">IFERROR(IF(OR(NOT(ISNUMBER('Price History'!H84)),NOT(ISNUMBER('Price History'!H83)),'Price History'!H83=0),"",'Price History'!H84/'Price History'!H83-1),"")</f>
        <v>-0.267196367763905</v>
      </c>
      <c r="I83" s="142" t="n">
        <f aca="false">IFERROR(IF(OR(NOT(ISNUMBER('Price History'!I84)),NOT(ISNUMBER('Price History'!I83)),'Price History'!I83=0),"",'Price History'!I84/'Price History'!I83-1),"")</f>
        <v>-0.140049364658561</v>
      </c>
      <c r="J83" s="142" t="n">
        <f aca="false">IFERROR(IF(OR(NOT(ISNUMBER('Price History'!J84)),NOT(ISNUMBER('Price History'!J83)),'Price History'!J83=0),"",'Price History'!J84/'Price History'!J83-1),"")</f>
        <v>-0.110614418870078</v>
      </c>
      <c r="K83" s="142" t="n">
        <f aca="false">IFERROR(IF(OR(NOT(ISNUMBER('Price History'!K84)),NOT(ISNUMBER('Price History'!K83)),'Price History'!K83=0),"",'Price History'!K84/'Price History'!K83-1),"")</f>
        <v>-0.137914967967385</v>
      </c>
      <c r="L83" s="142" t="n">
        <f aca="false">IFERROR(IF(OR(NOT(ISNUMBER('Price History'!L84)),NOT(ISNUMBER('Price History'!L83)),'Price History'!L83=0),"",'Price History'!L84/'Price History'!L83-1),"")</f>
        <v>-0.111631057200911</v>
      </c>
      <c r="M83" s="142" t="n">
        <f aca="false">IFERROR(IF(OR(NOT(ISNUMBER('Price History'!M84)),NOT(ISNUMBER('Price History'!M83)),'Price History'!M83=0),"",'Price History'!M84/'Price History'!M83-1),"")</f>
        <v>-0.199811117107393</v>
      </c>
      <c r="N83" s="142" t="n">
        <f aca="false">IFERROR(IF(OR(NOT(ISNUMBER('Price History'!N84)),NOT(ISNUMBER('Price History'!N83)),'Price History'!N83=0),"",'Price History'!N84/'Price History'!N83-1),"")</f>
        <v>-0.0366762061336743</v>
      </c>
      <c r="O83" s="142" t="n">
        <f aca="false">IFERROR(IF(OR(NOT(ISNUMBER('Price History'!O84)),NOT(ISNUMBER('Price History'!O83)),'Price History'!O83=0),"",'Price History'!O84/'Price History'!O83-1),"")</f>
        <v>-0.104719417703686</v>
      </c>
      <c r="P83" s="142" t="n">
        <f aca="false">IFERROR(IF(OR(NOT(ISNUMBER('Price History'!P84)),NOT(ISNUMBER('Price History'!P83)),'Price History'!P83=0),"",'Price History'!P84/'Price History'!P83-1),"")</f>
        <v>-0.0803337306317045</v>
      </c>
      <c r="Q83" s="142" t="n">
        <f aca="false">IFERROR(IF(OR(NOT(ISNUMBER('Price History'!Q84)),NOT(ISNUMBER('Price History'!Q83)),'Price History'!Q83=0),"",'Price History'!Q84/'Price History'!Q83-1),"")</f>
        <v>-0.0388004066418164</v>
      </c>
      <c r="R83" s="142" t="n">
        <f aca="false">IFERROR(IF(OR(NOT(ISNUMBER('Price History'!R84)),NOT(ISNUMBER('Price History'!R83)),'Price History'!R83=0),"",'Price History'!R84/'Price History'!R83-1),"")</f>
        <v>-0.0909301786128509</v>
      </c>
      <c r="S83" s="142" t="n">
        <f aca="false">IFERROR(IF(OR(NOT(ISNUMBER('Price History'!S84)),NOT(ISNUMBER('Price History'!S83)),'Price History'!S83=0),"",'Price History'!S84/'Price History'!S83-1),"")</f>
        <v>-0.107036996377209</v>
      </c>
      <c r="T83" s="142" t="n">
        <f aca="false">IFERROR(IF(OR(NOT(ISNUMBER('Price History'!T84)),NOT(ISNUMBER('Price History'!T83)),'Price History'!T83=0),"",'Price History'!T84/'Price History'!T83-1),"")</f>
        <v>-0.0924596050269301</v>
      </c>
      <c r="U83" s="142" t="n">
        <f aca="false">IFERROR(IF(OR(NOT(ISNUMBER('Price History'!U84)),NOT(ISNUMBER('Price History'!U83)),'Price History'!U83=0),"",'Price History'!U84/'Price History'!U83-1),"")</f>
        <v>-0.0833970925784239</v>
      </c>
      <c r="V83" s="143" t="n">
        <f aca="false">IFERROR(IF(OR(NOT(ISNUMBER('Price History'!V84)),NOT(ISNUMBER('Price History'!V83)),'Price History'!V83=0),"",'Price History'!V84/'Price History'!V83-1),"")</f>
        <v>-0.0866743369619731</v>
      </c>
      <c r="W83" s="144" t="n">
        <f aca="false">IFERROR('Price History'!B3+(INDEX('Price History'!B:B,MATCH(9.99E+307,'Returns (Calc)'!$A:$A)+1)-'Price History'!B3)*(ROW()-3)/(MATCH(9.99E+307,'Returns (Calc)'!$A:$A)-3),"")</f>
        <v>381.446962025316</v>
      </c>
      <c r="X83" s="144" t="n">
        <f aca="false">IFERROR('Price History'!C3+(INDEX('Price History'!C:C,MATCH(9.99E+307,'Returns (Calc)'!$A:$A)+1)-'Price History'!C3)*(ROW()-3)/(MATCH(9.99E+307,'Returns (Calc)'!$A:$A)-3),"")</f>
        <v>127.785063291139</v>
      </c>
      <c r="Y83" s="144" t="n">
        <f aca="false">IFERROR('Price History'!D3+(INDEX('Price History'!D:D,MATCH(9.99E+307,'Returns (Calc)'!$A:$A)+1)-'Price History'!D3)*(ROW()-3)/(MATCH(9.99E+307,'Returns (Calc)'!$A:$A)-3),"")</f>
        <v>1232.79481012658</v>
      </c>
      <c r="Z83" s="144" t="n">
        <f aca="false">IFERROR('Price History'!E3+(INDEX('Price History'!E:E,MATCH(9.99E+307,'Returns (Calc)'!$A:$A)+1)-'Price History'!E3)*(ROW()-3)/(MATCH(9.99E+307,'Returns (Calc)'!$A:$A)-3),"")</f>
        <v>220.298734177215</v>
      </c>
      <c r="AA83" s="144" t="n">
        <f aca="false">IFERROR('Price History'!F3+(INDEX('Price History'!F:F,MATCH(9.99E+307,'Returns (Calc)'!$A:$A)+1)-'Price History'!F3)*(ROW()-3)/(MATCH(9.99E+307,'Returns (Calc)'!$A:$A)-3),"")</f>
        <v>157.147341772152</v>
      </c>
      <c r="AB83" s="144" t="n">
        <f aca="false">IFERROR('Price History'!G3+(INDEX('Price History'!G:G,MATCH(9.99E+307,'Returns (Calc)'!$A:$A)+1)-'Price History'!G3)*(ROW()-3)/(MATCH(9.99E+307,'Returns (Calc)'!$A:$A)-3),"")</f>
        <v>126.648734177215</v>
      </c>
      <c r="AC83" s="144" t="n">
        <f aca="false">IFERROR('Price History'!H3+(INDEX('Price History'!H:H,MATCH(9.99E+307,'Returns (Calc)'!$A:$A)+1)-'Price History'!H3)*(ROW()-3)/(MATCH(9.99E+307,'Returns (Calc)'!$A:$A)-3),"")</f>
        <v>578.365696202532</v>
      </c>
      <c r="AD83" s="144" t="n">
        <f aca="false">IFERROR('Price History'!I3+(INDEX('Price History'!I:I,MATCH(9.99E+307,'Returns (Calc)'!$A:$A)+1)-'Price History'!I3)*(ROW()-3)/(MATCH(9.99E+307,'Returns (Calc)'!$A:$A)-3),"")</f>
        <v>140.063670886076</v>
      </c>
      <c r="AE83" s="144" t="n">
        <f aca="false">IFERROR('Price History'!J3+(INDEX('Price History'!J:J,MATCH(9.99E+307,'Returns (Calc)'!$A:$A)+1)-'Price History'!J3)*(ROW()-3)/(MATCH(9.99E+307,'Returns (Calc)'!$A:$A)-3),"")</f>
        <v>120.483037974684</v>
      </c>
      <c r="AF83" s="144" t="n">
        <f aca="false">IFERROR('Price History'!K3+(INDEX('Price History'!K:K,MATCH(9.99E+307,'Returns (Calc)'!$A:$A)+1)-'Price History'!K3)*(ROW()-3)/(MATCH(9.99E+307,'Returns (Calc)'!$A:$A)-3),"")</f>
        <v>103.137594936709</v>
      </c>
      <c r="AG83" s="144" t="n">
        <f aca="false">IFERROR('Price History'!L3+(INDEX('Price History'!L:L,MATCH(9.99E+307,'Returns (Calc)'!$A:$A)+1)-'Price History'!L3)*(ROW()-3)/(MATCH(9.99E+307,'Returns (Calc)'!$A:$A)-3),"")</f>
        <v>281.714556962025</v>
      </c>
      <c r="AH83" s="144" t="n">
        <f aca="false">IFERROR('Price History'!M3+(INDEX('Price History'!M:M,MATCH(9.99E+307,'Returns (Calc)'!$A:$A)+1)-'Price History'!M3)*(ROW()-3)/(MATCH(9.99E+307,'Returns (Calc)'!$A:$A)-3),"")</f>
        <v>146.455443037975</v>
      </c>
      <c r="AI83" s="144" t="n">
        <f aca="false">IFERROR('Price History'!N3+(INDEX('Price History'!N:N,MATCH(9.99E+307,'Returns (Calc)'!$A:$A)+1)-'Price History'!N3)*(ROW()-3)/(MATCH(9.99E+307,'Returns (Calc)'!$A:$A)-3),"")</f>
        <v>427.801265822785</v>
      </c>
      <c r="AJ83" s="144" t="n">
        <f aca="false">IFERROR('Price History'!O3+(INDEX('Price History'!O:O,MATCH(9.99E+307,'Returns (Calc)'!$A:$A)+1)-'Price History'!O3)*(ROW()-3)/(MATCH(9.99E+307,'Returns (Calc)'!$A:$A)-3),"")</f>
        <v>97.9530379746836</v>
      </c>
      <c r="AK83" s="144" t="n">
        <f aca="false">IFERROR('Price History'!Q3+(INDEX('Price History'!Q:Q,MATCH(9.99E+307,'Returns (Calc)'!$A:$A)+1)-'Price History'!Q3)*(ROW()-3)/(MATCH(9.99E+307,'Returns (Calc)'!$A:$A)-3),"")</f>
        <v>35.1493670886076</v>
      </c>
      <c r="AL83" s="144" t="n">
        <f aca="false">IFERROR('Price History'!R3+(INDEX('Price History'!R:R,MATCH(9.99E+307,'Returns (Calc)'!$A:$A)+1)-'Price History'!R3)*(ROW()-3)/(MATCH(9.99E+307,'Returns (Calc)'!$A:$A)-3),"")</f>
        <v>47.9281012658228</v>
      </c>
      <c r="AM83" s="144" t="n">
        <f aca="false">IFERROR('Price History'!S3+(INDEX('Price History'!S:S,MATCH(9.99E+307,'Returns (Calc)'!$A:$A)+1)-'Price History'!S3)*(ROW()-3)/(MATCH(9.99E+307,'Returns (Calc)'!$A:$A)-3),"")</f>
        <v>106.035063291139</v>
      </c>
      <c r="AN83" s="144" t="n">
        <f aca="false">IFERROR('Price History'!T3+(INDEX('Price History'!T:T,MATCH(9.99E+307,'Returns (Calc)'!$A:$A)+1)-'Price History'!T3)*(ROW()-3)/(MATCH(9.99E+307,'Returns (Calc)'!$A:$A)-3),"")</f>
        <v>38.6982278481013</v>
      </c>
      <c r="AO83" s="145" t="n">
        <f aca="false">IFERROR('Price History'!V3+(INDEX('Price History'!V:V,MATCH(9.99E+307,'Returns (Calc)'!$A:$A)+1)-'Price History'!V3)*(ROW()-3)/(MATCH(9.99E+307,'Returns (Calc)'!$A:$A)-3),"")</f>
        <v>298.936329113924</v>
      </c>
      <c r="AP83" s="143" t="n">
        <f aca="false">IFERROR(IF(OR(NOT(ISNUMBER('Price History'!W84)),NOT(ISNUMBER('Price History'!W83)),'Price History'!W83=0),"",'Price History'!W84/'Price History'!W83-1),"")</f>
        <v>-0.0824792581747194</v>
      </c>
      <c r="AQ83" s="143" t="str">
        <f aca="false">IFERROR(IF(OR(NOT(ISNUMBER('Price History'!X84)),NOT(ISNUMBER('Price History'!X83)),'Price History'!X83=0),"",'Price History'!X84/'Price History'!X83-1),"")</f>
        <v/>
      </c>
      <c r="AR83" s="143" t="n">
        <f aca="false">IFERROR(IF(OR(NOT(ISNUMBER('Price History'!Y84)),NOT(ISNUMBER('Price History'!Y83)),'Price History'!Y83=0),"",'Price History'!Y84/'Price History'!Y83-1),"")</f>
        <v>-0.0734554236264842</v>
      </c>
      <c r="AS83" s="143" t="n">
        <f aca="false">IFERROR(IF(OR(NOT(ISNUMBER('Price History'!Z84)),NOT(ISNUMBER('Price History'!Z83)),'Price History'!Z83=0),"",'Price History'!Z84/'Price History'!Z83-1),"")</f>
        <v>-0.165424514049753</v>
      </c>
      <c r="AT83" s="143" t="n">
        <f aca="false">IFERROR(IF(OR(NOT(ISNUMBER('Price History'!AA84)),NOT(ISNUMBER('Price History'!AA83)),'Price History'!AA83=0),"",'Price History'!AA84/'Price History'!AA83-1),"")</f>
        <v>-0.0835207195631224</v>
      </c>
    </row>
    <row r="84" customFormat="false" ht="15" hidden="false" customHeight="true" outlineLevel="0" collapsed="false">
      <c r="A84" s="141" t="n">
        <f aca="false">IF('Price History'!A85="","",'Price History'!A85)</f>
        <v>45758</v>
      </c>
      <c r="B84" s="142" t="n">
        <f aca="false">IFERROR(IF(OR(NOT(ISNUMBER('Price History'!B85)),NOT(ISNUMBER('Price History'!B84)),'Price History'!B84=0),"",'Price History'!B85/'Price History'!B84-1),"")</f>
        <v>0.00974016672873646</v>
      </c>
      <c r="C84" s="142" t="n">
        <f aca="false">IFERROR(IF(OR(NOT(ISNUMBER('Price History'!C85)),NOT(ISNUMBER('Price History'!C84)),'Price History'!C84=0),"",'Price History'!C85/'Price History'!C84-1),"")</f>
        <v>0.128942053751748</v>
      </c>
      <c r="D84" s="142" t="n">
        <f aca="false">IFERROR(IF(OR(NOT(ISNUMBER('Price History'!D85)),NOT(ISNUMBER('Price History'!D84)),'Price History'!D84=0),"",'Price History'!D85/'Price History'!D84-1),"")</f>
        <v>0.104478360441985</v>
      </c>
      <c r="E84" s="142" t="n">
        <f aca="false">IFERROR(IF(OR(NOT(ISNUMBER('Price History'!E85)),NOT(ISNUMBER('Price History'!E84)),'Price History'!E84=0),"",'Price History'!E85/'Price History'!E84-1),"")</f>
        <v>0.243673074263587</v>
      </c>
      <c r="F84" s="142" t="n">
        <f aca="false">IFERROR(IF(OR(NOT(ISNUMBER('Price History'!F85)),NOT(ISNUMBER('Price History'!F84)),'Price History'!F84=0),"",'Price History'!F85/'Price History'!F84-1),"")</f>
        <v>0.174853873896282</v>
      </c>
      <c r="G84" s="142" t="n">
        <f aca="false">IFERROR(IF(OR(NOT(ISNUMBER('Price History'!G85)),NOT(ISNUMBER('Price History'!G84)),'Price History'!G84=0),"",'Price History'!G85/'Price History'!G84-1),"")</f>
        <v>0.162578836720392</v>
      </c>
      <c r="H84" s="142" t="n">
        <f aca="false">IFERROR(IF(OR(NOT(ISNUMBER('Price History'!H85)),NOT(ISNUMBER('Price History'!H84)),'Price History'!H84=0),"",'Price History'!H85/'Price History'!H84-1),"")</f>
        <v>0.0745043370508054</v>
      </c>
      <c r="I84" s="142" t="n">
        <f aca="false">IFERROR(IF(OR(NOT(ISNUMBER('Price History'!I85)),NOT(ISNUMBER('Price History'!I84)),'Price History'!I84=0),"",'Price History'!I85/'Price History'!I84-1),"")</f>
        <v>0.176251727437015</v>
      </c>
      <c r="J84" s="142" t="n">
        <f aca="false">IFERROR(IF(OR(NOT(ISNUMBER('Price History'!J85)),NOT(ISNUMBER('Price History'!J84)),'Price History'!J84=0),"",'Price History'!J85/'Price History'!J84-1),"")</f>
        <v>-0.0204256229280292</v>
      </c>
      <c r="K84" s="142" t="n">
        <f aca="false">IFERROR(IF(OR(NOT(ISNUMBER('Price History'!K85)),NOT(ISNUMBER('Price History'!K84)),'Price History'!K84=0),"",'Price History'!K85/'Price History'!K84-1),"")</f>
        <v>0.196459937846237</v>
      </c>
      <c r="L84" s="142" t="n">
        <f aca="false">IFERROR(IF(OR(NOT(ISNUMBER('Price History'!L85)),NOT(ISNUMBER('Price History'!L84)),'Price History'!L84=0),"",'Price History'!L85/'Price History'!L84-1),"")</f>
        <v>0.0700027723870251</v>
      </c>
      <c r="M84" s="142" t="n">
        <f aca="false">IFERROR(IF(OR(NOT(ISNUMBER('Price History'!M85)),NOT(ISNUMBER('Price History'!M84)),'Price History'!M84=0),"",'Price History'!M85/'Price History'!M84-1),"")</f>
        <v>0.171640532793795</v>
      </c>
      <c r="N84" s="142" t="n">
        <f aca="false">IFERROR(IF(OR(NOT(ISNUMBER('Price History'!N85)),NOT(ISNUMBER('Price History'!N84)),'Price History'!N84=0),"",'Price History'!N85/'Price History'!N84-1),"")</f>
        <v>0.0202267076819351</v>
      </c>
      <c r="O84" s="142" t="n">
        <f aca="false">IFERROR(IF(OR(NOT(ISNUMBER('Price History'!O85)),NOT(ISNUMBER('Price History'!O84)),'Price History'!O84=0),"",'Price History'!O85/'Price History'!O84-1),"")</f>
        <v>0.0125885129819039</v>
      </c>
      <c r="P84" s="142" t="n">
        <f aca="false">IFERROR(IF(OR(NOT(ISNUMBER('Price History'!P85)),NOT(ISNUMBER('Price History'!P84)),'Price History'!P84=0),"",'Price History'!P85/'Price History'!P84-1),"")</f>
        <v>0.0160705028512183</v>
      </c>
      <c r="Q84" s="142" t="n">
        <f aca="false">IFERROR(IF(OR(NOT(ISNUMBER('Price History'!Q85)),NOT(ISNUMBER('Price History'!Q84)),'Price History'!Q84=0),"",'Price History'!Q85/'Price History'!Q84-1),"")</f>
        <v>0.0188612726952231</v>
      </c>
      <c r="R84" s="142" t="n">
        <f aca="false">IFERROR(IF(OR(NOT(ISNUMBER('Price History'!R85)),NOT(ISNUMBER('Price History'!R84)),'Price History'!R84=0),"",'Price History'!R85/'Price History'!R84-1),"")</f>
        <v>0.0630262822148506</v>
      </c>
      <c r="S84" s="142" t="n">
        <f aca="false">IFERROR(IF(OR(NOT(ISNUMBER('Price History'!S85)),NOT(ISNUMBER('Price History'!S84)),'Price History'!S84=0),"",'Price History'!S85/'Price History'!S84-1),"")</f>
        <v>0.0910990902385049</v>
      </c>
      <c r="T84" s="142" t="n">
        <f aca="false">IFERROR(IF(OR(NOT(ISNUMBER('Price History'!T85)),NOT(ISNUMBER('Price History'!T84)),'Price History'!T84=0),"",'Price History'!T85/'Price History'!T84-1),"")</f>
        <v>0.0211012199142764</v>
      </c>
      <c r="U84" s="142" t="n">
        <f aca="false">IFERROR(IF(OR(NOT(ISNUMBER('Price History'!U85)),NOT(ISNUMBER('Price History'!U84)),'Price History'!U84=0),"",'Price History'!U85/'Price History'!U84-1),"")</f>
        <v>0.000834724540901499</v>
      </c>
      <c r="V84" s="143" t="n">
        <f aca="false">IFERROR(IF(OR(NOT(ISNUMBER('Price History'!V85)),NOT(ISNUMBER('Price History'!V84)),'Price History'!V84=0),"",'Price History'!V85/'Price History'!V84-1),"")</f>
        <v>0.0647307729577829</v>
      </c>
      <c r="W84" s="144" t="n">
        <f aca="false">IFERROR('Price History'!B3+(INDEX('Price History'!B:B,MATCH(9.99E+307,'Returns (Calc)'!$A:$A)+1)-'Price History'!B3)*(ROW()-3)/(MATCH(9.99E+307,'Returns (Calc)'!$A:$A)-3),"")</f>
        <v>379.603924050633</v>
      </c>
      <c r="X84" s="144" t="n">
        <f aca="false">IFERROR('Price History'!C3+(INDEX('Price History'!C:C,MATCH(9.99E+307,'Returns (Calc)'!$A:$A)+1)-'Price History'!C3)*(ROW()-3)/(MATCH(9.99E+307,'Returns (Calc)'!$A:$A)-3),"")</f>
        <v>128.805126582278</v>
      </c>
      <c r="Y84" s="144" t="n">
        <f aca="false">IFERROR('Price History'!D3+(INDEX('Price History'!D:D,MATCH(9.99E+307,'Returns (Calc)'!$A:$A)+1)-'Price History'!D3)*(ROW()-3)/(MATCH(9.99E+307,'Returns (Calc)'!$A:$A)-3),"")</f>
        <v>1240.92962025316</v>
      </c>
      <c r="Z84" s="144" t="n">
        <f aca="false">IFERROR('Price History'!E3+(INDEX('Price History'!E:E,MATCH(9.99E+307,'Returns (Calc)'!$A:$A)+1)-'Price History'!E3)*(ROW()-3)/(MATCH(9.99E+307,'Returns (Calc)'!$A:$A)-3),"")</f>
        <v>222.02746835443</v>
      </c>
      <c r="AA84" s="144" t="n">
        <f aca="false">IFERROR('Price History'!F3+(INDEX('Price History'!F:F,MATCH(9.99E+307,'Returns (Calc)'!$A:$A)+1)-'Price History'!F3)*(ROW()-3)/(MATCH(9.99E+307,'Returns (Calc)'!$A:$A)-3),"")</f>
        <v>158.594683544304</v>
      </c>
      <c r="AB84" s="144" t="n">
        <f aca="false">IFERROR('Price History'!G3+(INDEX('Price History'!G:G,MATCH(9.99E+307,'Returns (Calc)'!$A:$A)+1)-'Price History'!G3)*(ROW()-3)/(MATCH(9.99E+307,'Returns (Calc)'!$A:$A)-3),"")</f>
        <v>127.67746835443</v>
      </c>
      <c r="AC84" s="144" t="n">
        <f aca="false">IFERROR('Price History'!H3+(INDEX('Price History'!H:H,MATCH(9.99E+307,'Returns (Calc)'!$A:$A)+1)-'Price History'!H3)*(ROW()-3)/(MATCH(9.99E+307,'Returns (Calc)'!$A:$A)-3),"")</f>
        <v>584.731392405063</v>
      </c>
      <c r="AD84" s="144" t="n">
        <f aca="false">IFERROR('Price History'!I3+(INDEX('Price History'!I:I,MATCH(9.99E+307,'Returns (Calc)'!$A:$A)+1)-'Price History'!I3)*(ROW()-3)/(MATCH(9.99E+307,'Returns (Calc)'!$A:$A)-3),"")</f>
        <v>141.267341772152</v>
      </c>
      <c r="AE84" s="144" t="n">
        <f aca="false">IFERROR('Price History'!J3+(INDEX('Price History'!J:J,MATCH(9.99E+307,'Returns (Calc)'!$A:$A)+1)-'Price History'!J3)*(ROW()-3)/(MATCH(9.99E+307,'Returns (Calc)'!$A:$A)-3),"")</f>
        <v>120.591075949367</v>
      </c>
      <c r="AF84" s="144" t="n">
        <f aca="false">IFERROR('Price History'!K3+(INDEX('Price History'!K:K,MATCH(9.99E+307,'Returns (Calc)'!$A:$A)+1)-'Price History'!K3)*(ROW()-3)/(MATCH(9.99E+307,'Returns (Calc)'!$A:$A)-3),"")</f>
        <v>104.235189873418</v>
      </c>
      <c r="AG84" s="144" t="n">
        <f aca="false">IFERROR('Price History'!L3+(INDEX('Price History'!L:L,MATCH(9.99E+307,'Returns (Calc)'!$A:$A)+1)-'Price History'!L3)*(ROW()-3)/(MATCH(9.99E+307,'Returns (Calc)'!$A:$A)-3),"")</f>
        <v>284.164113924051</v>
      </c>
      <c r="AH84" s="144" t="n">
        <f aca="false">IFERROR('Price History'!M3+(INDEX('Price History'!M:M,MATCH(9.99E+307,'Returns (Calc)'!$A:$A)+1)-'Price History'!M3)*(ROW()-3)/(MATCH(9.99E+307,'Returns (Calc)'!$A:$A)-3),"")</f>
        <v>147.810886075949</v>
      </c>
      <c r="AI84" s="144" t="n">
        <f aca="false">IFERROR('Price History'!N3+(INDEX('Price History'!N:N,MATCH(9.99E+307,'Returns (Calc)'!$A:$A)+1)-'Price History'!N3)*(ROW()-3)/(MATCH(9.99E+307,'Returns (Calc)'!$A:$A)-3),"")</f>
        <v>428.78753164557</v>
      </c>
      <c r="AJ84" s="144" t="n">
        <f aca="false">IFERROR('Price History'!O3+(INDEX('Price History'!O:O,MATCH(9.99E+307,'Returns (Calc)'!$A:$A)+1)-'Price History'!O3)*(ROW()-3)/(MATCH(9.99E+307,'Returns (Calc)'!$A:$A)-3),"")</f>
        <v>98.2360759493671</v>
      </c>
      <c r="AK84" s="144" t="n">
        <f aca="false">IFERROR('Price History'!Q3+(INDEX('Price History'!Q:Q,MATCH(9.99E+307,'Returns (Calc)'!$A:$A)+1)-'Price History'!Q3)*(ROW()-3)/(MATCH(9.99E+307,'Returns (Calc)'!$A:$A)-3),"")</f>
        <v>35.5887341772152</v>
      </c>
      <c r="AL84" s="144" t="n">
        <f aca="false">IFERROR('Price History'!R3+(INDEX('Price History'!R:R,MATCH(9.99E+307,'Returns (Calc)'!$A:$A)+1)-'Price History'!R3)*(ROW()-3)/(MATCH(9.99E+307,'Returns (Calc)'!$A:$A)-3),"")</f>
        <v>48.0962025316456</v>
      </c>
      <c r="AM84" s="144" t="n">
        <f aca="false">IFERROR('Price History'!S3+(INDEX('Price History'!S:S,MATCH(9.99E+307,'Returns (Calc)'!$A:$A)+1)-'Price History'!S3)*(ROW()-3)/(MATCH(9.99E+307,'Returns (Calc)'!$A:$A)-3),"")</f>
        <v>106.640126582278</v>
      </c>
      <c r="AN84" s="144" t="n">
        <f aca="false">IFERROR('Price History'!T3+(INDEX('Price History'!T:T,MATCH(9.99E+307,'Returns (Calc)'!$A:$A)+1)-'Price History'!T3)*(ROW()-3)/(MATCH(9.99E+307,'Returns (Calc)'!$A:$A)-3),"")</f>
        <v>38.8664556962025</v>
      </c>
      <c r="AO84" s="145" t="n">
        <f aca="false">IFERROR('Price History'!V3+(INDEX('Price History'!V:V,MATCH(9.99E+307,'Returns (Calc)'!$A:$A)+1)-'Price History'!V3)*(ROW()-3)/(MATCH(9.99E+307,'Returns (Calc)'!$A:$A)-3),"")</f>
        <v>299.727658227848</v>
      </c>
      <c r="AP84" s="143" t="n">
        <f aca="false">IFERROR(IF(OR(NOT(ISNUMBER('Price History'!W85)),NOT(ISNUMBER('Price History'!W84)),'Price History'!W84=0),"",'Price History'!W85/'Price History'!W84-1),"")</f>
        <v>0.034131205673759</v>
      </c>
      <c r="AQ84" s="143" t="str">
        <f aca="false">IFERROR(IF(OR(NOT(ISNUMBER('Price History'!X85)),NOT(ISNUMBER('Price History'!X84)),'Price History'!X84=0),"",'Price History'!X85/'Price History'!X84-1),"")</f>
        <v/>
      </c>
      <c r="AR84" s="143" t="n">
        <f aca="false">IFERROR(IF(OR(NOT(ISNUMBER('Price History'!Y85)),NOT(ISNUMBER('Price History'!Y84)),'Price History'!Y84=0),"",'Price History'!Y85/'Price History'!Y84-1),"")</f>
        <v>0.0351867940920938</v>
      </c>
      <c r="AS84" s="143" t="n">
        <f aca="false">IFERROR(IF(OR(NOT(ISNUMBER('Price History'!Z85)),NOT(ISNUMBER('Price History'!Z84)),'Price History'!Z84=0),"",'Price History'!Z85/'Price History'!Z84-1),"")</f>
        <v>0.0890605201230919</v>
      </c>
      <c r="AT84" s="143" t="n">
        <f aca="false">IFERROR(IF(OR(NOT(ISNUMBER('Price History'!AA85)),NOT(ISNUMBER('Price History'!AA84)),'Price History'!AA84=0),"",'Price History'!AA85/'Price History'!AA84-1),"")</f>
        <v>0.0729057132842621</v>
      </c>
    </row>
    <row r="85" customFormat="false" ht="15" hidden="false" customHeight="true" outlineLevel="0" collapsed="false">
      <c r="A85" s="141" t="n">
        <f aca="false">IF('Price History'!A86="","",'Price History'!A86)</f>
        <v>45765</v>
      </c>
      <c r="B85" s="142" t="n">
        <f aca="false">IFERROR(IF(OR(NOT(ISNUMBER('Price History'!B86)),NOT(ISNUMBER('Price History'!B85)),'Price History'!B85=0),"",'Price History'!B86/'Price History'!B85-1),"")</f>
        <v>-0.0104122336652765</v>
      </c>
      <c r="C85" s="142" t="n">
        <f aca="false">IFERROR(IF(OR(NOT(ISNUMBER('Price History'!C86)),NOT(ISNUMBER('Price History'!C85)),'Price History'!C85=0),"",'Price History'!C86/'Price History'!C85-1),"")</f>
        <v>-0.0202284298885372</v>
      </c>
      <c r="D85" s="142" t="n">
        <f aca="false">IFERROR(IF(OR(NOT(ISNUMBER('Price History'!D86)),NOT(ISNUMBER('Price History'!D85)),'Price History'!D85=0),"",'Price History'!D86/'Price History'!D85-1),"")</f>
        <v>-0.0428478454995385</v>
      </c>
      <c r="E85" s="142" t="n">
        <f aca="false">IFERROR(IF(OR(NOT(ISNUMBER('Price History'!E86)),NOT(ISNUMBER('Price History'!E85)),'Price History'!E85=0),"",'Price History'!E86/'Price History'!E85-1),"")</f>
        <v>-0.0601579005893473</v>
      </c>
      <c r="F85" s="142" t="n">
        <f aca="false">IFERROR(IF(OR(NOT(ISNUMBER('Price History'!F86)),NOT(ISNUMBER('Price History'!F85)),'Price History'!F85=0),"",'Price History'!F86/'Price History'!F85-1),"")</f>
        <v>-0.00603366147983475</v>
      </c>
      <c r="G85" s="142" t="n">
        <f aca="false">IFERROR(IF(OR(NOT(ISNUMBER('Price History'!G86)),NOT(ISNUMBER('Price History'!G85)),'Price History'!G85=0),"",'Price History'!G86/'Price History'!G85-1),"")</f>
        <v>-0.0534960819770945</v>
      </c>
      <c r="H85" s="142" t="n">
        <f aca="false">IFERROR(IF(OR(NOT(ISNUMBER('Price History'!H86)),NOT(ISNUMBER('Price History'!H85)),'Price History'!H85=0),"",'Price History'!H86/'Price History'!H85-1),"")</f>
        <v>-0.0106674354908464</v>
      </c>
      <c r="I85" s="142" t="n">
        <f aca="false">IFERROR(IF(OR(NOT(ISNUMBER('Price History'!I86)),NOT(ISNUMBER('Price History'!I85)),'Price History'!I85=0),"",'Price History'!I86/'Price History'!I85-1),"")</f>
        <v>-0.0851333032083145</v>
      </c>
      <c r="J85" s="142" t="n">
        <f aca="false">IFERROR(IF(OR(NOT(ISNUMBER('Price History'!J86)),NOT(ISNUMBER('Price History'!J85)),'Price History'!J85=0),"",'Price History'!J86/'Price History'!J85-1),"")</f>
        <v>0.0610262008733624</v>
      </c>
      <c r="K85" s="142" t="n">
        <f aca="false">IFERROR(IF(OR(NOT(ISNUMBER('Price History'!K86)),NOT(ISNUMBER('Price History'!K85)),'Price History'!K85=0),"",'Price History'!K86/'Price History'!K85-1),"")</f>
        <v>0.0590626764539808</v>
      </c>
      <c r="L85" s="142" t="n">
        <f aca="false">IFERROR(IF(OR(NOT(ISNUMBER('Price History'!L86)),NOT(ISNUMBER('Price History'!L85)),'Price History'!L85=0),"",'Price History'!L86/'Price History'!L85-1),"")</f>
        <v>-0.0340069957248348</v>
      </c>
      <c r="M85" s="142" t="n">
        <f aca="false">IFERROR(IF(OR(NOT(ISNUMBER('Price History'!M86)),NOT(ISNUMBER('Price History'!M85)),'Price History'!M85=0),"",'Price History'!M86/'Price History'!M85-1),"")</f>
        <v>0.0518060152539934</v>
      </c>
      <c r="N85" s="142" t="n">
        <f aca="false">IFERROR(IF(OR(NOT(ISNUMBER('Price History'!N86)),NOT(ISNUMBER('Price History'!N85)),'Price History'!N85=0),"",'Price History'!N86/'Price History'!N85-1),"")</f>
        <v>0.0100780636900581</v>
      </c>
      <c r="O85" s="142" t="n">
        <f aca="false">IFERROR(IF(OR(NOT(ISNUMBER('Price History'!O86)),NOT(ISNUMBER('Price History'!O85)),'Price History'!O85=0),"",'Price History'!O86/'Price History'!O85-1),"")</f>
        <v>0.0186480186480187</v>
      </c>
      <c r="P85" s="142" t="n">
        <f aca="false">IFERROR(IF(OR(NOT(ISNUMBER('Price History'!P86)),NOT(ISNUMBER('Price History'!P85)),'Price History'!P85=0),"",'Price History'!P86/'Price History'!P85-1),"")</f>
        <v>0.0147108843537416</v>
      </c>
      <c r="Q85" s="142" t="n">
        <f aca="false">IFERROR(IF(OR(NOT(ISNUMBER('Price History'!Q86)),NOT(ISNUMBER('Price History'!Q85)),'Price History'!Q85=0),"",'Price History'!Q86/'Price History'!Q85-1),"")</f>
        <v>-0.00605536332179923</v>
      </c>
      <c r="R85" s="142" t="n">
        <f aca="false">IFERROR(IF(OR(NOT(ISNUMBER('Price History'!R86)),NOT(ISNUMBER('Price History'!R85)),'Price History'!R85=0),"",'Price History'!R86/'Price History'!R85-1),"")</f>
        <v>-0.0160825732117137</v>
      </c>
      <c r="S85" s="142" t="n">
        <f aca="false">IFERROR(IF(OR(NOT(ISNUMBER('Price History'!S86)),NOT(ISNUMBER('Price History'!S85)),'Price History'!S85=0),"",'Price History'!S86/'Price History'!S85-1),"")</f>
        <v>-0.0173521126760564</v>
      </c>
      <c r="T85" s="142" t="n">
        <f aca="false">IFERROR(IF(OR(NOT(ISNUMBER('Price History'!T86)),NOT(ISNUMBER('Price History'!T85)),'Price History'!T85=0),"",'Price History'!T86/'Price History'!T85-1),"")</f>
        <v>0.00678075556990643</v>
      </c>
      <c r="U85" s="142" t="n">
        <f aca="false">IFERROR(IF(OR(NOT(ISNUMBER('Price History'!U86)),NOT(ISNUMBER('Price History'!U85)),'Price History'!U85=0),"",'Price History'!U86/'Price History'!U85-1),"")</f>
        <v>0.00458715596330284</v>
      </c>
      <c r="V85" s="143" t="n">
        <f aca="false">IFERROR(IF(OR(NOT(ISNUMBER('Price History'!V86)),NOT(ISNUMBER('Price History'!V85)),'Price History'!V85=0),"",'Price History'!V86/'Price History'!V85-1),"")</f>
        <v>-0.0113763917119194</v>
      </c>
      <c r="W85" s="144" t="n">
        <f aca="false">IFERROR('Price History'!B3+(INDEX('Price History'!B:B,MATCH(9.99E+307,'Returns (Calc)'!$A:$A)+1)-'Price History'!B3)*(ROW()-3)/(MATCH(9.99E+307,'Returns (Calc)'!$A:$A)-3),"")</f>
        <v>377.760886075949</v>
      </c>
      <c r="X85" s="144" t="n">
        <f aca="false">IFERROR('Price History'!C3+(INDEX('Price History'!C:C,MATCH(9.99E+307,'Returns (Calc)'!$A:$A)+1)-'Price History'!C3)*(ROW()-3)/(MATCH(9.99E+307,'Returns (Calc)'!$A:$A)-3),"")</f>
        <v>129.825189873418</v>
      </c>
      <c r="Y85" s="144" t="n">
        <f aca="false">IFERROR('Price History'!D3+(INDEX('Price History'!D:D,MATCH(9.99E+307,'Returns (Calc)'!$A:$A)+1)-'Price History'!D3)*(ROW()-3)/(MATCH(9.99E+307,'Returns (Calc)'!$A:$A)-3),"")</f>
        <v>1249.06443037975</v>
      </c>
      <c r="Z85" s="144" t="n">
        <f aca="false">IFERROR('Price History'!E3+(INDEX('Price History'!E:E,MATCH(9.99E+307,'Returns (Calc)'!$A:$A)+1)-'Price History'!E3)*(ROW()-3)/(MATCH(9.99E+307,'Returns (Calc)'!$A:$A)-3),"")</f>
        <v>223.756202531646</v>
      </c>
      <c r="AA85" s="144" t="n">
        <f aca="false">IFERROR('Price History'!F3+(INDEX('Price History'!F:F,MATCH(9.99E+307,'Returns (Calc)'!$A:$A)+1)-'Price History'!F3)*(ROW()-3)/(MATCH(9.99E+307,'Returns (Calc)'!$A:$A)-3),"")</f>
        <v>160.042025316456</v>
      </c>
      <c r="AB85" s="144" t="n">
        <f aca="false">IFERROR('Price History'!G3+(INDEX('Price History'!G:G,MATCH(9.99E+307,'Returns (Calc)'!$A:$A)+1)-'Price History'!G3)*(ROW()-3)/(MATCH(9.99E+307,'Returns (Calc)'!$A:$A)-3),"")</f>
        <v>128.706202531646</v>
      </c>
      <c r="AC85" s="144" t="n">
        <f aca="false">IFERROR('Price History'!H3+(INDEX('Price History'!H:H,MATCH(9.99E+307,'Returns (Calc)'!$A:$A)+1)-'Price History'!H3)*(ROW()-3)/(MATCH(9.99E+307,'Returns (Calc)'!$A:$A)-3),"")</f>
        <v>591.097088607595</v>
      </c>
      <c r="AD85" s="144" t="n">
        <f aca="false">IFERROR('Price History'!I3+(INDEX('Price History'!I:I,MATCH(9.99E+307,'Returns (Calc)'!$A:$A)+1)-'Price History'!I3)*(ROW()-3)/(MATCH(9.99E+307,'Returns (Calc)'!$A:$A)-3),"")</f>
        <v>142.471012658228</v>
      </c>
      <c r="AE85" s="144" t="n">
        <f aca="false">IFERROR('Price History'!J3+(INDEX('Price History'!J:J,MATCH(9.99E+307,'Returns (Calc)'!$A:$A)+1)-'Price History'!J3)*(ROW()-3)/(MATCH(9.99E+307,'Returns (Calc)'!$A:$A)-3),"")</f>
        <v>120.699113924051</v>
      </c>
      <c r="AF85" s="144" t="n">
        <f aca="false">IFERROR('Price History'!K3+(INDEX('Price History'!K:K,MATCH(9.99E+307,'Returns (Calc)'!$A:$A)+1)-'Price History'!K3)*(ROW()-3)/(MATCH(9.99E+307,'Returns (Calc)'!$A:$A)-3),"")</f>
        <v>105.332784810127</v>
      </c>
      <c r="AG85" s="144" t="n">
        <f aca="false">IFERROR('Price History'!L3+(INDEX('Price History'!L:L,MATCH(9.99E+307,'Returns (Calc)'!$A:$A)+1)-'Price History'!L3)*(ROW()-3)/(MATCH(9.99E+307,'Returns (Calc)'!$A:$A)-3),"")</f>
        <v>286.613670886076</v>
      </c>
      <c r="AH85" s="144" t="n">
        <f aca="false">IFERROR('Price History'!M3+(INDEX('Price History'!M:M,MATCH(9.99E+307,'Returns (Calc)'!$A:$A)+1)-'Price History'!M3)*(ROW()-3)/(MATCH(9.99E+307,'Returns (Calc)'!$A:$A)-3),"")</f>
        <v>149.166329113924</v>
      </c>
      <c r="AI85" s="144" t="n">
        <f aca="false">IFERROR('Price History'!N3+(INDEX('Price History'!N:N,MATCH(9.99E+307,'Returns (Calc)'!$A:$A)+1)-'Price History'!N3)*(ROW()-3)/(MATCH(9.99E+307,'Returns (Calc)'!$A:$A)-3),"")</f>
        <v>429.773797468354</v>
      </c>
      <c r="AJ85" s="144" t="n">
        <f aca="false">IFERROR('Price History'!O3+(INDEX('Price History'!O:O,MATCH(9.99E+307,'Returns (Calc)'!$A:$A)+1)-'Price History'!O3)*(ROW()-3)/(MATCH(9.99E+307,'Returns (Calc)'!$A:$A)-3),"")</f>
        <v>98.5191139240506</v>
      </c>
      <c r="AK85" s="144" t="n">
        <f aca="false">IFERROR('Price History'!Q3+(INDEX('Price History'!Q:Q,MATCH(9.99E+307,'Returns (Calc)'!$A:$A)+1)-'Price History'!Q3)*(ROW()-3)/(MATCH(9.99E+307,'Returns (Calc)'!$A:$A)-3),"")</f>
        <v>36.0281012658228</v>
      </c>
      <c r="AL85" s="144" t="n">
        <f aca="false">IFERROR('Price History'!R3+(INDEX('Price History'!R:R,MATCH(9.99E+307,'Returns (Calc)'!$A:$A)+1)-'Price History'!R3)*(ROW()-3)/(MATCH(9.99E+307,'Returns (Calc)'!$A:$A)-3),"")</f>
        <v>48.2643037974684</v>
      </c>
      <c r="AM85" s="144" t="n">
        <f aca="false">IFERROR('Price History'!S3+(INDEX('Price History'!S:S,MATCH(9.99E+307,'Returns (Calc)'!$A:$A)+1)-'Price History'!S3)*(ROW()-3)/(MATCH(9.99E+307,'Returns (Calc)'!$A:$A)-3),"")</f>
        <v>107.245189873418</v>
      </c>
      <c r="AN85" s="144" t="n">
        <f aca="false">IFERROR('Price History'!T3+(INDEX('Price History'!T:T,MATCH(9.99E+307,'Returns (Calc)'!$A:$A)+1)-'Price History'!T3)*(ROW()-3)/(MATCH(9.99E+307,'Returns (Calc)'!$A:$A)-3),"")</f>
        <v>39.0346835443038</v>
      </c>
      <c r="AO85" s="145" t="n">
        <f aca="false">IFERROR('Price History'!V3+(INDEX('Price History'!V:V,MATCH(9.99E+307,'Returns (Calc)'!$A:$A)+1)-'Price History'!V3)*(ROW()-3)/(MATCH(9.99E+307,'Returns (Calc)'!$A:$A)-3),"")</f>
        <v>300.518987341772</v>
      </c>
      <c r="AP85" s="143" t="n">
        <f aca="false">IFERROR(IF(OR(NOT(ISNUMBER('Price History'!W86)),NOT(ISNUMBER('Price History'!W85)),'Price History'!W85=0),"",'Price History'!W86/'Price History'!W85-1),"")</f>
        <v>-0.00154307758251182</v>
      </c>
      <c r="AQ85" s="143" t="str">
        <f aca="false">IFERROR(IF(OR(NOT(ISNUMBER('Price History'!X86)),NOT(ISNUMBER('Price History'!X85)),'Price History'!X85=0),"",'Price History'!X86/'Price History'!X85-1),"")</f>
        <v/>
      </c>
      <c r="AR85" s="143" t="n">
        <f aca="false">IFERROR(IF(OR(NOT(ISNUMBER('Price History'!Y86)),NOT(ISNUMBER('Price History'!Y85)),'Price History'!Y85=0),"",'Price History'!Y86/'Price History'!Y85-1),"")</f>
        <v>-0.00398657154846827</v>
      </c>
      <c r="AS85" s="143" t="n">
        <f aca="false">IFERROR(IF(OR(NOT(ISNUMBER('Price History'!Z86)),NOT(ISNUMBER('Price History'!Z85)),'Price History'!Z85=0),"",'Price History'!Z86/'Price History'!Z85-1),"")</f>
        <v>0.000664856778769041</v>
      </c>
      <c r="AT85" s="143" t="n">
        <f aca="false">IFERROR(IF(OR(NOT(ISNUMBER('Price History'!AA86)),NOT(ISNUMBER('Price History'!AA85)),'Price History'!AA85=0),"",'Price History'!AA86/'Price History'!AA85-1),"")</f>
        <v>0.0595665904388545</v>
      </c>
    </row>
    <row r="86" customFormat="false" ht="15" hidden="false" customHeight="true" outlineLevel="0" collapsed="false">
      <c r="A86" s="141" t="n">
        <f aca="false">IF('Price History'!A87="","",'Price History'!A87)</f>
        <v>45772</v>
      </c>
      <c r="B86" s="142" t="n">
        <f aca="false">IFERROR(IF(OR(NOT(ISNUMBER('Price History'!B87)),NOT(ISNUMBER('Price History'!B86)),'Price History'!B86=0),"",'Price History'!B87/'Price History'!B86-1),"")</f>
        <v>0.0542431192660551</v>
      </c>
      <c r="C86" s="142" t="n">
        <f aca="false">IFERROR(IF(OR(NOT(ISNUMBER('Price History'!C87)),NOT(ISNUMBER('Price History'!C86)),'Price History'!C86=0),"",'Price History'!C87/'Price History'!C86-1),"")</f>
        <v>0.0942415730337078</v>
      </c>
      <c r="D86" s="142" t="n">
        <f aca="false">IFERROR(IF(OR(NOT(ISNUMBER('Price History'!D87)),NOT(ISNUMBER('Price History'!D86)),'Price History'!D86=0),"",'Price History'!D87/'Price History'!D86-1),"")</f>
        <v>0.0579696394686906</v>
      </c>
      <c r="E86" s="142" t="n">
        <f aca="false">IFERROR(IF(OR(NOT(ISNUMBER('Price History'!E87)),NOT(ISNUMBER('Price History'!E86)),'Price History'!E86=0),"",'Price History'!E87/'Price History'!E86-1),"")</f>
        <v>0.124704212020823</v>
      </c>
      <c r="F86" s="142" t="n">
        <f aca="false">IFERROR(IF(OR(NOT(ISNUMBER('Price History'!F87)),NOT(ISNUMBER('Price History'!F86)),'Price History'!F86=0),"",'Price History'!F87/'Price History'!F86-1),"")</f>
        <v>0.131203407880724</v>
      </c>
      <c r="G86" s="142" t="n">
        <f aca="false">IFERROR(IF(OR(NOT(ISNUMBER('Price History'!G87)),NOT(ISNUMBER('Price History'!G86)),'Price History'!G86=0),"",'Price History'!G87/'Price History'!G86-1),"")</f>
        <v>0.0948893488298042</v>
      </c>
      <c r="H86" s="142" t="n">
        <f aca="false">IFERROR(IF(OR(NOT(ISNUMBER('Price History'!H87)),NOT(ISNUMBER('Price History'!H86)),'Price History'!H86=0),"",'Price History'!H87/'Price History'!H86-1),"")</f>
        <v>0.159551216669095</v>
      </c>
      <c r="I86" s="142" t="n">
        <f aca="false">IFERROR(IF(OR(NOT(ISNUMBER('Price History'!I87)),NOT(ISNUMBER('Price History'!I86)),'Price History'!I86=0),"",'Price History'!I87/'Price History'!I86-1),"")</f>
        <v>0.0938456979156377</v>
      </c>
      <c r="J86" s="142" t="n">
        <f aca="false">IFERROR(IF(OR(NOT(ISNUMBER('Price History'!J87)),NOT(ISNUMBER('Price History'!J86)),'Price History'!J86=0),"",'Price History'!J87/'Price History'!J86-1),"")</f>
        <v>0.00133758617141666</v>
      </c>
      <c r="K86" s="142" t="n">
        <f aca="false">IFERROR(IF(OR(NOT(ISNUMBER('Price History'!K87)),NOT(ISNUMBER('Price History'!K86)),'Price History'!K86=0),"",'Price History'!K87/'Price History'!K86-1),"")</f>
        <v>0.202601834079761</v>
      </c>
      <c r="L86" s="142" t="n">
        <f aca="false">IFERROR(IF(OR(NOT(ISNUMBER('Price History'!L87)),NOT(ISNUMBER('Price History'!L86)),'Price History'!L86=0),"",'Price History'!L87/'Price History'!L86-1),"")</f>
        <v>0.0880439884664386</v>
      </c>
      <c r="M86" s="142" t="n">
        <f aca="false">IFERROR(IF(OR(NOT(ISNUMBER('Price History'!M87)),NOT(ISNUMBER('Price History'!M86)),'Price History'!M86=0),"",'Price History'!M87/'Price History'!M86-1),"")</f>
        <v>0.187576959912437</v>
      </c>
      <c r="N86" s="142" t="n">
        <f aca="false">IFERROR(IF(OR(NOT(ISNUMBER('Price History'!N87)),NOT(ISNUMBER('Price History'!N86)),'Price History'!N86=0),"",'Price History'!N87/'Price History'!N86-1),"")</f>
        <v>0.00969126967900214</v>
      </c>
      <c r="O86" s="142" t="n">
        <f aca="false">IFERROR(IF(OR(NOT(ISNUMBER('Price History'!O87)),NOT(ISNUMBER('Price History'!O86)),'Price History'!O86=0),"",'Price History'!O87/'Price History'!O86-1),"")</f>
        <v>0.0280956013221461</v>
      </c>
      <c r="P86" s="142" t="n">
        <f aca="false">IFERROR(IF(OR(NOT(ISNUMBER('Price History'!P87)),NOT(ISNUMBER('Price History'!P86)),'Price History'!P86=0),"",'Price History'!P87/'Price History'!P86-1),"")</f>
        <v>0.0143300092181347</v>
      </c>
      <c r="Q86" s="142" t="n">
        <f aca="false">IFERROR(IF(OR(NOT(ISNUMBER('Price History'!Q87)),NOT(ISNUMBER('Price History'!Q86)),'Price History'!Q86=0),"",'Price History'!Q87/'Price History'!Q86-1),"")</f>
        <v>0.0177545691906005</v>
      </c>
      <c r="R86" s="142" t="n">
        <f aca="false">IFERROR(IF(OR(NOT(ISNUMBER('Price History'!R87)),NOT(ISNUMBER('Price History'!R86)),'Price History'!R86=0),"",'Price History'!R87/'Price History'!R86-1),"")</f>
        <v>0.0480605025616003</v>
      </c>
      <c r="S86" s="142" t="n">
        <f aca="false">IFERROR(IF(OR(NOT(ISNUMBER('Price History'!S87)),NOT(ISNUMBER('Price History'!S86)),'Price History'!S86=0),"",'Price History'!S87/'Price History'!S86-1),"")</f>
        <v>0.0652448113748425</v>
      </c>
      <c r="T86" s="142" t="n">
        <f aca="false">IFERROR(IF(OR(NOT(ISNUMBER('Price History'!T87)),NOT(ISNUMBER('Price History'!T86)),'Price History'!T86=0),"",'Price History'!T87/'Price History'!T86-1),"")</f>
        <v>0.033033996151379</v>
      </c>
      <c r="U86" s="142" t="n">
        <f aca="false">IFERROR(IF(OR(NOT(ISNUMBER('Price History'!U87)),NOT(ISNUMBER('Price History'!U86)),'Price History'!U86=0),"",'Price History'!U87/'Price History'!U86-1),"")</f>
        <v>0.00996264009962644</v>
      </c>
      <c r="V86" s="143" t="n">
        <f aca="false">IFERROR(IF(OR(NOT(ISNUMBER('Price History'!V87)),NOT(ISNUMBER('Price History'!V86)),'Price History'!V86=0),"",'Price History'!V87/'Price History'!V86-1),"")</f>
        <v>0.0168773781760156</v>
      </c>
      <c r="W86" s="144" t="n">
        <f aca="false">IFERROR('Price History'!B3+(INDEX('Price History'!B:B,MATCH(9.99E+307,'Returns (Calc)'!$A:$A)+1)-'Price History'!B3)*(ROW()-3)/(MATCH(9.99E+307,'Returns (Calc)'!$A:$A)-3),"")</f>
        <v>375.917848101266</v>
      </c>
      <c r="X86" s="144" t="n">
        <f aca="false">IFERROR('Price History'!C3+(INDEX('Price History'!C:C,MATCH(9.99E+307,'Returns (Calc)'!$A:$A)+1)-'Price History'!C3)*(ROW()-3)/(MATCH(9.99E+307,'Returns (Calc)'!$A:$A)-3),"")</f>
        <v>130.845253164557</v>
      </c>
      <c r="Y86" s="144" t="n">
        <f aca="false">IFERROR('Price History'!D3+(INDEX('Price History'!D:D,MATCH(9.99E+307,'Returns (Calc)'!$A:$A)+1)-'Price History'!D3)*(ROW()-3)/(MATCH(9.99E+307,'Returns (Calc)'!$A:$A)-3),"")</f>
        <v>1257.19924050633</v>
      </c>
      <c r="Z86" s="144" t="n">
        <f aca="false">IFERROR('Price History'!E3+(INDEX('Price History'!E:E,MATCH(9.99E+307,'Returns (Calc)'!$A:$A)+1)-'Price History'!E3)*(ROW()-3)/(MATCH(9.99E+307,'Returns (Calc)'!$A:$A)-3),"")</f>
        <v>225.484936708861</v>
      </c>
      <c r="AA86" s="144" t="n">
        <f aca="false">IFERROR('Price History'!F3+(INDEX('Price History'!F:F,MATCH(9.99E+307,'Returns (Calc)'!$A:$A)+1)-'Price History'!F3)*(ROW()-3)/(MATCH(9.99E+307,'Returns (Calc)'!$A:$A)-3),"")</f>
        <v>161.489367088608</v>
      </c>
      <c r="AB86" s="144" t="n">
        <f aca="false">IFERROR('Price History'!G3+(INDEX('Price History'!G:G,MATCH(9.99E+307,'Returns (Calc)'!$A:$A)+1)-'Price History'!G3)*(ROW()-3)/(MATCH(9.99E+307,'Returns (Calc)'!$A:$A)-3),"")</f>
        <v>129.734936708861</v>
      </c>
      <c r="AC86" s="144" t="n">
        <f aca="false">IFERROR('Price History'!H3+(INDEX('Price History'!H:H,MATCH(9.99E+307,'Returns (Calc)'!$A:$A)+1)-'Price History'!H3)*(ROW()-3)/(MATCH(9.99E+307,'Returns (Calc)'!$A:$A)-3),"")</f>
        <v>597.462784810127</v>
      </c>
      <c r="AD86" s="144" t="n">
        <f aca="false">IFERROR('Price History'!I3+(INDEX('Price History'!I:I,MATCH(9.99E+307,'Returns (Calc)'!$A:$A)+1)-'Price History'!I3)*(ROW()-3)/(MATCH(9.99E+307,'Returns (Calc)'!$A:$A)-3),"")</f>
        <v>143.674683544304</v>
      </c>
      <c r="AE86" s="144" t="n">
        <f aca="false">IFERROR('Price History'!J3+(INDEX('Price History'!J:J,MATCH(9.99E+307,'Returns (Calc)'!$A:$A)+1)-'Price History'!J3)*(ROW()-3)/(MATCH(9.99E+307,'Returns (Calc)'!$A:$A)-3),"")</f>
        <v>120.807151898734</v>
      </c>
      <c r="AF86" s="144" t="n">
        <f aca="false">IFERROR('Price History'!K3+(INDEX('Price History'!K:K,MATCH(9.99E+307,'Returns (Calc)'!$A:$A)+1)-'Price History'!K3)*(ROW()-3)/(MATCH(9.99E+307,'Returns (Calc)'!$A:$A)-3),"")</f>
        <v>106.430379746835</v>
      </c>
      <c r="AG86" s="144" t="n">
        <f aca="false">IFERROR('Price History'!L3+(INDEX('Price History'!L:L,MATCH(9.99E+307,'Returns (Calc)'!$A:$A)+1)-'Price History'!L3)*(ROW()-3)/(MATCH(9.99E+307,'Returns (Calc)'!$A:$A)-3),"")</f>
        <v>289.063227848101</v>
      </c>
      <c r="AH86" s="144" t="n">
        <f aca="false">IFERROR('Price History'!M3+(INDEX('Price History'!M:M,MATCH(9.99E+307,'Returns (Calc)'!$A:$A)+1)-'Price History'!M3)*(ROW()-3)/(MATCH(9.99E+307,'Returns (Calc)'!$A:$A)-3),"")</f>
        <v>150.521772151899</v>
      </c>
      <c r="AI86" s="144" t="n">
        <f aca="false">IFERROR('Price History'!N3+(INDEX('Price History'!N:N,MATCH(9.99E+307,'Returns (Calc)'!$A:$A)+1)-'Price History'!N3)*(ROW()-3)/(MATCH(9.99E+307,'Returns (Calc)'!$A:$A)-3),"")</f>
        <v>430.760063291139</v>
      </c>
      <c r="AJ86" s="144" t="n">
        <f aca="false">IFERROR('Price History'!O3+(INDEX('Price History'!O:O,MATCH(9.99E+307,'Returns (Calc)'!$A:$A)+1)-'Price History'!O3)*(ROW()-3)/(MATCH(9.99E+307,'Returns (Calc)'!$A:$A)-3),"")</f>
        <v>98.8021518987342</v>
      </c>
      <c r="AK86" s="144" t="n">
        <f aca="false">IFERROR('Price History'!Q3+(INDEX('Price History'!Q:Q,MATCH(9.99E+307,'Returns (Calc)'!$A:$A)+1)-'Price History'!Q3)*(ROW()-3)/(MATCH(9.99E+307,'Returns (Calc)'!$A:$A)-3),"")</f>
        <v>36.4674683544304</v>
      </c>
      <c r="AL86" s="144" t="n">
        <f aca="false">IFERROR('Price History'!R3+(INDEX('Price History'!R:R,MATCH(9.99E+307,'Returns (Calc)'!$A:$A)+1)-'Price History'!R3)*(ROW()-3)/(MATCH(9.99E+307,'Returns (Calc)'!$A:$A)-3),"")</f>
        <v>48.4324050632911</v>
      </c>
      <c r="AM86" s="144" t="n">
        <f aca="false">IFERROR('Price History'!S3+(INDEX('Price History'!S:S,MATCH(9.99E+307,'Returns (Calc)'!$A:$A)+1)-'Price History'!S3)*(ROW()-3)/(MATCH(9.99E+307,'Returns (Calc)'!$A:$A)-3),"")</f>
        <v>107.850253164557</v>
      </c>
      <c r="AN86" s="144" t="n">
        <f aca="false">IFERROR('Price History'!T3+(INDEX('Price History'!T:T,MATCH(9.99E+307,'Returns (Calc)'!$A:$A)+1)-'Price History'!T3)*(ROW()-3)/(MATCH(9.99E+307,'Returns (Calc)'!$A:$A)-3),"")</f>
        <v>39.2029113924051</v>
      </c>
      <c r="AO86" s="145" t="n">
        <f aca="false">IFERROR('Price History'!V3+(INDEX('Price History'!V:V,MATCH(9.99E+307,'Returns (Calc)'!$A:$A)+1)-'Price History'!V3)*(ROW()-3)/(MATCH(9.99E+307,'Returns (Calc)'!$A:$A)-3),"")</f>
        <v>301.310316455696</v>
      </c>
      <c r="AP86" s="143" t="n">
        <f aca="false">IFERROR(IF(OR(NOT(ISNUMBER('Price History'!W87)),NOT(ISNUMBER('Price History'!W86)),'Price History'!W86=0),"",'Price History'!W87/'Price History'!W86-1),"")</f>
        <v>0.0204344466386193</v>
      </c>
      <c r="AQ86" s="143" t="str">
        <f aca="false">IFERROR(IF(OR(NOT(ISNUMBER('Price History'!X87)),NOT(ISNUMBER('Price History'!X86)),'Price History'!X86=0),"",'Price History'!X87/'Price History'!X86-1),"")</f>
        <v/>
      </c>
      <c r="AR86" s="143" t="n">
        <f aca="false">IFERROR(IF(OR(NOT(ISNUMBER('Price History'!Y87)),NOT(ISNUMBER('Price History'!Y86)),'Price History'!Y86=0),"",'Price History'!Y87/'Price History'!Y86-1),"")</f>
        <v>0.0225405519275332</v>
      </c>
      <c r="AS86" s="143" t="n">
        <f aca="false">IFERROR(IF(OR(NOT(ISNUMBER('Price History'!Z87)),NOT(ISNUMBER('Price History'!Z86)),'Price History'!Z86=0),"",'Price History'!Z87/'Price History'!Z86-1),"")</f>
        <v>0.0915231714744476</v>
      </c>
      <c r="AT86" s="143" t="n">
        <f aca="false">IFERROR(IF(OR(NOT(ISNUMBER('Price History'!AA87)),NOT(ISNUMBER('Price History'!AA86)),'Price History'!AA86=0),"",'Price History'!AA87/'Price History'!AA86-1),"")</f>
        <v>0.132065775950668</v>
      </c>
    </row>
    <row r="87" customFormat="false" ht="15" hidden="false" customHeight="true" outlineLevel="0" collapsed="false">
      <c r="A87" s="141" t="n">
        <f aca="false">IF('Price History'!A88="","",'Price History'!A88)</f>
        <v>45779</v>
      </c>
      <c r="B87" s="142" t="n">
        <f aca="false">IFERROR(IF(OR(NOT(ISNUMBER('Price History'!B88)),NOT(ISNUMBER('Price History'!B87)),'Price History'!B87=0),"",'Price History'!B88/'Price History'!B87-1),"")</f>
        <v>0.0357609050364407</v>
      </c>
      <c r="C87" s="142" t="n">
        <f aca="false">IFERROR(IF(OR(NOT(ISNUMBER('Price History'!C88)),NOT(ISNUMBER('Price History'!C87)),'Price History'!C87=0),"",'Price History'!C88/'Price History'!C87-1),"")</f>
        <v>0.168271082017713</v>
      </c>
      <c r="D87" s="142" t="n">
        <f aca="false">IFERROR(IF(OR(NOT(ISNUMBER('Price History'!D88)),NOT(ISNUMBER('Price History'!D87)),'Price History'!D87=0),"",'Price History'!D88/'Price History'!D87-1),"")</f>
        <v>0.0224494066301977</v>
      </c>
      <c r="E87" s="142" t="n">
        <f aca="false">IFERROR(IF(OR(NOT(ISNUMBER('Price History'!E88)),NOT(ISNUMBER('Price History'!E87)),'Price History'!E87=0),"",'Price History'!E88/'Price History'!E87-1),"")</f>
        <v>0.0589101620029455</v>
      </c>
      <c r="F87" s="142" t="n">
        <f aca="false">IFERROR(IF(OR(NOT(ISNUMBER('Price History'!F88)),NOT(ISNUMBER('Price History'!F87)),'Price History'!F87=0),"",'Price History'!F88/'Price History'!F87-1),"")</f>
        <v>0.0369045377518358</v>
      </c>
      <c r="G87" s="142" t="n">
        <f aca="false">IFERROR(IF(OR(NOT(ISNUMBER('Price History'!G88)),NOT(ISNUMBER('Price History'!G87)),'Price History'!G87=0),"",'Price History'!G88/'Price History'!G87-1),"")</f>
        <v>0.00508942852988237</v>
      </c>
      <c r="H87" s="142" t="n">
        <f aca="false">IFERROR(IF(OR(NOT(ISNUMBER('Price History'!H88)),NOT(ISNUMBER('Price History'!H87)),'Price History'!H87=0),"",'Price History'!H88/'Price History'!H87-1),"")</f>
        <v>0.0116863533551144</v>
      </c>
      <c r="I87" s="142" t="n">
        <f aca="false">IFERROR(IF(OR(NOT(ISNUMBER('Price History'!I88)),NOT(ISNUMBER('Price History'!I87)),'Price History'!I87=0),"",'Price History'!I88/'Price History'!I87-1),"")</f>
        <v>0.0314277973448929</v>
      </c>
      <c r="J87" s="142" t="n">
        <f aca="false">IFERROR(IF(OR(NOT(ISNUMBER('Price History'!J88)),NOT(ISNUMBER('Price History'!J87)),'Price History'!J87=0),"",'Price History'!J88/'Price History'!J87-1),"")</f>
        <v>0.0310316481709825</v>
      </c>
      <c r="K87" s="142" t="n">
        <f aca="false">IFERROR(IF(OR(NOT(ISNUMBER('Price History'!K88)),NOT(ISNUMBER('Price History'!K87)),'Price History'!K87=0),"",'Price History'!K88/'Price History'!K87-1),"")</f>
        <v>0.101968434119525</v>
      </c>
      <c r="L87" s="142" t="n">
        <f aca="false">IFERROR(IF(OR(NOT(ISNUMBER('Price History'!L88)),NOT(ISNUMBER('Price History'!L87)),'Price History'!L87=0),"",'Price History'!L88/'Price History'!L87-1),"")</f>
        <v>0.0859115000616295</v>
      </c>
      <c r="M87" s="142" t="n">
        <f aca="false">IFERROR(IF(OR(NOT(ISNUMBER('Price History'!M88)),NOT(ISNUMBER('Price History'!M87)),'Price History'!M87=0),"",'Price History'!M88/'Price History'!M87-1),"")</f>
        <v>0.0926267281105992</v>
      </c>
      <c r="N87" s="142" t="n">
        <f aca="false">IFERROR(IF(OR(NOT(ISNUMBER('Price History'!N88)),NOT(ISNUMBER('Price History'!N87)),'Price History'!N87=0),"",'Price History'!N88/'Price History'!N87-1),"")</f>
        <v>0.0148023651385063</v>
      </c>
      <c r="O87" s="142" t="n">
        <f aca="false">IFERROR(IF(OR(NOT(ISNUMBER('Price History'!O88)),NOT(ISNUMBER('Price History'!O87)),'Price History'!O87=0),"",'Price History'!O88/'Price History'!O87-1),"")</f>
        <v>0.0338815382712996</v>
      </c>
      <c r="P87" s="142" t="n">
        <f aca="false">IFERROR(IF(OR(NOT(ISNUMBER('Price History'!P88)),NOT(ISNUMBER('Price History'!P87)),'Price History'!P87=0),"",'Price History'!P88/'Price History'!P87-1),"")</f>
        <v>0.016606080634501</v>
      </c>
      <c r="Q87" s="142" t="n">
        <f aca="false">IFERROR(IF(OR(NOT(ISNUMBER('Price History'!Q88)),NOT(ISNUMBER('Price History'!Q87)),'Price History'!Q87=0),"",'Price History'!Q88/'Price History'!Q87-1),"")</f>
        <v>0.0164186762442278</v>
      </c>
      <c r="R87" s="142" t="n">
        <f aca="false">IFERROR(IF(OR(NOT(ISNUMBER('Price History'!R88)),NOT(ISNUMBER('Price History'!R87)),'Price History'!R87=0),"",'Price History'!R88/'Price History'!R87-1),"")</f>
        <v>0.0197858472998138</v>
      </c>
      <c r="S87" s="142" t="n">
        <f aca="false">IFERROR(IF(OR(NOT(ISNUMBER('Price History'!S88)),NOT(ISNUMBER('Price History'!S87)),'Price History'!S87=0),"",'Price History'!S88/'Price History'!S87-1),"")</f>
        <v>0.0402583423035521</v>
      </c>
      <c r="T87" s="142" t="n">
        <f aca="false">IFERROR(IF(OR(NOT(ISNUMBER('Price History'!T88)),NOT(ISNUMBER('Price History'!T87)),'Price History'!T87=0),"",'Price History'!T88/'Price History'!T87-1),"")</f>
        <v>0.0192486805339955</v>
      </c>
      <c r="U87" s="142" t="n">
        <f aca="false">IFERROR(IF(OR(NOT(ISNUMBER('Price History'!U88)),NOT(ISNUMBER('Price History'!U87)),'Price History'!U87=0),"",'Price History'!U88/'Price History'!U87-1),"")</f>
        <v>0.0152075626798192</v>
      </c>
      <c r="V87" s="143" t="n">
        <f aca="false">IFERROR(IF(OR(NOT(ISNUMBER('Price History'!V88)),NOT(ISNUMBER('Price History'!V87)),'Price History'!V87=0),"",'Price History'!V88/'Price History'!V87-1),"")</f>
        <v>0.0370873317641378</v>
      </c>
      <c r="W87" s="144" t="n">
        <f aca="false">IFERROR('Price History'!B3+(INDEX('Price History'!B:B,MATCH(9.99E+307,'Returns (Calc)'!$A:$A)+1)-'Price History'!B3)*(ROW()-3)/(MATCH(9.99E+307,'Returns (Calc)'!$A:$A)-3),"")</f>
        <v>374.074810126582</v>
      </c>
      <c r="X87" s="144" t="n">
        <f aca="false">IFERROR('Price History'!C3+(INDEX('Price History'!C:C,MATCH(9.99E+307,'Returns (Calc)'!$A:$A)+1)-'Price History'!C3)*(ROW()-3)/(MATCH(9.99E+307,'Returns (Calc)'!$A:$A)-3),"")</f>
        <v>131.865316455696</v>
      </c>
      <c r="Y87" s="144" t="n">
        <f aca="false">IFERROR('Price History'!D3+(INDEX('Price History'!D:D,MATCH(9.99E+307,'Returns (Calc)'!$A:$A)+1)-'Price History'!D3)*(ROW()-3)/(MATCH(9.99E+307,'Returns (Calc)'!$A:$A)-3),"")</f>
        <v>1265.33405063291</v>
      </c>
      <c r="Z87" s="144" t="n">
        <f aca="false">IFERROR('Price History'!E3+(INDEX('Price History'!E:E,MATCH(9.99E+307,'Returns (Calc)'!$A:$A)+1)-'Price History'!E3)*(ROW()-3)/(MATCH(9.99E+307,'Returns (Calc)'!$A:$A)-3),"")</f>
        <v>227.213670886076</v>
      </c>
      <c r="AA87" s="144" t="n">
        <f aca="false">IFERROR('Price History'!F3+(INDEX('Price History'!F:F,MATCH(9.99E+307,'Returns (Calc)'!$A:$A)+1)-'Price History'!F3)*(ROW()-3)/(MATCH(9.99E+307,'Returns (Calc)'!$A:$A)-3),"")</f>
        <v>162.93670886076</v>
      </c>
      <c r="AB87" s="144" t="n">
        <f aca="false">IFERROR('Price History'!G3+(INDEX('Price History'!G:G,MATCH(9.99E+307,'Returns (Calc)'!$A:$A)+1)-'Price History'!G3)*(ROW()-3)/(MATCH(9.99E+307,'Returns (Calc)'!$A:$A)-3),"")</f>
        <v>130.763670886076</v>
      </c>
      <c r="AC87" s="144" t="n">
        <f aca="false">IFERROR('Price History'!H3+(INDEX('Price History'!H:H,MATCH(9.99E+307,'Returns (Calc)'!$A:$A)+1)-'Price History'!H3)*(ROW()-3)/(MATCH(9.99E+307,'Returns (Calc)'!$A:$A)-3),"")</f>
        <v>603.828481012658</v>
      </c>
      <c r="AD87" s="144" t="n">
        <f aca="false">IFERROR('Price History'!I3+(INDEX('Price History'!I:I,MATCH(9.99E+307,'Returns (Calc)'!$A:$A)+1)-'Price History'!I3)*(ROW()-3)/(MATCH(9.99E+307,'Returns (Calc)'!$A:$A)-3),"")</f>
        <v>144.87835443038</v>
      </c>
      <c r="AE87" s="144" t="n">
        <f aca="false">IFERROR('Price History'!J3+(INDEX('Price History'!J:J,MATCH(9.99E+307,'Returns (Calc)'!$A:$A)+1)-'Price History'!J3)*(ROW()-3)/(MATCH(9.99E+307,'Returns (Calc)'!$A:$A)-3),"")</f>
        <v>120.915189873418</v>
      </c>
      <c r="AF87" s="144" t="n">
        <f aca="false">IFERROR('Price History'!K3+(INDEX('Price History'!K:K,MATCH(9.99E+307,'Returns (Calc)'!$A:$A)+1)-'Price History'!K3)*(ROW()-3)/(MATCH(9.99E+307,'Returns (Calc)'!$A:$A)-3),"")</f>
        <v>107.527974683544</v>
      </c>
      <c r="AG87" s="144" t="n">
        <f aca="false">IFERROR('Price History'!L3+(INDEX('Price History'!L:L,MATCH(9.99E+307,'Returns (Calc)'!$A:$A)+1)-'Price History'!L3)*(ROW()-3)/(MATCH(9.99E+307,'Returns (Calc)'!$A:$A)-3),"")</f>
        <v>291.512784810127</v>
      </c>
      <c r="AH87" s="144" t="n">
        <f aca="false">IFERROR('Price History'!M3+(INDEX('Price History'!M:M,MATCH(9.99E+307,'Returns (Calc)'!$A:$A)+1)-'Price History'!M3)*(ROW()-3)/(MATCH(9.99E+307,'Returns (Calc)'!$A:$A)-3),"")</f>
        <v>151.877215189873</v>
      </c>
      <c r="AI87" s="144" t="n">
        <f aca="false">IFERROR('Price History'!N3+(INDEX('Price History'!N:N,MATCH(9.99E+307,'Returns (Calc)'!$A:$A)+1)-'Price History'!N3)*(ROW()-3)/(MATCH(9.99E+307,'Returns (Calc)'!$A:$A)-3),"")</f>
        <v>431.746329113924</v>
      </c>
      <c r="AJ87" s="144" t="n">
        <f aca="false">IFERROR('Price History'!O3+(INDEX('Price History'!O:O,MATCH(9.99E+307,'Returns (Calc)'!$A:$A)+1)-'Price History'!O3)*(ROW()-3)/(MATCH(9.99E+307,'Returns (Calc)'!$A:$A)-3),"")</f>
        <v>99.0851898734177</v>
      </c>
      <c r="AK87" s="144" t="n">
        <f aca="false">IFERROR('Price History'!Q3+(INDEX('Price History'!Q:Q,MATCH(9.99E+307,'Returns (Calc)'!$A:$A)+1)-'Price History'!Q3)*(ROW()-3)/(MATCH(9.99E+307,'Returns (Calc)'!$A:$A)-3),"")</f>
        <v>36.906835443038</v>
      </c>
      <c r="AL87" s="144" t="n">
        <f aca="false">IFERROR('Price History'!R3+(INDEX('Price History'!R:R,MATCH(9.99E+307,'Returns (Calc)'!$A:$A)+1)-'Price History'!R3)*(ROW()-3)/(MATCH(9.99E+307,'Returns (Calc)'!$A:$A)-3),"")</f>
        <v>48.6005063291139</v>
      </c>
      <c r="AM87" s="144" t="n">
        <f aca="false">IFERROR('Price History'!S3+(INDEX('Price History'!S:S,MATCH(9.99E+307,'Returns (Calc)'!$A:$A)+1)-'Price History'!S3)*(ROW()-3)/(MATCH(9.99E+307,'Returns (Calc)'!$A:$A)-3),"")</f>
        <v>108.455316455696</v>
      </c>
      <c r="AN87" s="144" t="n">
        <f aca="false">IFERROR('Price History'!T3+(INDEX('Price History'!T:T,MATCH(9.99E+307,'Returns (Calc)'!$A:$A)+1)-'Price History'!T3)*(ROW()-3)/(MATCH(9.99E+307,'Returns (Calc)'!$A:$A)-3),"")</f>
        <v>39.3711392405063</v>
      </c>
      <c r="AO87" s="145" t="n">
        <f aca="false">IFERROR('Price History'!V3+(INDEX('Price History'!V:V,MATCH(9.99E+307,'Returns (Calc)'!$A:$A)+1)-'Price History'!V3)*(ROW()-3)/(MATCH(9.99E+307,'Returns (Calc)'!$A:$A)-3),"")</f>
        <v>302.10164556962</v>
      </c>
      <c r="AP87" s="143" t="n">
        <f aca="false">IFERROR(IF(OR(NOT(ISNUMBER('Price History'!W88)),NOT(ISNUMBER('Price History'!W87)),'Price History'!W87=0),"",'Price History'!W88/'Price History'!W87-1),"")</f>
        <v>0.0210349179638198</v>
      </c>
      <c r="AQ87" s="143" t="str">
        <f aca="false">IFERROR(IF(OR(NOT(ISNUMBER('Price History'!X88)),NOT(ISNUMBER('Price History'!X87)),'Price History'!X87=0),"",'Price History'!X88/'Price History'!X87-1),"")</f>
        <v/>
      </c>
      <c r="AR87" s="143" t="n">
        <f aca="false">IFERROR(IF(OR(NOT(ISNUMBER('Price History'!Y88)),NOT(ISNUMBER('Price History'!Y87)),'Price History'!Y87=0),"",'Price History'!Y88/'Price History'!Y87-1),"")</f>
        <v>0.0214256283477545</v>
      </c>
      <c r="AS87" s="143" t="n">
        <f aca="false">IFERROR(IF(OR(NOT(ISNUMBER('Price History'!Z88)),NOT(ISNUMBER('Price History'!Z87)),'Price History'!Z87=0),"",'Price History'!Z88/'Price History'!Z87-1),"")</f>
        <v>0.0467180683778026</v>
      </c>
      <c r="AT87" s="143" t="n">
        <f aca="false">IFERROR(IF(OR(NOT(ISNUMBER('Price History'!AA88)),NOT(ISNUMBER('Price History'!AA87)),'Price History'!AA87=0),"",'Price History'!AA88/'Price History'!AA87-1),"")</f>
        <v>0.0499319110304131</v>
      </c>
    </row>
    <row r="88" customFormat="false" ht="15" hidden="false" customHeight="true" outlineLevel="0" collapsed="false">
      <c r="A88" s="141" t="n">
        <f aca="false">IF('Price History'!A89="","",'Price History'!A89)</f>
        <v>45786</v>
      </c>
      <c r="B88" s="142" t="n">
        <f aca="false">IFERROR(IF(OR(NOT(ISNUMBER('Price History'!B89)),NOT(ISNUMBER('Price History'!B88)),'Price History'!B88=0),"",'Price History'!B89/'Price History'!B88-1),"")</f>
        <v>0.00632761834746765</v>
      </c>
      <c r="C88" s="142" t="n">
        <f aca="false">IFERROR(IF(OR(NOT(ISNUMBER('Price History'!C89)),NOT(ISNUMBER('Price History'!C88)),'Price History'!C88=0),"",'Price History'!C89/'Price History'!C88-1),"")</f>
        <v>-0.049439683586025</v>
      </c>
      <c r="D88" s="142" t="n">
        <f aca="false">IFERROR(IF(OR(NOT(ISNUMBER('Price History'!D89)),NOT(ISNUMBER('Price History'!D88)),'Price History'!D88=0),"",'Price History'!D89/'Price History'!D88-1),"")</f>
        <v>0.0229943866214477</v>
      </c>
      <c r="E88" s="142" t="n">
        <f aca="false">IFERROR(IF(OR(NOT(ISNUMBER('Price History'!E89)),NOT(ISNUMBER('Price History'!E88)),'Price History'!E88=0),"",'Price History'!E89/'Price History'!E88-1),"")</f>
        <v>0.0224021458374728</v>
      </c>
      <c r="F88" s="142" t="n">
        <f aca="false">IFERROR(IF(OR(NOT(ISNUMBER('Price History'!F89)),NOT(ISNUMBER('Price History'!F88)),'Price History'!F88=0),"",'Price History'!F89/'Price History'!F88-1),"")</f>
        <v>-0.0680951516252043</v>
      </c>
      <c r="G88" s="142" t="n">
        <f aca="false">IFERROR(IF(OR(NOT(ISNUMBER('Price History'!G89)),NOT(ISNUMBER('Price History'!G88)),'Price History'!G88=0),"",'Price History'!G89/'Price History'!G88-1),"")</f>
        <v>0.00448495370370372</v>
      </c>
      <c r="H88" s="142" t="n">
        <f aca="false">IFERROR(IF(OR(NOT(ISNUMBER('Price History'!H89)),NOT(ISNUMBER('Price History'!H88)),'Price History'!H88=0),"",'Price History'!H89/'Price History'!H88-1),"")</f>
        <v>0.0637187926965595</v>
      </c>
      <c r="I88" s="142" t="n">
        <f aca="false">IFERROR(IF(OR(NOT(ISNUMBER('Price History'!I89)),NOT(ISNUMBER('Price History'!I88)),'Price History'!I88=0),"",'Price History'!I89/'Price History'!I88-1),"")</f>
        <v>0.0188249715436477</v>
      </c>
      <c r="J88" s="142" t="n">
        <f aca="false">IFERROR(IF(OR(NOT(ISNUMBER('Price History'!J89)),NOT(ISNUMBER('Price History'!J88)),'Price History'!J88=0),"",'Price History'!J89/'Price History'!J88-1),"")</f>
        <v>0.0142515447478573</v>
      </c>
      <c r="K88" s="142" t="n">
        <f aca="false">IFERROR(IF(OR(NOT(ISNUMBER('Price History'!K89)),NOT(ISNUMBER('Price History'!K88)),'Price History'!K88=0),"",'Price History'!K89/'Price History'!K88-1),"")</f>
        <v>-0.0561635017701964</v>
      </c>
      <c r="L88" s="142" t="n">
        <f aca="false">IFERROR(IF(OR(NOT(ISNUMBER('Price History'!L89)),NOT(ISNUMBER('Price History'!L88)),'Price History'!L88=0),"",'Price History'!L89/'Price History'!L88-1),"")</f>
        <v>-0.0153802497162314</v>
      </c>
      <c r="M88" s="142" t="n">
        <f aca="false">IFERROR(IF(OR(NOT(ISNUMBER('Price History'!M89)),NOT(ISNUMBER('Price History'!M88)),'Price History'!M88=0),"",'Price History'!M89/'Price History'!M88-1),"")</f>
        <v>-0.00991142977646564</v>
      </c>
      <c r="N88" s="142" t="n">
        <f aca="false">IFERROR(IF(OR(NOT(ISNUMBER('Price History'!N89)),NOT(ISNUMBER('Price History'!N88)),'Price History'!N88=0),"",'Price History'!N89/'Price History'!N88-1),"")</f>
        <v>-0.151970467923775</v>
      </c>
      <c r="O88" s="142" t="n">
        <f aca="false">IFERROR(IF(OR(NOT(ISNUMBER('Price History'!O89)),NOT(ISNUMBER('Price History'!O88)),'Price History'!O88=0),"",'Price History'!O89/'Price History'!O88-1),"")</f>
        <v>0.011601483076187</v>
      </c>
      <c r="P88" s="142" t="n">
        <f aca="false">IFERROR(IF(OR(NOT(ISNUMBER('Price History'!P89)),NOT(ISNUMBER('Price History'!P88)),'Price History'!P88=0),"",'Price History'!P89/'Price History'!P88-1),"")</f>
        <v>-0.00121901665989432</v>
      </c>
      <c r="Q88" s="142" t="n">
        <f aca="false">IFERROR(IF(OR(NOT(ISNUMBER('Price History'!Q89)),NOT(ISNUMBER('Price History'!Q88)),'Price History'!Q88=0),"",'Price History'!Q89/'Price History'!Q88-1),"")</f>
        <v>-0.00252397778899538</v>
      </c>
      <c r="R88" s="142" t="n">
        <f aca="false">IFERROR(IF(OR(NOT(ISNUMBER('Price History'!R89)),NOT(ISNUMBER('Price History'!R88)),'Price History'!R88=0),"",'Price History'!R89/'Price History'!R88-1),"")</f>
        <v>0.00273910066194927</v>
      </c>
      <c r="S88" s="142" t="n">
        <f aca="false">IFERROR(IF(OR(NOT(ISNUMBER('Price History'!S89)),NOT(ISNUMBER('Price History'!S88)),'Price History'!S88=0),"",'Price History'!S89/'Price History'!S88-1),"")</f>
        <v>0.00693294701986758</v>
      </c>
      <c r="T88" s="142" t="n">
        <f aca="false">IFERROR(IF(OR(NOT(ISNUMBER('Price History'!T89)),NOT(ISNUMBER('Price History'!T88)),'Price History'!T88=0),"",'Price History'!T89/'Price History'!T88-1),"")</f>
        <v>-0.00152299725860483</v>
      </c>
      <c r="U88" s="142" t="n">
        <f aca="false">IFERROR(IF(OR(NOT(ISNUMBER('Price History'!U89)),NOT(ISNUMBER('Price History'!U88)),'Price History'!U88=0),"",'Price History'!U89/'Price History'!U88-1),"")</f>
        <v>-0.0129554655870445</v>
      </c>
      <c r="V88" s="143" t="n">
        <f aca="false">IFERROR(IF(OR(NOT(ISNUMBER('Price History'!V89)),NOT(ISNUMBER('Price History'!V88)),'Price History'!V88=0),"",'Price History'!V89/'Price History'!V88-1),"")</f>
        <v>0.0141996682864376</v>
      </c>
      <c r="W88" s="144" t="n">
        <f aca="false">IFERROR('Price History'!B3+(INDEX('Price History'!B:B,MATCH(9.99E+307,'Returns (Calc)'!$A:$A)+1)-'Price History'!B3)*(ROW()-3)/(MATCH(9.99E+307,'Returns (Calc)'!$A:$A)-3),"")</f>
        <v>372.231772151899</v>
      </c>
      <c r="X88" s="144" t="n">
        <f aca="false">IFERROR('Price History'!C3+(INDEX('Price History'!C:C,MATCH(9.99E+307,'Returns (Calc)'!$A:$A)+1)-'Price History'!C3)*(ROW()-3)/(MATCH(9.99E+307,'Returns (Calc)'!$A:$A)-3),"")</f>
        <v>132.885379746835</v>
      </c>
      <c r="Y88" s="144" t="n">
        <f aca="false">IFERROR('Price History'!D3+(INDEX('Price History'!D:D,MATCH(9.99E+307,'Returns (Calc)'!$A:$A)+1)-'Price History'!D3)*(ROW()-3)/(MATCH(9.99E+307,'Returns (Calc)'!$A:$A)-3),"")</f>
        <v>1273.46886075949</v>
      </c>
      <c r="Z88" s="144" t="n">
        <f aca="false">IFERROR('Price History'!E3+(INDEX('Price History'!E:E,MATCH(9.99E+307,'Returns (Calc)'!$A:$A)+1)-'Price History'!E3)*(ROW()-3)/(MATCH(9.99E+307,'Returns (Calc)'!$A:$A)-3),"")</f>
        <v>228.942405063291</v>
      </c>
      <c r="AA88" s="144" t="n">
        <f aca="false">IFERROR('Price History'!F3+(INDEX('Price History'!F:F,MATCH(9.99E+307,'Returns (Calc)'!$A:$A)+1)-'Price History'!F3)*(ROW()-3)/(MATCH(9.99E+307,'Returns (Calc)'!$A:$A)-3),"")</f>
        <v>164.384050632911</v>
      </c>
      <c r="AB88" s="144" t="n">
        <f aca="false">IFERROR('Price History'!G3+(INDEX('Price History'!G:G,MATCH(9.99E+307,'Returns (Calc)'!$A:$A)+1)-'Price History'!G3)*(ROW()-3)/(MATCH(9.99E+307,'Returns (Calc)'!$A:$A)-3),"")</f>
        <v>131.792405063291</v>
      </c>
      <c r="AC88" s="144" t="n">
        <f aca="false">IFERROR('Price History'!H3+(INDEX('Price History'!H:H,MATCH(9.99E+307,'Returns (Calc)'!$A:$A)+1)-'Price History'!H3)*(ROW()-3)/(MATCH(9.99E+307,'Returns (Calc)'!$A:$A)-3),"")</f>
        <v>610.19417721519</v>
      </c>
      <c r="AD88" s="144" t="n">
        <f aca="false">IFERROR('Price History'!I3+(INDEX('Price History'!I:I,MATCH(9.99E+307,'Returns (Calc)'!$A:$A)+1)-'Price History'!I3)*(ROW()-3)/(MATCH(9.99E+307,'Returns (Calc)'!$A:$A)-3),"")</f>
        <v>146.082025316456</v>
      </c>
      <c r="AE88" s="144" t="n">
        <f aca="false">IFERROR('Price History'!J3+(INDEX('Price History'!J:J,MATCH(9.99E+307,'Returns (Calc)'!$A:$A)+1)-'Price History'!J3)*(ROW()-3)/(MATCH(9.99E+307,'Returns (Calc)'!$A:$A)-3),"")</f>
        <v>121.023227848101</v>
      </c>
      <c r="AF88" s="144" t="n">
        <f aca="false">IFERROR('Price History'!K3+(INDEX('Price History'!K:K,MATCH(9.99E+307,'Returns (Calc)'!$A:$A)+1)-'Price History'!K3)*(ROW()-3)/(MATCH(9.99E+307,'Returns (Calc)'!$A:$A)-3),"")</f>
        <v>108.625569620253</v>
      </c>
      <c r="AG88" s="144" t="n">
        <f aca="false">IFERROR('Price History'!L3+(INDEX('Price History'!L:L,MATCH(9.99E+307,'Returns (Calc)'!$A:$A)+1)-'Price History'!L3)*(ROW()-3)/(MATCH(9.99E+307,'Returns (Calc)'!$A:$A)-3),"")</f>
        <v>293.962341772152</v>
      </c>
      <c r="AH88" s="144" t="n">
        <f aca="false">IFERROR('Price History'!M3+(INDEX('Price History'!M:M,MATCH(9.99E+307,'Returns (Calc)'!$A:$A)+1)-'Price History'!M3)*(ROW()-3)/(MATCH(9.99E+307,'Returns (Calc)'!$A:$A)-3),"")</f>
        <v>153.232658227848</v>
      </c>
      <c r="AI88" s="144" t="n">
        <f aca="false">IFERROR('Price History'!N3+(INDEX('Price History'!N:N,MATCH(9.99E+307,'Returns (Calc)'!$A:$A)+1)-'Price History'!N3)*(ROW()-3)/(MATCH(9.99E+307,'Returns (Calc)'!$A:$A)-3),"")</f>
        <v>432.732594936709</v>
      </c>
      <c r="AJ88" s="144" t="n">
        <f aca="false">IFERROR('Price History'!O3+(INDEX('Price History'!O:O,MATCH(9.99E+307,'Returns (Calc)'!$A:$A)+1)-'Price History'!O3)*(ROW()-3)/(MATCH(9.99E+307,'Returns (Calc)'!$A:$A)-3),"")</f>
        <v>99.3682278481013</v>
      </c>
      <c r="AK88" s="144" t="n">
        <f aca="false">IFERROR('Price History'!Q3+(INDEX('Price History'!Q:Q,MATCH(9.99E+307,'Returns (Calc)'!$A:$A)+1)-'Price History'!Q3)*(ROW()-3)/(MATCH(9.99E+307,'Returns (Calc)'!$A:$A)-3),"")</f>
        <v>37.3462025316456</v>
      </c>
      <c r="AL88" s="144" t="n">
        <f aca="false">IFERROR('Price History'!R3+(INDEX('Price History'!R:R,MATCH(9.99E+307,'Returns (Calc)'!$A:$A)+1)-'Price History'!R3)*(ROW()-3)/(MATCH(9.99E+307,'Returns (Calc)'!$A:$A)-3),"")</f>
        <v>48.7686075949367</v>
      </c>
      <c r="AM88" s="144" t="n">
        <f aca="false">IFERROR('Price History'!S3+(INDEX('Price History'!S:S,MATCH(9.99E+307,'Returns (Calc)'!$A:$A)+1)-'Price History'!S3)*(ROW()-3)/(MATCH(9.99E+307,'Returns (Calc)'!$A:$A)-3),"")</f>
        <v>109.060379746835</v>
      </c>
      <c r="AN88" s="144" t="n">
        <f aca="false">IFERROR('Price History'!T3+(INDEX('Price History'!T:T,MATCH(9.99E+307,'Returns (Calc)'!$A:$A)+1)-'Price History'!T3)*(ROW()-3)/(MATCH(9.99E+307,'Returns (Calc)'!$A:$A)-3),"")</f>
        <v>39.5393670886076</v>
      </c>
      <c r="AO88" s="145" t="n">
        <f aca="false">IFERROR('Price History'!V3+(INDEX('Price History'!V:V,MATCH(9.99E+307,'Returns (Calc)'!$A:$A)+1)-'Price History'!V3)*(ROW()-3)/(MATCH(9.99E+307,'Returns (Calc)'!$A:$A)-3),"")</f>
        <v>302.892974683544</v>
      </c>
      <c r="AP88" s="143" t="n">
        <f aca="false">IFERROR(IF(OR(NOT(ISNUMBER('Price History'!W89)),NOT(ISNUMBER('Price History'!W88)),'Price History'!W88=0),"",'Price History'!W89/'Price History'!W88-1),"")</f>
        <v>-0.00123609394313962</v>
      </c>
      <c r="AQ88" s="143" t="str">
        <f aca="false">IFERROR(IF(OR(NOT(ISNUMBER('Price History'!X89)),NOT(ISNUMBER('Price History'!X88)),'Price History'!X88=0),"",'Price History'!X89/'Price History'!X88-1),"")</f>
        <v/>
      </c>
      <c r="AR88" s="143" t="n">
        <f aca="false">IFERROR(IF(OR(NOT(ISNUMBER('Price History'!Y89)),NOT(ISNUMBER('Price History'!Y88)),'Price History'!Y88=0),"",'Price History'!Y89/'Price History'!Y88-1),"")</f>
        <v>-0.000201694231544924</v>
      </c>
      <c r="AS88" s="143" t="n">
        <f aca="false">IFERROR(IF(OR(NOT(ISNUMBER('Price History'!Z89)),NOT(ISNUMBER('Price History'!Z88)),'Price History'!Z88=0),"",'Price History'!Z89/'Price History'!Z88-1),"")</f>
        <v>0.0349406348437122</v>
      </c>
      <c r="AT88" s="143" t="n">
        <f aca="false">IFERROR(IF(OR(NOT(ISNUMBER('Price History'!AA89)),NOT(ISNUMBER('Price History'!AA88)),'Price History'!AA88=0),"",'Price History'!AA89/'Price History'!AA88-1),"")</f>
        <v>-0.0140942498919153</v>
      </c>
    </row>
    <row r="89" customFormat="false" ht="15" hidden="false" customHeight="true" outlineLevel="0" collapsed="false">
      <c r="A89" s="141" t="n">
        <f aca="false">IF('Price History'!A90="","",'Price History'!A90)</f>
        <v>45793</v>
      </c>
      <c r="B89" s="142" t="n">
        <f aca="false">IFERROR(IF(OR(NOT(ISNUMBER('Price History'!B90)),NOT(ISNUMBER('Price History'!B89)),'Price History'!B89=0),"",'Price History'!B90/'Price History'!B89-1),"")</f>
        <v>0.088316635357963</v>
      </c>
      <c r="C89" s="142" t="n">
        <f aca="false">IFERROR(IF(OR(NOT(ISNUMBER('Price History'!C90)),NOT(ISNUMBER('Price History'!C89)),'Price History'!C89=0),"",'Price History'!C90/'Price History'!C89-1),"")</f>
        <v>0.114424410540916</v>
      </c>
      <c r="D89" s="142" t="n">
        <f aca="false">IFERROR(IF(OR(NOT(ISNUMBER('Price History'!D90)),NOT(ISNUMBER('Price History'!D89)),'Price History'!D89=0),"",'Price History'!D90/'Price History'!D89-1),"")</f>
        <v>0.0593161000843088</v>
      </c>
      <c r="E89" s="142" t="n">
        <f aca="false">IFERROR(IF(OR(NOT(ISNUMBER('Price History'!E90)),NOT(ISNUMBER('Price History'!E89)),'Price History'!E89=0),"",'Price History'!E90/'Price History'!E89-1),"")</f>
        <v>0.0979934897731136</v>
      </c>
      <c r="F89" s="142" t="n">
        <f aca="false">IFERROR(IF(OR(NOT(ISNUMBER('Price History'!F90)),NOT(ISNUMBER('Price History'!F89)),'Price History'!F89=0),"",'Price History'!F90/'Price History'!F89-1),"")</f>
        <v>0.0699532346063911</v>
      </c>
      <c r="G89" s="142" t="n">
        <f aca="false">IFERROR(IF(OR(NOT(ISNUMBER('Price History'!G90)),NOT(ISNUMBER('Price History'!G89)),'Price History'!G89=0),"",'Price History'!G90/'Price History'!G89-1),"")</f>
        <v>0.128186662825868</v>
      </c>
      <c r="H89" s="142" t="n">
        <f aca="false">IFERROR(IF(OR(NOT(ISNUMBER('Price History'!H90)),NOT(ISNUMBER('Price History'!H89)),'Price History'!H89=0),"",'Price History'!H90/'Price History'!H89-1),"")</f>
        <v>0.14140588510042</v>
      </c>
      <c r="I89" s="142" t="n">
        <f aca="false">IFERROR(IF(OR(NOT(ISNUMBER('Price History'!I90)),NOT(ISNUMBER('Price History'!I89)),'Price History'!I89=0),"",'Price History'!I90/'Price History'!I89-1),"")</f>
        <v>0.160708147129598</v>
      </c>
      <c r="J89" s="142" t="n">
        <f aca="false">IFERROR(IF(OR(NOT(ISNUMBER('Price History'!J90)),NOT(ISNUMBER('Price History'!J89)),'Price History'!J89=0),"",'Price History'!J90/'Price History'!J89-1),"")</f>
        <v>0.033998231305886</v>
      </c>
      <c r="K89" s="142" t="n">
        <f aca="false">IFERROR(IF(OR(NOT(ISNUMBER('Price History'!K90)),NOT(ISNUMBER('Price History'!K89)),'Price History'!K89=0),"",'Price History'!K90/'Price History'!K89-1),"")</f>
        <v>0.104177323103154</v>
      </c>
      <c r="L89" s="142" t="n">
        <f aca="false">IFERROR(IF(OR(NOT(ISNUMBER('Price History'!L90)),NOT(ISNUMBER('Price History'!L89)),'Price History'!L89=0),"",'Price History'!L90/'Price History'!L89-1),"")</f>
        <v>0.100236324860222</v>
      </c>
      <c r="M89" s="142" t="n">
        <f aca="false">IFERROR(IF(OR(NOT(ISNUMBER('Price History'!M90)),NOT(ISNUMBER('Price History'!M89)),'Price History'!M89=0),"",'Price History'!M90/'Price History'!M89-1),"")</f>
        <v>0.127369542066028</v>
      </c>
      <c r="N89" s="142" t="n">
        <f aca="false">IFERROR(IF(OR(NOT(ISNUMBER('Price History'!N90)),NOT(ISNUMBER('Price History'!N89)),'Price History'!N89=0),"",'Price History'!N90/'Price History'!N89-1),"")</f>
        <v>0.0321419327513588</v>
      </c>
      <c r="O89" s="142" t="n">
        <f aca="false">IFERROR(IF(OR(NOT(ISNUMBER('Price History'!O90)),NOT(ISNUMBER('Price History'!O89)),'Price History'!O89=0),"",'Price History'!O90/'Price History'!O89-1),"")</f>
        <v>0.0489477417829274</v>
      </c>
      <c r="P89" s="142" t="n">
        <f aca="false">IFERROR(IF(OR(NOT(ISNUMBER('Price History'!P90)),NOT(ISNUMBER('Price History'!P89)),'Price History'!P89=0),"",'Price History'!P90/'Price History'!P89-1),"")</f>
        <v>0.0320585842148087</v>
      </c>
      <c r="Q89" s="142" t="n">
        <f aca="false">IFERROR(IF(OR(NOT(ISNUMBER('Price History'!Q90)),NOT(ISNUMBER('Price History'!Q89)),'Price History'!Q89=0),"",'Price History'!Q90/'Price History'!Q89-1),"")</f>
        <v>0.0293522267206479</v>
      </c>
      <c r="R89" s="142" t="n">
        <f aca="false">IFERROR(IF(OR(NOT(ISNUMBER('Price History'!R90)),NOT(ISNUMBER('Price History'!R89)),'Price History'!R89=0),"",'Price History'!R90/'Price History'!R89-1),"")</f>
        <v>0.017300250398361</v>
      </c>
      <c r="S89" s="142" t="n">
        <f aca="false">IFERROR(IF(OR(NOT(ISNUMBER('Price History'!S90)),NOT(ISNUMBER('Price History'!S89)),'Price History'!S89=0),"",'Price History'!S90/'Price History'!S89-1),"")</f>
        <v>0.0682355359161444</v>
      </c>
      <c r="T89" s="142" t="n">
        <f aca="false">IFERROR(IF(OR(NOT(ISNUMBER('Price History'!T90)),NOT(ISNUMBER('Price History'!T89)),'Price History'!T89=0),"",'Price History'!T90/'Price History'!T89-1),"")</f>
        <v>0.0430140329469189</v>
      </c>
      <c r="U89" s="142" t="n">
        <f aca="false">IFERROR(IF(OR(NOT(ISNUMBER('Price History'!U90)),NOT(ISNUMBER('Price History'!U89)),'Price History'!U89=0),"",'Price History'!U90/'Price History'!U89-1),"")</f>
        <v>0.0340442986054144</v>
      </c>
      <c r="V89" s="143" t="n">
        <f aca="false">IFERROR(IF(OR(NOT(ISNUMBER('Price History'!V90)),NOT(ISNUMBER('Price History'!V89)),'Price History'!V89=0),"",'Price History'!V90/'Price History'!V89-1),"")</f>
        <v>0.0374121359919666</v>
      </c>
      <c r="W89" s="144" t="n">
        <f aca="false">IFERROR('Price History'!B3+(INDEX('Price History'!B:B,MATCH(9.99E+307,'Returns (Calc)'!$A:$A)+1)-'Price History'!B3)*(ROW()-3)/(MATCH(9.99E+307,'Returns (Calc)'!$A:$A)-3),"")</f>
        <v>370.388734177215</v>
      </c>
      <c r="X89" s="144" t="n">
        <f aca="false">IFERROR('Price History'!C3+(INDEX('Price History'!C:C,MATCH(9.99E+307,'Returns (Calc)'!$A:$A)+1)-'Price History'!C3)*(ROW()-3)/(MATCH(9.99E+307,'Returns (Calc)'!$A:$A)-3),"")</f>
        <v>133.905443037975</v>
      </c>
      <c r="Y89" s="144" t="n">
        <f aca="false">IFERROR('Price History'!D3+(INDEX('Price History'!D:D,MATCH(9.99E+307,'Returns (Calc)'!$A:$A)+1)-'Price History'!D3)*(ROW()-3)/(MATCH(9.99E+307,'Returns (Calc)'!$A:$A)-3),"")</f>
        <v>1281.60367088608</v>
      </c>
      <c r="Z89" s="144" t="n">
        <f aca="false">IFERROR('Price History'!E3+(INDEX('Price History'!E:E,MATCH(9.99E+307,'Returns (Calc)'!$A:$A)+1)-'Price History'!E3)*(ROW()-3)/(MATCH(9.99E+307,'Returns (Calc)'!$A:$A)-3),"")</f>
        <v>230.671139240506</v>
      </c>
      <c r="AA89" s="144" t="n">
        <f aca="false">IFERROR('Price History'!F3+(INDEX('Price History'!F:F,MATCH(9.99E+307,'Returns (Calc)'!$A:$A)+1)-'Price History'!F3)*(ROW()-3)/(MATCH(9.99E+307,'Returns (Calc)'!$A:$A)-3),"")</f>
        <v>165.831392405063</v>
      </c>
      <c r="AB89" s="144" t="n">
        <f aca="false">IFERROR('Price History'!G3+(INDEX('Price History'!G:G,MATCH(9.99E+307,'Returns (Calc)'!$A:$A)+1)-'Price History'!G3)*(ROW()-3)/(MATCH(9.99E+307,'Returns (Calc)'!$A:$A)-3),"")</f>
        <v>132.821139240506</v>
      </c>
      <c r="AC89" s="144" t="n">
        <f aca="false">IFERROR('Price History'!H3+(INDEX('Price History'!H:H,MATCH(9.99E+307,'Returns (Calc)'!$A:$A)+1)-'Price History'!H3)*(ROW()-3)/(MATCH(9.99E+307,'Returns (Calc)'!$A:$A)-3),"")</f>
        <v>616.559873417722</v>
      </c>
      <c r="AD89" s="144" t="n">
        <f aca="false">IFERROR('Price History'!I3+(INDEX('Price History'!I:I,MATCH(9.99E+307,'Returns (Calc)'!$A:$A)+1)-'Price History'!I3)*(ROW()-3)/(MATCH(9.99E+307,'Returns (Calc)'!$A:$A)-3),"")</f>
        <v>147.285696202532</v>
      </c>
      <c r="AE89" s="144" t="n">
        <f aca="false">IFERROR('Price History'!J3+(INDEX('Price History'!J:J,MATCH(9.99E+307,'Returns (Calc)'!$A:$A)+1)-'Price History'!J3)*(ROW()-3)/(MATCH(9.99E+307,'Returns (Calc)'!$A:$A)-3),"")</f>
        <v>121.131265822785</v>
      </c>
      <c r="AF89" s="144" t="n">
        <f aca="false">IFERROR('Price History'!K3+(INDEX('Price History'!K:K,MATCH(9.99E+307,'Returns (Calc)'!$A:$A)+1)-'Price History'!K3)*(ROW()-3)/(MATCH(9.99E+307,'Returns (Calc)'!$A:$A)-3),"")</f>
        <v>109.723164556962</v>
      </c>
      <c r="AG89" s="144" t="n">
        <f aca="false">IFERROR('Price History'!L3+(INDEX('Price History'!L:L,MATCH(9.99E+307,'Returns (Calc)'!$A:$A)+1)-'Price History'!L3)*(ROW()-3)/(MATCH(9.99E+307,'Returns (Calc)'!$A:$A)-3),"")</f>
        <v>296.411898734177</v>
      </c>
      <c r="AH89" s="144" t="n">
        <f aca="false">IFERROR('Price History'!M3+(INDEX('Price History'!M:M,MATCH(9.99E+307,'Returns (Calc)'!$A:$A)+1)-'Price History'!M3)*(ROW()-3)/(MATCH(9.99E+307,'Returns (Calc)'!$A:$A)-3),"")</f>
        <v>154.588101265823</v>
      </c>
      <c r="AI89" s="144" t="n">
        <f aca="false">IFERROR('Price History'!N3+(INDEX('Price History'!N:N,MATCH(9.99E+307,'Returns (Calc)'!$A:$A)+1)-'Price History'!N3)*(ROW()-3)/(MATCH(9.99E+307,'Returns (Calc)'!$A:$A)-3),"")</f>
        <v>433.718860759494</v>
      </c>
      <c r="AJ89" s="144" t="n">
        <f aca="false">IFERROR('Price History'!O3+(INDEX('Price History'!O:O,MATCH(9.99E+307,'Returns (Calc)'!$A:$A)+1)-'Price History'!O3)*(ROW()-3)/(MATCH(9.99E+307,'Returns (Calc)'!$A:$A)-3),"")</f>
        <v>99.6512658227848</v>
      </c>
      <c r="AK89" s="144" t="n">
        <f aca="false">IFERROR('Price History'!Q3+(INDEX('Price History'!Q:Q,MATCH(9.99E+307,'Returns (Calc)'!$A:$A)+1)-'Price History'!Q3)*(ROW()-3)/(MATCH(9.99E+307,'Returns (Calc)'!$A:$A)-3),"")</f>
        <v>37.7855696202532</v>
      </c>
      <c r="AL89" s="144" t="n">
        <f aca="false">IFERROR('Price History'!R3+(INDEX('Price History'!R:R,MATCH(9.99E+307,'Returns (Calc)'!$A:$A)+1)-'Price History'!R3)*(ROW()-3)/(MATCH(9.99E+307,'Returns (Calc)'!$A:$A)-3),"")</f>
        <v>48.9367088607595</v>
      </c>
      <c r="AM89" s="144" t="n">
        <f aca="false">IFERROR('Price History'!S3+(INDEX('Price History'!S:S,MATCH(9.99E+307,'Returns (Calc)'!$A:$A)+1)-'Price History'!S3)*(ROW()-3)/(MATCH(9.99E+307,'Returns (Calc)'!$A:$A)-3),"")</f>
        <v>109.665443037975</v>
      </c>
      <c r="AN89" s="144" t="n">
        <f aca="false">IFERROR('Price History'!T3+(INDEX('Price History'!T:T,MATCH(9.99E+307,'Returns (Calc)'!$A:$A)+1)-'Price History'!T3)*(ROW()-3)/(MATCH(9.99E+307,'Returns (Calc)'!$A:$A)-3),"")</f>
        <v>39.7075949367089</v>
      </c>
      <c r="AO89" s="145" t="n">
        <f aca="false">IFERROR('Price History'!V3+(INDEX('Price History'!V:V,MATCH(9.99E+307,'Returns (Calc)'!$A:$A)+1)-'Price History'!V3)*(ROW()-3)/(MATCH(9.99E+307,'Returns (Calc)'!$A:$A)-3),"")</f>
        <v>303.684303797468</v>
      </c>
      <c r="AP89" s="143" t="n">
        <f aca="false">IFERROR(IF(OR(NOT(ISNUMBER('Price History'!W90)),NOT(ISNUMBER('Price History'!W89)),'Price History'!W89=0),"",'Price History'!W90/'Price History'!W89-1),"")</f>
        <v>0.0334983498349835</v>
      </c>
      <c r="AQ89" s="143" t="str">
        <f aca="false">IFERROR(IF(OR(NOT(ISNUMBER('Price History'!X90)),NOT(ISNUMBER('Price History'!X89)),'Price History'!X89=0),"",'Price History'!X90/'Price History'!X89-1),"")</f>
        <v/>
      </c>
      <c r="AR89" s="143" t="n">
        <f aca="false">IFERROR(IF(OR(NOT(ISNUMBER('Price History'!Y90)),NOT(ISNUMBER('Price History'!Y89)),'Price History'!Y89=0),"",'Price History'!Y90/'Price History'!Y89-1),"")</f>
        <v>0.0106919507766794</v>
      </c>
      <c r="AS89" s="143" t="n">
        <f aca="false">IFERROR(IF(OR(NOT(ISNUMBER('Price History'!Z90)),NOT(ISNUMBER('Price History'!Z89)),'Price History'!Z89=0),"",'Price History'!Z90/'Price History'!Z89-1),"")</f>
        <v>0.0782449896984454</v>
      </c>
      <c r="AT89" s="143" t="n">
        <f aca="false">IFERROR(IF(OR(NOT(ISNUMBER('Price History'!AA90)),NOT(ISNUMBER('Price History'!AA89)),'Price History'!AA89=0),"",'Price History'!AA90/'Price History'!AA89-1),"")</f>
        <v>0.0449921066479566</v>
      </c>
    </row>
    <row r="90" customFormat="false" ht="15" hidden="false" customHeight="true" outlineLevel="0" collapsed="false">
      <c r="A90" s="141" t="n">
        <f aca="false">IF('Price History'!A91="","",'Price History'!A91)</f>
        <v>45800</v>
      </c>
      <c r="B90" s="142" t="n">
        <f aca="false">IFERROR(IF(OR(NOT(ISNUMBER('Price History'!B91)),NOT(ISNUMBER('Price History'!B90)),'Price History'!B90=0),"",'Price History'!B91/'Price History'!B90-1),"")</f>
        <v>-0.0226308345120226</v>
      </c>
      <c r="C90" s="142" t="n">
        <f aca="false">IFERROR(IF(OR(NOT(ISNUMBER('Price History'!C91)),NOT(ISNUMBER('Price History'!C90)),'Price History'!C90=0),"",'Price History'!C91/'Price History'!C90-1),"")</f>
        <v>-0.0541381456129434</v>
      </c>
      <c r="D90" s="142" t="n">
        <f aca="false">IFERROR(IF(OR(NOT(ISNUMBER('Price History'!D91)),NOT(ISNUMBER('Price History'!D90)),'Price History'!D90=0),"",'Price History'!D91/'Price History'!D90-1),"")</f>
        <v>-0.0208546916311445</v>
      </c>
      <c r="E90" s="142" t="n">
        <f aca="false">IFERROR(IF(OR(NOT(ISNUMBER('Price History'!E91)),NOT(ISNUMBER('Price History'!E90)),'Price History'!E90=0),"",'Price History'!E91/'Price History'!E90-1),"")</f>
        <v>0.00048672566371688</v>
      </c>
      <c r="F90" s="142" t="n">
        <f aca="false">IFERROR(IF(OR(NOT(ISNUMBER('Price History'!F91)),NOT(ISNUMBER('Price History'!F90)),'Price History'!F90=0),"",'Price History'!F91/'Price History'!F90-1),"")</f>
        <v>0.0371517027863779</v>
      </c>
      <c r="G90" s="142" t="n">
        <f aca="false">IFERROR(IF(OR(NOT(ISNUMBER('Price History'!G91)),NOT(ISNUMBER('Price History'!G90)),'Price History'!G90=0),"",'Price History'!G91/'Price History'!G90-1),"")</f>
        <v>-0.0405974722328609</v>
      </c>
      <c r="H90" s="142" t="n">
        <f aca="false">IFERROR(IF(OR(NOT(ISNUMBER('Price History'!H91)),NOT(ISNUMBER('Price History'!H90)),'Price History'!H90=0),"",'Price History'!H91/'Price History'!H90-1),"")</f>
        <v>-0.0472634271099744</v>
      </c>
      <c r="I90" s="142" t="n">
        <f aca="false">IFERROR(IF(OR(NOT(ISNUMBER('Price History'!I91)),NOT(ISNUMBER('Price History'!I90)),'Price History'!I90=0),"",'Price History'!I91/'Price History'!I90-1),"")</f>
        <v>-0.0303568784244039</v>
      </c>
      <c r="J90" s="142" t="n">
        <f aca="false">IFERROR(IF(OR(NOT(ISNUMBER('Price History'!J91)),NOT(ISNUMBER('Price History'!J90)),'Price History'!J90=0),"",'Price History'!J91/'Price History'!J90-1),"")</f>
        <v>-0.0588235294117647</v>
      </c>
      <c r="K90" s="142" t="n">
        <f aca="false">IFERROR(IF(OR(NOT(ISNUMBER('Price History'!K91)),NOT(ISNUMBER('Price History'!K90)),'Price History'!K90=0),"",'Price History'!K91/'Price History'!K90-1),"")</f>
        <v>-0.0479462631253861</v>
      </c>
      <c r="L90" s="142" t="n">
        <f aca="false">IFERROR(IF(OR(NOT(ISNUMBER('Price History'!L91)),NOT(ISNUMBER('Price History'!L90)),'Price History'!L90=0),"",'Price History'!L91/'Price History'!L90-1),"")</f>
        <v>-0.0115255658005029</v>
      </c>
      <c r="M90" s="142" t="n">
        <f aca="false">IFERROR(IF(OR(NOT(ISNUMBER('Price History'!M91)),NOT(ISNUMBER('Price History'!M90)),'Price History'!M90=0),"",'Price History'!M91/'Price History'!M90-1),"")</f>
        <v>-0.0179482335159645</v>
      </c>
      <c r="N90" s="142" t="n">
        <f aca="false">IFERROR(IF(OR(NOT(ISNUMBER('Price History'!N91)),NOT(ISNUMBER('Price History'!N90)),'Price History'!N90=0),"",'Price History'!N91/'Price History'!N90-1),"")</f>
        <v>-0.00604126296591812</v>
      </c>
      <c r="O90" s="142" t="n">
        <f aca="false">IFERROR(IF(OR(NOT(ISNUMBER('Price History'!O91)),NOT(ISNUMBER('Price History'!O90)),'Price History'!O90=0),"",'Price History'!O91/'Price History'!O90-1),"")</f>
        <v>-0.0400135256988278</v>
      </c>
      <c r="P90" s="142" t="n">
        <f aca="false">IFERROR(IF(OR(NOT(ISNUMBER('Price History'!P91)),NOT(ISNUMBER('Price History'!P90)),'Price History'!P90=0),"",'Price History'!P91/'Price History'!P90-1),"")</f>
        <v>-0.0258593503626616</v>
      </c>
      <c r="Q90" s="142" t="n">
        <f aca="false">IFERROR(IF(OR(NOT(ISNUMBER('Price History'!Q91)),NOT(ISNUMBER('Price History'!Q90)),'Price History'!Q90=0),"",'Price History'!Q91/'Price History'!Q90-1),"")</f>
        <v>-0.0165519501802689</v>
      </c>
      <c r="R90" s="142" t="n">
        <f aca="false">IFERROR(IF(OR(NOT(ISNUMBER('Price History'!R91)),NOT(ISNUMBER('Price History'!R90)),'Price History'!R90=0),"",'Price History'!R91/'Price History'!R90-1),"")</f>
        <v>-0.00917431192660545</v>
      </c>
      <c r="S90" s="142" t="n">
        <f aca="false">IFERROR(IF(OR(NOT(ISNUMBER('Price History'!S91)),NOT(ISNUMBER('Price History'!S90)),'Price History'!S90=0),"",'Price History'!S91/'Price History'!S90-1),"")</f>
        <v>-0.0223184223184224</v>
      </c>
      <c r="T90" s="142" t="n">
        <f aca="false">IFERROR(IF(OR(NOT(ISNUMBER('Price History'!T91)),NOT(ISNUMBER('Price History'!T90)),'Price History'!T90=0),"",'Price History'!T91/'Price History'!T90-1),"")</f>
        <v>-0.0348054986838257</v>
      </c>
      <c r="U90" s="142" t="n">
        <f aca="false">IFERROR(IF(OR(NOT(ISNUMBER('Price History'!U91)),NOT(ISNUMBER('Price History'!U90)),'Price History'!U90=0),"",'Price History'!U91/'Price History'!U90-1),"")</f>
        <v>-0.0269734232447442</v>
      </c>
      <c r="V90" s="143" t="n">
        <f aca="false">IFERROR(IF(OR(NOT(ISNUMBER('Price History'!V91)),NOT(ISNUMBER('Price History'!V90)),'Price History'!V90=0),"",'Price History'!V91/'Price History'!V90-1),"")</f>
        <v>-0.0317210099836831</v>
      </c>
      <c r="W90" s="144" t="n">
        <f aca="false">IFERROR('Price History'!B3+(INDEX('Price History'!B:B,MATCH(9.99E+307,'Returns (Calc)'!$A:$A)+1)-'Price History'!B3)*(ROW()-3)/(MATCH(9.99E+307,'Returns (Calc)'!$A:$A)-3),"")</f>
        <v>368.545696202532</v>
      </c>
      <c r="X90" s="144" t="n">
        <f aca="false">IFERROR('Price History'!C3+(INDEX('Price History'!C:C,MATCH(9.99E+307,'Returns (Calc)'!$A:$A)+1)-'Price History'!C3)*(ROW()-3)/(MATCH(9.99E+307,'Returns (Calc)'!$A:$A)-3),"")</f>
        <v>134.925506329114</v>
      </c>
      <c r="Y90" s="144" t="n">
        <f aca="false">IFERROR('Price History'!D3+(INDEX('Price History'!D:D,MATCH(9.99E+307,'Returns (Calc)'!$A:$A)+1)-'Price History'!D3)*(ROW()-3)/(MATCH(9.99E+307,'Returns (Calc)'!$A:$A)-3),"")</f>
        <v>1289.73848101266</v>
      </c>
      <c r="Z90" s="144" t="n">
        <f aca="false">IFERROR('Price History'!E3+(INDEX('Price History'!E:E,MATCH(9.99E+307,'Returns (Calc)'!$A:$A)+1)-'Price History'!E3)*(ROW()-3)/(MATCH(9.99E+307,'Returns (Calc)'!$A:$A)-3),"")</f>
        <v>232.399873417722</v>
      </c>
      <c r="AA90" s="144" t="n">
        <f aca="false">IFERROR('Price History'!F3+(INDEX('Price History'!F:F,MATCH(9.99E+307,'Returns (Calc)'!$A:$A)+1)-'Price History'!F3)*(ROW()-3)/(MATCH(9.99E+307,'Returns (Calc)'!$A:$A)-3),"")</f>
        <v>167.278734177215</v>
      </c>
      <c r="AB90" s="144" t="n">
        <f aca="false">IFERROR('Price History'!G3+(INDEX('Price History'!G:G,MATCH(9.99E+307,'Returns (Calc)'!$A:$A)+1)-'Price History'!G3)*(ROW()-3)/(MATCH(9.99E+307,'Returns (Calc)'!$A:$A)-3),"")</f>
        <v>133.849873417722</v>
      </c>
      <c r="AC90" s="144" t="n">
        <f aca="false">IFERROR('Price History'!H3+(INDEX('Price History'!H:H,MATCH(9.99E+307,'Returns (Calc)'!$A:$A)+1)-'Price History'!H3)*(ROW()-3)/(MATCH(9.99E+307,'Returns (Calc)'!$A:$A)-3),"")</f>
        <v>622.925569620253</v>
      </c>
      <c r="AD90" s="144" t="n">
        <f aca="false">IFERROR('Price History'!I3+(INDEX('Price History'!I:I,MATCH(9.99E+307,'Returns (Calc)'!$A:$A)+1)-'Price History'!I3)*(ROW()-3)/(MATCH(9.99E+307,'Returns (Calc)'!$A:$A)-3),"")</f>
        <v>148.489367088608</v>
      </c>
      <c r="AE90" s="144" t="n">
        <f aca="false">IFERROR('Price History'!J3+(INDEX('Price History'!J:J,MATCH(9.99E+307,'Returns (Calc)'!$A:$A)+1)-'Price History'!J3)*(ROW()-3)/(MATCH(9.99E+307,'Returns (Calc)'!$A:$A)-3),"")</f>
        <v>121.239303797468</v>
      </c>
      <c r="AF90" s="144" t="n">
        <f aca="false">IFERROR('Price History'!K3+(INDEX('Price History'!K:K,MATCH(9.99E+307,'Returns (Calc)'!$A:$A)+1)-'Price History'!K3)*(ROW()-3)/(MATCH(9.99E+307,'Returns (Calc)'!$A:$A)-3),"")</f>
        <v>110.820759493671</v>
      </c>
      <c r="AG90" s="144" t="n">
        <f aca="false">IFERROR('Price History'!L3+(INDEX('Price History'!L:L,MATCH(9.99E+307,'Returns (Calc)'!$A:$A)+1)-'Price History'!L3)*(ROW()-3)/(MATCH(9.99E+307,'Returns (Calc)'!$A:$A)-3),"")</f>
        <v>298.861455696203</v>
      </c>
      <c r="AH90" s="144" t="n">
        <f aca="false">IFERROR('Price History'!M3+(INDEX('Price History'!M:M,MATCH(9.99E+307,'Returns (Calc)'!$A:$A)+1)-'Price History'!M3)*(ROW()-3)/(MATCH(9.99E+307,'Returns (Calc)'!$A:$A)-3),"")</f>
        <v>155.943544303797</v>
      </c>
      <c r="AI90" s="144" t="n">
        <f aca="false">IFERROR('Price History'!N3+(INDEX('Price History'!N:N,MATCH(9.99E+307,'Returns (Calc)'!$A:$A)+1)-'Price History'!N3)*(ROW()-3)/(MATCH(9.99E+307,'Returns (Calc)'!$A:$A)-3),"")</f>
        <v>434.705126582278</v>
      </c>
      <c r="AJ90" s="144" t="n">
        <f aca="false">IFERROR('Price History'!O3+(INDEX('Price History'!O:O,MATCH(9.99E+307,'Returns (Calc)'!$A:$A)+1)-'Price History'!O3)*(ROW()-3)/(MATCH(9.99E+307,'Returns (Calc)'!$A:$A)-3),"")</f>
        <v>99.9343037974684</v>
      </c>
      <c r="AK90" s="144" t="n">
        <f aca="false">IFERROR('Price History'!Q3+(INDEX('Price History'!Q:Q,MATCH(9.99E+307,'Returns (Calc)'!$A:$A)+1)-'Price History'!Q3)*(ROW()-3)/(MATCH(9.99E+307,'Returns (Calc)'!$A:$A)-3),"")</f>
        <v>38.2249367088608</v>
      </c>
      <c r="AL90" s="144" t="n">
        <f aca="false">IFERROR('Price History'!R3+(INDEX('Price History'!R:R,MATCH(9.99E+307,'Returns (Calc)'!$A:$A)+1)-'Price History'!R3)*(ROW()-3)/(MATCH(9.99E+307,'Returns (Calc)'!$A:$A)-3),"")</f>
        <v>49.1048101265823</v>
      </c>
      <c r="AM90" s="144" t="n">
        <f aca="false">IFERROR('Price History'!S3+(INDEX('Price History'!S:S,MATCH(9.99E+307,'Returns (Calc)'!$A:$A)+1)-'Price History'!S3)*(ROW()-3)/(MATCH(9.99E+307,'Returns (Calc)'!$A:$A)-3),"")</f>
        <v>110.270506329114</v>
      </c>
      <c r="AN90" s="144" t="n">
        <f aca="false">IFERROR('Price History'!T3+(INDEX('Price History'!T:T,MATCH(9.99E+307,'Returns (Calc)'!$A:$A)+1)-'Price History'!T3)*(ROW()-3)/(MATCH(9.99E+307,'Returns (Calc)'!$A:$A)-3),"")</f>
        <v>39.8758227848101</v>
      </c>
      <c r="AO90" s="145" t="n">
        <f aca="false">IFERROR('Price History'!V3+(INDEX('Price History'!V:V,MATCH(9.99E+307,'Returns (Calc)'!$A:$A)+1)-'Price History'!V3)*(ROW()-3)/(MATCH(9.99E+307,'Returns (Calc)'!$A:$A)-3),"")</f>
        <v>304.475632911392</v>
      </c>
      <c r="AP90" s="143" t="n">
        <f aca="false">IFERROR(IF(OR(NOT(ISNUMBER('Price History'!W91)),NOT(ISNUMBER('Price History'!W90)),'Price History'!W90=0),"",'Price History'!W91/'Price History'!W90-1),"")</f>
        <v>-0.0220341689286285</v>
      </c>
      <c r="AQ90" s="143" t="str">
        <f aca="false">IFERROR(IF(OR(NOT(ISNUMBER('Price History'!X91)),NOT(ISNUMBER('Price History'!X90)),'Price History'!X90=0),"",'Price History'!X91/'Price History'!X90-1),"")</f>
        <v/>
      </c>
      <c r="AR90" s="143" t="n">
        <f aca="false">IFERROR(IF(OR(NOT(ISNUMBER('Price History'!Y91)),NOT(ISNUMBER('Price History'!Y90)),'Price History'!Y90=0),"",'Price History'!Y91/'Price History'!Y90-1),"")</f>
        <v>-0.0127744510978044</v>
      </c>
      <c r="AS90" s="143" t="n">
        <f aca="false">IFERROR(IF(OR(NOT(ISNUMBER('Price History'!Z91)),NOT(ISNUMBER('Price History'!Z90)),'Price History'!Z90=0),"",'Price History'!Z91/'Price History'!Z90-1),"")</f>
        <v>0.00438615538281151</v>
      </c>
      <c r="AT90" s="143" t="n">
        <f aca="false">IFERROR(IF(OR(NOT(ISNUMBER('Price History'!AA91)),NOT(ISNUMBER('Price History'!AA90)),'Price History'!AA90=0),"",'Price History'!AA91/'Price History'!AA90-1),"")</f>
        <v>-0.00511959714645405</v>
      </c>
    </row>
    <row r="91" customFormat="false" ht="15" hidden="false" customHeight="true" outlineLevel="0" collapsed="false">
      <c r="A91" s="141" t="n">
        <f aca="false">IF('Price History'!A92="","",'Price History'!A92)</f>
        <v>45807</v>
      </c>
      <c r="B91" s="142" t="n">
        <f aca="false">IFERROR(IF(OR(NOT(ISNUMBER('Price History'!B92)),NOT(ISNUMBER('Price History'!B91)),'Price History'!B91=0),"",'Price History'!B92/'Price History'!B91-1),"")</f>
        <v>0.018151046137997</v>
      </c>
      <c r="C91" s="142" t="n">
        <f aca="false">IFERROR(IF(OR(NOT(ISNUMBER('Price History'!C92)),NOT(ISNUMBER('Price History'!C91)),'Price History'!C91=0),"",'Price History'!C92/'Price History'!C91-1),"")</f>
        <v>-0.05</v>
      </c>
      <c r="D91" s="142" t="n">
        <f aca="false">IFERROR(IF(OR(NOT(ISNUMBER('Price History'!D92)),NOT(ISNUMBER('Price History'!D91)),'Price History'!D91=0),"",'Price History'!D92/'Price History'!D91-1),"")</f>
        <v>0.00584134681619042</v>
      </c>
      <c r="E91" s="142" t="n">
        <f aca="false">IFERROR(IF(OR(NOT(ISNUMBER('Price History'!E92)),NOT(ISNUMBER('Price History'!E91)),'Price History'!E91=0),"",'Price History'!E92/'Price History'!E91-1),"")</f>
        <v>0.0583786652514262</v>
      </c>
      <c r="F91" s="142" t="n">
        <f aca="false">IFERROR(IF(OR(NOT(ISNUMBER('Price History'!F92)),NOT(ISNUMBER('Price History'!F91)),'Price History'!F91=0),"",'Price History'!F92/'Price History'!F91-1),"")</f>
        <v>0.0345917471466197</v>
      </c>
      <c r="G91" s="142" t="n">
        <f aca="false">IFERROR(IF(OR(NOT(ISNUMBER('Price History'!G92)),NOT(ISNUMBER('Price History'!G91)),'Price History'!G91=0),"",'Price History'!G92/'Price History'!G91-1),"")</f>
        <v>-0.000399201596806398</v>
      </c>
      <c r="H91" s="142" t="n">
        <f aca="false">IFERROR(IF(OR(NOT(ISNUMBER('Price History'!H92)),NOT(ISNUMBER('Price History'!H91)),'Price History'!H91=0),"",'Price History'!H92/'Price History'!H91-1),"")</f>
        <v>0.0117040695801569</v>
      </c>
      <c r="I91" s="142" t="n">
        <f aca="false">IFERROR(IF(OR(NOT(ISNUMBER('Price History'!I92)),NOT(ISNUMBER('Price History'!I91)),'Price History'!I91=0),"",'Price History'!I92/'Price History'!I91-1),"")</f>
        <v>0.0292455711667683</v>
      </c>
      <c r="J91" s="142" t="n">
        <f aca="false">IFERROR(IF(OR(NOT(ISNUMBER('Price History'!J92)),NOT(ISNUMBER('Price History'!J91)),'Price History'!J91=0),"",'Price History'!J92/'Price History'!J91-1),"")</f>
        <v>0.0438206785137316</v>
      </c>
      <c r="K91" s="142" t="n">
        <f aca="false">IFERROR(IF(OR(NOT(ISNUMBER('Price History'!K92)),NOT(ISNUMBER('Price History'!K91)),'Price History'!K91=0),"",'Price History'!K92/'Price History'!K91-1),"")</f>
        <v>0.0686886708296164</v>
      </c>
      <c r="L91" s="142" t="n">
        <f aca="false">IFERROR(IF(OR(NOT(ISNUMBER('Price History'!L92)),NOT(ISNUMBER('Price History'!L91)),'Price History'!L91=0),"",'Price History'!L92/'Price History'!L91-1),"")</f>
        <v>0.00699597201611191</v>
      </c>
      <c r="M91" s="142" t="n">
        <f aca="false">IFERROR(IF(OR(NOT(ISNUMBER('Price History'!M92)),NOT(ISNUMBER('Price History'!M91)),'Price History'!M91=0),"",'Price History'!M92/'Price History'!M91-1),"")</f>
        <v>0.0364563293574451</v>
      </c>
      <c r="N91" s="142" t="n">
        <f aca="false">IFERROR(IF(OR(NOT(ISNUMBER('Price History'!N92)),NOT(ISNUMBER('Price History'!N91)),'Price History'!N91=0),"",'Price History'!N92/'Price History'!N91-1),"")</f>
        <v>0.013876146788991</v>
      </c>
      <c r="O91" s="142" t="n">
        <f aca="false">IFERROR(IF(OR(NOT(ISNUMBER('Price History'!O92)),NOT(ISNUMBER('Price History'!O91)),'Price History'!O91=0),"",'Price History'!O92/'Price History'!O91-1),"")</f>
        <v>0.0117412234354819</v>
      </c>
      <c r="P91" s="142" t="n">
        <f aca="false">IFERROR(IF(OR(NOT(ISNUMBER('Price History'!P92)),NOT(ISNUMBER('Price History'!P91)),'Price History'!P91=0),"",'Price History'!P92/'Price History'!P91-1),"")</f>
        <v>0.00647458724506311</v>
      </c>
      <c r="Q91" s="142" t="n">
        <f aca="false">IFERROR(IF(OR(NOT(ISNUMBER('Price History'!Q92)),NOT(ISNUMBER('Price History'!Q91)),'Price History'!Q91=0),"",'Price History'!Q92/'Price History'!Q91-1),"")</f>
        <v>0.0108315280786535</v>
      </c>
      <c r="R91" s="142" t="n">
        <f aca="false">IFERROR(IF(OR(NOT(ISNUMBER('Price History'!R92)),NOT(ISNUMBER('Price History'!R91)),'Price History'!R91=0),"",'Price History'!R92/'Price History'!R91-1),"")</f>
        <v>0.0112917795844625</v>
      </c>
      <c r="S91" s="142" t="n">
        <f aca="false">IFERROR(IF(OR(NOT(ISNUMBER('Price History'!S92)),NOT(ISNUMBER('Price History'!S91)),'Price History'!S91=0),"",'Price History'!S92/'Price History'!S91-1),"")</f>
        <v>0.0243038472891863</v>
      </c>
      <c r="T91" s="142" t="n">
        <f aca="false">IFERROR(IF(OR(NOT(ISNUMBER('Price History'!T92)),NOT(ISNUMBER('Price History'!T91)),'Price History'!T91=0),"",'Price History'!T92/'Price History'!T91-1),"")</f>
        <v>0.00787878787878782</v>
      </c>
      <c r="U91" s="142" t="n">
        <f aca="false">IFERROR(IF(OR(NOT(ISNUMBER('Price History'!U92)),NOT(ISNUMBER('Price History'!U91)),'Price History'!U91=0),"",'Price History'!U92/'Price History'!U91-1),"")</f>
        <v>0.0110069302894416</v>
      </c>
      <c r="V91" s="143" t="n">
        <f aca="false">IFERROR(IF(OR(NOT(ISNUMBER('Price History'!V92)),NOT(ISNUMBER('Price History'!V91)),'Price History'!V91=0),"",'Price History'!V92/'Price History'!V91-1),"")</f>
        <v>0.0329601279561294</v>
      </c>
      <c r="W91" s="144" t="n">
        <f aca="false">IFERROR('Price History'!B3+(INDEX('Price History'!B:B,MATCH(9.99E+307,'Returns (Calc)'!$A:$A)+1)-'Price History'!B3)*(ROW()-3)/(MATCH(9.99E+307,'Returns (Calc)'!$A:$A)-3),"")</f>
        <v>366.702658227848</v>
      </c>
      <c r="X91" s="144" t="n">
        <f aca="false">IFERROR('Price History'!C3+(INDEX('Price History'!C:C,MATCH(9.99E+307,'Returns (Calc)'!$A:$A)+1)-'Price History'!C3)*(ROW()-3)/(MATCH(9.99E+307,'Returns (Calc)'!$A:$A)-3),"")</f>
        <v>135.945569620253</v>
      </c>
      <c r="Y91" s="144" t="n">
        <f aca="false">IFERROR('Price History'!D3+(INDEX('Price History'!D:D,MATCH(9.99E+307,'Returns (Calc)'!$A:$A)+1)-'Price History'!D3)*(ROW()-3)/(MATCH(9.99E+307,'Returns (Calc)'!$A:$A)-3),"")</f>
        <v>1297.87329113924</v>
      </c>
      <c r="Z91" s="144" t="n">
        <f aca="false">IFERROR('Price History'!E3+(INDEX('Price History'!E:E,MATCH(9.99E+307,'Returns (Calc)'!$A:$A)+1)-'Price History'!E3)*(ROW()-3)/(MATCH(9.99E+307,'Returns (Calc)'!$A:$A)-3),"")</f>
        <v>234.128607594937</v>
      </c>
      <c r="AA91" s="144" t="n">
        <f aca="false">IFERROR('Price History'!F3+(INDEX('Price History'!F:F,MATCH(9.99E+307,'Returns (Calc)'!$A:$A)+1)-'Price History'!F3)*(ROW()-3)/(MATCH(9.99E+307,'Returns (Calc)'!$A:$A)-3),"")</f>
        <v>168.726075949367</v>
      </c>
      <c r="AB91" s="144" t="n">
        <f aca="false">IFERROR('Price History'!G3+(INDEX('Price History'!G:G,MATCH(9.99E+307,'Returns (Calc)'!$A:$A)+1)-'Price History'!G3)*(ROW()-3)/(MATCH(9.99E+307,'Returns (Calc)'!$A:$A)-3),"")</f>
        <v>134.878607594937</v>
      </c>
      <c r="AC91" s="144" t="n">
        <f aca="false">IFERROR('Price History'!H3+(INDEX('Price History'!H:H,MATCH(9.99E+307,'Returns (Calc)'!$A:$A)+1)-'Price History'!H3)*(ROW()-3)/(MATCH(9.99E+307,'Returns (Calc)'!$A:$A)-3),"")</f>
        <v>629.291265822785</v>
      </c>
      <c r="AD91" s="144" t="n">
        <f aca="false">IFERROR('Price History'!I3+(INDEX('Price History'!I:I,MATCH(9.99E+307,'Returns (Calc)'!$A:$A)+1)-'Price History'!I3)*(ROW()-3)/(MATCH(9.99E+307,'Returns (Calc)'!$A:$A)-3),"")</f>
        <v>149.693037974684</v>
      </c>
      <c r="AE91" s="144" t="n">
        <f aca="false">IFERROR('Price History'!J3+(INDEX('Price History'!J:J,MATCH(9.99E+307,'Returns (Calc)'!$A:$A)+1)-'Price History'!J3)*(ROW()-3)/(MATCH(9.99E+307,'Returns (Calc)'!$A:$A)-3),"")</f>
        <v>121.347341772152</v>
      </c>
      <c r="AF91" s="144" t="n">
        <f aca="false">IFERROR('Price History'!K3+(INDEX('Price History'!K:K,MATCH(9.99E+307,'Returns (Calc)'!$A:$A)+1)-'Price History'!K3)*(ROW()-3)/(MATCH(9.99E+307,'Returns (Calc)'!$A:$A)-3),"")</f>
        <v>111.91835443038</v>
      </c>
      <c r="AG91" s="144" t="n">
        <f aca="false">IFERROR('Price History'!L3+(INDEX('Price History'!L:L,MATCH(9.99E+307,'Returns (Calc)'!$A:$A)+1)-'Price History'!L3)*(ROW()-3)/(MATCH(9.99E+307,'Returns (Calc)'!$A:$A)-3),"")</f>
        <v>301.311012658228</v>
      </c>
      <c r="AH91" s="144" t="n">
        <f aca="false">IFERROR('Price History'!M3+(INDEX('Price History'!M:M,MATCH(9.99E+307,'Returns (Calc)'!$A:$A)+1)-'Price History'!M3)*(ROW()-3)/(MATCH(9.99E+307,'Returns (Calc)'!$A:$A)-3),"")</f>
        <v>157.298987341772</v>
      </c>
      <c r="AI91" s="144" t="n">
        <f aca="false">IFERROR('Price History'!N3+(INDEX('Price History'!N:N,MATCH(9.99E+307,'Returns (Calc)'!$A:$A)+1)-'Price History'!N3)*(ROW()-3)/(MATCH(9.99E+307,'Returns (Calc)'!$A:$A)-3),"")</f>
        <v>435.691392405063</v>
      </c>
      <c r="AJ91" s="144" t="n">
        <f aca="false">IFERROR('Price History'!O3+(INDEX('Price History'!O:O,MATCH(9.99E+307,'Returns (Calc)'!$A:$A)+1)-'Price History'!O3)*(ROW()-3)/(MATCH(9.99E+307,'Returns (Calc)'!$A:$A)-3),"")</f>
        <v>100.217341772152</v>
      </c>
      <c r="AK91" s="144" t="n">
        <f aca="false">IFERROR('Price History'!Q3+(INDEX('Price History'!Q:Q,MATCH(9.99E+307,'Returns (Calc)'!$A:$A)+1)-'Price History'!Q3)*(ROW()-3)/(MATCH(9.99E+307,'Returns (Calc)'!$A:$A)-3),"")</f>
        <v>38.6643037974684</v>
      </c>
      <c r="AL91" s="144" t="n">
        <f aca="false">IFERROR('Price History'!R3+(INDEX('Price History'!R:R,MATCH(9.99E+307,'Returns (Calc)'!$A:$A)+1)-'Price History'!R3)*(ROW()-3)/(MATCH(9.99E+307,'Returns (Calc)'!$A:$A)-3),"")</f>
        <v>49.2729113924051</v>
      </c>
      <c r="AM91" s="144" t="n">
        <f aca="false">IFERROR('Price History'!S3+(INDEX('Price History'!S:S,MATCH(9.99E+307,'Returns (Calc)'!$A:$A)+1)-'Price History'!S3)*(ROW()-3)/(MATCH(9.99E+307,'Returns (Calc)'!$A:$A)-3),"")</f>
        <v>110.875569620253</v>
      </c>
      <c r="AN91" s="144" t="n">
        <f aca="false">IFERROR('Price History'!T3+(INDEX('Price History'!T:T,MATCH(9.99E+307,'Returns (Calc)'!$A:$A)+1)-'Price History'!T3)*(ROW()-3)/(MATCH(9.99E+307,'Returns (Calc)'!$A:$A)-3),"")</f>
        <v>40.0440506329114</v>
      </c>
      <c r="AO91" s="145" t="n">
        <f aca="false">IFERROR('Price History'!V3+(INDEX('Price History'!V:V,MATCH(9.99E+307,'Returns (Calc)'!$A:$A)+1)-'Price History'!V3)*(ROW()-3)/(MATCH(9.99E+307,'Returns (Calc)'!$A:$A)-3),"")</f>
        <v>305.266962025317</v>
      </c>
      <c r="AP91" s="143" t="n">
        <f aca="false">IFERROR(IF(OR(NOT(ISNUMBER('Price History'!W92)),NOT(ISNUMBER('Price History'!W91)),'Price History'!W91=0),"",'Price History'!W92/'Price History'!W91-1),"")</f>
        <v>0.0151836734693878</v>
      </c>
      <c r="AQ91" s="143" t="str">
        <f aca="false">IFERROR(IF(OR(NOT(ISNUMBER('Price History'!X92)),NOT(ISNUMBER('Price History'!X91)),'Price History'!X91=0),"",'Price History'!X92/'Price History'!X91-1),"")</f>
        <v/>
      </c>
      <c r="AR91" s="143" t="n">
        <f aca="false">IFERROR(IF(OR(NOT(ISNUMBER('Price History'!Y92)),NOT(ISNUMBER('Price History'!Y91)),'Price History'!Y91=0),"",'Price History'!Y92/'Price History'!Y91-1),"")</f>
        <v>0.0101091791346544</v>
      </c>
      <c r="AS91" s="143" t="n">
        <f aca="false">IFERROR(IF(OR(NOT(ISNUMBER('Price History'!Z92)),NOT(ISNUMBER('Price History'!Z91)),'Price History'!Z91=0),"",'Price History'!Z92/'Price History'!Z91-1),"")</f>
        <v>0.0563386371497752</v>
      </c>
      <c r="AT91" s="143" t="n">
        <f aca="false">IFERROR(IF(OR(NOT(ISNUMBER('Price History'!AA92)),NOT(ISNUMBER('Price History'!AA91)),'Price History'!AA91=0),"",'Price History'!AA92/'Price History'!AA91-1),"")</f>
        <v>0.0183904167369664</v>
      </c>
    </row>
    <row r="92" customFormat="false" ht="15" hidden="false" customHeight="true" outlineLevel="0" collapsed="false">
      <c r="A92" s="141" t="n">
        <f aca="false">IF('Price History'!A93="","",'Price History'!A93)</f>
        <v>45814</v>
      </c>
      <c r="B92" s="142" t="n">
        <f aca="false">IFERROR(IF(OR(NOT(ISNUMBER('Price History'!B93)),NOT(ISNUMBER('Price History'!B92)),'Price History'!B92=0),"",'Price History'!B93/'Price History'!B92-1),"")</f>
        <v>0.00440868245440762</v>
      </c>
      <c r="C92" s="142" t="n">
        <f aca="false">IFERROR(IF(OR(NOT(ISNUMBER('Price History'!C93)),NOT(ISNUMBER('Price History'!C92)),'Price History'!C92=0),"",'Price History'!C93/'Price History'!C92-1),"")</f>
        <v>0.122460757156048</v>
      </c>
      <c r="D92" s="142" t="n">
        <f aca="false">IFERROR(IF(OR(NOT(ISNUMBER('Price History'!D93)),NOT(ISNUMBER('Price History'!D92)),'Price History'!D92=0),"",'Price History'!D93/'Price History'!D92-1),"")</f>
        <v>0.0220517737296262</v>
      </c>
      <c r="E92" s="142" t="n">
        <f aca="false">IFERROR(IF(OR(NOT(ISNUMBER('Price History'!E93)),NOT(ISNUMBER('Price History'!E92)),'Price History'!E92=0),"",'Price History'!E93/'Price History'!E92-1),"")</f>
        <v>0.0200576657891438</v>
      </c>
      <c r="F92" s="142" t="n">
        <f aca="false">IFERROR(IF(OR(NOT(ISNUMBER('Price History'!F93)),NOT(ISNUMBER('Price History'!F92)),'Price History'!F92=0),"",'Price History'!F93/'Price History'!F92-1),"")</f>
        <v>-0.00627970128988464</v>
      </c>
      <c r="G92" s="142" t="n">
        <f aca="false">IFERROR(IF(OR(NOT(ISNUMBER('Price History'!G93)),NOT(ISNUMBER('Price History'!G92)),'Price History'!G92=0),"",'Price History'!G93/'Price History'!G92-1),"")</f>
        <v>0.0674920127795526</v>
      </c>
      <c r="H92" s="142" t="n">
        <f aca="false">IFERROR(IF(OR(NOT(ISNUMBER('Price History'!H93)),NOT(ISNUMBER('Price History'!H92)),'Price History'!H92=0),"",'Price History'!H93/'Price History'!H92-1),"")</f>
        <v>0.149225217575886</v>
      </c>
      <c r="I92" s="142" t="n">
        <f aca="false">IFERROR(IF(OR(NOT(ISNUMBER('Price History'!I93)),NOT(ISNUMBER('Price History'!I92)),'Price History'!I92=0),"",'Price History'!I93/'Price History'!I92-1),"")</f>
        <v>0.048742488315157</v>
      </c>
      <c r="J92" s="142" t="n">
        <f aca="false">IFERROR(IF(OR(NOT(ISNUMBER('Price History'!J93)),NOT(ISNUMBER('Price History'!J92)),'Price History'!J92=0),"",'Price History'!J93/'Price History'!J92-1),"")</f>
        <v>0.0017411491584447</v>
      </c>
      <c r="K92" s="142" t="n">
        <f aca="false">IFERROR(IF(OR(NOT(ISNUMBER('Price History'!K93)),NOT(ISNUMBER('Price History'!K92)),'Price History'!K92=0),"",'Price History'!K93/'Price History'!K92-1),"")</f>
        <v>-0.0308089239641828</v>
      </c>
      <c r="L92" s="142" t="n">
        <f aca="false">IFERROR(IF(OR(NOT(ISNUMBER('Price History'!L93)),NOT(ISNUMBER('Price History'!L92)),'Price History'!L92=0),"",'Price History'!L93/'Price History'!L92-1),"")</f>
        <v>0.0613684210526315</v>
      </c>
      <c r="M92" s="142" t="n">
        <f aca="false">IFERROR(IF(OR(NOT(ISNUMBER('Price History'!M93)),NOT(ISNUMBER('Price History'!M92)),'Price History'!M92=0),"",'Price History'!M93/'Price History'!M92-1),"")</f>
        <v>0.068863109048724</v>
      </c>
      <c r="N92" s="142" t="n">
        <f aca="false">IFERROR(IF(OR(NOT(ISNUMBER('Price History'!N93)),NOT(ISNUMBER('Price History'!N92)),'Price History'!N92=0),"",'Price History'!N93/'Price History'!N92-1),"")</f>
        <v>0.0191154846736794</v>
      </c>
      <c r="O92" s="142" t="n">
        <f aca="false">IFERROR(IF(OR(NOT(ISNUMBER('Price History'!O93)),NOT(ISNUMBER('Price History'!O92)),'Price History'!O92=0),"",'Price History'!O93/'Price History'!O92-1),"")</f>
        <v>0.0184518974120924</v>
      </c>
      <c r="P92" s="142" t="n">
        <f aca="false">IFERROR(IF(OR(NOT(ISNUMBER('Price History'!P93)),NOT(ISNUMBER('Price History'!P92)),'Price History'!P92=0),"",'Price History'!P93/'Price History'!P92-1),"")</f>
        <v>0.00369893856545511</v>
      </c>
      <c r="Q92" s="142" t="n">
        <f aca="false">IFERROR(IF(OR(NOT(ISNUMBER('Price History'!Q93)),NOT(ISNUMBER('Price History'!Q92)),'Price History'!Q92=0),"",'Price History'!Q93/'Price History'!Q92-1),"")</f>
        <v>0.00972634355423674</v>
      </c>
      <c r="R92" s="142" t="n">
        <f aca="false">IFERROR(IF(OR(NOT(ISNUMBER('Price History'!R93)),NOT(ISNUMBER('Price History'!R92)),'Price History'!R92=0),"",'Price History'!R93/'Price History'!R92-1),"")</f>
        <v>0.0131755247878516</v>
      </c>
      <c r="S92" s="142" t="n">
        <f aca="false">IFERROR(IF(OR(NOT(ISNUMBER('Price History'!S93)),NOT(ISNUMBER('Price History'!S92)),'Price History'!S92=0),"",'Price History'!S93/'Price History'!S92-1),"")</f>
        <v>0.0148895292987512</v>
      </c>
      <c r="T92" s="142" t="n">
        <f aca="false">IFERROR(IF(OR(NOT(ISNUMBER('Price History'!T93)),NOT(ISNUMBER('Price History'!T92)),'Price History'!T92=0),"",'Price History'!T93/'Price History'!T92-1),"")</f>
        <v>0.0234515935057127</v>
      </c>
      <c r="U92" s="142" t="n">
        <f aca="false">IFERROR(IF(OR(NOT(ISNUMBER('Price History'!U93)),NOT(ISNUMBER('Price History'!U92)),'Price History'!U92=0),"",'Price History'!U93/'Price History'!U92-1),"")</f>
        <v>0.0141129032258063</v>
      </c>
      <c r="V92" s="143" t="n">
        <f aca="false">IFERROR(IF(OR(NOT(ISNUMBER('Price History'!V93)),NOT(ISNUMBER('Price History'!V92)),'Price History'!V92=0),"",'Price History'!V93/'Price History'!V92-1),"")</f>
        <v>0.0137698390753747</v>
      </c>
      <c r="W92" s="144" t="n">
        <f aca="false">IFERROR('Price History'!B3+(INDEX('Price History'!B:B,MATCH(9.99E+307,'Returns (Calc)'!$A:$A)+1)-'Price History'!B3)*(ROW()-3)/(MATCH(9.99E+307,'Returns (Calc)'!$A:$A)-3),"")</f>
        <v>364.859620253165</v>
      </c>
      <c r="X92" s="144" t="n">
        <f aca="false">IFERROR('Price History'!C3+(INDEX('Price History'!C:C,MATCH(9.99E+307,'Returns (Calc)'!$A:$A)+1)-'Price History'!C3)*(ROW()-3)/(MATCH(9.99E+307,'Returns (Calc)'!$A:$A)-3),"")</f>
        <v>136.965632911392</v>
      </c>
      <c r="Y92" s="144" t="n">
        <f aca="false">IFERROR('Price History'!D3+(INDEX('Price History'!D:D,MATCH(9.99E+307,'Returns (Calc)'!$A:$A)+1)-'Price History'!D3)*(ROW()-3)/(MATCH(9.99E+307,'Returns (Calc)'!$A:$A)-3),"")</f>
        <v>1306.00810126582</v>
      </c>
      <c r="Z92" s="144" t="n">
        <f aca="false">IFERROR('Price History'!E3+(INDEX('Price History'!E:E,MATCH(9.99E+307,'Returns (Calc)'!$A:$A)+1)-'Price History'!E3)*(ROW()-3)/(MATCH(9.99E+307,'Returns (Calc)'!$A:$A)-3),"")</f>
        <v>235.857341772152</v>
      </c>
      <c r="AA92" s="144" t="n">
        <f aca="false">IFERROR('Price History'!F3+(INDEX('Price History'!F:F,MATCH(9.99E+307,'Returns (Calc)'!$A:$A)+1)-'Price History'!F3)*(ROW()-3)/(MATCH(9.99E+307,'Returns (Calc)'!$A:$A)-3),"")</f>
        <v>170.173417721519</v>
      </c>
      <c r="AB92" s="144" t="n">
        <f aca="false">IFERROR('Price History'!G3+(INDEX('Price History'!G:G,MATCH(9.99E+307,'Returns (Calc)'!$A:$A)+1)-'Price History'!G3)*(ROW()-3)/(MATCH(9.99E+307,'Returns (Calc)'!$A:$A)-3),"")</f>
        <v>135.907341772152</v>
      </c>
      <c r="AC92" s="144" t="n">
        <f aca="false">IFERROR('Price History'!H3+(INDEX('Price History'!H:H,MATCH(9.99E+307,'Returns (Calc)'!$A:$A)+1)-'Price History'!H3)*(ROW()-3)/(MATCH(9.99E+307,'Returns (Calc)'!$A:$A)-3),"")</f>
        <v>635.656962025317</v>
      </c>
      <c r="AD92" s="144" t="n">
        <f aca="false">IFERROR('Price History'!I3+(INDEX('Price History'!I:I,MATCH(9.99E+307,'Returns (Calc)'!$A:$A)+1)-'Price History'!I3)*(ROW()-3)/(MATCH(9.99E+307,'Returns (Calc)'!$A:$A)-3),"")</f>
        <v>150.896708860759</v>
      </c>
      <c r="AE92" s="144" t="n">
        <f aca="false">IFERROR('Price History'!J3+(INDEX('Price History'!J:J,MATCH(9.99E+307,'Returns (Calc)'!$A:$A)+1)-'Price History'!J3)*(ROW()-3)/(MATCH(9.99E+307,'Returns (Calc)'!$A:$A)-3),"")</f>
        <v>121.455379746835</v>
      </c>
      <c r="AF92" s="144" t="n">
        <f aca="false">IFERROR('Price History'!K3+(INDEX('Price History'!K:K,MATCH(9.99E+307,'Returns (Calc)'!$A:$A)+1)-'Price History'!K3)*(ROW()-3)/(MATCH(9.99E+307,'Returns (Calc)'!$A:$A)-3),"")</f>
        <v>113.015949367089</v>
      </c>
      <c r="AG92" s="144" t="n">
        <f aca="false">IFERROR('Price History'!L3+(INDEX('Price History'!L:L,MATCH(9.99E+307,'Returns (Calc)'!$A:$A)+1)-'Price History'!L3)*(ROW()-3)/(MATCH(9.99E+307,'Returns (Calc)'!$A:$A)-3),"")</f>
        <v>303.760569620253</v>
      </c>
      <c r="AH92" s="144" t="n">
        <f aca="false">IFERROR('Price History'!M3+(INDEX('Price History'!M:M,MATCH(9.99E+307,'Returns (Calc)'!$A:$A)+1)-'Price History'!M3)*(ROW()-3)/(MATCH(9.99E+307,'Returns (Calc)'!$A:$A)-3),"")</f>
        <v>158.654430379747</v>
      </c>
      <c r="AI92" s="144" t="n">
        <f aca="false">IFERROR('Price History'!N3+(INDEX('Price History'!N:N,MATCH(9.99E+307,'Returns (Calc)'!$A:$A)+1)-'Price History'!N3)*(ROW()-3)/(MATCH(9.99E+307,'Returns (Calc)'!$A:$A)-3),"")</f>
        <v>436.677658227848</v>
      </c>
      <c r="AJ92" s="144" t="n">
        <f aca="false">IFERROR('Price History'!O3+(INDEX('Price History'!O:O,MATCH(9.99E+307,'Returns (Calc)'!$A:$A)+1)-'Price History'!O3)*(ROW()-3)/(MATCH(9.99E+307,'Returns (Calc)'!$A:$A)-3),"")</f>
        <v>100.500379746835</v>
      </c>
      <c r="AK92" s="144" t="n">
        <f aca="false">IFERROR('Price History'!Q3+(INDEX('Price History'!Q:Q,MATCH(9.99E+307,'Returns (Calc)'!$A:$A)+1)-'Price History'!Q3)*(ROW()-3)/(MATCH(9.99E+307,'Returns (Calc)'!$A:$A)-3),"")</f>
        <v>39.103670886076</v>
      </c>
      <c r="AL92" s="144" t="n">
        <f aca="false">IFERROR('Price History'!R3+(INDEX('Price History'!R:R,MATCH(9.99E+307,'Returns (Calc)'!$A:$A)+1)-'Price History'!R3)*(ROW()-3)/(MATCH(9.99E+307,'Returns (Calc)'!$A:$A)-3),"")</f>
        <v>49.4410126582279</v>
      </c>
      <c r="AM92" s="144" t="n">
        <f aca="false">IFERROR('Price History'!S3+(INDEX('Price History'!S:S,MATCH(9.99E+307,'Returns (Calc)'!$A:$A)+1)-'Price History'!S3)*(ROW()-3)/(MATCH(9.99E+307,'Returns (Calc)'!$A:$A)-3),"")</f>
        <v>111.480632911392</v>
      </c>
      <c r="AN92" s="144" t="n">
        <f aca="false">IFERROR('Price History'!T3+(INDEX('Price History'!T:T,MATCH(9.99E+307,'Returns (Calc)'!$A:$A)+1)-'Price History'!T3)*(ROW()-3)/(MATCH(9.99E+307,'Returns (Calc)'!$A:$A)-3),"")</f>
        <v>40.2122784810127</v>
      </c>
      <c r="AO92" s="145" t="n">
        <f aca="false">IFERROR('Price History'!V3+(INDEX('Price History'!V:V,MATCH(9.99E+307,'Returns (Calc)'!$A:$A)+1)-'Price History'!V3)*(ROW()-3)/(MATCH(9.99E+307,'Returns (Calc)'!$A:$A)-3),"")</f>
        <v>306.058291139241</v>
      </c>
      <c r="AP92" s="143" t="n">
        <f aca="false">IFERROR(IF(OR(NOT(ISNUMBER('Price History'!W93)),NOT(ISNUMBER('Price History'!W92)),'Price History'!W92=0),"",'Price History'!W93/'Price History'!W92-1),"")</f>
        <v>0.0110164039884209</v>
      </c>
      <c r="AQ92" s="143" t="str">
        <f aca="false">IFERROR(IF(OR(NOT(ISNUMBER('Price History'!X93)),NOT(ISNUMBER('Price History'!X92)),'Price History'!X92=0),"",'Price History'!X93/'Price History'!X92-1),"")</f>
        <v/>
      </c>
      <c r="AR92" s="143" t="n">
        <f aca="false">IFERROR(IF(OR(NOT(ISNUMBER('Price History'!Y93)),NOT(ISNUMBER('Price History'!Y92)),'Price History'!Y92=0),"",'Price History'!Y93/'Price History'!Y92-1),"")</f>
        <v>0.00880704563650925</v>
      </c>
      <c r="AS92" s="143" t="n">
        <f aca="false">IFERROR(IF(OR(NOT(ISNUMBER('Price History'!Z93)),NOT(ISNUMBER('Price History'!Z92)),'Price History'!Z92=0),"",'Price History'!Z93/'Price History'!Z92-1),"")</f>
        <v>0.0395399287790104</v>
      </c>
      <c r="AT92" s="143" t="n">
        <f aca="false">IFERROR(IF(OR(NOT(ISNUMBER('Price History'!AA93)),NOT(ISNUMBER('Price History'!AA92)),'Price History'!AA92=0),"",'Price History'!AA93/'Price History'!AA92-1),"")</f>
        <v>0.0284128561961565</v>
      </c>
    </row>
    <row r="93" customFormat="false" ht="15" hidden="false" customHeight="true" outlineLevel="0" collapsed="false">
      <c r="A93" s="141" t="n">
        <f aca="false">IF('Price History'!A94="","",'Price History'!A94)</f>
        <v>45821</v>
      </c>
      <c r="B93" s="142" t="n">
        <f aca="false">IFERROR(IF(OR(NOT(ISNUMBER('Price History'!B94)),NOT(ISNUMBER('Price History'!B93)),'Price History'!B93=0),"",'Price History'!B94/'Price History'!B93-1),"")</f>
        <v>-0.06053919217116</v>
      </c>
      <c r="C93" s="142" t="n">
        <f aca="false">IFERROR(IF(OR(NOT(ISNUMBER('Price History'!C94)),NOT(ISNUMBER('Price History'!C93)),'Price History'!C93=0),"",'Price History'!C94/'Price History'!C93-1),"")</f>
        <v>-0.0503856041131106</v>
      </c>
      <c r="D93" s="142" t="n">
        <f aca="false">IFERROR(IF(OR(NOT(ISNUMBER('Price History'!D94)),NOT(ISNUMBER('Price History'!D93)),'Price History'!D93=0),"",'Price History'!D94/'Price History'!D93-1),"")</f>
        <v>0.0106003752345216</v>
      </c>
      <c r="E93" s="142" t="n">
        <f aca="false">IFERROR(IF(OR(NOT(ISNUMBER('Price History'!E94)),NOT(ISNUMBER('Price History'!E93)),'Price History'!E93=0),"",'Price History'!E94/'Price History'!E93-1),"")</f>
        <v>0.00716889926672404</v>
      </c>
      <c r="F93" s="142" t="n">
        <f aca="false">IFERROR(IF(OR(NOT(ISNUMBER('Price History'!F94)),NOT(ISNUMBER('Price History'!F93)),'Price History'!F93=0),"",'Price History'!F94/'Price History'!F93-1),"")</f>
        <v>0.0260461144321094</v>
      </c>
      <c r="G93" s="142" t="n">
        <f aca="false">IFERROR(IF(OR(NOT(ISNUMBER('Price History'!G94)),NOT(ISNUMBER('Price History'!G93)),'Price History'!G93=0),"",'Price History'!G94/'Price History'!G93-1),"")</f>
        <v>0.073824666417259</v>
      </c>
      <c r="H93" s="142" t="n">
        <f aca="false">IFERROR(IF(OR(NOT(ISNUMBER('Price History'!H94)),NOT(ISNUMBER('Price History'!H93)),'Price History'!H93=0),"",'Price History'!H94/'Price History'!H93-1),"")</f>
        <v>0.0649242704100481</v>
      </c>
      <c r="I93" s="142" t="n">
        <f aca="false">IFERROR(IF(OR(NOT(ISNUMBER('Price History'!I94)),NOT(ISNUMBER('Price History'!I93)),'Price History'!I93=0),"",'Price History'!I94/'Price History'!I93-1),"")</f>
        <v>0.00183927560837582</v>
      </c>
      <c r="J93" s="142" t="n">
        <f aca="false">IFERROR(IF(OR(NOT(ISNUMBER('Price History'!J94)),NOT(ISNUMBER('Price History'!J93)),'Price History'!J93=0),"",'Price History'!J94/'Price History'!J93-1),"")</f>
        <v>-0.0139049826187717</v>
      </c>
      <c r="K93" s="142" t="n">
        <f aca="false">IFERROR(IF(OR(NOT(ISNUMBER('Price History'!K94)),NOT(ISNUMBER('Price History'!K93)),'Price History'!K93=0),"",'Price History'!K94/'Price History'!K93-1),"")</f>
        <v>0.0757907923582839</v>
      </c>
      <c r="L93" s="142" t="n">
        <f aca="false">IFERROR(IF(OR(NOT(ISNUMBER('Price History'!L94)),NOT(ISNUMBER('Price History'!L93)),'Price History'!L93=0),"",'Price History'!L94/'Price History'!L93-1),"")</f>
        <v>0.0325795894079144</v>
      </c>
      <c r="M93" s="142" t="n">
        <f aca="false">IFERROR(IF(OR(NOT(ISNUMBER('Price History'!M94)),NOT(ISNUMBER('Price History'!M93)),'Price History'!M93=0),"",'Price History'!M94/'Price History'!M93-1),"")</f>
        <v>-0.0381175653381958</v>
      </c>
      <c r="N93" s="142" t="n">
        <f aca="false">IFERROR(IF(OR(NOT(ISNUMBER('Price History'!N94)),NOT(ISNUMBER('Price History'!N93)),'Price History'!N93=0),"",'Price History'!N94/'Price History'!N93-1),"")</f>
        <v>0.0109877913429524</v>
      </c>
      <c r="O93" s="142" t="n">
        <f aca="false">IFERROR(IF(OR(NOT(ISNUMBER('Price History'!O94)),NOT(ISNUMBER('Price History'!O93)),'Price History'!O93=0),"",'Price History'!O94/'Price History'!O93-1),"")</f>
        <v>-0.00603919781221518</v>
      </c>
      <c r="P93" s="142" t="n">
        <f aca="false">IFERROR(IF(OR(NOT(ISNUMBER('Price History'!P94)),NOT(ISNUMBER('Price History'!P93)),'Price History'!P93=0),"",'Price History'!P94/'Price History'!P93-1),"")</f>
        <v>-0.00352507610959785</v>
      </c>
      <c r="Q93" s="142" t="n">
        <f aca="false">IFERROR(IF(OR(NOT(ISNUMBER('Price History'!Q94)),NOT(ISNUMBER('Price History'!Q93)),'Price History'!Q93=0),"",'Price History'!Q94/'Price History'!Q93-1),"")</f>
        <v>-0.000163265306122429</v>
      </c>
      <c r="R93" s="142" t="n">
        <f aca="false">IFERROR(IF(OR(NOT(ISNUMBER('Price History'!R94)),NOT(ISNUMBER('Price History'!R93)),'Price History'!R93=0),"",'Price History'!R94/'Price History'!R93-1),"")</f>
        <v>-0.00198368966277263</v>
      </c>
      <c r="S93" s="142" t="n">
        <f aca="false">IFERROR(IF(OR(NOT(ISNUMBER('Price History'!S94)),NOT(ISNUMBER('Price History'!S93)),'Price History'!S93=0),"",'Price History'!S94/'Price History'!S93-1),"")</f>
        <v>-0.00709891150023667</v>
      </c>
      <c r="T93" s="142" t="n">
        <f aca="false">IFERROR(IF(OR(NOT(ISNUMBER('Price History'!T94)),NOT(ISNUMBER('Price History'!T93)),'Price History'!T93=0),"",'Price History'!T94/'Price History'!T93-1),"")</f>
        <v>0.0132197414806112</v>
      </c>
      <c r="U93" s="142" t="n">
        <f aca="false">IFERROR(IF(OR(NOT(ISNUMBER('Price History'!U94)),NOT(ISNUMBER('Price History'!U93)),'Price History'!U93=0),"",'Price History'!U94/'Price History'!U93-1),"")</f>
        <v>0.0135188866799205</v>
      </c>
      <c r="V93" s="143" t="n">
        <f aca="false">IFERROR(IF(OR(NOT(ISNUMBER('Price History'!V94)),NOT(ISNUMBER('Price History'!V93)),'Price History'!V93=0),"",'Price History'!V94/'Price History'!V93-1),"")</f>
        <v>-0.0469125027274711</v>
      </c>
      <c r="W93" s="144" t="n">
        <f aca="false">IFERROR('Price History'!B3+(INDEX('Price History'!B:B,MATCH(9.99E+307,'Returns (Calc)'!$A:$A)+1)-'Price History'!B3)*(ROW()-3)/(MATCH(9.99E+307,'Returns (Calc)'!$A:$A)-3),"")</f>
        <v>363.016582278481</v>
      </c>
      <c r="X93" s="144" t="n">
        <f aca="false">IFERROR('Price History'!C3+(INDEX('Price History'!C:C,MATCH(9.99E+307,'Returns (Calc)'!$A:$A)+1)-'Price History'!C3)*(ROW()-3)/(MATCH(9.99E+307,'Returns (Calc)'!$A:$A)-3),"")</f>
        <v>137.985696202532</v>
      </c>
      <c r="Y93" s="144" t="n">
        <f aca="false">IFERROR('Price History'!D3+(INDEX('Price History'!D:D,MATCH(9.99E+307,'Returns (Calc)'!$A:$A)+1)-'Price History'!D3)*(ROW()-3)/(MATCH(9.99E+307,'Returns (Calc)'!$A:$A)-3),"")</f>
        <v>1314.14291139241</v>
      </c>
      <c r="Z93" s="144" t="n">
        <f aca="false">IFERROR('Price History'!E3+(INDEX('Price History'!E:E,MATCH(9.99E+307,'Returns (Calc)'!$A:$A)+1)-'Price History'!E3)*(ROW()-3)/(MATCH(9.99E+307,'Returns (Calc)'!$A:$A)-3),"")</f>
        <v>237.586075949367</v>
      </c>
      <c r="AA93" s="144" t="n">
        <f aca="false">IFERROR('Price History'!F3+(INDEX('Price History'!F:F,MATCH(9.99E+307,'Returns (Calc)'!$A:$A)+1)-'Price History'!F3)*(ROW()-3)/(MATCH(9.99E+307,'Returns (Calc)'!$A:$A)-3),"")</f>
        <v>171.620759493671</v>
      </c>
      <c r="AB93" s="144" t="n">
        <f aca="false">IFERROR('Price History'!G3+(INDEX('Price History'!G:G,MATCH(9.99E+307,'Returns (Calc)'!$A:$A)+1)-'Price History'!G3)*(ROW()-3)/(MATCH(9.99E+307,'Returns (Calc)'!$A:$A)-3),"")</f>
        <v>136.936075949367</v>
      </c>
      <c r="AC93" s="144" t="n">
        <f aca="false">IFERROR('Price History'!H3+(INDEX('Price History'!H:H,MATCH(9.99E+307,'Returns (Calc)'!$A:$A)+1)-'Price History'!H3)*(ROW()-3)/(MATCH(9.99E+307,'Returns (Calc)'!$A:$A)-3),"")</f>
        <v>642.022658227848</v>
      </c>
      <c r="AD93" s="144" t="n">
        <f aca="false">IFERROR('Price History'!I3+(INDEX('Price History'!I:I,MATCH(9.99E+307,'Returns (Calc)'!$A:$A)+1)-'Price History'!I3)*(ROW()-3)/(MATCH(9.99E+307,'Returns (Calc)'!$A:$A)-3),"")</f>
        <v>152.100379746835</v>
      </c>
      <c r="AE93" s="144" t="n">
        <f aca="false">IFERROR('Price History'!J3+(INDEX('Price History'!J:J,MATCH(9.99E+307,'Returns (Calc)'!$A:$A)+1)-'Price History'!J3)*(ROW()-3)/(MATCH(9.99E+307,'Returns (Calc)'!$A:$A)-3),"")</f>
        <v>121.563417721519</v>
      </c>
      <c r="AF93" s="144" t="n">
        <f aca="false">IFERROR('Price History'!K3+(INDEX('Price History'!K:K,MATCH(9.99E+307,'Returns (Calc)'!$A:$A)+1)-'Price History'!K3)*(ROW()-3)/(MATCH(9.99E+307,'Returns (Calc)'!$A:$A)-3),"")</f>
        <v>114.113544303797</v>
      </c>
      <c r="AG93" s="144" t="n">
        <f aca="false">IFERROR('Price History'!L3+(INDEX('Price History'!L:L,MATCH(9.99E+307,'Returns (Calc)'!$A:$A)+1)-'Price History'!L3)*(ROW()-3)/(MATCH(9.99E+307,'Returns (Calc)'!$A:$A)-3),"")</f>
        <v>306.210126582278</v>
      </c>
      <c r="AH93" s="144" t="n">
        <f aca="false">IFERROR('Price History'!M3+(INDEX('Price History'!M:M,MATCH(9.99E+307,'Returns (Calc)'!$A:$A)+1)-'Price History'!M3)*(ROW()-3)/(MATCH(9.99E+307,'Returns (Calc)'!$A:$A)-3),"")</f>
        <v>160.009873417722</v>
      </c>
      <c r="AI93" s="144" t="n">
        <f aca="false">IFERROR('Price History'!N3+(INDEX('Price History'!N:N,MATCH(9.99E+307,'Returns (Calc)'!$A:$A)+1)-'Price History'!N3)*(ROW()-3)/(MATCH(9.99E+307,'Returns (Calc)'!$A:$A)-3),"")</f>
        <v>437.663924050633</v>
      </c>
      <c r="AJ93" s="144" t="n">
        <f aca="false">IFERROR('Price History'!O3+(INDEX('Price History'!O:O,MATCH(9.99E+307,'Returns (Calc)'!$A:$A)+1)-'Price History'!O3)*(ROW()-3)/(MATCH(9.99E+307,'Returns (Calc)'!$A:$A)-3),"")</f>
        <v>100.783417721519</v>
      </c>
      <c r="AK93" s="144" t="n">
        <f aca="false">IFERROR('Price History'!Q3+(INDEX('Price History'!Q:Q,MATCH(9.99E+307,'Returns (Calc)'!$A:$A)+1)-'Price History'!Q3)*(ROW()-3)/(MATCH(9.99E+307,'Returns (Calc)'!$A:$A)-3),"")</f>
        <v>39.5430379746835</v>
      </c>
      <c r="AL93" s="144" t="n">
        <f aca="false">IFERROR('Price History'!R3+(INDEX('Price History'!R:R,MATCH(9.99E+307,'Returns (Calc)'!$A:$A)+1)-'Price History'!R3)*(ROW()-3)/(MATCH(9.99E+307,'Returns (Calc)'!$A:$A)-3),"")</f>
        <v>49.6091139240506</v>
      </c>
      <c r="AM93" s="144" t="n">
        <f aca="false">IFERROR('Price History'!S3+(INDEX('Price History'!S:S,MATCH(9.99E+307,'Returns (Calc)'!$A:$A)+1)-'Price History'!S3)*(ROW()-3)/(MATCH(9.99E+307,'Returns (Calc)'!$A:$A)-3),"")</f>
        <v>112.085696202532</v>
      </c>
      <c r="AN93" s="144" t="n">
        <f aca="false">IFERROR('Price History'!T3+(INDEX('Price History'!T:T,MATCH(9.99E+307,'Returns (Calc)'!$A:$A)+1)-'Price History'!T3)*(ROW()-3)/(MATCH(9.99E+307,'Returns (Calc)'!$A:$A)-3),"")</f>
        <v>40.3805063291139</v>
      </c>
      <c r="AO93" s="145" t="n">
        <f aca="false">IFERROR('Price History'!V3+(INDEX('Price History'!V:V,MATCH(9.99E+307,'Returns (Calc)'!$A:$A)+1)-'Price History'!V3)*(ROW()-3)/(MATCH(9.99E+307,'Returns (Calc)'!$A:$A)-3),"")</f>
        <v>306.849620253165</v>
      </c>
      <c r="AP93" s="143" t="n">
        <f aca="false">IFERROR(IF(OR(NOT(ISNUMBER('Price History'!W94)),NOT(ISNUMBER('Price History'!W93)),'Price History'!W93=0),"",'Price History'!W94/'Price History'!W93-1),"")</f>
        <v>0.000715819613457347</v>
      </c>
      <c r="AQ93" s="143" t="str">
        <f aca="false">IFERROR(IF(OR(NOT(ISNUMBER('Price History'!X94)),NOT(ISNUMBER('Price History'!X93)),'Price History'!X93=0),"",'Price History'!X94/'Price History'!X93-1),"")</f>
        <v/>
      </c>
      <c r="AR93" s="143" t="n">
        <f aca="false">IFERROR(IF(OR(NOT(ISNUMBER('Price History'!Y94)),NOT(ISNUMBER('Price History'!Y93)),'Price History'!Y93=0),"",'Price History'!Y94/'Price History'!Y93-1),"")</f>
        <v>0</v>
      </c>
      <c r="AS93" s="143" t="n">
        <f aca="false">IFERROR(IF(OR(NOT(ISNUMBER('Price History'!Z94)),NOT(ISNUMBER('Price History'!Z93)),'Price History'!Z93=0),"",'Price History'!Z94/'Price History'!Z93-1),"")</f>
        <v>-0.0744576131039099</v>
      </c>
      <c r="AT93" s="143" t="n">
        <f aca="false">IFERROR(IF(OR(NOT(ISNUMBER('Price History'!AA94)),NOT(ISNUMBER('Price History'!AA93)),'Price History'!AA93=0),"",'Price History'!AA94/'Price History'!AA93-1),"")</f>
        <v>-0.023681031010874</v>
      </c>
    </row>
    <row r="94" customFormat="false" ht="15" hidden="false" customHeight="true" outlineLevel="0" collapsed="false">
      <c r="A94" s="141" t="n">
        <f aca="false">IF('Price History'!A95="","",'Price History'!A95)</f>
        <v>45828</v>
      </c>
      <c r="B94" s="142" t="n">
        <f aca="false">IFERROR(IF(OR(NOT(ISNUMBER('Price History'!B95)),NOT(ISNUMBER('Price History'!B94)),'Price History'!B94=0),"",'Price History'!B95/'Price History'!B94-1),"")</f>
        <v>-0.0376838235294117</v>
      </c>
      <c r="C94" s="142" t="n">
        <f aca="false">IFERROR(IF(OR(NOT(ISNUMBER('Price History'!C95)),NOT(ISNUMBER('Price History'!C94)),'Price History'!C94=0),"",'Price History'!C95/'Price History'!C94-1),"")</f>
        <v>-0.0660530590146182</v>
      </c>
      <c r="D94" s="142" t="n">
        <f aca="false">IFERROR(IF(OR(NOT(ISNUMBER('Price History'!D95)),NOT(ISNUMBER('Price History'!D94)),'Price History'!D94=0),"",'Price History'!D95/'Price History'!D94-1),"")</f>
        <v>-0.00587447454615386</v>
      </c>
      <c r="E94" s="142" t="n">
        <f aca="false">IFERROR(IF(OR(NOT(ISNUMBER('Price History'!E95)),NOT(ISNUMBER('Price History'!E94)),'Price History'!E94=0),"",'Price History'!E95/'Price History'!E94-1),"")</f>
        <v>0.00756528105425836</v>
      </c>
      <c r="F94" s="142" t="n">
        <f aca="false">IFERROR(IF(OR(NOT(ISNUMBER('Price History'!F95)),NOT(ISNUMBER('Price History'!F94)),'Price History'!F94=0),"",'Price History'!F95/'Price History'!F94-1),"")</f>
        <v>-0.00898876404494398</v>
      </c>
      <c r="G94" s="142" t="n">
        <f aca="false">IFERROR(IF(OR(NOT(ISNUMBER('Price History'!G95)),NOT(ISNUMBER('Price History'!G94)),'Price History'!G94=0),"",'Price History'!G95/'Price History'!G94-1),"")</f>
        <v>-0.020322842875392</v>
      </c>
      <c r="H94" s="142" t="n">
        <f aca="false">IFERROR(IF(OR(NOT(ISNUMBER('Price History'!H95)),NOT(ISNUMBER('Price History'!H94)),'Price History'!H94=0),"",'Price History'!H95/'Price History'!H94-1),"")</f>
        <v>0.0692047524065562</v>
      </c>
      <c r="I94" s="142" t="n">
        <f aca="false">IFERROR(IF(OR(NOT(ISNUMBER('Price History'!I95)),NOT(ISNUMBER('Price History'!I94)),'Price History'!I94=0),"",'Price History'!I95/'Price History'!I94-1),"")</f>
        <v>0.0132749611636773</v>
      </c>
      <c r="J94" s="142" t="n">
        <f aca="false">IFERROR(IF(OR(NOT(ISNUMBER('Price History'!J95)),NOT(ISNUMBER('Price History'!J94)),'Price History'!J94=0),"",'Price History'!J95/'Price History'!J94-1),"")</f>
        <v>-0.00538582060321202</v>
      </c>
      <c r="K94" s="142" t="n">
        <f aca="false">IFERROR(IF(OR(NOT(ISNUMBER('Price History'!K95)),NOT(ISNUMBER('Price History'!K94)),'Price History'!K94=0),"",'Price History'!K95/'Price History'!K94-1),"")</f>
        <v>-0.000727802037845615</v>
      </c>
      <c r="L94" s="142" t="n">
        <f aca="false">IFERROR(IF(OR(NOT(ISNUMBER('Price History'!L95)),NOT(ISNUMBER('Price History'!L94)),'Price History'!L94=0),"",'Price History'!L95/'Price History'!L94-1),"")</f>
        <v>-0.00753973971089661</v>
      </c>
      <c r="M94" s="142" t="n">
        <f aca="false">IFERROR(IF(OR(NOT(ISNUMBER('Price History'!M95)),NOT(ISNUMBER('Price History'!M94)),'Price History'!M94=0),"",'Price History'!M95/'Price History'!M94-1),"")</f>
        <v>0.0686044412348799</v>
      </c>
      <c r="N94" s="142" t="n">
        <f aca="false">IFERROR(IF(OR(NOT(ISNUMBER('Price History'!N95)),NOT(ISNUMBER('Price History'!N94)),'Price History'!N94=0),"",'Price History'!N95/'Price History'!N94-1),"")</f>
        <v>-0.0320122955318916</v>
      </c>
      <c r="O94" s="142" t="n">
        <f aca="false">IFERROR(IF(OR(NOT(ISNUMBER('Price History'!O95)),NOT(ISNUMBER('Price History'!O94)),'Price History'!O94=0),"",'Price History'!O95/'Price History'!O94-1),"")</f>
        <v>0.00171959188352622</v>
      </c>
      <c r="P94" s="142" t="n">
        <f aca="false">IFERROR(IF(OR(NOT(ISNUMBER('Price History'!P95)),NOT(ISNUMBER('Price History'!P94)),'Price History'!P94=0),"",'Price History'!P95/'Price History'!P94-1),"")</f>
        <v>0.00297475478372733</v>
      </c>
      <c r="Q94" s="142" t="n">
        <f aca="false">IFERROR(IF(OR(NOT(ISNUMBER('Price History'!Q95)),NOT(ISNUMBER('Price History'!Q94)),'Price History'!Q94=0),"",'Price History'!Q95/'Price History'!Q94-1),"")</f>
        <v>0.000816459830176308</v>
      </c>
      <c r="R94" s="142" t="n">
        <f aca="false">IFERROR(IF(OR(NOT(ISNUMBER('Price History'!R95)),NOT(ISNUMBER('Price History'!R94)),'Price History'!R94=0),"",'Price History'!R95/'Price History'!R94-1),"")</f>
        <v>0.00309187279151946</v>
      </c>
      <c r="S94" s="142" t="n">
        <f aca="false">IFERROR(IF(OR(NOT(ISNUMBER('Price History'!S95)),NOT(ISNUMBER('Price History'!S94)),'Price History'!S94=0),"",'Price History'!S95/'Price History'!S94-1),"")</f>
        <v>0.00705433746425155</v>
      </c>
      <c r="T94" s="142" t="n">
        <f aca="false">IFERROR(IF(OR(NOT(ISNUMBER('Price History'!T95)),NOT(ISNUMBER('Price History'!T94)),'Price History'!T94=0),"",'Price History'!T95/'Price History'!T94-1),"")</f>
        <v>-0.00115975645114519</v>
      </c>
      <c r="U94" s="142" t="n">
        <f aca="false">IFERROR(IF(OR(NOT(ISNUMBER('Price History'!U95)),NOT(ISNUMBER('Price History'!U94)),'Price History'!U94=0),"",'Price History'!U95/'Price History'!U94-1),"")</f>
        <v>-0.00745390349156527</v>
      </c>
      <c r="V94" s="143" t="n">
        <f aca="false">IFERROR(IF(OR(NOT(ISNUMBER('Price History'!V95)),NOT(ISNUMBER('Price History'!V94)),'Price History'!V94=0),"",'Price History'!V95/'Price History'!V94-1),"")</f>
        <v>-0.0404933608058607</v>
      </c>
      <c r="W94" s="144" t="n">
        <f aca="false">IFERROR('Price History'!B3+(INDEX('Price History'!B:B,MATCH(9.99E+307,'Returns (Calc)'!$A:$A)+1)-'Price History'!B3)*(ROW()-3)/(MATCH(9.99E+307,'Returns (Calc)'!$A:$A)-3),"")</f>
        <v>361.173544303798</v>
      </c>
      <c r="X94" s="144" t="n">
        <f aca="false">IFERROR('Price History'!C3+(INDEX('Price History'!C:C,MATCH(9.99E+307,'Returns (Calc)'!$A:$A)+1)-'Price History'!C3)*(ROW()-3)/(MATCH(9.99E+307,'Returns (Calc)'!$A:$A)-3),"")</f>
        <v>139.005759493671</v>
      </c>
      <c r="Y94" s="144" t="n">
        <f aca="false">IFERROR('Price History'!D3+(INDEX('Price History'!D:D,MATCH(9.99E+307,'Returns (Calc)'!$A:$A)+1)-'Price History'!D3)*(ROW()-3)/(MATCH(9.99E+307,'Returns (Calc)'!$A:$A)-3),"")</f>
        <v>1322.27772151899</v>
      </c>
      <c r="Z94" s="144" t="n">
        <f aca="false">IFERROR('Price History'!E3+(INDEX('Price History'!E:E,MATCH(9.99E+307,'Returns (Calc)'!$A:$A)+1)-'Price History'!E3)*(ROW()-3)/(MATCH(9.99E+307,'Returns (Calc)'!$A:$A)-3),"")</f>
        <v>239.314810126582</v>
      </c>
      <c r="AA94" s="144" t="n">
        <f aca="false">IFERROR('Price History'!F3+(INDEX('Price History'!F:F,MATCH(9.99E+307,'Returns (Calc)'!$A:$A)+1)-'Price History'!F3)*(ROW()-3)/(MATCH(9.99E+307,'Returns (Calc)'!$A:$A)-3),"")</f>
        <v>173.068101265823</v>
      </c>
      <c r="AB94" s="144" t="n">
        <f aca="false">IFERROR('Price History'!G3+(INDEX('Price History'!G:G,MATCH(9.99E+307,'Returns (Calc)'!$A:$A)+1)-'Price History'!G3)*(ROW()-3)/(MATCH(9.99E+307,'Returns (Calc)'!$A:$A)-3),"")</f>
        <v>137.964810126582</v>
      </c>
      <c r="AC94" s="144" t="n">
        <f aca="false">IFERROR('Price History'!H3+(INDEX('Price History'!H:H,MATCH(9.99E+307,'Returns (Calc)'!$A:$A)+1)-'Price History'!H3)*(ROW()-3)/(MATCH(9.99E+307,'Returns (Calc)'!$A:$A)-3),"")</f>
        <v>648.38835443038</v>
      </c>
      <c r="AD94" s="144" t="n">
        <f aca="false">IFERROR('Price History'!I3+(INDEX('Price History'!I:I,MATCH(9.99E+307,'Returns (Calc)'!$A:$A)+1)-'Price History'!I3)*(ROW()-3)/(MATCH(9.99E+307,'Returns (Calc)'!$A:$A)-3),"")</f>
        <v>153.304050632911</v>
      </c>
      <c r="AE94" s="144" t="n">
        <f aca="false">IFERROR('Price History'!J3+(INDEX('Price History'!J:J,MATCH(9.99E+307,'Returns (Calc)'!$A:$A)+1)-'Price History'!J3)*(ROW()-3)/(MATCH(9.99E+307,'Returns (Calc)'!$A:$A)-3),"")</f>
        <v>121.671455696203</v>
      </c>
      <c r="AF94" s="144" t="n">
        <f aca="false">IFERROR('Price History'!K3+(INDEX('Price History'!K:K,MATCH(9.99E+307,'Returns (Calc)'!$A:$A)+1)-'Price History'!K3)*(ROW()-3)/(MATCH(9.99E+307,'Returns (Calc)'!$A:$A)-3),"")</f>
        <v>115.211139240506</v>
      </c>
      <c r="AG94" s="144" t="n">
        <f aca="false">IFERROR('Price History'!L3+(INDEX('Price History'!L:L,MATCH(9.99E+307,'Returns (Calc)'!$A:$A)+1)-'Price History'!L3)*(ROW()-3)/(MATCH(9.99E+307,'Returns (Calc)'!$A:$A)-3),"")</f>
        <v>308.659683544304</v>
      </c>
      <c r="AH94" s="144" t="n">
        <f aca="false">IFERROR('Price History'!M3+(INDEX('Price History'!M:M,MATCH(9.99E+307,'Returns (Calc)'!$A:$A)+1)-'Price History'!M3)*(ROW()-3)/(MATCH(9.99E+307,'Returns (Calc)'!$A:$A)-3),"")</f>
        <v>161.365316455696</v>
      </c>
      <c r="AI94" s="144" t="n">
        <f aca="false">IFERROR('Price History'!N3+(INDEX('Price History'!N:N,MATCH(9.99E+307,'Returns (Calc)'!$A:$A)+1)-'Price History'!N3)*(ROW()-3)/(MATCH(9.99E+307,'Returns (Calc)'!$A:$A)-3),"")</f>
        <v>438.650189873418</v>
      </c>
      <c r="AJ94" s="144" t="n">
        <f aca="false">IFERROR('Price History'!O3+(INDEX('Price History'!O:O,MATCH(9.99E+307,'Returns (Calc)'!$A:$A)+1)-'Price History'!O3)*(ROW()-3)/(MATCH(9.99E+307,'Returns (Calc)'!$A:$A)-3),"")</f>
        <v>101.066455696203</v>
      </c>
      <c r="AK94" s="144" t="n">
        <f aca="false">IFERROR('Price History'!Q3+(INDEX('Price History'!Q:Q,MATCH(9.99E+307,'Returns (Calc)'!$A:$A)+1)-'Price History'!Q3)*(ROW()-3)/(MATCH(9.99E+307,'Returns (Calc)'!$A:$A)-3),"")</f>
        <v>39.9824050632911</v>
      </c>
      <c r="AL94" s="144" t="n">
        <f aca="false">IFERROR('Price History'!R3+(INDEX('Price History'!R:R,MATCH(9.99E+307,'Returns (Calc)'!$A:$A)+1)-'Price History'!R3)*(ROW()-3)/(MATCH(9.99E+307,'Returns (Calc)'!$A:$A)-3),"")</f>
        <v>49.7772151898734</v>
      </c>
      <c r="AM94" s="144" t="n">
        <f aca="false">IFERROR('Price History'!S3+(INDEX('Price History'!S:S,MATCH(9.99E+307,'Returns (Calc)'!$A:$A)+1)-'Price History'!S3)*(ROW()-3)/(MATCH(9.99E+307,'Returns (Calc)'!$A:$A)-3),"")</f>
        <v>112.690759493671</v>
      </c>
      <c r="AN94" s="144" t="n">
        <f aca="false">IFERROR('Price History'!T3+(INDEX('Price History'!T:T,MATCH(9.99E+307,'Returns (Calc)'!$A:$A)+1)-'Price History'!T3)*(ROW()-3)/(MATCH(9.99E+307,'Returns (Calc)'!$A:$A)-3),"")</f>
        <v>40.5487341772152</v>
      </c>
      <c r="AO94" s="145" t="n">
        <f aca="false">IFERROR('Price History'!V3+(INDEX('Price History'!V:V,MATCH(9.99E+307,'Returns (Calc)'!$A:$A)+1)-'Price History'!V3)*(ROW()-3)/(MATCH(9.99E+307,'Returns (Calc)'!$A:$A)-3),"")</f>
        <v>307.640949367089</v>
      </c>
      <c r="AP94" s="143" t="n">
        <f aca="false">IFERROR(IF(OR(NOT(ISNUMBER('Price History'!W95)),NOT(ISNUMBER('Price History'!W94)),'Price History'!W94=0),"",'Price History'!W95/'Price History'!W94-1),"")</f>
        <v>-0.00039739310125575</v>
      </c>
      <c r="AQ94" s="143" t="str">
        <f aca="false">IFERROR(IF(OR(NOT(ISNUMBER('Price History'!X95)),NOT(ISNUMBER('Price History'!X94)),'Price History'!X94=0),"",'Price History'!X95/'Price History'!X94-1),"")</f>
        <v/>
      </c>
      <c r="AR94" s="143" t="n">
        <f aca="false">IFERROR(IF(OR(NOT(ISNUMBER('Price History'!Y95)),NOT(ISNUMBER('Price History'!Y94)),'Price History'!Y94=0),"",'Price History'!Y95/'Price History'!Y94-1),"")</f>
        <v>-0.00515873015873014</v>
      </c>
      <c r="AS94" s="143" t="n">
        <f aca="false">IFERROR(IF(OR(NOT(ISNUMBER('Price History'!Z95)),NOT(ISNUMBER('Price History'!Z94)),'Price History'!Z94=0),"",'Price History'!Z95/'Price History'!Z94-1),"")</f>
        <v>0.0116991406449418</v>
      </c>
      <c r="AT94" s="143" t="n">
        <f aca="false">IFERROR(IF(OR(NOT(ISNUMBER('Price History'!AA95)),NOT(ISNUMBER('Price History'!AA94)),'Price History'!AA94=0),"",'Price History'!AA95/'Price History'!AA94-1),"")</f>
        <v>0.0159227786486265</v>
      </c>
    </row>
    <row r="95" customFormat="false" ht="15" hidden="false" customHeight="true" outlineLevel="0" collapsed="false">
      <c r="A95" s="141" t="n">
        <f aca="false">IF('Price History'!A96="","",'Price History'!A96)</f>
        <v>45835</v>
      </c>
      <c r="B95" s="142" t="n">
        <f aca="false">IFERROR(IF(OR(NOT(ISNUMBER('Price History'!B96)),NOT(ISNUMBER('Price History'!B95)),'Price History'!B95=0),"",'Price History'!B96/'Price History'!B95-1),"")</f>
        <v>0.0236389684813754</v>
      </c>
      <c r="C95" s="142" t="n">
        <f aca="false">IFERROR(IF(OR(NOT(ISNUMBER('Price History'!C96)),NOT(ISNUMBER('Price History'!C95)),'Price History'!C95=0),"",'Price History'!C96/'Price History'!C95-1),"")</f>
        <v>0.152347826086957</v>
      </c>
      <c r="D95" s="142" t="n">
        <f aca="false">IFERROR(IF(OR(NOT(ISNUMBER('Price History'!D96)),NOT(ISNUMBER('Price History'!D95)),'Price History'!D95=0),"",'Price History'!D96/'Price History'!D95-1),"")</f>
        <v>0.0521022302849217</v>
      </c>
      <c r="E95" s="142" t="n">
        <f aca="false">IFERROR(IF(OR(NOT(ISNUMBER('Price History'!E96)),NOT(ISNUMBER('Price History'!E95)),'Price History'!E95=0),"",'Price History'!E96/'Price History'!E95-1),"")</f>
        <v>0.077426126271597</v>
      </c>
      <c r="F95" s="142" t="n">
        <f aca="false">IFERROR(IF(OR(NOT(ISNUMBER('Price History'!F96)),NOT(ISNUMBER('Price History'!F95)),'Price History'!F95=0),"",'Price History'!F96/'Price History'!F95-1),"")</f>
        <v>0.0483749055177627</v>
      </c>
      <c r="G95" s="142" t="n">
        <f aca="false">IFERROR(IF(OR(NOT(ISNUMBER('Price History'!G96)),NOT(ISNUMBER('Price History'!G95)),'Price History'!G95=0),"",'Price History'!G96/'Price History'!G95-1),"")</f>
        <v>0.0469416785206258</v>
      </c>
      <c r="H95" s="142" t="n">
        <f aca="false">IFERROR(IF(OR(NOT(ISNUMBER('Price History'!H96)),NOT(ISNUMBER('Price History'!H95)),'Price History'!H95=0),"",'Price History'!H96/'Price History'!H95-1),"")</f>
        <v>0.00932760158974766</v>
      </c>
      <c r="I95" s="142" t="n">
        <f aca="false">IFERROR(IF(OR(NOT(ISNUMBER('Price History'!I96)),NOT(ISNUMBER('Price History'!I95)),'Price History'!I95=0),"",'Price History'!I96/'Price History'!I95-1),"")</f>
        <v>0.0965853658536586</v>
      </c>
      <c r="J95" s="142" t="n">
        <f aca="false">IFERROR(IF(OR(NOT(ISNUMBER('Price History'!J96)),NOT(ISNUMBER('Price History'!J95)),'Price History'!J95=0),"",'Price History'!J96/'Price History'!J95-1),"")</f>
        <v>-0.000689179875947521</v>
      </c>
      <c r="K95" s="142" t="n">
        <f aca="false">IFERROR(IF(OR(NOT(ISNUMBER('Price History'!K96)),NOT(ISNUMBER('Price History'!K95)),'Price History'!K95=0),"",'Price History'!K96/'Price History'!K95-1),"")</f>
        <v>-0.0477785870356883</v>
      </c>
      <c r="L95" s="142" t="n">
        <f aca="false">IFERROR(IF(OR(NOT(ISNUMBER('Price History'!L96)),NOT(ISNUMBER('Price History'!L95)),'Price History'!L95=0),"",'Price History'!L96/'Price History'!L95-1),"")</f>
        <v>0.0909706764734346</v>
      </c>
      <c r="M95" s="142" t="n">
        <f aca="false">IFERROR(IF(OR(NOT(ISNUMBER('Price History'!M96)),NOT(ISNUMBER('Price History'!M95)),'Price History'!M95=0),"",'Price History'!M96/'Price History'!M95-1),"")</f>
        <v>0.0727318803852002</v>
      </c>
      <c r="N95" s="142" t="n">
        <f aca="false">IFERROR(IF(OR(NOT(ISNUMBER('Price History'!N96)),NOT(ISNUMBER('Price History'!N95)),'Price History'!N95=0),"",'Price History'!N96/'Price History'!N95-1),"")</f>
        <v>0.000975344205774942</v>
      </c>
      <c r="O95" s="142" t="n">
        <f aca="false">IFERROR(IF(OR(NOT(ISNUMBER('Price History'!O96)),NOT(ISNUMBER('Price History'!O95)),'Price History'!O95=0),"",'Price History'!O96/'Price History'!O95-1),"")</f>
        <v>0.0255207141222249</v>
      </c>
      <c r="P95" s="142" t="n">
        <f aca="false">IFERROR(IF(OR(NOT(ISNUMBER('Price History'!P96)),NOT(ISNUMBER('Price History'!P95)),'Price History'!P95=0),"",'Price History'!P96/'Price History'!P95-1),"")</f>
        <v>0.0137875751503005</v>
      </c>
      <c r="Q95" s="142" t="n">
        <f aca="false">IFERROR(IF(OR(NOT(ISNUMBER('Price History'!Q96)),NOT(ISNUMBER('Price History'!Q95)),'Price History'!Q95=0),"",'Price History'!Q96/'Price History'!Q95-1),"")</f>
        <v>0.0124000652635015</v>
      </c>
      <c r="R95" s="142" t="n">
        <f aca="false">IFERROR(IF(OR(NOT(ISNUMBER('Price History'!R96)),NOT(ISNUMBER('Price History'!R95)),'Price History'!R95=0),"",'Price History'!R96/'Price History'!R95-1),"")</f>
        <v>0.0288419198590928</v>
      </c>
      <c r="S95" s="142" t="n">
        <f aca="false">IFERROR(IF(OR(NOT(ISNUMBER('Price History'!S96)),NOT(ISNUMBER('Price History'!S95)),'Price History'!S95=0),"",'Price History'!S96/'Price History'!S95-1),"")</f>
        <v>0.048182506626278</v>
      </c>
      <c r="T95" s="142" t="n">
        <f aca="false">IFERROR(IF(OR(NOT(ISNUMBER('Price History'!T96)),NOT(ISNUMBER('Price History'!T95)),'Price History'!T95=0),"",'Price History'!T96/'Price History'!T95-1),"")</f>
        <v>0.00870827285921627</v>
      </c>
      <c r="U95" s="142" t="n">
        <f aca="false">IFERROR(IF(OR(NOT(ISNUMBER('Price History'!U96)),NOT(ISNUMBER('Price History'!U95)),'Price History'!U95=0),"",'Price History'!U96/'Price History'!U95-1),"")</f>
        <v>-0.00197628458498023</v>
      </c>
      <c r="V95" s="143" t="n">
        <f aca="false">IFERROR(IF(OR(NOT(ISNUMBER('Price History'!V96)),NOT(ISNUMBER('Price History'!V95)),'Price History'!V95=0),"",'Price History'!V96/'Price History'!V95-1),"")</f>
        <v>0.0296758030361777</v>
      </c>
      <c r="W95" s="144" t="n">
        <f aca="false">IFERROR('Price History'!B3+(INDEX('Price History'!B:B,MATCH(9.99E+307,'Returns (Calc)'!$A:$A)+1)-'Price History'!B3)*(ROW()-3)/(MATCH(9.99E+307,'Returns (Calc)'!$A:$A)-3),"")</f>
        <v>359.330506329114</v>
      </c>
      <c r="X95" s="144" t="n">
        <f aca="false">IFERROR('Price History'!C3+(INDEX('Price History'!C:C,MATCH(9.99E+307,'Returns (Calc)'!$A:$A)+1)-'Price History'!C3)*(ROW()-3)/(MATCH(9.99E+307,'Returns (Calc)'!$A:$A)-3),"")</f>
        <v>140.02582278481</v>
      </c>
      <c r="Y95" s="144" t="n">
        <f aca="false">IFERROR('Price History'!D3+(INDEX('Price History'!D:D,MATCH(9.99E+307,'Returns (Calc)'!$A:$A)+1)-'Price History'!D3)*(ROW()-3)/(MATCH(9.99E+307,'Returns (Calc)'!$A:$A)-3),"")</f>
        <v>1330.41253164557</v>
      </c>
      <c r="Z95" s="144" t="n">
        <f aca="false">IFERROR('Price History'!E3+(INDEX('Price History'!E:E,MATCH(9.99E+307,'Returns (Calc)'!$A:$A)+1)-'Price History'!E3)*(ROW()-3)/(MATCH(9.99E+307,'Returns (Calc)'!$A:$A)-3),"")</f>
        <v>241.043544303797</v>
      </c>
      <c r="AA95" s="144" t="n">
        <f aca="false">IFERROR('Price History'!F3+(INDEX('Price History'!F:F,MATCH(9.99E+307,'Returns (Calc)'!$A:$A)+1)-'Price History'!F3)*(ROW()-3)/(MATCH(9.99E+307,'Returns (Calc)'!$A:$A)-3),"")</f>
        <v>174.515443037975</v>
      </c>
      <c r="AB95" s="144" t="n">
        <f aca="false">IFERROR('Price History'!G3+(INDEX('Price History'!G:G,MATCH(9.99E+307,'Returns (Calc)'!$A:$A)+1)-'Price History'!G3)*(ROW()-3)/(MATCH(9.99E+307,'Returns (Calc)'!$A:$A)-3),"")</f>
        <v>138.993544303797</v>
      </c>
      <c r="AC95" s="144" t="n">
        <f aca="false">IFERROR('Price History'!H3+(INDEX('Price History'!H:H,MATCH(9.99E+307,'Returns (Calc)'!$A:$A)+1)-'Price History'!H3)*(ROW()-3)/(MATCH(9.99E+307,'Returns (Calc)'!$A:$A)-3),"")</f>
        <v>654.754050632912</v>
      </c>
      <c r="AD95" s="144" t="n">
        <f aca="false">IFERROR('Price History'!I3+(INDEX('Price History'!I:I,MATCH(9.99E+307,'Returns (Calc)'!$A:$A)+1)-'Price History'!I3)*(ROW()-3)/(MATCH(9.99E+307,'Returns (Calc)'!$A:$A)-3),"")</f>
        <v>154.507721518987</v>
      </c>
      <c r="AE95" s="144" t="n">
        <f aca="false">IFERROR('Price History'!J3+(INDEX('Price History'!J:J,MATCH(9.99E+307,'Returns (Calc)'!$A:$A)+1)-'Price History'!J3)*(ROW()-3)/(MATCH(9.99E+307,'Returns (Calc)'!$A:$A)-3),"")</f>
        <v>121.779493670886</v>
      </c>
      <c r="AF95" s="144" t="n">
        <f aca="false">IFERROR('Price History'!K3+(INDEX('Price History'!K:K,MATCH(9.99E+307,'Returns (Calc)'!$A:$A)+1)-'Price History'!K3)*(ROW()-3)/(MATCH(9.99E+307,'Returns (Calc)'!$A:$A)-3),"")</f>
        <v>116.308734177215</v>
      </c>
      <c r="AG95" s="144" t="n">
        <f aca="false">IFERROR('Price History'!L3+(INDEX('Price History'!L:L,MATCH(9.99E+307,'Returns (Calc)'!$A:$A)+1)-'Price History'!L3)*(ROW()-3)/(MATCH(9.99E+307,'Returns (Calc)'!$A:$A)-3),"")</f>
        <v>311.109240506329</v>
      </c>
      <c r="AH95" s="144" t="n">
        <f aca="false">IFERROR('Price History'!M3+(INDEX('Price History'!M:M,MATCH(9.99E+307,'Returns (Calc)'!$A:$A)+1)-'Price History'!M3)*(ROW()-3)/(MATCH(9.99E+307,'Returns (Calc)'!$A:$A)-3),"")</f>
        <v>162.720759493671</v>
      </c>
      <c r="AI95" s="144" t="n">
        <f aca="false">IFERROR('Price History'!N3+(INDEX('Price History'!N:N,MATCH(9.99E+307,'Returns (Calc)'!$A:$A)+1)-'Price History'!N3)*(ROW()-3)/(MATCH(9.99E+307,'Returns (Calc)'!$A:$A)-3),"")</f>
        <v>439.636455696203</v>
      </c>
      <c r="AJ95" s="144" t="n">
        <f aca="false">IFERROR('Price History'!O3+(INDEX('Price History'!O:O,MATCH(9.99E+307,'Returns (Calc)'!$A:$A)+1)-'Price History'!O3)*(ROW()-3)/(MATCH(9.99E+307,'Returns (Calc)'!$A:$A)-3),"")</f>
        <v>101.349493670886</v>
      </c>
      <c r="AK95" s="144" t="n">
        <f aca="false">IFERROR('Price History'!Q3+(INDEX('Price History'!Q:Q,MATCH(9.99E+307,'Returns (Calc)'!$A:$A)+1)-'Price History'!Q3)*(ROW()-3)/(MATCH(9.99E+307,'Returns (Calc)'!$A:$A)-3),"")</f>
        <v>40.4217721518987</v>
      </c>
      <c r="AL95" s="144" t="n">
        <f aca="false">IFERROR('Price History'!R3+(INDEX('Price History'!R:R,MATCH(9.99E+307,'Returns (Calc)'!$A:$A)+1)-'Price History'!R3)*(ROW()-3)/(MATCH(9.99E+307,'Returns (Calc)'!$A:$A)-3),"")</f>
        <v>49.9453164556962</v>
      </c>
      <c r="AM95" s="144" t="n">
        <f aca="false">IFERROR('Price History'!S3+(INDEX('Price History'!S:S,MATCH(9.99E+307,'Returns (Calc)'!$A:$A)+1)-'Price History'!S3)*(ROW()-3)/(MATCH(9.99E+307,'Returns (Calc)'!$A:$A)-3),"")</f>
        <v>113.29582278481</v>
      </c>
      <c r="AN95" s="144" t="n">
        <f aca="false">IFERROR('Price History'!T3+(INDEX('Price History'!T:T,MATCH(9.99E+307,'Returns (Calc)'!$A:$A)+1)-'Price History'!T3)*(ROW()-3)/(MATCH(9.99E+307,'Returns (Calc)'!$A:$A)-3),"")</f>
        <v>40.7169620253165</v>
      </c>
      <c r="AO95" s="145" t="n">
        <f aca="false">IFERROR('Price History'!V3+(INDEX('Price History'!V:V,MATCH(9.99E+307,'Returns (Calc)'!$A:$A)+1)-'Price History'!V3)*(ROW()-3)/(MATCH(9.99E+307,'Returns (Calc)'!$A:$A)-3),"")</f>
        <v>308.432278481013</v>
      </c>
      <c r="AP95" s="143" t="n">
        <f aca="false">IFERROR(IF(OR(NOT(ISNUMBER('Price History'!W96)),NOT(ISNUMBER('Price History'!W95)),'Price History'!W95=0),"",'Price History'!W96/'Price History'!W95-1),"")</f>
        <v>0.0223423709946728</v>
      </c>
      <c r="AQ95" s="143" t="str">
        <f aca="false">IFERROR(IF(OR(NOT(ISNUMBER('Price History'!X96)),NOT(ISNUMBER('Price History'!X95)),'Price History'!X95=0),"",'Price History'!X96/'Price History'!X95-1),"")</f>
        <v/>
      </c>
      <c r="AR95" s="143" t="n">
        <f aca="false">IFERROR(IF(OR(NOT(ISNUMBER('Price History'!Y96)),NOT(ISNUMBER('Price History'!Y95)),'Price History'!Y95=0),"",'Price History'!Y96/'Price History'!Y95-1),"")</f>
        <v>0.0163542082169925</v>
      </c>
      <c r="AS95" s="143" t="n">
        <f aca="false">IFERROR(IF(OR(NOT(ISNUMBER('Price History'!Z96)),NOT(ISNUMBER('Price History'!Z95)),'Price History'!Z95=0),"",'Price History'!Z96/'Price History'!Z95-1),"")</f>
        <v>0.063243766031706</v>
      </c>
      <c r="AT95" s="143" t="n">
        <f aca="false">IFERROR(IF(OR(NOT(ISNUMBER('Price History'!AA96)),NOT(ISNUMBER('Price History'!AA95)),'Price History'!AA95=0),"",'Price History'!AA96/'Price History'!AA95-1),"")</f>
        <v>0.074468085106383</v>
      </c>
    </row>
    <row r="96" customFormat="false" ht="15" hidden="false" customHeight="true" outlineLevel="0" collapsed="false">
      <c r="A96" s="141" t="n">
        <f aca="false">IF('Price History'!A97="","",'Price History'!A97)</f>
        <v>45842</v>
      </c>
      <c r="B96" s="142" t="n">
        <f aca="false">IFERROR(IF(OR(NOT(ISNUMBER('Price History'!B97)),NOT(ISNUMBER('Price History'!B96)),'Price History'!B96=0),"",'Price History'!B97/'Price History'!B96-1),"")</f>
        <v>-0.0168986341134696</v>
      </c>
      <c r="C96" s="142" t="n">
        <f aca="false">IFERROR(IF(OR(NOT(ISNUMBER('Price History'!C97)),NOT(ISNUMBER('Price History'!C96)),'Price History'!C96=0),"",'Price History'!C97/'Price History'!C96-1),"")</f>
        <v>0.0314921018211087</v>
      </c>
      <c r="D96" s="142" t="n">
        <f aca="false">IFERROR(IF(OR(NOT(ISNUMBER('Price History'!D97)),NOT(ISNUMBER('Price History'!D96)),'Price History'!D96=0),"",'Price History'!D97/'Price History'!D96-1),"")</f>
        <v>-0.00182569668078203</v>
      </c>
      <c r="E96" s="142" t="n">
        <f aca="false">IFERROR(IF(OR(NOT(ISNUMBER('Price History'!E97)),NOT(ISNUMBER('Price History'!E96)),'Price History'!E96=0),"",'Price History'!E97/'Price History'!E96-1),"")</f>
        <v>0.0216560509554142</v>
      </c>
      <c r="F96" s="142" t="n">
        <f aca="false">IFERROR(IF(OR(NOT(ISNUMBER('Price History'!F97)),NOT(ISNUMBER('Price History'!F96)),'Price History'!F96=0),"",'Price History'!F97/'Price History'!F96-1),"")</f>
        <v>0.0295602018745496</v>
      </c>
      <c r="G96" s="142" t="n">
        <f aca="false">IFERROR(IF(OR(NOT(ISNUMBER('Price History'!G97)),NOT(ISNUMBER('Price History'!G96)),'Price History'!G96=0),"",'Price History'!G97/'Price History'!G96-1),"")</f>
        <v>0.0389492753623191</v>
      </c>
      <c r="H96" s="142" t="n">
        <f aca="false">IFERROR(IF(OR(NOT(ISNUMBER('Price History'!H97)),NOT(ISNUMBER('Price History'!H96)),'Price History'!H96=0),"",'Price History'!H97/'Price History'!H96-1),"")</f>
        <v>-0.01976856316297</v>
      </c>
      <c r="I96" s="142" t="n">
        <f aca="false">IFERROR(IF(OR(NOT(ISNUMBER('Price History'!I97)),NOT(ISNUMBER('Price History'!I96)),'Price History'!I96=0),"",'Price History'!I97/'Price History'!I96-1),"")</f>
        <v>0.0101042196237924</v>
      </c>
      <c r="J96" s="142" t="n">
        <f aca="false">IFERROR(IF(OR(NOT(ISNUMBER('Price History'!J97)),NOT(ISNUMBER('Price History'!J96)),'Price History'!J96=0),"",'Price History'!J97/'Price History'!J96-1),"")</f>
        <v>0.0227586206896553</v>
      </c>
      <c r="K96" s="142" t="n">
        <f aca="false">IFERROR(IF(OR(NOT(ISNUMBER('Price History'!K97)),NOT(ISNUMBER('Price History'!K96)),'Price History'!K96=0),"",'Price History'!K97/'Price History'!K96-1),"")</f>
        <v>0.0276885421447148</v>
      </c>
      <c r="L96" s="142" t="n">
        <f aca="false">IFERROR(IF(OR(NOT(ISNUMBER('Price History'!L97)),NOT(ISNUMBER('Price History'!L96)),'Price History'!L96=0),"",'Price History'!L97/'Price History'!L96-1),"")</f>
        <v>0.0272775658653419</v>
      </c>
      <c r="M96" s="142" t="n">
        <f aca="false">IFERROR(IF(OR(NOT(ISNUMBER('Price History'!M97)),NOT(ISNUMBER('Price History'!M96)),'Price History'!M96=0),"",'Price History'!M97/'Price History'!M96-1),"")</f>
        <v>0.00535475234270422</v>
      </c>
      <c r="N96" s="142" t="n">
        <f aca="false">IFERROR(IF(OR(NOT(ISNUMBER('Price History'!N97)),NOT(ISNUMBER('Price History'!N96)),'Price History'!N96=0),"",'Price History'!N97/'Price History'!N96-1),"")</f>
        <v>0.0415137094946747</v>
      </c>
      <c r="O96" s="142" t="n">
        <f aca="false">IFERROR(IF(OR(NOT(ISNUMBER('Price History'!O97)),NOT(ISNUMBER('Price History'!O96)),'Price History'!O96=0),"",'Price History'!O97/'Price History'!O96-1),"")</f>
        <v>0.0416248186586319</v>
      </c>
      <c r="P96" s="142" t="n">
        <f aca="false">IFERROR(IF(OR(NOT(ISNUMBER('Price History'!P97)),NOT(ISNUMBER('Price History'!P96)),'Price History'!P96=0),"",'Price History'!P97/'Price History'!P96-1),"")</f>
        <v>0.0341582984106903</v>
      </c>
      <c r="Q96" s="142" t="n">
        <f aca="false">IFERROR(IF(OR(NOT(ISNUMBER('Price History'!Q97)),NOT(ISNUMBER('Price History'!Q96)),'Price History'!Q96=0),"",'Price History'!Q97/'Price History'!Q96-1),"")</f>
        <v>0.00660757453666405</v>
      </c>
      <c r="R96" s="142" t="n">
        <f aca="false">IFERROR(IF(OR(NOT(ISNUMBER('Price History'!R97)),NOT(ISNUMBER('Price History'!R96)),'Price History'!R96=0),"",'Price History'!R97/'Price History'!R96-1),"")</f>
        <v>0.00706184463941795</v>
      </c>
      <c r="S96" s="142" t="n">
        <f aca="false">IFERROR(IF(OR(NOT(ISNUMBER('Price History'!S97)),NOT(ISNUMBER('Price History'!S96)),'Price History'!S96=0),"",'Price History'!S97/'Price History'!S96-1),"")</f>
        <v>0.00596044432403131</v>
      </c>
      <c r="T96" s="142" t="n">
        <f aca="false">IFERROR(IF(OR(NOT(ISNUMBER('Price History'!T97)),NOT(ISNUMBER('Price History'!T96)),'Price History'!T96=0),"",'Price History'!T97/'Price History'!T96-1),"")</f>
        <v>0.0123741007194245</v>
      </c>
      <c r="U96" s="142" t="n">
        <f aca="false">IFERROR(IF(OR(NOT(ISNUMBER('Price History'!U97)),NOT(ISNUMBER('Price History'!U96)),'Price History'!U96=0),"",'Price History'!U97/'Price History'!U96-1),"")</f>
        <v>0.0364356435643565</v>
      </c>
      <c r="V96" s="143" t="n">
        <f aca="false">IFERROR(IF(OR(NOT(ISNUMBER('Price History'!V97)),NOT(ISNUMBER('Price History'!V96)),'Price History'!V96=0),"",'Price History'!V97/'Price History'!V96-1),"")</f>
        <v>0.0293998377939984</v>
      </c>
      <c r="W96" s="144" t="n">
        <f aca="false">IFERROR('Price History'!B3+(INDEX('Price History'!B:B,MATCH(9.99E+307,'Returns (Calc)'!$A:$A)+1)-'Price History'!B3)*(ROW()-3)/(MATCH(9.99E+307,'Returns (Calc)'!$A:$A)-3),"")</f>
        <v>357.48746835443</v>
      </c>
      <c r="X96" s="144" t="n">
        <f aca="false">IFERROR('Price History'!C3+(INDEX('Price History'!C:C,MATCH(9.99E+307,'Returns (Calc)'!$A:$A)+1)-'Price History'!C3)*(ROW()-3)/(MATCH(9.99E+307,'Returns (Calc)'!$A:$A)-3),"")</f>
        <v>141.045886075949</v>
      </c>
      <c r="Y96" s="144" t="n">
        <f aca="false">IFERROR('Price History'!D3+(INDEX('Price History'!D:D,MATCH(9.99E+307,'Returns (Calc)'!$A:$A)+1)-'Price History'!D3)*(ROW()-3)/(MATCH(9.99E+307,'Returns (Calc)'!$A:$A)-3),"")</f>
        <v>1338.54734177215</v>
      </c>
      <c r="Z96" s="144" t="n">
        <f aca="false">IFERROR('Price History'!E3+(INDEX('Price History'!E:E,MATCH(9.99E+307,'Returns (Calc)'!$A:$A)+1)-'Price History'!E3)*(ROW()-3)/(MATCH(9.99E+307,'Returns (Calc)'!$A:$A)-3),"")</f>
        <v>242.772278481013</v>
      </c>
      <c r="AA96" s="144" t="n">
        <f aca="false">IFERROR('Price History'!F3+(INDEX('Price History'!F:F,MATCH(9.99E+307,'Returns (Calc)'!$A:$A)+1)-'Price History'!F3)*(ROW()-3)/(MATCH(9.99E+307,'Returns (Calc)'!$A:$A)-3),"")</f>
        <v>175.962784810127</v>
      </c>
      <c r="AB96" s="144" t="n">
        <f aca="false">IFERROR('Price History'!G3+(INDEX('Price History'!G:G,MATCH(9.99E+307,'Returns (Calc)'!$A:$A)+1)-'Price History'!G3)*(ROW()-3)/(MATCH(9.99E+307,'Returns (Calc)'!$A:$A)-3),"")</f>
        <v>140.022278481013</v>
      </c>
      <c r="AC96" s="144" t="n">
        <f aca="false">IFERROR('Price History'!H3+(INDEX('Price History'!H:H,MATCH(9.99E+307,'Returns (Calc)'!$A:$A)+1)-'Price History'!H3)*(ROW()-3)/(MATCH(9.99E+307,'Returns (Calc)'!$A:$A)-3),"")</f>
        <v>661.119746835443</v>
      </c>
      <c r="AD96" s="144" t="n">
        <f aca="false">IFERROR('Price History'!I3+(INDEX('Price History'!I:I,MATCH(9.99E+307,'Returns (Calc)'!$A:$A)+1)-'Price History'!I3)*(ROW()-3)/(MATCH(9.99E+307,'Returns (Calc)'!$A:$A)-3),"")</f>
        <v>155.711392405063</v>
      </c>
      <c r="AE96" s="144" t="n">
        <f aca="false">IFERROR('Price History'!J3+(INDEX('Price History'!J:J,MATCH(9.99E+307,'Returns (Calc)'!$A:$A)+1)-'Price History'!J3)*(ROW()-3)/(MATCH(9.99E+307,'Returns (Calc)'!$A:$A)-3),"")</f>
        <v>121.88753164557</v>
      </c>
      <c r="AF96" s="144" t="n">
        <f aca="false">IFERROR('Price History'!K3+(INDEX('Price History'!K:K,MATCH(9.99E+307,'Returns (Calc)'!$A:$A)+1)-'Price History'!K3)*(ROW()-3)/(MATCH(9.99E+307,'Returns (Calc)'!$A:$A)-3),"")</f>
        <v>117.406329113924</v>
      </c>
      <c r="AG96" s="144" t="n">
        <f aca="false">IFERROR('Price History'!L3+(INDEX('Price History'!L:L,MATCH(9.99E+307,'Returns (Calc)'!$A:$A)+1)-'Price History'!L3)*(ROW()-3)/(MATCH(9.99E+307,'Returns (Calc)'!$A:$A)-3),"")</f>
        <v>313.558797468354</v>
      </c>
      <c r="AH96" s="144" t="n">
        <f aca="false">IFERROR('Price History'!M3+(INDEX('Price History'!M:M,MATCH(9.99E+307,'Returns (Calc)'!$A:$A)+1)-'Price History'!M3)*(ROW()-3)/(MATCH(9.99E+307,'Returns (Calc)'!$A:$A)-3),"")</f>
        <v>164.076202531646</v>
      </c>
      <c r="AI96" s="144" t="n">
        <f aca="false">IFERROR('Price History'!N3+(INDEX('Price History'!N:N,MATCH(9.99E+307,'Returns (Calc)'!$A:$A)+1)-'Price History'!N3)*(ROW()-3)/(MATCH(9.99E+307,'Returns (Calc)'!$A:$A)-3),"")</f>
        <v>440.622721518987</v>
      </c>
      <c r="AJ96" s="144" t="n">
        <f aca="false">IFERROR('Price History'!O3+(INDEX('Price History'!O:O,MATCH(9.99E+307,'Returns (Calc)'!$A:$A)+1)-'Price History'!O3)*(ROW()-3)/(MATCH(9.99E+307,'Returns (Calc)'!$A:$A)-3),"")</f>
        <v>101.63253164557</v>
      </c>
      <c r="AK96" s="144" t="n">
        <f aca="false">IFERROR('Price History'!Q3+(INDEX('Price History'!Q:Q,MATCH(9.99E+307,'Returns (Calc)'!$A:$A)+1)-'Price History'!Q3)*(ROW()-3)/(MATCH(9.99E+307,'Returns (Calc)'!$A:$A)-3),"")</f>
        <v>40.8611392405063</v>
      </c>
      <c r="AL96" s="144" t="n">
        <f aca="false">IFERROR('Price History'!R3+(INDEX('Price History'!R:R,MATCH(9.99E+307,'Returns (Calc)'!$A:$A)+1)-'Price History'!R3)*(ROW()-3)/(MATCH(9.99E+307,'Returns (Calc)'!$A:$A)-3),"")</f>
        <v>50.113417721519</v>
      </c>
      <c r="AM96" s="144" t="n">
        <f aca="false">IFERROR('Price History'!S3+(INDEX('Price History'!S:S,MATCH(9.99E+307,'Returns (Calc)'!$A:$A)+1)-'Price History'!S3)*(ROW()-3)/(MATCH(9.99E+307,'Returns (Calc)'!$A:$A)-3),"")</f>
        <v>113.900886075949</v>
      </c>
      <c r="AN96" s="144" t="n">
        <f aca="false">IFERROR('Price History'!T3+(INDEX('Price History'!T:T,MATCH(9.99E+307,'Returns (Calc)'!$A:$A)+1)-'Price History'!T3)*(ROW()-3)/(MATCH(9.99E+307,'Returns (Calc)'!$A:$A)-3),"")</f>
        <v>40.8851898734177</v>
      </c>
      <c r="AO96" s="145" t="n">
        <f aca="false">IFERROR('Price History'!V3+(INDEX('Price History'!V:V,MATCH(9.99E+307,'Returns (Calc)'!$A:$A)+1)-'Price History'!V3)*(ROW()-3)/(MATCH(9.99E+307,'Returns (Calc)'!$A:$A)-3),"")</f>
        <v>309.223607594937</v>
      </c>
      <c r="AP96" s="143" t="n">
        <f aca="false">IFERROR(IF(OR(NOT(ISNUMBER('Price History'!W97)),NOT(ISNUMBER('Price History'!W96)),'Price History'!W96=0),"",'Price History'!W97/'Price History'!W96-1),"")</f>
        <v>0.0248872297402394</v>
      </c>
      <c r="AQ96" s="143" t="str">
        <f aca="false">IFERROR(IF(OR(NOT(ISNUMBER('Price History'!X97)),NOT(ISNUMBER('Price History'!X96)),'Price History'!X96=0),"",'Price History'!X97/'Price History'!X96-1),"")</f>
        <v/>
      </c>
      <c r="AR96" s="143" t="n">
        <f aca="false">IFERROR(IF(OR(NOT(ISNUMBER('Price History'!Y97)),NOT(ISNUMBER('Price History'!Y96)),'Price History'!Y96=0),"",'Price History'!Y97/'Price History'!Y96-1),"")</f>
        <v>0.0123626373626373</v>
      </c>
      <c r="AS96" s="143" t="n">
        <f aca="false">IFERROR(IF(OR(NOT(ISNUMBER('Price History'!Z97)),NOT(ISNUMBER('Price History'!Z96)),'Price History'!Z96=0),"",'Price History'!Z97/'Price History'!Z96-1),"")</f>
        <v>-0.0299782479731066</v>
      </c>
      <c r="AT96" s="143" t="n">
        <f aca="false">IFERROR(IF(OR(NOT(ISNUMBER('Price History'!AA97)),NOT(ISNUMBER('Price History'!AA96)),'Price History'!AA96=0),"",'Price History'!AA97/'Price History'!AA96-1),"")</f>
        <v>-0.0195752399667448</v>
      </c>
    </row>
    <row r="97" customFormat="false" ht="15" hidden="false" customHeight="true" outlineLevel="0" collapsed="false">
      <c r="A97" s="141" t="n">
        <f aca="false">IF('Price History'!A98="","",'Price History'!A98)</f>
        <v>45849</v>
      </c>
      <c r="B97" s="142" t="n">
        <f aca="false">IFERROR(IF(OR(NOT(ISNUMBER('Price History'!B98)),NOT(ISNUMBER('Price History'!B97)),'Price History'!B97=0),"",'Price History'!B98/'Price History'!B97-1),"")</f>
        <v>-0.0420764018876381</v>
      </c>
      <c r="C97" s="142" t="n">
        <f aca="false">IFERROR(IF(OR(NOT(ISNUMBER('Price History'!C98)),NOT(ISNUMBER('Price History'!C97)),'Price History'!C97=0),"",'Price History'!C98/'Price History'!C97-1),"")</f>
        <v>0.0590128755364807</v>
      </c>
      <c r="D97" s="142" t="n">
        <f aca="false">IFERROR(IF(OR(NOT(ISNUMBER('Price History'!D98)),NOT(ISNUMBER('Price History'!D97)),'Price History'!D97=0),"",'Price History'!D98/'Price History'!D97-1),"")</f>
        <v>0.00936110758287811</v>
      </c>
      <c r="E97" s="142" t="n">
        <f aca="false">IFERROR(IF(OR(NOT(ISNUMBER('Price History'!E98)),NOT(ISNUMBER('Price History'!E97)),'Price History'!E97=0),"",'Price History'!E98/'Price History'!E97-1),"")</f>
        <v>-0.0028971688425995</v>
      </c>
      <c r="F97" s="142" t="n">
        <f aca="false">IFERROR(IF(OR(NOT(ISNUMBER('Price History'!F98)),NOT(ISNUMBER('Price History'!F97)),'Price History'!F97=0),"",'Price History'!F98/'Price History'!F97-1),"")</f>
        <v>-0.0693277310924371</v>
      </c>
      <c r="G97" s="142" t="n">
        <f aca="false">IFERROR(IF(OR(NOT(ISNUMBER('Price History'!G98)),NOT(ISNUMBER('Price History'!G97)),'Price History'!G97=0),"",'Price History'!G98/'Price History'!G97-1),"")</f>
        <v>0</v>
      </c>
      <c r="H97" s="142" t="n">
        <f aca="false">IFERROR(IF(OR(NOT(ISNUMBER('Price History'!H98)),NOT(ISNUMBER('Price History'!H97)),'Price History'!H97=0),"",'Price History'!H98/'Price History'!H97-1),"")</f>
        <v>0.0192654533530086</v>
      </c>
      <c r="I97" s="142" t="n">
        <f aca="false">IFERROR(IF(OR(NOT(ISNUMBER('Price History'!I98)),NOT(ISNUMBER('Price History'!I97)),'Price History'!I97=0),"",'Price History'!I98/'Price History'!I97-1),"")</f>
        <v>0.0350424661843349</v>
      </c>
      <c r="J97" s="142" t="n">
        <f aca="false">IFERROR(IF(OR(NOT(ISNUMBER('Price History'!J98)),NOT(ISNUMBER('Price History'!J97)),'Price History'!J97=0),"",'Price History'!J98/'Price History'!J97-1),"")</f>
        <v>0.0105962816684326</v>
      </c>
      <c r="K97" s="142" t="n">
        <f aca="false">IFERROR(IF(OR(NOT(ISNUMBER('Price History'!K98)),NOT(ISNUMBER('Price History'!K97)),'Price History'!K97=0),"",'Price History'!K98/'Price History'!K97-1),"")</f>
        <v>0.0576064304852633</v>
      </c>
      <c r="L97" s="142" t="n">
        <f aca="false">IFERROR(IF(OR(NOT(ISNUMBER('Price History'!L98)),NOT(ISNUMBER('Price History'!L97)),'Price History'!L97=0),"",'Price History'!L98/'Price History'!L97-1),"")</f>
        <v>-0.0187383964422952</v>
      </c>
      <c r="M97" s="142" t="n">
        <f aca="false">IFERROR(IF(OR(NOT(ISNUMBER('Price History'!M98)),NOT(ISNUMBER('Price History'!M97)),'Price History'!M97=0),"",'Price History'!M98/'Price History'!M97-1),"")</f>
        <v>-0.0355604292316128</v>
      </c>
      <c r="N97" s="142" t="n">
        <f aca="false">IFERROR(IF(OR(NOT(ISNUMBER('Price History'!N98)),NOT(ISNUMBER('Price History'!N97)),'Price History'!N97=0),"",'Price History'!N98/'Price History'!N97-1),"")</f>
        <v>0.0200818067098909</v>
      </c>
      <c r="O97" s="142" t="n">
        <f aca="false">IFERROR(IF(OR(NOT(ISNUMBER('Price History'!O98)),NOT(ISNUMBER('Price History'!O97)),'Price History'!O97=0),"",'Price History'!O98/'Price History'!O97-1),"")</f>
        <v>-0.00128562245553898</v>
      </c>
      <c r="P97" s="142" t="n">
        <f aca="false">IFERROR(IF(OR(NOT(ISNUMBER('Price History'!P98)),NOT(ISNUMBER('Price History'!P97)),'Price History'!P97=0),"",'Price History'!P98/'Price History'!P97-1),"")</f>
        <v>-0.00336417157275015</v>
      </c>
      <c r="Q97" s="142" t="n">
        <f aca="false">IFERROR(IF(OR(NOT(ISNUMBER('Price History'!Q98)),NOT(ISNUMBER('Price History'!Q97)),'Price History'!Q97=0),"",'Price History'!Q98/'Price History'!Q97-1),"")</f>
        <v>0.00160102465577983</v>
      </c>
      <c r="R97" s="142" t="n">
        <f aca="false">IFERROR(IF(OR(NOT(ISNUMBER('Price History'!R98)),NOT(ISNUMBER('Price History'!R97)),'Price History'!R97=0),"",'Price History'!R98/'Price History'!R97-1),"")</f>
        <v>0.00361240968975762</v>
      </c>
      <c r="S97" s="142" t="n">
        <f aca="false">IFERROR(IF(OR(NOT(ISNUMBER('Price History'!S98)),NOT(ISNUMBER('Price History'!S97)),'Price History'!S97=0),"",'Price History'!S98/'Price History'!S97-1),"")</f>
        <v>-0.00305233863003862</v>
      </c>
      <c r="T97" s="142" t="n">
        <f aca="false">IFERROR(IF(OR(NOT(ISNUMBER('Price History'!T98)),NOT(ISNUMBER('Price History'!T97)),'Price History'!T97=0),"",'Price History'!T98/'Price History'!T97-1),"")</f>
        <v>0.00255827174530987</v>
      </c>
      <c r="U97" s="142" t="n">
        <f aca="false">IFERROR(IF(OR(NOT(ISNUMBER('Price History'!U98)),NOT(ISNUMBER('Price History'!U97)),'Price History'!U97=0),"",'Price History'!U98/'Price History'!U97-1),"")</f>
        <v>-0.000764233855559904</v>
      </c>
      <c r="V97" s="143" t="n">
        <f aca="false">IFERROR(IF(OR(NOT(ISNUMBER('Price History'!V98)),NOT(ISNUMBER('Price History'!V97)),'Price History'!V97=0),"",'Price History'!V98/'Price History'!V97-1),"")</f>
        <v>-0.0304735642533555</v>
      </c>
      <c r="W97" s="144" t="n">
        <f aca="false">IFERROR('Price History'!B3+(INDEX('Price History'!B:B,MATCH(9.99E+307,'Returns (Calc)'!$A:$A)+1)-'Price History'!B3)*(ROW()-3)/(MATCH(9.99E+307,'Returns (Calc)'!$A:$A)-3),"")</f>
        <v>355.644430379747</v>
      </c>
      <c r="X97" s="144" t="n">
        <f aca="false">IFERROR('Price History'!C3+(INDEX('Price History'!C:C,MATCH(9.99E+307,'Returns (Calc)'!$A:$A)+1)-'Price History'!C3)*(ROW()-3)/(MATCH(9.99E+307,'Returns (Calc)'!$A:$A)-3),"")</f>
        <v>142.065949367089</v>
      </c>
      <c r="Y97" s="144" t="n">
        <f aca="false">IFERROR('Price History'!D3+(INDEX('Price History'!D:D,MATCH(9.99E+307,'Returns (Calc)'!$A:$A)+1)-'Price History'!D3)*(ROW()-3)/(MATCH(9.99E+307,'Returns (Calc)'!$A:$A)-3),"")</f>
        <v>1346.68215189873</v>
      </c>
      <c r="Z97" s="144" t="n">
        <f aca="false">IFERROR('Price History'!E3+(INDEX('Price History'!E:E,MATCH(9.99E+307,'Returns (Calc)'!$A:$A)+1)-'Price History'!E3)*(ROW()-3)/(MATCH(9.99E+307,'Returns (Calc)'!$A:$A)-3),"")</f>
        <v>244.501012658228</v>
      </c>
      <c r="AA97" s="144" t="n">
        <f aca="false">IFERROR('Price History'!F3+(INDEX('Price History'!F:F,MATCH(9.99E+307,'Returns (Calc)'!$A:$A)+1)-'Price History'!F3)*(ROW()-3)/(MATCH(9.99E+307,'Returns (Calc)'!$A:$A)-3),"")</f>
        <v>177.410126582279</v>
      </c>
      <c r="AB97" s="144" t="n">
        <f aca="false">IFERROR('Price History'!G3+(INDEX('Price History'!G:G,MATCH(9.99E+307,'Returns (Calc)'!$A:$A)+1)-'Price History'!G3)*(ROW()-3)/(MATCH(9.99E+307,'Returns (Calc)'!$A:$A)-3),"")</f>
        <v>141.051012658228</v>
      </c>
      <c r="AC97" s="144" t="n">
        <f aca="false">IFERROR('Price History'!H3+(INDEX('Price History'!H:H,MATCH(9.99E+307,'Returns (Calc)'!$A:$A)+1)-'Price History'!H3)*(ROW()-3)/(MATCH(9.99E+307,'Returns (Calc)'!$A:$A)-3),"")</f>
        <v>667.485443037975</v>
      </c>
      <c r="AD97" s="144" t="n">
        <f aca="false">IFERROR('Price History'!I3+(INDEX('Price History'!I:I,MATCH(9.99E+307,'Returns (Calc)'!$A:$A)+1)-'Price History'!I3)*(ROW()-3)/(MATCH(9.99E+307,'Returns (Calc)'!$A:$A)-3),"")</f>
        <v>156.915063291139</v>
      </c>
      <c r="AE97" s="144" t="n">
        <f aca="false">IFERROR('Price History'!J3+(INDEX('Price History'!J:J,MATCH(9.99E+307,'Returns (Calc)'!$A:$A)+1)-'Price History'!J3)*(ROW()-3)/(MATCH(9.99E+307,'Returns (Calc)'!$A:$A)-3),"")</f>
        <v>121.995569620253</v>
      </c>
      <c r="AF97" s="144" t="n">
        <f aca="false">IFERROR('Price History'!K3+(INDEX('Price History'!K:K,MATCH(9.99E+307,'Returns (Calc)'!$A:$A)+1)-'Price History'!K3)*(ROW()-3)/(MATCH(9.99E+307,'Returns (Calc)'!$A:$A)-3),"")</f>
        <v>118.503924050633</v>
      </c>
      <c r="AG97" s="144" t="n">
        <f aca="false">IFERROR('Price History'!L3+(INDEX('Price History'!L:L,MATCH(9.99E+307,'Returns (Calc)'!$A:$A)+1)-'Price History'!L3)*(ROW()-3)/(MATCH(9.99E+307,'Returns (Calc)'!$A:$A)-3),"")</f>
        <v>316.00835443038</v>
      </c>
      <c r="AH97" s="144" t="n">
        <f aca="false">IFERROR('Price History'!M3+(INDEX('Price History'!M:M,MATCH(9.99E+307,'Returns (Calc)'!$A:$A)+1)-'Price History'!M3)*(ROW()-3)/(MATCH(9.99E+307,'Returns (Calc)'!$A:$A)-3),"")</f>
        <v>165.43164556962</v>
      </c>
      <c r="AI97" s="144" t="n">
        <f aca="false">IFERROR('Price History'!N3+(INDEX('Price History'!N:N,MATCH(9.99E+307,'Returns (Calc)'!$A:$A)+1)-'Price History'!N3)*(ROW()-3)/(MATCH(9.99E+307,'Returns (Calc)'!$A:$A)-3),"")</f>
        <v>441.608987341772</v>
      </c>
      <c r="AJ97" s="144" t="n">
        <f aca="false">IFERROR('Price History'!O3+(INDEX('Price History'!O:O,MATCH(9.99E+307,'Returns (Calc)'!$A:$A)+1)-'Price History'!O3)*(ROW()-3)/(MATCH(9.99E+307,'Returns (Calc)'!$A:$A)-3),"")</f>
        <v>101.915569620253</v>
      </c>
      <c r="AK97" s="144" t="n">
        <f aca="false">IFERROR('Price History'!Q3+(INDEX('Price History'!Q:Q,MATCH(9.99E+307,'Returns (Calc)'!$A:$A)+1)-'Price History'!Q3)*(ROW()-3)/(MATCH(9.99E+307,'Returns (Calc)'!$A:$A)-3),"")</f>
        <v>41.3005063291139</v>
      </c>
      <c r="AL97" s="144" t="n">
        <f aca="false">IFERROR('Price History'!R3+(INDEX('Price History'!R:R,MATCH(9.99E+307,'Returns (Calc)'!$A:$A)+1)-'Price History'!R3)*(ROW()-3)/(MATCH(9.99E+307,'Returns (Calc)'!$A:$A)-3),"")</f>
        <v>50.2815189873418</v>
      </c>
      <c r="AM97" s="144" t="n">
        <f aca="false">IFERROR('Price History'!S3+(INDEX('Price History'!S:S,MATCH(9.99E+307,'Returns (Calc)'!$A:$A)+1)-'Price History'!S3)*(ROW()-3)/(MATCH(9.99E+307,'Returns (Calc)'!$A:$A)-3),"")</f>
        <v>114.505949367089</v>
      </c>
      <c r="AN97" s="144" t="n">
        <f aca="false">IFERROR('Price History'!T3+(INDEX('Price History'!T:T,MATCH(9.99E+307,'Returns (Calc)'!$A:$A)+1)-'Price History'!T3)*(ROW()-3)/(MATCH(9.99E+307,'Returns (Calc)'!$A:$A)-3),"")</f>
        <v>41.053417721519</v>
      </c>
      <c r="AO97" s="145" t="n">
        <f aca="false">IFERROR('Price History'!V3+(INDEX('Price History'!V:V,MATCH(9.99E+307,'Returns (Calc)'!$A:$A)+1)-'Price History'!V3)*(ROW()-3)/(MATCH(9.99E+307,'Returns (Calc)'!$A:$A)-3),"")</f>
        <v>310.014936708861</v>
      </c>
      <c r="AP97" s="143" t="n">
        <f aca="false">IFERROR(IF(OR(NOT(ISNUMBER('Price History'!W98)),NOT(ISNUMBER('Price History'!W97)),'Price History'!W97=0),"",'Price History'!W98/'Price History'!W97-1),"")</f>
        <v>-0.00675368037638502</v>
      </c>
      <c r="AQ97" s="143" t="str">
        <f aca="false">IFERROR(IF(OR(NOT(ISNUMBER('Price History'!X98)),NOT(ISNUMBER('Price History'!X97)),'Price History'!X97=0),"",'Price History'!X98/'Price History'!X97-1),"")</f>
        <v/>
      </c>
      <c r="AR97" s="143" t="n">
        <f aca="false">IFERROR(IF(OR(NOT(ISNUMBER('Price History'!Y98)),NOT(ISNUMBER('Price History'!Y97)),'Price History'!Y97=0),"",'Price History'!Y98/'Price History'!Y97-1),"")</f>
        <v>-0.00348904826516783</v>
      </c>
      <c r="AS97" s="143" t="n">
        <f aca="false">IFERROR(IF(OR(NOT(ISNUMBER('Price History'!Z98)),NOT(ISNUMBER('Price History'!Z97)),'Price History'!Z97=0),"",'Price History'!Z98/'Price History'!Z97-1),"")</f>
        <v>0.0361234557834222</v>
      </c>
      <c r="AT97" s="143" t="n">
        <f aca="false">IFERROR(IF(OR(NOT(ISNUMBER('Price History'!AA98)),NOT(ISNUMBER('Price History'!AA97)),'Price History'!AA97=0),"",'Price History'!AA98/'Price History'!AA97-1),"")</f>
        <v>-0.040163428923836</v>
      </c>
    </row>
    <row r="98" customFormat="false" ht="15" hidden="false" customHeight="true" outlineLevel="0" collapsed="false">
      <c r="A98" s="141" t="n">
        <f aca="false">IF('Price History'!A99="","",'Price History'!A99)</f>
        <v>45856</v>
      </c>
      <c r="B98" s="142" t="n">
        <f aca="false">IFERROR(IF(OR(NOT(ISNUMBER('Price History'!B99)),NOT(ISNUMBER('Price History'!B98)),'Price History'!B98=0),"",'Price History'!B99/'Price History'!B98-1),"")</f>
        <v>0.00671528828952805</v>
      </c>
      <c r="C98" s="142" t="n">
        <f aca="false">IFERROR(IF(OR(NOT(ISNUMBER('Price History'!C99)),NOT(ISNUMBER('Price History'!C98)),'Price History'!C98=0),"",'Price History'!C99/'Price History'!C98-1),"")</f>
        <v>0.0295661785023489</v>
      </c>
      <c r="D98" s="142" t="n">
        <f aca="false">IFERROR(IF(OR(NOT(ISNUMBER('Price History'!D99)),NOT(ISNUMBER('Price History'!D98)),'Price History'!D98=0),"",'Price History'!D99/'Price History'!D98-1),"")</f>
        <v>-0.0839845470446853</v>
      </c>
      <c r="E98" s="142" t="n">
        <f aca="false">IFERROR(IF(OR(NOT(ISNUMBER('Price History'!E99)),NOT(ISNUMBER('Price History'!E98)),'Price History'!E98=0),"",'Price History'!E99/'Price History'!E98-1),"")</f>
        <v>0.0326602670197507</v>
      </c>
      <c r="F98" s="142" t="n">
        <f aca="false">IFERROR(IF(OR(NOT(ISNUMBER('Price History'!F99)),NOT(ISNUMBER('Price History'!F98)),'Price History'!F98=0),"",'Price History'!F99/'Price History'!F98-1),"")</f>
        <v>-0.00518351308419029</v>
      </c>
      <c r="G98" s="142" t="n">
        <f aca="false">IFERROR(IF(OR(NOT(ISNUMBER('Price History'!G99)),NOT(ISNUMBER('Price History'!G98)),'Price History'!G98=0),"",'Price History'!G99/'Price History'!G98-1),"")</f>
        <v>0.00708369659982555</v>
      </c>
      <c r="H98" s="142" t="n">
        <f aca="false">IFERROR(IF(OR(NOT(ISNUMBER('Price History'!H99)),NOT(ISNUMBER('Price History'!H98)),'Price History'!H98=0),"",'Price History'!H99/'Price History'!H98-1),"")</f>
        <v>-0.0813962840826832</v>
      </c>
      <c r="I98" s="142" t="n">
        <f aca="false">IFERROR(IF(OR(NOT(ISNUMBER('Price History'!I99)),NOT(ISNUMBER('Price History'!I98)),'Price History'!I98=0),"",'Price History'!I99/'Price History'!I98-1),"")</f>
        <v>0.0454048140043764</v>
      </c>
      <c r="J98" s="142" t="n">
        <f aca="false">IFERROR(IF(OR(NOT(ISNUMBER('Price History'!J99)),NOT(ISNUMBER('Price History'!J98)),'Price History'!J98=0),"",'Price History'!J99/'Price History'!J98-1),"")</f>
        <v>-0.0219235535220665</v>
      </c>
      <c r="K98" s="142" t="n">
        <f aca="false">IFERROR(IF(OR(NOT(ISNUMBER('Price History'!K99)),NOT(ISNUMBER('Price History'!K98)),'Price History'!K98=0),"",'Price History'!K99/'Price History'!K98-1),"")</f>
        <v>0.08036593947924</v>
      </c>
      <c r="L98" s="142" t="n">
        <f aca="false">IFERROR(IF(OR(NOT(ISNUMBER('Price History'!L99)),NOT(ISNUMBER('Price History'!L98)),'Price History'!L98=0),"",'Price History'!L99/'Price History'!L98-1),"")</f>
        <v>0.0433845206142474</v>
      </c>
      <c r="M98" s="142" t="n">
        <f aca="false">IFERROR(IF(OR(NOT(ISNUMBER('Price History'!M99)),NOT(ISNUMBER('Price History'!M98)),'Price History'!M98=0),"",'Price History'!M99/'Price History'!M98-1),"")</f>
        <v>0.0467798261999513</v>
      </c>
      <c r="N98" s="142" t="n">
        <f aca="false">IFERROR(IF(OR(NOT(ISNUMBER('Price History'!N99)),NOT(ISNUMBER('Price History'!N98)),'Price History'!N98=0),"",'Price History'!N99/'Price History'!N98-1),"")</f>
        <v>-0.0192812200063986</v>
      </c>
      <c r="O98" s="142" t="n">
        <f aca="false">IFERROR(IF(OR(NOT(ISNUMBER('Price History'!O99)),NOT(ISNUMBER('Price History'!O98)),'Price History'!O98=0),"",'Price History'!O99/'Price History'!O98-1),"")</f>
        <v>-0.0118000429092469</v>
      </c>
      <c r="P98" s="142" t="n">
        <f aca="false">IFERROR(IF(OR(NOT(ISNUMBER('Price History'!P99)),NOT(ISNUMBER('Price History'!P98)),'Price History'!P98=0),"",'Price History'!P99/'Price History'!P98-1),"")</f>
        <v>-0.00421940928270026</v>
      </c>
      <c r="Q98" s="142" t="n">
        <f aca="false">IFERROR(IF(OR(NOT(ISNUMBER('Price History'!Q99)),NOT(ISNUMBER('Price History'!Q98)),'Price History'!Q98=0),"",'Price History'!Q99/'Price History'!Q98-1),"")</f>
        <v>0.00351662404092079</v>
      </c>
      <c r="R98" s="142" t="n">
        <f aca="false">IFERROR(IF(OR(NOT(ISNUMBER('Price History'!R99)),NOT(ISNUMBER('Price History'!R98)),'Price History'!R98=0),"",'Price History'!R99/'Price History'!R98-1),"")</f>
        <v>0.00614016514926963</v>
      </c>
      <c r="S98" s="142" t="n">
        <f aca="false">IFERROR(IF(OR(NOT(ISNUMBER('Price History'!S99)),NOT(ISNUMBER('Price History'!S98)),'Price History'!S98=0),"",'Price History'!S99/'Price History'!S98-1),"")</f>
        <v>0.014858171994597</v>
      </c>
      <c r="T98" s="142" t="n">
        <f aca="false">IFERROR(IF(OR(NOT(ISNUMBER('Price History'!T99)),NOT(ISNUMBER('Price History'!T98)),'Price History'!T98=0),"",'Price History'!T99/'Price History'!T98-1),"")</f>
        <v>-0.0212645307626879</v>
      </c>
      <c r="U98" s="142" t="n">
        <f aca="false">IFERROR(IF(OR(NOT(ISNUMBER('Price History'!U99)),NOT(ISNUMBER('Price History'!U98)),'Price History'!U98=0),"",'Price History'!U99/'Price History'!U98-1),"")</f>
        <v>-0.0110898661567878</v>
      </c>
      <c r="V98" s="143" t="n">
        <f aca="false">IFERROR(IF(OR(NOT(ISNUMBER('Price History'!V99)),NOT(ISNUMBER('Price History'!V98)),'Price History'!V98=0),"",'Price History'!V99/'Price History'!V98-1),"")</f>
        <v>0.00322149988390996</v>
      </c>
      <c r="W98" s="144" t="n">
        <f aca="false">IFERROR('Price History'!B3+(INDEX('Price History'!B:B,MATCH(9.99E+307,'Returns (Calc)'!$A:$A)+1)-'Price History'!B3)*(ROW()-3)/(MATCH(9.99E+307,'Returns (Calc)'!$A:$A)-3),"")</f>
        <v>353.801392405063</v>
      </c>
      <c r="X98" s="144" t="n">
        <f aca="false">IFERROR('Price History'!C3+(INDEX('Price History'!C:C,MATCH(9.99E+307,'Returns (Calc)'!$A:$A)+1)-'Price History'!C3)*(ROW()-3)/(MATCH(9.99E+307,'Returns (Calc)'!$A:$A)-3),"")</f>
        <v>143.086012658228</v>
      </c>
      <c r="Y98" s="144" t="n">
        <f aca="false">IFERROR('Price History'!D3+(INDEX('Price History'!D:D,MATCH(9.99E+307,'Returns (Calc)'!$A:$A)+1)-'Price History'!D3)*(ROW()-3)/(MATCH(9.99E+307,'Returns (Calc)'!$A:$A)-3),"")</f>
        <v>1354.81696202532</v>
      </c>
      <c r="Z98" s="144" t="n">
        <f aca="false">IFERROR('Price History'!E3+(INDEX('Price History'!E:E,MATCH(9.99E+307,'Returns (Calc)'!$A:$A)+1)-'Price History'!E3)*(ROW()-3)/(MATCH(9.99E+307,'Returns (Calc)'!$A:$A)-3),"")</f>
        <v>246.229746835443</v>
      </c>
      <c r="AA98" s="144" t="n">
        <f aca="false">IFERROR('Price History'!F3+(INDEX('Price History'!F:F,MATCH(9.99E+307,'Returns (Calc)'!$A:$A)+1)-'Price History'!F3)*(ROW()-3)/(MATCH(9.99E+307,'Returns (Calc)'!$A:$A)-3),"")</f>
        <v>178.85746835443</v>
      </c>
      <c r="AB98" s="144" t="n">
        <f aca="false">IFERROR('Price History'!G3+(INDEX('Price History'!G:G,MATCH(9.99E+307,'Returns (Calc)'!$A:$A)+1)-'Price History'!G3)*(ROW()-3)/(MATCH(9.99E+307,'Returns (Calc)'!$A:$A)-3),"")</f>
        <v>142.079746835443</v>
      </c>
      <c r="AC98" s="144" t="n">
        <f aca="false">IFERROR('Price History'!H3+(INDEX('Price History'!H:H,MATCH(9.99E+307,'Returns (Calc)'!$A:$A)+1)-'Price History'!H3)*(ROW()-3)/(MATCH(9.99E+307,'Returns (Calc)'!$A:$A)-3),"")</f>
        <v>673.851139240506</v>
      </c>
      <c r="AD98" s="144" t="n">
        <f aca="false">IFERROR('Price History'!I3+(INDEX('Price History'!I:I,MATCH(9.99E+307,'Returns (Calc)'!$A:$A)+1)-'Price History'!I3)*(ROW()-3)/(MATCH(9.99E+307,'Returns (Calc)'!$A:$A)-3),"")</f>
        <v>158.118734177215</v>
      </c>
      <c r="AE98" s="144" t="n">
        <f aca="false">IFERROR('Price History'!J3+(INDEX('Price History'!J:J,MATCH(9.99E+307,'Returns (Calc)'!$A:$A)+1)-'Price History'!J3)*(ROW()-3)/(MATCH(9.99E+307,'Returns (Calc)'!$A:$A)-3),"")</f>
        <v>122.103607594937</v>
      </c>
      <c r="AF98" s="144" t="n">
        <f aca="false">IFERROR('Price History'!K3+(INDEX('Price History'!K:K,MATCH(9.99E+307,'Returns (Calc)'!$A:$A)+1)-'Price History'!K3)*(ROW()-3)/(MATCH(9.99E+307,'Returns (Calc)'!$A:$A)-3),"")</f>
        <v>119.601518987342</v>
      </c>
      <c r="AG98" s="144" t="n">
        <f aca="false">IFERROR('Price History'!L3+(INDEX('Price History'!L:L,MATCH(9.99E+307,'Returns (Calc)'!$A:$A)+1)-'Price History'!L3)*(ROW()-3)/(MATCH(9.99E+307,'Returns (Calc)'!$A:$A)-3),"")</f>
        <v>318.457911392405</v>
      </c>
      <c r="AH98" s="144" t="n">
        <f aca="false">IFERROR('Price History'!M3+(INDEX('Price History'!M:M,MATCH(9.99E+307,'Returns (Calc)'!$A:$A)+1)-'Price History'!M3)*(ROW()-3)/(MATCH(9.99E+307,'Returns (Calc)'!$A:$A)-3),"")</f>
        <v>166.787088607595</v>
      </c>
      <c r="AI98" s="144" t="n">
        <f aca="false">IFERROR('Price History'!N3+(INDEX('Price History'!N:N,MATCH(9.99E+307,'Returns (Calc)'!$A:$A)+1)-'Price History'!N3)*(ROW()-3)/(MATCH(9.99E+307,'Returns (Calc)'!$A:$A)-3),"")</f>
        <v>442.595253164557</v>
      </c>
      <c r="AJ98" s="144" t="n">
        <f aca="false">IFERROR('Price History'!O3+(INDEX('Price History'!O:O,MATCH(9.99E+307,'Returns (Calc)'!$A:$A)+1)-'Price History'!O3)*(ROW()-3)/(MATCH(9.99E+307,'Returns (Calc)'!$A:$A)-3),"")</f>
        <v>102.198607594937</v>
      </c>
      <c r="AK98" s="144" t="n">
        <f aca="false">IFERROR('Price History'!Q3+(INDEX('Price History'!Q:Q,MATCH(9.99E+307,'Returns (Calc)'!$A:$A)+1)-'Price History'!Q3)*(ROW()-3)/(MATCH(9.99E+307,'Returns (Calc)'!$A:$A)-3),"")</f>
        <v>41.7398734177215</v>
      </c>
      <c r="AL98" s="144" t="n">
        <f aca="false">IFERROR('Price History'!R3+(INDEX('Price History'!R:R,MATCH(9.99E+307,'Returns (Calc)'!$A:$A)+1)-'Price History'!R3)*(ROW()-3)/(MATCH(9.99E+307,'Returns (Calc)'!$A:$A)-3),"")</f>
        <v>50.4496202531646</v>
      </c>
      <c r="AM98" s="144" t="n">
        <f aca="false">IFERROR('Price History'!S3+(INDEX('Price History'!S:S,MATCH(9.99E+307,'Returns (Calc)'!$A:$A)+1)-'Price History'!S3)*(ROW()-3)/(MATCH(9.99E+307,'Returns (Calc)'!$A:$A)-3),"")</f>
        <v>115.111012658228</v>
      </c>
      <c r="AN98" s="144" t="n">
        <f aca="false">IFERROR('Price History'!T3+(INDEX('Price History'!T:T,MATCH(9.99E+307,'Returns (Calc)'!$A:$A)+1)-'Price History'!T3)*(ROW()-3)/(MATCH(9.99E+307,'Returns (Calc)'!$A:$A)-3),"")</f>
        <v>41.2216455696203</v>
      </c>
      <c r="AO98" s="145" t="n">
        <f aca="false">IFERROR('Price History'!V3+(INDEX('Price History'!V:V,MATCH(9.99E+307,'Returns (Calc)'!$A:$A)+1)-'Price History'!V3)*(ROW()-3)/(MATCH(9.99E+307,'Returns (Calc)'!$A:$A)-3),"")</f>
        <v>310.806265822785</v>
      </c>
      <c r="AP98" s="143" t="n">
        <f aca="false">IFERROR(IF(OR(NOT(ISNUMBER('Price History'!W99)),NOT(ISNUMBER('Price History'!W98)),'Price History'!W98=0),"",'Price History'!W99/'Price History'!W98-1),"")</f>
        <v>-0.00152800061120018</v>
      </c>
      <c r="AQ98" s="143" t="str">
        <f aca="false">IFERROR(IF(OR(NOT(ISNUMBER('Price History'!X99)),NOT(ISNUMBER('Price History'!X98)),'Price History'!X98=0),"",'Price History'!X99/'Price History'!X98-1),"")</f>
        <v/>
      </c>
      <c r="AR98" s="143" t="n">
        <f aca="false">IFERROR(IF(OR(NOT(ISNUMBER('Price History'!Y99)),NOT(ISNUMBER('Price History'!Y98)),'Price History'!Y98=0),"",'Price History'!Y99/'Price History'!Y98-1),"")</f>
        <v>0.00369577903131701</v>
      </c>
      <c r="AS98" s="143" t="n">
        <f aca="false">IFERROR(IF(OR(NOT(ISNUMBER('Price History'!Z99)),NOT(ISNUMBER('Price History'!Z98)),'Price History'!Z98=0),"",'Price History'!Z99/'Price History'!Z98-1),"")</f>
        <v>0.0307323023649313</v>
      </c>
      <c r="AT98" s="143" t="n">
        <f aca="false">IFERROR(IF(OR(NOT(ISNUMBER('Price History'!AA99)),NOT(ISNUMBER('Price History'!AA98)),'Price History'!AA98=0),"",'Price History'!AA99/'Price History'!AA98-1),"")</f>
        <v>-0.0288330254598025</v>
      </c>
    </row>
    <row r="99" customFormat="false" ht="15" hidden="false" customHeight="true" outlineLevel="0" collapsed="false">
      <c r="A99" s="141" t="n">
        <f aca="false">IF('Price History'!A100="","",'Price History'!A100)</f>
        <v>45863</v>
      </c>
      <c r="B99" s="142" t="n">
        <f aca="false">IFERROR(IF(OR(NOT(ISNUMBER('Price History'!B100)),NOT(ISNUMBER('Price History'!B99)),'Price History'!B99=0),"",'Price History'!B100/'Price History'!B99-1),"")</f>
        <v>0.0135323546297055</v>
      </c>
      <c r="C99" s="142" t="n">
        <f aca="false">IFERROR(IF(OR(NOT(ISNUMBER('Price History'!C100)),NOT(ISNUMBER('Price History'!C99)),'Price History'!C99=0),"",'Price History'!C100/'Price History'!C99-1),"")</f>
        <v>0.0223653605296117</v>
      </c>
      <c r="D99" s="142" t="n">
        <f aca="false">IFERROR(IF(OR(NOT(ISNUMBER('Price History'!D100)),NOT(ISNUMBER('Price History'!D99)),'Price History'!D99=0),"",'Price History'!D100/'Price History'!D99-1),"")</f>
        <v>-0.0317612957289849</v>
      </c>
      <c r="E99" s="142" t="n">
        <f aca="false">IFERROR(IF(OR(NOT(ISNUMBER('Price History'!E100)),NOT(ISNUMBER('Price History'!E99)),'Price History'!E99=0),"",'Price History'!E100/'Price History'!E99-1),"")</f>
        <v>0.0241478790469067</v>
      </c>
      <c r="F99" s="142" t="n">
        <f aca="false">IFERROR(IF(OR(NOT(ISNUMBER('Price History'!F100)),NOT(ISNUMBER('Price History'!F99)),'Price History'!F99=0),"",'Price History'!F100/'Price History'!F99-1),"")</f>
        <v>-0.0168921758130934</v>
      </c>
      <c r="G99" s="142" t="n">
        <f aca="false">IFERROR(IF(OR(NOT(ISNUMBER('Price History'!G100)),NOT(ISNUMBER('Price History'!G99)),'Price History'!G99=0),"",'Price History'!G100/'Price History'!G99-1),"")</f>
        <v>-0.0311654582837355</v>
      </c>
      <c r="H99" s="142" t="n">
        <f aca="false">IFERROR(IF(OR(NOT(ISNUMBER('Price History'!H100)),NOT(ISNUMBER('Price History'!H99)),'Price History'!H99=0),"",'Price History'!H100/'Price History'!H99-1),"")</f>
        <v>-0.0274056562472638</v>
      </c>
      <c r="I99" s="142" t="n">
        <f aca="false">IFERROR(IF(OR(NOT(ISNUMBER('Price History'!I100)),NOT(ISNUMBER('Price History'!I99)),'Price History'!I99=0),"",'Price History'!I100/'Price History'!I99-1),"")</f>
        <v>0.00633757776614918</v>
      </c>
      <c r="J99" s="142" t="n">
        <f aca="false">IFERROR(IF(OR(NOT(ISNUMBER('Price History'!J100)),NOT(ISNUMBER('Price History'!J99)),'Price History'!J99=0),"",'Price History'!J100/'Price History'!J99-1),"")</f>
        <v>0.0329402592339927</v>
      </c>
      <c r="K99" s="142" t="n">
        <f aca="false">IFERROR(IF(OR(NOT(ISNUMBER('Price History'!K100)),NOT(ISNUMBER('Price History'!K99)),'Price History'!K99=0),"",'Price History'!K100/'Price History'!K99-1),"")</f>
        <v>0.0343929129755081</v>
      </c>
      <c r="L99" s="142" t="n">
        <f aca="false">IFERROR(IF(OR(NOT(ISNUMBER('Price History'!L100)),NOT(ISNUMBER('Price History'!L99)),'Price History'!L99=0),"",'Price History'!L100/'Price History'!L99-1),"")</f>
        <v>0.0216337030320921</v>
      </c>
      <c r="M99" s="142" t="n">
        <f aca="false">IFERROR(IF(OR(NOT(ISNUMBER('Price History'!M100)),NOT(ISNUMBER('Price History'!M99)),'Price History'!M99=0),"",'Price History'!M100/'Price History'!M99-1),"")</f>
        <v>0.0651718519667934</v>
      </c>
      <c r="N99" s="142" t="n">
        <f aca="false">IFERROR(IF(OR(NOT(ISNUMBER('Price History'!N100)),NOT(ISNUMBER('Price History'!N99)),'Price History'!N99=0),"",'Price History'!N100/'Price History'!N99-1),"")</f>
        <v>0.0214001435375482</v>
      </c>
      <c r="O99" s="142" t="n">
        <f aca="false">IFERROR(IF(OR(NOT(ISNUMBER('Price History'!O100)),NOT(ISNUMBER('Price History'!O99)),'Price History'!O99=0),"",'Price History'!O100/'Price History'!O99-1),"")</f>
        <v>0.0147633521493704</v>
      </c>
      <c r="P99" s="142" t="n">
        <f aca="false">IFERROR(IF(OR(NOT(ISNUMBER('Price History'!P100)),NOT(ISNUMBER('Price History'!P99)),'Price History'!P99=0),"",'Price History'!P100/'Price History'!P99-1),"")</f>
        <v>0.0181818181818181</v>
      </c>
      <c r="Q99" s="142" t="n">
        <f aca="false">IFERROR(IF(OR(NOT(ISNUMBER('Price History'!Q100)),NOT(ISNUMBER('Price History'!Q99)),'Price History'!Q99=0),"",'Price History'!Q100/'Price History'!Q99-1),"")</f>
        <v>0.00223000955718389</v>
      </c>
      <c r="R99" s="142" t="n">
        <f aca="false">IFERROR(IF(OR(NOT(ISNUMBER('Price History'!R100)),NOT(ISNUMBER('Price History'!R99)),'Price History'!R99=0),"",'Price History'!R100/'Price History'!R99-1),"")</f>
        <v>0.00715488215488214</v>
      </c>
      <c r="S99" s="142" t="n">
        <f aca="false">IFERROR(IF(OR(NOT(ISNUMBER('Price History'!S100)),NOT(ISNUMBER('Price History'!S99)),'Price History'!S99=0),"",'Price History'!S100/'Price History'!S99-1),"")</f>
        <v>0.01055900621118</v>
      </c>
      <c r="T99" s="142" t="n">
        <f aca="false">IFERROR(IF(OR(NOT(ISNUMBER('Price History'!T100)),NOT(ISNUMBER('Price History'!T99)),'Price History'!T99=0),"",'Price History'!T100/'Price History'!T99-1),"")</f>
        <v>0.0220162224797218</v>
      </c>
      <c r="U99" s="142" t="n">
        <f aca="false">IFERROR(IF(OR(NOT(ISNUMBER('Price History'!U100)),NOT(ISNUMBER('Price History'!U99)),'Price History'!U99=0),"",'Price History'!U100/'Price History'!U99-1),"")</f>
        <v>0.0108275328692962</v>
      </c>
      <c r="V99" s="143" t="n">
        <f aca="false">IFERROR(IF(OR(NOT(ISNUMBER('Price History'!V100)),NOT(ISNUMBER('Price History'!V99)),'Price History'!V99=0),"",'Price History'!V100/'Price History'!V99-1),"")</f>
        <v>0.0229120259206757</v>
      </c>
      <c r="W99" s="144" t="n">
        <f aca="false">IFERROR('Price History'!B3+(INDEX('Price History'!B:B,MATCH(9.99E+307,'Returns (Calc)'!$A:$A)+1)-'Price History'!B3)*(ROW()-3)/(MATCH(9.99E+307,'Returns (Calc)'!$A:$A)-3),"")</f>
        <v>351.95835443038</v>
      </c>
      <c r="X99" s="144" t="n">
        <f aca="false">IFERROR('Price History'!C3+(INDEX('Price History'!C:C,MATCH(9.99E+307,'Returns (Calc)'!$A:$A)+1)-'Price History'!C3)*(ROW()-3)/(MATCH(9.99E+307,'Returns (Calc)'!$A:$A)-3),"")</f>
        <v>144.106075949367</v>
      </c>
      <c r="Y99" s="144" t="n">
        <f aca="false">IFERROR('Price History'!D3+(INDEX('Price History'!D:D,MATCH(9.99E+307,'Returns (Calc)'!$A:$A)+1)-'Price History'!D3)*(ROW()-3)/(MATCH(9.99E+307,'Returns (Calc)'!$A:$A)-3),"")</f>
        <v>1362.9517721519</v>
      </c>
      <c r="Z99" s="144" t="n">
        <f aca="false">IFERROR('Price History'!E3+(INDEX('Price History'!E:E,MATCH(9.99E+307,'Returns (Calc)'!$A:$A)+1)-'Price History'!E3)*(ROW()-3)/(MATCH(9.99E+307,'Returns (Calc)'!$A:$A)-3),"")</f>
        <v>247.958481012658</v>
      </c>
      <c r="AA99" s="144" t="n">
        <f aca="false">IFERROR('Price History'!F3+(INDEX('Price History'!F:F,MATCH(9.99E+307,'Returns (Calc)'!$A:$A)+1)-'Price History'!F3)*(ROW()-3)/(MATCH(9.99E+307,'Returns (Calc)'!$A:$A)-3),"")</f>
        <v>180.304810126582</v>
      </c>
      <c r="AB99" s="144" t="n">
        <f aca="false">IFERROR('Price History'!G3+(INDEX('Price History'!G:G,MATCH(9.99E+307,'Returns (Calc)'!$A:$A)+1)-'Price History'!G3)*(ROW()-3)/(MATCH(9.99E+307,'Returns (Calc)'!$A:$A)-3),"")</f>
        <v>143.108481012658</v>
      </c>
      <c r="AC99" s="144" t="n">
        <f aca="false">IFERROR('Price History'!H3+(INDEX('Price History'!H:H,MATCH(9.99E+307,'Returns (Calc)'!$A:$A)+1)-'Price History'!H3)*(ROW()-3)/(MATCH(9.99E+307,'Returns (Calc)'!$A:$A)-3),"")</f>
        <v>680.216835443038</v>
      </c>
      <c r="AD99" s="144" t="n">
        <f aca="false">IFERROR('Price History'!I3+(INDEX('Price History'!I:I,MATCH(9.99E+307,'Returns (Calc)'!$A:$A)+1)-'Price History'!I3)*(ROW()-3)/(MATCH(9.99E+307,'Returns (Calc)'!$A:$A)-3),"")</f>
        <v>159.322405063291</v>
      </c>
      <c r="AE99" s="144" t="n">
        <f aca="false">IFERROR('Price History'!J3+(INDEX('Price History'!J:J,MATCH(9.99E+307,'Returns (Calc)'!$A:$A)+1)-'Price History'!J3)*(ROW()-3)/(MATCH(9.99E+307,'Returns (Calc)'!$A:$A)-3),"")</f>
        <v>122.21164556962</v>
      </c>
      <c r="AF99" s="144" t="n">
        <f aca="false">IFERROR('Price History'!K3+(INDEX('Price History'!K:K,MATCH(9.99E+307,'Returns (Calc)'!$A:$A)+1)-'Price History'!K3)*(ROW()-3)/(MATCH(9.99E+307,'Returns (Calc)'!$A:$A)-3),"")</f>
        <v>120.699113924051</v>
      </c>
      <c r="AG99" s="144" t="n">
        <f aca="false">IFERROR('Price History'!L3+(INDEX('Price History'!L:L,MATCH(9.99E+307,'Returns (Calc)'!$A:$A)+1)-'Price History'!L3)*(ROW()-3)/(MATCH(9.99E+307,'Returns (Calc)'!$A:$A)-3),"")</f>
        <v>320.90746835443</v>
      </c>
      <c r="AH99" s="144" t="n">
        <f aca="false">IFERROR('Price History'!M3+(INDEX('Price History'!M:M,MATCH(9.99E+307,'Returns (Calc)'!$A:$A)+1)-'Price History'!M3)*(ROW()-3)/(MATCH(9.99E+307,'Returns (Calc)'!$A:$A)-3),"")</f>
        <v>168.14253164557</v>
      </c>
      <c r="AI99" s="144" t="n">
        <f aca="false">IFERROR('Price History'!N3+(INDEX('Price History'!N:N,MATCH(9.99E+307,'Returns (Calc)'!$A:$A)+1)-'Price History'!N3)*(ROW()-3)/(MATCH(9.99E+307,'Returns (Calc)'!$A:$A)-3),"")</f>
        <v>443.581518987342</v>
      </c>
      <c r="AJ99" s="144" t="n">
        <f aca="false">IFERROR('Price History'!O3+(INDEX('Price History'!O:O,MATCH(9.99E+307,'Returns (Calc)'!$A:$A)+1)-'Price History'!O3)*(ROW()-3)/(MATCH(9.99E+307,'Returns (Calc)'!$A:$A)-3),"")</f>
        <v>102.48164556962</v>
      </c>
      <c r="AK99" s="144" t="n">
        <f aca="false">IFERROR('Price History'!Q3+(INDEX('Price History'!Q:Q,MATCH(9.99E+307,'Returns (Calc)'!$A:$A)+1)-'Price History'!Q3)*(ROW()-3)/(MATCH(9.99E+307,'Returns (Calc)'!$A:$A)-3),"")</f>
        <v>42.1792405063291</v>
      </c>
      <c r="AL99" s="144" t="n">
        <f aca="false">IFERROR('Price History'!R3+(INDEX('Price History'!R:R,MATCH(9.99E+307,'Returns (Calc)'!$A:$A)+1)-'Price History'!R3)*(ROW()-3)/(MATCH(9.99E+307,'Returns (Calc)'!$A:$A)-3),"")</f>
        <v>50.6177215189873</v>
      </c>
      <c r="AM99" s="144" t="n">
        <f aca="false">IFERROR('Price History'!S3+(INDEX('Price History'!S:S,MATCH(9.99E+307,'Returns (Calc)'!$A:$A)+1)-'Price History'!S3)*(ROW()-3)/(MATCH(9.99E+307,'Returns (Calc)'!$A:$A)-3),"")</f>
        <v>115.716075949367</v>
      </c>
      <c r="AN99" s="144" t="n">
        <f aca="false">IFERROR('Price History'!T3+(INDEX('Price History'!T:T,MATCH(9.99E+307,'Returns (Calc)'!$A:$A)+1)-'Price History'!T3)*(ROW()-3)/(MATCH(9.99E+307,'Returns (Calc)'!$A:$A)-3),"")</f>
        <v>41.3898734177215</v>
      </c>
      <c r="AO99" s="145" t="n">
        <f aca="false">IFERROR('Price History'!V3+(INDEX('Price History'!V:V,MATCH(9.99E+307,'Returns (Calc)'!$A:$A)+1)-'Price History'!V3)*(ROW()-3)/(MATCH(9.99E+307,'Returns (Calc)'!$A:$A)-3),"")</f>
        <v>311.597594936709</v>
      </c>
      <c r="AP99" s="143" t="n">
        <f aca="false">IFERROR(IF(OR(NOT(ISNUMBER('Price History'!W100)),NOT(ISNUMBER('Price History'!W99)),'Price History'!W99=0),"",'Price History'!W100/'Price History'!W99-1),"")</f>
        <v>0.0141556354732573</v>
      </c>
      <c r="AQ99" s="143" t="str">
        <f aca="false">IFERROR(IF(OR(NOT(ISNUMBER('Price History'!X100)),NOT(ISNUMBER('Price History'!X99)),'Price History'!X99=0),"",'Price History'!X100/'Price History'!X99-1),"")</f>
        <v/>
      </c>
      <c r="AR99" s="143" t="n">
        <f aca="false">IFERROR(IF(OR(NOT(ISNUMBER('Price History'!Y100)),NOT(ISNUMBER('Price History'!Y99)),'Price History'!Y99=0),"",'Price History'!Y100/'Price History'!Y99-1),"")</f>
        <v>0.00620155038759696</v>
      </c>
      <c r="AS99" s="143" t="n">
        <f aca="false">IFERROR(IF(OR(NOT(ISNUMBER('Price History'!Z100)),NOT(ISNUMBER('Price History'!Z99)),'Price History'!Z99=0),"",'Price History'!Z100/'Price History'!Z99-1),"")</f>
        <v>0.0316102924333819</v>
      </c>
      <c r="AT99" s="143" t="n">
        <f aca="false">IFERROR(IF(OR(NOT(ISNUMBER('Price History'!AA100)),NOT(ISNUMBER('Price History'!AA99)),'Price History'!AA99=0),"",'Price History'!AA100/'Price History'!AA99-1),"")</f>
        <v>-0.0237347006285148</v>
      </c>
    </row>
    <row r="100" customFormat="false" ht="15" hidden="false" customHeight="true" outlineLevel="0" collapsed="false">
      <c r="A100" s="141" t="n">
        <f aca="false">IF('Price History'!A101="","",'Price History'!A101)</f>
        <v>45870</v>
      </c>
      <c r="B100" s="142" t="n">
        <f aca="false">IFERROR(IF(OR(NOT(ISNUMBER('Price History'!B101)),NOT(ISNUMBER('Price History'!B100)),'Price History'!B100=0),"",'Price History'!B101/'Price History'!B100-1),"")</f>
        <v>-0.06187624750499</v>
      </c>
      <c r="C100" s="142" t="n">
        <f aca="false">IFERROR(IF(OR(NOT(ISNUMBER('Price History'!C101)),NOT(ISNUMBER('Price History'!C100)),'Price History'!C100=0),"",'Price History'!C101/'Price History'!C100-1),"")</f>
        <v>0.0287889394469723</v>
      </c>
      <c r="D100" s="142" t="n">
        <f aca="false">IFERROR(IF(OR(NOT(ISNUMBER('Price History'!D101)),NOT(ISNUMBER('Price History'!D100)),'Price History'!D100=0),"",'Price History'!D101/'Price History'!D100-1),"")</f>
        <v>-0.0276670308310041</v>
      </c>
      <c r="E100" s="142" t="n">
        <f aca="false">IFERROR(IF(OR(NOT(ISNUMBER('Price History'!E101)),NOT(ISNUMBER('Price History'!E100)),'Price History'!E100=0),"",'Price History'!E101/'Price History'!E100-1),"")</f>
        <v>-0.00532081377151805</v>
      </c>
      <c r="F100" s="142" t="n">
        <f aca="false">IFERROR(IF(OR(NOT(ISNUMBER('Price History'!F101)),NOT(ISNUMBER('Price History'!F100)),'Price History'!F100=0),"",'Price History'!F101/'Price History'!F100-1),"")</f>
        <v>-0.0453923747649171</v>
      </c>
      <c r="G100" s="142" t="n">
        <f aca="false">IFERROR(IF(OR(NOT(ISNUMBER('Price History'!G101)),NOT(ISNUMBER('Price History'!G100)),'Price History'!G100=0),"",'Price History'!G101/'Price History'!G100-1),"")</f>
        <v>-0.0170892438288842</v>
      </c>
      <c r="H100" s="142" t="n">
        <f aca="false">IFERROR(IF(OR(NOT(ISNUMBER('Price History'!H101)),NOT(ISNUMBER('Price History'!H100)),'Price History'!H100=0),"",'Price History'!H101/'Price History'!H100-1),"")</f>
        <v>-0.0573460568959309</v>
      </c>
      <c r="I100" s="142" t="n">
        <f aca="false">IFERROR(IF(OR(NOT(ISNUMBER('Price History'!I101)),NOT(ISNUMBER('Price History'!I100)),'Price History'!I100=0),"",'Price History'!I101/'Price History'!I100-1),"")</f>
        <v>0.00127108851398194</v>
      </c>
      <c r="J100" s="142" t="n">
        <f aca="false">IFERROR(IF(OR(NOT(ISNUMBER('Price History'!J101)),NOT(ISNUMBER('Price History'!J100)),'Price History'!J100=0),"",'Price History'!J101/'Price History'!J100-1),"")</f>
        <v>-0.0487781866213795</v>
      </c>
      <c r="K100" s="142" t="n">
        <f aca="false">IFERROR(IF(OR(NOT(ISNUMBER('Price History'!K101)),NOT(ISNUMBER('Price History'!K100)),'Price History'!K100=0),"",'Price History'!K101/'Price History'!K100-1),"")</f>
        <v>-0.0285264483627204</v>
      </c>
      <c r="L100" s="142" t="n">
        <f aca="false">IFERROR(IF(OR(NOT(ISNUMBER('Price History'!L101)),NOT(ISNUMBER('Price History'!L100)),'Price History'!L100=0),"",'Price History'!L101/'Price History'!L100-1),"")</f>
        <v>-0.0423099149673905</v>
      </c>
      <c r="M100" s="142" t="n">
        <f aca="false">IFERROR(IF(OR(NOT(ISNUMBER('Price History'!M101)),NOT(ISNUMBER('Price History'!M100)),'Price History'!M100=0),"",'Price History'!M101/'Price History'!M100-1),"")</f>
        <v>0.0299366304902033</v>
      </c>
      <c r="N100" s="142" t="n">
        <f aca="false">IFERROR(IF(OR(NOT(ISNUMBER('Price History'!N101)),NOT(ISNUMBER('Price History'!N100)),'Price History'!N100=0),"",'Price History'!N101/'Price History'!N100-1),"")</f>
        <v>-0.0160119237730224</v>
      </c>
      <c r="O100" s="142" t="n">
        <f aca="false">IFERROR(IF(OR(NOT(ISNUMBER('Price History'!O101)),NOT(ISNUMBER('Price History'!O100)),'Price History'!O100=0),"",'Price History'!O101/'Price History'!O100-1),"")</f>
        <v>-0.0502781343602911</v>
      </c>
      <c r="P100" s="142" t="n">
        <f aca="false">IFERROR(IF(OR(NOT(ISNUMBER('Price History'!P101)),NOT(ISNUMBER('Price History'!P100)),'Price History'!P100=0),"",'Price History'!P101/'Price History'!P100-1),"")</f>
        <v>-0.0300393462469734</v>
      </c>
      <c r="Q100" s="142" t="n">
        <f aca="false">IFERROR(IF(OR(NOT(ISNUMBER('Price History'!Q101)),NOT(ISNUMBER('Price History'!Q100)),'Price History'!Q100=0),"",'Price History'!Q101/'Price History'!Q100-1),"")</f>
        <v>-0.0104895104895105</v>
      </c>
      <c r="R100" s="142" t="n">
        <f aca="false">IFERROR(IF(OR(NOT(ISNUMBER('Price History'!R101)),NOT(ISNUMBER('Price History'!R100)),'Price History'!R100=0),"",'Price History'!R101/'Price History'!R100-1),"")</f>
        <v>-0.0152528207271208</v>
      </c>
      <c r="S100" s="142" t="n">
        <f aca="false">IFERROR(IF(OR(NOT(ISNUMBER('Price History'!S101)),NOT(ISNUMBER('Price History'!S100)),'Price History'!S100=0),"",'Price History'!S101/'Price History'!S100-1),"")</f>
        <v>-0.0157169198349285</v>
      </c>
      <c r="T100" s="142" t="n">
        <f aca="false">IFERROR(IF(OR(NOT(ISNUMBER('Price History'!T101)),NOT(ISNUMBER('Price History'!T100)),'Price History'!T100=0),"",'Price History'!T101/'Price History'!T100-1),"")</f>
        <v>-0.0419501133786849</v>
      </c>
      <c r="U100" s="142" t="n">
        <f aca="false">IFERROR(IF(OR(NOT(ISNUMBER('Price History'!U101)),NOT(ISNUMBER('Price History'!U100)),'Price History'!U100=0),"",'Price History'!U101/'Price History'!U100-1),"")</f>
        <v>-0.0344299923488907</v>
      </c>
      <c r="V100" s="143" t="n">
        <f aca="false">IFERROR(IF(OR(NOT(ISNUMBER('Price History'!V101)),NOT(ISNUMBER('Price History'!V100)),'Price History'!V100=0),"",'Price History'!V101/'Price History'!V100-1),"")</f>
        <v>-0.0495489125823694</v>
      </c>
      <c r="W100" s="144" t="n">
        <f aca="false">IFERROR('Price History'!B3+(INDEX('Price History'!B:B,MATCH(9.99E+307,'Returns (Calc)'!$A:$A)+1)-'Price History'!B3)*(ROW()-3)/(MATCH(9.99E+307,'Returns (Calc)'!$A:$A)-3),"")</f>
        <v>350.115316455696</v>
      </c>
      <c r="X100" s="144" t="n">
        <f aca="false">IFERROR('Price History'!C3+(INDEX('Price History'!C:C,MATCH(9.99E+307,'Returns (Calc)'!$A:$A)+1)-'Price History'!C3)*(ROW()-3)/(MATCH(9.99E+307,'Returns (Calc)'!$A:$A)-3),"")</f>
        <v>145.126139240506</v>
      </c>
      <c r="Y100" s="144" t="n">
        <f aca="false">IFERROR('Price History'!D3+(INDEX('Price History'!D:D,MATCH(9.99E+307,'Returns (Calc)'!$A:$A)+1)-'Price History'!D3)*(ROW()-3)/(MATCH(9.99E+307,'Returns (Calc)'!$A:$A)-3),"")</f>
        <v>1371.08658227848</v>
      </c>
      <c r="Z100" s="144" t="n">
        <f aca="false">IFERROR('Price History'!E3+(INDEX('Price History'!E:E,MATCH(9.99E+307,'Returns (Calc)'!$A:$A)+1)-'Price History'!E3)*(ROW()-3)/(MATCH(9.99E+307,'Returns (Calc)'!$A:$A)-3),"")</f>
        <v>249.687215189873</v>
      </c>
      <c r="AA100" s="144" t="n">
        <f aca="false">IFERROR('Price History'!F3+(INDEX('Price History'!F:F,MATCH(9.99E+307,'Returns (Calc)'!$A:$A)+1)-'Price History'!F3)*(ROW()-3)/(MATCH(9.99E+307,'Returns (Calc)'!$A:$A)-3),"")</f>
        <v>181.752151898734</v>
      </c>
      <c r="AB100" s="144" t="n">
        <f aca="false">IFERROR('Price History'!G3+(INDEX('Price History'!G:G,MATCH(9.99E+307,'Returns (Calc)'!$A:$A)+1)-'Price History'!G3)*(ROW()-3)/(MATCH(9.99E+307,'Returns (Calc)'!$A:$A)-3),"")</f>
        <v>144.137215189873</v>
      </c>
      <c r="AC100" s="144" t="n">
        <f aca="false">IFERROR('Price History'!H3+(INDEX('Price History'!H:H,MATCH(9.99E+307,'Returns (Calc)'!$A:$A)+1)-'Price History'!H3)*(ROW()-3)/(MATCH(9.99E+307,'Returns (Calc)'!$A:$A)-3),"")</f>
        <v>686.58253164557</v>
      </c>
      <c r="AD100" s="144" t="n">
        <f aca="false">IFERROR('Price History'!I3+(INDEX('Price History'!I:I,MATCH(9.99E+307,'Returns (Calc)'!$A:$A)+1)-'Price History'!I3)*(ROW()-3)/(MATCH(9.99E+307,'Returns (Calc)'!$A:$A)-3),"")</f>
        <v>160.526075949367</v>
      </c>
      <c r="AE100" s="144" t="n">
        <f aca="false">IFERROR('Price History'!J3+(INDEX('Price History'!J:J,MATCH(9.99E+307,'Returns (Calc)'!$A:$A)+1)-'Price History'!J3)*(ROW()-3)/(MATCH(9.99E+307,'Returns (Calc)'!$A:$A)-3),"")</f>
        <v>122.319683544304</v>
      </c>
      <c r="AF100" s="144" t="n">
        <f aca="false">IFERROR('Price History'!K3+(INDEX('Price History'!K:K,MATCH(9.99E+307,'Returns (Calc)'!$A:$A)+1)-'Price History'!K3)*(ROW()-3)/(MATCH(9.99E+307,'Returns (Calc)'!$A:$A)-3),"")</f>
        <v>121.796708860759</v>
      </c>
      <c r="AG100" s="144" t="n">
        <f aca="false">IFERROR('Price History'!L3+(INDEX('Price History'!L:L,MATCH(9.99E+307,'Returns (Calc)'!$A:$A)+1)-'Price History'!L3)*(ROW()-3)/(MATCH(9.99E+307,'Returns (Calc)'!$A:$A)-3),"")</f>
        <v>323.357025316456</v>
      </c>
      <c r="AH100" s="144" t="n">
        <f aca="false">IFERROR('Price History'!M3+(INDEX('Price History'!M:M,MATCH(9.99E+307,'Returns (Calc)'!$A:$A)+1)-'Price History'!M3)*(ROW()-3)/(MATCH(9.99E+307,'Returns (Calc)'!$A:$A)-3),"")</f>
        <v>169.497974683544</v>
      </c>
      <c r="AI100" s="144" t="n">
        <f aca="false">IFERROR('Price History'!N3+(INDEX('Price History'!N:N,MATCH(9.99E+307,'Returns (Calc)'!$A:$A)+1)-'Price History'!N3)*(ROW()-3)/(MATCH(9.99E+307,'Returns (Calc)'!$A:$A)-3),"")</f>
        <v>444.567784810127</v>
      </c>
      <c r="AJ100" s="144" t="n">
        <f aca="false">IFERROR('Price History'!O3+(INDEX('Price History'!O:O,MATCH(9.99E+307,'Returns (Calc)'!$A:$A)+1)-'Price History'!O3)*(ROW()-3)/(MATCH(9.99E+307,'Returns (Calc)'!$A:$A)-3),"")</f>
        <v>102.764683544304</v>
      </c>
      <c r="AK100" s="144" t="n">
        <f aca="false">IFERROR('Price History'!Q3+(INDEX('Price History'!Q:Q,MATCH(9.99E+307,'Returns (Calc)'!$A:$A)+1)-'Price History'!Q3)*(ROW()-3)/(MATCH(9.99E+307,'Returns (Calc)'!$A:$A)-3),"")</f>
        <v>42.6186075949367</v>
      </c>
      <c r="AL100" s="144" t="n">
        <f aca="false">IFERROR('Price History'!R3+(INDEX('Price History'!R:R,MATCH(9.99E+307,'Returns (Calc)'!$A:$A)+1)-'Price History'!R3)*(ROW()-3)/(MATCH(9.99E+307,'Returns (Calc)'!$A:$A)-3),"")</f>
        <v>50.7858227848101</v>
      </c>
      <c r="AM100" s="144" t="n">
        <f aca="false">IFERROR('Price History'!S3+(INDEX('Price History'!S:S,MATCH(9.99E+307,'Returns (Calc)'!$A:$A)+1)-'Price History'!S3)*(ROW()-3)/(MATCH(9.99E+307,'Returns (Calc)'!$A:$A)-3),"")</f>
        <v>116.321139240506</v>
      </c>
      <c r="AN100" s="144" t="n">
        <f aca="false">IFERROR('Price History'!T3+(INDEX('Price History'!T:T,MATCH(9.99E+307,'Returns (Calc)'!$A:$A)+1)-'Price History'!T3)*(ROW()-3)/(MATCH(9.99E+307,'Returns (Calc)'!$A:$A)-3),"")</f>
        <v>41.5581012658228</v>
      </c>
      <c r="AO100" s="145" t="n">
        <f aca="false">IFERROR('Price History'!V3+(INDEX('Price History'!V:V,MATCH(9.99E+307,'Returns (Calc)'!$A:$A)+1)-'Price History'!V3)*(ROW()-3)/(MATCH(9.99E+307,'Returns (Calc)'!$A:$A)-3),"")</f>
        <v>312.388924050633</v>
      </c>
      <c r="AP100" s="143" t="n">
        <f aca="false">IFERROR(IF(OR(NOT(ISNUMBER('Price History'!W101)),NOT(ISNUMBER('Price History'!W100)),'Price History'!W100=0),"",'Price History'!W101/'Price History'!W100-1),"")</f>
        <v>-0.0270861626678739</v>
      </c>
      <c r="AQ100" s="143" t="str">
        <f aca="false">IFERROR(IF(OR(NOT(ISNUMBER('Price History'!X101)),NOT(ISNUMBER('Price History'!X100)),'Price History'!X100=0),"",'Price History'!X101/'Price History'!X100-1),"")</f>
        <v/>
      </c>
      <c r="AR100" s="143" t="n">
        <f aca="false">IFERROR(IF(OR(NOT(ISNUMBER('Price History'!Y101)),NOT(ISNUMBER('Price History'!Y100)),'Price History'!Y100=0),"",'Price History'!Y101/'Price History'!Y100-1),"")</f>
        <v>-0.0236902927580894</v>
      </c>
      <c r="AS100" s="143" t="n">
        <f aca="false">IFERROR(IF(OR(NOT(ISNUMBER('Price History'!Z101)),NOT(ISNUMBER('Price History'!Z100)),'Price History'!Z100=0),"",'Price History'!Z101/'Price History'!Z100-1),"")</f>
        <v>-0.00814151432166399</v>
      </c>
      <c r="AT100" s="143" t="n">
        <f aca="false">IFERROR(IF(OR(NOT(ISNUMBER('Price History'!AA101)),NOT(ISNUMBER('Price History'!AA100)),'Price History'!AA100=0),"",'Price History'!AA101/'Price History'!AA100-1),"")</f>
        <v>-0.0185514612452351</v>
      </c>
    </row>
    <row r="101" customFormat="false" ht="15" hidden="false" customHeight="true" outlineLevel="0" collapsed="false">
      <c r="A101" s="141" t="n">
        <f aca="false">IF('Price History'!A102="","",'Price History'!A102)</f>
        <v>45877</v>
      </c>
      <c r="B101" s="142" t="n">
        <f aca="false">IFERROR(IF(OR(NOT(ISNUMBER('Price History'!B102)),NOT(ISNUMBER('Price History'!B101)),'Price History'!B101=0),"",'Price History'!B102/'Price History'!B101-1),"")</f>
        <v>-0.0194077055779184</v>
      </c>
      <c r="C101" s="142" t="n">
        <f aca="false">IFERROR(IF(OR(NOT(ISNUMBER('Price History'!C102)),NOT(ISNUMBER('Price History'!C101)),'Price History'!C101=0),"",'Price History'!C102/'Price History'!C101-1),"")</f>
        <v>0.183805392532109</v>
      </c>
      <c r="D101" s="142" t="n">
        <f aca="false">IFERROR(IF(OR(NOT(ISNUMBER('Price History'!D102)),NOT(ISNUMBER('Price History'!D101)),'Price History'!D101=0),"",'Price History'!D102/'Price History'!D101-1),"")</f>
        <v>0.0471027710087406</v>
      </c>
      <c r="E101" s="142" t="n">
        <f aca="false">IFERROR(IF(OR(NOT(ISNUMBER('Price History'!E102)),NOT(ISNUMBER('Price History'!E101)),'Price History'!E101=0),"",'Price History'!E102/'Price History'!E101-1),"")</f>
        <v>0.0565694706663871</v>
      </c>
      <c r="F101" s="142" t="n">
        <f aca="false">IFERROR(IF(OR(NOT(ISNUMBER('Price History'!F102)),NOT(ISNUMBER('Price History'!F101)),'Price History'!F101=0),"",'Price History'!F102/'Price History'!F101-1),"")</f>
        <v>-0.0497000089549565</v>
      </c>
      <c r="G101" s="142" t="n">
        <f aca="false">IFERROR(IF(OR(NOT(ISNUMBER('Price History'!G102)),NOT(ISNUMBER('Price History'!G101)),'Price History'!G101=0),"",'Price History'!G102/'Price History'!G101-1),"")</f>
        <v>0.0317045454545455</v>
      </c>
      <c r="H101" s="142" t="n">
        <f aca="false">IFERROR(IF(OR(NOT(ISNUMBER('Price History'!H102)),NOT(ISNUMBER('Price History'!H101)),'Price History'!H101=0),"",'Price History'!H102/'Price History'!H101-1),"")</f>
        <v>0.133607105338554</v>
      </c>
      <c r="I101" s="142" t="n">
        <f aca="false">IFERROR(IF(OR(NOT(ISNUMBER('Price History'!I102)),NOT(ISNUMBER('Price History'!I101)),'Price History'!I101=0),"",'Price History'!I102/'Price History'!I101-1),"")</f>
        <v>0.0516445470282747</v>
      </c>
      <c r="J101" s="142" t="n">
        <f aca="false">IFERROR(IF(OR(NOT(ISNUMBER('Price History'!J102)),NOT(ISNUMBER('Price History'!J101)),'Price History'!J101=0),"",'Price History'!J102/'Price History'!J101-1),"")</f>
        <v>0.00733981352906188</v>
      </c>
      <c r="K101" s="142" t="n">
        <f aca="false">IFERROR(IF(OR(NOT(ISNUMBER('Price History'!K102)),NOT(ISNUMBER('Price History'!K101)),'Price History'!K101=0),"",'Price History'!K102/'Price History'!K101-1),"")</f>
        <v>0.211901212160498</v>
      </c>
      <c r="L101" s="142" t="n">
        <f aca="false">IFERROR(IF(OR(NOT(ISNUMBER('Price History'!L102)),NOT(ISNUMBER('Price History'!L101)),'Price History'!L101=0),"",'Price History'!L102/'Price History'!L101-1),"")</f>
        <v>0.0281453385629931</v>
      </c>
      <c r="M101" s="142" t="n">
        <f aca="false">IFERROR(IF(OR(NOT(ISNUMBER('Price History'!M102)),NOT(ISNUMBER('Price History'!M101)),'Price History'!M101=0),"",'Price History'!M102/'Price History'!M101-1),"")</f>
        <v>-0.0117397454031117</v>
      </c>
      <c r="N101" s="142" t="n">
        <f aca="false">IFERROR(IF(OR(NOT(ISNUMBER('Price History'!N102)),NOT(ISNUMBER('Price History'!N101)),'Price History'!N101=0),"",'Price History'!N102/'Price History'!N101-1),"")</f>
        <v>-0.206846558327743</v>
      </c>
      <c r="O101" s="142" t="n">
        <f aca="false">IFERROR(IF(OR(NOT(ISNUMBER('Price History'!O102)),NOT(ISNUMBER('Price History'!O101)),'Price History'!O101=0),"",'Price History'!O102/'Price History'!O101-1),"")</f>
        <v>0.0233160621761657</v>
      </c>
      <c r="P101" s="142" t="n">
        <f aca="false">IFERROR(IF(OR(NOT(ISNUMBER('Price History'!P102)),NOT(ISNUMBER('Price History'!P101)),'Price History'!P101=0),"",'Price History'!P102/'Price History'!P101-1),"")</f>
        <v>0.0161479054528433</v>
      </c>
      <c r="Q101" s="142" t="n">
        <f aca="false">IFERROR(IF(OR(NOT(ISNUMBER('Price History'!Q102)),NOT(ISNUMBER('Price History'!Q101)),'Price History'!Q101=0),"",'Price History'!Q102/'Price History'!Q101-1),"")</f>
        <v>0.0115644073241246</v>
      </c>
      <c r="R101" s="142" t="n">
        <f aca="false">IFERROR(IF(OR(NOT(ISNUMBER('Price History'!R102)),NOT(ISNUMBER('Price History'!R101)),'Price History'!R101=0),"",'Price History'!R102/'Price History'!R101-1),"")</f>
        <v>0.028219817525992</v>
      </c>
      <c r="S101" s="142" t="n">
        <f aca="false">IFERROR(IF(OR(NOT(ISNUMBER('Price History'!S102)),NOT(ISNUMBER('Price History'!S101)),'Price History'!S101=0),"",'Price History'!S102/'Price History'!S101-1),"")</f>
        <v>0.0349687778768957</v>
      </c>
      <c r="T101" s="142" t="n">
        <f aca="false">IFERROR(IF(OR(NOT(ISNUMBER('Price History'!T102)),NOT(ISNUMBER('Price History'!T101)),'Price History'!T101=0),"",'Price History'!T102/'Price History'!T101-1),"")</f>
        <v>0.0100591715976333</v>
      </c>
      <c r="U101" s="142" t="n">
        <f aca="false">IFERROR(IF(OR(NOT(ISNUMBER('Price History'!U102)),NOT(ISNUMBER('Price History'!U101)),'Price History'!U101=0),"",'Price History'!U102/'Price History'!U101-1),"")</f>
        <v>0.0190174326465928</v>
      </c>
      <c r="V101" s="143" t="n">
        <f aca="false">IFERROR(IF(OR(NOT(ISNUMBER('Price History'!V102)),NOT(ISNUMBER('Price History'!V101)),'Price History'!V101=0),"",'Price History'!V102/'Price History'!V101-1),"")</f>
        <v>-0.00758770494242278</v>
      </c>
      <c r="W101" s="144" t="n">
        <f aca="false">IFERROR('Price History'!B3+(INDEX('Price History'!B:B,MATCH(9.99E+307,'Returns (Calc)'!$A:$A)+1)-'Price History'!B3)*(ROW()-3)/(MATCH(9.99E+307,'Returns (Calc)'!$A:$A)-3),"")</f>
        <v>348.272278481013</v>
      </c>
      <c r="X101" s="144" t="n">
        <f aca="false">IFERROR('Price History'!C3+(INDEX('Price History'!C:C,MATCH(9.99E+307,'Returns (Calc)'!$A:$A)+1)-'Price History'!C3)*(ROW()-3)/(MATCH(9.99E+307,'Returns (Calc)'!$A:$A)-3),"")</f>
        <v>146.146202531646</v>
      </c>
      <c r="Y101" s="144" t="n">
        <f aca="false">IFERROR('Price History'!D3+(INDEX('Price History'!D:D,MATCH(9.99E+307,'Returns (Calc)'!$A:$A)+1)-'Price History'!D3)*(ROW()-3)/(MATCH(9.99E+307,'Returns (Calc)'!$A:$A)-3),"")</f>
        <v>1379.22139240506</v>
      </c>
      <c r="Z101" s="144" t="n">
        <f aca="false">IFERROR('Price History'!E3+(INDEX('Price History'!E:E,MATCH(9.99E+307,'Returns (Calc)'!$A:$A)+1)-'Price History'!E3)*(ROW()-3)/(MATCH(9.99E+307,'Returns (Calc)'!$A:$A)-3),"")</f>
        <v>251.415949367089</v>
      </c>
      <c r="AA101" s="144" t="n">
        <f aca="false">IFERROR('Price History'!F3+(INDEX('Price History'!F:F,MATCH(9.99E+307,'Returns (Calc)'!$A:$A)+1)-'Price History'!F3)*(ROW()-3)/(MATCH(9.99E+307,'Returns (Calc)'!$A:$A)-3),"")</f>
        <v>183.199493670886</v>
      </c>
      <c r="AB101" s="144" t="n">
        <f aca="false">IFERROR('Price History'!G3+(INDEX('Price History'!G:G,MATCH(9.99E+307,'Returns (Calc)'!$A:$A)+1)-'Price History'!G3)*(ROW()-3)/(MATCH(9.99E+307,'Returns (Calc)'!$A:$A)-3),"")</f>
        <v>145.165949367089</v>
      </c>
      <c r="AC101" s="144" t="n">
        <f aca="false">IFERROR('Price History'!H3+(INDEX('Price History'!H:H,MATCH(9.99E+307,'Returns (Calc)'!$A:$A)+1)-'Price History'!H3)*(ROW()-3)/(MATCH(9.99E+307,'Returns (Calc)'!$A:$A)-3),"")</f>
        <v>692.948227848101</v>
      </c>
      <c r="AD101" s="144" t="n">
        <f aca="false">IFERROR('Price History'!I3+(INDEX('Price History'!I:I,MATCH(9.99E+307,'Returns (Calc)'!$A:$A)+1)-'Price History'!I3)*(ROW()-3)/(MATCH(9.99E+307,'Returns (Calc)'!$A:$A)-3),"")</f>
        <v>161.729746835443</v>
      </c>
      <c r="AE101" s="144" t="n">
        <f aca="false">IFERROR('Price History'!J3+(INDEX('Price History'!J:J,MATCH(9.99E+307,'Returns (Calc)'!$A:$A)+1)-'Price History'!J3)*(ROW()-3)/(MATCH(9.99E+307,'Returns (Calc)'!$A:$A)-3),"")</f>
        <v>122.427721518987</v>
      </c>
      <c r="AF101" s="144" t="n">
        <f aca="false">IFERROR('Price History'!K3+(INDEX('Price History'!K:K,MATCH(9.99E+307,'Returns (Calc)'!$A:$A)+1)-'Price History'!K3)*(ROW()-3)/(MATCH(9.99E+307,'Returns (Calc)'!$A:$A)-3),"")</f>
        <v>122.894303797468</v>
      </c>
      <c r="AG101" s="144" t="n">
        <f aca="false">IFERROR('Price History'!L3+(INDEX('Price History'!L:L,MATCH(9.99E+307,'Returns (Calc)'!$A:$A)+1)-'Price History'!L3)*(ROW()-3)/(MATCH(9.99E+307,'Returns (Calc)'!$A:$A)-3),"")</f>
        <v>325.806582278481</v>
      </c>
      <c r="AH101" s="144" t="n">
        <f aca="false">IFERROR('Price History'!M3+(INDEX('Price History'!M:M,MATCH(9.99E+307,'Returns (Calc)'!$A:$A)+1)-'Price History'!M3)*(ROW()-3)/(MATCH(9.99E+307,'Returns (Calc)'!$A:$A)-3),"")</f>
        <v>170.853417721519</v>
      </c>
      <c r="AI101" s="144" t="n">
        <f aca="false">IFERROR('Price History'!N3+(INDEX('Price History'!N:N,MATCH(9.99E+307,'Returns (Calc)'!$A:$A)+1)-'Price History'!N3)*(ROW()-3)/(MATCH(9.99E+307,'Returns (Calc)'!$A:$A)-3),"")</f>
        <v>445.554050632911</v>
      </c>
      <c r="AJ101" s="144" t="n">
        <f aca="false">IFERROR('Price History'!O3+(INDEX('Price History'!O:O,MATCH(9.99E+307,'Returns (Calc)'!$A:$A)+1)-'Price History'!O3)*(ROW()-3)/(MATCH(9.99E+307,'Returns (Calc)'!$A:$A)-3),"")</f>
        <v>103.047721518987</v>
      </c>
      <c r="AK101" s="144" t="n">
        <f aca="false">IFERROR('Price History'!Q3+(INDEX('Price History'!Q:Q,MATCH(9.99E+307,'Returns (Calc)'!$A:$A)+1)-'Price History'!Q3)*(ROW()-3)/(MATCH(9.99E+307,'Returns (Calc)'!$A:$A)-3),"")</f>
        <v>43.0579746835443</v>
      </c>
      <c r="AL101" s="144" t="n">
        <f aca="false">IFERROR('Price History'!R3+(INDEX('Price History'!R:R,MATCH(9.99E+307,'Returns (Calc)'!$A:$A)+1)-'Price History'!R3)*(ROW()-3)/(MATCH(9.99E+307,'Returns (Calc)'!$A:$A)-3),"")</f>
        <v>50.9539240506329</v>
      </c>
      <c r="AM101" s="144" t="n">
        <f aca="false">IFERROR('Price History'!S3+(INDEX('Price History'!S:S,MATCH(9.99E+307,'Returns (Calc)'!$A:$A)+1)-'Price History'!S3)*(ROW()-3)/(MATCH(9.99E+307,'Returns (Calc)'!$A:$A)-3),"")</f>
        <v>116.926202531646</v>
      </c>
      <c r="AN101" s="144" t="n">
        <f aca="false">IFERROR('Price History'!T3+(INDEX('Price History'!T:T,MATCH(9.99E+307,'Returns (Calc)'!$A:$A)+1)-'Price History'!T3)*(ROW()-3)/(MATCH(9.99E+307,'Returns (Calc)'!$A:$A)-3),"")</f>
        <v>41.7263291139241</v>
      </c>
      <c r="AO101" s="145" t="n">
        <f aca="false">IFERROR('Price History'!V3+(INDEX('Price History'!V:V,MATCH(9.99E+307,'Returns (Calc)'!$A:$A)+1)-'Price History'!V3)*(ROW()-3)/(MATCH(9.99E+307,'Returns (Calc)'!$A:$A)-3),"")</f>
        <v>313.180253164557</v>
      </c>
      <c r="AP101" s="143" t="n">
        <f aca="false">IFERROR(IF(OR(NOT(ISNUMBER('Price History'!W102)),NOT(ISNUMBER('Price History'!W101)),'Price History'!W101=0),"",'Price History'!W102/'Price History'!W101-1),"")</f>
        <v>0.0183792167506787</v>
      </c>
      <c r="AQ101" s="143" t="str">
        <f aca="false">IFERROR(IF(OR(NOT(ISNUMBER('Price History'!X102)),NOT(ISNUMBER('Price History'!X101)),'Price History'!X101=0),"",'Price History'!X102/'Price History'!X101-1),"")</f>
        <v/>
      </c>
      <c r="AR101" s="143" t="n">
        <f aca="false">IFERROR(IF(OR(NOT(ISNUMBER('Price History'!Y102)),NOT(ISNUMBER('Price History'!Y101)),'Price History'!Y101=0),"",'Price History'!Y102/'Price History'!Y101-1),"")</f>
        <v>0.00808838035115422</v>
      </c>
      <c r="AS101" s="143" t="n">
        <f aca="false">IFERROR(IF(OR(NOT(ISNUMBER('Price History'!Z102)),NOT(ISNUMBER('Price History'!Z101)),'Price History'!Z101=0),"",'Price History'!Z102/'Price History'!Z101-1),"")</f>
        <v>0.0208939631370795</v>
      </c>
      <c r="AT101" s="143" t="n">
        <f aca="false">IFERROR(IF(OR(NOT(ISNUMBER('Price History'!AA102)),NOT(ISNUMBER('Price History'!AA101)),'Price History'!AA101=0),"",'Price History'!AA102/'Price History'!AA101-1),"")</f>
        <v>0.0457448644916278</v>
      </c>
    </row>
    <row r="102" customFormat="false" ht="15" hidden="false" customHeight="true" outlineLevel="0" collapsed="false">
      <c r="A102" s="141" t="n">
        <f aca="false">IF('Price History'!A103="","",'Price History'!A103)</f>
        <v>45884</v>
      </c>
      <c r="B102" s="142" t="n">
        <f aca="false">IFERROR(IF(OR(NOT(ISNUMBER('Price History'!B103)),NOT(ISNUMBER('Price History'!B102)),'Price History'!B102=0),"",'Price History'!B103/'Price History'!B102-1),"")</f>
        <v>0.0404632751795924</v>
      </c>
      <c r="C102" s="142" t="n">
        <f aca="false">IFERROR(IF(OR(NOT(ISNUMBER('Price History'!C103)),NOT(ISNUMBER('Price History'!C102)),'Price History'!C102=0),"",'Price History'!C103/'Price History'!C102-1),"")</f>
        <v>-0.0135076878861905</v>
      </c>
      <c r="D102" s="142" t="n">
        <f aca="false">IFERROR(IF(OR(NOT(ISNUMBER('Price History'!D103)),NOT(ISNUMBER('Price History'!D102)),'Price History'!D102=0),"",'Price History'!D103/'Price History'!D102-1),"")</f>
        <v>0.0274669379450661</v>
      </c>
      <c r="E102" s="142" t="n">
        <f aca="false">IFERROR(IF(OR(NOT(ISNUMBER('Price History'!E103)),NOT(ISNUMBER('Price History'!E102)),'Price History'!E102=0),"",'Price History'!E103/'Price History'!E102-1),"")</f>
        <v>0.00450033090668445</v>
      </c>
      <c r="F102" s="142" t="n">
        <f aca="false">IFERROR(IF(OR(NOT(ISNUMBER('Price History'!F103)),NOT(ISNUMBER('Price History'!F102)),'Price History'!F102=0),"",'Price History'!F103/'Price History'!F102-1),"")</f>
        <v>0.00800980022615905</v>
      </c>
      <c r="G102" s="142" t="n">
        <f aca="false">IFERROR(IF(OR(NOT(ISNUMBER('Price History'!G103)),NOT(ISNUMBER('Price History'!G102)),'Price History'!G102=0),"",'Price History'!G103/'Price History'!G102-1),"")</f>
        <v>-0.0435069941623527</v>
      </c>
      <c r="H102" s="142" t="n">
        <f aca="false">IFERROR(IF(OR(NOT(ISNUMBER('Price History'!H103)),NOT(ISNUMBER('Price History'!H102)),'Price History'!H102=0),"",'Price History'!H103/'Price History'!H102-1),"")</f>
        <v>0.016680707666386</v>
      </c>
      <c r="I102" s="142" t="n">
        <f aca="false">IFERROR(IF(OR(NOT(ISNUMBER('Price History'!I103)),NOT(ISNUMBER('Price History'!I102)),'Price History'!I102=0),"",'Price History'!I103/'Price History'!I102-1),"")</f>
        <v>-0.0122908093278464</v>
      </c>
      <c r="J102" s="142" t="n">
        <f aca="false">IFERROR(IF(OR(NOT(ISNUMBER('Price History'!J103)),NOT(ISNUMBER('Price History'!J102)),'Price History'!J102=0),"",'Price History'!J103/'Price History'!J102-1),"")</f>
        <v>0.00856636471051608</v>
      </c>
      <c r="K102" s="142" t="n">
        <f aca="false">IFERROR(IF(OR(NOT(ISNUMBER('Price History'!K103)),NOT(ISNUMBER('Price History'!K102)),'Price History'!K102=0),"",'Price History'!K103/'Price History'!K102-1),"")</f>
        <v>-0.0523641420624734</v>
      </c>
      <c r="L102" s="142" t="n">
        <f aca="false">IFERROR(IF(OR(NOT(ISNUMBER('Price History'!L103)),NOT(ISNUMBER('Price History'!L102)),'Price History'!L102=0),"",'Price History'!L103/'Price History'!L102-1),"")</f>
        <v>-0.0121992118722227</v>
      </c>
      <c r="M102" s="142" t="n">
        <f aca="false">IFERROR(IF(OR(NOT(ISNUMBER('Price History'!M103)),NOT(ISNUMBER('Price History'!M102)),'Price History'!M102=0),"",'Price History'!M103/'Price History'!M102-1),"")</f>
        <v>-0.0490196078431374</v>
      </c>
      <c r="N102" s="142" t="n">
        <f aca="false">IFERROR(IF(OR(NOT(ISNUMBER('Price History'!N103)),NOT(ISNUMBER('Price History'!N102)),'Price History'!N102=0),"",'Price History'!N103/'Price History'!N102-1),"")</f>
        <v>0.0716156490423965</v>
      </c>
      <c r="O102" s="142" t="n">
        <f aca="false">IFERROR(IF(OR(NOT(ISNUMBER('Price History'!O103)),NOT(ISNUMBER('Price History'!O102)),'Price History'!O102=0),"",'Price History'!O103/'Price History'!O102-1),"")</f>
        <v>0.0298293891029169</v>
      </c>
      <c r="P102" s="142" t="n">
        <f aca="false">IFERROR(IF(OR(NOT(ISNUMBER('Price History'!P103)),NOT(ISNUMBER('Price History'!P102)),'Price History'!P102=0),"",'Price History'!P103/'Price History'!P102-1),"")</f>
        <v>0.0153539075694764</v>
      </c>
      <c r="Q102" s="142" t="n">
        <f aca="false">IFERROR(IF(OR(NOT(ISNUMBER('Price History'!Q103)),NOT(ISNUMBER('Price History'!Q102)),'Price History'!Q102=0),"",'Price History'!Q103/'Price History'!Q102-1),"")</f>
        <v>0.00730390600190534</v>
      </c>
      <c r="R102" s="142" t="n">
        <f aca="false">IFERROR(IF(OR(NOT(ISNUMBER('Price History'!R103)),NOT(ISNUMBER('Price History'!R102)),'Price History'!R102=0),"",'Price History'!R103/'Price History'!R102-1),"")</f>
        <v>0.00866694180767658</v>
      </c>
      <c r="S102" s="142" t="n">
        <f aca="false">IFERROR(IF(OR(NOT(ISNUMBER('Price History'!S103)),NOT(ISNUMBER('Price History'!S102)),'Price History'!S102=0),"",'Price History'!S103/'Price History'!S102-1),"")</f>
        <v>0.00103430443027075</v>
      </c>
      <c r="T102" s="142" t="n">
        <f aca="false">IFERROR(IF(OR(NOT(ISNUMBER('Price History'!T103)),NOT(ISNUMBER('Price History'!T102)),'Price History'!T102=0),"",'Price History'!T103/'Price History'!T102-1),"")</f>
        <v>0.0395430579964851</v>
      </c>
      <c r="U102" s="142" t="n">
        <f aca="false">IFERROR(IF(OR(NOT(ISNUMBER('Price History'!U103)),NOT(ISNUMBER('Price History'!U102)),'Price History'!U102=0),"",'Price History'!U103/'Price History'!U102-1),"")</f>
        <v>0.0167185069984448</v>
      </c>
      <c r="V102" s="143" t="n">
        <f aca="false">IFERROR(IF(OR(NOT(ISNUMBER('Price History'!V103)),NOT(ISNUMBER('Price History'!V102)),'Price History'!V102=0),"",'Price History'!V103/'Price History'!V102-1),"")</f>
        <v>0.0246461981290478</v>
      </c>
      <c r="W102" s="144" t="n">
        <f aca="false">IFERROR('Price History'!B3+(INDEX('Price History'!B:B,MATCH(9.99E+307,'Returns (Calc)'!$A:$A)+1)-'Price History'!B3)*(ROW()-3)/(MATCH(9.99E+307,'Returns (Calc)'!$A:$A)-3),"")</f>
        <v>346.429240506329</v>
      </c>
      <c r="X102" s="144" t="n">
        <f aca="false">IFERROR('Price History'!C3+(INDEX('Price History'!C:C,MATCH(9.99E+307,'Returns (Calc)'!$A:$A)+1)-'Price History'!C3)*(ROW()-3)/(MATCH(9.99E+307,'Returns (Calc)'!$A:$A)-3),"")</f>
        <v>147.166265822785</v>
      </c>
      <c r="Y102" s="144" t="n">
        <f aca="false">IFERROR('Price History'!D3+(INDEX('Price History'!D:D,MATCH(9.99E+307,'Returns (Calc)'!$A:$A)+1)-'Price History'!D3)*(ROW()-3)/(MATCH(9.99E+307,'Returns (Calc)'!$A:$A)-3),"")</f>
        <v>1387.35620253165</v>
      </c>
      <c r="Z102" s="144" t="n">
        <f aca="false">IFERROR('Price History'!E3+(INDEX('Price History'!E:E,MATCH(9.99E+307,'Returns (Calc)'!$A:$A)+1)-'Price History'!E3)*(ROW()-3)/(MATCH(9.99E+307,'Returns (Calc)'!$A:$A)-3),"")</f>
        <v>253.144683544304</v>
      </c>
      <c r="AA102" s="144" t="n">
        <f aca="false">IFERROR('Price History'!F3+(INDEX('Price History'!F:F,MATCH(9.99E+307,'Returns (Calc)'!$A:$A)+1)-'Price History'!F3)*(ROW()-3)/(MATCH(9.99E+307,'Returns (Calc)'!$A:$A)-3),"")</f>
        <v>184.646835443038</v>
      </c>
      <c r="AB102" s="144" t="n">
        <f aca="false">IFERROR('Price History'!G3+(INDEX('Price History'!G:G,MATCH(9.99E+307,'Returns (Calc)'!$A:$A)+1)-'Price History'!G3)*(ROW()-3)/(MATCH(9.99E+307,'Returns (Calc)'!$A:$A)-3),"")</f>
        <v>146.194683544304</v>
      </c>
      <c r="AC102" s="144" t="n">
        <f aca="false">IFERROR('Price History'!H3+(INDEX('Price History'!H:H,MATCH(9.99E+307,'Returns (Calc)'!$A:$A)+1)-'Price History'!H3)*(ROW()-3)/(MATCH(9.99E+307,'Returns (Calc)'!$A:$A)-3),"")</f>
        <v>699.313924050633</v>
      </c>
      <c r="AD102" s="144" t="n">
        <f aca="false">IFERROR('Price History'!I3+(INDEX('Price History'!I:I,MATCH(9.99E+307,'Returns (Calc)'!$A:$A)+1)-'Price History'!I3)*(ROW()-3)/(MATCH(9.99E+307,'Returns (Calc)'!$A:$A)-3),"")</f>
        <v>162.933417721519</v>
      </c>
      <c r="AE102" s="144" t="n">
        <f aca="false">IFERROR('Price History'!J3+(INDEX('Price History'!J:J,MATCH(9.99E+307,'Returns (Calc)'!$A:$A)+1)-'Price History'!J3)*(ROW()-3)/(MATCH(9.99E+307,'Returns (Calc)'!$A:$A)-3),"")</f>
        <v>122.535759493671</v>
      </c>
      <c r="AF102" s="144" t="n">
        <f aca="false">IFERROR('Price History'!K3+(INDEX('Price History'!K:K,MATCH(9.99E+307,'Returns (Calc)'!$A:$A)+1)-'Price History'!K3)*(ROW()-3)/(MATCH(9.99E+307,'Returns (Calc)'!$A:$A)-3),"")</f>
        <v>123.991898734177</v>
      </c>
      <c r="AG102" s="144" t="n">
        <f aca="false">IFERROR('Price History'!L3+(INDEX('Price History'!L:L,MATCH(9.99E+307,'Returns (Calc)'!$A:$A)+1)-'Price History'!L3)*(ROW()-3)/(MATCH(9.99E+307,'Returns (Calc)'!$A:$A)-3),"")</f>
        <v>328.256139240506</v>
      </c>
      <c r="AH102" s="144" t="n">
        <f aca="false">IFERROR('Price History'!M3+(INDEX('Price History'!M:M,MATCH(9.99E+307,'Returns (Calc)'!$A:$A)+1)-'Price History'!M3)*(ROW()-3)/(MATCH(9.99E+307,'Returns (Calc)'!$A:$A)-3),"")</f>
        <v>172.208860759494</v>
      </c>
      <c r="AI102" s="144" t="n">
        <f aca="false">IFERROR('Price History'!N3+(INDEX('Price History'!N:N,MATCH(9.99E+307,'Returns (Calc)'!$A:$A)+1)-'Price History'!N3)*(ROW()-3)/(MATCH(9.99E+307,'Returns (Calc)'!$A:$A)-3),"")</f>
        <v>446.540316455696</v>
      </c>
      <c r="AJ102" s="144" t="n">
        <f aca="false">IFERROR('Price History'!O3+(INDEX('Price History'!O:O,MATCH(9.99E+307,'Returns (Calc)'!$A:$A)+1)-'Price History'!O3)*(ROW()-3)/(MATCH(9.99E+307,'Returns (Calc)'!$A:$A)-3),"")</f>
        <v>103.330759493671</v>
      </c>
      <c r="AK102" s="144" t="n">
        <f aca="false">IFERROR('Price History'!Q3+(INDEX('Price History'!Q:Q,MATCH(9.99E+307,'Returns (Calc)'!$A:$A)+1)-'Price History'!Q3)*(ROW()-3)/(MATCH(9.99E+307,'Returns (Calc)'!$A:$A)-3),"")</f>
        <v>43.4973417721519</v>
      </c>
      <c r="AL102" s="144" t="n">
        <f aca="false">IFERROR('Price History'!R3+(INDEX('Price History'!R:R,MATCH(9.99E+307,'Returns (Calc)'!$A:$A)+1)-'Price History'!R3)*(ROW()-3)/(MATCH(9.99E+307,'Returns (Calc)'!$A:$A)-3),"")</f>
        <v>51.1220253164557</v>
      </c>
      <c r="AM102" s="144" t="n">
        <f aca="false">IFERROR('Price History'!S3+(INDEX('Price History'!S:S,MATCH(9.99E+307,'Returns (Calc)'!$A:$A)+1)-'Price History'!S3)*(ROW()-3)/(MATCH(9.99E+307,'Returns (Calc)'!$A:$A)-3),"")</f>
        <v>117.531265822785</v>
      </c>
      <c r="AN102" s="144" t="n">
        <f aca="false">IFERROR('Price History'!T3+(INDEX('Price History'!T:T,MATCH(9.99E+307,'Returns (Calc)'!$A:$A)+1)-'Price History'!T3)*(ROW()-3)/(MATCH(9.99E+307,'Returns (Calc)'!$A:$A)-3),"")</f>
        <v>41.8945569620253</v>
      </c>
      <c r="AO102" s="145" t="n">
        <f aca="false">IFERROR('Price History'!V3+(INDEX('Price History'!V:V,MATCH(9.99E+307,'Returns (Calc)'!$A:$A)+1)-'Price History'!V3)*(ROW()-3)/(MATCH(9.99E+307,'Returns (Calc)'!$A:$A)-3),"")</f>
        <v>313.971582278481</v>
      </c>
      <c r="AP102" s="143" t="n">
        <f aca="false">IFERROR(IF(OR(NOT(ISNUMBER('Price History'!W103)),NOT(ISNUMBER('Price History'!W102)),'Price History'!W102=0),"",'Price History'!W103/'Price History'!W102-1),"")</f>
        <v>0.0121839780688395</v>
      </c>
      <c r="AQ102" s="143" t="str">
        <f aca="false">IFERROR(IF(OR(NOT(ISNUMBER('Price History'!X103)),NOT(ISNUMBER('Price History'!X102)),'Price History'!X102=0),"",'Price History'!X103/'Price History'!X102-1),"")</f>
        <v/>
      </c>
      <c r="AR102" s="143" t="n">
        <f aca="false">IFERROR(IF(OR(NOT(ISNUMBER('Price History'!Y103)),NOT(ISNUMBER('Price History'!Y102)),'Price History'!Y102=0),"",'Price History'!Y103/'Price History'!Y102-1),"")</f>
        <v>0.0113502935420744</v>
      </c>
      <c r="AS102" s="143" t="n">
        <f aca="false">IFERROR(IF(OR(NOT(ISNUMBER('Price History'!Z103)),NOT(ISNUMBER('Price History'!Z102)),'Price History'!Z102=0),"",'Price History'!Z103/'Price History'!Z102-1),"")</f>
        <v>-0.0260214896571889</v>
      </c>
      <c r="AT102" s="143" t="n">
        <f aca="false">IFERROR(IF(OR(NOT(ISNUMBER('Price History'!AA103)),NOT(ISNUMBER('Price History'!AA102)),'Price History'!AA102=0),"",'Price History'!AA103/'Price History'!AA102-1),"")</f>
        <v>0.0225321888412018</v>
      </c>
    </row>
    <row r="103" customFormat="false" ht="15" hidden="false" customHeight="true" outlineLevel="0" collapsed="false">
      <c r="A103" s="141" t="n">
        <f aca="false">IF('Price History'!A104="","",'Price History'!A104)</f>
        <v>45891</v>
      </c>
      <c r="B103" s="142" t="n">
        <f aca="false">IFERROR(IF(OR(NOT(ISNUMBER('Price History'!B104)),NOT(ISNUMBER('Price History'!B103)),'Price History'!B103=0),"",'Price History'!B104/'Price History'!B103-1),"")</f>
        <v>0.0204029871776805</v>
      </c>
      <c r="C103" s="142" t="n">
        <f aca="false">IFERROR(IF(OR(NOT(ISNUMBER('Price History'!C104)),NOT(ISNUMBER('Price History'!C103)),'Price History'!C103=0),"",'Price History'!C104/'Price History'!C103-1),"")</f>
        <v>-0.029497450837582</v>
      </c>
      <c r="D103" s="142" t="n">
        <f aca="false">IFERROR(IF(OR(NOT(ISNUMBER('Price History'!D104)),NOT(ISNUMBER('Price History'!D103)),'Price History'!D103=0),"",'Price History'!D104/'Price History'!D103-1),"")</f>
        <v>0.0171571951715721</v>
      </c>
      <c r="E103" s="142" t="n">
        <f aca="false">IFERROR(IF(OR(NOT(ISNUMBER('Price History'!E104)),NOT(ISNUMBER('Price History'!E103)),'Price History'!E103=0),"",'Price History'!E104/'Price History'!E103-1),"")</f>
        <v>-0.0402885755699038</v>
      </c>
      <c r="F103" s="142" t="n">
        <f aca="false">IFERROR(IF(OR(NOT(ISNUMBER('Price History'!F104)),NOT(ISNUMBER('Price History'!F103)),'Price History'!F103=0),"",'Price History'!F104/'Price History'!F103-1),"")</f>
        <v>-0.0171076002617556</v>
      </c>
      <c r="G103" s="142" t="n">
        <f aca="false">IFERROR(IF(OR(NOT(ISNUMBER('Price History'!G104)),NOT(ISNUMBER('Price History'!G103)),'Price History'!G103=0),"",'Price History'!G104/'Price History'!G103-1),"")</f>
        <v>-0.0032243205895901</v>
      </c>
      <c r="H103" s="142" t="n">
        <f aca="false">IFERROR(IF(OR(NOT(ISNUMBER('Price History'!H104)),NOT(ISNUMBER('Price History'!H103)),'Price History'!H103=0),"",'Price History'!H104/'Price History'!H103-1),"")</f>
        <v>-0.0264335432548891</v>
      </c>
      <c r="I103" s="142" t="n">
        <f aca="false">IFERROR(IF(OR(NOT(ISNUMBER('Price History'!I104)),NOT(ISNUMBER('Price History'!I103)),'Price History'!I103=0),"",'Price History'!I104/'Price History'!I103-1),"")</f>
        <v>-0.0136659074495861</v>
      </c>
      <c r="J103" s="142" t="n">
        <f aca="false">IFERROR(IF(OR(NOT(ISNUMBER('Price History'!J104)),NOT(ISNUMBER('Price History'!J103)),'Price History'!J103=0),"",'Price History'!J104/'Price History'!J103-1),"")</f>
        <v>0.0534023235380259</v>
      </c>
      <c r="K103" s="142" t="n">
        <f aca="false">IFERROR(IF(OR(NOT(ISNUMBER('Price History'!K104)),NOT(ISNUMBER('Price History'!K103)),'Price History'!K103=0),"",'Price History'!K104/'Price History'!K103-1),"")</f>
        <v>-0.104024383360614</v>
      </c>
      <c r="L103" s="142" t="n">
        <f aca="false">IFERROR(IF(OR(NOT(ISNUMBER('Price History'!L104)),NOT(ISNUMBER('Price History'!L103)),'Price History'!L103=0),"",'Price History'!L104/'Price History'!L103-1),"")</f>
        <v>-0.0246573017018207</v>
      </c>
      <c r="M103" s="142" t="n">
        <f aca="false">IFERROR(IF(OR(NOT(ISNUMBER('Price History'!M104)),NOT(ISNUMBER('Price History'!M103)),'Price History'!M103=0),"",'Price History'!M104/'Price History'!M103-1),"")</f>
        <v>-0.0533523967190909</v>
      </c>
      <c r="N103" s="142" t="n">
        <f aca="false">IFERROR(IF(OR(NOT(ISNUMBER('Price History'!N104)),NOT(ISNUMBER('Price History'!N103)),'Price History'!N103=0),"",'Price History'!N104/'Price History'!N103-1),"")</f>
        <v>0.00593192291046107</v>
      </c>
      <c r="O103" s="142" t="n">
        <f aca="false">IFERROR(IF(OR(NOT(ISNUMBER('Price History'!O104)),NOT(ISNUMBER('Price History'!O103)),'Price History'!O103=0),"",'Price History'!O104/'Price History'!O103-1),"")</f>
        <v>0.0397605814450619</v>
      </c>
      <c r="P103" s="142" t="n">
        <f aca="false">IFERROR(IF(OR(NOT(ISNUMBER('Price History'!P104)),NOT(ISNUMBER('Price History'!P103)),'Price History'!P103=0),"",'Price History'!P104/'Price History'!P103-1),"")</f>
        <v>0.0288825041584759</v>
      </c>
      <c r="Q103" s="142" t="n">
        <f aca="false">IFERROR(IF(OR(NOT(ISNUMBER('Price History'!Q104)),NOT(ISNUMBER('Price History'!Q103)),'Price History'!Q103=0),"",'Price History'!Q104/'Price History'!Q103-1),"")</f>
        <v>0.00362547288776804</v>
      </c>
      <c r="R103" s="142" t="n">
        <f aca="false">IFERROR(IF(OR(NOT(ISNUMBER('Price History'!R104)),NOT(ISNUMBER('Price History'!R103)),'Price History'!R103=0),"",'Price History'!R104/'Price History'!R103-1),"")</f>
        <v>-0.00245499181669406</v>
      </c>
      <c r="S103" s="142" t="n">
        <f aca="false">IFERROR(IF(OR(NOT(ISNUMBER('Price History'!S104)),NOT(ISNUMBER('Price History'!S103)),'Price History'!S103=0),"",'Price History'!S104/'Price History'!S103-1),"")</f>
        <v>-0.0068021353538833</v>
      </c>
      <c r="T103" s="142" t="n">
        <f aca="false">IFERROR(IF(OR(NOT(ISNUMBER('Price History'!T104)),NOT(ISNUMBER('Price History'!T103)),'Price History'!T103=0),"",'Price History'!T104/'Price History'!T103-1),"")</f>
        <v>0.0259227951535643</v>
      </c>
      <c r="U103" s="142" t="n">
        <f aca="false">IFERROR(IF(OR(NOT(ISNUMBER('Price History'!U104)),NOT(ISNUMBER('Price History'!U103)),'Price History'!U103=0),"",'Price History'!U104/'Price History'!U103-1),"")</f>
        <v>0.0229445506692161</v>
      </c>
      <c r="V103" s="143" t="n">
        <f aca="false">IFERROR(IF(OR(NOT(ISNUMBER('Price History'!V104)),NOT(ISNUMBER('Price History'!V103)),'Price History'!V103=0),"",'Price History'!V104/'Price History'!V103-1),"")</f>
        <v>0.0161526306548838</v>
      </c>
      <c r="W103" s="144" t="n">
        <f aca="false">IFERROR('Price History'!B3+(INDEX('Price History'!B:B,MATCH(9.99E+307,'Returns (Calc)'!$A:$A)+1)-'Price History'!B3)*(ROW()-3)/(MATCH(9.99E+307,'Returns (Calc)'!$A:$A)-3),"")</f>
        <v>344.586202531646</v>
      </c>
      <c r="X103" s="144" t="n">
        <f aca="false">IFERROR('Price History'!C3+(INDEX('Price History'!C:C,MATCH(9.99E+307,'Returns (Calc)'!$A:$A)+1)-'Price History'!C3)*(ROW()-3)/(MATCH(9.99E+307,'Returns (Calc)'!$A:$A)-3),"")</f>
        <v>148.186329113924</v>
      </c>
      <c r="Y103" s="144" t="n">
        <f aca="false">IFERROR('Price History'!D3+(INDEX('Price History'!D:D,MATCH(9.99E+307,'Returns (Calc)'!$A:$A)+1)-'Price History'!D3)*(ROW()-3)/(MATCH(9.99E+307,'Returns (Calc)'!$A:$A)-3),"")</f>
        <v>1395.49101265823</v>
      </c>
      <c r="Z103" s="144" t="n">
        <f aca="false">IFERROR('Price History'!E3+(INDEX('Price History'!E:E,MATCH(9.99E+307,'Returns (Calc)'!$A:$A)+1)-'Price History'!E3)*(ROW()-3)/(MATCH(9.99E+307,'Returns (Calc)'!$A:$A)-3),"")</f>
        <v>254.873417721519</v>
      </c>
      <c r="AA103" s="144" t="n">
        <f aca="false">IFERROR('Price History'!F3+(INDEX('Price History'!F:F,MATCH(9.99E+307,'Returns (Calc)'!$A:$A)+1)-'Price History'!F3)*(ROW()-3)/(MATCH(9.99E+307,'Returns (Calc)'!$A:$A)-3),"")</f>
        <v>186.09417721519</v>
      </c>
      <c r="AB103" s="144" t="n">
        <f aca="false">IFERROR('Price History'!G3+(INDEX('Price History'!G:G,MATCH(9.99E+307,'Returns (Calc)'!$A:$A)+1)-'Price History'!G3)*(ROW()-3)/(MATCH(9.99E+307,'Returns (Calc)'!$A:$A)-3),"")</f>
        <v>147.223417721519</v>
      </c>
      <c r="AC103" s="144" t="n">
        <f aca="false">IFERROR('Price History'!H3+(INDEX('Price History'!H:H,MATCH(9.99E+307,'Returns (Calc)'!$A:$A)+1)-'Price History'!H3)*(ROW()-3)/(MATCH(9.99E+307,'Returns (Calc)'!$A:$A)-3),"")</f>
        <v>705.679620253165</v>
      </c>
      <c r="AD103" s="144" t="n">
        <f aca="false">IFERROR('Price History'!I3+(INDEX('Price History'!I:I,MATCH(9.99E+307,'Returns (Calc)'!$A:$A)+1)-'Price History'!I3)*(ROW()-3)/(MATCH(9.99E+307,'Returns (Calc)'!$A:$A)-3),"")</f>
        <v>164.137088607595</v>
      </c>
      <c r="AE103" s="144" t="n">
        <f aca="false">IFERROR('Price History'!J3+(INDEX('Price History'!J:J,MATCH(9.99E+307,'Returns (Calc)'!$A:$A)+1)-'Price History'!J3)*(ROW()-3)/(MATCH(9.99E+307,'Returns (Calc)'!$A:$A)-3),"")</f>
        <v>122.643797468354</v>
      </c>
      <c r="AF103" s="144" t="n">
        <f aca="false">IFERROR('Price History'!K3+(INDEX('Price History'!K:K,MATCH(9.99E+307,'Returns (Calc)'!$A:$A)+1)-'Price History'!K3)*(ROW()-3)/(MATCH(9.99E+307,'Returns (Calc)'!$A:$A)-3),"")</f>
        <v>125.089493670886</v>
      </c>
      <c r="AG103" s="144" t="n">
        <f aca="false">IFERROR('Price History'!L3+(INDEX('Price History'!L:L,MATCH(9.99E+307,'Returns (Calc)'!$A:$A)+1)-'Price History'!L3)*(ROW()-3)/(MATCH(9.99E+307,'Returns (Calc)'!$A:$A)-3),"")</f>
        <v>330.705696202532</v>
      </c>
      <c r="AH103" s="144" t="n">
        <f aca="false">IFERROR('Price History'!M3+(INDEX('Price History'!M:M,MATCH(9.99E+307,'Returns (Calc)'!$A:$A)+1)-'Price History'!M3)*(ROW()-3)/(MATCH(9.99E+307,'Returns (Calc)'!$A:$A)-3),"")</f>
        <v>173.564303797468</v>
      </c>
      <c r="AI103" s="144" t="n">
        <f aca="false">IFERROR('Price History'!N3+(INDEX('Price History'!N:N,MATCH(9.99E+307,'Returns (Calc)'!$A:$A)+1)-'Price History'!N3)*(ROW()-3)/(MATCH(9.99E+307,'Returns (Calc)'!$A:$A)-3),"")</f>
        <v>447.526582278481</v>
      </c>
      <c r="AJ103" s="144" t="n">
        <f aca="false">IFERROR('Price History'!O3+(INDEX('Price History'!O:O,MATCH(9.99E+307,'Returns (Calc)'!$A:$A)+1)-'Price History'!O3)*(ROW()-3)/(MATCH(9.99E+307,'Returns (Calc)'!$A:$A)-3),"")</f>
        <v>103.613797468354</v>
      </c>
      <c r="AK103" s="144" t="n">
        <f aca="false">IFERROR('Price History'!Q3+(INDEX('Price History'!Q:Q,MATCH(9.99E+307,'Returns (Calc)'!$A:$A)+1)-'Price History'!Q3)*(ROW()-3)/(MATCH(9.99E+307,'Returns (Calc)'!$A:$A)-3),"")</f>
        <v>43.9367088607595</v>
      </c>
      <c r="AL103" s="144" t="n">
        <f aca="false">IFERROR('Price History'!R3+(INDEX('Price History'!R:R,MATCH(9.99E+307,'Returns (Calc)'!$A:$A)+1)-'Price History'!R3)*(ROW()-3)/(MATCH(9.99E+307,'Returns (Calc)'!$A:$A)-3),"")</f>
        <v>51.2901265822785</v>
      </c>
      <c r="AM103" s="144" t="n">
        <f aca="false">IFERROR('Price History'!S3+(INDEX('Price History'!S:S,MATCH(9.99E+307,'Returns (Calc)'!$A:$A)+1)-'Price History'!S3)*(ROW()-3)/(MATCH(9.99E+307,'Returns (Calc)'!$A:$A)-3),"")</f>
        <v>118.136329113924</v>
      </c>
      <c r="AN103" s="144" t="n">
        <f aca="false">IFERROR('Price History'!T3+(INDEX('Price History'!T:T,MATCH(9.99E+307,'Returns (Calc)'!$A:$A)+1)-'Price History'!T3)*(ROW()-3)/(MATCH(9.99E+307,'Returns (Calc)'!$A:$A)-3),"")</f>
        <v>42.0627848101266</v>
      </c>
      <c r="AO103" s="145" t="n">
        <f aca="false">IFERROR('Price History'!V3+(INDEX('Price History'!V:V,MATCH(9.99E+307,'Returns (Calc)'!$A:$A)+1)-'Price History'!V3)*(ROW()-3)/(MATCH(9.99E+307,'Returns (Calc)'!$A:$A)-3),"")</f>
        <v>314.762911392405</v>
      </c>
      <c r="AP103" s="143" t="n">
        <f aca="false">IFERROR(IF(OR(NOT(ISNUMBER('Price History'!W104)),NOT(ISNUMBER('Price History'!W103)),'Price History'!W103=0),"",'Price History'!W104/'Price History'!W103-1),"")</f>
        <v>0.0158742100511586</v>
      </c>
      <c r="AQ103" s="143" t="str">
        <f aca="false">IFERROR(IF(OR(NOT(ISNUMBER('Price History'!X104)),NOT(ISNUMBER('Price History'!X103)),'Price History'!X103=0),"",'Price History'!X104/'Price History'!X103-1),"")</f>
        <v/>
      </c>
      <c r="AR103" s="143" t="n">
        <f aca="false">IFERROR(IF(OR(NOT(ISNUMBER('Price History'!Y104)),NOT(ISNUMBER('Price History'!Y103)),'Price History'!Y103=0),"",'Price History'!Y104/'Price History'!Y103-1),"")</f>
        <v>0.0119969040247678</v>
      </c>
      <c r="AS103" s="143" t="n">
        <f aca="false">IFERROR(IF(OR(NOT(ISNUMBER('Price History'!Z104)),NOT(ISNUMBER('Price History'!Z103)),'Price History'!Z103=0),"",'Price History'!Z104/'Price History'!Z103-1),"")</f>
        <v>-0.00495309568480296</v>
      </c>
      <c r="AT103" s="143" t="n">
        <f aca="false">IFERROR(IF(OR(NOT(ISNUMBER('Price History'!AA104)),NOT(ISNUMBER('Price History'!AA103)),'Price History'!AA103=0),"",'Price History'!AA104/'Price History'!AA103-1),"")</f>
        <v>-0.027685850351118</v>
      </c>
    </row>
    <row r="104" customFormat="false" ht="15" hidden="false" customHeight="true" outlineLevel="0" collapsed="false">
      <c r="A104" s="141" t="n">
        <f aca="false">IF('Price History'!A105="","",'Price History'!A105)</f>
        <v>45898</v>
      </c>
      <c r="B104" s="142" t="n">
        <f aca="false">IFERROR(IF(OR(NOT(ISNUMBER('Price History'!B105)),NOT(ISNUMBER('Price History'!B104)),'Price History'!B104=0),"",'Price History'!B105/'Price History'!B104-1),"")</f>
        <v>-0.0148858018724626</v>
      </c>
      <c r="C104" s="142" t="n">
        <f aca="false">IFERROR(IF(OR(NOT(ISNUMBER('Price History'!C105)),NOT(ISNUMBER('Price History'!C104)),'Price History'!C104=0),"",'Price History'!C105/'Price History'!C104-1),"")</f>
        <v>0.024765478424015</v>
      </c>
      <c r="D104" s="142" t="n">
        <f aca="false">IFERROR(IF(OR(NOT(ISNUMBER('Price History'!D105)),NOT(ISNUMBER('Price History'!D104)),'Price History'!D104=0),"",'Price History'!D105/'Price History'!D104-1),"")</f>
        <v>-0.0162544169611308</v>
      </c>
      <c r="E104" s="142" t="n">
        <f aca="false">IFERROR(IF(OR(NOT(ISNUMBER('Price History'!E105)),NOT(ISNUMBER('Price History'!E104)),'Price History'!E104=0),"",'Price History'!E105/'Price History'!E104-1),"")</f>
        <v>0.0115333127381321</v>
      </c>
      <c r="F104" s="142" t="n">
        <f aca="false">IFERROR(IF(OR(NOT(ISNUMBER('Price History'!F105)),NOT(ISNUMBER('Price History'!F104)),'Price History'!F104=0),"",'Price History'!F105/'Price History'!F104-1),"")</f>
        <v>0.00751379113562867</v>
      </c>
      <c r="G104" s="142" t="n">
        <f aca="false">IFERROR(IF(OR(NOT(ISNUMBER('Price History'!G105)),NOT(ISNUMBER('Price History'!G104)),'Price History'!G104=0),"",'Price History'!G105/'Price History'!G104-1),"")</f>
        <v>0.00196395563770801</v>
      </c>
      <c r="H104" s="142" t="n">
        <f aca="false">IFERROR(IF(OR(NOT(ISNUMBER('Price History'!H105)),NOT(ISNUMBER('Price History'!H104)),'Price History'!H104=0),"",'Price History'!H105/'Price History'!H104-1),"")</f>
        <v>0.0113201123499873</v>
      </c>
      <c r="I104" s="142" t="n">
        <f aca="false">IFERROR(IF(OR(NOT(ISNUMBER('Price History'!I105)),NOT(ISNUMBER('Price History'!I104)),'Price History'!I104=0),"",'Price History'!I105/'Price History'!I104-1),"")</f>
        <v>-0.0214024218529992</v>
      </c>
      <c r="J104" s="142" t="n">
        <f aca="false">IFERROR(IF(OR(NOT(ISNUMBER('Price History'!J105)),NOT(ISNUMBER('Price History'!J104)),'Price History'!J104=0),"",'Price History'!J105/'Price History'!J104-1),"")</f>
        <v>0.0133456904541243</v>
      </c>
      <c r="K104" s="142" t="n">
        <f aca="false">IFERROR(IF(OR(NOT(ISNUMBER('Price History'!K105)),NOT(ISNUMBER('Price History'!K104)),'Price History'!K104=0),"",'Price History'!K105/'Price History'!K104-1),"")</f>
        <v>-0.0127882071311579</v>
      </c>
      <c r="L104" s="142" t="n">
        <f aca="false">IFERROR(IF(OR(NOT(ISNUMBER('Price History'!L105)),NOT(ISNUMBER('Price History'!L104)),'Price History'!L104=0),"",'Price History'!L105/'Price History'!L104-1),"")</f>
        <v>-0.00909407362283532</v>
      </c>
      <c r="M104" s="142" t="n">
        <f aca="false">IFERROR(IF(OR(NOT(ISNUMBER('Price History'!M105)),NOT(ISNUMBER('Price History'!M104)),'Price History'!M104=0),"",'Price History'!M105/'Price History'!M104-1),"")</f>
        <v>0.0125596184419714</v>
      </c>
      <c r="N104" s="142" t="n">
        <f aca="false">IFERROR(IF(OR(NOT(ISNUMBER('Price History'!N105)),NOT(ISNUMBER('Price History'!N104)),'Price History'!N104=0),"",'Price History'!N105/'Price History'!N104-1),"")</f>
        <v>-0.0103765944523183</v>
      </c>
      <c r="O104" s="142" t="n">
        <f aca="false">IFERROR(IF(OR(NOT(ISNUMBER('Price History'!O105)),NOT(ISNUMBER('Price History'!O104)),'Price History'!O104=0),"",'Price History'!O105/'Price History'!O104-1),"")</f>
        <v>0.00842927631578938</v>
      </c>
      <c r="P104" s="142" t="n">
        <f aca="false">IFERROR(IF(OR(NOT(ISNUMBER('Price History'!P105)),NOT(ISNUMBER('Price History'!P104)),'Price History'!P104=0),"",'Price History'!P105/'Price History'!P104-1),"")</f>
        <v>-0.00220458553791891</v>
      </c>
      <c r="Q104" s="142" t="n">
        <f aca="false">IFERROR(IF(OR(NOT(ISNUMBER('Price History'!Q105)),NOT(ISNUMBER('Price History'!Q104)),'Price History'!Q104=0),"",'Price History'!Q105/'Price History'!Q104-1),"")</f>
        <v>0.000157059839798857</v>
      </c>
      <c r="R104" s="142" t="n">
        <f aca="false">IFERROR(IF(OR(NOT(ISNUMBER('Price History'!R105)),NOT(ISNUMBER('Price History'!R104)),'Price History'!R104=0),"",'Price History'!R105/'Price History'!R104-1),"")</f>
        <v>0.000205086136177313</v>
      </c>
      <c r="S104" s="142" t="n">
        <f aca="false">IFERROR(IF(OR(NOT(ISNUMBER('Price History'!S105)),NOT(ISNUMBER('Price History'!S104)),'Price History'!S104=0),"",'Price History'!S105/'Price History'!S104-1),"")</f>
        <v>-0.000260078023406996</v>
      </c>
      <c r="T104" s="142" t="n">
        <f aca="false">IFERROR(IF(OR(NOT(ISNUMBER('Price History'!T105)),NOT(ISNUMBER('Price History'!T104)),'Price History'!T104=0),"",'Price History'!T105/'Price History'!T104-1),"")</f>
        <v>0.00906344410876159</v>
      </c>
      <c r="U104" s="142" t="n">
        <f aca="false">IFERROR(IF(OR(NOT(ISNUMBER('Price History'!U105)),NOT(ISNUMBER('Price History'!U104)),'Price History'!U104=0),"",'Price History'!U105/'Price History'!U104-1),"")</f>
        <v>-0.00112149532710282</v>
      </c>
      <c r="V104" s="143" t="n">
        <f aca="false">IFERROR(IF(OR(NOT(ISNUMBER('Price History'!V105)),NOT(ISNUMBER('Price History'!V104)),'Price History'!V104=0),"",'Price History'!V105/'Price History'!V104-1),"")</f>
        <v>0.00498185797385253</v>
      </c>
      <c r="W104" s="144" t="n">
        <f aca="false">IFERROR('Price History'!B3+(INDEX('Price History'!B:B,MATCH(9.99E+307,'Returns (Calc)'!$A:$A)+1)-'Price History'!B3)*(ROW()-3)/(MATCH(9.99E+307,'Returns (Calc)'!$A:$A)-3),"")</f>
        <v>342.743164556962</v>
      </c>
      <c r="X104" s="144" t="n">
        <f aca="false">IFERROR('Price History'!C3+(INDEX('Price History'!C:C,MATCH(9.99E+307,'Returns (Calc)'!$A:$A)+1)-'Price History'!C3)*(ROW()-3)/(MATCH(9.99E+307,'Returns (Calc)'!$A:$A)-3),"")</f>
        <v>149.206392405063</v>
      </c>
      <c r="Y104" s="144" t="n">
        <f aca="false">IFERROR('Price History'!D3+(INDEX('Price History'!D:D,MATCH(9.99E+307,'Returns (Calc)'!$A:$A)+1)-'Price History'!D3)*(ROW()-3)/(MATCH(9.99E+307,'Returns (Calc)'!$A:$A)-3),"")</f>
        <v>1403.62582278481</v>
      </c>
      <c r="Z104" s="144" t="n">
        <f aca="false">IFERROR('Price History'!E3+(INDEX('Price History'!E:E,MATCH(9.99E+307,'Returns (Calc)'!$A:$A)+1)-'Price History'!E3)*(ROW()-3)/(MATCH(9.99E+307,'Returns (Calc)'!$A:$A)-3),"")</f>
        <v>256.602151898734</v>
      </c>
      <c r="AA104" s="144" t="n">
        <f aca="false">IFERROR('Price History'!F3+(INDEX('Price History'!F:F,MATCH(9.99E+307,'Returns (Calc)'!$A:$A)+1)-'Price History'!F3)*(ROW()-3)/(MATCH(9.99E+307,'Returns (Calc)'!$A:$A)-3),"")</f>
        <v>187.541518987342</v>
      </c>
      <c r="AB104" s="144" t="n">
        <f aca="false">IFERROR('Price History'!G3+(INDEX('Price History'!G:G,MATCH(9.99E+307,'Returns (Calc)'!$A:$A)+1)-'Price History'!G3)*(ROW()-3)/(MATCH(9.99E+307,'Returns (Calc)'!$A:$A)-3),"")</f>
        <v>148.252151898734</v>
      </c>
      <c r="AC104" s="144" t="n">
        <f aca="false">IFERROR('Price History'!H3+(INDEX('Price History'!H:H,MATCH(9.99E+307,'Returns (Calc)'!$A:$A)+1)-'Price History'!H3)*(ROW()-3)/(MATCH(9.99E+307,'Returns (Calc)'!$A:$A)-3),"")</f>
        <v>712.045316455696</v>
      </c>
      <c r="AD104" s="144" t="n">
        <f aca="false">IFERROR('Price History'!I3+(INDEX('Price History'!I:I,MATCH(9.99E+307,'Returns (Calc)'!$A:$A)+1)-'Price History'!I3)*(ROW()-3)/(MATCH(9.99E+307,'Returns (Calc)'!$A:$A)-3),"")</f>
        <v>165.340759493671</v>
      </c>
      <c r="AE104" s="144" t="n">
        <f aca="false">IFERROR('Price History'!J3+(INDEX('Price History'!J:J,MATCH(9.99E+307,'Returns (Calc)'!$A:$A)+1)-'Price History'!J3)*(ROW()-3)/(MATCH(9.99E+307,'Returns (Calc)'!$A:$A)-3),"")</f>
        <v>122.751835443038</v>
      </c>
      <c r="AF104" s="144" t="n">
        <f aca="false">IFERROR('Price History'!K3+(INDEX('Price History'!K:K,MATCH(9.99E+307,'Returns (Calc)'!$A:$A)+1)-'Price History'!K3)*(ROW()-3)/(MATCH(9.99E+307,'Returns (Calc)'!$A:$A)-3),"")</f>
        <v>126.187088607595</v>
      </c>
      <c r="AG104" s="144" t="n">
        <f aca="false">IFERROR('Price History'!L3+(INDEX('Price History'!L:L,MATCH(9.99E+307,'Returns (Calc)'!$A:$A)+1)-'Price History'!L3)*(ROW()-3)/(MATCH(9.99E+307,'Returns (Calc)'!$A:$A)-3),"")</f>
        <v>333.155253164557</v>
      </c>
      <c r="AH104" s="144" t="n">
        <f aca="false">IFERROR('Price History'!M3+(INDEX('Price History'!M:M,MATCH(9.99E+307,'Returns (Calc)'!$A:$A)+1)-'Price History'!M3)*(ROW()-3)/(MATCH(9.99E+307,'Returns (Calc)'!$A:$A)-3),"")</f>
        <v>174.919746835443</v>
      </c>
      <c r="AI104" s="144" t="n">
        <f aca="false">IFERROR('Price History'!N3+(INDEX('Price History'!N:N,MATCH(9.99E+307,'Returns (Calc)'!$A:$A)+1)-'Price History'!N3)*(ROW()-3)/(MATCH(9.99E+307,'Returns (Calc)'!$A:$A)-3),"")</f>
        <v>448.512848101266</v>
      </c>
      <c r="AJ104" s="144" t="n">
        <f aca="false">IFERROR('Price History'!O3+(INDEX('Price History'!O:O,MATCH(9.99E+307,'Returns (Calc)'!$A:$A)+1)-'Price History'!O3)*(ROW()-3)/(MATCH(9.99E+307,'Returns (Calc)'!$A:$A)-3),"")</f>
        <v>103.896835443038</v>
      </c>
      <c r="AK104" s="144" t="n">
        <f aca="false">IFERROR('Price History'!Q3+(INDEX('Price History'!Q:Q,MATCH(9.99E+307,'Returns (Calc)'!$A:$A)+1)-'Price History'!Q3)*(ROW()-3)/(MATCH(9.99E+307,'Returns (Calc)'!$A:$A)-3),"")</f>
        <v>44.3760759493671</v>
      </c>
      <c r="AL104" s="144" t="n">
        <f aca="false">IFERROR('Price History'!R3+(INDEX('Price History'!R:R,MATCH(9.99E+307,'Returns (Calc)'!$A:$A)+1)-'Price History'!R3)*(ROW()-3)/(MATCH(9.99E+307,'Returns (Calc)'!$A:$A)-3),"")</f>
        <v>51.4582278481013</v>
      </c>
      <c r="AM104" s="144" t="n">
        <f aca="false">IFERROR('Price History'!S3+(INDEX('Price History'!S:S,MATCH(9.99E+307,'Returns (Calc)'!$A:$A)+1)-'Price History'!S3)*(ROW()-3)/(MATCH(9.99E+307,'Returns (Calc)'!$A:$A)-3),"")</f>
        <v>118.741392405063</v>
      </c>
      <c r="AN104" s="144" t="n">
        <f aca="false">IFERROR('Price History'!T3+(INDEX('Price History'!T:T,MATCH(9.99E+307,'Returns (Calc)'!$A:$A)+1)-'Price History'!T3)*(ROW()-3)/(MATCH(9.99E+307,'Returns (Calc)'!$A:$A)-3),"")</f>
        <v>42.2310126582279</v>
      </c>
      <c r="AO104" s="145" t="n">
        <f aca="false">IFERROR('Price History'!V3+(INDEX('Price History'!V:V,MATCH(9.99E+307,'Returns (Calc)'!$A:$A)+1)-'Price History'!V3)*(ROW()-3)/(MATCH(9.99E+307,'Returns (Calc)'!$A:$A)-3),"")</f>
        <v>315.554240506329</v>
      </c>
      <c r="AP104" s="143" t="n">
        <f aca="false">IFERROR(IF(OR(NOT(ISNUMBER('Price History'!W105)),NOT(ISNUMBER('Price History'!W104)),'Price History'!W104=0),"",'Price History'!W105/'Price History'!W104-1),"")</f>
        <v>0.000148115233651769</v>
      </c>
      <c r="AQ104" s="143" t="str">
        <f aca="false">IFERROR(IF(OR(NOT(ISNUMBER('Price History'!X105)),NOT(ISNUMBER('Price History'!X104)),'Price History'!X104=0),"",'Price History'!X105/'Price History'!X104-1),"")</f>
        <v/>
      </c>
      <c r="AR104" s="143" t="n">
        <f aca="false">IFERROR(IF(OR(NOT(ISNUMBER('Price History'!Y105)),NOT(ISNUMBER('Price History'!Y104)),'Price History'!Y104=0),"",'Price History'!Y105/'Price History'!Y104-1),"")</f>
        <v>-0.00382409177820264</v>
      </c>
      <c r="AS104" s="143" t="n">
        <f aca="false">IFERROR(IF(OR(NOT(ISNUMBER('Price History'!Z105)),NOT(ISNUMBER('Price History'!Z104)),'Price History'!Z104=0),"",'Price History'!Z105/'Price History'!Z104-1),"")</f>
        <v>0.0325439324232597</v>
      </c>
      <c r="AT104" s="143" t="n">
        <f aca="false">IFERROR(IF(OR(NOT(ISNUMBER('Price History'!AA105)),NOT(ISNUMBER('Price History'!AA104)),'Price History'!AA104=0),"",'Price History'!AA105/'Price History'!AA104-1),"")</f>
        <v>0.00298854391499259</v>
      </c>
    </row>
    <row r="105" customFormat="false" ht="15" hidden="false" customHeight="true" outlineLevel="0" collapsed="false">
      <c r="A105" s="141" t="n">
        <f aca="false">IF('Price History'!A106="","",'Price History'!A106)</f>
        <v>45905</v>
      </c>
      <c r="B105" s="142" t="n">
        <f aca="false">IFERROR(IF(OR(NOT(ISNUMBER('Price History'!B106)),NOT(ISNUMBER('Price History'!B105)),'Price History'!B105=0),"",'Price History'!B106/'Price History'!B105-1),"")</f>
        <v>-0.0216708718811325</v>
      </c>
      <c r="C105" s="142" t="n">
        <f aca="false">IFERROR(IF(OR(NOT(ISNUMBER('Price History'!C106)),NOT(ISNUMBER('Price History'!C105)),'Price History'!C105=0),"",'Price History'!C106/'Price History'!C105-1),"")</f>
        <v>0.0461369461735626</v>
      </c>
      <c r="D105" s="142" t="n">
        <f aca="false">IFERROR(IF(OR(NOT(ISNUMBER('Price History'!D106)),NOT(ISNUMBER('Price History'!D105)),'Price History'!D105=0),"",'Price History'!D106/'Price History'!D105-1),"")</f>
        <v>0.0526187378009109</v>
      </c>
      <c r="E105" s="142" t="n">
        <f aca="false">IFERROR(IF(OR(NOT(ISNUMBER('Price History'!E106)),NOT(ISNUMBER('Price History'!E105)),'Price History'!E105=0),"",'Price History'!E106/'Price History'!E105-1),"")</f>
        <v>0.126098612100852</v>
      </c>
      <c r="F105" s="142" t="n">
        <f aca="false">IFERROR(IF(OR(NOT(ISNUMBER('Price History'!F106)),NOT(ISNUMBER('Price History'!F105)),'Price History'!F105=0),"",'Price History'!F106/'Price History'!F105-1),"")</f>
        <v>-0.0143490984612481</v>
      </c>
      <c r="G105" s="142" t="n">
        <f aca="false">IFERROR(IF(OR(NOT(ISNUMBER('Price History'!G106)),NOT(ISNUMBER('Price History'!G105)),'Price History'!G105=0),"",'Price History'!G106/'Price History'!G105-1),"")</f>
        <v>0.0379338175948345</v>
      </c>
      <c r="H105" s="142" t="n">
        <f aca="false">IFERROR(IF(OR(NOT(ISNUMBER('Price History'!H106)),NOT(ISNUMBER('Price History'!H105)),'Price History'!H105=0),"",'Price History'!H106/'Price History'!H105-1),"")</f>
        <v>0.103854569937721</v>
      </c>
      <c r="I105" s="142" t="n">
        <f aca="false">IFERROR(IF(OR(NOT(ISNUMBER('Price History'!I106)),NOT(ISNUMBER('Price History'!I105)),'Price History'!I105=0),"",'Price History'!I106/'Price History'!I105-1),"")</f>
        <v>-0.041093525179856</v>
      </c>
      <c r="J105" s="142" t="n">
        <f aca="false">IFERROR(IF(OR(NOT(ISNUMBER('Price History'!J106)),NOT(ISNUMBER('Price History'!J105)),'Price History'!J105=0),"",'Price History'!J106/'Price History'!J105-1),"")</f>
        <v>-0.00109749405524062</v>
      </c>
      <c r="K105" s="142" t="n">
        <f aca="false">IFERROR(IF(OR(NOT(ISNUMBER('Price History'!K106)),NOT(ISNUMBER('Price History'!K105)),'Price History'!K105=0),"",'Price History'!K106/'Price History'!K105-1),"")</f>
        <v>-0.0229723693446493</v>
      </c>
      <c r="L105" s="142" t="n">
        <f aca="false">IFERROR(IF(OR(NOT(ISNUMBER('Price History'!L106)),NOT(ISNUMBER('Price History'!L105)),'Price History'!L105=0),"",'Price History'!L106/'Price History'!L105-1),"")</f>
        <v>0.0543187107539631</v>
      </c>
      <c r="M105" s="142" t="n">
        <f aca="false">IFERROR(IF(OR(NOT(ISNUMBER('Price History'!M106)),NOT(ISNUMBER('Price History'!M105)),'Price History'!M105=0),"",'Price History'!M106/'Price History'!M105-1),"")</f>
        <v>-0.0278693672476056</v>
      </c>
      <c r="N105" s="142" t="n">
        <f aca="false">IFERROR(IF(OR(NOT(ISNUMBER('Price History'!N106)),NOT(ISNUMBER('Price History'!N105)),'Price History'!N105=0),"",'Price History'!N106/'Price History'!N105-1),"")</f>
        <v>0.0130428111094063</v>
      </c>
      <c r="O105" s="142" t="n">
        <f aca="false">IFERROR(IF(OR(NOT(ISNUMBER('Price History'!O106)),NOT(ISNUMBER('Price History'!O105)),'Price History'!O105=0),"",'Price History'!O106/'Price History'!O105-1),"")</f>
        <v>0.0109072375127421</v>
      </c>
      <c r="P105" s="142" t="n">
        <f aca="false">IFERROR(IF(OR(NOT(ISNUMBER('Price History'!P106)),NOT(ISNUMBER('Price History'!P105)),'Price History'!P105=0),"",'Price History'!P106/'Price History'!P105-1),"")</f>
        <v>-0.000883782589483073</v>
      </c>
      <c r="Q105" s="142" t="n">
        <f aca="false">IFERROR(IF(OR(NOT(ISNUMBER('Price History'!Q106)),NOT(ISNUMBER('Price History'!Q105)),'Price History'!Q105=0),"",'Price History'!Q106/'Price History'!Q105-1),"")</f>
        <v>0.00219849246231152</v>
      </c>
      <c r="R105" s="142" t="n">
        <f aca="false">IFERROR(IF(OR(NOT(ISNUMBER('Price History'!R106)),NOT(ISNUMBER('Price History'!R105)),'Price History'!R105=0),"",'Price History'!R106/'Price History'!R105-1),"")</f>
        <v>0.00984211605495178</v>
      </c>
      <c r="S105" s="142" t="n">
        <f aca="false">IFERROR(IF(OR(NOT(ISNUMBER('Price History'!S106)),NOT(ISNUMBER('Price History'!S105)),'Price History'!S105=0),"",'Price History'!S106/'Price History'!S105-1),"")</f>
        <v>0.004942767950052</v>
      </c>
      <c r="T105" s="142" t="n">
        <f aca="false">IFERROR(IF(OR(NOT(ISNUMBER('Price History'!T106)),NOT(ISNUMBER('Price History'!T105)),'Price History'!T105=0),"",'Price History'!T106/'Price History'!T105-1),"")</f>
        <v>0.00762112139357662</v>
      </c>
      <c r="U105" s="142" t="n">
        <f aca="false">IFERROR(IF(OR(NOT(ISNUMBER('Price History'!U106)),NOT(ISNUMBER('Price History'!U105)),'Price History'!U105=0),"",'Price History'!U106/'Price History'!U105-1),"")</f>
        <v>-0.0101047904191617</v>
      </c>
      <c r="V105" s="143" t="n">
        <f aca="false">IFERROR(IF(OR(NOT(ISNUMBER('Price History'!V106)),NOT(ISNUMBER('Price History'!V105)),'Price History'!V105=0),"",'Price History'!V106/'Price History'!V105-1),"")</f>
        <v>-0.0243273446230551</v>
      </c>
      <c r="W105" s="144" t="n">
        <f aca="false">IFERROR('Price History'!B3+(INDEX('Price History'!B:B,MATCH(9.99E+307,'Returns (Calc)'!$A:$A)+1)-'Price History'!B3)*(ROW()-3)/(MATCH(9.99E+307,'Returns (Calc)'!$A:$A)-3),"")</f>
        <v>340.900126582279</v>
      </c>
      <c r="X105" s="144" t="n">
        <f aca="false">IFERROR('Price History'!C3+(INDEX('Price History'!C:C,MATCH(9.99E+307,'Returns (Calc)'!$A:$A)+1)-'Price History'!C3)*(ROW()-3)/(MATCH(9.99E+307,'Returns (Calc)'!$A:$A)-3),"")</f>
        <v>150.226455696203</v>
      </c>
      <c r="Y105" s="144" t="n">
        <f aca="false">IFERROR('Price History'!D3+(INDEX('Price History'!D:D,MATCH(9.99E+307,'Returns (Calc)'!$A:$A)+1)-'Price History'!D3)*(ROW()-3)/(MATCH(9.99E+307,'Returns (Calc)'!$A:$A)-3),"")</f>
        <v>1411.76063291139</v>
      </c>
      <c r="Z105" s="144" t="n">
        <f aca="false">IFERROR('Price History'!E3+(INDEX('Price History'!E:E,MATCH(9.99E+307,'Returns (Calc)'!$A:$A)+1)-'Price History'!E3)*(ROW()-3)/(MATCH(9.99E+307,'Returns (Calc)'!$A:$A)-3),"")</f>
        <v>258.330886075949</v>
      </c>
      <c r="AA105" s="144" t="n">
        <f aca="false">IFERROR('Price History'!F3+(INDEX('Price History'!F:F,MATCH(9.99E+307,'Returns (Calc)'!$A:$A)+1)-'Price History'!F3)*(ROW()-3)/(MATCH(9.99E+307,'Returns (Calc)'!$A:$A)-3),"")</f>
        <v>188.988860759494</v>
      </c>
      <c r="AB105" s="144" t="n">
        <f aca="false">IFERROR('Price History'!G3+(INDEX('Price History'!G:G,MATCH(9.99E+307,'Returns (Calc)'!$A:$A)+1)-'Price History'!G3)*(ROW()-3)/(MATCH(9.99E+307,'Returns (Calc)'!$A:$A)-3),"")</f>
        <v>149.280886075949</v>
      </c>
      <c r="AC105" s="144" t="n">
        <f aca="false">IFERROR('Price History'!H3+(INDEX('Price History'!H:H,MATCH(9.99E+307,'Returns (Calc)'!$A:$A)+1)-'Price History'!H3)*(ROW()-3)/(MATCH(9.99E+307,'Returns (Calc)'!$A:$A)-3),"")</f>
        <v>718.411012658228</v>
      </c>
      <c r="AD105" s="144" t="n">
        <f aca="false">IFERROR('Price History'!I3+(INDEX('Price History'!I:I,MATCH(9.99E+307,'Returns (Calc)'!$A:$A)+1)-'Price History'!I3)*(ROW()-3)/(MATCH(9.99E+307,'Returns (Calc)'!$A:$A)-3),"")</f>
        <v>166.544430379747</v>
      </c>
      <c r="AE105" s="144" t="n">
        <f aca="false">IFERROR('Price History'!J3+(INDEX('Price History'!J:J,MATCH(9.99E+307,'Returns (Calc)'!$A:$A)+1)-'Price History'!J3)*(ROW()-3)/(MATCH(9.99E+307,'Returns (Calc)'!$A:$A)-3),"")</f>
        <v>122.859873417722</v>
      </c>
      <c r="AF105" s="144" t="n">
        <f aca="false">IFERROR('Price History'!K3+(INDEX('Price History'!K:K,MATCH(9.99E+307,'Returns (Calc)'!$A:$A)+1)-'Price History'!K3)*(ROW()-3)/(MATCH(9.99E+307,'Returns (Calc)'!$A:$A)-3),"")</f>
        <v>127.284683544304</v>
      </c>
      <c r="AG105" s="144" t="n">
        <f aca="false">IFERROR('Price History'!L3+(INDEX('Price History'!L:L,MATCH(9.99E+307,'Returns (Calc)'!$A:$A)+1)-'Price History'!L3)*(ROW()-3)/(MATCH(9.99E+307,'Returns (Calc)'!$A:$A)-3),"")</f>
        <v>335.604810126582</v>
      </c>
      <c r="AH105" s="144" t="n">
        <f aca="false">IFERROR('Price History'!M3+(INDEX('Price History'!M:M,MATCH(9.99E+307,'Returns (Calc)'!$A:$A)+1)-'Price History'!M3)*(ROW()-3)/(MATCH(9.99E+307,'Returns (Calc)'!$A:$A)-3),"")</f>
        <v>176.275189873418</v>
      </c>
      <c r="AI105" s="144" t="n">
        <f aca="false">IFERROR('Price History'!N3+(INDEX('Price History'!N:N,MATCH(9.99E+307,'Returns (Calc)'!$A:$A)+1)-'Price History'!N3)*(ROW()-3)/(MATCH(9.99E+307,'Returns (Calc)'!$A:$A)-3),"")</f>
        <v>449.499113924051</v>
      </c>
      <c r="AJ105" s="144" t="n">
        <f aca="false">IFERROR('Price History'!O3+(INDEX('Price History'!O:O,MATCH(9.99E+307,'Returns (Calc)'!$A:$A)+1)-'Price History'!O3)*(ROW()-3)/(MATCH(9.99E+307,'Returns (Calc)'!$A:$A)-3),"")</f>
        <v>104.179873417722</v>
      </c>
      <c r="AK105" s="144" t="n">
        <f aca="false">IFERROR('Price History'!Q3+(INDEX('Price History'!Q:Q,MATCH(9.99E+307,'Returns (Calc)'!$A:$A)+1)-'Price History'!Q3)*(ROW()-3)/(MATCH(9.99E+307,'Returns (Calc)'!$A:$A)-3),"")</f>
        <v>44.8154430379747</v>
      </c>
      <c r="AL105" s="144" t="n">
        <f aca="false">IFERROR('Price History'!R3+(INDEX('Price History'!R:R,MATCH(9.99E+307,'Returns (Calc)'!$A:$A)+1)-'Price History'!R3)*(ROW()-3)/(MATCH(9.99E+307,'Returns (Calc)'!$A:$A)-3),"")</f>
        <v>51.6263291139241</v>
      </c>
      <c r="AM105" s="144" t="n">
        <f aca="false">IFERROR('Price History'!S3+(INDEX('Price History'!S:S,MATCH(9.99E+307,'Returns (Calc)'!$A:$A)+1)-'Price History'!S3)*(ROW()-3)/(MATCH(9.99E+307,'Returns (Calc)'!$A:$A)-3),"")</f>
        <v>119.346455696203</v>
      </c>
      <c r="AN105" s="144" t="n">
        <f aca="false">IFERROR('Price History'!T3+(INDEX('Price History'!T:T,MATCH(9.99E+307,'Returns (Calc)'!$A:$A)+1)-'Price History'!T3)*(ROW()-3)/(MATCH(9.99E+307,'Returns (Calc)'!$A:$A)-3),"")</f>
        <v>42.3992405063291</v>
      </c>
      <c r="AO105" s="145" t="n">
        <f aca="false">IFERROR('Price History'!V3+(INDEX('Price History'!V:V,MATCH(9.99E+307,'Returns (Calc)'!$A:$A)+1)-'Price History'!V3)*(ROW()-3)/(MATCH(9.99E+307,'Returns (Calc)'!$A:$A)-3),"")</f>
        <v>316.345569620253</v>
      </c>
      <c r="AP105" s="143" t="n">
        <f aca="false">IFERROR(IF(OR(NOT(ISNUMBER('Price History'!W106)),NOT(ISNUMBER('Price History'!W105)),'Price History'!W105=0),"",'Price History'!W106/'Price History'!W105-1),"")</f>
        <v>0.00259163272861906</v>
      </c>
      <c r="AQ105" s="143" t="str">
        <f aca="false">IFERROR(IF(OR(NOT(ISNUMBER('Price History'!X106)),NOT(ISNUMBER('Price History'!X105)),'Price History'!X105=0),"",'Price History'!X106/'Price History'!X105-1),"")</f>
        <v/>
      </c>
      <c r="AR105" s="143" t="n">
        <f aca="false">IFERROR(IF(OR(NOT(ISNUMBER('Price History'!Y106)),NOT(ISNUMBER('Price History'!Y105)),'Price History'!Y105=0),"",'Price History'!Y106/'Price History'!Y105-1),"")</f>
        <v>0</v>
      </c>
      <c r="AS105" s="143" t="n">
        <f aca="false">IFERROR(IF(OR(NOT(ISNUMBER('Price History'!Z106)),NOT(ISNUMBER('Price History'!Z105)),'Price History'!Z105=0),"",'Price History'!Z106/'Price History'!Z105-1),"")</f>
        <v>0.0146451919214052</v>
      </c>
      <c r="AT105" s="143" t="n">
        <f aca="false">IFERROR(IF(OR(NOT(ISNUMBER('Price History'!AA106)),NOT(ISNUMBER('Price History'!AA105)),'Price History'!AA105=0),"",'Price History'!AA106/'Price History'!AA105-1),"")</f>
        <v>0.0294653203112067</v>
      </c>
    </row>
    <row r="106" customFormat="false" ht="15" hidden="false" customHeight="true" outlineLevel="0" collapsed="false">
      <c r="A106" s="141" t="n">
        <f aca="false">IF('Price History'!A107="","",'Price History'!A107)</f>
        <v>45912</v>
      </c>
      <c r="B106" s="142" t="n">
        <f aca="false">IFERROR(IF(OR(NOT(ISNUMBER('Price History'!B107)),NOT(ISNUMBER('Price History'!B106)),'Price History'!B106=0),"",'Price History'!B107/'Price History'!B106-1),"")</f>
        <v>0.00111757457661121</v>
      </c>
      <c r="C106" s="142" t="n">
        <f aca="false">IFERROR(IF(OR(NOT(ISNUMBER('Price History'!C107)),NOT(ISNUMBER('Price History'!C106)),'Price History'!C106=0),"",'Price History'!C107/'Price History'!C106-1),"")</f>
        <v>-0.0242212110605531</v>
      </c>
      <c r="D106" s="142" t="n">
        <f aca="false">IFERROR(IF(OR(NOT(ISNUMBER('Price History'!D107)),NOT(ISNUMBER('Price History'!D106)),'Price History'!D106=0),"",'Price History'!D107/'Price History'!D106-1),"")</f>
        <v>0.0411548069741687</v>
      </c>
      <c r="E106" s="142" t="n">
        <f aca="false">IFERROR(IF(OR(NOT(ISNUMBER('Price History'!E107)),NOT(ISNUMBER('Price History'!E106)),'Price History'!E106=0),"",'Price History'!E107/'Price History'!E106-1),"")</f>
        <v>0.0745818894078649</v>
      </c>
      <c r="F106" s="142" t="n">
        <f aca="false">IFERROR(IF(OR(NOT(ISNUMBER('Price History'!F107)),NOT(ISNUMBER('Price History'!F106)),'Price History'!F106=0),"",'Price History'!F107/'Price History'!F106-1),"")</f>
        <v>0.0442486351882003</v>
      </c>
      <c r="G106" s="142" t="n">
        <f aca="false">IFERROR(IF(OR(NOT(ISNUMBER('Price History'!G107)),NOT(ISNUMBER('Price History'!G106)),'Price History'!G106=0),"",'Price History'!G107/'Price History'!G106-1),"")</f>
        <v>0.0650966451899577</v>
      </c>
      <c r="H106" s="142" t="n">
        <f aca="false">IFERROR(IF(OR(NOT(ISNUMBER('Price History'!H107)),NOT(ISNUMBER('Price History'!H106)),'Price History'!H106=0),"",'Price History'!H107/'Price History'!H106-1),"")</f>
        <v>0.196858798414151</v>
      </c>
      <c r="I106" s="142" t="n">
        <f aca="false">IFERROR(IF(OR(NOT(ISNUMBER('Price History'!I107)),NOT(ISNUMBER('Price History'!I106)),'Price History'!I106=0),"",'Price History'!I107/'Price History'!I106-1),"")</f>
        <v>0.0647620190864893</v>
      </c>
      <c r="J106" s="142" t="n">
        <f aca="false">IFERROR(IF(OR(NOT(ISNUMBER('Price History'!J107)),NOT(ISNUMBER('Price History'!J106)),'Price History'!J106=0),"",'Price History'!J107/'Price History'!J106-1),"")</f>
        <v>0.0149240065921992</v>
      </c>
      <c r="K106" s="142" t="n">
        <f aca="false">IFERROR(IF(OR(NOT(ISNUMBER('Price History'!K107)),NOT(ISNUMBER('Price History'!K106)),'Price History'!K106=0),"",'Price History'!K107/'Price History'!K106-1),"")</f>
        <v>0.119652537391418</v>
      </c>
      <c r="L106" s="142" t="n">
        <f aca="false">IFERROR(IF(OR(NOT(ISNUMBER('Price History'!L107)),NOT(ISNUMBER('Price History'!L106)),'Price History'!L106=0),"",'Price History'!L107/'Price History'!L106-1),"")</f>
        <v>0.0654310703873386</v>
      </c>
      <c r="M106" s="142" t="n">
        <f aca="false">IFERROR(IF(OR(NOT(ISNUMBER('Price History'!M107)),NOT(ISNUMBER('Price History'!M106)),'Price History'!M106=0),"",'Price History'!M107/'Price History'!M106-1),"")</f>
        <v>0.0874586126140677</v>
      </c>
      <c r="N106" s="142" t="n">
        <f aca="false">IFERROR(IF(OR(NOT(ISNUMBER('Price History'!N107)),NOT(ISNUMBER('Price History'!N106)),'Price History'!N106=0),"",'Price History'!N107/'Price History'!N106-1),"")</f>
        <v>-0.00401393517116033</v>
      </c>
      <c r="O106" s="142" t="n">
        <f aca="false">IFERROR(IF(OR(NOT(ISNUMBER('Price History'!O107)),NOT(ISNUMBER('Price History'!O106)),'Price History'!O106=0),"",'Price History'!O107/'Price History'!O106-1),"")</f>
        <v>-0.00796611878592324</v>
      </c>
      <c r="P106" s="142" t="n">
        <f aca="false">IFERROR(IF(OR(NOT(ISNUMBER('Price History'!P107)),NOT(ISNUMBER('Price History'!P106)),'Price History'!P106=0),"",'Price History'!P107/'Price History'!P106-1),"")</f>
        <v>0.0013268465280849</v>
      </c>
      <c r="Q106" s="142" t="n">
        <f aca="false">IFERROR(IF(OR(NOT(ISNUMBER('Price History'!Q107)),NOT(ISNUMBER('Price History'!Q106)),'Price History'!Q106=0),"",'Price History'!Q107/'Price History'!Q106-1),"")</f>
        <v>0.00846129739893442</v>
      </c>
      <c r="R106" s="142" t="n">
        <f aca="false">IFERROR(IF(OR(NOT(ISNUMBER('Price History'!R107)),NOT(ISNUMBER('Price History'!R106)),'Price History'!R106=0),"",'Price History'!R107/'Price History'!R106-1),"")</f>
        <v>0.0136040609137056</v>
      </c>
      <c r="S106" s="142" t="n">
        <f aca="false">IFERROR(IF(OR(NOT(ISNUMBER('Price History'!S107)),NOT(ISNUMBER('Price History'!S106)),'Price History'!S106=0),"",'Price History'!S107/'Price History'!S106-1),"")</f>
        <v>0.029251876779705</v>
      </c>
      <c r="T106" s="142" t="n">
        <f aca="false">IFERROR(IF(OR(NOT(ISNUMBER('Price History'!T107)),NOT(ISNUMBER('Price History'!T106)),'Price History'!T106=0),"",'Price History'!T107/'Price History'!T106-1),"")</f>
        <v>0.000810372771474777</v>
      </c>
      <c r="U106" s="142" t="n">
        <f aca="false">IFERROR(IF(OR(NOT(ISNUMBER('Price History'!U107)),NOT(ISNUMBER('Price History'!U106)),'Price History'!U106=0),"",'Price History'!U107/'Price History'!U106-1),"")</f>
        <v>-0.00567107750472584</v>
      </c>
      <c r="V106" s="143" t="n">
        <f aca="false">IFERROR(IF(OR(NOT(ISNUMBER('Price History'!V107)),NOT(ISNUMBER('Price History'!V106)),'Price History'!V106=0),"",'Price History'!V107/'Price History'!V106-1),"")</f>
        <v>-0.0110425844346549</v>
      </c>
      <c r="W106" s="144" t="n">
        <f aca="false">IFERROR('Price History'!B3+(INDEX('Price History'!B:B,MATCH(9.99E+307,'Returns (Calc)'!$A:$A)+1)-'Price History'!B3)*(ROW()-3)/(MATCH(9.99E+307,'Returns (Calc)'!$A:$A)-3),"")</f>
        <v>339.057088607595</v>
      </c>
      <c r="X106" s="144" t="n">
        <f aca="false">IFERROR('Price History'!C3+(INDEX('Price History'!C:C,MATCH(9.99E+307,'Returns (Calc)'!$A:$A)+1)-'Price History'!C3)*(ROW()-3)/(MATCH(9.99E+307,'Returns (Calc)'!$A:$A)-3),"")</f>
        <v>151.246518987342</v>
      </c>
      <c r="Y106" s="144" t="n">
        <f aca="false">IFERROR('Price History'!D3+(INDEX('Price History'!D:D,MATCH(9.99E+307,'Returns (Calc)'!$A:$A)+1)-'Price History'!D3)*(ROW()-3)/(MATCH(9.99E+307,'Returns (Calc)'!$A:$A)-3),"")</f>
        <v>1419.89544303797</v>
      </c>
      <c r="Z106" s="144" t="n">
        <f aca="false">IFERROR('Price History'!E3+(INDEX('Price History'!E:E,MATCH(9.99E+307,'Returns (Calc)'!$A:$A)+1)-'Price History'!E3)*(ROW()-3)/(MATCH(9.99E+307,'Returns (Calc)'!$A:$A)-3),"")</f>
        <v>260.059620253165</v>
      </c>
      <c r="AA106" s="144" t="n">
        <f aca="false">IFERROR('Price History'!F3+(INDEX('Price History'!F:F,MATCH(9.99E+307,'Returns (Calc)'!$A:$A)+1)-'Price History'!F3)*(ROW()-3)/(MATCH(9.99E+307,'Returns (Calc)'!$A:$A)-3),"")</f>
        <v>190.436202531646</v>
      </c>
      <c r="AB106" s="144" t="n">
        <f aca="false">IFERROR('Price History'!G3+(INDEX('Price History'!G:G,MATCH(9.99E+307,'Returns (Calc)'!$A:$A)+1)-'Price History'!G3)*(ROW()-3)/(MATCH(9.99E+307,'Returns (Calc)'!$A:$A)-3),"")</f>
        <v>150.309620253165</v>
      </c>
      <c r="AC106" s="144" t="n">
        <f aca="false">IFERROR('Price History'!H3+(INDEX('Price History'!H:H,MATCH(9.99E+307,'Returns (Calc)'!$A:$A)+1)-'Price History'!H3)*(ROW()-3)/(MATCH(9.99E+307,'Returns (Calc)'!$A:$A)-3),"")</f>
        <v>724.77670886076</v>
      </c>
      <c r="AD106" s="144" t="n">
        <f aca="false">IFERROR('Price History'!I3+(INDEX('Price History'!I:I,MATCH(9.99E+307,'Returns (Calc)'!$A:$A)+1)-'Price History'!I3)*(ROW()-3)/(MATCH(9.99E+307,'Returns (Calc)'!$A:$A)-3),"")</f>
        <v>167.748101265823</v>
      </c>
      <c r="AE106" s="144" t="n">
        <f aca="false">IFERROR('Price History'!J3+(INDEX('Price History'!J:J,MATCH(9.99E+307,'Returns (Calc)'!$A:$A)+1)-'Price History'!J3)*(ROW()-3)/(MATCH(9.99E+307,'Returns (Calc)'!$A:$A)-3),"")</f>
        <v>122.967911392405</v>
      </c>
      <c r="AF106" s="144" t="n">
        <f aca="false">IFERROR('Price History'!K3+(INDEX('Price History'!K:K,MATCH(9.99E+307,'Returns (Calc)'!$A:$A)+1)-'Price History'!K3)*(ROW()-3)/(MATCH(9.99E+307,'Returns (Calc)'!$A:$A)-3),"")</f>
        <v>128.382278481013</v>
      </c>
      <c r="AG106" s="144" t="n">
        <f aca="false">IFERROR('Price History'!L3+(INDEX('Price History'!L:L,MATCH(9.99E+307,'Returns (Calc)'!$A:$A)+1)-'Price History'!L3)*(ROW()-3)/(MATCH(9.99E+307,'Returns (Calc)'!$A:$A)-3),"")</f>
        <v>338.054367088608</v>
      </c>
      <c r="AH106" s="144" t="n">
        <f aca="false">IFERROR('Price History'!M3+(INDEX('Price History'!M:M,MATCH(9.99E+307,'Returns (Calc)'!$A:$A)+1)-'Price History'!M3)*(ROW()-3)/(MATCH(9.99E+307,'Returns (Calc)'!$A:$A)-3),"")</f>
        <v>177.630632911392</v>
      </c>
      <c r="AI106" s="144" t="n">
        <f aca="false">IFERROR('Price History'!N3+(INDEX('Price History'!N:N,MATCH(9.99E+307,'Returns (Calc)'!$A:$A)+1)-'Price History'!N3)*(ROW()-3)/(MATCH(9.99E+307,'Returns (Calc)'!$A:$A)-3),"")</f>
        <v>450.485379746835</v>
      </c>
      <c r="AJ106" s="144" t="n">
        <f aca="false">IFERROR('Price History'!O3+(INDEX('Price History'!O:O,MATCH(9.99E+307,'Returns (Calc)'!$A:$A)+1)-'Price History'!O3)*(ROW()-3)/(MATCH(9.99E+307,'Returns (Calc)'!$A:$A)-3),"")</f>
        <v>104.462911392405</v>
      </c>
      <c r="AK106" s="144" t="n">
        <f aca="false">IFERROR('Price History'!Q3+(INDEX('Price History'!Q:Q,MATCH(9.99E+307,'Returns (Calc)'!$A:$A)+1)-'Price History'!Q3)*(ROW()-3)/(MATCH(9.99E+307,'Returns (Calc)'!$A:$A)-3),"")</f>
        <v>45.2548101265823</v>
      </c>
      <c r="AL106" s="144" t="n">
        <f aca="false">IFERROR('Price History'!R3+(INDEX('Price History'!R:R,MATCH(9.99E+307,'Returns (Calc)'!$A:$A)+1)-'Price History'!R3)*(ROW()-3)/(MATCH(9.99E+307,'Returns (Calc)'!$A:$A)-3),"")</f>
        <v>51.7944303797468</v>
      </c>
      <c r="AM106" s="144" t="n">
        <f aca="false">IFERROR('Price History'!S3+(INDEX('Price History'!S:S,MATCH(9.99E+307,'Returns (Calc)'!$A:$A)+1)-'Price History'!S3)*(ROW()-3)/(MATCH(9.99E+307,'Returns (Calc)'!$A:$A)-3),"")</f>
        <v>119.951518987342</v>
      </c>
      <c r="AN106" s="144" t="n">
        <f aca="false">IFERROR('Price History'!T3+(INDEX('Price History'!T:T,MATCH(9.99E+307,'Returns (Calc)'!$A:$A)+1)-'Price History'!T3)*(ROW()-3)/(MATCH(9.99E+307,'Returns (Calc)'!$A:$A)-3),"")</f>
        <v>42.5674683544304</v>
      </c>
      <c r="AO106" s="145" t="n">
        <f aca="false">IFERROR('Price History'!V3+(INDEX('Price History'!V:V,MATCH(9.99E+307,'Returns (Calc)'!$A:$A)+1)-'Price History'!V3)*(ROW()-3)/(MATCH(9.99E+307,'Returns (Calc)'!$A:$A)-3),"")</f>
        <v>317.136898734177</v>
      </c>
      <c r="AP106" s="143" t="n">
        <f aca="false">IFERROR(IF(OR(NOT(ISNUMBER('Price History'!W107)),NOT(ISNUMBER('Price History'!W106)),'Price History'!W106=0),"",'Price History'!W107/'Price History'!W106-1),"")</f>
        <v>0.0131462333825703</v>
      </c>
      <c r="AQ106" s="143" t="str">
        <f aca="false">IFERROR(IF(OR(NOT(ISNUMBER('Price History'!X107)),NOT(ISNUMBER('Price History'!X106)),'Price History'!X106=0),"",'Price History'!X107/'Price History'!X106-1),"")</f>
        <v/>
      </c>
      <c r="AR106" s="143" t="n">
        <f aca="false">IFERROR(IF(OR(NOT(ISNUMBER('Price History'!Y107)),NOT(ISNUMBER('Price History'!Y106)),'Price History'!Y106=0),"",'Price History'!Y107/'Price History'!Y106-1),"")</f>
        <v>0.00211132437619965</v>
      </c>
      <c r="AS106" s="143" t="n">
        <f aca="false">IFERROR(IF(OR(NOT(ISNUMBER('Price History'!Z107)),NOT(ISNUMBER('Price History'!Z106)),'Price History'!Z106=0),"",'Price History'!Z107/'Price History'!Z106-1),"")</f>
        <v>0.00881865956374628</v>
      </c>
      <c r="AT106" s="143" t="n">
        <f aca="false">IFERROR(IF(OR(NOT(ISNUMBER('Price History'!AA107)),NOT(ISNUMBER('Price History'!AA106)),'Price History'!AA106=0),"",'Price History'!AA107/'Price History'!AA106-1),"")</f>
        <v>-0.0445409229779706</v>
      </c>
    </row>
    <row r="107" customFormat="false" ht="15" hidden="false" customHeight="true" outlineLevel="0" collapsed="false">
      <c r="A107" s="141" t="n">
        <f aca="false">IF('Price History'!A108="","",'Price History'!A108)</f>
        <v>45919</v>
      </c>
      <c r="B107" s="142" t="n">
        <f aca="false">IFERROR(IF(OR(NOT(ISNUMBER('Price History'!B108)),NOT(ISNUMBER('Price History'!B107)),'Price History'!B107=0),"",'Price History'!B108/'Price History'!B107-1),"")</f>
        <v>0.0473437142202884</v>
      </c>
      <c r="C107" s="142" t="n">
        <f aca="false">IFERROR(IF(OR(NOT(ISNUMBER('Price History'!C108)),NOT(ISNUMBER('Price History'!C107)),'Price History'!C107=0),"",'Price History'!C108/'Price History'!C107-1),"")</f>
        <v>0.0733194633761392</v>
      </c>
      <c r="D107" s="142" t="n">
        <f aca="false">IFERROR(IF(OR(NOT(ISNUMBER('Price History'!D108)),NOT(ISNUMBER('Price History'!D107)),'Price History'!D107=0),"",'Price History'!D108/'Price History'!D107-1),"")</f>
        <v>0.145336037796522</v>
      </c>
      <c r="E107" s="142" t="n">
        <f aca="false">IFERROR(IF(OR(NOT(ISNUMBER('Price History'!E108)),NOT(ISNUMBER('Price History'!E107)),'Price History'!E107=0),"",'Price History'!E108/'Price History'!E107-1),"")</f>
        <v>-0.0414750420639373</v>
      </c>
      <c r="F107" s="142" t="n">
        <f aca="false">IFERROR(IF(OR(NOT(ISNUMBER('Price History'!F108)),NOT(ISNUMBER('Price History'!F107)),'Price History'!F107=0),"",'Price History'!F108/'Price History'!F107-1),"")</f>
        <v>0.152343391727048</v>
      </c>
      <c r="G107" s="142" t="n">
        <f aca="false">IFERROR(IF(OR(NOT(ISNUMBER('Price History'!G108)),NOT(ISNUMBER('Price History'!G107)),'Price History'!G107=0),"",'Price History'!G108/'Price History'!G107-1),"")</f>
        <v>0.083854818523154</v>
      </c>
      <c r="H107" s="142" t="n">
        <f aca="false">IFERROR(IF(OR(NOT(ISNUMBER('Price History'!H108)),NOT(ISNUMBER('Price History'!H107)),'Price History'!H107=0),"",'Price History'!H108/'Price History'!H107-1),"")</f>
        <v>0.0349726079755384</v>
      </c>
      <c r="I107" s="142" t="n">
        <f aca="false">IFERROR(IF(OR(NOT(ISNUMBER('Price History'!I108)),NOT(ISNUMBER('Price History'!I107)),'Price History'!I107=0),"",'Price History'!I108/'Price History'!I107-1),"")</f>
        <v>-0.00648252536640359</v>
      </c>
      <c r="J107" s="142" t="n">
        <f aca="false">IFERROR(IF(OR(NOT(ISNUMBER('Price History'!J108)),NOT(ISNUMBER('Price History'!J107)),'Price History'!J107=0),"",'Price History'!J108/'Price History'!J107-1),"")</f>
        <v>-0.00721695985566073</v>
      </c>
      <c r="K107" s="142" t="n">
        <f aca="false">IFERROR(IF(OR(NOT(ISNUMBER('Price History'!K108)),NOT(ISNUMBER('Price History'!K107)),'Price History'!K107=0),"",'Price History'!K108/'Price History'!K107-1),"")</f>
        <v>0.0639328005599953</v>
      </c>
      <c r="L107" s="142" t="n">
        <f aca="false">IFERROR(IF(OR(NOT(ISNUMBER('Price History'!L108)),NOT(ISNUMBER('Price History'!L107)),'Price History'!L107=0),"",'Price History'!L108/'Price History'!L107-1),"")</f>
        <v>0.0245885618232282</v>
      </c>
      <c r="M107" s="142" t="n">
        <f aca="false">IFERROR(IF(OR(NOT(ISNUMBER('Price History'!M108)),NOT(ISNUMBER('Price History'!M107)),'Price History'!M107=0),"",'Price History'!M108/'Price History'!M107-1),"")</f>
        <v>0.0652755086885488</v>
      </c>
      <c r="N107" s="142" t="n">
        <f aca="false">IFERROR(IF(OR(NOT(ISNUMBER('Price History'!N108)),NOT(ISNUMBER('Price History'!N107)),'Price History'!N107=0),"",'Price History'!N108/'Price History'!N107-1),"")</f>
        <v>-0.0289204876688718</v>
      </c>
      <c r="O107" s="142" t="n">
        <f aca="false">IFERROR(IF(OR(NOT(ISNUMBER('Price History'!O108)),NOT(ISNUMBER('Price History'!O107)),'Price History'!O107=0),"",'Price History'!O108/'Price History'!O107-1),"")</f>
        <v>0.00569221386460672</v>
      </c>
      <c r="P107" s="142" t="n">
        <f aca="false">IFERROR(IF(OR(NOT(ISNUMBER('Price History'!P108)),NOT(ISNUMBER('Price History'!P107)),'Price History'!P107=0),"",'Price History'!P108/'Price History'!P107-1),"")</f>
        <v>-0.00279740871613665</v>
      </c>
      <c r="Q107" s="142" t="n">
        <f aca="false">IFERROR(IF(OR(NOT(ISNUMBER('Price History'!Q108)),NOT(ISNUMBER('Price History'!Q107)),'Price History'!Q107=0),"",'Price History'!Q108/'Price History'!Q107-1),"")</f>
        <v>0.00201988812927278</v>
      </c>
      <c r="R107" s="142" t="n">
        <f aca="false">IFERROR(IF(OR(NOT(ISNUMBER('Price History'!R108)),NOT(ISNUMBER('Price History'!R107)),'Price History'!R107=0),"",'Price History'!R108/'Price History'!R107-1),"")</f>
        <v>0.0110176282051282</v>
      </c>
      <c r="S107" s="142" t="n">
        <f aca="false">IFERROR(IF(OR(NOT(ISNUMBER('Price History'!S108)),NOT(ISNUMBER('Price History'!S107)),'Price History'!S107=0),"",'Price History'!S108/'Price History'!S107-1),"")</f>
        <v>0.012072434607646</v>
      </c>
      <c r="T107" s="142" t="n">
        <f aca="false">IFERROR(IF(OR(NOT(ISNUMBER('Price History'!T108)),NOT(ISNUMBER('Price History'!T107)),'Price History'!T107=0),"",'Price History'!T108/'Price History'!T107-1),"")</f>
        <v>-0.00134952766531704</v>
      </c>
      <c r="U107" s="142" t="n">
        <f aca="false">IFERROR(IF(OR(NOT(ISNUMBER('Price History'!U108)),NOT(ISNUMBER('Price History'!U107)),'Price History'!U107=0),"",'Price History'!U108/'Price History'!U107-1),"")</f>
        <v>-0.00570342205323204</v>
      </c>
      <c r="V107" s="143" t="n">
        <f aca="false">IFERROR(IF(OR(NOT(ISNUMBER('Price History'!V108)),NOT(ISNUMBER('Price History'!V107)),'Price History'!V107=0),"",'Price History'!V108/'Price History'!V107-1),"")</f>
        <v>0.00641444437845218</v>
      </c>
      <c r="W107" s="144" t="n">
        <f aca="false">IFERROR('Price History'!B3+(INDEX('Price History'!B:B,MATCH(9.99E+307,'Returns (Calc)'!$A:$A)+1)-'Price History'!B3)*(ROW()-3)/(MATCH(9.99E+307,'Returns (Calc)'!$A:$A)-3),"")</f>
        <v>337.214050632911</v>
      </c>
      <c r="X107" s="144" t="n">
        <f aca="false">IFERROR('Price History'!C3+(INDEX('Price History'!C:C,MATCH(9.99E+307,'Returns (Calc)'!$A:$A)+1)-'Price History'!C3)*(ROW()-3)/(MATCH(9.99E+307,'Returns (Calc)'!$A:$A)-3),"")</f>
        <v>152.266582278481</v>
      </c>
      <c r="Y107" s="144" t="n">
        <f aca="false">IFERROR('Price History'!D3+(INDEX('Price History'!D:D,MATCH(9.99E+307,'Returns (Calc)'!$A:$A)+1)-'Price History'!D3)*(ROW()-3)/(MATCH(9.99E+307,'Returns (Calc)'!$A:$A)-3),"")</f>
        <v>1428.03025316456</v>
      </c>
      <c r="Z107" s="144" t="n">
        <f aca="false">IFERROR('Price History'!E3+(INDEX('Price History'!E:E,MATCH(9.99E+307,'Returns (Calc)'!$A:$A)+1)-'Price History'!E3)*(ROW()-3)/(MATCH(9.99E+307,'Returns (Calc)'!$A:$A)-3),"")</f>
        <v>261.78835443038</v>
      </c>
      <c r="AA107" s="144" t="n">
        <f aca="false">IFERROR('Price History'!F3+(INDEX('Price History'!F:F,MATCH(9.99E+307,'Returns (Calc)'!$A:$A)+1)-'Price History'!F3)*(ROW()-3)/(MATCH(9.99E+307,'Returns (Calc)'!$A:$A)-3),"")</f>
        <v>191.883544303797</v>
      </c>
      <c r="AB107" s="144" t="n">
        <f aca="false">IFERROR('Price History'!G3+(INDEX('Price History'!G:G,MATCH(9.99E+307,'Returns (Calc)'!$A:$A)+1)-'Price History'!G3)*(ROW()-3)/(MATCH(9.99E+307,'Returns (Calc)'!$A:$A)-3),"")</f>
        <v>151.33835443038</v>
      </c>
      <c r="AC107" s="144" t="n">
        <f aca="false">IFERROR('Price History'!H3+(INDEX('Price History'!H:H,MATCH(9.99E+307,'Returns (Calc)'!$A:$A)+1)-'Price History'!H3)*(ROW()-3)/(MATCH(9.99E+307,'Returns (Calc)'!$A:$A)-3),"")</f>
        <v>731.142405063291</v>
      </c>
      <c r="AD107" s="144" t="n">
        <f aca="false">IFERROR('Price History'!I3+(INDEX('Price History'!I:I,MATCH(9.99E+307,'Returns (Calc)'!$A:$A)+1)-'Price History'!I3)*(ROW()-3)/(MATCH(9.99E+307,'Returns (Calc)'!$A:$A)-3),"")</f>
        <v>168.951772151899</v>
      </c>
      <c r="AE107" s="144" t="n">
        <f aca="false">IFERROR('Price History'!J3+(INDEX('Price History'!J:J,MATCH(9.99E+307,'Returns (Calc)'!$A:$A)+1)-'Price History'!J3)*(ROW()-3)/(MATCH(9.99E+307,'Returns (Calc)'!$A:$A)-3),"")</f>
        <v>123.075949367089</v>
      </c>
      <c r="AF107" s="144" t="n">
        <f aca="false">IFERROR('Price History'!K3+(INDEX('Price History'!K:K,MATCH(9.99E+307,'Returns (Calc)'!$A:$A)+1)-'Price History'!K3)*(ROW()-3)/(MATCH(9.99E+307,'Returns (Calc)'!$A:$A)-3),"")</f>
        <v>129.479873417722</v>
      </c>
      <c r="AG107" s="144" t="n">
        <f aca="false">IFERROR('Price History'!L3+(INDEX('Price History'!L:L,MATCH(9.99E+307,'Returns (Calc)'!$A:$A)+1)-'Price History'!L3)*(ROW()-3)/(MATCH(9.99E+307,'Returns (Calc)'!$A:$A)-3),"")</f>
        <v>340.503924050633</v>
      </c>
      <c r="AH107" s="144" t="n">
        <f aca="false">IFERROR('Price History'!M3+(INDEX('Price History'!M:M,MATCH(9.99E+307,'Returns (Calc)'!$A:$A)+1)-'Price History'!M3)*(ROW()-3)/(MATCH(9.99E+307,'Returns (Calc)'!$A:$A)-3),"")</f>
        <v>178.986075949367</v>
      </c>
      <c r="AI107" s="144" t="n">
        <f aca="false">IFERROR('Price History'!N3+(INDEX('Price History'!N:N,MATCH(9.99E+307,'Returns (Calc)'!$A:$A)+1)-'Price History'!N3)*(ROW()-3)/(MATCH(9.99E+307,'Returns (Calc)'!$A:$A)-3),"")</f>
        <v>451.47164556962</v>
      </c>
      <c r="AJ107" s="144" t="n">
        <f aca="false">IFERROR('Price History'!O3+(INDEX('Price History'!O:O,MATCH(9.99E+307,'Returns (Calc)'!$A:$A)+1)-'Price History'!O3)*(ROW()-3)/(MATCH(9.99E+307,'Returns (Calc)'!$A:$A)-3),"")</f>
        <v>104.745949367089</v>
      </c>
      <c r="AK107" s="144" t="n">
        <f aca="false">IFERROR('Price History'!Q3+(INDEX('Price History'!Q:Q,MATCH(9.99E+307,'Returns (Calc)'!$A:$A)+1)-'Price History'!Q3)*(ROW()-3)/(MATCH(9.99E+307,'Returns (Calc)'!$A:$A)-3),"")</f>
        <v>45.6941772151899</v>
      </c>
      <c r="AL107" s="144" t="n">
        <f aca="false">IFERROR('Price History'!R3+(INDEX('Price History'!R:R,MATCH(9.99E+307,'Returns (Calc)'!$A:$A)+1)-'Price History'!R3)*(ROW()-3)/(MATCH(9.99E+307,'Returns (Calc)'!$A:$A)-3),"")</f>
        <v>51.9625316455696</v>
      </c>
      <c r="AM107" s="144" t="n">
        <f aca="false">IFERROR('Price History'!S3+(INDEX('Price History'!S:S,MATCH(9.99E+307,'Returns (Calc)'!$A:$A)+1)-'Price History'!S3)*(ROW()-3)/(MATCH(9.99E+307,'Returns (Calc)'!$A:$A)-3),"")</f>
        <v>120.556582278481</v>
      </c>
      <c r="AN107" s="144" t="n">
        <f aca="false">IFERROR('Price History'!T3+(INDEX('Price History'!T:T,MATCH(9.99E+307,'Returns (Calc)'!$A:$A)+1)-'Price History'!T3)*(ROW()-3)/(MATCH(9.99E+307,'Returns (Calc)'!$A:$A)-3),"")</f>
        <v>42.7356962025316</v>
      </c>
      <c r="AO107" s="145" t="n">
        <f aca="false">IFERROR('Price History'!V3+(INDEX('Price History'!V:V,MATCH(9.99E+307,'Returns (Calc)'!$A:$A)+1)-'Price History'!V3)*(ROW()-3)/(MATCH(9.99E+307,'Returns (Calc)'!$A:$A)-3),"")</f>
        <v>317.928227848101</v>
      </c>
      <c r="AP107" s="143" t="n">
        <f aca="false">IFERROR(IF(OR(NOT(ISNUMBER('Price History'!W108)),NOT(ISNUMBER('Price History'!W107)),'Price History'!W107=0),"",'Price History'!W108/'Price History'!W107-1),"")</f>
        <v>-0.000583175389998636</v>
      </c>
      <c r="AQ107" s="143" t="str">
        <f aca="false">IFERROR(IF(OR(NOT(ISNUMBER('Price History'!X108)),NOT(ISNUMBER('Price History'!X107)),'Price History'!X107=0),"",'Price History'!X108/'Price History'!X107-1),"")</f>
        <v/>
      </c>
      <c r="AR107" s="143" t="n">
        <f aca="false">IFERROR(IF(OR(NOT(ISNUMBER('Price History'!Y108)),NOT(ISNUMBER('Price History'!Y107)),'Price History'!Y107=0),"",'Price History'!Y108/'Price History'!Y107-1),"")</f>
        <v>-0.000766136755410818</v>
      </c>
      <c r="AS107" s="143" t="n">
        <f aca="false">IFERROR(IF(OR(NOT(ISNUMBER('Price History'!Z108)),NOT(ISNUMBER('Price History'!Z107)),'Price History'!Z107=0),"",'Price History'!Z108/'Price History'!Z107-1),"")</f>
        <v>0.0690405680236916</v>
      </c>
      <c r="AT107" s="143" t="n">
        <f aca="false">IFERROR(IF(OR(NOT(ISNUMBER('Price History'!AA108)),NOT(ISNUMBER('Price History'!AA107)),'Price History'!AA107=0),"",'Price History'!AA108/'Price History'!AA107-1),"")</f>
        <v>0.0324806462470548</v>
      </c>
    </row>
    <row r="108" customFormat="false" ht="15" hidden="false" customHeight="true" outlineLevel="0" collapsed="false">
      <c r="A108" s="141" t="n">
        <f aca="false">IF('Price History'!A109="","",'Price History'!A109)</f>
        <v>45926</v>
      </c>
      <c r="B108" s="142" t="n">
        <f aca="false">IFERROR(IF(OR(NOT(ISNUMBER('Price History'!B109)),NOT(ISNUMBER('Price History'!B108)),'Price History'!B108=0),"",'Price History'!B109/'Price History'!B108-1),"")</f>
        <v>-0.0151134189669307</v>
      </c>
      <c r="C108" s="142" t="n">
        <f aca="false">IFERROR(IF(OR(NOT(ISNUMBER('Price History'!C109)),NOT(ISNUMBER('Price History'!C108)),'Price History'!C108=0),"",'Price History'!C109/'Price History'!C108-1),"")</f>
        <v>-0.0475235612592742</v>
      </c>
      <c r="D108" s="142" t="n">
        <f aca="false">IFERROR(IF(OR(NOT(ISNUMBER('Price History'!D109)),NOT(ISNUMBER('Price History'!D108)),'Price History'!D108=0),"",'Price History'!D109/'Price History'!D108-1),"")</f>
        <v>0.0207764159602613</v>
      </c>
      <c r="E108" s="142" t="n">
        <f aca="false">IFERROR(IF(OR(NOT(ISNUMBER('Price History'!E109)),NOT(ISNUMBER('Price History'!E108)),'Price History'!E108=0),"",'Price History'!E109/'Price History'!E108-1),"")</f>
        <v>-0.028524618940347</v>
      </c>
      <c r="F108" s="142" t="n">
        <f aca="false">IFERROR(IF(OR(NOT(ISNUMBER('Price History'!F109)),NOT(ISNUMBER('Price History'!F108)),'Price History'!F108=0),"",'Price History'!F109/'Price History'!F108-1),"")</f>
        <v>-0.0420248328557784</v>
      </c>
      <c r="G108" s="142" t="n">
        <f aca="false">IFERROR(IF(OR(NOT(ISNUMBER('Price History'!G109)),NOT(ISNUMBER('Price History'!G108)),'Price History'!G108=0),"",'Price History'!G109/'Price History'!G108-1),"")</f>
        <v>0.0186682063125481</v>
      </c>
      <c r="H108" s="142" t="n">
        <f aca="false">IFERROR(IF(OR(NOT(ISNUMBER('Price History'!H109)),NOT(ISNUMBER('Price History'!H108)),'Price History'!H108=0),"",'Price History'!H109/'Price History'!H108-1),"")</f>
        <v>-0.0335446543977349</v>
      </c>
      <c r="I108" s="142" t="n">
        <f aca="false">IFERROR(IF(OR(NOT(ISNUMBER('Price History'!I109)),NOT(ISNUMBER('Price History'!I108)),'Price History'!I108=0),"",'Price History'!I109/'Price History'!I108-1),"")</f>
        <v>0.00856737588652479</v>
      </c>
      <c r="J108" s="142" t="n">
        <f aca="false">IFERROR(IF(OR(NOT(ISNUMBER('Price History'!J109)),NOT(ISNUMBER('Price History'!J108)),'Price History'!J108=0),"",'Price History'!J109/'Price History'!J108-1),"")</f>
        <v>0.00599727396637895</v>
      </c>
      <c r="K108" s="142" t="n">
        <f aca="false">IFERROR(IF(OR(NOT(ISNUMBER('Price History'!K109)),NOT(ISNUMBER('Price History'!K108)),'Price History'!K108=0),"",'Price History'!K109/'Price History'!K108-1),"")</f>
        <v>-0.0264268874390043</v>
      </c>
      <c r="L108" s="142" t="n">
        <f aca="false">IFERROR(IF(OR(NOT(ISNUMBER('Price History'!L109)),NOT(ISNUMBER('Price History'!L108)),'Price History'!L108=0),"",'Price History'!L109/'Price History'!L108-1),"")</f>
        <v>0.0320488363220144</v>
      </c>
      <c r="M108" s="142" t="n">
        <f aca="false">IFERROR(IF(OR(NOT(ISNUMBER('Price History'!M109)),NOT(ISNUMBER('Price History'!M108)),'Price History'!M108=0),"",'Price History'!M109/'Price History'!M108-1),"")</f>
        <v>-0.0347159288950853</v>
      </c>
      <c r="N108" s="142" t="n">
        <f aca="false">IFERROR(IF(OR(NOT(ISNUMBER('Price History'!N109)),NOT(ISNUMBER('Price History'!N108)),'Price History'!N108=0),"",'Price History'!N109/'Price History'!N108-1),"")</f>
        <v>0.00683858843182295</v>
      </c>
      <c r="O108" s="142" t="n">
        <f aca="false">IFERROR(IF(OR(NOT(ISNUMBER('Price History'!O109)),NOT(ISNUMBER('Price History'!O108)),'Price History'!O108=0),"",'Price History'!O109/'Price History'!O108-1),"")</f>
        <v>0.00303214069132807</v>
      </c>
      <c r="P108" s="142" t="n">
        <f aca="false">IFERROR(IF(OR(NOT(ISNUMBER('Price History'!P109)),NOT(ISNUMBER('Price History'!P108)),'Price History'!P108=0),"",'Price History'!P109/'Price History'!P108-1),"")</f>
        <v>0.00767754318618041</v>
      </c>
      <c r="Q108" s="142" t="n">
        <f aca="false">IFERROR(IF(OR(NOT(ISNUMBER('Price History'!Q109)),NOT(ISNUMBER('Price History'!Q108)),'Price History'!Q108=0),"",'Price History'!Q109/'Price History'!Q108-1),"")</f>
        <v>0.000310125600868405</v>
      </c>
      <c r="R108" s="142" t="n">
        <f aca="false">IFERROR(IF(OR(NOT(ISNUMBER('Price History'!R109)),NOT(ISNUMBER('Price History'!R108)),'Price History'!R108=0),"",'Price History'!R109/'Price History'!R108-1),"")</f>
        <v>0.00158510005944112</v>
      </c>
      <c r="S108" s="142" t="n">
        <f aca="false">IFERROR(IF(OR(NOT(ISNUMBER('Price History'!S109)),NOT(ISNUMBER('Price History'!S108)),'Price History'!S108=0),"",'Price History'!S109/'Price History'!S108-1),"")</f>
        <v>-0.00952617627567931</v>
      </c>
      <c r="T108" s="142" t="n">
        <f aca="false">IFERROR(IF(OR(NOT(ISNUMBER('Price History'!T109)),NOT(ISNUMBER('Price History'!T108)),'Price History'!T108=0),"",'Price History'!T109/'Price History'!T108-1),"")</f>
        <v>0.00783783783783787</v>
      </c>
      <c r="U108" s="142" t="n">
        <f aca="false">IFERROR(IF(OR(NOT(ISNUMBER('Price History'!U109)),NOT(ISNUMBER('Price History'!U108)),'Price History'!U108=0),"",'Price History'!U109/'Price History'!U108-1),"")</f>
        <v>0.00535372848948379</v>
      </c>
      <c r="V108" s="143" t="n">
        <f aca="false">IFERROR(IF(OR(NOT(ISNUMBER('Price History'!V109)),NOT(ISNUMBER('Price History'!V108)),'Price History'!V108=0),"",'Price History'!V109/'Price History'!V108-1),"")</f>
        <v>-0.0124225435231631</v>
      </c>
      <c r="W108" s="144" t="n">
        <f aca="false">IFERROR('Price History'!B3+(INDEX('Price History'!B:B,MATCH(9.99E+307,'Returns (Calc)'!$A:$A)+1)-'Price History'!B3)*(ROW()-3)/(MATCH(9.99E+307,'Returns (Calc)'!$A:$A)-3),"")</f>
        <v>335.371012658228</v>
      </c>
      <c r="X108" s="144" t="n">
        <f aca="false">IFERROR('Price History'!C3+(INDEX('Price History'!C:C,MATCH(9.99E+307,'Returns (Calc)'!$A:$A)+1)-'Price History'!C3)*(ROW()-3)/(MATCH(9.99E+307,'Returns (Calc)'!$A:$A)-3),"")</f>
        <v>153.28664556962</v>
      </c>
      <c r="Y108" s="144" t="n">
        <f aca="false">IFERROR('Price History'!D3+(INDEX('Price History'!D:D,MATCH(9.99E+307,'Returns (Calc)'!$A:$A)+1)-'Price History'!D3)*(ROW()-3)/(MATCH(9.99E+307,'Returns (Calc)'!$A:$A)-3),"")</f>
        <v>1436.16506329114</v>
      </c>
      <c r="Z108" s="144" t="n">
        <f aca="false">IFERROR('Price History'!E3+(INDEX('Price History'!E:E,MATCH(9.99E+307,'Returns (Calc)'!$A:$A)+1)-'Price History'!E3)*(ROW()-3)/(MATCH(9.99E+307,'Returns (Calc)'!$A:$A)-3),"")</f>
        <v>263.517088607595</v>
      </c>
      <c r="AA108" s="144" t="n">
        <f aca="false">IFERROR('Price History'!F3+(INDEX('Price History'!F:F,MATCH(9.99E+307,'Returns (Calc)'!$A:$A)+1)-'Price History'!F3)*(ROW()-3)/(MATCH(9.99E+307,'Returns (Calc)'!$A:$A)-3),"")</f>
        <v>193.330886075949</v>
      </c>
      <c r="AB108" s="144" t="n">
        <f aca="false">IFERROR('Price History'!G3+(INDEX('Price History'!G:G,MATCH(9.99E+307,'Returns (Calc)'!$A:$A)+1)-'Price History'!G3)*(ROW()-3)/(MATCH(9.99E+307,'Returns (Calc)'!$A:$A)-3),"")</f>
        <v>152.367088607595</v>
      </c>
      <c r="AC108" s="144" t="n">
        <f aca="false">IFERROR('Price History'!H3+(INDEX('Price History'!H:H,MATCH(9.99E+307,'Returns (Calc)'!$A:$A)+1)-'Price History'!H3)*(ROW()-3)/(MATCH(9.99E+307,'Returns (Calc)'!$A:$A)-3),"")</f>
        <v>737.508101265823</v>
      </c>
      <c r="AD108" s="144" t="n">
        <f aca="false">IFERROR('Price History'!I3+(INDEX('Price History'!I:I,MATCH(9.99E+307,'Returns (Calc)'!$A:$A)+1)-'Price History'!I3)*(ROW()-3)/(MATCH(9.99E+307,'Returns (Calc)'!$A:$A)-3),"")</f>
        <v>170.155443037975</v>
      </c>
      <c r="AE108" s="144" t="n">
        <f aca="false">IFERROR('Price History'!J3+(INDEX('Price History'!J:J,MATCH(9.99E+307,'Returns (Calc)'!$A:$A)+1)-'Price History'!J3)*(ROW()-3)/(MATCH(9.99E+307,'Returns (Calc)'!$A:$A)-3),"")</f>
        <v>123.183987341772</v>
      </c>
      <c r="AF108" s="144" t="n">
        <f aca="false">IFERROR('Price History'!K3+(INDEX('Price History'!K:K,MATCH(9.99E+307,'Returns (Calc)'!$A:$A)+1)-'Price History'!K3)*(ROW()-3)/(MATCH(9.99E+307,'Returns (Calc)'!$A:$A)-3),"")</f>
        <v>130.57746835443</v>
      </c>
      <c r="AG108" s="144" t="n">
        <f aca="false">IFERROR('Price History'!L3+(INDEX('Price History'!L:L,MATCH(9.99E+307,'Returns (Calc)'!$A:$A)+1)-'Price History'!L3)*(ROW()-3)/(MATCH(9.99E+307,'Returns (Calc)'!$A:$A)-3),"")</f>
        <v>342.953481012658</v>
      </c>
      <c r="AH108" s="144" t="n">
        <f aca="false">IFERROR('Price History'!M3+(INDEX('Price History'!M:M,MATCH(9.99E+307,'Returns (Calc)'!$A:$A)+1)-'Price History'!M3)*(ROW()-3)/(MATCH(9.99E+307,'Returns (Calc)'!$A:$A)-3),"")</f>
        <v>180.341518987342</v>
      </c>
      <c r="AI108" s="144" t="n">
        <f aca="false">IFERROR('Price History'!N3+(INDEX('Price History'!N:N,MATCH(9.99E+307,'Returns (Calc)'!$A:$A)+1)-'Price History'!N3)*(ROW()-3)/(MATCH(9.99E+307,'Returns (Calc)'!$A:$A)-3),"")</f>
        <v>452.457911392405</v>
      </c>
      <c r="AJ108" s="144" t="n">
        <f aca="false">IFERROR('Price History'!O3+(INDEX('Price History'!O:O,MATCH(9.99E+307,'Returns (Calc)'!$A:$A)+1)-'Price History'!O3)*(ROW()-3)/(MATCH(9.99E+307,'Returns (Calc)'!$A:$A)-3),"")</f>
        <v>105.028987341772</v>
      </c>
      <c r="AK108" s="144" t="n">
        <f aca="false">IFERROR('Price History'!Q3+(INDEX('Price History'!Q:Q,MATCH(9.99E+307,'Returns (Calc)'!$A:$A)+1)-'Price History'!Q3)*(ROW()-3)/(MATCH(9.99E+307,'Returns (Calc)'!$A:$A)-3),"")</f>
        <v>46.1335443037975</v>
      </c>
      <c r="AL108" s="144" t="n">
        <f aca="false">IFERROR('Price History'!R3+(INDEX('Price History'!R:R,MATCH(9.99E+307,'Returns (Calc)'!$A:$A)+1)-'Price History'!R3)*(ROW()-3)/(MATCH(9.99E+307,'Returns (Calc)'!$A:$A)-3),"")</f>
        <v>52.1306329113924</v>
      </c>
      <c r="AM108" s="144" t="n">
        <f aca="false">IFERROR('Price History'!S3+(INDEX('Price History'!S:S,MATCH(9.99E+307,'Returns (Calc)'!$A:$A)+1)-'Price History'!S3)*(ROW()-3)/(MATCH(9.99E+307,'Returns (Calc)'!$A:$A)-3),"")</f>
        <v>121.16164556962</v>
      </c>
      <c r="AN108" s="144" t="n">
        <f aca="false">IFERROR('Price History'!T3+(INDEX('Price History'!T:T,MATCH(9.99E+307,'Returns (Calc)'!$A:$A)+1)-'Price History'!T3)*(ROW()-3)/(MATCH(9.99E+307,'Returns (Calc)'!$A:$A)-3),"")</f>
        <v>42.9039240506329</v>
      </c>
      <c r="AO108" s="145" t="n">
        <f aca="false">IFERROR('Price History'!V3+(INDEX('Price History'!V:V,MATCH(9.99E+307,'Returns (Calc)'!$A:$A)+1)-'Price History'!V3)*(ROW()-3)/(MATCH(9.99E+307,'Returns (Calc)'!$A:$A)-3),"")</f>
        <v>318.719556962025</v>
      </c>
      <c r="AP108" s="143" t="n">
        <f aca="false">IFERROR(IF(OR(NOT(ISNUMBER('Price History'!W109)),NOT(ISNUMBER('Price History'!W108)),'Price History'!W108=0),"",'Price History'!W109/'Price History'!W108-1),"")</f>
        <v>0.00233406272793579</v>
      </c>
      <c r="AQ108" s="143" t="str">
        <f aca="false">IFERROR(IF(OR(NOT(ISNUMBER('Price History'!X109)),NOT(ISNUMBER('Price History'!X108)),'Price History'!X108=0),"",'Price History'!X109/'Price History'!X108-1),"")</f>
        <v/>
      </c>
      <c r="AR108" s="143" t="n">
        <f aca="false">IFERROR(IF(OR(NOT(ISNUMBER('Price History'!Y109)),NOT(ISNUMBER('Price History'!Y108)),'Price History'!Y108=0),"",'Price History'!Y109/'Price History'!Y108-1),"")</f>
        <v>0.0013417672992142</v>
      </c>
      <c r="AS108" s="143" t="n">
        <f aca="false">IFERROR(IF(OR(NOT(ISNUMBER('Price History'!Z109)),NOT(ISNUMBER('Price History'!Z108)),'Price History'!Z108=0),"",'Price History'!Z109/'Price History'!Z108-1),"")</f>
        <v>-0.020459248381283</v>
      </c>
      <c r="AT108" s="143" t="n">
        <f aca="false">IFERROR(IF(OR(NOT(ISNUMBER('Price History'!AA109)),NOT(ISNUMBER('Price History'!AA108)),'Price History'!AA108=0),"",'Price History'!AA109/'Price History'!AA108-1),"")</f>
        <v>-0.0133659331703342</v>
      </c>
    </row>
    <row r="109" customFormat="false" ht="15" hidden="false" customHeight="true" outlineLevel="0" collapsed="false">
      <c r="A109" s="141" t="n">
        <f aca="false">IF('Price History'!A110="","",'Price History'!A110)</f>
        <v>45933</v>
      </c>
      <c r="B109" s="142" t="n">
        <f aca="false">IFERROR(IF(OR(NOT(ISNUMBER('Price History'!B110)),NOT(ISNUMBER('Price History'!B109)),'Price History'!B109=0),"",'Price History'!B110/'Price History'!B109-1),"")</f>
        <v>-0.0378222382551267</v>
      </c>
      <c r="C109" s="142" t="n">
        <f aca="false">IFERROR(IF(OR(NOT(ISNUMBER('Price History'!C110)),NOT(ISNUMBER('Price History'!C109)),'Price History'!C109=0),"",'Price History'!C110/'Price History'!C109-1),"")</f>
        <v>0.0210526315789474</v>
      </c>
      <c r="D109" s="142" t="n">
        <f aca="false">IFERROR(IF(OR(NOT(ISNUMBER('Price History'!D110)),NOT(ISNUMBER('Price History'!D109)),'Price History'!D109=0),"",'Price History'!D110/'Price History'!D109-1),"")</f>
        <v>0.0848205312655377</v>
      </c>
      <c r="E109" s="142" t="n">
        <f aca="false">IFERROR(IF(OR(NOT(ISNUMBER('Price History'!E110)),NOT(ISNUMBER('Price History'!E109)),'Price History'!E109=0),"",'Price History'!E110/'Price History'!E109-1),"")</f>
        <v>0.0114738300307173</v>
      </c>
      <c r="F109" s="142" t="n">
        <f aca="false">IFERROR(IF(OR(NOT(ISNUMBER('Price History'!F110)),NOT(ISNUMBER('Price History'!F109)),'Price History'!F109=0),"",'Price History'!F110/'Price History'!F109-1),"")</f>
        <v>0.0175307411100034</v>
      </c>
      <c r="G109" s="142" t="n">
        <f aca="false">IFERROR(IF(OR(NOT(ISNUMBER('Price History'!G110)),NOT(ISNUMBER('Price History'!G109)),'Price History'!G109=0),"",'Price History'!G110/'Price History'!G109-1),"")</f>
        <v>0.0349518231626678</v>
      </c>
      <c r="H109" s="142" t="n">
        <f aca="false">IFERROR(IF(OR(NOT(ISNUMBER('Price History'!H110)),NOT(ISNUMBER('Price History'!H109)),'Price History'!H109=0),"",'Price History'!H110/'Price History'!H109-1),"")</f>
        <v>0.195070691631639</v>
      </c>
      <c r="I109" s="142" t="n">
        <f aca="false">IFERROR(IF(OR(NOT(ISNUMBER('Price History'!I110)),NOT(ISNUMBER('Price History'!I109)),'Price History'!I109=0),"",'Price History'!I110/'Price History'!I109-1),"")</f>
        <v>0.0529365436543654</v>
      </c>
      <c r="J109" s="142" t="n">
        <f aca="false">IFERROR(IF(OR(NOT(ISNUMBER('Price History'!J110)),NOT(ISNUMBER('Price History'!J109)),'Price History'!J109=0),"",'Price History'!J110/'Price History'!J109-1),"")</f>
        <v>0.0252009755216331</v>
      </c>
      <c r="K109" s="142" t="n">
        <f aca="false">IFERROR(IF(OR(NOT(ISNUMBER('Price History'!K110)),NOT(ISNUMBER('Price History'!K109)),'Price History'!K109=0),"",'Price History'!K110/'Price History'!K109-1),"")</f>
        <v>-0.025342118601115</v>
      </c>
      <c r="L109" s="142" t="n">
        <f aca="false">IFERROR(IF(OR(NOT(ISNUMBER('Price History'!L110)),NOT(ISNUMBER('Price History'!L109)),'Price History'!L109=0),"",'Price History'!L110/'Price History'!L109-1),"")</f>
        <v>0.0688724584103513</v>
      </c>
      <c r="M109" s="142" t="n">
        <f aca="false">IFERROR(IF(OR(NOT(ISNUMBER('Price History'!M110)),NOT(ISNUMBER('Price History'!M109)),'Price History'!M109=0),"",'Price History'!M110/'Price History'!M109-1),"")</f>
        <v>0.155701596013577</v>
      </c>
      <c r="N109" s="142" t="n">
        <f aca="false">IFERROR(IF(OR(NOT(ISNUMBER('Price History'!N110)),NOT(ISNUMBER('Price History'!N109)),'Price History'!N109=0),"",'Price History'!N110/'Price History'!N109-1),"")</f>
        <v>0.0455228910665215</v>
      </c>
      <c r="O109" s="142" t="n">
        <f aca="false">IFERROR(IF(OR(NOT(ISNUMBER('Price History'!O110)),NOT(ISNUMBER('Price History'!O109)),'Price History'!O109=0),"",'Price History'!O110/'Price History'!O109-1),"")</f>
        <v>0.00110842402257161</v>
      </c>
      <c r="P109" s="142" t="n">
        <f aca="false">IFERROR(IF(OR(NOT(ISNUMBER('Price History'!P110)),NOT(ISNUMBER('Price History'!P109)),'Price History'!P109=0),"",'Price History'!P110/'Price History'!P109-1),"")</f>
        <v>0.0123809523809524</v>
      </c>
      <c r="Q109" s="142" t="n">
        <f aca="false">IFERROR(IF(OR(NOT(ISNUMBER('Price History'!Q110)),NOT(ISNUMBER('Price History'!Q109)),'Price History'!Q109=0),"",'Price History'!Q110/'Price History'!Q109-1),"")</f>
        <v>0.003255309254379</v>
      </c>
      <c r="R109" s="142" t="n">
        <f aca="false">IFERROR(IF(OR(NOT(ISNUMBER('Price History'!R110)),NOT(ISNUMBER('Price History'!R109)),'Price History'!R109=0),"",'Price History'!R110/'Price History'!R109-1),"")</f>
        <v>0.00830860534124622</v>
      </c>
      <c r="S109" s="142" t="n">
        <f aca="false">IFERROR(IF(OR(NOT(ISNUMBER('Price History'!S110)),NOT(ISNUMBER('Price History'!S109)),'Price History'!S109=0),"",'Price History'!S110/'Price History'!S109-1),"")</f>
        <v>-0.00409801789746589</v>
      </c>
      <c r="T109" s="142" t="n">
        <f aca="false">IFERROR(IF(OR(NOT(ISNUMBER('Price History'!T110)),NOT(ISNUMBER('Price History'!T109)),'Price History'!T109=0),"",'Price History'!T110/'Price History'!T109-1),"")</f>
        <v>0.00348618932689737</v>
      </c>
      <c r="U109" s="142" t="n">
        <f aca="false">IFERROR(IF(OR(NOT(ISNUMBER('Price History'!U110)),NOT(ISNUMBER('Price History'!U109)),'Price History'!U109=0),"",'Price History'!U110/'Price History'!U109-1),"")</f>
        <v>0.00722708254089022</v>
      </c>
      <c r="V109" s="143" t="n">
        <f aca="false">IFERROR(IF(OR(NOT(ISNUMBER('Price History'!V110)),NOT(ISNUMBER('Price History'!V109)),'Price History'!V109=0),"",'Price History'!V110/'Price History'!V109-1),"")</f>
        <v>0.0369595745316562</v>
      </c>
      <c r="W109" s="144" t="n">
        <f aca="false">IFERROR('Price History'!B3+(INDEX('Price History'!B:B,MATCH(9.99E+307,'Returns (Calc)'!$A:$A)+1)-'Price History'!B3)*(ROW()-3)/(MATCH(9.99E+307,'Returns (Calc)'!$A:$A)-3),"")</f>
        <v>333.527974683544</v>
      </c>
      <c r="X109" s="144" t="n">
        <f aca="false">IFERROR('Price History'!C3+(INDEX('Price History'!C:C,MATCH(9.99E+307,'Returns (Calc)'!$A:$A)+1)-'Price History'!C3)*(ROW()-3)/(MATCH(9.99E+307,'Returns (Calc)'!$A:$A)-3),"")</f>
        <v>154.30670886076</v>
      </c>
      <c r="Y109" s="144" t="n">
        <f aca="false">IFERROR('Price History'!D3+(INDEX('Price History'!D:D,MATCH(9.99E+307,'Returns (Calc)'!$A:$A)+1)-'Price History'!D3)*(ROW()-3)/(MATCH(9.99E+307,'Returns (Calc)'!$A:$A)-3),"")</f>
        <v>1444.29987341772</v>
      </c>
      <c r="Z109" s="144" t="n">
        <f aca="false">IFERROR('Price History'!E3+(INDEX('Price History'!E:E,MATCH(9.99E+307,'Returns (Calc)'!$A:$A)+1)-'Price History'!E3)*(ROW()-3)/(MATCH(9.99E+307,'Returns (Calc)'!$A:$A)-3),"")</f>
        <v>265.24582278481</v>
      </c>
      <c r="AA109" s="144" t="n">
        <f aca="false">IFERROR('Price History'!F3+(INDEX('Price History'!F:F,MATCH(9.99E+307,'Returns (Calc)'!$A:$A)+1)-'Price History'!F3)*(ROW()-3)/(MATCH(9.99E+307,'Returns (Calc)'!$A:$A)-3),"")</f>
        <v>194.778227848101</v>
      </c>
      <c r="AB109" s="144" t="n">
        <f aca="false">IFERROR('Price History'!G3+(INDEX('Price History'!G:G,MATCH(9.99E+307,'Returns (Calc)'!$A:$A)+1)-'Price History'!G3)*(ROW()-3)/(MATCH(9.99E+307,'Returns (Calc)'!$A:$A)-3),"")</f>
        <v>153.39582278481</v>
      </c>
      <c r="AC109" s="144" t="n">
        <f aca="false">IFERROR('Price History'!H3+(INDEX('Price History'!H:H,MATCH(9.99E+307,'Returns (Calc)'!$A:$A)+1)-'Price History'!H3)*(ROW()-3)/(MATCH(9.99E+307,'Returns (Calc)'!$A:$A)-3),"")</f>
        <v>743.873797468355</v>
      </c>
      <c r="AD109" s="144" t="n">
        <f aca="false">IFERROR('Price History'!I3+(INDEX('Price History'!I:I,MATCH(9.99E+307,'Returns (Calc)'!$A:$A)+1)-'Price History'!I3)*(ROW()-3)/(MATCH(9.99E+307,'Returns (Calc)'!$A:$A)-3),"")</f>
        <v>171.359113924051</v>
      </c>
      <c r="AE109" s="144" t="n">
        <f aca="false">IFERROR('Price History'!J3+(INDEX('Price History'!J:J,MATCH(9.99E+307,'Returns (Calc)'!$A:$A)+1)-'Price History'!J3)*(ROW()-3)/(MATCH(9.99E+307,'Returns (Calc)'!$A:$A)-3),"")</f>
        <v>123.292025316456</v>
      </c>
      <c r="AF109" s="144" t="n">
        <f aca="false">IFERROR('Price History'!K3+(INDEX('Price History'!K:K,MATCH(9.99E+307,'Returns (Calc)'!$A:$A)+1)-'Price History'!K3)*(ROW()-3)/(MATCH(9.99E+307,'Returns (Calc)'!$A:$A)-3),"")</f>
        <v>131.675063291139</v>
      </c>
      <c r="AG109" s="144" t="n">
        <f aca="false">IFERROR('Price History'!L3+(INDEX('Price History'!L:L,MATCH(9.99E+307,'Returns (Calc)'!$A:$A)+1)-'Price History'!L3)*(ROW()-3)/(MATCH(9.99E+307,'Returns (Calc)'!$A:$A)-3),"")</f>
        <v>345.403037974684</v>
      </c>
      <c r="AH109" s="144" t="n">
        <f aca="false">IFERROR('Price History'!M3+(INDEX('Price History'!M:M,MATCH(9.99E+307,'Returns (Calc)'!$A:$A)+1)-'Price History'!M3)*(ROW()-3)/(MATCH(9.99E+307,'Returns (Calc)'!$A:$A)-3),"")</f>
        <v>181.696962025316</v>
      </c>
      <c r="AI109" s="144" t="n">
        <f aca="false">IFERROR('Price History'!N3+(INDEX('Price History'!N:N,MATCH(9.99E+307,'Returns (Calc)'!$A:$A)+1)-'Price History'!N3)*(ROW()-3)/(MATCH(9.99E+307,'Returns (Calc)'!$A:$A)-3),"")</f>
        <v>453.44417721519</v>
      </c>
      <c r="AJ109" s="144" t="n">
        <f aca="false">IFERROR('Price History'!O3+(INDEX('Price History'!O:O,MATCH(9.99E+307,'Returns (Calc)'!$A:$A)+1)-'Price History'!O3)*(ROW()-3)/(MATCH(9.99E+307,'Returns (Calc)'!$A:$A)-3),"")</f>
        <v>105.312025316456</v>
      </c>
      <c r="AK109" s="144" t="n">
        <f aca="false">IFERROR('Price History'!Q3+(INDEX('Price History'!Q:Q,MATCH(9.99E+307,'Returns (Calc)'!$A:$A)+1)-'Price History'!Q3)*(ROW()-3)/(MATCH(9.99E+307,'Returns (Calc)'!$A:$A)-3),"")</f>
        <v>46.5729113924051</v>
      </c>
      <c r="AL109" s="144" t="n">
        <f aca="false">IFERROR('Price History'!R3+(INDEX('Price History'!R:R,MATCH(9.99E+307,'Returns (Calc)'!$A:$A)+1)-'Price History'!R3)*(ROW()-3)/(MATCH(9.99E+307,'Returns (Calc)'!$A:$A)-3),"")</f>
        <v>52.2987341772152</v>
      </c>
      <c r="AM109" s="144" t="n">
        <f aca="false">IFERROR('Price History'!S3+(INDEX('Price History'!S:S,MATCH(9.99E+307,'Returns (Calc)'!$A:$A)+1)-'Price History'!S3)*(ROW()-3)/(MATCH(9.99E+307,'Returns (Calc)'!$A:$A)-3),"")</f>
        <v>121.766708860759</v>
      </c>
      <c r="AN109" s="144" t="n">
        <f aca="false">IFERROR('Price History'!T3+(INDEX('Price History'!T:T,MATCH(9.99E+307,'Returns (Calc)'!$A:$A)+1)-'Price History'!T3)*(ROW()-3)/(MATCH(9.99E+307,'Returns (Calc)'!$A:$A)-3),"")</f>
        <v>43.0721518987342</v>
      </c>
      <c r="AO109" s="145" t="n">
        <f aca="false">IFERROR('Price History'!V3+(INDEX('Price History'!V:V,MATCH(9.99E+307,'Returns (Calc)'!$A:$A)+1)-'Price History'!V3)*(ROW()-3)/(MATCH(9.99E+307,'Returns (Calc)'!$A:$A)-3),"")</f>
        <v>319.510886075949</v>
      </c>
      <c r="AP109" s="143" t="n">
        <f aca="false">IFERROR(IF(OR(NOT(ISNUMBER('Price History'!W110)),NOT(ISNUMBER('Price History'!W109)),'Price History'!W109=0),"",'Price History'!W110/'Price History'!W109-1),"")</f>
        <v>0.00545772085577068</v>
      </c>
      <c r="AQ109" s="143" t="str">
        <f aca="false">IFERROR(IF(OR(NOT(ISNUMBER('Price History'!X110)),NOT(ISNUMBER('Price History'!X109)),'Price History'!X109=0),"",'Price History'!X110/'Price History'!X109-1),"")</f>
        <v/>
      </c>
      <c r="AR109" s="143" t="n">
        <f aca="false">IFERROR(IF(OR(NOT(ISNUMBER('Price History'!Y110)),NOT(ISNUMBER('Price History'!Y109)),'Price History'!Y109=0),"",'Price History'!Y110/'Price History'!Y109-1),"")</f>
        <v>0.00803981623277172</v>
      </c>
      <c r="AS109" s="143" t="n">
        <f aca="false">IFERROR(IF(OR(NOT(ISNUMBER('Price History'!Z110)),NOT(ISNUMBER('Price History'!Z109)),'Price History'!Z109=0),"",'Price History'!Z110/'Price History'!Z109-1),"")</f>
        <v>0.00807523254625364</v>
      </c>
      <c r="AT109" s="143" t="n">
        <f aca="false">IFERROR(IF(OR(NOT(ISNUMBER('Price History'!AA110)),NOT(ISNUMBER('Price History'!AA109)),'Price History'!AA109=0),"",'Price History'!AA110/'Price History'!AA109-1),"")</f>
        <v>-0.0473319015364283</v>
      </c>
    </row>
    <row r="110" customFormat="false" ht="15" hidden="false" customHeight="true" outlineLevel="0" collapsed="false">
      <c r="A110" s="141" t="n">
        <f aca="false">IF('Price History'!A111="","",'Price History'!A111)</f>
        <v>45940</v>
      </c>
      <c r="B110" s="142" t="n">
        <f aca="false">IFERROR(IF(OR(NOT(ISNUMBER('Price History'!B111)),NOT(ISNUMBER('Price History'!B110)),'Price History'!B110=0),"",'Price History'!B111/'Price History'!B110-1),"")</f>
        <v>-0.026619368979639</v>
      </c>
      <c r="C110" s="142" t="n">
        <f aca="false">IFERROR(IF(OR(NOT(ISNUMBER('Price History'!C111)),NOT(ISNUMBER('Price History'!C110)),'Price History'!C110=0),"",'Price History'!C111/'Price History'!C110-1),"")</f>
        <v>0.059106529209622</v>
      </c>
      <c r="D110" s="142" t="n">
        <f aca="false">IFERROR(IF(OR(NOT(ISNUMBER('Price History'!D111)),NOT(ISNUMBER('Price History'!D110)),'Price History'!D110=0),"",'Price History'!D111/'Price History'!D110-1),"")</f>
        <v>-0.0930402644640995</v>
      </c>
      <c r="E110" s="142" t="n">
        <f aca="false">IFERROR(IF(OR(NOT(ISNUMBER('Price History'!E111)),NOT(ISNUMBER('Price History'!E110)),'Price History'!E110=0),"",'Price History'!E111/'Price History'!E110-1),"")</f>
        <v>-0.040610950665436</v>
      </c>
      <c r="F110" s="142" t="n">
        <f aca="false">IFERROR(IF(OR(NOT(ISNUMBER('Price History'!F111)),NOT(ISNUMBER('Price History'!F110)),'Price History'!F110=0),"",'Price History'!F111/'Price History'!F110-1),"")</f>
        <v>0.00775700171470573</v>
      </c>
      <c r="G110" s="142" t="n">
        <f aca="false">IFERROR(IF(OR(NOT(ISNUMBER('Price History'!G111)),NOT(ISNUMBER('Price History'!G110)),'Price History'!G110=0),"",'Price History'!G111/'Price History'!G110-1),"")</f>
        <v>-0.107794815626141</v>
      </c>
      <c r="H110" s="142" t="n">
        <f aca="false">IFERROR(IF(OR(NOT(ISNUMBER('Price History'!H111)),NOT(ISNUMBER('Price History'!H110)),'Price History'!H110=0),"",'Price History'!H111/'Price History'!H110-1),"")</f>
        <v>-0.0332001065814016</v>
      </c>
      <c r="I110" s="142" t="n">
        <f aca="false">IFERROR(IF(OR(NOT(ISNUMBER('Price History'!I111)),NOT(ISNUMBER('Price History'!I110)),'Price History'!I110=0),"",'Price History'!I111/'Price History'!I110-1),"")</f>
        <v>-0.0237751776459902</v>
      </c>
      <c r="J110" s="142" t="n">
        <f aca="false">IFERROR(IF(OR(NOT(ISNUMBER('Price History'!J111)),NOT(ISNUMBER('Price History'!J110)),'Price History'!J110=0),"",'Price History'!J111/'Price History'!J110-1),"")</f>
        <v>-0.0498678414096916</v>
      </c>
      <c r="K110" s="142" t="n">
        <f aca="false">IFERROR(IF(OR(NOT(ISNUMBER('Price History'!K111)),NOT(ISNUMBER('Price History'!K110)),'Price History'!K110=0),"",'Price History'!K111/'Price History'!K110-1),"")</f>
        <v>0.0136938810885769</v>
      </c>
      <c r="L110" s="142" t="n">
        <f aca="false">IFERROR(IF(OR(NOT(ISNUMBER('Price History'!L111)),NOT(ISNUMBER('Price History'!L110)),'Price History'!L110=0),"",'Price History'!L111/'Price History'!L110-1),"")</f>
        <v>-0.0394632172379206</v>
      </c>
      <c r="M110" s="142" t="n">
        <f aca="false">IFERROR(IF(OR(NOT(ISNUMBER('Price History'!M111)),NOT(ISNUMBER('Price History'!M110)),'Price History'!M110=0),"",'Price History'!M111/'Price History'!M110-1),"")</f>
        <v>0.0549896894332314</v>
      </c>
      <c r="N110" s="142" t="n">
        <f aca="false">IFERROR(IF(OR(NOT(ISNUMBER('Price History'!N111)),NOT(ISNUMBER('Price History'!N110)),'Price History'!N110=0),"",'Price History'!N111/'Price History'!N110-1),"")</f>
        <v>0.0111331515001241</v>
      </c>
      <c r="O110" s="142" t="n">
        <f aca="false">IFERROR(IF(OR(NOT(ISNUMBER('Price History'!O111)),NOT(ISNUMBER('Price History'!O110)),'Price History'!O110=0),"",'Price History'!O111/'Price History'!O110-1),"")</f>
        <v>-0.054353296426774</v>
      </c>
      <c r="P110" s="142" t="n">
        <f aca="false">IFERROR(IF(OR(NOT(ISNUMBER('Price History'!P111)),NOT(ISNUMBER('Price History'!P110)),'Price History'!P110=0),"",'Price History'!P111/'Price History'!P110-1),"")</f>
        <v>-0.0345900571676677</v>
      </c>
      <c r="Q110" s="142" t="n">
        <f aca="false">IFERROR(IF(OR(NOT(ISNUMBER('Price History'!Q111)),NOT(ISNUMBER('Price History'!Q110)),'Price History'!Q110=0),"",'Price History'!Q111/'Price History'!Q110-1),"")</f>
        <v>-0.0126699629171817</v>
      </c>
      <c r="R110" s="142" t="n">
        <f aca="false">IFERROR(IF(OR(NOT(ISNUMBER('Price History'!R111)),NOT(ISNUMBER('Price History'!R110)),'Price History'!R110=0),"",'Price History'!R111/'Price History'!R110-1),"")</f>
        <v>-0.0166764763586423</v>
      </c>
      <c r="S110" s="142" t="n">
        <f aca="false">IFERROR(IF(OR(NOT(ISNUMBER('Price History'!S111)),NOT(ISNUMBER('Price History'!S110)),'Price History'!S110=0),"",'Price History'!S111/'Price History'!S110-1),"")</f>
        <v>-0.0131844138394356</v>
      </c>
      <c r="T110" s="142" t="n">
        <f aca="false">IFERROR(IF(OR(NOT(ISNUMBER('Price History'!T111)),NOT(ISNUMBER('Price History'!T110)),'Price History'!T110=0),"",'Price History'!T111/'Price History'!T110-1),"")</f>
        <v>-0.0331373597006949</v>
      </c>
      <c r="U110" s="142" t="n">
        <f aca="false">IFERROR(IF(OR(NOT(ISNUMBER('Price History'!U111)),NOT(ISNUMBER('Price History'!U110)),'Price History'!U110=0),"",'Price History'!U111/'Price History'!U110-1),"")</f>
        <v>-0.0317220543806647</v>
      </c>
      <c r="V110" s="143" t="n">
        <f aca="false">IFERROR(IF(OR(NOT(ISNUMBER('Price History'!V111)),NOT(ISNUMBER('Price History'!V110)),'Price History'!V110=0),"",'Price History'!V111/'Price History'!V110-1),"")</f>
        <v>-0.0176914654526594</v>
      </c>
      <c r="W110" s="144" t="n">
        <f aca="false">IFERROR('Price History'!B3+(INDEX('Price History'!B:B,MATCH(9.99E+307,'Returns (Calc)'!$A:$A)+1)-'Price History'!B3)*(ROW()-3)/(MATCH(9.99E+307,'Returns (Calc)'!$A:$A)-3),"")</f>
        <v>331.684936708861</v>
      </c>
      <c r="X110" s="144" t="n">
        <f aca="false">IFERROR('Price History'!C3+(INDEX('Price History'!C:C,MATCH(9.99E+307,'Returns (Calc)'!$A:$A)+1)-'Price History'!C3)*(ROW()-3)/(MATCH(9.99E+307,'Returns (Calc)'!$A:$A)-3),"")</f>
        <v>155.326772151899</v>
      </c>
      <c r="Y110" s="144" t="n">
        <f aca="false">IFERROR('Price History'!D3+(INDEX('Price History'!D:D,MATCH(9.99E+307,'Returns (Calc)'!$A:$A)+1)-'Price History'!D3)*(ROW()-3)/(MATCH(9.99E+307,'Returns (Calc)'!$A:$A)-3),"")</f>
        <v>1452.4346835443</v>
      </c>
      <c r="Z110" s="144" t="n">
        <f aca="false">IFERROR('Price History'!E3+(INDEX('Price History'!E:E,MATCH(9.99E+307,'Returns (Calc)'!$A:$A)+1)-'Price History'!E3)*(ROW()-3)/(MATCH(9.99E+307,'Returns (Calc)'!$A:$A)-3),"")</f>
        <v>266.974556962025</v>
      </c>
      <c r="AA110" s="144" t="n">
        <f aca="false">IFERROR('Price History'!F3+(INDEX('Price History'!F:F,MATCH(9.99E+307,'Returns (Calc)'!$A:$A)+1)-'Price History'!F3)*(ROW()-3)/(MATCH(9.99E+307,'Returns (Calc)'!$A:$A)-3),"")</f>
        <v>196.225569620253</v>
      </c>
      <c r="AB110" s="144" t="n">
        <f aca="false">IFERROR('Price History'!G3+(INDEX('Price History'!G:G,MATCH(9.99E+307,'Returns (Calc)'!$A:$A)+1)-'Price History'!G3)*(ROW()-3)/(MATCH(9.99E+307,'Returns (Calc)'!$A:$A)-3),"")</f>
        <v>154.424556962025</v>
      </c>
      <c r="AC110" s="144" t="n">
        <f aca="false">IFERROR('Price History'!H3+(INDEX('Price History'!H:H,MATCH(9.99E+307,'Returns (Calc)'!$A:$A)+1)-'Price History'!H3)*(ROW()-3)/(MATCH(9.99E+307,'Returns (Calc)'!$A:$A)-3),"")</f>
        <v>750.239493670886</v>
      </c>
      <c r="AD110" s="144" t="n">
        <f aca="false">IFERROR('Price History'!I3+(INDEX('Price History'!I:I,MATCH(9.99E+307,'Returns (Calc)'!$A:$A)+1)-'Price History'!I3)*(ROW()-3)/(MATCH(9.99E+307,'Returns (Calc)'!$A:$A)-3),"")</f>
        <v>172.562784810127</v>
      </c>
      <c r="AE110" s="144" t="n">
        <f aca="false">IFERROR('Price History'!J3+(INDEX('Price History'!J:J,MATCH(9.99E+307,'Returns (Calc)'!$A:$A)+1)-'Price History'!J3)*(ROW()-3)/(MATCH(9.99E+307,'Returns (Calc)'!$A:$A)-3),"")</f>
        <v>123.400063291139</v>
      </c>
      <c r="AF110" s="144" t="n">
        <f aca="false">IFERROR('Price History'!K3+(INDEX('Price History'!K:K,MATCH(9.99E+307,'Returns (Calc)'!$A:$A)+1)-'Price History'!K3)*(ROW()-3)/(MATCH(9.99E+307,'Returns (Calc)'!$A:$A)-3),"")</f>
        <v>132.772658227848</v>
      </c>
      <c r="AG110" s="144" t="n">
        <f aca="false">IFERROR('Price History'!L3+(INDEX('Price History'!L:L,MATCH(9.99E+307,'Returns (Calc)'!$A:$A)+1)-'Price History'!L3)*(ROW()-3)/(MATCH(9.99E+307,'Returns (Calc)'!$A:$A)-3),"")</f>
        <v>347.852594936709</v>
      </c>
      <c r="AH110" s="144" t="n">
        <f aca="false">IFERROR('Price History'!M3+(INDEX('Price History'!M:M,MATCH(9.99E+307,'Returns (Calc)'!$A:$A)+1)-'Price History'!M3)*(ROW()-3)/(MATCH(9.99E+307,'Returns (Calc)'!$A:$A)-3),"")</f>
        <v>183.052405063291</v>
      </c>
      <c r="AI110" s="144" t="n">
        <f aca="false">IFERROR('Price History'!N3+(INDEX('Price History'!N:N,MATCH(9.99E+307,'Returns (Calc)'!$A:$A)+1)-'Price History'!N3)*(ROW()-3)/(MATCH(9.99E+307,'Returns (Calc)'!$A:$A)-3),"")</f>
        <v>454.430443037975</v>
      </c>
      <c r="AJ110" s="144" t="n">
        <f aca="false">IFERROR('Price History'!O3+(INDEX('Price History'!O:O,MATCH(9.99E+307,'Returns (Calc)'!$A:$A)+1)-'Price History'!O3)*(ROW()-3)/(MATCH(9.99E+307,'Returns (Calc)'!$A:$A)-3),"")</f>
        <v>105.595063291139</v>
      </c>
      <c r="AK110" s="144" t="n">
        <f aca="false">IFERROR('Price History'!Q3+(INDEX('Price History'!Q:Q,MATCH(9.99E+307,'Returns (Calc)'!$A:$A)+1)-'Price History'!Q3)*(ROW()-3)/(MATCH(9.99E+307,'Returns (Calc)'!$A:$A)-3),"")</f>
        <v>47.0122784810127</v>
      </c>
      <c r="AL110" s="144" t="n">
        <f aca="false">IFERROR('Price History'!R3+(INDEX('Price History'!R:R,MATCH(9.99E+307,'Returns (Calc)'!$A:$A)+1)-'Price History'!R3)*(ROW()-3)/(MATCH(9.99E+307,'Returns (Calc)'!$A:$A)-3),"")</f>
        <v>52.466835443038</v>
      </c>
      <c r="AM110" s="144" t="n">
        <f aca="false">IFERROR('Price History'!S3+(INDEX('Price History'!S:S,MATCH(9.99E+307,'Returns (Calc)'!$A:$A)+1)-'Price History'!S3)*(ROW()-3)/(MATCH(9.99E+307,'Returns (Calc)'!$A:$A)-3),"")</f>
        <v>122.371772151899</v>
      </c>
      <c r="AN110" s="144" t="n">
        <f aca="false">IFERROR('Price History'!T3+(INDEX('Price History'!T:T,MATCH(9.99E+307,'Returns (Calc)'!$A:$A)+1)-'Price History'!T3)*(ROW()-3)/(MATCH(9.99E+307,'Returns (Calc)'!$A:$A)-3),"")</f>
        <v>43.2403797468354</v>
      </c>
      <c r="AO110" s="145" t="n">
        <f aca="false">IFERROR('Price History'!V3+(INDEX('Price History'!V:V,MATCH(9.99E+307,'Returns (Calc)'!$A:$A)+1)-'Price History'!V3)*(ROW()-3)/(MATCH(9.99E+307,'Returns (Calc)'!$A:$A)-3),"")</f>
        <v>320.302215189873</v>
      </c>
      <c r="AP110" s="143" t="n">
        <f aca="false">IFERROR(IF(OR(NOT(ISNUMBER('Price History'!W111)),NOT(ISNUMBER('Price History'!W110)),'Price History'!W110=0),"",'Price History'!W111/'Price History'!W110-1),"")</f>
        <v>-0.0288050951726134</v>
      </c>
      <c r="AQ110" s="143" t="str">
        <f aca="false">IFERROR(IF(OR(NOT(ISNUMBER('Price History'!X111)),NOT(ISNUMBER('Price History'!X110)),'Price History'!X110=0),"",'Price History'!X111/'Price History'!X110-1),"")</f>
        <v/>
      </c>
      <c r="AR110" s="143" t="n">
        <f aca="false">IFERROR(IF(OR(NOT(ISNUMBER('Price History'!Y111)),NOT(ISNUMBER('Price History'!Y110)),'Price History'!Y110=0),"",'Price History'!Y111/'Price History'!Y110-1),"")</f>
        <v>-0.0180402582605392</v>
      </c>
      <c r="AS110" s="143" t="n">
        <f aca="false">IFERROR(IF(OR(NOT(ISNUMBER('Price History'!Z111)),NOT(ISNUMBER('Price History'!Z110)),'Price History'!Z110=0),"",'Price History'!Z111/'Price History'!Z110-1),"")</f>
        <v>-0.0185560738186981</v>
      </c>
      <c r="AT110" s="143" t="n">
        <f aca="false">IFERROR(IF(OR(NOT(ISNUMBER('Price History'!AA111)),NOT(ISNUMBER('Price History'!AA110)),'Price History'!AA110=0),"",'Price History'!AA111/'Price History'!AA110-1),"")</f>
        <v>0.0579207491545999</v>
      </c>
    </row>
    <row r="111" customFormat="false" ht="15" hidden="false" customHeight="true" outlineLevel="0" collapsed="false">
      <c r="A111" s="141" t="n">
        <f aca="false">IF('Price History'!A112="","",'Price History'!A112)</f>
        <v>45947</v>
      </c>
      <c r="B111" s="142" t="n">
        <f aca="false">IFERROR(IF(OR(NOT(ISNUMBER('Price History'!B112)),NOT(ISNUMBER('Price History'!B111)),'Price History'!B111=0),"",'Price History'!B112/'Price History'!B111-1),"")</f>
        <v>-0.0125922194897929</v>
      </c>
      <c r="C111" s="142" t="n">
        <f aca="false">IFERROR(IF(OR(NOT(ISNUMBER('Price History'!C112)),NOT(ISNUMBER('Price History'!C111)),'Price History'!C111=0),"",'Price History'!C112/'Price History'!C111-1),"")</f>
        <v>-0.0713822193380922</v>
      </c>
      <c r="D111" s="142" t="n">
        <f aca="false">IFERROR(IF(OR(NOT(ISNUMBER('Price History'!D112)),NOT(ISNUMBER('Price History'!D111)),'Price History'!D111=0),"",'Price History'!D112/'Price History'!D111-1),"")</f>
        <v>0.0994236930950692</v>
      </c>
      <c r="E111" s="142" t="n">
        <f aca="false">IFERROR(IF(OR(NOT(ISNUMBER('Price History'!E112)),NOT(ISNUMBER('Price History'!E111)),'Price History'!E111=0),"",'Price History'!E112/'Price History'!E111-1),"")</f>
        <v>0.0760947149551563</v>
      </c>
      <c r="F111" s="142" t="n">
        <f aca="false">IFERROR(IF(OR(NOT(ISNUMBER('Price History'!F112)),NOT(ISNUMBER('Price History'!F111)),'Price History'!F111=0),"",'Price History'!F112/'Price History'!F111-1),"")</f>
        <v>-0.0183114568141306</v>
      </c>
      <c r="G111" s="142" t="n">
        <f aca="false">IFERROR(IF(OR(NOT(ISNUMBER('Price History'!G112)),NOT(ISNUMBER('Price History'!G111)),'Price History'!G111=0),"",'Price History'!G112/'Price History'!G111-1),"")</f>
        <v>0.126035805626598</v>
      </c>
      <c r="H111" s="142" t="n">
        <f aca="false">IFERROR(IF(OR(NOT(ISNUMBER('Price History'!H112)),NOT(ISNUMBER('Price History'!H111)),'Price History'!H111=0),"",'Price History'!H112/'Price History'!H111-1),"")</f>
        <v>0.114430603020615</v>
      </c>
      <c r="I111" s="142" t="n">
        <f aca="false">IFERROR(IF(OR(NOT(ISNUMBER('Price History'!I112)),NOT(ISNUMBER('Price History'!I111)),'Price History'!I111=0),"",'Price History'!I112/'Price History'!I111-1),"")</f>
        <v>0.00032837127845875</v>
      </c>
      <c r="J111" s="142" t="n">
        <f aca="false">IFERROR(IF(OR(NOT(ISNUMBER('Price History'!J112)),NOT(ISNUMBER('Price History'!J111)),'Price History'!J111=0),"",'Price History'!J112/'Price History'!J111-1),"")</f>
        <v>0.115541543026706</v>
      </c>
      <c r="K111" s="142" t="n">
        <f aca="false">IFERROR(IF(OR(NOT(ISNUMBER('Price History'!K112)),NOT(ISNUMBER('Price History'!K111)),'Price History'!K111=0),"",'Price History'!K112/'Price History'!K111-1),"")</f>
        <v>0.0154468764249887</v>
      </c>
      <c r="L111" s="142" t="n">
        <f aca="false">IFERROR(IF(OR(NOT(ISNUMBER('Price History'!L112)),NOT(ISNUMBER('Price History'!L111)),'Price History'!L111=0),"",'Price History'!L112/'Price History'!L111-1),"")</f>
        <v>0.0513826875990204</v>
      </c>
      <c r="M111" s="142" t="n">
        <f aca="false">IFERROR(IF(OR(NOT(ISNUMBER('Price History'!M112)),NOT(ISNUMBER('Price History'!M111)),'Price History'!M111=0),"",'Price History'!M112/'Price History'!M111-1),"")</f>
        <v>0.0294971272878042</v>
      </c>
      <c r="N111" s="142" t="n">
        <f aca="false">IFERROR(IF(OR(NOT(ISNUMBER('Price History'!N112)),NOT(ISNUMBER('Price History'!N111)),'Price History'!N111=0),"",'Price History'!N112/'Price History'!N111-1),"")</f>
        <v>0.022119228034037</v>
      </c>
      <c r="O111" s="142" t="n">
        <f aca="false">IFERROR(IF(OR(NOT(ISNUMBER('Price History'!O112)),NOT(ISNUMBER('Price History'!O111)),'Price History'!O111=0),"",'Price History'!O112/'Price History'!O111-1),"")</f>
        <v>0.0195848855774348</v>
      </c>
      <c r="P111" s="142" t="n">
        <f aca="false">IFERROR(IF(OR(NOT(ISNUMBER('Price History'!P112)),NOT(ISNUMBER('Price History'!P111)),'Price History'!P111=0),"",'Price History'!P112/'Price History'!P111-1),"")</f>
        <v>0.0146915523573945</v>
      </c>
      <c r="Q111" s="142" t="n">
        <f aca="false">IFERROR(IF(OR(NOT(ISNUMBER('Price History'!Q112)),NOT(ISNUMBER('Price History'!Q111)),'Price History'!Q111=0),"",'Price History'!Q112/'Price History'!Q111-1),"")</f>
        <v>0.00985915492957745</v>
      </c>
      <c r="R111" s="142" t="n">
        <f aca="false">IFERROR(IF(OR(NOT(ISNUMBER('Price History'!R112)),NOT(ISNUMBER('Price History'!R111)),'Price History'!R111=0),"",'Price History'!R112/'Price History'!R111-1),"")</f>
        <v>0.0205506783719074</v>
      </c>
      <c r="S111" s="142" t="n">
        <f aca="false">IFERROR(IF(OR(NOT(ISNUMBER('Price History'!S112)),NOT(ISNUMBER('Price History'!S111)),'Price History'!S111=0),"",'Price History'!S112/'Price History'!S111-1),"")</f>
        <v>0.0161688366947492</v>
      </c>
      <c r="T111" s="142" t="n">
        <f aca="false">IFERROR(IF(OR(NOT(ISNUMBER('Price History'!T112)),NOT(ISNUMBER('Price History'!T111)),'Price History'!T111=0),"",'Price History'!T112/'Price History'!T111-1),"")</f>
        <v>0.0140961857379767</v>
      </c>
      <c r="U111" s="142" t="n">
        <f aca="false">IFERROR(IF(OR(NOT(ISNUMBER('Price History'!U112)),NOT(ISNUMBER('Price History'!U111)),'Price History'!U111=0),"",'Price History'!U112/'Price History'!U111-1),"")</f>
        <v>0.00936037441497661</v>
      </c>
      <c r="V111" s="143" t="n">
        <f aca="false">IFERROR(IF(OR(NOT(ISNUMBER('Price History'!V112)),NOT(ISNUMBER('Price History'!V111)),'Price History'!V111=0),"",'Price History'!V112/'Price History'!V111-1),"")</f>
        <v>-0.00510383667722636</v>
      </c>
      <c r="W111" s="144" t="n">
        <f aca="false">IFERROR('Price History'!B3+(INDEX('Price History'!B:B,MATCH(9.99E+307,'Returns (Calc)'!$A:$A)+1)-'Price History'!B3)*(ROW()-3)/(MATCH(9.99E+307,'Returns (Calc)'!$A:$A)-3),"")</f>
        <v>329.841898734177</v>
      </c>
      <c r="X111" s="144" t="n">
        <f aca="false">IFERROR('Price History'!C3+(INDEX('Price History'!C:C,MATCH(9.99E+307,'Returns (Calc)'!$A:$A)+1)-'Price History'!C3)*(ROW()-3)/(MATCH(9.99E+307,'Returns (Calc)'!$A:$A)-3),"")</f>
        <v>156.346835443038</v>
      </c>
      <c r="Y111" s="144" t="n">
        <f aca="false">IFERROR('Price History'!D3+(INDEX('Price History'!D:D,MATCH(9.99E+307,'Returns (Calc)'!$A:$A)+1)-'Price History'!D3)*(ROW()-3)/(MATCH(9.99E+307,'Returns (Calc)'!$A:$A)-3),"")</f>
        <v>1460.56949367089</v>
      </c>
      <c r="Z111" s="144" t="n">
        <f aca="false">IFERROR('Price History'!E3+(INDEX('Price History'!E:E,MATCH(9.99E+307,'Returns (Calc)'!$A:$A)+1)-'Price History'!E3)*(ROW()-3)/(MATCH(9.99E+307,'Returns (Calc)'!$A:$A)-3),"")</f>
        <v>268.703291139241</v>
      </c>
      <c r="AA111" s="144" t="n">
        <f aca="false">IFERROR('Price History'!F3+(INDEX('Price History'!F:F,MATCH(9.99E+307,'Returns (Calc)'!$A:$A)+1)-'Price History'!F3)*(ROW()-3)/(MATCH(9.99E+307,'Returns (Calc)'!$A:$A)-3),"")</f>
        <v>197.672911392405</v>
      </c>
      <c r="AB111" s="144" t="n">
        <f aca="false">IFERROR('Price History'!G3+(INDEX('Price History'!G:G,MATCH(9.99E+307,'Returns (Calc)'!$A:$A)+1)-'Price History'!G3)*(ROW()-3)/(MATCH(9.99E+307,'Returns (Calc)'!$A:$A)-3),"")</f>
        <v>155.453291139241</v>
      </c>
      <c r="AC111" s="144" t="n">
        <f aca="false">IFERROR('Price History'!H3+(INDEX('Price History'!H:H,MATCH(9.99E+307,'Returns (Calc)'!$A:$A)+1)-'Price History'!H3)*(ROW()-3)/(MATCH(9.99E+307,'Returns (Calc)'!$A:$A)-3),"")</f>
        <v>756.605189873418</v>
      </c>
      <c r="AD111" s="144" t="n">
        <f aca="false">IFERROR('Price History'!I3+(INDEX('Price History'!I:I,MATCH(9.99E+307,'Returns (Calc)'!$A:$A)+1)-'Price History'!I3)*(ROW()-3)/(MATCH(9.99E+307,'Returns (Calc)'!$A:$A)-3),"")</f>
        <v>173.766455696203</v>
      </c>
      <c r="AE111" s="144" t="n">
        <f aca="false">IFERROR('Price History'!J3+(INDEX('Price History'!J:J,MATCH(9.99E+307,'Returns (Calc)'!$A:$A)+1)-'Price History'!J3)*(ROW()-3)/(MATCH(9.99E+307,'Returns (Calc)'!$A:$A)-3),"")</f>
        <v>123.508101265823</v>
      </c>
      <c r="AF111" s="144" t="n">
        <f aca="false">IFERROR('Price History'!K3+(INDEX('Price History'!K:K,MATCH(9.99E+307,'Returns (Calc)'!$A:$A)+1)-'Price History'!K3)*(ROW()-3)/(MATCH(9.99E+307,'Returns (Calc)'!$A:$A)-3),"")</f>
        <v>133.870253164557</v>
      </c>
      <c r="AG111" s="144" t="n">
        <f aca="false">IFERROR('Price History'!L3+(INDEX('Price History'!L:L,MATCH(9.99E+307,'Returns (Calc)'!$A:$A)+1)-'Price History'!L3)*(ROW()-3)/(MATCH(9.99E+307,'Returns (Calc)'!$A:$A)-3),"")</f>
        <v>350.302151898734</v>
      </c>
      <c r="AH111" s="144" t="n">
        <f aca="false">IFERROR('Price History'!M3+(INDEX('Price History'!M:M,MATCH(9.99E+307,'Returns (Calc)'!$A:$A)+1)-'Price History'!M3)*(ROW()-3)/(MATCH(9.99E+307,'Returns (Calc)'!$A:$A)-3),"")</f>
        <v>184.407848101266</v>
      </c>
      <c r="AI111" s="144" t="n">
        <f aca="false">IFERROR('Price History'!N3+(INDEX('Price History'!N:N,MATCH(9.99E+307,'Returns (Calc)'!$A:$A)+1)-'Price History'!N3)*(ROW()-3)/(MATCH(9.99E+307,'Returns (Calc)'!$A:$A)-3),"")</f>
        <v>455.41670886076</v>
      </c>
      <c r="AJ111" s="144" t="n">
        <f aca="false">IFERROR('Price History'!O3+(INDEX('Price History'!O:O,MATCH(9.99E+307,'Returns (Calc)'!$A:$A)+1)-'Price History'!O3)*(ROW()-3)/(MATCH(9.99E+307,'Returns (Calc)'!$A:$A)-3),"")</f>
        <v>105.878101265823</v>
      </c>
      <c r="AK111" s="144" t="n">
        <f aca="false">IFERROR('Price History'!Q3+(INDEX('Price History'!Q:Q,MATCH(9.99E+307,'Returns (Calc)'!$A:$A)+1)-'Price History'!Q3)*(ROW()-3)/(MATCH(9.99E+307,'Returns (Calc)'!$A:$A)-3),"")</f>
        <v>47.4516455696203</v>
      </c>
      <c r="AL111" s="144" t="n">
        <f aca="false">IFERROR('Price History'!R3+(INDEX('Price History'!R:R,MATCH(9.99E+307,'Returns (Calc)'!$A:$A)+1)-'Price History'!R3)*(ROW()-3)/(MATCH(9.99E+307,'Returns (Calc)'!$A:$A)-3),"")</f>
        <v>52.6349367088608</v>
      </c>
      <c r="AM111" s="144" t="n">
        <f aca="false">IFERROR('Price History'!S3+(INDEX('Price History'!S:S,MATCH(9.99E+307,'Returns (Calc)'!$A:$A)+1)-'Price History'!S3)*(ROW()-3)/(MATCH(9.99E+307,'Returns (Calc)'!$A:$A)-3),"")</f>
        <v>122.976835443038</v>
      </c>
      <c r="AN111" s="144" t="n">
        <f aca="false">IFERROR('Price History'!T3+(INDEX('Price History'!T:T,MATCH(9.99E+307,'Returns (Calc)'!$A:$A)+1)-'Price History'!T3)*(ROW()-3)/(MATCH(9.99E+307,'Returns (Calc)'!$A:$A)-3),"")</f>
        <v>43.4086075949367</v>
      </c>
      <c r="AO111" s="145" t="n">
        <f aca="false">IFERROR('Price History'!V3+(INDEX('Price History'!V:V,MATCH(9.99E+307,'Returns (Calc)'!$A:$A)+1)-'Price History'!V3)*(ROW()-3)/(MATCH(9.99E+307,'Returns (Calc)'!$A:$A)-3),"")</f>
        <v>321.093544303798</v>
      </c>
      <c r="AP111" s="143" t="n">
        <f aca="false">IFERROR(IF(OR(NOT(ISNUMBER('Price History'!W112)),NOT(ISNUMBER('Price History'!W111)),'Price History'!W111=0),"",'Price History'!W112/'Price History'!W111-1),"")</f>
        <v>0.0191519487294134</v>
      </c>
      <c r="AQ111" s="143" t="str">
        <f aca="false">IFERROR(IF(OR(NOT(ISNUMBER('Price History'!X112)),NOT(ISNUMBER('Price History'!X111)),'Price History'!X111=0),"",'Price History'!X112/'Price History'!X111-1),"")</f>
        <v/>
      </c>
      <c r="AR111" s="143" t="n">
        <f aca="false">IFERROR(IF(OR(NOT(ISNUMBER('Price History'!Y112)),NOT(ISNUMBER('Price History'!Y111)),'Price History'!Y111=0),"",'Price History'!Y112/'Price History'!Y111-1),"")</f>
        <v>0.0152775091858441</v>
      </c>
      <c r="AS111" s="143" t="n">
        <f aca="false">IFERROR(IF(OR(NOT(ISNUMBER('Price History'!Z112)),NOT(ISNUMBER('Price History'!Z111)),'Price History'!Z111=0),"",'Price History'!Z112/'Price History'!Z111-1),"")</f>
        <v>0.0296862623549266</v>
      </c>
      <c r="AT111" s="143" t="n">
        <f aca="false">IFERROR(IF(OR(NOT(ISNUMBER('Price History'!AA112)),NOT(ISNUMBER('Price History'!AA111)),'Price History'!AA111=0),"",'Price History'!AA112/'Price History'!AA111-1),"")</f>
        <v>-0.0169658224735678</v>
      </c>
    </row>
    <row r="112" customFormat="false" ht="15" hidden="false" customHeight="true" outlineLevel="0" collapsed="false">
      <c r="A112" s="141" t="n">
        <f aca="false">IF('Price History'!A113="","",'Price History'!A113)</f>
        <v>45954</v>
      </c>
      <c r="B112" s="142" t="n">
        <f aca="false">IFERROR(IF(OR(NOT(ISNUMBER('Price History'!B113)),NOT(ISNUMBER('Price History'!B112)),'Price History'!B112=0),"",'Price History'!B113/'Price History'!B112-1),"")</f>
        <v>0.0607933745423992</v>
      </c>
      <c r="C112" s="142" t="n">
        <f aca="false">IFERROR(IF(OR(NOT(ISNUMBER('Price History'!C113)),NOT(ISNUMBER('Price History'!C112)),'Price History'!C112=0),"",'Price History'!C113/'Price History'!C112-1),"")</f>
        <v>0.0749126484975542</v>
      </c>
      <c r="D112" s="142" t="n">
        <f aca="false">IFERROR(IF(OR(NOT(ISNUMBER('Price History'!D113)),NOT(ISNUMBER('Price History'!D112)),'Price History'!D112=0),"",'Price History'!D113/'Price History'!D112-1),"")</f>
        <v>0.00372605204737253</v>
      </c>
      <c r="E112" s="142" t="n">
        <f aca="false">IFERROR(IF(OR(NOT(ISNUMBER('Price History'!E113)),NOT(ISNUMBER('Price History'!E112)),'Price History'!E112=0),"",'Price History'!E113/'Price History'!E112-1),"")</f>
        <v>0.0137563085796684</v>
      </c>
      <c r="F112" s="142" t="n">
        <f aca="false">IFERROR(IF(OR(NOT(ISNUMBER('Price History'!F113)),NOT(ISNUMBER('Price History'!F112)),'Price History'!F112=0),"",'Price History'!F113/'Price History'!F112-1),"")</f>
        <v>0.0880653681082868</v>
      </c>
      <c r="G112" s="142" t="n">
        <f aca="false">IFERROR(IF(OR(NOT(ISNUMBER('Price History'!G113)),NOT(ISNUMBER('Price History'!G112)),'Price History'!G112=0),"",'Price History'!G113/'Price History'!G112-1),"")</f>
        <v>0.0688652675570094</v>
      </c>
      <c r="H112" s="142" t="n">
        <f aca="false">IFERROR(IF(OR(NOT(ISNUMBER('Price History'!H113)),NOT(ISNUMBER('Price History'!H112)),'Price History'!H112=0),"",'Price History'!H113/'Price History'!H112-1),"")</f>
        <v>0.082253437530913</v>
      </c>
      <c r="I112" s="142" t="n">
        <f aca="false">IFERROR(IF(OR(NOT(ISNUMBER('Price History'!I113)),NOT(ISNUMBER('Price History'!I112)),'Price History'!I112=0),"",'Price History'!I113/'Price History'!I112-1),"")</f>
        <v>0.0165773060509902</v>
      </c>
      <c r="J112" s="142" t="n">
        <f aca="false">IFERROR(IF(OR(NOT(ISNUMBER('Price History'!J113)),NOT(ISNUMBER('Price History'!J112)),'Price History'!J112=0),"",'Price History'!J113/'Price History'!J112-1),"")</f>
        <v>0.0189526184538653</v>
      </c>
      <c r="K112" s="142" t="n">
        <f aca="false">IFERROR(IF(OR(NOT(ISNUMBER('Price History'!K113)),NOT(ISNUMBER('Price History'!K112)),'Price History'!K112=0),"",'Price History'!K113/'Price History'!K112-1),"")</f>
        <v>0.0363738422677518</v>
      </c>
      <c r="L112" s="142" t="n">
        <f aca="false">IFERROR(IF(OR(NOT(ISNUMBER('Price History'!L113)),NOT(ISNUMBER('Price History'!L112)),'Price History'!L112=0),"",'Price History'!L113/'Price History'!L112-1),"")</f>
        <v>-0.000410972978526658</v>
      </c>
      <c r="M112" s="142" t="n">
        <f aca="false">IFERROR(IF(OR(NOT(ISNUMBER('Price History'!M113)),NOT(ISNUMBER('Price History'!M112)),'Price History'!M112=0),"",'Price History'!M113/'Price History'!M112-1),"")</f>
        <v>0.0693285771819805</v>
      </c>
      <c r="N112" s="142" t="n">
        <f aca="false">IFERROR(IF(OR(NOT(ISNUMBER('Price History'!N113)),NOT(ISNUMBER('Price History'!N112)),'Price History'!N112=0),"",'Price History'!N113/'Price History'!N112-1),"")</f>
        <v>0.0109882200523019</v>
      </c>
      <c r="O112" s="142" t="n">
        <f aca="false">IFERROR(IF(OR(NOT(ISNUMBER('Price History'!O113)),NOT(ISNUMBER('Price History'!O112)),'Price History'!O112=0),"",'Price History'!O113/'Price History'!O112-1),"")</f>
        <v>0.0294393986846226</v>
      </c>
      <c r="P112" s="142" t="n">
        <f aca="false">IFERROR(IF(OR(NOT(ISNUMBER('Price History'!P113)),NOT(ISNUMBER('Price History'!P112)),'Price History'!P112=0),"",'Price History'!P113/'Price History'!P112-1),"")</f>
        <v>0.0169904705621629</v>
      </c>
      <c r="Q112" s="142" t="n">
        <f aca="false">IFERROR(IF(OR(NOT(ISNUMBER('Price History'!Q113)),NOT(ISNUMBER('Price History'!Q112)),'Price History'!Q112=0),"",'Price History'!Q113/'Price History'!Q112-1),"")</f>
        <v>0.0100728343406169</v>
      </c>
      <c r="R112" s="142" t="n">
        <f aca="false">IFERROR(IF(OR(NOT(ISNUMBER('Price History'!R113)),NOT(ISNUMBER('Price History'!R112)),'Price History'!R112=0),"",'Price History'!R113/'Price History'!R112-1),"")</f>
        <v>0.0185728250244379</v>
      </c>
      <c r="S112" s="142" t="n">
        <f aca="false">IFERROR(IF(OR(NOT(ISNUMBER('Price History'!S113)),NOT(ISNUMBER('Price History'!S112)),'Price History'!S112=0),"",'Price History'!S113/'Price History'!S112-1),"")</f>
        <v>0.0107193702369985</v>
      </c>
      <c r="T112" s="142" t="n">
        <f aca="false">IFERROR(IF(OR(NOT(ISNUMBER('Price History'!T113)),NOT(ISNUMBER('Price History'!T112)),'Price History'!T112=0),"",'Price History'!T113/'Price History'!T112-1),"")</f>
        <v>0.0258926137912239</v>
      </c>
      <c r="U112" s="142" t="n">
        <f aca="false">IFERROR(IF(OR(NOT(ISNUMBER('Price History'!U113)),NOT(ISNUMBER('Price History'!U112)),'Price History'!U112=0),"",'Price History'!U113/'Price History'!U112-1),"")</f>
        <v>0.00888717156105101</v>
      </c>
      <c r="V112" s="143" t="n">
        <f aca="false">IFERROR(IF(OR(NOT(ISNUMBER('Price History'!V113)),NOT(ISNUMBER('Price History'!V112)),'Price History'!V112=0),"",'Price History'!V113/'Price History'!V112-1),"")</f>
        <v>0.0160386815260334</v>
      </c>
      <c r="W112" s="144" t="n">
        <f aca="false">IFERROR('Price History'!B3+(INDEX('Price History'!B:B,MATCH(9.99E+307,'Returns (Calc)'!$A:$A)+1)-'Price History'!B3)*(ROW()-3)/(MATCH(9.99E+307,'Returns (Calc)'!$A:$A)-3),"")</f>
        <v>327.998860759494</v>
      </c>
      <c r="X112" s="144" t="n">
        <f aca="false">IFERROR('Price History'!C3+(INDEX('Price History'!C:C,MATCH(9.99E+307,'Returns (Calc)'!$A:$A)+1)-'Price History'!C3)*(ROW()-3)/(MATCH(9.99E+307,'Returns (Calc)'!$A:$A)-3),"")</f>
        <v>157.366898734177</v>
      </c>
      <c r="Y112" s="144" t="n">
        <f aca="false">IFERROR('Price History'!D3+(INDEX('Price History'!D:D,MATCH(9.99E+307,'Returns (Calc)'!$A:$A)+1)-'Price History'!D3)*(ROW()-3)/(MATCH(9.99E+307,'Returns (Calc)'!$A:$A)-3),"")</f>
        <v>1468.70430379747</v>
      </c>
      <c r="Z112" s="144" t="n">
        <f aca="false">IFERROR('Price History'!E3+(INDEX('Price History'!E:E,MATCH(9.99E+307,'Returns (Calc)'!$A:$A)+1)-'Price History'!E3)*(ROW()-3)/(MATCH(9.99E+307,'Returns (Calc)'!$A:$A)-3),"")</f>
        <v>270.432025316456</v>
      </c>
      <c r="AA112" s="144" t="n">
        <f aca="false">IFERROR('Price History'!F3+(INDEX('Price History'!F:F,MATCH(9.99E+307,'Returns (Calc)'!$A:$A)+1)-'Price History'!F3)*(ROW()-3)/(MATCH(9.99E+307,'Returns (Calc)'!$A:$A)-3),"")</f>
        <v>199.120253164557</v>
      </c>
      <c r="AB112" s="144" t="n">
        <f aca="false">IFERROR('Price History'!G3+(INDEX('Price History'!G:G,MATCH(9.99E+307,'Returns (Calc)'!$A:$A)+1)-'Price History'!G3)*(ROW()-3)/(MATCH(9.99E+307,'Returns (Calc)'!$A:$A)-3),"")</f>
        <v>156.482025316456</v>
      </c>
      <c r="AC112" s="144" t="n">
        <f aca="false">IFERROR('Price History'!H3+(INDEX('Price History'!H:H,MATCH(9.99E+307,'Returns (Calc)'!$A:$A)+1)-'Price History'!H3)*(ROW()-3)/(MATCH(9.99E+307,'Returns (Calc)'!$A:$A)-3),"")</f>
        <v>762.970886075949</v>
      </c>
      <c r="AD112" s="144" t="n">
        <f aca="false">IFERROR('Price History'!I3+(INDEX('Price History'!I:I,MATCH(9.99E+307,'Returns (Calc)'!$A:$A)+1)-'Price History'!I3)*(ROW()-3)/(MATCH(9.99E+307,'Returns (Calc)'!$A:$A)-3),"")</f>
        <v>174.970126582278</v>
      </c>
      <c r="AE112" s="144" t="n">
        <f aca="false">IFERROR('Price History'!J3+(INDEX('Price History'!J:J,MATCH(9.99E+307,'Returns (Calc)'!$A:$A)+1)-'Price History'!J3)*(ROW()-3)/(MATCH(9.99E+307,'Returns (Calc)'!$A:$A)-3),"")</f>
        <v>123.616139240506</v>
      </c>
      <c r="AF112" s="144" t="n">
        <f aca="false">IFERROR('Price History'!K3+(INDEX('Price History'!K:K,MATCH(9.99E+307,'Returns (Calc)'!$A:$A)+1)-'Price History'!K3)*(ROW()-3)/(MATCH(9.99E+307,'Returns (Calc)'!$A:$A)-3),"")</f>
        <v>134.967848101266</v>
      </c>
      <c r="AG112" s="144" t="n">
        <f aca="false">IFERROR('Price History'!L3+(INDEX('Price History'!L:L,MATCH(9.99E+307,'Returns (Calc)'!$A:$A)+1)-'Price History'!L3)*(ROW()-3)/(MATCH(9.99E+307,'Returns (Calc)'!$A:$A)-3),"")</f>
        <v>352.75170886076</v>
      </c>
      <c r="AH112" s="144" t="n">
        <f aca="false">IFERROR('Price History'!M3+(INDEX('Price History'!M:M,MATCH(9.99E+307,'Returns (Calc)'!$A:$A)+1)-'Price History'!M3)*(ROW()-3)/(MATCH(9.99E+307,'Returns (Calc)'!$A:$A)-3),"")</f>
        <v>185.763291139241</v>
      </c>
      <c r="AI112" s="144" t="n">
        <f aca="false">IFERROR('Price History'!N3+(INDEX('Price History'!N:N,MATCH(9.99E+307,'Returns (Calc)'!$A:$A)+1)-'Price History'!N3)*(ROW()-3)/(MATCH(9.99E+307,'Returns (Calc)'!$A:$A)-3),"")</f>
        <v>456.402974683544</v>
      </c>
      <c r="AJ112" s="144" t="n">
        <f aca="false">IFERROR('Price History'!O3+(INDEX('Price History'!O:O,MATCH(9.99E+307,'Returns (Calc)'!$A:$A)+1)-'Price History'!O3)*(ROW()-3)/(MATCH(9.99E+307,'Returns (Calc)'!$A:$A)-3),"")</f>
        <v>106.161139240506</v>
      </c>
      <c r="AK112" s="144" t="n">
        <f aca="false">IFERROR('Price History'!Q3+(INDEX('Price History'!Q:Q,MATCH(9.99E+307,'Returns (Calc)'!$A:$A)+1)-'Price History'!Q3)*(ROW()-3)/(MATCH(9.99E+307,'Returns (Calc)'!$A:$A)-3),"")</f>
        <v>47.8910126582278</v>
      </c>
      <c r="AL112" s="144" t="n">
        <f aca="false">IFERROR('Price History'!R3+(INDEX('Price History'!R:R,MATCH(9.99E+307,'Returns (Calc)'!$A:$A)+1)-'Price History'!R3)*(ROW()-3)/(MATCH(9.99E+307,'Returns (Calc)'!$A:$A)-3),"")</f>
        <v>52.8030379746836</v>
      </c>
      <c r="AM112" s="144" t="n">
        <f aca="false">IFERROR('Price History'!S3+(INDEX('Price History'!S:S,MATCH(9.99E+307,'Returns (Calc)'!$A:$A)+1)-'Price History'!S3)*(ROW()-3)/(MATCH(9.99E+307,'Returns (Calc)'!$A:$A)-3),"")</f>
        <v>123.581898734177</v>
      </c>
      <c r="AN112" s="144" t="n">
        <f aca="false">IFERROR('Price History'!T3+(INDEX('Price History'!T:T,MATCH(9.99E+307,'Returns (Calc)'!$A:$A)+1)-'Price History'!T3)*(ROW()-3)/(MATCH(9.99E+307,'Returns (Calc)'!$A:$A)-3),"")</f>
        <v>43.576835443038</v>
      </c>
      <c r="AO112" s="145" t="n">
        <f aca="false">IFERROR('Price History'!V3+(INDEX('Price History'!V:V,MATCH(9.99E+307,'Returns (Calc)'!$A:$A)+1)-'Price History'!V3)*(ROW()-3)/(MATCH(9.99E+307,'Returns (Calc)'!$A:$A)-3),"")</f>
        <v>321.884873417722</v>
      </c>
      <c r="AP112" s="143" t="n">
        <f aca="false">IFERROR(IF(OR(NOT(ISNUMBER('Price History'!W113)),NOT(ISNUMBER('Price History'!W112)),'Price History'!W112=0),"",'Price History'!W113/'Price History'!W112-1),"")</f>
        <v>0.0108218777420299</v>
      </c>
      <c r="AQ112" s="143" t="str">
        <f aca="false">IFERROR(IF(OR(NOT(ISNUMBER('Price History'!X113)),NOT(ISNUMBER('Price History'!X112)),'Price History'!X112=0),"",'Price History'!X113/'Price History'!X112-1),"")</f>
        <v/>
      </c>
      <c r="AR112" s="143" t="n">
        <f aca="false">IFERROR(IF(OR(NOT(ISNUMBER('Price History'!Y113)),NOT(ISNUMBER('Price History'!Y112)),'Price History'!Y112=0),"",'Price History'!Y113/'Price History'!Y112-1),"")</f>
        <v>0.0104761904761905</v>
      </c>
      <c r="AS112" s="143" t="n">
        <f aca="false">IFERROR(IF(OR(NOT(ISNUMBER('Price History'!Z113)),NOT(ISNUMBER('Price History'!Z112)),'Price History'!Z112=0),"",'Price History'!Z113/'Price History'!Z112-1),"")</f>
        <v>0.0124084417539048</v>
      </c>
      <c r="AT112" s="143" t="n">
        <f aca="false">IFERROR(IF(OR(NOT(ISNUMBER('Price History'!AA113)),NOT(ISNUMBER('Price History'!AA112)),'Price History'!AA112=0),"",'Price History'!AA113/'Price History'!AA112-1),"")</f>
        <v>-0.0872936468234117</v>
      </c>
    </row>
    <row r="113" customFormat="false" ht="15" hidden="false" customHeight="true" outlineLevel="0" collapsed="false">
      <c r="A113" s="141" t="n">
        <f aca="false">IF('Price History'!A114="","",'Price History'!A114)</f>
        <v>45961</v>
      </c>
      <c r="B113" s="142" t="n">
        <f aca="false">IFERROR(IF(OR(NOT(ISNUMBER('Price History'!B114)),NOT(ISNUMBER('Price History'!B113)),'Price History'!B113=0),"",'Price History'!B114/'Price History'!B113-1),"")</f>
        <v>-0.037367051369088</v>
      </c>
      <c r="C113" s="142" t="n">
        <f aca="false">IFERROR(IF(OR(NOT(ISNUMBER('Price History'!C114)),NOT(ISNUMBER('Price History'!C113)),'Price History'!C113=0),"",'Price History'!C114/'Price History'!C113-1),"")</f>
        <v>0.0251592770771032</v>
      </c>
      <c r="D113" s="142" t="n">
        <f aca="false">IFERROR(IF(OR(NOT(ISNUMBER('Price History'!D114)),NOT(ISNUMBER('Price History'!D113)),'Price History'!D113=0),"",'Price History'!D114/'Price History'!D113-1),"")</f>
        <v>0.0271157706023346</v>
      </c>
      <c r="E113" s="142" t="n">
        <f aca="false">IFERROR(IF(OR(NOT(ISNUMBER('Price History'!E114)),NOT(ISNUMBER('Price History'!E113)),'Price History'!E113=0),"",'Price History'!E114/'Price History'!E113-1),"")</f>
        <v>0.0437528447883477</v>
      </c>
      <c r="F113" s="142" t="n">
        <f aca="false">IFERROR(IF(OR(NOT(ISNUMBER('Price History'!F114)),NOT(ISNUMBER('Price History'!F113)),'Price History'!F113=0),"",'Price History'!F114/'Price History'!F113-1),"")</f>
        <v>0.029735265114162</v>
      </c>
      <c r="G113" s="142" t="n">
        <f aca="false">IFERROR(IF(OR(NOT(ISNUMBER('Price History'!G114)),NOT(ISNUMBER('Price History'!G113)),'Price History'!G113=0),"",'Price History'!G114/'Price History'!G113-1),"")</f>
        <v>0.0219294517637059</v>
      </c>
      <c r="H113" s="142" t="n">
        <f aca="false">IFERROR(IF(OR(NOT(ISNUMBER('Price History'!H114)),NOT(ISNUMBER('Price History'!H113)),'Price History'!H113=0),"",'Price History'!H114/'Price History'!H113-1),"")</f>
        <v>0.0216626296787168</v>
      </c>
      <c r="I113" s="142" t="n">
        <f aca="false">IFERROR(IF(OR(NOT(ISNUMBER('Price History'!I114)),NOT(ISNUMBER('Price History'!I113)),'Price History'!I113=0),"",'Price History'!I114/'Price History'!I113-1),"")</f>
        <v>0.0871858349927344</v>
      </c>
      <c r="J113" s="142" t="n">
        <f aca="false">IFERROR(IF(OR(NOT(ISNUMBER('Price History'!J114)),NOT(ISNUMBER('Price History'!J113)),'Price History'!J113=0),"",'Price History'!J114/'Price History'!J113-1),"")</f>
        <v>-0.0185185185185185</v>
      </c>
      <c r="K113" s="142" t="n">
        <f aca="false">IFERROR(IF(OR(NOT(ISNUMBER('Price History'!K114)),NOT(ISNUMBER('Price History'!K113)),'Price History'!K113=0),"",'Price History'!K114/'Price History'!K113-1),"")</f>
        <v>0.0857932080376971</v>
      </c>
      <c r="L113" s="142" t="n">
        <f aca="false">IFERROR(IF(OR(NOT(ISNUMBER('Price History'!L114)),NOT(ISNUMBER('Price History'!L113)),'Price History'!L113=0),"",'Price History'!L114/'Price History'!L113-1),"")</f>
        <v>0.0185356494329667</v>
      </c>
      <c r="M113" s="142" t="n">
        <f aca="false">IFERROR(IF(OR(NOT(ISNUMBER('Price History'!M114)),NOT(ISNUMBER('Price History'!M113)),'Price History'!M113=0),"",'Price History'!M114/'Price History'!M113-1),"")</f>
        <v>0.036532874206392</v>
      </c>
      <c r="N113" s="142" t="n">
        <f aca="false">IFERROR(IF(OR(NOT(ISNUMBER('Price History'!N114)),NOT(ISNUMBER('Price History'!N113)),'Price History'!N113=0),"",'Price History'!N114/'Price History'!N113-1),"")</f>
        <v>0.00991955195899297</v>
      </c>
      <c r="O113" s="142" t="n">
        <f aca="false">IFERROR(IF(OR(NOT(ISNUMBER('Price History'!O114)),NOT(ISNUMBER('Price History'!O113)),'Price History'!O113=0),"",'Price History'!O114/'Price History'!O113-1),"")</f>
        <v>-0.021194605009634</v>
      </c>
      <c r="P113" s="142" t="n">
        <f aca="false">IFERROR(IF(OR(NOT(ISNUMBER('Price History'!P114)),NOT(ISNUMBER('Price History'!P113)),'Price History'!P113=0),"",'Price History'!P114/'Price History'!P113-1),"")</f>
        <v>-0.0238250889808963</v>
      </c>
      <c r="Q113" s="142" t="n">
        <f aca="false">IFERROR(IF(OR(NOT(ISNUMBER('Price History'!Q114)),NOT(ISNUMBER('Price History'!Q113)),'Price History'!Q113=0),"",'Price History'!Q114/'Price History'!Q113-1),"")</f>
        <v>0.000613685179502888</v>
      </c>
      <c r="R113" s="142" t="n">
        <f aca="false">IFERROR(IF(OR(NOT(ISNUMBER('Price History'!R114)),NOT(ISNUMBER('Price History'!R113)),'Price History'!R113=0),"",'Price History'!R114/'Price History'!R113-1),"")</f>
        <v>0.00940499040307108</v>
      </c>
      <c r="S113" s="142" t="n">
        <f aca="false">IFERROR(IF(OR(NOT(ISNUMBER('Price History'!S114)),NOT(ISNUMBER('Price History'!S113)),'Price History'!S113=0),"",'Price History'!S114/'Price History'!S113-1),"")</f>
        <v>-8.28569061230855E-005</v>
      </c>
      <c r="T113" s="142" t="n">
        <f aca="false">IFERROR(IF(OR(NOT(ISNUMBER('Price History'!T114)),NOT(ISNUMBER('Price History'!T113)),'Price History'!T113=0),"",'Price History'!T114/'Price History'!T113-1),"")</f>
        <v>-0.00611052072263563</v>
      </c>
      <c r="U113" s="142" t="n">
        <f aca="false">IFERROR(IF(OR(NOT(ISNUMBER('Price History'!U114)),NOT(ISNUMBER('Price History'!U113)),'Price History'!U113=0),"",'Price History'!U114/'Price History'!U113-1),"")</f>
        <v>-0.0103408655687476</v>
      </c>
      <c r="V113" s="143" t="n">
        <f aca="false">IFERROR(IF(OR(NOT(ISNUMBER('Price History'!V114)),NOT(ISNUMBER('Price History'!V113)),'Price History'!V113=0),"",'Price History'!V114/'Price History'!V113-1),"")</f>
        <v>-0.0190934942835587</v>
      </c>
      <c r="W113" s="144" t="n">
        <f aca="false">IFERROR('Price History'!B3+(INDEX('Price History'!B:B,MATCH(9.99E+307,'Returns (Calc)'!$A:$A)+1)-'Price History'!B3)*(ROW()-3)/(MATCH(9.99E+307,'Returns (Calc)'!$A:$A)-3),"")</f>
        <v>326.15582278481</v>
      </c>
      <c r="X113" s="144" t="n">
        <f aca="false">IFERROR('Price History'!C3+(INDEX('Price History'!C:C,MATCH(9.99E+307,'Returns (Calc)'!$A:$A)+1)-'Price History'!C3)*(ROW()-3)/(MATCH(9.99E+307,'Returns (Calc)'!$A:$A)-3),"")</f>
        <v>158.386962025316</v>
      </c>
      <c r="Y113" s="144" t="n">
        <f aca="false">IFERROR('Price History'!D3+(INDEX('Price History'!D:D,MATCH(9.99E+307,'Returns (Calc)'!$A:$A)+1)-'Price History'!D3)*(ROW()-3)/(MATCH(9.99E+307,'Returns (Calc)'!$A:$A)-3),"")</f>
        <v>1476.83911392405</v>
      </c>
      <c r="Z113" s="144" t="n">
        <f aca="false">IFERROR('Price History'!E3+(INDEX('Price History'!E:E,MATCH(9.99E+307,'Returns (Calc)'!$A:$A)+1)-'Price History'!E3)*(ROW()-3)/(MATCH(9.99E+307,'Returns (Calc)'!$A:$A)-3),"")</f>
        <v>272.160759493671</v>
      </c>
      <c r="AA113" s="144" t="n">
        <f aca="false">IFERROR('Price History'!F3+(INDEX('Price History'!F:F,MATCH(9.99E+307,'Returns (Calc)'!$A:$A)+1)-'Price History'!F3)*(ROW()-3)/(MATCH(9.99E+307,'Returns (Calc)'!$A:$A)-3),"")</f>
        <v>200.567594936709</v>
      </c>
      <c r="AB113" s="144" t="n">
        <f aca="false">IFERROR('Price History'!G3+(INDEX('Price History'!G:G,MATCH(9.99E+307,'Returns (Calc)'!$A:$A)+1)-'Price History'!G3)*(ROW()-3)/(MATCH(9.99E+307,'Returns (Calc)'!$A:$A)-3),"")</f>
        <v>157.510759493671</v>
      </c>
      <c r="AC113" s="144" t="n">
        <f aca="false">IFERROR('Price History'!H3+(INDEX('Price History'!H:H,MATCH(9.99E+307,'Returns (Calc)'!$A:$A)+1)-'Price History'!H3)*(ROW()-3)/(MATCH(9.99E+307,'Returns (Calc)'!$A:$A)-3),"")</f>
        <v>769.336582278481</v>
      </c>
      <c r="AD113" s="144" t="n">
        <f aca="false">IFERROR('Price History'!I3+(INDEX('Price History'!I:I,MATCH(9.99E+307,'Returns (Calc)'!$A:$A)+1)-'Price History'!I3)*(ROW()-3)/(MATCH(9.99E+307,'Returns (Calc)'!$A:$A)-3),"")</f>
        <v>176.173797468354</v>
      </c>
      <c r="AE113" s="144" t="n">
        <f aca="false">IFERROR('Price History'!J3+(INDEX('Price History'!J:J,MATCH(9.99E+307,'Returns (Calc)'!$A:$A)+1)-'Price History'!J3)*(ROW()-3)/(MATCH(9.99E+307,'Returns (Calc)'!$A:$A)-3),"")</f>
        <v>123.72417721519</v>
      </c>
      <c r="AF113" s="144" t="n">
        <f aca="false">IFERROR('Price History'!K3+(INDEX('Price History'!K:K,MATCH(9.99E+307,'Returns (Calc)'!$A:$A)+1)-'Price History'!K3)*(ROW()-3)/(MATCH(9.99E+307,'Returns (Calc)'!$A:$A)-3),"")</f>
        <v>136.065443037975</v>
      </c>
      <c r="AG113" s="144" t="n">
        <f aca="false">IFERROR('Price History'!L3+(INDEX('Price History'!L:L,MATCH(9.99E+307,'Returns (Calc)'!$A:$A)+1)-'Price History'!L3)*(ROW()-3)/(MATCH(9.99E+307,'Returns (Calc)'!$A:$A)-3),"")</f>
        <v>355.201265822785</v>
      </c>
      <c r="AH113" s="144" t="n">
        <f aca="false">IFERROR('Price History'!M3+(INDEX('Price History'!M:M,MATCH(9.99E+307,'Returns (Calc)'!$A:$A)+1)-'Price History'!M3)*(ROW()-3)/(MATCH(9.99E+307,'Returns (Calc)'!$A:$A)-3),"")</f>
        <v>187.118734177215</v>
      </c>
      <c r="AI113" s="144" t="n">
        <f aca="false">IFERROR('Price History'!N3+(INDEX('Price History'!N:N,MATCH(9.99E+307,'Returns (Calc)'!$A:$A)+1)-'Price History'!N3)*(ROW()-3)/(MATCH(9.99E+307,'Returns (Calc)'!$A:$A)-3),"")</f>
        <v>457.389240506329</v>
      </c>
      <c r="AJ113" s="144" t="n">
        <f aca="false">IFERROR('Price History'!O3+(INDEX('Price History'!O:O,MATCH(9.99E+307,'Returns (Calc)'!$A:$A)+1)-'Price History'!O3)*(ROW()-3)/(MATCH(9.99E+307,'Returns (Calc)'!$A:$A)-3),"")</f>
        <v>106.44417721519</v>
      </c>
      <c r="AK113" s="144" t="n">
        <f aca="false">IFERROR('Price History'!Q3+(INDEX('Price History'!Q:Q,MATCH(9.99E+307,'Returns (Calc)'!$A:$A)+1)-'Price History'!Q3)*(ROW()-3)/(MATCH(9.99E+307,'Returns (Calc)'!$A:$A)-3),"")</f>
        <v>48.3303797468354</v>
      </c>
      <c r="AL113" s="144" t="n">
        <f aca="false">IFERROR('Price History'!R3+(INDEX('Price History'!R:R,MATCH(9.99E+307,'Returns (Calc)'!$A:$A)+1)-'Price History'!R3)*(ROW()-3)/(MATCH(9.99E+307,'Returns (Calc)'!$A:$A)-3),"")</f>
        <v>52.9711392405063</v>
      </c>
      <c r="AM113" s="144" t="n">
        <f aca="false">IFERROR('Price History'!S3+(INDEX('Price History'!S:S,MATCH(9.99E+307,'Returns (Calc)'!$A:$A)+1)-'Price History'!S3)*(ROW()-3)/(MATCH(9.99E+307,'Returns (Calc)'!$A:$A)-3),"")</f>
        <v>124.186962025316</v>
      </c>
      <c r="AN113" s="144" t="n">
        <f aca="false">IFERROR('Price History'!T3+(INDEX('Price History'!T:T,MATCH(9.99E+307,'Returns (Calc)'!$A:$A)+1)-'Price History'!T3)*(ROW()-3)/(MATCH(9.99E+307,'Returns (Calc)'!$A:$A)-3),"")</f>
        <v>43.7450632911392</v>
      </c>
      <c r="AO113" s="145" t="n">
        <f aca="false">IFERROR('Price History'!V3+(INDEX('Price History'!V:V,MATCH(9.99E+307,'Returns (Calc)'!$A:$A)+1)-'Price History'!V3)*(ROW()-3)/(MATCH(9.99E+307,'Returns (Calc)'!$A:$A)-3),"")</f>
        <v>322.676202531646</v>
      </c>
      <c r="AP113" s="143" t="n">
        <f aca="false">IFERROR(IF(OR(NOT(ISNUMBER('Price History'!W114)),NOT(ISNUMBER('Price History'!W113)),'Price History'!W113=0),"",'Price History'!W114/'Price History'!W113-1),"")</f>
        <v>-0.00737847222222232</v>
      </c>
      <c r="AQ113" s="143" t="str">
        <f aca="false">IFERROR(IF(OR(NOT(ISNUMBER('Price History'!X114)),NOT(ISNUMBER('Price History'!X113)),'Price History'!X113=0),"",'Price History'!X114/'Price History'!X113-1),"")</f>
        <v/>
      </c>
      <c r="AR113" s="143" t="n">
        <f aca="false">IFERROR(IF(OR(NOT(ISNUMBER('Price History'!Y114)),NOT(ISNUMBER('Price History'!Y113)),'Price History'!Y113=0),"",'Price History'!Y114/'Price History'!Y113-1),"")</f>
        <v>-0.00999057492931188</v>
      </c>
      <c r="AS113" s="143" t="n">
        <f aca="false">IFERROR(IF(OR(NOT(ISNUMBER('Price History'!Z114)),NOT(ISNUMBER('Price History'!Z113)),'Price History'!Z113=0),"",'Price History'!Z114/'Price History'!Z113-1),"")</f>
        <v>0.0167162206805418</v>
      </c>
      <c r="AT113" s="143" t="n">
        <f aca="false">IFERROR(IF(OR(NOT(ISNUMBER('Price History'!AA114)),NOT(ISNUMBER('Price History'!AA113)),'Price History'!AA113=0),"",'Price History'!AA114/'Price History'!AA113-1),"")</f>
        <v>0.0221065131999634</v>
      </c>
    </row>
    <row r="114" customFormat="false" ht="15" hidden="false" customHeight="true" outlineLevel="0" collapsed="false">
      <c r="A114" s="141" t="n">
        <f aca="false">IF('Price History'!A115="","",'Price History'!A115)</f>
        <v>45968</v>
      </c>
      <c r="B114" s="142" t="n">
        <f aca="false">IFERROR(IF(OR(NOT(ISNUMBER('Price History'!B115)),NOT(ISNUMBER('Price History'!B114)),'Price History'!B114=0),"",'Price History'!B115/'Price History'!B114-1),"")</f>
        <v>-0.0392583232934678</v>
      </c>
      <c r="C114" s="142" t="n">
        <f aca="false">IFERROR(IF(OR(NOT(ISNUMBER('Price History'!C115)),NOT(ISNUMBER('Price History'!C114)),'Price History'!C114=0),"",'Price History'!C115/'Price History'!C114-1),"")</f>
        <v>-0.146109455260321</v>
      </c>
      <c r="D114" s="142" t="n">
        <f aca="false">IFERROR(IF(OR(NOT(ISNUMBER('Price History'!D115)),NOT(ISNUMBER('Price History'!D114)),'Price History'!D114=0),"",'Price History'!D115/'Price History'!D114-1),"")</f>
        <v>-0.0399081742034018</v>
      </c>
      <c r="E114" s="142" t="n">
        <f aca="false">IFERROR(IF(OR(NOT(ISNUMBER('Price History'!E115)),NOT(ISNUMBER('Price History'!E114)),'Price History'!E114=0),"",'Price History'!E115/'Price History'!E114-1),"")</f>
        <v>-0.0546470427909511</v>
      </c>
      <c r="F114" s="142" t="n">
        <f aca="false">IFERROR(IF(OR(NOT(ISNUMBER('Price History'!F115)),NOT(ISNUMBER('Price History'!F114)),'Price History'!F114=0),"",'Price History'!F115/'Price History'!F114-1),"")</f>
        <v>-0.00589318600368327</v>
      </c>
      <c r="G114" s="142" t="n">
        <f aca="false">IFERROR(IF(OR(NOT(ISNUMBER('Price History'!G115)),NOT(ISNUMBER('Price History'!G114)),'Price History'!G114=0),"",'Price History'!G115/'Price History'!G114-1),"")</f>
        <v>-0.0127256092489395</v>
      </c>
      <c r="H114" s="142" t="n">
        <f aca="false">IFERROR(IF(OR(NOT(ISNUMBER('Price History'!H115)),NOT(ISNUMBER('Price History'!H114)),'Price History'!H114=0),"",'Price History'!H115/'Price History'!H114-1),"")</f>
        <v>0.0632520688883917</v>
      </c>
      <c r="I114" s="142" t="n">
        <f aca="false">IFERROR(IF(OR(NOT(ISNUMBER('Price History'!I115)),NOT(ISNUMBER('Price History'!I114)),'Price History'!I114=0),"",'Price History'!I115/'Price History'!I114-1),"")</f>
        <v>-0.0708380773229048</v>
      </c>
      <c r="J114" s="142" t="n">
        <f aca="false">IFERROR(IF(OR(NOT(ISNUMBER('Price History'!J115)),NOT(ISNUMBER('Price History'!J114)),'Price History'!J114=0),"",'Price History'!J115/'Price History'!J114-1),"")</f>
        <v>0.012218435707755</v>
      </c>
      <c r="K114" s="142" t="n">
        <f aca="false">IFERROR(IF(OR(NOT(ISNUMBER('Price History'!K115)),NOT(ISNUMBER('Price History'!K114)),'Price History'!K114=0),"",'Price History'!K115/'Price History'!K114-1),"")</f>
        <v>-0.112435775926573</v>
      </c>
      <c r="L114" s="142" t="n">
        <f aca="false">IFERROR(IF(OR(NOT(ISNUMBER('Price History'!L115)),NOT(ISNUMBER('Price History'!L114)),'Price History'!L114=0),"",'Price History'!L115/'Price History'!L114-1),"")</f>
        <v>-0.046353606027987</v>
      </c>
      <c r="M114" s="142" t="n">
        <f aca="false">IFERROR(IF(OR(NOT(ISNUMBER('Price History'!M115)),NOT(ISNUMBER('Price History'!M114)),'Price History'!M114=0),"",'Price History'!M115/'Price History'!M114-1),"")</f>
        <v>-0.0676875162211263</v>
      </c>
      <c r="N114" s="142" t="n">
        <f aca="false">IFERROR(IF(OR(NOT(ISNUMBER('Price History'!N115)),NOT(ISNUMBER('Price History'!N114)),'Price History'!N114=0),"",'Price History'!N115/'Price History'!N114-1),"")</f>
        <v>-0.0378316140705406</v>
      </c>
      <c r="O114" s="142" t="n">
        <f aca="false">IFERROR(IF(OR(NOT(ISNUMBER('Price History'!O115)),NOT(ISNUMBER('Price History'!O114)),'Price History'!O114=0),"",'Price History'!O115/'Price History'!O114-1),"")</f>
        <v>-0.000621632822213059</v>
      </c>
      <c r="P114" s="142" t="n">
        <f aca="false">IFERROR(IF(OR(NOT(ISNUMBER('Price History'!P115)),NOT(ISNUMBER('Price History'!P114)),'Price History'!P114=0),"",'Price History'!P115/'Price History'!P114-1),"")</f>
        <v>0.00744102983852968</v>
      </c>
      <c r="Q114" s="142" t="n">
        <f aca="false">IFERROR(IF(OR(NOT(ISNUMBER('Price History'!Q115)),NOT(ISNUMBER('Price History'!Q114)),'Price History'!Q114=0),"",'Price History'!Q115/'Price History'!Q114-1),"")</f>
        <v>-0.00505979760809561</v>
      </c>
      <c r="R114" s="142" t="n">
        <f aca="false">IFERROR(IF(OR(NOT(ISNUMBER('Price History'!R115)),NOT(ISNUMBER('Price History'!R114)),'Price History'!R114=0),"",'Price History'!R115/'Price History'!R114-1),"")</f>
        <v>-0.0155923179311657</v>
      </c>
      <c r="S114" s="142" t="n">
        <f aca="false">IFERROR(IF(OR(NOT(ISNUMBER('Price History'!S115)),NOT(ISNUMBER('Price History'!S114)),'Price History'!S114=0),"",'Price History'!S115/'Price History'!S114-1),"")</f>
        <v>-0.0260192243950945</v>
      </c>
      <c r="T114" s="142" t="n">
        <f aca="false">IFERROR(IF(OR(NOT(ISNUMBER('Price History'!T115)),NOT(ISNUMBER('Price History'!T114)),'Price History'!T114=0),"",'Price History'!T115/'Price History'!T114-1),"")</f>
        <v>0.00213846565089559</v>
      </c>
      <c r="U114" s="142" t="n">
        <f aca="false">IFERROR(IF(OR(NOT(ISNUMBER('Price History'!U115)),NOT(ISNUMBER('Price History'!U114)),'Price History'!U114=0),"",'Price History'!U115/'Price History'!U114-1),"")</f>
        <v>-0.00116099071207432</v>
      </c>
      <c r="V114" s="143" t="n">
        <f aca="false">IFERROR(IF(OR(NOT(ISNUMBER('Price History'!V115)),NOT(ISNUMBER('Price History'!V114)),'Price History'!V114=0),"",'Price History'!V115/'Price History'!V114-1),"")</f>
        <v>-0.0138740977399124</v>
      </c>
      <c r="W114" s="144" t="n">
        <f aca="false">IFERROR('Price History'!B3+(INDEX('Price History'!B:B,MATCH(9.99E+307,'Returns (Calc)'!$A:$A)+1)-'Price History'!B3)*(ROW()-3)/(MATCH(9.99E+307,'Returns (Calc)'!$A:$A)-3),"")</f>
        <v>324.312784810127</v>
      </c>
      <c r="X114" s="144" t="n">
        <f aca="false">IFERROR('Price History'!C3+(INDEX('Price History'!C:C,MATCH(9.99E+307,'Returns (Calc)'!$A:$A)+1)-'Price History'!C3)*(ROW()-3)/(MATCH(9.99E+307,'Returns (Calc)'!$A:$A)-3),"")</f>
        <v>159.407025316456</v>
      </c>
      <c r="Y114" s="144" t="n">
        <f aca="false">IFERROR('Price History'!D3+(INDEX('Price History'!D:D,MATCH(9.99E+307,'Returns (Calc)'!$A:$A)+1)-'Price History'!D3)*(ROW()-3)/(MATCH(9.99E+307,'Returns (Calc)'!$A:$A)-3),"")</f>
        <v>1484.97392405063</v>
      </c>
      <c r="Z114" s="144" t="n">
        <f aca="false">IFERROR('Price History'!E3+(INDEX('Price History'!E:E,MATCH(9.99E+307,'Returns (Calc)'!$A:$A)+1)-'Price History'!E3)*(ROW()-3)/(MATCH(9.99E+307,'Returns (Calc)'!$A:$A)-3),"")</f>
        <v>273.889493670886</v>
      </c>
      <c r="AA114" s="144" t="n">
        <f aca="false">IFERROR('Price History'!F3+(INDEX('Price History'!F:F,MATCH(9.99E+307,'Returns (Calc)'!$A:$A)+1)-'Price History'!F3)*(ROW()-3)/(MATCH(9.99E+307,'Returns (Calc)'!$A:$A)-3),"")</f>
        <v>202.014936708861</v>
      </c>
      <c r="AB114" s="144" t="n">
        <f aca="false">IFERROR('Price History'!G3+(INDEX('Price History'!G:G,MATCH(9.99E+307,'Returns (Calc)'!$A:$A)+1)-'Price History'!G3)*(ROW()-3)/(MATCH(9.99E+307,'Returns (Calc)'!$A:$A)-3),"")</f>
        <v>158.539493670886</v>
      </c>
      <c r="AC114" s="144" t="n">
        <f aca="false">IFERROR('Price History'!H3+(INDEX('Price History'!H:H,MATCH(9.99E+307,'Returns (Calc)'!$A:$A)+1)-'Price History'!H3)*(ROW()-3)/(MATCH(9.99E+307,'Returns (Calc)'!$A:$A)-3),"")</f>
        <v>775.702278481013</v>
      </c>
      <c r="AD114" s="144" t="n">
        <f aca="false">IFERROR('Price History'!I3+(INDEX('Price History'!I:I,MATCH(9.99E+307,'Returns (Calc)'!$A:$A)+1)-'Price History'!I3)*(ROW()-3)/(MATCH(9.99E+307,'Returns (Calc)'!$A:$A)-3),"")</f>
        <v>177.37746835443</v>
      </c>
      <c r="AE114" s="144" t="n">
        <f aca="false">IFERROR('Price History'!J3+(INDEX('Price History'!J:J,MATCH(9.99E+307,'Returns (Calc)'!$A:$A)+1)-'Price History'!J3)*(ROW()-3)/(MATCH(9.99E+307,'Returns (Calc)'!$A:$A)-3),"")</f>
        <v>123.832215189873</v>
      </c>
      <c r="AF114" s="144" t="n">
        <f aca="false">IFERROR('Price History'!K3+(INDEX('Price History'!K:K,MATCH(9.99E+307,'Returns (Calc)'!$A:$A)+1)-'Price History'!K3)*(ROW()-3)/(MATCH(9.99E+307,'Returns (Calc)'!$A:$A)-3),"")</f>
        <v>137.163037974684</v>
      </c>
      <c r="AG114" s="144" t="n">
        <f aca="false">IFERROR('Price History'!L3+(INDEX('Price History'!L:L,MATCH(9.99E+307,'Returns (Calc)'!$A:$A)+1)-'Price History'!L3)*(ROW()-3)/(MATCH(9.99E+307,'Returns (Calc)'!$A:$A)-3),"")</f>
        <v>357.65082278481</v>
      </c>
      <c r="AH114" s="144" t="n">
        <f aca="false">IFERROR('Price History'!M3+(INDEX('Price History'!M:M,MATCH(9.99E+307,'Returns (Calc)'!$A:$A)+1)-'Price History'!M3)*(ROW()-3)/(MATCH(9.99E+307,'Returns (Calc)'!$A:$A)-3),"")</f>
        <v>188.47417721519</v>
      </c>
      <c r="AI114" s="144" t="n">
        <f aca="false">IFERROR('Price History'!N3+(INDEX('Price History'!N:N,MATCH(9.99E+307,'Returns (Calc)'!$A:$A)+1)-'Price History'!N3)*(ROW()-3)/(MATCH(9.99E+307,'Returns (Calc)'!$A:$A)-3),"")</f>
        <v>458.375506329114</v>
      </c>
      <c r="AJ114" s="144" t="n">
        <f aca="false">IFERROR('Price History'!O3+(INDEX('Price History'!O:O,MATCH(9.99E+307,'Returns (Calc)'!$A:$A)+1)-'Price History'!O3)*(ROW()-3)/(MATCH(9.99E+307,'Returns (Calc)'!$A:$A)-3),"")</f>
        <v>106.727215189873</v>
      </c>
      <c r="AK114" s="144" t="n">
        <f aca="false">IFERROR('Price History'!Q3+(INDEX('Price History'!Q:Q,MATCH(9.99E+307,'Returns (Calc)'!$A:$A)+1)-'Price History'!Q3)*(ROW()-3)/(MATCH(9.99E+307,'Returns (Calc)'!$A:$A)-3),"")</f>
        <v>48.769746835443</v>
      </c>
      <c r="AL114" s="144" t="n">
        <f aca="false">IFERROR('Price History'!R3+(INDEX('Price History'!R:R,MATCH(9.99E+307,'Returns (Calc)'!$A:$A)+1)-'Price History'!R3)*(ROW()-3)/(MATCH(9.99E+307,'Returns (Calc)'!$A:$A)-3),"")</f>
        <v>53.1392405063291</v>
      </c>
      <c r="AM114" s="144" t="n">
        <f aca="false">IFERROR('Price History'!S3+(INDEX('Price History'!S:S,MATCH(9.99E+307,'Returns (Calc)'!$A:$A)+1)-'Price History'!S3)*(ROW()-3)/(MATCH(9.99E+307,'Returns (Calc)'!$A:$A)-3),"")</f>
        <v>124.792025316456</v>
      </c>
      <c r="AN114" s="144" t="n">
        <f aca="false">IFERROR('Price History'!T3+(INDEX('Price History'!T:T,MATCH(9.99E+307,'Returns (Calc)'!$A:$A)+1)-'Price History'!T3)*(ROW()-3)/(MATCH(9.99E+307,'Returns (Calc)'!$A:$A)-3),"")</f>
        <v>43.9132911392405</v>
      </c>
      <c r="AO114" s="145" t="n">
        <f aca="false">IFERROR('Price History'!V3+(INDEX('Price History'!V:V,MATCH(9.99E+307,'Returns (Calc)'!$A:$A)+1)-'Price History'!V3)*(ROW()-3)/(MATCH(9.99E+307,'Returns (Calc)'!$A:$A)-3),"")</f>
        <v>323.46753164557</v>
      </c>
      <c r="AP114" s="143" t="n">
        <f aca="false">IFERROR(IF(OR(NOT(ISNUMBER('Price History'!W115)),NOT(ISNUMBER('Price History'!W114)),'Price History'!W114=0),"",'Price History'!W115/'Price History'!W114-1),"")</f>
        <v>-0.00218627022299966</v>
      </c>
      <c r="AQ114" s="143" t="str">
        <f aca="false">IFERROR(IF(OR(NOT(ISNUMBER('Price History'!X115)),NOT(ISNUMBER('Price History'!X114)),'Price History'!X114=0),"",'Price History'!X115/'Price History'!X114-1),"")</f>
        <v/>
      </c>
      <c r="AR114" s="143" t="n">
        <f aca="false">IFERROR(IF(OR(NOT(ISNUMBER('Price History'!Y115)),NOT(ISNUMBER('Price History'!Y114)),'Price History'!Y114=0),"",'Price History'!Y115/'Price History'!Y114-1),"")</f>
        <v>-0.00152322924600168</v>
      </c>
      <c r="AS114" s="143" t="n">
        <f aca="false">IFERROR(IF(OR(NOT(ISNUMBER('Price History'!Z115)),NOT(ISNUMBER('Price History'!Z114)),'Price History'!Z114=0),"",'Price History'!Z115/'Price History'!Z114-1),"")</f>
        <v>-0.00542630621263329</v>
      </c>
      <c r="AT114" s="143" t="n">
        <f aca="false">IFERROR(IF(OR(NOT(ISNUMBER('Price History'!AA115)),NOT(ISNUMBER('Price History'!AA114)),'Price History'!AA114=0),"",'Price History'!AA115/'Price History'!AA114-1),"")</f>
        <v>-0.0135847707569935</v>
      </c>
    </row>
    <row r="115" customFormat="false" ht="15" hidden="false" customHeight="true" outlineLevel="0" collapsed="false">
      <c r="A115" s="141" t="n">
        <f aca="false">IF('Price History'!A116="","",'Price History'!A116)</f>
        <v>45975</v>
      </c>
      <c r="B115" s="142" t="n">
        <f aca="false">IFERROR(IF(OR(NOT(ISNUMBER('Price History'!B116)),NOT(ISNUMBER('Price History'!B115)),'Price History'!B115=0),"",'Price History'!B116/'Price History'!B115-1),"")</f>
        <v>0.0127236580516898</v>
      </c>
      <c r="C115" s="142" t="n">
        <f aca="false">IFERROR(IF(OR(NOT(ISNUMBER('Price History'!C116)),NOT(ISNUMBER('Price History'!C115)),'Price History'!C115=0),"",'Price History'!C116/'Price History'!C115-1),"")</f>
        <v>-0.024359450427033</v>
      </c>
      <c r="D115" s="142" t="n">
        <f aca="false">IFERROR(IF(OR(NOT(ISNUMBER('Price History'!D116)),NOT(ISNUMBER('Price History'!D115)),'Price History'!D115=0),"",'Price History'!D116/'Price History'!D115-1),"")</f>
        <v>-0.00981128347001292</v>
      </c>
      <c r="E115" s="142" t="n">
        <f aca="false">IFERROR(IF(OR(NOT(ISNUMBER('Price History'!E116)),NOT(ISNUMBER('Price History'!E115)),'Price History'!E115=0),"",'Price History'!E116/'Price History'!E115-1),"")</f>
        <v>-0.0199509874585556</v>
      </c>
      <c r="F115" s="142" t="n">
        <f aca="false">IFERROR(IF(OR(NOT(ISNUMBER('Price History'!F116)),NOT(ISNUMBER('Price History'!F115)),'Price History'!F115=0),"",'Price History'!F116/'Price History'!F115-1),"")</f>
        <v>-0.00414968506854396</v>
      </c>
      <c r="G115" s="142" t="n">
        <f aca="false">IFERROR(IF(OR(NOT(ISNUMBER('Price History'!G116)),NOT(ISNUMBER('Price History'!G115)),'Price History'!G115=0),"",'Price History'!G116/'Price History'!G115-1),"")</f>
        <v>-0.0495366470092672</v>
      </c>
      <c r="H115" s="142" t="n">
        <f aca="false">IFERROR(IF(OR(NOT(ISNUMBER('Price History'!H116)),NOT(ISNUMBER('Price History'!H115)),'Price History'!H115=0),"",'Price History'!H116/'Price History'!H115-1),"")</f>
        <v>0.0374437292271446</v>
      </c>
      <c r="I115" s="142" t="n">
        <f aca="false">IFERROR(IF(OR(NOT(ISNUMBER('Price History'!I116)),NOT(ISNUMBER('Price History'!I115)),'Price History'!I115=0),"",'Price History'!I116/'Price History'!I115-1),"")</f>
        <v>0.0107618540223762</v>
      </c>
      <c r="J115" s="142" t="n">
        <f aca="false">IFERROR(IF(OR(NOT(ISNUMBER('Price History'!J116)),NOT(ISNUMBER('Price History'!J115)),'Price History'!J115=0),"",'Price History'!J116/'Price History'!J115-1),"")</f>
        <v>-0.0220890129742157</v>
      </c>
      <c r="K115" s="142" t="n">
        <f aca="false">IFERROR(IF(OR(NOT(ISNUMBER('Price History'!K116)),NOT(ISNUMBER('Price History'!K115)),'Price History'!K115=0),"",'Price History'!K116/'Price History'!K115-1),"")</f>
        <v>-0.0220311358399371</v>
      </c>
      <c r="L115" s="142" t="n">
        <f aca="false">IFERROR(IF(OR(NOT(ISNUMBER('Price History'!L116)),NOT(ISNUMBER('Price History'!L115)),'Price History'!L115=0),"",'Price History'!L116/'Price History'!L115-1),"")</f>
        <v>-0.0058553791887126</v>
      </c>
      <c r="M115" s="142" t="n">
        <f aca="false">IFERROR(IF(OR(NOT(ISNUMBER('Price History'!M116)),NOT(ISNUMBER('Price History'!M115)),'Price History'!M115=0),"",'Price History'!M116/'Price History'!M115-1),"")</f>
        <v>-0.0491063971939203</v>
      </c>
      <c r="N115" s="142" t="n">
        <f aca="false">IFERROR(IF(OR(NOT(ISNUMBER('Price History'!N116)),NOT(ISNUMBER('Price History'!N115)),'Price History'!N115=0),"",'Price History'!N116/'Price History'!N115-1),"")</f>
        <v>0.0675995799448066</v>
      </c>
      <c r="O115" s="142" t="n">
        <f aca="false">IFERROR(IF(OR(NOT(ISNUMBER('Price History'!O116)),NOT(ISNUMBER('Price History'!O115)),'Price History'!O115=0),"",'Price History'!O116/'Price History'!O115-1),"")</f>
        <v>-0.00145137880986934</v>
      </c>
      <c r="P115" s="142" t="n">
        <f aca="false">IFERROR(IF(OR(NOT(ISNUMBER('Price History'!P116)),NOT(ISNUMBER('Price History'!P115)),'Price History'!P115=0),"",'Price History'!P116/'Price History'!P115-1),"")</f>
        <v>0.00310214934633302</v>
      </c>
      <c r="Q115" s="142" t="n">
        <f aca="false">IFERROR(IF(OR(NOT(ISNUMBER('Price History'!Q116)),NOT(ISNUMBER('Price History'!Q115)),'Price History'!Q115=0),"",'Price History'!Q116/'Price History'!Q115-1),"")</f>
        <v>0.00154106950223443</v>
      </c>
      <c r="R115" s="142" t="n">
        <f aca="false">IFERROR(IF(OR(NOT(ISNUMBER('Price History'!R116)),NOT(ISNUMBER('Price History'!R115)),'Price History'!R115=0),"",'Price History'!R116/'Price History'!R115-1),"")</f>
        <v>0.0019316206297082</v>
      </c>
      <c r="S115" s="142" t="n">
        <f aca="false">IFERROR(IF(OR(NOT(ISNUMBER('Price History'!S116)),NOT(ISNUMBER('Price History'!S115)),'Price History'!S115=0),"",'Price History'!S116/'Price History'!S115-1),"")</f>
        <v>-0.00595541943168287</v>
      </c>
      <c r="T115" s="142" t="n">
        <f aca="false">IFERROR(IF(OR(NOT(ISNUMBER('Price History'!T116)),NOT(ISNUMBER('Price History'!T115)),'Price History'!T115=0),"",'Price History'!T116/'Price History'!T115-1),"")</f>
        <v>0.0112029874633235</v>
      </c>
      <c r="U115" s="142" t="n">
        <f aca="false">IFERROR(IF(OR(NOT(ISNUMBER('Price History'!U116)),NOT(ISNUMBER('Price History'!U115)),'Price History'!U115=0),"",'Price History'!U116/'Price History'!U115-1),"")</f>
        <v>0.0197597830298335</v>
      </c>
      <c r="V115" s="143" t="n">
        <f aca="false">IFERROR(IF(OR(NOT(ISNUMBER('Price History'!V116)),NOT(ISNUMBER('Price History'!V115)),'Price History'!V115=0),"",'Price History'!V116/'Price History'!V115-1),"")</f>
        <v>-0.0158992050397481</v>
      </c>
      <c r="W115" s="144" t="n">
        <f aca="false">IFERROR('Price History'!B3+(INDEX('Price History'!B:B,MATCH(9.99E+307,'Returns (Calc)'!$A:$A)+1)-'Price History'!B3)*(ROW()-3)/(MATCH(9.99E+307,'Returns (Calc)'!$A:$A)-3),"")</f>
        <v>322.469746835443</v>
      </c>
      <c r="X115" s="144" t="n">
        <f aca="false">IFERROR('Price History'!C3+(INDEX('Price History'!C:C,MATCH(9.99E+307,'Returns (Calc)'!$A:$A)+1)-'Price History'!C3)*(ROW()-3)/(MATCH(9.99E+307,'Returns (Calc)'!$A:$A)-3),"")</f>
        <v>160.427088607595</v>
      </c>
      <c r="Y115" s="144" t="n">
        <f aca="false">IFERROR('Price History'!D3+(INDEX('Price History'!D:D,MATCH(9.99E+307,'Returns (Calc)'!$A:$A)+1)-'Price History'!D3)*(ROW()-3)/(MATCH(9.99E+307,'Returns (Calc)'!$A:$A)-3),"")</f>
        <v>1493.10873417722</v>
      </c>
      <c r="Z115" s="144" t="n">
        <f aca="false">IFERROR('Price History'!E3+(INDEX('Price History'!E:E,MATCH(9.99E+307,'Returns (Calc)'!$A:$A)+1)-'Price History'!E3)*(ROW()-3)/(MATCH(9.99E+307,'Returns (Calc)'!$A:$A)-3),"")</f>
        <v>275.618227848101</v>
      </c>
      <c r="AA115" s="144" t="n">
        <f aca="false">IFERROR('Price History'!F3+(INDEX('Price History'!F:F,MATCH(9.99E+307,'Returns (Calc)'!$A:$A)+1)-'Price History'!F3)*(ROW()-3)/(MATCH(9.99E+307,'Returns (Calc)'!$A:$A)-3),"")</f>
        <v>203.462278481013</v>
      </c>
      <c r="AB115" s="144" t="n">
        <f aca="false">IFERROR('Price History'!G3+(INDEX('Price History'!G:G,MATCH(9.99E+307,'Returns (Calc)'!$A:$A)+1)-'Price History'!G3)*(ROW()-3)/(MATCH(9.99E+307,'Returns (Calc)'!$A:$A)-3),"")</f>
        <v>159.568227848101</v>
      </c>
      <c r="AC115" s="144" t="n">
        <f aca="false">IFERROR('Price History'!H3+(INDEX('Price History'!H:H,MATCH(9.99E+307,'Returns (Calc)'!$A:$A)+1)-'Price History'!H3)*(ROW()-3)/(MATCH(9.99E+307,'Returns (Calc)'!$A:$A)-3),"")</f>
        <v>782.067974683544</v>
      </c>
      <c r="AD115" s="144" t="n">
        <f aca="false">IFERROR('Price History'!I3+(INDEX('Price History'!I:I,MATCH(9.99E+307,'Returns (Calc)'!$A:$A)+1)-'Price History'!I3)*(ROW()-3)/(MATCH(9.99E+307,'Returns (Calc)'!$A:$A)-3),"")</f>
        <v>178.581139240506</v>
      </c>
      <c r="AE115" s="144" t="n">
        <f aca="false">IFERROR('Price History'!J3+(INDEX('Price History'!J:J,MATCH(9.99E+307,'Returns (Calc)'!$A:$A)+1)-'Price History'!J3)*(ROW()-3)/(MATCH(9.99E+307,'Returns (Calc)'!$A:$A)-3),"")</f>
        <v>123.940253164557</v>
      </c>
      <c r="AF115" s="144" t="n">
        <f aca="false">IFERROR('Price History'!K3+(INDEX('Price History'!K:K,MATCH(9.99E+307,'Returns (Calc)'!$A:$A)+1)-'Price History'!K3)*(ROW()-3)/(MATCH(9.99E+307,'Returns (Calc)'!$A:$A)-3),"")</f>
        <v>138.260632911392</v>
      </c>
      <c r="AG115" s="144" t="n">
        <f aca="false">IFERROR('Price History'!L3+(INDEX('Price History'!L:L,MATCH(9.99E+307,'Returns (Calc)'!$A:$A)+1)-'Price History'!L3)*(ROW()-3)/(MATCH(9.99E+307,'Returns (Calc)'!$A:$A)-3),"")</f>
        <v>360.100379746836</v>
      </c>
      <c r="AH115" s="144" t="n">
        <f aca="false">IFERROR('Price History'!M3+(INDEX('Price History'!M:M,MATCH(9.99E+307,'Returns (Calc)'!$A:$A)+1)-'Price History'!M3)*(ROW()-3)/(MATCH(9.99E+307,'Returns (Calc)'!$A:$A)-3),"")</f>
        <v>189.829620253165</v>
      </c>
      <c r="AI115" s="144" t="n">
        <f aca="false">IFERROR('Price History'!N3+(INDEX('Price History'!N:N,MATCH(9.99E+307,'Returns (Calc)'!$A:$A)+1)-'Price History'!N3)*(ROW()-3)/(MATCH(9.99E+307,'Returns (Calc)'!$A:$A)-3),"")</f>
        <v>459.361772151899</v>
      </c>
      <c r="AJ115" s="144" t="n">
        <f aca="false">IFERROR('Price History'!O3+(INDEX('Price History'!O:O,MATCH(9.99E+307,'Returns (Calc)'!$A:$A)+1)-'Price History'!O3)*(ROW()-3)/(MATCH(9.99E+307,'Returns (Calc)'!$A:$A)-3),"")</f>
        <v>107.010253164557</v>
      </c>
      <c r="AK115" s="144" t="n">
        <f aca="false">IFERROR('Price History'!Q3+(INDEX('Price History'!Q:Q,MATCH(9.99E+307,'Returns (Calc)'!$A:$A)+1)-'Price History'!Q3)*(ROW()-3)/(MATCH(9.99E+307,'Returns (Calc)'!$A:$A)-3),"")</f>
        <v>49.2091139240506</v>
      </c>
      <c r="AL115" s="144" t="n">
        <f aca="false">IFERROR('Price History'!R3+(INDEX('Price History'!R:R,MATCH(9.99E+307,'Returns (Calc)'!$A:$A)+1)-'Price History'!R3)*(ROW()-3)/(MATCH(9.99E+307,'Returns (Calc)'!$A:$A)-3),"")</f>
        <v>53.3073417721519</v>
      </c>
      <c r="AM115" s="144" t="n">
        <f aca="false">IFERROR('Price History'!S3+(INDEX('Price History'!S:S,MATCH(9.99E+307,'Returns (Calc)'!$A:$A)+1)-'Price History'!S3)*(ROW()-3)/(MATCH(9.99E+307,'Returns (Calc)'!$A:$A)-3),"")</f>
        <v>125.397088607595</v>
      </c>
      <c r="AN115" s="144" t="n">
        <f aca="false">IFERROR('Price History'!T3+(INDEX('Price History'!T:T,MATCH(9.99E+307,'Returns (Calc)'!$A:$A)+1)-'Price History'!T3)*(ROW()-3)/(MATCH(9.99E+307,'Returns (Calc)'!$A:$A)-3),"")</f>
        <v>44.0815189873418</v>
      </c>
      <c r="AO115" s="145" t="n">
        <f aca="false">IFERROR('Price History'!V3+(INDEX('Price History'!V:V,MATCH(9.99E+307,'Returns (Calc)'!$A:$A)+1)-'Price History'!V3)*(ROW()-3)/(MATCH(9.99E+307,'Returns (Calc)'!$A:$A)-3),"")</f>
        <v>324.258860759494</v>
      </c>
      <c r="AP115" s="143" t="n">
        <f aca="false">IFERROR(IF(OR(NOT(ISNUMBER('Price History'!W116)),NOT(ISNUMBER('Price History'!W115)),'Price History'!W115=0),"",'Price History'!W116/'Price History'!W115-1),"")</f>
        <v>0.00525854513584578</v>
      </c>
      <c r="AQ115" s="143" t="str">
        <f aca="false">IFERROR(IF(OR(NOT(ISNUMBER('Price History'!X116)),NOT(ISNUMBER('Price History'!X115)),'Price History'!X115=0),"",'Price History'!X116/'Price History'!X115-1),"")</f>
        <v/>
      </c>
      <c r="AR115" s="143" t="n">
        <f aca="false">IFERROR(IF(OR(NOT(ISNUMBER('Price History'!Y116)),NOT(ISNUMBER('Price History'!Y115)),'Price History'!Y115=0),"",'Price History'!Y116/'Price History'!Y115-1),"")</f>
        <v>0.00514874141876431</v>
      </c>
      <c r="AS115" s="143" t="n">
        <f aca="false">IFERROR(IF(OR(NOT(ISNUMBER('Price History'!Z116)),NOT(ISNUMBER('Price History'!Z115)),'Price History'!Z115=0),"",'Price History'!Z116/'Price History'!Z115-1),"")</f>
        <v>-0.00797151164690124</v>
      </c>
      <c r="AT115" s="143" t="n">
        <f aca="false">IFERROR(IF(OR(NOT(ISNUMBER('Price History'!AA116)),NOT(ISNUMBER('Price History'!AA115)),'Price History'!AA115=0),"",'Price History'!AA116/'Price History'!AA115-1),"")</f>
        <v>0.00770136812539635</v>
      </c>
    </row>
    <row r="116" customFormat="false" ht="15" hidden="false" customHeight="true" outlineLevel="0" collapsed="false">
      <c r="A116" s="141" t="n">
        <f aca="false">IF('Price History'!A117="","",'Price History'!A117)</f>
        <v>45982</v>
      </c>
      <c r="B116" s="142" t="n">
        <f aca="false">IFERROR(IF(OR(NOT(ISNUMBER('Price History'!B117)),NOT(ISNUMBER('Price History'!B116)),'Price History'!B116=0),"",'Price History'!B117/'Price History'!B116-1),"")</f>
        <v>-0.0208993989912718</v>
      </c>
      <c r="C116" s="142" t="n">
        <f aca="false">IFERROR(IF(OR(NOT(ISNUMBER('Price History'!C117)),NOT(ISNUMBER('Price History'!C116)),'Price History'!C116=0),"",'Price History'!C117/'Price History'!C116-1),"")</f>
        <v>-0.106112506660577</v>
      </c>
      <c r="D116" s="142" t="n">
        <f aca="false">IFERROR(IF(OR(NOT(ISNUMBER('Price History'!D117)),NOT(ISNUMBER('Price History'!D116)),'Price History'!D116=0),"",'Price History'!D117/'Price History'!D116-1),"")</f>
        <v>-0.0401329115818673</v>
      </c>
      <c r="E116" s="142" t="n">
        <f aca="false">IFERROR(IF(OR(NOT(ISNUMBER('Price History'!E117)),NOT(ISNUMBER('Price History'!E116)),'Price History'!E116=0),"",'Price History'!E117/'Price History'!E116-1),"")</f>
        <v>-0.00658959197481834</v>
      </c>
      <c r="F116" s="142" t="n">
        <f aca="false">IFERROR(IF(OR(NOT(ISNUMBER('Price History'!F117)),NOT(ISNUMBER('Price History'!F116)),'Price History'!F116=0),"",'Price History'!F117/'Price History'!F116-1),"")</f>
        <v>-0.0872088697075675</v>
      </c>
      <c r="G116" s="142" t="n">
        <f aca="false">IFERROR(IF(OR(NOT(ISNUMBER('Price History'!G117)),NOT(ISNUMBER('Price History'!G116)),'Price History'!G116=0),"",'Price History'!G117/'Price History'!G116-1),"")</f>
        <v>-0.0311115050522957</v>
      </c>
      <c r="H116" s="142" t="n">
        <f aca="false">IFERROR(IF(OR(NOT(ISNUMBER('Price History'!H117)),NOT(ISNUMBER('Price History'!H116)),'Price History'!H116=0),"",'Price History'!H117/'Price History'!H116-1),"")</f>
        <v>-0.159860497181556</v>
      </c>
      <c r="I116" s="142" t="n">
        <f aca="false">IFERROR(IF(OR(NOT(ISNUMBER('Price History'!I117)),NOT(ISNUMBER('Price History'!I116)),'Price History'!I116=0),"",'Price History'!I117/'Price History'!I116-1),"")</f>
        <v>-0.0594033312249631</v>
      </c>
      <c r="J116" s="142" t="n">
        <f aca="false">IFERROR(IF(OR(NOT(ISNUMBER('Price History'!J117)),NOT(ISNUMBER('Price History'!J116)),'Price History'!J116=0),"",'Price History'!J117/'Price History'!J116-1),"")</f>
        <v>0.0240994206062641</v>
      </c>
      <c r="K116" s="142" t="n">
        <f aca="false">IFERROR(IF(OR(NOT(ISNUMBER('Price History'!K117)),NOT(ISNUMBER('Price History'!K116)),'Price History'!K116=0),"",'Price History'!K117/'Price History'!K116-1),"")</f>
        <v>-0.110108614447446</v>
      </c>
      <c r="L116" s="142" t="n">
        <f aca="false">IFERROR(IF(OR(NOT(ISNUMBER('Price History'!L117)),NOT(ISNUMBER('Price History'!L116)),'Price History'!L116=0),"",'Price History'!L117/'Price History'!L116-1),"")</f>
        <v>-0.0342747658245812</v>
      </c>
      <c r="M116" s="142" t="n">
        <f aca="false">IFERROR(IF(OR(NOT(ISNUMBER('Price History'!M117)),NOT(ISNUMBER('Price History'!M116)),'Price History'!M116=0),"",'Price History'!M117/'Price History'!M116-1),"")</f>
        <v>-0.0651677498682592</v>
      </c>
      <c r="N116" s="142" t="n">
        <f aca="false">IFERROR(IF(OR(NOT(ISNUMBER('Price History'!N117)),NOT(ISNUMBER('Price History'!N116)),'Price History'!N116=0),"",'Price History'!N117/'Price History'!N116-1),"")</f>
        <v>-0.023767585496969</v>
      </c>
      <c r="O116" s="142" t="n">
        <f aca="false">IFERROR(IF(OR(NOT(ISNUMBER('Price History'!O117)),NOT(ISNUMBER('Price History'!O116)),'Price History'!O116=0),"",'Price History'!O117/'Price History'!O116-1),"")</f>
        <v>-0.00778654485049835</v>
      </c>
      <c r="P116" s="142" t="n">
        <f aca="false">IFERROR(IF(OR(NOT(ISNUMBER('Price History'!P117)),NOT(ISNUMBER('Price History'!P116)),'Price History'!P116=0),"",'Price History'!P117/'Price History'!P116-1),"")</f>
        <v>-0.00493336278624557</v>
      </c>
      <c r="Q116" s="142" t="n">
        <f aca="false">IFERROR(IF(OR(NOT(ISNUMBER('Price History'!Q117)),NOT(ISNUMBER('Price History'!Q116)),'Price History'!Q116=0),"",'Price History'!Q117/'Price History'!Q116-1),"")</f>
        <v>-0.00892444991537156</v>
      </c>
      <c r="R116" s="142" t="n">
        <f aca="false">IFERROR(IF(OR(NOT(ISNUMBER('Price History'!R117)),NOT(ISNUMBER('Price History'!R116)),'Price History'!R116=0),"",'Price History'!R117/'Price History'!R116-1),"")</f>
        <v>-0.0273761326392904</v>
      </c>
      <c r="S116" s="142" t="n">
        <f aca="false">IFERROR(IF(OR(NOT(ISNUMBER('Price History'!S117)),NOT(ISNUMBER('Price History'!S116)),'Price History'!S116=0),"",'Price History'!S117/'Price History'!S116-1),"")</f>
        <v>-0.029955494693598</v>
      </c>
      <c r="T116" s="142" t="n">
        <f aca="false">IFERROR(IF(OR(NOT(ISNUMBER('Price History'!T117)),NOT(ISNUMBER('Price History'!T116)),'Price History'!T116=0),"",'Price History'!T117/'Price History'!T116-1),"")</f>
        <v>-0.0200474808757584</v>
      </c>
      <c r="U116" s="142" t="n">
        <f aca="false">IFERROR(IF(OR(NOT(ISNUMBER('Price History'!U117)),NOT(ISNUMBER('Price History'!U116)),'Price History'!U116=0),"",'Price History'!U117/'Price History'!U116-1),"")</f>
        <v>-0.00531914893617025</v>
      </c>
      <c r="V116" s="143" t="n">
        <f aca="false">IFERROR(IF(OR(NOT(ISNUMBER('Price History'!V117)),NOT(ISNUMBER('Price History'!V116)),'Price History'!V116=0),"",'Price History'!V117/'Price History'!V116-1),"")</f>
        <v>-0.00618808108520053</v>
      </c>
      <c r="W116" s="144" t="n">
        <f aca="false">IFERROR('Price History'!B3+(INDEX('Price History'!B:B,MATCH(9.99E+307,'Returns (Calc)'!$A:$A)+1)-'Price History'!B3)*(ROW()-3)/(MATCH(9.99E+307,'Returns (Calc)'!$A:$A)-3),"")</f>
        <v>320.62670886076</v>
      </c>
      <c r="X116" s="144" t="n">
        <f aca="false">IFERROR('Price History'!C3+(INDEX('Price History'!C:C,MATCH(9.99E+307,'Returns (Calc)'!$A:$A)+1)-'Price History'!C3)*(ROW()-3)/(MATCH(9.99E+307,'Returns (Calc)'!$A:$A)-3),"")</f>
        <v>161.447151898734</v>
      </c>
      <c r="Y116" s="144" t="n">
        <f aca="false">IFERROR('Price History'!D3+(INDEX('Price History'!D:D,MATCH(9.99E+307,'Returns (Calc)'!$A:$A)+1)-'Price History'!D3)*(ROW()-3)/(MATCH(9.99E+307,'Returns (Calc)'!$A:$A)-3),"")</f>
        <v>1501.2435443038</v>
      </c>
      <c r="Z116" s="144" t="n">
        <f aca="false">IFERROR('Price History'!E3+(INDEX('Price History'!E:E,MATCH(9.99E+307,'Returns (Calc)'!$A:$A)+1)-'Price History'!E3)*(ROW()-3)/(MATCH(9.99E+307,'Returns (Calc)'!$A:$A)-3),"")</f>
        <v>277.346962025316</v>
      </c>
      <c r="AA116" s="144" t="n">
        <f aca="false">IFERROR('Price History'!F3+(INDEX('Price History'!F:F,MATCH(9.99E+307,'Returns (Calc)'!$A:$A)+1)-'Price History'!F3)*(ROW()-3)/(MATCH(9.99E+307,'Returns (Calc)'!$A:$A)-3),"")</f>
        <v>204.909620253165</v>
      </c>
      <c r="AB116" s="144" t="n">
        <f aca="false">IFERROR('Price History'!G3+(INDEX('Price History'!G:G,MATCH(9.99E+307,'Returns (Calc)'!$A:$A)+1)-'Price History'!G3)*(ROW()-3)/(MATCH(9.99E+307,'Returns (Calc)'!$A:$A)-3),"")</f>
        <v>160.596962025316</v>
      </c>
      <c r="AC116" s="144" t="n">
        <f aca="false">IFERROR('Price History'!H3+(INDEX('Price History'!H:H,MATCH(9.99E+307,'Returns (Calc)'!$A:$A)+1)-'Price History'!H3)*(ROW()-3)/(MATCH(9.99E+307,'Returns (Calc)'!$A:$A)-3),"")</f>
        <v>788.433670886076</v>
      </c>
      <c r="AD116" s="144" t="n">
        <f aca="false">IFERROR('Price History'!I3+(INDEX('Price History'!I:I,MATCH(9.99E+307,'Returns (Calc)'!$A:$A)+1)-'Price History'!I3)*(ROW()-3)/(MATCH(9.99E+307,'Returns (Calc)'!$A:$A)-3),"")</f>
        <v>179.784810126582</v>
      </c>
      <c r="AE116" s="144" t="n">
        <f aca="false">IFERROR('Price History'!J3+(INDEX('Price History'!J:J,MATCH(9.99E+307,'Returns (Calc)'!$A:$A)+1)-'Price History'!J3)*(ROW()-3)/(MATCH(9.99E+307,'Returns (Calc)'!$A:$A)-3),"")</f>
        <v>124.048291139241</v>
      </c>
      <c r="AF116" s="144" t="n">
        <f aca="false">IFERROR('Price History'!K3+(INDEX('Price History'!K:K,MATCH(9.99E+307,'Returns (Calc)'!$A:$A)+1)-'Price History'!K3)*(ROW()-3)/(MATCH(9.99E+307,'Returns (Calc)'!$A:$A)-3),"")</f>
        <v>139.358227848101</v>
      </c>
      <c r="AG116" s="144" t="n">
        <f aca="false">IFERROR('Price History'!L3+(INDEX('Price History'!L:L,MATCH(9.99E+307,'Returns (Calc)'!$A:$A)+1)-'Price History'!L3)*(ROW()-3)/(MATCH(9.99E+307,'Returns (Calc)'!$A:$A)-3),"")</f>
        <v>362.549936708861</v>
      </c>
      <c r="AH116" s="144" t="n">
        <f aca="false">IFERROR('Price History'!M3+(INDEX('Price History'!M:M,MATCH(9.99E+307,'Returns (Calc)'!$A:$A)+1)-'Price History'!M3)*(ROW()-3)/(MATCH(9.99E+307,'Returns (Calc)'!$A:$A)-3),"")</f>
        <v>191.185063291139</v>
      </c>
      <c r="AI116" s="144" t="n">
        <f aca="false">IFERROR('Price History'!N3+(INDEX('Price History'!N:N,MATCH(9.99E+307,'Returns (Calc)'!$A:$A)+1)-'Price History'!N3)*(ROW()-3)/(MATCH(9.99E+307,'Returns (Calc)'!$A:$A)-3),"")</f>
        <v>460.348037974684</v>
      </c>
      <c r="AJ116" s="144" t="n">
        <f aca="false">IFERROR('Price History'!O3+(INDEX('Price History'!O:O,MATCH(9.99E+307,'Returns (Calc)'!$A:$A)+1)-'Price History'!O3)*(ROW()-3)/(MATCH(9.99E+307,'Returns (Calc)'!$A:$A)-3),"")</f>
        <v>107.293291139241</v>
      </c>
      <c r="AK116" s="144" t="n">
        <f aca="false">IFERROR('Price History'!Q3+(INDEX('Price History'!Q:Q,MATCH(9.99E+307,'Returns (Calc)'!$A:$A)+1)-'Price History'!Q3)*(ROW()-3)/(MATCH(9.99E+307,'Returns (Calc)'!$A:$A)-3),"")</f>
        <v>49.6484810126582</v>
      </c>
      <c r="AL116" s="144" t="n">
        <f aca="false">IFERROR('Price History'!R3+(INDEX('Price History'!R:R,MATCH(9.99E+307,'Returns (Calc)'!$A:$A)+1)-'Price History'!R3)*(ROW()-3)/(MATCH(9.99E+307,'Returns (Calc)'!$A:$A)-3),"")</f>
        <v>53.4754430379747</v>
      </c>
      <c r="AM116" s="144" t="n">
        <f aca="false">IFERROR('Price History'!S3+(INDEX('Price History'!S:S,MATCH(9.99E+307,'Returns (Calc)'!$A:$A)+1)-'Price History'!S3)*(ROW()-3)/(MATCH(9.99E+307,'Returns (Calc)'!$A:$A)-3),"")</f>
        <v>126.002151898734</v>
      </c>
      <c r="AN116" s="144" t="n">
        <f aca="false">IFERROR('Price History'!T3+(INDEX('Price History'!T:T,MATCH(9.99E+307,'Returns (Calc)'!$A:$A)+1)-'Price History'!T3)*(ROW()-3)/(MATCH(9.99E+307,'Returns (Calc)'!$A:$A)-3),"")</f>
        <v>44.249746835443</v>
      </c>
      <c r="AO116" s="145" t="n">
        <f aca="false">IFERROR('Price History'!V3+(INDEX('Price History'!V:V,MATCH(9.99E+307,'Returns (Calc)'!$A:$A)+1)-'Price History'!V3)*(ROW()-3)/(MATCH(9.99E+307,'Returns (Calc)'!$A:$A)-3),"")</f>
        <v>325.050189873418</v>
      </c>
      <c r="AP116" s="143" t="n">
        <f aca="false">IFERROR(IF(OR(NOT(ISNUMBER('Price History'!W117)),NOT(ISNUMBER('Price History'!W116)),'Price History'!W116=0),"",'Price History'!W117/'Price History'!W116-1),"")</f>
        <v>-0.00646614356291764</v>
      </c>
      <c r="AQ116" s="143" t="str">
        <f aca="false">IFERROR(IF(OR(NOT(ISNUMBER('Price History'!X117)),NOT(ISNUMBER('Price History'!X116)),'Price History'!X116=0),"",'Price History'!X117/'Price History'!X116-1),"")</f>
        <v/>
      </c>
      <c r="AR116" s="143" t="n">
        <f aca="false">IFERROR(IF(OR(NOT(ISNUMBER('Price History'!Y117)),NOT(ISNUMBER('Price History'!Y116)),'Price History'!Y116=0),"",'Price History'!Y117/'Price History'!Y116-1),"")</f>
        <v>-0.00265604249667994</v>
      </c>
      <c r="AS116" s="143" t="n">
        <f aca="false">IFERROR(IF(OR(NOT(ISNUMBER('Price History'!Z117)),NOT(ISNUMBER('Price History'!Z116)),'Price History'!Z116=0),"",'Price History'!Z117/'Price History'!Z116-1),"")</f>
        <v>-0.0570064218672814</v>
      </c>
      <c r="AT116" s="143" t="n">
        <f aca="false">IFERROR(IF(OR(NOT(ISNUMBER('Price History'!AA117)),NOT(ISNUMBER('Price History'!AA116)),'Price History'!AA116=0),"",'Price History'!AA117/'Price History'!AA116-1),"")</f>
        <v>-0.0621291134688006</v>
      </c>
    </row>
    <row r="117" customFormat="false" ht="15" hidden="false" customHeight="true" outlineLevel="0" collapsed="false">
      <c r="A117" s="141" t="n">
        <f aca="false">IF('Price History'!A118="","",'Price History'!A118)</f>
        <v>45989</v>
      </c>
      <c r="B117" s="142" t="n">
        <f aca="false">IFERROR(IF(OR(NOT(ISNUMBER('Price History'!B118)),NOT(ISNUMBER('Price History'!B117)),'Price History'!B117=0),"",'Price History'!B118/'Price History'!B117-1),"")</f>
        <v>-0.0125235201579321</v>
      </c>
      <c r="C117" s="142" t="n">
        <f aca="false">IFERROR(IF(OR(NOT(ISNUMBER('Price History'!C118)),NOT(ISNUMBER('Price History'!C117)),'Price History'!C117=0),"",'Price History'!C118/'Price History'!C117-1),"")</f>
        <v>0.112833177211956</v>
      </c>
      <c r="D117" s="142" t="n">
        <f aca="false">IFERROR(IF(OR(NOT(ISNUMBER('Price History'!D118)),NOT(ISNUMBER('Price History'!D117)),'Price History'!D117=0),"",'Price History'!D118/'Price History'!D117-1),"")</f>
        <v>0.0966578304485681</v>
      </c>
      <c r="E117" s="142" t="n">
        <f aca="false">IFERROR(IF(OR(NOT(ISNUMBER('Price History'!E118)),NOT(ISNUMBER('Price History'!E117)),'Price History'!E117=0),"",'Price History'!E118/'Price History'!E117-1),"")</f>
        <v>0.184488732269241</v>
      </c>
      <c r="F117" s="142" t="n">
        <f aca="false">IFERROR(IF(OR(NOT(ISNUMBER('Price History'!F118)),NOT(ISNUMBER('Price History'!F117)),'Price History'!F117=0),"",'Price History'!F118/'Price History'!F117-1),"")</f>
        <v>0.0376620200538029</v>
      </c>
      <c r="G117" s="142" t="n">
        <f aca="false">IFERROR(IF(OR(NOT(ISNUMBER('Price History'!G118)),NOT(ISNUMBER('Price History'!G117)),'Price History'!G117=0),"",'Price History'!G118/'Price History'!G117-1),"")</f>
        <v>0.0713566919769462</v>
      </c>
      <c r="H117" s="142" t="n">
        <f aca="false">IFERROR(IF(OR(NOT(ISNUMBER('Price History'!H118)),NOT(ISNUMBER('Price History'!H117)),'Price History'!H117=0),"",'Price History'!H118/'Price History'!H117-1),"")</f>
        <v>0.140367813872665</v>
      </c>
      <c r="I117" s="142" t="n">
        <f aca="false">IFERROR(IF(OR(NOT(ISNUMBER('Price History'!I118)),NOT(ISNUMBER('Price History'!I117)),'Price History'!I117=0),"",'Price History'!I118/'Price History'!I117-1),"")</f>
        <v>-0.0104791258055477</v>
      </c>
      <c r="J117" s="142" t="n">
        <f aca="false">IFERROR(IF(OR(NOT(ISNUMBER('Price History'!J118)),NOT(ISNUMBER('Price History'!J117)),'Price History'!J117=0),"",'Price History'!J118/'Price History'!J117-1),"")</f>
        <v>0.0218104296490653</v>
      </c>
      <c r="K117" s="142" t="n">
        <f aca="false">IFERROR(IF(OR(NOT(ISNUMBER('Price History'!K118)),NOT(ISNUMBER('Price History'!K117)),'Price History'!K117=0),"",'Price History'!K118/'Price History'!K117-1),"")</f>
        <v>0.0878269292864062</v>
      </c>
      <c r="L117" s="142" t="n">
        <f aca="false">IFERROR(IF(OR(NOT(ISNUMBER('Price History'!L118)),NOT(ISNUMBER('Price History'!L117)),'Price History'!L117=0),"",'Price History'!L118/'Price History'!L117-1),"")</f>
        <v>0.059813358806672</v>
      </c>
      <c r="M117" s="142" t="n">
        <f aca="false">IFERROR(IF(OR(NOT(ISNUMBER('Price History'!M118)),NOT(ISNUMBER('Price History'!M117)),'Price History'!M117=0),"",'Price History'!M118/'Price History'!M117-1),"")</f>
        <v>0.124953025178504</v>
      </c>
      <c r="N117" s="142" t="n">
        <f aca="false">IFERROR(IF(OR(NOT(ISNUMBER('Price History'!N118)),NOT(ISNUMBER('Price History'!N117)),'Price History'!N117=0),"",'Price History'!N118/'Price History'!N117-1),"")</f>
        <v>0.0160511763051834</v>
      </c>
      <c r="O117" s="142" t="n">
        <f aca="false">IFERROR(IF(OR(NOT(ISNUMBER('Price History'!O118)),NOT(ISNUMBER('Price History'!O117)),'Price History'!O117=0),"",'Price History'!O118/'Price History'!O117-1),"")</f>
        <v>0.0443653866276028</v>
      </c>
      <c r="P117" s="142" t="n">
        <f aca="false">IFERROR(IF(OR(NOT(ISNUMBER('Price History'!P118)),NOT(ISNUMBER('Price History'!P117)),'Price History'!P117=0),"",'Price History'!P118/'Price History'!P117-1),"")</f>
        <v>0.0257510729613735</v>
      </c>
      <c r="Q117" s="142" t="n">
        <f aca="false">IFERROR(IF(OR(NOT(ISNUMBER('Price History'!Q118)),NOT(ISNUMBER('Price History'!Q117)),'Price History'!Q117=0),"",'Price History'!Q118/'Price History'!Q117-1),"")</f>
        <v>0.0217357553174973</v>
      </c>
      <c r="R117" s="142" t="n">
        <f aca="false">IFERROR(IF(OR(NOT(ISNUMBER('Price History'!R118)),NOT(ISNUMBER('Price History'!R117)),'Price History'!R117=0),"",'Price History'!R118/'Price History'!R117-1),"")</f>
        <v>0.0457879088206143</v>
      </c>
      <c r="S117" s="142" t="n">
        <f aca="false">IFERROR(IF(OR(NOT(ISNUMBER('Price History'!S118)),NOT(ISNUMBER('Price History'!S117)),'Price History'!S117=0),"",'Price History'!S118/'Price History'!S117-1),"")</f>
        <v>0.0509087700723487</v>
      </c>
      <c r="T117" s="142" t="n">
        <f aca="false">IFERROR(IF(OR(NOT(ISNUMBER('Price History'!T118)),NOT(ISNUMBER('Price History'!T117)),'Price History'!T117=0),"",'Price History'!T118/'Price History'!T117-1),"")</f>
        <v>0.0341857335127862</v>
      </c>
      <c r="U117" s="142" t="n">
        <f aca="false">IFERROR(IF(OR(NOT(ISNUMBER('Price History'!U118)),NOT(ISNUMBER('Price History'!U117)),'Price History'!U117=0),"",'Price History'!U118/'Price History'!U117-1),"")</f>
        <v>0.0183346065699006</v>
      </c>
      <c r="V117" s="143" t="n">
        <f aca="false">IFERROR(IF(OR(NOT(ISNUMBER('Price History'!V118)),NOT(ISNUMBER('Price History'!V117)),'Price History'!V117=0),"",'Price History'!V118/'Price History'!V117-1),"")</f>
        <v>0.0196920434329182</v>
      </c>
      <c r="W117" s="144" t="n">
        <f aca="false">IFERROR('Price History'!B3+(INDEX('Price History'!B:B,MATCH(9.99E+307,'Returns (Calc)'!$A:$A)+1)-'Price History'!B3)*(ROW()-3)/(MATCH(9.99E+307,'Returns (Calc)'!$A:$A)-3),"")</f>
        <v>318.783670886076</v>
      </c>
      <c r="X117" s="144" t="n">
        <f aca="false">IFERROR('Price History'!C3+(INDEX('Price History'!C:C,MATCH(9.99E+307,'Returns (Calc)'!$A:$A)+1)-'Price History'!C3)*(ROW()-3)/(MATCH(9.99E+307,'Returns (Calc)'!$A:$A)-3),"")</f>
        <v>162.467215189873</v>
      </c>
      <c r="Y117" s="144" t="n">
        <f aca="false">IFERROR('Price History'!D3+(INDEX('Price History'!D:D,MATCH(9.99E+307,'Returns (Calc)'!$A:$A)+1)-'Price History'!D3)*(ROW()-3)/(MATCH(9.99E+307,'Returns (Calc)'!$A:$A)-3),"")</f>
        <v>1509.37835443038</v>
      </c>
      <c r="Z117" s="144" t="n">
        <f aca="false">IFERROR('Price History'!E3+(INDEX('Price History'!E:E,MATCH(9.99E+307,'Returns (Calc)'!$A:$A)+1)-'Price History'!E3)*(ROW()-3)/(MATCH(9.99E+307,'Returns (Calc)'!$A:$A)-3),"")</f>
        <v>279.075696202532</v>
      </c>
      <c r="AA117" s="144" t="n">
        <f aca="false">IFERROR('Price History'!F3+(INDEX('Price History'!F:F,MATCH(9.99E+307,'Returns (Calc)'!$A:$A)+1)-'Price History'!F3)*(ROW()-3)/(MATCH(9.99E+307,'Returns (Calc)'!$A:$A)-3),"")</f>
        <v>206.356962025316</v>
      </c>
      <c r="AB117" s="144" t="n">
        <f aca="false">IFERROR('Price History'!G3+(INDEX('Price History'!G:G,MATCH(9.99E+307,'Returns (Calc)'!$A:$A)+1)-'Price History'!G3)*(ROW()-3)/(MATCH(9.99E+307,'Returns (Calc)'!$A:$A)-3),"")</f>
        <v>161.625696202532</v>
      </c>
      <c r="AC117" s="144" t="n">
        <f aca="false">IFERROR('Price History'!H3+(INDEX('Price History'!H:H,MATCH(9.99E+307,'Returns (Calc)'!$A:$A)+1)-'Price History'!H3)*(ROW()-3)/(MATCH(9.99E+307,'Returns (Calc)'!$A:$A)-3),"")</f>
        <v>794.799367088608</v>
      </c>
      <c r="AD117" s="144" t="n">
        <f aca="false">IFERROR('Price History'!I3+(INDEX('Price History'!I:I,MATCH(9.99E+307,'Returns (Calc)'!$A:$A)+1)-'Price History'!I3)*(ROW()-3)/(MATCH(9.99E+307,'Returns (Calc)'!$A:$A)-3),"")</f>
        <v>180.988481012658</v>
      </c>
      <c r="AE117" s="144" t="n">
        <f aca="false">IFERROR('Price History'!J3+(INDEX('Price History'!J:J,MATCH(9.99E+307,'Returns (Calc)'!$A:$A)+1)-'Price History'!J3)*(ROW()-3)/(MATCH(9.99E+307,'Returns (Calc)'!$A:$A)-3),"")</f>
        <v>124.156329113924</v>
      </c>
      <c r="AF117" s="144" t="n">
        <f aca="false">IFERROR('Price History'!K3+(INDEX('Price History'!K:K,MATCH(9.99E+307,'Returns (Calc)'!$A:$A)+1)-'Price History'!K3)*(ROW()-3)/(MATCH(9.99E+307,'Returns (Calc)'!$A:$A)-3),"")</f>
        <v>140.45582278481</v>
      </c>
      <c r="AG117" s="144" t="n">
        <f aca="false">IFERROR('Price History'!L3+(INDEX('Price History'!L:L,MATCH(9.99E+307,'Returns (Calc)'!$A:$A)+1)-'Price History'!L3)*(ROW()-3)/(MATCH(9.99E+307,'Returns (Calc)'!$A:$A)-3),"")</f>
        <v>364.999493670886</v>
      </c>
      <c r="AH117" s="144" t="n">
        <f aca="false">IFERROR('Price History'!M3+(INDEX('Price History'!M:M,MATCH(9.99E+307,'Returns (Calc)'!$A:$A)+1)-'Price History'!M3)*(ROW()-3)/(MATCH(9.99E+307,'Returns (Calc)'!$A:$A)-3),"")</f>
        <v>192.540506329114</v>
      </c>
      <c r="AI117" s="144" t="n">
        <f aca="false">IFERROR('Price History'!N3+(INDEX('Price History'!N:N,MATCH(9.99E+307,'Returns (Calc)'!$A:$A)+1)-'Price History'!N3)*(ROW()-3)/(MATCH(9.99E+307,'Returns (Calc)'!$A:$A)-3),"")</f>
        <v>461.334303797468</v>
      </c>
      <c r="AJ117" s="144" t="n">
        <f aca="false">IFERROR('Price History'!O3+(INDEX('Price History'!O:O,MATCH(9.99E+307,'Returns (Calc)'!$A:$A)+1)-'Price History'!O3)*(ROW()-3)/(MATCH(9.99E+307,'Returns (Calc)'!$A:$A)-3),"")</f>
        <v>107.576329113924</v>
      </c>
      <c r="AK117" s="144" t="n">
        <f aca="false">IFERROR('Price History'!Q3+(INDEX('Price History'!Q:Q,MATCH(9.99E+307,'Returns (Calc)'!$A:$A)+1)-'Price History'!Q3)*(ROW()-3)/(MATCH(9.99E+307,'Returns (Calc)'!$A:$A)-3),"")</f>
        <v>50.0878481012658</v>
      </c>
      <c r="AL117" s="144" t="n">
        <f aca="false">IFERROR('Price History'!R3+(INDEX('Price History'!R:R,MATCH(9.99E+307,'Returns (Calc)'!$A:$A)+1)-'Price History'!R3)*(ROW()-3)/(MATCH(9.99E+307,'Returns (Calc)'!$A:$A)-3),"")</f>
        <v>53.6435443037975</v>
      </c>
      <c r="AM117" s="144" t="n">
        <f aca="false">IFERROR('Price History'!S3+(INDEX('Price History'!S:S,MATCH(9.99E+307,'Returns (Calc)'!$A:$A)+1)-'Price History'!S3)*(ROW()-3)/(MATCH(9.99E+307,'Returns (Calc)'!$A:$A)-3),"")</f>
        <v>126.607215189873</v>
      </c>
      <c r="AN117" s="144" t="n">
        <f aca="false">IFERROR('Price History'!T3+(INDEX('Price History'!T:T,MATCH(9.99E+307,'Returns (Calc)'!$A:$A)+1)-'Price History'!T3)*(ROW()-3)/(MATCH(9.99E+307,'Returns (Calc)'!$A:$A)-3),"")</f>
        <v>44.4179746835443</v>
      </c>
      <c r="AO117" s="145" t="n">
        <f aca="false">IFERROR('Price History'!V3+(INDEX('Price History'!V:V,MATCH(9.99E+307,'Returns (Calc)'!$A:$A)+1)-'Price History'!V3)*(ROW()-3)/(MATCH(9.99E+307,'Returns (Calc)'!$A:$A)-3),"")</f>
        <v>325.841518987342</v>
      </c>
      <c r="AP117" s="143" t="n">
        <f aca="false">IFERROR(IF(OR(NOT(ISNUMBER('Price History'!W118)),NOT(ISNUMBER('Price History'!W117)),'Price History'!W117=0),"",'Price History'!W118/'Price History'!W117-1),"")</f>
        <v>0.0380987202925047</v>
      </c>
      <c r="AQ117" s="143" t="str">
        <f aca="false">IFERROR(IF(OR(NOT(ISNUMBER('Price History'!X118)),NOT(ISNUMBER('Price History'!X117)),'Price History'!X117=0),"",'Price History'!X118/'Price History'!X117-1),"")</f>
        <v/>
      </c>
      <c r="AR117" s="143" t="n">
        <f aca="false">IFERROR(IF(OR(NOT(ISNUMBER('Price History'!Y118)),NOT(ISNUMBER('Price History'!Y117)),'Price History'!Y117=0),"",'Price History'!Y118/'Price History'!Y117-1),"")</f>
        <v>0.0233973749286664</v>
      </c>
      <c r="AS117" s="143" t="n">
        <f aca="false">IFERROR(IF(OR(NOT(ISNUMBER('Price History'!Z118)),NOT(ISNUMBER('Price History'!Z117)),'Price History'!Z117=0),"",'Price History'!Z118/'Price History'!Z117-1),"")</f>
        <v>0.0382761751763638</v>
      </c>
      <c r="AT117" s="143" t="n">
        <f aca="false">IFERROR(IF(OR(NOT(ISNUMBER('Price History'!AA118)),NOT(ISNUMBER('Price History'!AA117)),'Price History'!AA117=0),"",'Price History'!AA118/'Price History'!AA117-1),"")</f>
        <v>0.0313488639631867</v>
      </c>
    </row>
    <row r="118" customFormat="false" ht="15" hidden="false" customHeight="true" outlineLevel="0" collapsed="false">
      <c r="A118" s="141" t="n">
        <f aca="false">IF('Price History'!A119="","",'Price History'!A119)</f>
        <v>45996</v>
      </c>
      <c r="B118" s="142" t="n">
        <f aca="false">IFERROR(IF(OR(NOT(ISNUMBER('Price History'!B119)),NOT(ISNUMBER('Price History'!B118)),'Price History'!B118=0),"",'Price History'!B119/'Price History'!B118-1),"")</f>
        <v>0.0816230906194357</v>
      </c>
      <c r="C118" s="142" t="n">
        <f aca="false">IFERROR(IF(OR(NOT(ISNUMBER('Price History'!C119)),NOT(ISNUMBER('Price History'!C118)),'Price History'!C118=0),"",'Price History'!C119/'Price History'!C118-1),"")</f>
        <v>-0.015993265993266</v>
      </c>
      <c r="D118" s="142" t="n">
        <f aca="false">IFERROR(IF(OR(NOT(ISNUMBER('Price History'!D119)),NOT(ISNUMBER('Price History'!D118)),'Price History'!D118=0),"",'Price History'!D119/'Price History'!D118-1),"")</f>
        <v>0.0372346980368365</v>
      </c>
      <c r="E118" s="142" t="n">
        <f aca="false">IFERROR(IF(OR(NOT(ISNUMBER('Price History'!E119)),NOT(ISNUMBER('Price History'!E118)),'Price History'!E118=0),"",'Price History'!E119/'Price History'!E118-1),"")</f>
        <v>-0.0315757893947348</v>
      </c>
      <c r="F118" s="142" t="n">
        <f aca="false">IFERROR(IF(OR(NOT(ISNUMBER('Price History'!F119)),NOT(ISNUMBER('Price History'!F118)),'Price History'!F118=0),"",'Price History'!F119/'Price History'!F118-1),"")</f>
        <v>0.00565637520622198</v>
      </c>
      <c r="G118" s="142" t="n">
        <f aca="false">IFERROR(IF(OR(NOT(ISNUMBER('Price History'!G119)),NOT(ISNUMBER('Price History'!G118)),'Price History'!G118=0),"",'Price History'!G119/'Price History'!G118-1),"")</f>
        <v>0.0332166339339084</v>
      </c>
      <c r="H118" s="142" t="n">
        <f aca="false">IFERROR(IF(OR(NOT(ISNUMBER('Price History'!H119)),NOT(ISNUMBER('Price History'!H118)),'Price History'!H118=0),"",'Price History'!H119/'Price History'!H118-1),"")</f>
        <v>0.0031322751322751</v>
      </c>
      <c r="I118" s="142" t="n">
        <f aca="false">IFERROR(IF(OR(NOT(ISNUMBER('Price History'!I119)),NOT(ISNUMBER('Price History'!I118)),'Price History'!I118=0),"",'Price History'!I119/'Price History'!I118-1),"")</f>
        <v>0.0305810397553516</v>
      </c>
      <c r="J118" s="142" t="n">
        <f aca="false">IFERROR(IF(OR(NOT(ISNUMBER('Price History'!J119)),NOT(ISNUMBER('Price History'!J118)),'Price History'!J118=0),"",'Price History'!J119/'Price History'!J118-1),"")</f>
        <v>-0.00433317284545021</v>
      </c>
      <c r="K118" s="142" t="n">
        <f aca="false">IFERROR(IF(OR(NOT(ISNUMBER('Price History'!K119)),NOT(ISNUMBER('Price History'!K118)),'Price History'!K118=0),"",'Price History'!K119/'Price History'!K118-1),"")</f>
        <v>0.0790145443751855</v>
      </c>
      <c r="L118" s="142" t="n">
        <f aca="false">IFERROR(IF(OR(NOT(ISNUMBER('Price History'!L119)),NOT(ISNUMBER('Price History'!L118)),'Price History'!L118=0),"",'Price History'!L119/'Price History'!L118-1),"")</f>
        <v>0.0109893919434239</v>
      </c>
      <c r="M118" s="142" t="n">
        <f aca="false">IFERROR(IF(OR(NOT(ISNUMBER('Price History'!M119)),NOT(ISNUMBER('Price History'!M118)),'Price History'!M118=0),"",'Price History'!M119/'Price History'!M118-1),"")</f>
        <v>0.0516675018094759</v>
      </c>
      <c r="N118" s="142" t="n">
        <f aca="false">IFERROR(IF(OR(NOT(ISNUMBER('Price History'!N119)),NOT(ISNUMBER('Price History'!N118)),'Price History'!N118=0),"",'Price History'!N119/'Price History'!N118-1),"")</f>
        <v>0.0504370286663132</v>
      </c>
      <c r="O118" s="142" t="n">
        <f aca="false">IFERROR(IF(OR(NOT(ISNUMBER('Price History'!O119)),NOT(ISNUMBER('Price History'!O118)),'Price History'!O118=0),"",'Price History'!O119/'Price History'!O118-1),"")</f>
        <v>0.0175333132952611</v>
      </c>
      <c r="P118" s="142" t="n">
        <f aca="false">IFERROR(IF(OR(NOT(ISNUMBER('Price History'!P119)),NOT(ISNUMBER('Price History'!P118)),'Price History'!P118=0),"",'Price History'!P119/'Price History'!P118-1),"")</f>
        <v>-0.0119030442937528</v>
      </c>
      <c r="Q118" s="142" t="n">
        <f aca="false">IFERROR(IF(OR(NOT(ISNUMBER('Price History'!Q119)),NOT(ISNUMBER('Price History'!Q118)),'Price History'!Q118=0),"",'Price History'!Q119/'Price History'!Q118-1),"")</f>
        <v>0.00227928886187501</v>
      </c>
      <c r="R118" s="142" t="n">
        <f aca="false">IFERROR(IF(OR(NOT(ISNUMBER('Price History'!R119)),NOT(ISNUMBER('Price History'!R118)),'Price History'!R118=0),"",'Price History'!R119/'Price History'!R118-1),"")</f>
        <v>0.00966641394996226</v>
      </c>
      <c r="S118" s="142" t="n">
        <f aca="false">IFERROR(IF(OR(NOT(ISNUMBER('Price History'!S119)),NOT(ISNUMBER('Price History'!S118)),'Price History'!S118=0),"",'Price History'!S119/'Price History'!S118-1),"")</f>
        <v>0.00612878851481824</v>
      </c>
      <c r="T118" s="142" t="n">
        <f aca="false">IFERROR(IF(OR(NOT(ISNUMBER('Price History'!T119)),NOT(ISNUMBER('Price History'!T118)),'Price History'!T118=0),"",'Price History'!T119/'Price History'!T118-1),"")</f>
        <v>0.0156168662155127</v>
      </c>
      <c r="U118" s="142" t="n">
        <f aca="false">IFERROR(IF(OR(NOT(ISNUMBER('Price History'!U119)),NOT(ISNUMBER('Price History'!U118)),'Price History'!U118=0),"",'Price History'!U119/'Price History'!U118-1),"")</f>
        <v>0.00412603150787705</v>
      </c>
      <c r="V118" s="143" t="n">
        <f aca="false">IFERROR(IF(OR(NOT(ISNUMBER('Price History'!V119)),NOT(ISNUMBER('Price History'!V118)),'Price History'!V118=0),"",'Price History'!V119/'Price History'!V118-1),"")</f>
        <v>-0.00956563590422332</v>
      </c>
      <c r="W118" s="144" t="n">
        <f aca="false">IFERROR('Price History'!B3+(INDEX('Price History'!B:B,MATCH(9.99E+307,'Returns (Calc)'!$A:$A)+1)-'Price History'!B3)*(ROW()-3)/(MATCH(9.99E+307,'Returns (Calc)'!$A:$A)-3),"")</f>
        <v>316.940632911392</v>
      </c>
      <c r="X118" s="144" t="n">
        <f aca="false">IFERROR('Price History'!C3+(INDEX('Price History'!C:C,MATCH(9.99E+307,'Returns (Calc)'!$A:$A)+1)-'Price History'!C3)*(ROW()-3)/(MATCH(9.99E+307,'Returns (Calc)'!$A:$A)-3),"")</f>
        <v>163.487278481013</v>
      </c>
      <c r="Y118" s="144" t="n">
        <f aca="false">IFERROR('Price History'!D3+(INDEX('Price History'!D:D,MATCH(9.99E+307,'Returns (Calc)'!$A:$A)+1)-'Price History'!D3)*(ROW()-3)/(MATCH(9.99E+307,'Returns (Calc)'!$A:$A)-3),"")</f>
        <v>1517.51316455696</v>
      </c>
      <c r="Z118" s="144" t="n">
        <f aca="false">IFERROR('Price History'!E3+(INDEX('Price History'!E:E,MATCH(9.99E+307,'Returns (Calc)'!$A:$A)+1)-'Price History'!E3)*(ROW()-3)/(MATCH(9.99E+307,'Returns (Calc)'!$A:$A)-3),"")</f>
        <v>280.804430379747</v>
      </c>
      <c r="AA118" s="144" t="n">
        <f aca="false">IFERROR('Price History'!F3+(INDEX('Price History'!F:F,MATCH(9.99E+307,'Returns (Calc)'!$A:$A)+1)-'Price History'!F3)*(ROW()-3)/(MATCH(9.99E+307,'Returns (Calc)'!$A:$A)-3),"")</f>
        <v>207.804303797468</v>
      </c>
      <c r="AB118" s="144" t="n">
        <f aca="false">IFERROR('Price History'!G3+(INDEX('Price History'!G:G,MATCH(9.99E+307,'Returns (Calc)'!$A:$A)+1)-'Price History'!G3)*(ROW()-3)/(MATCH(9.99E+307,'Returns (Calc)'!$A:$A)-3),"")</f>
        <v>162.654430379747</v>
      </c>
      <c r="AC118" s="144" t="n">
        <f aca="false">IFERROR('Price History'!H3+(INDEX('Price History'!H:H,MATCH(9.99E+307,'Returns (Calc)'!$A:$A)+1)-'Price History'!H3)*(ROW()-3)/(MATCH(9.99E+307,'Returns (Calc)'!$A:$A)-3),"")</f>
        <v>801.165063291139</v>
      </c>
      <c r="AD118" s="144" t="n">
        <f aca="false">IFERROR('Price History'!I3+(INDEX('Price History'!I:I,MATCH(9.99E+307,'Returns (Calc)'!$A:$A)+1)-'Price History'!I3)*(ROW()-3)/(MATCH(9.99E+307,'Returns (Calc)'!$A:$A)-3),"")</f>
        <v>182.192151898734</v>
      </c>
      <c r="AE118" s="144" t="n">
        <f aca="false">IFERROR('Price History'!J3+(INDEX('Price History'!J:J,MATCH(9.99E+307,'Returns (Calc)'!$A:$A)+1)-'Price History'!J3)*(ROW()-3)/(MATCH(9.99E+307,'Returns (Calc)'!$A:$A)-3),"")</f>
        <v>124.264367088608</v>
      </c>
      <c r="AF118" s="144" t="n">
        <f aca="false">IFERROR('Price History'!K3+(INDEX('Price History'!K:K,MATCH(9.99E+307,'Returns (Calc)'!$A:$A)+1)-'Price History'!K3)*(ROW()-3)/(MATCH(9.99E+307,'Returns (Calc)'!$A:$A)-3),"")</f>
        <v>141.553417721519</v>
      </c>
      <c r="AG118" s="144" t="n">
        <f aca="false">IFERROR('Price History'!L3+(INDEX('Price History'!L:L,MATCH(9.99E+307,'Returns (Calc)'!$A:$A)+1)-'Price History'!L3)*(ROW()-3)/(MATCH(9.99E+307,'Returns (Calc)'!$A:$A)-3),"")</f>
        <v>367.449050632911</v>
      </c>
      <c r="AH118" s="144" t="n">
        <f aca="false">IFERROR('Price History'!M3+(INDEX('Price History'!M:M,MATCH(9.99E+307,'Returns (Calc)'!$A:$A)+1)-'Price History'!M3)*(ROW()-3)/(MATCH(9.99E+307,'Returns (Calc)'!$A:$A)-3),"")</f>
        <v>193.895949367089</v>
      </c>
      <c r="AI118" s="144" t="n">
        <f aca="false">IFERROR('Price History'!N3+(INDEX('Price History'!N:N,MATCH(9.99E+307,'Returns (Calc)'!$A:$A)+1)-'Price History'!N3)*(ROW()-3)/(MATCH(9.99E+307,'Returns (Calc)'!$A:$A)-3),"")</f>
        <v>462.320569620253</v>
      </c>
      <c r="AJ118" s="144" t="n">
        <f aca="false">IFERROR('Price History'!O3+(INDEX('Price History'!O:O,MATCH(9.99E+307,'Returns (Calc)'!$A:$A)+1)-'Price History'!O3)*(ROW()-3)/(MATCH(9.99E+307,'Returns (Calc)'!$A:$A)-3),"")</f>
        <v>107.859367088608</v>
      </c>
      <c r="AK118" s="144" t="n">
        <f aca="false">IFERROR('Price History'!Q3+(INDEX('Price History'!Q:Q,MATCH(9.99E+307,'Returns (Calc)'!$A:$A)+1)-'Price History'!Q3)*(ROW()-3)/(MATCH(9.99E+307,'Returns (Calc)'!$A:$A)-3),"")</f>
        <v>50.5272151898734</v>
      </c>
      <c r="AL118" s="144" t="n">
        <f aca="false">IFERROR('Price History'!R3+(INDEX('Price History'!R:R,MATCH(9.99E+307,'Returns (Calc)'!$A:$A)+1)-'Price History'!R3)*(ROW()-3)/(MATCH(9.99E+307,'Returns (Calc)'!$A:$A)-3),"")</f>
        <v>53.8116455696203</v>
      </c>
      <c r="AM118" s="144" t="n">
        <f aca="false">IFERROR('Price History'!S3+(INDEX('Price History'!S:S,MATCH(9.99E+307,'Returns (Calc)'!$A:$A)+1)-'Price History'!S3)*(ROW()-3)/(MATCH(9.99E+307,'Returns (Calc)'!$A:$A)-3),"")</f>
        <v>127.212278481013</v>
      </c>
      <c r="AN118" s="144" t="n">
        <f aca="false">IFERROR('Price History'!T3+(INDEX('Price History'!T:T,MATCH(9.99E+307,'Returns (Calc)'!$A:$A)+1)-'Price History'!T3)*(ROW()-3)/(MATCH(9.99E+307,'Returns (Calc)'!$A:$A)-3),"")</f>
        <v>44.5862025316456</v>
      </c>
      <c r="AO118" s="145" t="n">
        <f aca="false">IFERROR('Price History'!V3+(INDEX('Price History'!V:V,MATCH(9.99E+307,'Returns (Calc)'!$A:$A)+1)-'Price History'!V3)*(ROW()-3)/(MATCH(9.99E+307,'Returns (Calc)'!$A:$A)-3),"")</f>
        <v>326.632848101266</v>
      </c>
      <c r="AP118" s="143" t="n">
        <f aca="false">IFERROR(IF(OR(NOT(ISNUMBER('Price History'!W119)),NOT(ISNUMBER('Price History'!W118)),'Price History'!W118=0),"",'Price History'!W119/'Price History'!W118-1),"")</f>
        <v>-0.00154973231896305</v>
      </c>
      <c r="AQ118" s="143" t="str">
        <f aca="false">IFERROR(IF(OR(NOT(ISNUMBER('Price History'!X119)),NOT(ISNUMBER('Price History'!X118)),'Price History'!X118=0),"",'Price History'!X119/'Price History'!X118-1),"")</f>
        <v/>
      </c>
      <c r="AR118" s="143" t="n">
        <f aca="false">IFERROR(IF(OR(NOT(ISNUMBER('Price History'!Y119)),NOT(ISNUMBER('Price History'!Y118)),'Price History'!Y118=0),"",'Price History'!Y119/'Price History'!Y118-1),"")</f>
        <v>-0.00185873605947939</v>
      </c>
      <c r="AS118" s="143" t="n">
        <f aca="false">IFERROR(IF(OR(NOT(ISNUMBER('Price History'!Z119)),NOT(ISNUMBER('Price History'!Z118)),'Price History'!Z118=0),"",'Price History'!Z119/'Price History'!Z118-1),"")</f>
        <v>-0.0486041035990582</v>
      </c>
      <c r="AT118" s="143" t="n">
        <f aca="false">IFERROR(IF(OR(NOT(ISNUMBER('Price History'!AA119)),NOT(ISNUMBER('Price History'!AA118)),'Price History'!AA118=0),"",'Price History'!AA119/'Price History'!AA118-1),"")</f>
        <v>-0.0682282952221603</v>
      </c>
    </row>
    <row r="119" customFormat="false" ht="15" hidden="false" customHeight="true" outlineLevel="0" collapsed="false">
      <c r="A119" s="141" t="n">
        <f aca="false">IF('Price History'!A120="","",'Price History'!A120)</f>
        <v>46003</v>
      </c>
      <c r="B119" s="142" t="n">
        <f aca="false">IFERROR(IF(OR(NOT(ISNUMBER('Price History'!B120)),NOT(ISNUMBER('Price History'!B119)),'Price History'!B119=0),"",'Price History'!B120/'Price History'!B119-1),"")</f>
        <v>0.0293709928955122</v>
      </c>
      <c r="C119" s="142" t="n">
        <f aca="false">IFERROR(IF(OR(NOT(ISNUMBER('Price History'!C120)),NOT(ISNUMBER('Price History'!C119)),'Price History'!C119=0),"",'Price History'!C120/'Price History'!C119-1),"")</f>
        <v>-0.0297845866708142</v>
      </c>
      <c r="D119" s="142" t="n">
        <f aca="false">IFERROR(IF(OR(NOT(ISNUMBER('Price History'!D120)),NOT(ISNUMBER('Price History'!D119)),'Price History'!D119=0),"",'Price History'!D120/'Price History'!D119-1),"")</f>
        <v>-0.0169345920801308</v>
      </c>
      <c r="E119" s="142" t="n">
        <f aca="false">IFERROR(IF(OR(NOT(ISNUMBER('Price History'!E120)),NOT(ISNUMBER('Price History'!E119)),'Price History'!E119=0),"",'Price History'!E120/'Price History'!E119-1),"")</f>
        <v>-0.0776796778190831</v>
      </c>
      <c r="F119" s="142" t="n">
        <f aca="false">IFERROR(IF(OR(NOT(ISNUMBER('Price History'!F120)),NOT(ISNUMBER('Price History'!F119)),'Price History'!F119=0),"",'Price History'!F120/'Price History'!F119-1),"")</f>
        <v>-0.0142176392469338</v>
      </c>
      <c r="G119" s="142" t="n">
        <f aca="false">IFERROR(IF(OR(NOT(ISNUMBER('Price History'!G120)),NOT(ISNUMBER('Price History'!G119)),'Price History'!G119=0),"",'Price History'!G120/'Price History'!G119-1),"")</f>
        <v>-0.0169421487603305</v>
      </c>
      <c r="H119" s="142" t="n">
        <f aca="false">IFERROR(IF(OR(NOT(ISNUMBER('Price History'!H120)),NOT(ISNUMBER('Price History'!H119)),'Price History'!H119=0),"",'Price History'!H120/'Price History'!H119-1),"")</f>
        <v>0.0164985864382463</v>
      </c>
      <c r="I119" s="142" t="n">
        <f aca="false">IFERROR(IF(OR(NOT(ISNUMBER('Price History'!I120)),NOT(ISNUMBER('Price History'!I119)),'Price History'!I119=0),"",'Price History'!I120/'Price History'!I119-1),"")</f>
        <v>-0.0404989559292228</v>
      </c>
      <c r="J119" s="142" t="n">
        <f aca="false">IFERROR(IF(OR(NOT(ISNUMBER('Price History'!J120)),NOT(ISNUMBER('Price History'!J119)),'Price History'!J119=0),"",'Price History'!J120/'Price History'!J119-1),"")</f>
        <v>0.0172469374597035</v>
      </c>
      <c r="K119" s="142" t="n">
        <f aca="false">IFERROR(IF(OR(NOT(ISNUMBER('Price History'!K120)),NOT(ISNUMBER('Price History'!K119)),'Price History'!K119=0),"",'Price History'!K120/'Price History'!K119-1),"")</f>
        <v>0.00995818661971826</v>
      </c>
      <c r="L119" s="142" t="n">
        <f aca="false">IFERROR(IF(OR(NOT(ISNUMBER('Price History'!L120)),NOT(ISNUMBER('Price History'!L119)),'Price History'!L119=0),"",'Price History'!L120/'Price History'!L119-1),"")</f>
        <v>-0.00641223468093133</v>
      </c>
      <c r="M119" s="142" t="n">
        <f aca="false">IFERROR(IF(OR(NOT(ISNUMBER('Price History'!M120)),NOT(ISNUMBER('Price History'!M119)),'Price History'!M119=0),"",'Price History'!M120/'Price History'!M119-1),"")</f>
        <v>-0.146805018794007</v>
      </c>
      <c r="N119" s="142" t="n">
        <f aca="false">IFERROR(IF(OR(NOT(ISNUMBER('Price History'!N120)),NOT(ISNUMBER('Price History'!N119)),'Price History'!N119=0),"",'Price History'!N120/'Price History'!N119-1),"")</f>
        <v>-0.00755247211732679</v>
      </c>
      <c r="O119" s="142" t="n">
        <f aca="false">IFERROR(IF(OR(NOT(ISNUMBER('Price History'!O120)),NOT(ISNUMBER('Price History'!O119)),'Price History'!O119=0),"",'Price History'!O120/'Price History'!O119-1),"")</f>
        <v>0.0214651437573847</v>
      </c>
      <c r="P119" s="142" t="n">
        <f aca="false">IFERROR(IF(OR(NOT(ISNUMBER('Price History'!P120)),NOT(ISNUMBER('Price History'!P119)),'Price History'!P119=0),"",'Price History'!P120/'Price History'!P119-1),"")</f>
        <v>0.0162079287435204</v>
      </c>
      <c r="Q119" s="142" t="n">
        <f aca="false">IFERROR(IF(OR(NOT(ISNUMBER('Price History'!Q120)),NOT(ISNUMBER('Price History'!Q119)),'Price History'!Q119=0),"",'Price History'!Q120/'Price History'!Q119-1),"")</f>
        <v>-0.00121285627653123</v>
      </c>
      <c r="R119" s="142" t="n">
        <f aca="false">IFERROR(IF(OR(NOT(ISNUMBER('Price History'!R120)),NOT(ISNUMBER('Price History'!R119)),'Price History'!R119=0),"",'Price History'!R120/'Price History'!R119-1),"")</f>
        <v>-0.0108879294161818</v>
      </c>
      <c r="S119" s="142" t="n">
        <f aca="false">IFERROR(IF(OR(NOT(ISNUMBER('Price History'!S120)),NOT(ISNUMBER('Price History'!S119)),'Price History'!S119=0),"",'Price History'!S120/'Price History'!S119-1),"")</f>
        <v>-0.0145193591455275</v>
      </c>
      <c r="T119" s="142" t="n">
        <f aca="false">IFERROR(IF(OR(NOT(ISNUMBER('Price History'!T120)),NOT(ISNUMBER('Price History'!T119)),'Price History'!T119=0),"",'Price History'!T120/'Price History'!T119-1),"")</f>
        <v>0.0107637109174781</v>
      </c>
      <c r="U119" s="142" t="n">
        <f aca="false">IFERROR(IF(OR(NOT(ISNUMBER('Price History'!U120)),NOT(ISNUMBER('Price History'!U119)),'Price History'!U119=0),"",'Price History'!U120/'Price History'!U119-1),"")</f>
        <v>0.00933881210310039</v>
      </c>
      <c r="V119" s="143" t="n">
        <f aca="false">IFERROR(IF(OR(NOT(ISNUMBER('Price History'!V120)),NOT(ISNUMBER('Price History'!V119)),'Price History'!V119=0),"",'Price History'!V120/'Price History'!V119-1),"")</f>
        <v>0.0500820020652373</v>
      </c>
      <c r="W119" s="144" t="n">
        <f aca="false">IFERROR('Price History'!B3+(INDEX('Price History'!B:B,MATCH(9.99E+307,'Returns (Calc)'!$A:$A)+1)-'Price History'!B3)*(ROW()-3)/(MATCH(9.99E+307,'Returns (Calc)'!$A:$A)-3),"")</f>
        <v>315.097594936709</v>
      </c>
      <c r="X119" s="144" t="n">
        <f aca="false">IFERROR('Price History'!C3+(INDEX('Price History'!C:C,MATCH(9.99E+307,'Returns (Calc)'!$A:$A)+1)-'Price History'!C3)*(ROW()-3)/(MATCH(9.99E+307,'Returns (Calc)'!$A:$A)-3),"")</f>
        <v>164.507341772152</v>
      </c>
      <c r="Y119" s="144" t="n">
        <f aca="false">IFERROR('Price History'!D3+(INDEX('Price History'!D:D,MATCH(9.99E+307,'Returns (Calc)'!$A:$A)+1)-'Price History'!D3)*(ROW()-3)/(MATCH(9.99E+307,'Returns (Calc)'!$A:$A)-3),"")</f>
        <v>1525.64797468354</v>
      </c>
      <c r="Z119" s="144" t="n">
        <f aca="false">IFERROR('Price History'!E3+(INDEX('Price History'!E:E,MATCH(9.99E+307,'Returns (Calc)'!$A:$A)+1)-'Price History'!E3)*(ROW()-3)/(MATCH(9.99E+307,'Returns (Calc)'!$A:$A)-3),"")</f>
        <v>282.533164556962</v>
      </c>
      <c r="AA119" s="144" t="n">
        <f aca="false">IFERROR('Price History'!F3+(INDEX('Price History'!F:F,MATCH(9.99E+307,'Returns (Calc)'!$A:$A)+1)-'Price History'!F3)*(ROW()-3)/(MATCH(9.99E+307,'Returns (Calc)'!$A:$A)-3),"")</f>
        <v>209.25164556962</v>
      </c>
      <c r="AB119" s="144" t="n">
        <f aca="false">IFERROR('Price History'!G3+(INDEX('Price History'!G:G,MATCH(9.99E+307,'Returns (Calc)'!$A:$A)+1)-'Price History'!G3)*(ROW()-3)/(MATCH(9.99E+307,'Returns (Calc)'!$A:$A)-3),"")</f>
        <v>163.683164556962</v>
      </c>
      <c r="AC119" s="144" t="n">
        <f aca="false">IFERROR('Price History'!H3+(INDEX('Price History'!H:H,MATCH(9.99E+307,'Returns (Calc)'!$A:$A)+1)-'Price History'!H3)*(ROW()-3)/(MATCH(9.99E+307,'Returns (Calc)'!$A:$A)-3),"")</f>
        <v>807.530759493671</v>
      </c>
      <c r="AD119" s="144" t="n">
        <f aca="false">IFERROR('Price History'!I3+(INDEX('Price History'!I:I,MATCH(9.99E+307,'Returns (Calc)'!$A:$A)+1)-'Price History'!I3)*(ROW()-3)/(MATCH(9.99E+307,'Returns (Calc)'!$A:$A)-3),"")</f>
        <v>183.39582278481</v>
      </c>
      <c r="AE119" s="144" t="n">
        <f aca="false">IFERROR('Price History'!J3+(INDEX('Price History'!J:J,MATCH(9.99E+307,'Returns (Calc)'!$A:$A)+1)-'Price History'!J3)*(ROW()-3)/(MATCH(9.99E+307,'Returns (Calc)'!$A:$A)-3),"")</f>
        <v>124.372405063291</v>
      </c>
      <c r="AF119" s="144" t="n">
        <f aca="false">IFERROR('Price History'!K3+(INDEX('Price History'!K:K,MATCH(9.99E+307,'Returns (Calc)'!$A:$A)+1)-'Price History'!K3)*(ROW()-3)/(MATCH(9.99E+307,'Returns (Calc)'!$A:$A)-3),"")</f>
        <v>142.651012658228</v>
      </c>
      <c r="AG119" s="144" t="n">
        <f aca="false">IFERROR('Price History'!L3+(INDEX('Price History'!L:L,MATCH(9.99E+307,'Returns (Calc)'!$A:$A)+1)-'Price History'!L3)*(ROW()-3)/(MATCH(9.99E+307,'Returns (Calc)'!$A:$A)-3),"")</f>
        <v>369.898607594937</v>
      </c>
      <c r="AH119" s="144" t="n">
        <f aca="false">IFERROR('Price History'!M3+(INDEX('Price History'!M:M,MATCH(9.99E+307,'Returns (Calc)'!$A:$A)+1)-'Price History'!M3)*(ROW()-3)/(MATCH(9.99E+307,'Returns (Calc)'!$A:$A)-3),"")</f>
        <v>195.251392405063</v>
      </c>
      <c r="AI119" s="144" t="n">
        <f aca="false">IFERROR('Price History'!N3+(INDEX('Price History'!N:N,MATCH(9.99E+307,'Returns (Calc)'!$A:$A)+1)-'Price History'!N3)*(ROW()-3)/(MATCH(9.99E+307,'Returns (Calc)'!$A:$A)-3),"")</f>
        <v>463.306835443038</v>
      </c>
      <c r="AJ119" s="144" t="n">
        <f aca="false">IFERROR('Price History'!O3+(INDEX('Price History'!O:O,MATCH(9.99E+307,'Returns (Calc)'!$A:$A)+1)-'Price History'!O3)*(ROW()-3)/(MATCH(9.99E+307,'Returns (Calc)'!$A:$A)-3),"")</f>
        <v>108.142405063291</v>
      </c>
      <c r="AK119" s="144" t="n">
        <f aca="false">IFERROR('Price History'!Q3+(INDEX('Price History'!Q:Q,MATCH(9.99E+307,'Returns (Calc)'!$A:$A)+1)-'Price History'!Q3)*(ROW()-3)/(MATCH(9.99E+307,'Returns (Calc)'!$A:$A)-3),"")</f>
        <v>50.966582278481</v>
      </c>
      <c r="AL119" s="144" t="n">
        <f aca="false">IFERROR('Price History'!R3+(INDEX('Price History'!R:R,MATCH(9.99E+307,'Returns (Calc)'!$A:$A)+1)-'Price History'!R3)*(ROW()-3)/(MATCH(9.99E+307,'Returns (Calc)'!$A:$A)-3),"")</f>
        <v>53.979746835443</v>
      </c>
      <c r="AM119" s="144" t="n">
        <f aca="false">IFERROR('Price History'!S3+(INDEX('Price History'!S:S,MATCH(9.99E+307,'Returns (Calc)'!$A:$A)+1)-'Price History'!S3)*(ROW()-3)/(MATCH(9.99E+307,'Returns (Calc)'!$A:$A)-3),"")</f>
        <v>127.817341772152</v>
      </c>
      <c r="AN119" s="144" t="n">
        <f aca="false">IFERROR('Price History'!T3+(INDEX('Price History'!T:T,MATCH(9.99E+307,'Returns (Calc)'!$A:$A)+1)-'Price History'!T3)*(ROW()-3)/(MATCH(9.99E+307,'Returns (Calc)'!$A:$A)-3),"")</f>
        <v>44.7544303797468</v>
      </c>
      <c r="AO119" s="145" t="n">
        <f aca="false">IFERROR('Price History'!V3+(INDEX('Price History'!V:V,MATCH(9.99E+307,'Returns (Calc)'!$A:$A)+1)-'Price History'!V3)*(ROW()-3)/(MATCH(9.99E+307,'Returns (Calc)'!$A:$A)-3),"")</f>
        <v>327.42417721519</v>
      </c>
      <c r="AP119" s="143" t="n">
        <f aca="false">IFERROR(IF(OR(NOT(ISNUMBER('Price History'!W120)),NOT(ISNUMBER('Price History'!W119)),'Price History'!W119=0),"",'Price History'!W120/'Price History'!W119-1),"")</f>
        <v>0.00550303372371941</v>
      </c>
      <c r="AQ119" s="143" t="str">
        <f aca="false">IFERROR(IF(OR(NOT(ISNUMBER('Price History'!X120)),NOT(ISNUMBER('Price History'!X119)),'Price History'!X119=0),"",'Price History'!X120/'Price History'!X119-1),"")</f>
        <v/>
      </c>
      <c r="AR119" s="143" t="n">
        <f aca="false">IFERROR(IF(OR(NOT(ISNUMBER('Price History'!Y120)),NOT(ISNUMBER('Price History'!Y119)),'Price History'!Y119=0),"",'Price History'!Y120/'Price History'!Y119-1),"")</f>
        <v>0.0052141527001861</v>
      </c>
      <c r="AS119" s="143" t="n">
        <f aca="false">IFERROR(IF(OR(NOT(ISNUMBER('Price History'!Z120)),NOT(ISNUMBER('Price History'!Z119)),'Price History'!Z119=0),"",'Price History'!Z120/'Price History'!Z119-1),"")</f>
        <v>0.0558953508926994</v>
      </c>
      <c r="AT119" s="143" t="n">
        <f aca="false">IFERROR(IF(OR(NOT(ISNUMBER('Price History'!AA120)),NOT(ISNUMBER('Price History'!AA119)),'Price History'!AA119=0),"",'Price History'!AA120/'Price History'!AA119-1),"")</f>
        <v>-0.0503790901835595</v>
      </c>
    </row>
    <row r="120" customFormat="false" ht="15" hidden="false" customHeight="true" outlineLevel="0" collapsed="false">
      <c r="A120" s="141" t="n">
        <f aca="false">IF('Price History'!A121="","",'Price History'!A121)</f>
        <v>46010</v>
      </c>
      <c r="B120" s="142" t="n">
        <f aca="false">IFERROR(IF(OR(NOT(ISNUMBER('Price History'!B121)),NOT(ISNUMBER('Price History'!B120)),'Price History'!B120=0),"",'Price History'!B121/'Price History'!B120-1),"")</f>
        <v>-0.00159919198720648</v>
      </c>
      <c r="C120" s="142" t="n">
        <f aca="false">IFERROR(IF(OR(NOT(ISNUMBER('Price History'!C121)),NOT(ISNUMBER('Price History'!C120)),'Price History'!C120=0),"",'Price History'!C121/'Price History'!C120-1),"")</f>
        <v>0.0509778775248477</v>
      </c>
      <c r="D120" s="142" t="n">
        <f aca="false">IFERROR(IF(OR(NOT(ISNUMBER('Price History'!D121)),NOT(ISNUMBER('Price History'!D120)),'Price History'!D120=0),"",'Price History'!D121/'Price History'!D120-1),"")</f>
        <v>-0.0229715156923993</v>
      </c>
      <c r="E120" s="142" t="n">
        <f aca="false">IFERROR(IF(OR(NOT(ISNUMBER('Price History'!E121)),NOT(ISNUMBER('Price History'!E120)),'Price History'!E120=0),"",'Price History'!E121/'Price History'!E120-1),"")</f>
        <v>-0.0543566490329441</v>
      </c>
      <c r="F120" s="142" t="n">
        <f aca="false">IFERROR(IF(OR(NOT(ISNUMBER('Price History'!F121)),NOT(ISNUMBER('Price History'!F120)),'Price History'!F120=0),"",'Price History'!F121/'Price History'!F120-1),"")</f>
        <v>-0.0465171566685158</v>
      </c>
      <c r="G120" s="142" t="n">
        <f aca="false">IFERROR(IF(OR(NOT(ISNUMBER('Price History'!G121)),NOT(ISNUMBER('Price History'!G120)),'Price History'!G120=0),"",'Price History'!G121/'Price History'!G120-1),"")</f>
        <v>0.0433795712484237</v>
      </c>
      <c r="H120" s="142" t="n">
        <f aca="false">IFERROR(IF(OR(NOT(ISNUMBER('Price History'!H121)),NOT(ISNUMBER('Price History'!H120)),'Price History'!H120=0),"",'Price History'!H121/'Price History'!H120-1),"")</f>
        <v>0.102781237027813</v>
      </c>
      <c r="I120" s="142" t="n">
        <f aca="false">IFERROR(IF(OR(NOT(ISNUMBER('Price History'!I121)),NOT(ISNUMBER('Price History'!I120)),'Price History'!I120=0),"",'Price History'!I121/'Price History'!I120-1),"")</f>
        <v>0.0341332111562911</v>
      </c>
      <c r="J120" s="142" t="n">
        <f aca="false">IFERROR(IF(OR(NOT(ISNUMBER('Price History'!J121)),NOT(ISNUMBER('Price History'!J120)),'Price History'!J120=0),"",'Price History'!J121/'Price History'!J120-1),"")</f>
        <v>-0.0150530819204564</v>
      </c>
      <c r="K120" s="142" t="n">
        <f aca="false">IFERROR(IF(OR(NOT(ISNUMBER('Price History'!K121)),NOT(ISNUMBER('Price History'!K120)),'Price History'!K120=0),"",'Price History'!K121/'Price History'!K120-1),"")</f>
        <v>0.0534401045922537</v>
      </c>
      <c r="L120" s="142" t="n">
        <f aca="false">IFERROR(IF(OR(NOT(ISNUMBER('Price History'!L121)),NOT(ISNUMBER('Price History'!L120)),'Price History'!L120=0),"",'Price History'!L121/'Price History'!L120-1),"")</f>
        <v>-0.0105604638321369</v>
      </c>
      <c r="M120" s="142" t="n">
        <f aca="false">IFERROR(IF(OR(NOT(ISNUMBER('Price History'!M121)),NOT(ISNUMBER('Price History'!M120)),'Price History'!M120=0),"",'Price History'!M121/'Price History'!M120-1),"")</f>
        <v>-0.00899726979399351</v>
      </c>
      <c r="N120" s="142" t="n">
        <f aca="false">IFERROR(IF(OR(NOT(ISNUMBER('Price History'!N121)),NOT(ISNUMBER('Price History'!N120)),'Price History'!N120=0),"",'Price History'!N121/'Price History'!N120-1),"")</f>
        <v>0.00920272542252887</v>
      </c>
      <c r="O120" s="142" t="n">
        <f aca="false">IFERROR(IF(OR(NOT(ISNUMBER('Price History'!O121)),NOT(ISNUMBER('Price History'!O120)),'Price History'!O120=0),"",'Price History'!O121/'Price History'!O120-1),"")</f>
        <v>-0.00906111432427215</v>
      </c>
      <c r="P120" s="142" t="n">
        <f aca="false">IFERROR(IF(OR(NOT(ISNUMBER('Price History'!P121)),NOT(ISNUMBER('Price History'!P120)),'Price History'!P120=0),"",'Price History'!P121/'Price History'!P120-1),"")</f>
        <v>-0.00459803146777771</v>
      </c>
      <c r="Q120" s="142" t="n">
        <f aca="false">IFERROR(IF(OR(NOT(ISNUMBER('Price History'!Q121)),NOT(ISNUMBER('Price History'!Q120)),'Price History'!Q120=0),"",'Price History'!Q121/'Price History'!Q120-1),"")</f>
        <v>0.00227686703096541</v>
      </c>
      <c r="R120" s="142" t="n">
        <f aca="false">IFERROR(IF(OR(NOT(ISNUMBER('Price History'!R121)),NOT(ISNUMBER('Price History'!R120)),'Price History'!R120=0),"",'Price History'!R121/'Price History'!R120-1),"")</f>
        <v>0.00740178401973801</v>
      </c>
      <c r="S120" s="142" t="n">
        <f aca="false">IFERROR(IF(OR(NOT(ISNUMBER('Price History'!S121)),NOT(ISNUMBER('Price History'!S120)),'Price History'!S120=0),"",'Price History'!S121/'Price History'!S120-1),"")</f>
        <v>0.0036409822184591</v>
      </c>
      <c r="T120" s="142" t="n">
        <f aca="false">IFERROR(IF(OR(NOT(ISNUMBER('Price History'!T121)),NOT(ISNUMBER('Price History'!T120)),'Price History'!T120=0),"",'Price History'!T121/'Price History'!T120-1),"")</f>
        <v>-0.00431034482758608</v>
      </c>
      <c r="U120" s="142" t="n">
        <f aca="false">IFERROR(IF(OR(NOT(ISNUMBER('Price History'!U121)),NOT(ISNUMBER('Price History'!U120)),'Price History'!U120=0),"",'Price History'!U121/'Price History'!U120-1),"")</f>
        <v>-0.00814211695040712</v>
      </c>
      <c r="V120" s="143" t="n">
        <f aca="false">IFERROR(IF(OR(NOT(ISNUMBER('Price History'!V121)),NOT(ISNUMBER('Price History'!V120)),'Price History'!V120=0),"",'Price History'!V121/'Price History'!V120-1),"")</f>
        <v>0.00410701373825018</v>
      </c>
      <c r="W120" s="144" t="n">
        <f aca="false">IFERROR('Price History'!B3+(INDEX('Price History'!B:B,MATCH(9.99E+307,'Returns (Calc)'!$A:$A)+1)-'Price History'!B3)*(ROW()-3)/(MATCH(9.99E+307,'Returns (Calc)'!$A:$A)-3),"")</f>
        <v>313.254556962025</v>
      </c>
      <c r="X120" s="144" t="n">
        <f aca="false">IFERROR('Price History'!C3+(INDEX('Price History'!C:C,MATCH(9.99E+307,'Returns (Calc)'!$A:$A)+1)-'Price History'!C3)*(ROW()-3)/(MATCH(9.99E+307,'Returns (Calc)'!$A:$A)-3),"")</f>
        <v>165.527405063291</v>
      </c>
      <c r="Y120" s="144" t="n">
        <f aca="false">IFERROR('Price History'!D3+(INDEX('Price History'!D:D,MATCH(9.99E+307,'Returns (Calc)'!$A:$A)+1)-'Price History'!D3)*(ROW()-3)/(MATCH(9.99E+307,'Returns (Calc)'!$A:$A)-3),"")</f>
        <v>1533.78278481013</v>
      </c>
      <c r="Z120" s="144" t="n">
        <f aca="false">IFERROR('Price History'!E3+(INDEX('Price History'!E:E,MATCH(9.99E+307,'Returns (Calc)'!$A:$A)+1)-'Price History'!E3)*(ROW()-3)/(MATCH(9.99E+307,'Returns (Calc)'!$A:$A)-3),"")</f>
        <v>284.261898734177</v>
      </c>
      <c r="AA120" s="144" t="n">
        <f aca="false">IFERROR('Price History'!F3+(INDEX('Price History'!F:F,MATCH(9.99E+307,'Returns (Calc)'!$A:$A)+1)-'Price History'!F3)*(ROW()-3)/(MATCH(9.99E+307,'Returns (Calc)'!$A:$A)-3),"")</f>
        <v>210.698987341772</v>
      </c>
      <c r="AB120" s="144" t="n">
        <f aca="false">IFERROR('Price History'!G3+(INDEX('Price History'!G:G,MATCH(9.99E+307,'Returns (Calc)'!$A:$A)+1)-'Price History'!G3)*(ROW()-3)/(MATCH(9.99E+307,'Returns (Calc)'!$A:$A)-3),"")</f>
        <v>164.711898734177</v>
      </c>
      <c r="AC120" s="144" t="n">
        <f aca="false">IFERROR('Price History'!H3+(INDEX('Price History'!H:H,MATCH(9.99E+307,'Returns (Calc)'!$A:$A)+1)-'Price History'!H3)*(ROW()-3)/(MATCH(9.99E+307,'Returns (Calc)'!$A:$A)-3),"")</f>
        <v>813.896455696203</v>
      </c>
      <c r="AD120" s="144" t="n">
        <f aca="false">IFERROR('Price History'!I3+(INDEX('Price History'!I:I,MATCH(9.99E+307,'Returns (Calc)'!$A:$A)+1)-'Price History'!I3)*(ROW()-3)/(MATCH(9.99E+307,'Returns (Calc)'!$A:$A)-3),"")</f>
        <v>184.599493670886</v>
      </c>
      <c r="AE120" s="144" t="n">
        <f aca="false">IFERROR('Price History'!J3+(INDEX('Price History'!J:J,MATCH(9.99E+307,'Returns (Calc)'!$A:$A)+1)-'Price History'!J3)*(ROW()-3)/(MATCH(9.99E+307,'Returns (Calc)'!$A:$A)-3),"")</f>
        <v>124.480443037975</v>
      </c>
      <c r="AF120" s="144" t="n">
        <f aca="false">IFERROR('Price History'!K3+(INDEX('Price History'!K:K,MATCH(9.99E+307,'Returns (Calc)'!$A:$A)+1)-'Price History'!K3)*(ROW()-3)/(MATCH(9.99E+307,'Returns (Calc)'!$A:$A)-3),"")</f>
        <v>143.748607594937</v>
      </c>
      <c r="AG120" s="144" t="n">
        <f aca="false">IFERROR('Price History'!L3+(INDEX('Price History'!L:L,MATCH(9.99E+307,'Returns (Calc)'!$A:$A)+1)-'Price History'!L3)*(ROW()-3)/(MATCH(9.99E+307,'Returns (Calc)'!$A:$A)-3),"")</f>
        <v>372.348164556962</v>
      </c>
      <c r="AH120" s="144" t="n">
        <f aca="false">IFERROR('Price History'!M3+(INDEX('Price History'!M:M,MATCH(9.99E+307,'Returns (Calc)'!$A:$A)+1)-'Price History'!M3)*(ROW()-3)/(MATCH(9.99E+307,'Returns (Calc)'!$A:$A)-3),"")</f>
        <v>196.606835443038</v>
      </c>
      <c r="AI120" s="144" t="n">
        <f aca="false">IFERROR('Price History'!N3+(INDEX('Price History'!N:N,MATCH(9.99E+307,'Returns (Calc)'!$A:$A)+1)-'Price History'!N3)*(ROW()-3)/(MATCH(9.99E+307,'Returns (Calc)'!$A:$A)-3),"")</f>
        <v>464.293101265823</v>
      </c>
      <c r="AJ120" s="144" t="n">
        <f aca="false">IFERROR('Price History'!O3+(INDEX('Price History'!O:O,MATCH(9.99E+307,'Returns (Calc)'!$A:$A)+1)-'Price History'!O3)*(ROW()-3)/(MATCH(9.99E+307,'Returns (Calc)'!$A:$A)-3),"")</f>
        <v>108.425443037975</v>
      </c>
      <c r="AK120" s="144" t="n">
        <f aca="false">IFERROR('Price History'!Q3+(INDEX('Price History'!Q:Q,MATCH(9.99E+307,'Returns (Calc)'!$A:$A)+1)-'Price History'!Q3)*(ROW()-3)/(MATCH(9.99E+307,'Returns (Calc)'!$A:$A)-3),"")</f>
        <v>51.4059493670886</v>
      </c>
      <c r="AL120" s="144" t="n">
        <f aca="false">IFERROR('Price History'!R3+(INDEX('Price History'!R:R,MATCH(9.99E+307,'Returns (Calc)'!$A:$A)+1)-'Price History'!R3)*(ROW()-3)/(MATCH(9.99E+307,'Returns (Calc)'!$A:$A)-3),"")</f>
        <v>54.1478481012658</v>
      </c>
      <c r="AM120" s="144" t="n">
        <f aca="false">IFERROR('Price History'!S3+(INDEX('Price History'!S:S,MATCH(9.99E+307,'Returns (Calc)'!$A:$A)+1)-'Price History'!S3)*(ROW()-3)/(MATCH(9.99E+307,'Returns (Calc)'!$A:$A)-3),"")</f>
        <v>128.422405063291</v>
      </c>
      <c r="AN120" s="144" t="n">
        <f aca="false">IFERROR('Price History'!T3+(INDEX('Price History'!T:T,MATCH(9.99E+307,'Returns (Calc)'!$A:$A)+1)-'Price History'!T3)*(ROW()-3)/(MATCH(9.99E+307,'Returns (Calc)'!$A:$A)-3),"")</f>
        <v>44.9226582278481</v>
      </c>
      <c r="AO120" s="145" t="n">
        <f aca="false">IFERROR('Price History'!V3+(INDEX('Price History'!V:V,MATCH(9.99E+307,'Returns (Calc)'!$A:$A)+1)-'Price History'!V3)*(ROW()-3)/(MATCH(9.99E+307,'Returns (Calc)'!$A:$A)-3),"")</f>
        <v>328.215506329114</v>
      </c>
      <c r="AP120" s="143" t="n">
        <f aca="false">IFERROR(IF(OR(NOT(ISNUMBER('Price History'!W121)),NOT(ISNUMBER('Price History'!W120)),'Price History'!W120=0),"",'Price History'!W121/'Price History'!W120-1),"")</f>
        <v>-0.0118579848442324</v>
      </c>
      <c r="AQ120" s="143" t="str">
        <f aca="false">IFERROR(IF(OR(NOT(ISNUMBER('Price History'!X121)),NOT(ISNUMBER('Price History'!X120)),'Price History'!X120=0),"",'Price History'!X121/'Price History'!X120-1),"")</f>
        <v/>
      </c>
      <c r="AR120" s="143" t="n">
        <f aca="false">IFERROR(IF(OR(NOT(ISNUMBER('Price History'!Y121)),NOT(ISNUMBER('Price History'!Y120)),'Price History'!Y120=0),"",'Price History'!Y121/'Price History'!Y120-1),"")</f>
        <v>-0.00333456835865131</v>
      </c>
      <c r="AS120" s="143" t="n">
        <f aca="false">IFERROR(IF(OR(NOT(ISNUMBER('Price History'!Z121)),NOT(ISNUMBER('Price History'!Z120)),'Price History'!Z120=0),"",'Price History'!Z121/'Price History'!Z120-1),"")</f>
        <v>0.0246768901091541</v>
      </c>
      <c r="AT120" s="143" t="n">
        <f aca="false">IFERROR(IF(OR(NOT(ISNUMBER('Price History'!AA121)),NOT(ISNUMBER('Price History'!AA120)),'Price History'!AA120=0),"",'Price History'!AA121/'Price History'!AA120-1),"")</f>
        <v>-0.00840424414329233</v>
      </c>
    </row>
    <row r="121" customFormat="false" ht="15" hidden="false" customHeight="true" outlineLevel="0" collapsed="false">
      <c r="A121" s="141" t="n">
        <f aca="false">IF('Price History'!A122="","",'Price History'!A122)</f>
        <v>46017</v>
      </c>
      <c r="B121" s="142" t="n">
        <f aca="false">IFERROR(IF(OR(NOT(ISNUMBER('Price History'!B122)),NOT(ISNUMBER('Price History'!B121)),'Price History'!B121=0),"",'Price History'!B122/'Price History'!B121-1),"")</f>
        <v>-0.00578879334569771</v>
      </c>
      <c r="C121" s="142" t="n">
        <f aca="false">IFERROR(IF(OR(NOT(ISNUMBER('Price History'!C122)),NOT(ISNUMBER('Price History'!C121)),'Price History'!C121=0),"",'Price History'!C122/'Price History'!C121-1),"")</f>
        <v>0.00549115314215976</v>
      </c>
      <c r="D121" s="142" t="n">
        <f aca="false">IFERROR(IF(OR(NOT(ISNUMBER('Price History'!D122)),NOT(ISNUMBER('Price History'!D121)),'Price History'!D121=0),"",'Price History'!D122/'Price History'!D121-1),"")</f>
        <v>0.0158425073979276</v>
      </c>
      <c r="E121" s="142" t="n">
        <f aca="false">IFERROR(IF(OR(NOT(ISNUMBER('Price History'!E122)),NOT(ISNUMBER('Price History'!E121)),'Price History'!E121=0),"",'Price History'!E122/'Price History'!E121-1),"")</f>
        <v>0.0365546840313749</v>
      </c>
      <c r="F121" s="142" t="n">
        <f aca="false">IFERROR(IF(OR(NOT(ISNUMBER('Price History'!F122)),NOT(ISNUMBER('Price History'!F121)),'Price History'!F121=0),"",'Price History'!F122/'Price History'!F121-1),"")</f>
        <v>-0.000166223404255317</v>
      </c>
      <c r="G121" s="142" t="n">
        <f aca="false">IFERROR(IF(OR(NOT(ISNUMBER('Price History'!G122)),NOT(ISNUMBER('Price History'!G121)),'Price History'!G121=0),"",'Price History'!G122/'Price History'!G121-1),"")</f>
        <v>0.0272339054064943</v>
      </c>
      <c r="H121" s="142" t="n">
        <f aca="false">IFERROR(IF(OR(NOT(ISNUMBER('Price History'!H122)),NOT(ISNUMBER('Price History'!H121)),'Price History'!H121=0),"",'Price History'!H122/'Price History'!H121-1),"")</f>
        <v>0.0709553564706766</v>
      </c>
      <c r="I121" s="142" t="n">
        <f aca="false">IFERROR(IF(OR(NOT(ISNUMBER('Price History'!I122)),NOT(ISNUMBER('Price History'!I121)),'Price History'!I121=0),"",'Price History'!I122/'Price History'!I121-1),"")</f>
        <v>0.0527219360912665</v>
      </c>
      <c r="J121" s="142" t="n">
        <f aca="false">IFERROR(IF(OR(NOT(ISNUMBER('Price History'!J122)),NOT(ISNUMBER('Price History'!J121)),'Price History'!J121=0),"",'Price History'!J122/'Price History'!J121-1),"")</f>
        <v>0.0115830115830118</v>
      </c>
      <c r="K121" s="142" t="n">
        <f aca="false">IFERROR(IF(OR(NOT(ISNUMBER('Price History'!K122)),NOT(ISNUMBER('Price History'!K121)),'Price History'!K121=0),"",'Price History'!K122/'Price History'!K121-1),"")</f>
        <v>-0.0241493432619712</v>
      </c>
      <c r="L121" s="142" t="n">
        <f aca="false">IFERROR(IF(OR(NOT(ISNUMBER('Price History'!L122)),NOT(ISNUMBER('Price History'!L121)),'Price History'!L121=0),"",'Price History'!L122/'Price History'!L121-1),"")</f>
        <v>0.0480641785838858</v>
      </c>
      <c r="M121" s="142" t="n">
        <f aca="false">IFERROR(IF(OR(NOT(ISNUMBER('Price History'!M122)),NOT(ISNUMBER('Price History'!M121)),'Price History'!M121=0),"",'Price History'!M122/'Price History'!M121-1),"")</f>
        <v>0.0485254523824432</v>
      </c>
      <c r="N121" s="142" t="n">
        <f aca="false">IFERROR(IF(OR(NOT(ISNUMBER('Price History'!N122)),NOT(ISNUMBER('Price History'!N121)),'Price History'!N121=0),"",'Price History'!N122/'Price History'!N121-1),"")</f>
        <v>0.0146865409907935</v>
      </c>
      <c r="O121" s="142" t="n">
        <f aca="false">IFERROR(IF(OR(NOT(ISNUMBER('Price History'!O122)),NOT(ISNUMBER('Price History'!O121)),'Price History'!O121=0),"",'Price History'!O122/'Price History'!O121-1),"")</f>
        <v>-0.000875486381322954</v>
      </c>
      <c r="P121" s="142" t="n">
        <f aca="false">IFERROR(IF(OR(NOT(ISNUMBER('Price History'!P122)),NOT(ISNUMBER('Price History'!P121)),'Price History'!P121=0),"",'Price History'!P122/'Price History'!P121-1),"")</f>
        <v>0.00526885600866112</v>
      </c>
      <c r="Q121" s="142" t="n">
        <f aca="false">IFERROR(IF(OR(NOT(ISNUMBER('Price History'!Q122)),NOT(ISNUMBER('Price History'!Q121)),'Price History'!Q121=0),"",'Price History'!Q122/'Price History'!Q121-1),"")</f>
        <v>0.0106012418597607</v>
      </c>
      <c r="R121" s="142" t="n">
        <f aca="false">IFERROR(IF(OR(NOT(ISNUMBER('Price History'!R122)),NOT(ISNUMBER('Price History'!R121)),'Price History'!R121=0),"",'Price History'!R122/'Price History'!R121-1),"")</f>
        <v>0.0124340617935192</v>
      </c>
      <c r="S121" s="142" t="n">
        <f aca="false">IFERROR(IF(OR(NOT(ISNUMBER('Price History'!S122)),NOT(ISNUMBER('Price History'!S121)),'Price History'!S121=0),"",'Price History'!S122/'Price History'!S121-1),"")</f>
        <v>0.0179701341432548</v>
      </c>
      <c r="T121" s="142" t="n">
        <f aca="false">IFERROR(IF(OR(NOT(ISNUMBER('Price History'!T122)),NOT(ISNUMBER('Price History'!T121)),'Price History'!T121=0),"",'Price History'!T122/'Price History'!T121-1),"")</f>
        <v>0.00662083015024195</v>
      </c>
      <c r="U121" s="142" t="n">
        <f aca="false">IFERROR(IF(OR(NOT(ISNUMBER('Price History'!U122)),NOT(ISNUMBER('Price History'!U121)),'Price History'!U121=0),"",'Price History'!U122/'Price History'!U121-1),"")</f>
        <v>0.00671641791044775</v>
      </c>
      <c r="V121" s="143" t="n">
        <f aca="false">IFERROR(IF(OR(NOT(ISNUMBER('Price History'!V122)),NOT(ISNUMBER('Price History'!V121)),'Price History'!V121=0),"",'Price History'!V122/'Price History'!V121-1),"")</f>
        <v>0.0164472736699599</v>
      </c>
      <c r="W121" s="144" t="n">
        <f aca="false">IFERROR('Price History'!B3+(INDEX('Price History'!B:B,MATCH(9.99E+307,'Returns (Calc)'!$A:$A)+1)-'Price History'!B3)*(ROW()-3)/(MATCH(9.99E+307,'Returns (Calc)'!$A:$A)-3),"")</f>
        <v>311.411518987342</v>
      </c>
      <c r="X121" s="144" t="n">
        <f aca="false">IFERROR('Price History'!C3+(INDEX('Price History'!C:C,MATCH(9.99E+307,'Returns (Calc)'!$A:$A)+1)-'Price History'!C3)*(ROW()-3)/(MATCH(9.99E+307,'Returns (Calc)'!$A:$A)-3),"")</f>
        <v>166.54746835443</v>
      </c>
      <c r="Y121" s="144" t="n">
        <f aca="false">IFERROR('Price History'!D3+(INDEX('Price History'!D:D,MATCH(9.99E+307,'Returns (Calc)'!$A:$A)+1)-'Price History'!D3)*(ROW()-3)/(MATCH(9.99E+307,'Returns (Calc)'!$A:$A)-3),"")</f>
        <v>1541.91759493671</v>
      </c>
      <c r="Z121" s="144" t="n">
        <f aca="false">IFERROR('Price History'!E3+(INDEX('Price History'!E:E,MATCH(9.99E+307,'Returns (Calc)'!$A:$A)+1)-'Price History'!E3)*(ROW()-3)/(MATCH(9.99E+307,'Returns (Calc)'!$A:$A)-3),"")</f>
        <v>285.990632911392</v>
      </c>
      <c r="AA121" s="144" t="n">
        <f aca="false">IFERROR('Price History'!F3+(INDEX('Price History'!F:F,MATCH(9.99E+307,'Returns (Calc)'!$A:$A)+1)-'Price History'!F3)*(ROW()-3)/(MATCH(9.99E+307,'Returns (Calc)'!$A:$A)-3),"")</f>
        <v>212.146329113924</v>
      </c>
      <c r="AB121" s="144" t="n">
        <f aca="false">IFERROR('Price History'!G3+(INDEX('Price History'!G:G,MATCH(9.99E+307,'Returns (Calc)'!$A:$A)+1)-'Price History'!G3)*(ROW()-3)/(MATCH(9.99E+307,'Returns (Calc)'!$A:$A)-3),"")</f>
        <v>165.740632911392</v>
      </c>
      <c r="AC121" s="144" t="n">
        <f aca="false">IFERROR('Price History'!H3+(INDEX('Price History'!H:H,MATCH(9.99E+307,'Returns (Calc)'!$A:$A)+1)-'Price History'!H3)*(ROW()-3)/(MATCH(9.99E+307,'Returns (Calc)'!$A:$A)-3),"")</f>
        <v>820.262151898734</v>
      </c>
      <c r="AD121" s="144" t="n">
        <f aca="false">IFERROR('Price History'!I3+(INDEX('Price History'!I:I,MATCH(9.99E+307,'Returns (Calc)'!$A:$A)+1)-'Price History'!I3)*(ROW()-3)/(MATCH(9.99E+307,'Returns (Calc)'!$A:$A)-3),"")</f>
        <v>185.803164556962</v>
      </c>
      <c r="AE121" s="144" t="n">
        <f aca="false">IFERROR('Price History'!J3+(INDEX('Price History'!J:J,MATCH(9.99E+307,'Returns (Calc)'!$A:$A)+1)-'Price History'!J3)*(ROW()-3)/(MATCH(9.99E+307,'Returns (Calc)'!$A:$A)-3),"")</f>
        <v>124.588481012658</v>
      </c>
      <c r="AF121" s="144" t="n">
        <f aca="false">IFERROR('Price History'!K3+(INDEX('Price History'!K:K,MATCH(9.99E+307,'Returns (Calc)'!$A:$A)+1)-'Price History'!K3)*(ROW()-3)/(MATCH(9.99E+307,'Returns (Calc)'!$A:$A)-3),"")</f>
        <v>144.846202531646</v>
      </c>
      <c r="AG121" s="144" t="n">
        <f aca="false">IFERROR('Price History'!L3+(INDEX('Price History'!L:L,MATCH(9.99E+307,'Returns (Calc)'!$A:$A)+1)-'Price History'!L3)*(ROW()-3)/(MATCH(9.99E+307,'Returns (Calc)'!$A:$A)-3),"")</f>
        <v>374.797721518987</v>
      </c>
      <c r="AH121" s="144" t="n">
        <f aca="false">IFERROR('Price History'!M3+(INDEX('Price History'!M:M,MATCH(9.99E+307,'Returns (Calc)'!$A:$A)+1)-'Price History'!M3)*(ROW()-3)/(MATCH(9.99E+307,'Returns (Calc)'!$A:$A)-3),"")</f>
        <v>197.962278481013</v>
      </c>
      <c r="AI121" s="144" t="n">
        <f aca="false">IFERROR('Price History'!N3+(INDEX('Price History'!N:N,MATCH(9.99E+307,'Returns (Calc)'!$A:$A)+1)-'Price History'!N3)*(ROW()-3)/(MATCH(9.99E+307,'Returns (Calc)'!$A:$A)-3),"")</f>
        <v>465.279367088608</v>
      </c>
      <c r="AJ121" s="144" t="n">
        <f aca="false">IFERROR('Price History'!O3+(INDEX('Price History'!O:O,MATCH(9.99E+307,'Returns (Calc)'!$A:$A)+1)-'Price History'!O3)*(ROW()-3)/(MATCH(9.99E+307,'Returns (Calc)'!$A:$A)-3),"")</f>
        <v>108.708481012658</v>
      </c>
      <c r="AK121" s="144" t="n">
        <f aca="false">IFERROR('Price History'!Q3+(INDEX('Price History'!Q:Q,MATCH(9.99E+307,'Returns (Calc)'!$A:$A)+1)-'Price History'!Q3)*(ROW()-3)/(MATCH(9.99E+307,'Returns (Calc)'!$A:$A)-3),"")</f>
        <v>51.8453164556962</v>
      </c>
      <c r="AL121" s="144" t="n">
        <f aca="false">IFERROR('Price History'!R3+(INDEX('Price History'!R:R,MATCH(9.99E+307,'Returns (Calc)'!$A:$A)+1)-'Price History'!R3)*(ROW()-3)/(MATCH(9.99E+307,'Returns (Calc)'!$A:$A)-3),"")</f>
        <v>54.3159493670886</v>
      </c>
      <c r="AM121" s="144" t="n">
        <f aca="false">IFERROR('Price History'!S3+(INDEX('Price History'!S:S,MATCH(9.99E+307,'Returns (Calc)'!$A:$A)+1)-'Price History'!S3)*(ROW()-3)/(MATCH(9.99E+307,'Returns (Calc)'!$A:$A)-3),"")</f>
        <v>129.02746835443</v>
      </c>
      <c r="AN121" s="144" t="n">
        <f aca="false">IFERROR('Price History'!T3+(INDEX('Price History'!T:T,MATCH(9.99E+307,'Returns (Calc)'!$A:$A)+1)-'Price History'!T3)*(ROW()-3)/(MATCH(9.99E+307,'Returns (Calc)'!$A:$A)-3),"")</f>
        <v>45.0908860759494</v>
      </c>
      <c r="AO121" s="145" t="n">
        <f aca="false">IFERROR('Price History'!V3+(INDEX('Price History'!V:V,MATCH(9.99E+307,'Returns (Calc)'!$A:$A)+1)-'Price History'!V3)*(ROW()-3)/(MATCH(9.99E+307,'Returns (Calc)'!$A:$A)-3),"")</f>
        <v>329.006835443038</v>
      </c>
      <c r="AP121" s="143" t="n">
        <f aca="false">IFERROR(IF(OR(NOT(ISNUMBER('Price History'!W122)),NOT(ISNUMBER('Price History'!W121)),'Price History'!W121=0),"",'Price History'!W122/'Price History'!W121-1),"")</f>
        <v>0.0122843144216431</v>
      </c>
      <c r="AQ121" s="143" t="n">
        <f aca="false">IFERROR(IF(OR(NOT(ISNUMBER('Price History'!X122)),NOT(ISNUMBER('Price History'!X121)),'Price History'!X121=0),"",'Price History'!X122/'Price History'!X121-1),"")</f>
        <v>0.0158550396375992</v>
      </c>
      <c r="AR121" s="143" t="n">
        <f aca="false">IFERROR(IF(OR(NOT(ISNUMBER('Price History'!Y122)),NOT(ISNUMBER('Price History'!Y121)),'Price History'!Y121=0),"",'Price History'!Y122/'Price History'!Y121-1),"")</f>
        <v>0.00836431226765799</v>
      </c>
      <c r="AS121" s="143" t="n">
        <f aca="false">IFERROR(IF(OR(NOT(ISNUMBER('Price History'!Z122)),NOT(ISNUMBER('Price History'!Z121)),'Price History'!Z121=0),"",'Price History'!Z122/'Price History'!Z121-1),"")</f>
        <v>0.0258144626343824</v>
      </c>
      <c r="AT121" s="143" t="n">
        <f aca="false">IFERROR(IF(OR(NOT(ISNUMBER('Price History'!AA122)),NOT(ISNUMBER('Price History'!AA121)),'Price History'!AA121=0),"",'Price History'!AA122/'Price History'!AA121-1),"")</f>
        <v>0.00084754740968318</v>
      </c>
    </row>
    <row r="122" customFormat="false" ht="15" hidden="false" customHeight="true" outlineLevel="0" collapsed="false">
      <c r="A122" s="141" t="n">
        <f aca="false">IF('Price History'!A123="","",'Price History'!A123)</f>
        <v>46024</v>
      </c>
      <c r="B122" s="142" t="n">
        <f aca="false">IFERROR(IF(OR(NOT(ISNUMBER('Price History'!B123)),NOT(ISNUMBER('Price History'!B122)),'Price History'!B122=0),"",'Price History'!B123/'Price History'!B122-1),"")</f>
        <v>-0.0579423403052572</v>
      </c>
      <c r="C122" s="142" t="n">
        <f aca="false">IFERROR(IF(OR(NOT(ISNUMBER('Price History'!C123)),NOT(ISNUMBER('Price History'!C122)),'Price History'!C122=0),"",'Price History'!C123/'Price History'!C122-1),"")</f>
        <v>0.0133495145631066</v>
      </c>
      <c r="D122" s="142" t="n">
        <f aca="false">IFERROR(IF(OR(NOT(ISNUMBER('Price History'!D123)),NOT(ISNUMBER('Price History'!D122)),'Price History'!D122=0),"",'Price History'!D123/'Price History'!D122-1),"")</f>
        <v>0.0848616548959369</v>
      </c>
      <c r="E122" s="142" t="n">
        <f aca="false">IFERROR(IF(OR(NOT(ISNUMBER('Price History'!E123)),NOT(ISNUMBER('Price History'!E122)),'Price History'!E122=0),"",'Price History'!E123/'Price History'!E122-1),"")</f>
        <v>-0.0128212450028555</v>
      </c>
      <c r="F122" s="142" t="n">
        <f aca="false">IFERROR(IF(OR(NOT(ISNUMBER('Price History'!F123)),NOT(ISNUMBER('Price History'!F122)),'Price History'!F122=0),"",'Price History'!F123/'Price History'!F122-1),"")</f>
        <v>-0.0574397339983375</v>
      </c>
      <c r="G122" s="142" t="n">
        <f aca="false">IFERROR(IF(OR(NOT(ISNUMBER('Price History'!G123)),NOT(ISNUMBER('Price History'!G122)),'Price History'!G122=0),"",'Price History'!G123/'Price History'!G122-1),"")</f>
        <v>-0.00400031375009802</v>
      </c>
      <c r="H122" s="142" t="n">
        <f aca="false">IFERROR(IF(OR(NOT(ISNUMBER('Price History'!H123)),NOT(ISNUMBER('Price History'!H122)),'Price History'!H122=0),"",'Price History'!H123/'Price History'!H122-1),"")</f>
        <v>0.108010263259639</v>
      </c>
      <c r="I122" s="142" t="n">
        <f aca="false">IFERROR(IF(OR(NOT(ISNUMBER('Price History'!I123)),NOT(ISNUMBER('Price History'!I122)),'Price History'!I122=0),"",'Price History'!I123/'Price History'!I122-1),"")</f>
        <v>-0.00883791888053032</v>
      </c>
      <c r="J122" s="142" t="n">
        <f aca="false">IFERROR(IF(OR(NOT(ISNUMBER('Price History'!J123)),NOT(ISNUMBER('Price History'!J122)),'Price History'!J122=0),"",'Price History'!J123/'Price History'!J122-1),"")</f>
        <v>0.0027035623409668</v>
      </c>
      <c r="K122" s="142" t="n">
        <f aca="false">IFERROR(IF(OR(NOT(ISNUMBER('Price History'!K123)),NOT(ISNUMBER('Price History'!K122)),'Price History'!K122=0),"",'Price History'!K123/'Price History'!K122-1),"")</f>
        <v>-0.110486990620529</v>
      </c>
      <c r="L122" s="142" t="n">
        <f aca="false">IFERROR(IF(OR(NOT(ISNUMBER('Price History'!L123)),NOT(ISNUMBER('Price History'!L122)),'Price History'!L122=0),"",'Price History'!L123/'Price History'!L122-1),"")</f>
        <v>0.0553780617678381</v>
      </c>
      <c r="M122" s="142" t="n">
        <f aca="false">IFERROR(IF(OR(NOT(ISNUMBER('Price History'!M123)),NOT(ISNUMBER('Price History'!M122)),'Price History'!M122=0),"",'Price History'!M123/'Price History'!M122-1),"")</f>
        <v>0.0479517496715634</v>
      </c>
      <c r="N122" s="142" t="n">
        <f aca="false">IFERROR(IF(OR(NOT(ISNUMBER('Price History'!N123)),NOT(ISNUMBER('Price History'!N122)),'Price History'!N122=0),"",'Price History'!N123/'Price History'!N122-1),"")</f>
        <v>-0.0232663642255346</v>
      </c>
      <c r="O122" s="142" t="n">
        <f aca="false">IFERROR(IF(OR(NOT(ISNUMBER('Price History'!O123)),NOT(ISNUMBER('Price History'!O122)),'Price History'!O122=0),"",'Price History'!O123/'Price History'!O122-1),"")</f>
        <v>-0.00554960568591167</v>
      </c>
      <c r="P122" s="142" t="n">
        <f aca="false">IFERROR(IF(OR(NOT(ISNUMBER('Price History'!P123)),NOT(ISNUMBER('Price History'!P122)),'Price History'!P122=0),"",'Price History'!P123/'Price History'!P122-1),"")</f>
        <v>7.17978173463418E-005</v>
      </c>
      <c r="Q122" s="142" t="n">
        <f aca="false">IFERROR(IF(OR(NOT(ISNUMBER('Price History'!Q123)),NOT(ISNUMBER('Price History'!Q122)),'Price History'!Q122=0),"",'Price History'!Q123/'Price History'!Q122-1),"")</f>
        <v>-0.00824216993855831</v>
      </c>
      <c r="R122" s="142" t="n">
        <f aca="false">IFERROR(IF(OR(NOT(ISNUMBER('Price History'!R123)),NOT(ISNUMBER('Price History'!R122)),'Price History'!R122=0),"",'Price History'!R123/'Price History'!R122-1),"")</f>
        <v>-0.0115370301451434</v>
      </c>
      <c r="S122" s="142" t="n">
        <f aca="false">IFERROR(IF(OR(NOT(ISNUMBER('Price History'!S123)),NOT(ISNUMBER('Price History'!S122)),'Price History'!S122=0),"",'Price History'!S123/'Price History'!S122-1),"")</f>
        <v>-0.01408917619758</v>
      </c>
      <c r="T122" s="142" t="n">
        <f aca="false">IFERROR(IF(OR(NOT(ISNUMBER('Price History'!T123)),NOT(ISNUMBER('Price History'!T122)),'Price History'!T122=0),"",'Price History'!T123/'Price History'!T122-1),"")</f>
        <v>-0.00935997976220604</v>
      </c>
      <c r="U122" s="142" t="n">
        <f aca="false">IFERROR(IF(OR(NOT(ISNUMBER('Price History'!U123)),NOT(ISNUMBER('Price History'!U122)),'Price History'!U122=0),"",'Price History'!U123/'Price History'!U122-1),"")</f>
        <v>0.00296515937731656</v>
      </c>
      <c r="V122" s="143" t="n">
        <f aca="false">IFERROR(IF(OR(NOT(ISNUMBER('Price History'!V123)),NOT(ISNUMBER('Price History'!V122)),'Price History'!V122=0),"",'Price History'!V123/'Price History'!V122-1),"")</f>
        <v>-0.0240024937655859</v>
      </c>
      <c r="W122" s="144" t="n">
        <f aca="false">IFERROR('Price History'!B3+(INDEX('Price History'!B:B,MATCH(9.99E+307,'Returns (Calc)'!$A:$A)+1)-'Price History'!B3)*(ROW()-3)/(MATCH(9.99E+307,'Returns (Calc)'!$A:$A)-3),"")</f>
        <v>309.568481012658</v>
      </c>
      <c r="X122" s="144" t="n">
        <f aca="false">IFERROR('Price History'!C3+(INDEX('Price History'!C:C,MATCH(9.99E+307,'Returns (Calc)'!$A:$A)+1)-'Price History'!C3)*(ROW()-3)/(MATCH(9.99E+307,'Returns (Calc)'!$A:$A)-3),"")</f>
        <v>167.56753164557</v>
      </c>
      <c r="Y122" s="144" t="n">
        <f aca="false">IFERROR('Price History'!D3+(INDEX('Price History'!D:D,MATCH(9.99E+307,'Returns (Calc)'!$A:$A)+1)-'Price History'!D3)*(ROW()-3)/(MATCH(9.99E+307,'Returns (Calc)'!$A:$A)-3),"")</f>
        <v>1550.05240506329</v>
      </c>
      <c r="Z122" s="144" t="n">
        <f aca="false">IFERROR('Price History'!E3+(INDEX('Price History'!E:E,MATCH(9.99E+307,'Returns (Calc)'!$A:$A)+1)-'Price History'!E3)*(ROW()-3)/(MATCH(9.99E+307,'Returns (Calc)'!$A:$A)-3),"")</f>
        <v>287.719367088608</v>
      </c>
      <c r="AA122" s="144" t="n">
        <f aca="false">IFERROR('Price History'!F3+(INDEX('Price History'!F:F,MATCH(9.99E+307,'Returns (Calc)'!$A:$A)+1)-'Price History'!F3)*(ROW()-3)/(MATCH(9.99E+307,'Returns (Calc)'!$A:$A)-3),"")</f>
        <v>213.593670886076</v>
      </c>
      <c r="AB122" s="144" t="n">
        <f aca="false">IFERROR('Price History'!G3+(INDEX('Price History'!G:G,MATCH(9.99E+307,'Returns (Calc)'!$A:$A)+1)-'Price History'!G3)*(ROW()-3)/(MATCH(9.99E+307,'Returns (Calc)'!$A:$A)-3),"")</f>
        <v>166.769367088608</v>
      </c>
      <c r="AC122" s="144" t="n">
        <f aca="false">IFERROR('Price History'!H3+(INDEX('Price History'!H:H,MATCH(9.99E+307,'Returns (Calc)'!$A:$A)+1)-'Price History'!H3)*(ROW()-3)/(MATCH(9.99E+307,'Returns (Calc)'!$A:$A)-3),"")</f>
        <v>826.627848101266</v>
      </c>
      <c r="AD122" s="144" t="n">
        <f aca="false">IFERROR('Price History'!I3+(INDEX('Price History'!I:I,MATCH(9.99E+307,'Returns (Calc)'!$A:$A)+1)-'Price History'!I3)*(ROW()-3)/(MATCH(9.99E+307,'Returns (Calc)'!$A:$A)-3),"")</f>
        <v>187.006835443038</v>
      </c>
      <c r="AE122" s="144" t="n">
        <f aca="false">IFERROR('Price History'!J3+(INDEX('Price History'!J:J,MATCH(9.99E+307,'Returns (Calc)'!$A:$A)+1)-'Price History'!J3)*(ROW()-3)/(MATCH(9.99E+307,'Returns (Calc)'!$A:$A)-3),"")</f>
        <v>124.696518987342</v>
      </c>
      <c r="AF122" s="144" t="n">
        <f aca="false">IFERROR('Price History'!K3+(INDEX('Price History'!K:K,MATCH(9.99E+307,'Returns (Calc)'!$A:$A)+1)-'Price History'!K3)*(ROW()-3)/(MATCH(9.99E+307,'Returns (Calc)'!$A:$A)-3),"")</f>
        <v>145.943797468354</v>
      </c>
      <c r="AG122" s="144" t="n">
        <f aca="false">IFERROR('Price History'!L3+(INDEX('Price History'!L:L,MATCH(9.99E+307,'Returns (Calc)'!$A:$A)+1)-'Price History'!L3)*(ROW()-3)/(MATCH(9.99E+307,'Returns (Calc)'!$A:$A)-3),"")</f>
        <v>377.247278481013</v>
      </c>
      <c r="AH122" s="144" t="n">
        <f aca="false">IFERROR('Price History'!M3+(INDEX('Price History'!M:M,MATCH(9.99E+307,'Returns (Calc)'!$A:$A)+1)-'Price History'!M3)*(ROW()-3)/(MATCH(9.99E+307,'Returns (Calc)'!$A:$A)-3),"")</f>
        <v>199.317721518987</v>
      </c>
      <c r="AI122" s="144" t="n">
        <f aca="false">IFERROR('Price History'!N3+(INDEX('Price History'!N:N,MATCH(9.99E+307,'Returns (Calc)'!$A:$A)+1)-'Price History'!N3)*(ROW()-3)/(MATCH(9.99E+307,'Returns (Calc)'!$A:$A)-3),"")</f>
        <v>466.265632911392</v>
      </c>
      <c r="AJ122" s="144" t="n">
        <f aca="false">IFERROR('Price History'!O3+(INDEX('Price History'!O:O,MATCH(9.99E+307,'Returns (Calc)'!$A:$A)+1)-'Price History'!O3)*(ROW()-3)/(MATCH(9.99E+307,'Returns (Calc)'!$A:$A)-3),"")</f>
        <v>108.991518987342</v>
      </c>
      <c r="AK122" s="144" t="n">
        <f aca="false">IFERROR('Price History'!Q3+(INDEX('Price History'!Q:Q,MATCH(9.99E+307,'Returns (Calc)'!$A:$A)+1)-'Price History'!Q3)*(ROW()-3)/(MATCH(9.99E+307,'Returns (Calc)'!$A:$A)-3),"")</f>
        <v>52.2846835443038</v>
      </c>
      <c r="AL122" s="144" t="n">
        <f aca="false">IFERROR('Price History'!R3+(INDEX('Price History'!R:R,MATCH(9.99E+307,'Returns (Calc)'!$A:$A)+1)-'Price History'!R3)*(ROW()-3)/(MATCH(9.99E+307,'Returns (Calc)'!$A:$A)-3),"")</f>
        <v>54.4840506329114</v>
      </c>
      <c r="AM122" s="144" t="n">
        <f aca="false">IFERROR('Price History'!S3+(INDEX('Price History'!S:S,MATCH(9.99E+307,'Returns (Calc)'!$A:$A)+1)-'Price History'!S3)*(ROW()-3)/(MATCH(9.99E+307,'Returns (Calc)'!$A:$A)-3),"")</f>
        <v>129.63253164557</v>
      </c>
      <c r="AN122" s="144" t="n">
        <f aca="false">IFERROR('Price History'!T3+(INDEX('Price History'!T:T,MATCH(9.99E+307,'Returns (Calc)'!$A:$A)+1)-'Price History'!T3)*(ROW()-3)/(MATCH(9.99E+307,'Returns (Calc)'!$A:$A)-3),"")</f>
        <v>45.2591139240506</v>
      </c>
      <c r="AO122" s="145" t="n">
        <f aca="false">IFERROR('Price History'!V3+(INDEX('Price History'!V:V,MATCH(9.99E+307,'Returns (Calc)'!$A:$A)+1)-'Price History'!V3)*(ROW()-3)/(MATCH(9.99E+307,'Returns (Calc)'!$A:$A)-3),"")</f>
        <v>329.798164556962</v>
      </c>
      <c r="AP122" s="143" t="n">
        <f aca="false">IFERROR(IF(OR(NOT(ISNUMBER('Price History'!W123)),NOT(ISNUMBER('Price History'!W122)),'Price History'!W122=0),"",'Price History'!W123/'Price History'!W122-1),"")</f>
        <v>-0.00224466891133557</v>
      </c>
      <c r="AQ122" s="143" t="n">
        <f aca="false">IFERROR(IF(OR(NOT(ISNUMBER('Price History'!X123)),NOT(ISNUMBER('Price History'!X122)),'Price History'!X122=0),"",'Price History'!X123/'Price History'!X122-1),"")</f>
        <v>0.0102564102564102</v>
      </c>
      <c r="AR122" s="143" t="n">
        <f aca="false">IFERROR(IF(OR(NOT(ISNUMBER('Price History'!Y123)),NOT(ISNUMBER('Price History'!Y122)),'Price History'!Y122=0),"",'Price History'!Y123/'Price History'!Y122-1),"")</f>
        <v>-0.00479262672811054</v>
      </c>
      <c r="AS122" s="143" t="n">
        <f aca="false">IFERROR(IF(OR(NOT(ISNUMBER('Price History'!Z123)),NOT(ISNUMBER('Price History'!Z122)),'Price History'!Z122=0),"",'Price History'!Z123/'Price History'!Z122-1),"")</f>
        <v>0.0189532698372248</v>
      </c>
      <c r="AT122" s="143" t="n">
        <f aca="false">IFERROR(IF(OR(NOT(ISNUMBER('Price History'!AA123)),NOT(ISNUMBER('Price History'!AA122)),'Price History'!AA122=0),"",'Price History'!AA123/'Price History'!AA122-1),"")</f>
        <v>-0.0368370911400445</v>
      </c>
    </row>
    <row r="123" customFormat="false" ht="15" hidden="false" customHeight="true" outlineLevel="0" collapsed="false">
      <c r="A123" s="141" t="n">
        <f aca="false">IF('Price History'!A124="","",'Price History'!A124)</f>
        <v>46031</v>
      </c>
      <c r="B123" s="142" t="n">
        <f aca="false">IFERROR(IF(OR(NOT(ISNUMBER('Price History'!B124)),NOT(ISNUMBER('Price History'!B123)),'Price History'!B123=0),"",'Price History'!B124/'Price History'!B123-1),"")</f>
        <v>0.00195019501950178</v>
      </c>
      <c r="C123" s="142" t="n">
        <f aca="false">IFERROR(IF(OR(NOT(ISNUMBER('Price History'!C124)),NOT(ISNUMBER('Price History'!C123)),'Price History'!C123=0),"",'Price History'!C124/'Price History'!C123-1),"")</f>
        <v>-0.0801646706586826</v>
      </c>
      <c r="D123" s="142" t="n">
        <f aca="false">IFERROR(IF(OR(NOT(ISNUMBER('Price History'!D124)),NOT(ISNUMBER('Price History'!D123)),'Price History'!D123=0),"",'Price History'!D124/'Price History'!D123-1),"")</f>
        <v>0.0946020617844623</v>
      </c>
      <c r="E123" s="142" t="n">
        <f aca="false">IFERROR(IF(OR(NOT(ISNUMBER('Price History'!E124)),NOT(ISNUMBER('Price History'!E123)),'Price History'!E123=0),"",'Price History'!E124/'Price History'!E123-1),"")</f>
        <v>-0.00760753232478084</v>
      </c>
      <c r="F123" s="142" t="n">
        <f aca="false">IFERROR(IF(OR(NOT(ISNUMBER('Price History'!F124)),NOT(ISNUMBER('Price History'!F123)),'Price History'!F123=0),"",'Price History'!F124/'Price History'!F123-1),"")</f>
        <v>0.0375694505688333</v>
      </c>
      <c r="G123" s="142" t="n">
        <f aca="false">IFERROR(IF(OR(NOT(ISNUMBER('Price History'!G124)),NOT(ISNUMBER('Price History'!G123)),'Price History'!G123=0),"",'Price History'!G124/'Price History'!G123-1),"")</f>
        <v>0.0984406993227278</v>
      </c>
      <c r="H123" s="142" t="n">
        <f aca="false">IFERROR(IF(OR(NOT(ISNUMBER('Price History'!H124)),NOT(ISNUMBER('Price History'!H123)),'Price History'!H123=0),"",'Price History'!H124/'Price History'!H123-1),"")</f>
        <v>0.0940553229285623</v>
      </c>
      <c r="I123" s="142" t="n">
        <f aca="false">IFERROR(IF(OR(NOT(ISNUMBER('Price History'!I124)),NOT(ISNUMBER('Price History'!I123)),'Price History'!I123=0),"",'Price History'!I124/'Price History'!I123-1),"")</f>
        <v>-0.0211241441537073</v>
      </c>
      <c r="J123" s="142" t="n">
        <f aca="false">IFERROR(IF(OR(NOT(ISNUMBER('Price History'!J124)),NOT(ISNUMBER('Price History'!J123)),'Price History'!J123=0),"",'Price History'!J124/'Price History'!J123-1),"")</f>
        <v>0.00269627279936557</v>
      </c>
      <c r="K123" s="142" t="n">
        <f aca="false">IFERROR(IF(OR(NOT(ISNUMBER('Price History'!K124)),NOT(ISNUMBER('Price History'!K123)),'Price History'!K123=0),"",'Price History'!K124/'Price History'!K123-1),"")</f>
        <v>0.0573692362683189</v>
      </c>
      <c r="L123" s="142" t="n">
        <f aca="false">IFERROR(IF(OR(NOT(ISNUMBER('Price History'!L124)),NOT(ISNUMBER('Price History'!L123)),'Price History'!L123=0),"",'Price History'!L124/'Price History'!L123-1),"")</f>
        <v>0.0125819878910192</v>
      </c>
      <c r="M123" s="142" t="n">
        <f aca="false">IFERROR(IF(OR(NOT(ISNUMBER('Price History'!M124)),NOT(ISNUMBER('Price History'!M123)),'Price History'!M123=0),"",'Price History'!M124/'Price History'!M123-1),"")</f>
        <v>-0.0684939312781355</v>
      </c>
      <c r="N123" s="142" t="n">
        <f aca="false">IFERROR(IF(OR(NOT(ISNUMBER('Price History'!N124)),NOT(ISNUMBER('Price History'!N123)),'Price History'!N123=0),"",'Price History'!N124/'Price History'!N123-1),"")</f>
        <v>0.0259438657023423</v>
      </c>
      <c r="O123" s="142" t="n">
        <f aca="false">IFERROR(IF(OR(NOT(ISNUMBER('Price History'!O124)),NOT(ISNUMBER('Price History'!O123)),'Price History'!O123=0),"",'Price History'!O124/'Price History'!O123-1),"")</f>
        <v>0.0408263168200509</v>
      </c>
      <c r="P123" s="142" t="n">
        <f aca="false">IFERROR(IF(OR(NOT(ISNUMBER('Price History'!P124)),NOT(ISNUMBER('Price History'!P123)),'Price History'!P123=0),"",'Price History'!P124/'Price History'!P123-1),"")</f>
        <v>0.02096345753464</v>
      </c>
      <c r="Q123" s="142" t="n">
        <f aca="false">IFERROR(IF(OR(NOT(ISNUMBER('Price History'!Q124)),NOT(ISNUMBER('Price History'!Q123)),'Price History'!Q123=0),"",'Price History'!Q124/'Price History'!Q123-1),"")</f>
        <v>0.00906618313689922</v>
      </c>
      <c r="R123" s="142" t="n">
        <f aca="false">IFERROR(IF(OR(NOT(ISNUMBER('Price History'!R124)),NOT(ISNUMBER('Price History'!R123)),'Price History'!R123=0),"",'Price History'!R124/'Price History'!R123-1),"")</f>
        <v>0.0184487951807231</v>
      </c>
      <c r="S123" s="142" t="n">
        <f aca="false">IFERROR(IF(OR(NOT(ISNUMBER('Price History'!S124)),NOT(ISNUMBER('Price History'!S123)),'Price History'!S123=0),"",'Price History'!S124/'Price History'!S123-1),"")</f>
        <v>0.00294216543375936</v>
      </c>
      <c r="T123" s="142" t="n">
        <f aca="false">IFERROR(IF(OR(NOT(ISNUMBER('Price History'!T124)),NOT(ISNUMBER('Price History'!T123)),'Price History'!T123=0),"",'Price History'!T124/'Price History'!T123-1),"")</f>
        <v>0.025791624106231</v>
      </c>
      <c r="U123" s="142" t="n">
        <f aca="false">IFERROR(IF(OR(NOT(ISNUMBER('Price History'!U124)),NOT(ISNUMBER('Price History'!U123)),'Price History'!U123=0),"",'Price History'!U124/'Price History'!U123-1),"")</f>
        <v>0.0295639320029564</v>
      </c>
      <c r="V123" s="143" t="n">
        <f aca="false">IFERROR(IF(OR(NOT(ISNUMBER('Price History'!V124)),NOT(ISNUMBER('Price History'!V123)),'Price History'!V123=0),"",'Price History'!V124/'Price History'!V123-1),"")</f>
        <v>0.0094944978368805</v>
      </c>
      <c r="W123" s="144" t="n">
        <f aca="false">IFERROR('Price History'!B3+(INDEX('Price History'!B:B,MATCH(9.99E+307,'Returns (Calc)'!$A:$A)+1)-'Price History'!B3)*(ROW()-3)/(MATCH(9.99E+307,'Returns (Calc)'!$A:$A)-3),"")</f>
        <v>307.725443037975</v>
      </c>
      <c r="X123" s="144" t="n">
        <f aca="false">IFERROR('Price History'!C3+(INDEX('Price History'!C:C,MATCH(9.99E+307,'Returns (Calc)'!$A:$A)+1)-'Price History'!C3)*(ROW()-3)/(MATCH(9.99E+307,'Returns (Calc)'!$A:$A)-3),"")</f>
        <v>168.587594936709</v>
      </c>
      <c r="Y123" s="144" t="n">
        <f aca="false">IFERROR('Price History'!D3+(INDEX('Price History'!D:D,MATCH(9.99E+307,'Returns (Calc)'!$A:$A)+1)-'Price History'!D3)*(ROW()-3)/(MATCH(9.99E+307,'Returns (Calc)'!$A:$A)-3),"")</f>
        <v>1558.18721518987</v>
      </c>
      <c r="Z123" s="144" t="n">
        <f aca="false">IFERROR('Price History'!E3+(INDEX('Price History'!E:E,MATCH(9.99E+307,'Returns (Calc)'!$A:$A)+1)-'Price History'!E3)*(ROW()-3)/(MATCH(9.99E+307,'Returns (Calc)'!$A:$A)-3),"")</f>
        <v>289.448101265823</v>
      </c>
      <c r="AA123" s="144" t="n">
        <f aca="false">IFERROR('Price History'!F3+(INDEX('Price History'!F:F,MATCH(9.99E+307,'Returns (Calc)'!$A:$A)+1)-'Price History'!F3)*(ROW()-3)/(MATCH(9.99E+307,'Returns (Calc)'!$A:$A)-3),"")</f>
        <v>215.041012658228</v>
      </c>
      <c r="AB123" s="144" t="n">
        <f aca="false">IFERROR('Price History'!G3+(INDEX('Price History'!G:G,MATCH(9.99E+307,'Returns (Calc)'!$A:$A)+1)-'Price History'!G3)*(ROW()-3)/(MATCH(9.99E+307,'Returns (Calc)'!$A:$A)-3),"")</f>
        <v>167.798101265823</v>
      </c>
      <c r="AC123" s="144" t="n">
        <f aca="false">IFERROR('Price History'!H3+(INDEX('Price History'!H:H,MATCH(9.99E+307,'Returns (Calc)'!$A:$A)+1)-'Price History'!H3)*(ROW()-3)/(MATCH(9.99E+307,'Returns (Calc)'!$A:$A)-3),"")</f>
        <v>832.993544303798</v>
      </c>
      <c r="AD123" s="144" t="n">
        <f aca="false">IFERROR('Price History'!I3+(INDEX('Price History'!I:I,MATCH(9.99E+307,'Returns (Calc)'!$A:$A)+1)-'Price History'!I3)*(ROW()-3)/(MATCH(9.99E+307,'Returns (Calc)'!$A:$A)-3),"")</f>
        <v>188.210506329114</v>
      </c>
      <c r="AE123" s="144" t="n">
        <f aca="false">IFERROR('Price History'!J3+(INDEX('Price History'!J:J,MATCH(9.99E+307,'Returns (Calc)'!$A:$A)+1)-'Price History'!J3)*(ROW()-3)/(MATCH(9.99E+307,'Returns (Calc)'!$A:$A)-3),"")</f>
        <v>124.804556962025</v>
      </c>
      <c r="AF123" s="144" t="n">
        <f aca="false">IFERROR('Price History'!K3+(INDEX('Price History'!K:K,MATCH(9.99E+307,'Returns (Calc)'!$A:$A)+1)-'Price History'!K3)*(ROW()-3)/(MATCH(9.99E+307,'Returns (Calc)'!$A:$A)-3),"")</f>
        <v>147.041392405063</v>
      </c>
      <c r="AG123" s="144" t="n">
        <f aca="false">IFERROR('Price History'!L3+(INDEX('Price History'!L:L,MATCH(9.99E+307,'Returns (Calc)'!$A:$A)+1)-'Price History'!L3)*(ROW()-3)/(MATCH(9.99E+307,'Returns (Calc)'!$A:$A)-3),"")</f>
        <v>379.696835443038</v>
      </c>
      <c r="AH123" s="144" t="n">
        <f aca="false">IFERROR('Price History'!M3+(INDEX('Price History'!M:M,MATCH(9.99E+307,'Returns (Calc)'!$A:$A)+1)-'Price History'!M3)*(ROW()-3)/(MATCH(9.99E+307,'Returns (Calc)'!$A:$A)-3),"")</f>
        <v>200.673164556962</v>
      </c>
      <c r="AI123" s="144" t="n">
        <f aca="false">IFERROR('Price History'!N3+(INDEX('Price History'!N:N,MATCH(9.99E+307,'Returns (Calc)'!$A:$A)+1)-'Price History'!N3)*(ROW()-3)/(MATCH(9.99E+307,'Returns (Calc)'!$A:$A)-3),"")</f>
        <v>467.251898734177</v>
      </c>
      <c r="AJ123" s="144" t="n">
        <f aca="false">IFERROR('Price History'!O3+(INDEX('Price History'!O:O,MATCH(9.99E+307,'Returns (Calc)'!$A:$A)+1)-'Price History'!O3)*(ROW()-3)/(MATCH(9.99E+307,'Returns (Calc)'!$A:$A)-3),"")</f>
        <v>109.274556962025</v>
      </c>
      <c r="AK123" s="144" t="n">
        <f aca="false">IFERROR('Price History'!Q3+(INDEX('Price History'!Q:Q,MATCH(9.99E+307,'Returns (Calc)'!$A:$A)+1)-'Price History'!Q3)*(ROW()-3)/(MATCH(9.99E+307,'Returns (Calc)'!$A:$A)-3),"")</f>
        <v>52.7240506329114</v>
      </c>
      <c r="AL123" s="144" t="n">
        <f aca="false">IFERROR('Price History'!R3+(INDEX('Price History'!R:R,MATCH(9.99E+307,'Returns (Calc)'!$A:$A)+1)-'Price History'!R3)*(ROW()-3)/(MATCH(9.99E+307,'Returns (Calc)'!$A:$A)-3),"")</f>
        <v>54.6521518987342</v>
      </c>
      <c r="AM123" s="144" t="n">
        <f aca="false">IFERROR('Price History'!S3+(INDEX('Price History'!S:S,MATCH(9.99E+307,'Returns (Calc)'!$A:$A)+1)-'Price History'!S3)*(ROW()-3)/(MATCH(9.99E+307,'Returns (Calc)'!$A:$A)-3),"")</f>
        <v>130.237594936709</v>
      </c>
      <c r="AN123" s="144" t="n">
        <f aca="false">IFERROR('Price History'!T3+(INDEX('Price History'!T:T,MATCH(9.99E+307,'Returns (Calc)'!$A:$A)+1)-'Price History'!T3)*(ROW()-3)/(MATCH(9.99E+307,'Returns (Calc)'!$A:$A)-3),"")</f>
        <v>45.4273417721519</v>
      </c>
      <c r="AO123" s="145" t="n">
        <f aca="false">IFERROR('Price History'!V3+(INDEX('Price History'!V:V,MATCH(9.99E+307,'Returns (Calc)'!$A:$A)+1)-'Price History'!V3)*(ROW()-3)/(MATCH(9.99E+307,'Returns (Calc)'!$A:$A)-3),"")</f>
        <v>330.589493670886</v>
      </c>
      <c r="AP123" s="143" t="n">
        <f aca="false">IFERROR(IF(OR(NOT(ISNUMBER('Price History'!W124)),NOT(ISNUMBER('Price History'!W123)),'Price History'!W123=0),"",'Price History'!W124/'Price History'!W123-1),"")</f>
        <v>0.0172244094488188</v>
      </c>
      <c r="AQ123" s="143" t="n">
        <f aca="false">IFERROR(IF(OR(NOT(ISNUMBER('Price History'!X124)),NOT(ISNUMBER('Price History'!X123)),'Price History'!X123=0),"",'Price History'!X124/'Price History'!X123-1),"")</f>
        <v>-0.0200838666960936</v>
      </c>
      <c r="AR123" s="143" t="n">
        <f aca="false">IFERROR(IF(OR(NOT(ISNUMBER('Price History'!Y124)),NOT(ISNUMBER('Price History'!Y123)),'Price History'!Y123=0),"",'Price History'!Y124/'Price History'!Y123-1),"")</f>
        <v>0.0162993146879051</v>
      </c>
      <c r="AS123" s="143" t="n">
        <f aca="false">IFERROR(IF(OR(NOT(ISNUMBER('Price History'!Z124)),NOT(ISNUMBER('Price History'!Z123)),'Price History'!Z123=0),"",'Price History'!Z124/'Price History'!Z123-1),"")</f>
        <v>0.00262598474427911</v>
      </c>
      <c r="AT123" s="143" t="n">
        <f aca="false">IFERROR(IF(OR(NOT(ISNUMBER('Price History'!AA124)),NOT(ISNUMBER('Price History'!AA123)),'Price History'!AA123=0),"",'Price History'!AA124/'Price History'!AA123-1),"")</f>
        <v>-0.016815034619189</v>
      </c>
    </row>
    <row r="124" customFormat="false" ht="15" hidden="false" customHeight="true" outlineLevel="0" collapsed="false">
      <c r="A124" s="141" t="n">
        <f aca="false">IF('Price History'!A125="","",'Price History'!A125)</f>
        <v>46038</v>
      </c>
      <c r="B124" s="142" t="n">
        <f aca="false">IFERROR(IF(OR(NOT(ISNUMBER('Price History'!B125)),NOT(ISNUMBER('Price History'!B124)),'Price History'!B124=0),"",'Price History'!B125/'Price History'!B124-1),"")</f>
        <v>-0.113280431202276</v>
      </c>
      <c r="C124" s="142" t="n">
        <f aca="false">IFERROR(IF(OR(NOT(ISNUMBER('Price History'!C125)),NOT(ISNUMBER('Price History'!C124)),'Price History'!C124=0),"",'Price History'!C125/'Price History'!C124-1),"")</f>
        <v>0.0564732687769551</v>
      </c>
      <c r="D124" s="142" t="n">
        <f aca="false">IFERROR(IF(OR(NOT(ISNUMBER('Price History'!D125)),NOT(ISNUMBER('Price History'!D124)),'Price History'!D124=0),"",'Price History'!D125/'Price History'!D124-1),"")</f>
        <v>0.0664778867162543</v>
      </c>
      <c r="E124" s="142" t="n">
        <f aca="false">IFERROR(IF(OR(NOT(ISNUMBER('Price History'!E125)),NOT(ISNUMBER('Price History'!E124)),'Price History'!E124=0),"",'Price History'!E125/'Price History'!E124-1),"")</f>
        <v>0.0195289728343244</v>
      </c>
      <c r="F124" s="142" t="n">
        <f aca="false">IFERROR(IF(OR(NOT(ISNUMBER('Price History'!F125)),NOT(ISNUMBER('Price History'!F124)),'Price History'!F124=0),"",'Price History'!F125/'Price History'!F124-1),"")</f>
        <v>-0.0355291117722057</v>
      </c>
      <c r="G124" s="142" t="n">
        <f aca="false">IFERROR(IF(OR(NOT(ISNUMBER('Price History'!G125)),NOT(ISNUMBER('Price History'!G124)),'Price History'!G124=0),"",'Price History'!G125/'Price History'!G124-1),"")</f>
        <v>0.1198738170347</v>
      </c>
      <c r="H124" s="142" t="n">
        <f aca="false">IFERROR(IF(OR(NOT(ISNUMBER('Price History'!H125)),NOT(ISNUMBER('Price History'!H124)),'Price History'!H124=0),"",'Price History'!H125/'Price History'!H124-1),"")</f>
        <v>0.0511757371915684</v>
      </c>
      <c r="I124" s="142" t="n">
        <f aca="false">IFERROR(IF(OR(NOT(ISNUMBER('Price History'!I125)),NOT(ISNUMBER('Price History'!I124)),'Price History'!I124=0),"",'Price History'!I125/'Price History'!I124-1),"")</f>
        <v>0.00742829257712963</v>
      </c>
      <c r="J124" s="142" t="n">
        <f aca="false">IFERROR(IF(OR(NOT(ISNUMBER('Price History'!J125)),NOT(ISNUMBER('Price History'!J124)),'Price History'!J124=0),"",'Price History'!J125/'Price History'!J124-1),"")</f>
        <v>0.0294210692818728</v>
      </c>
      <c r="K124" s="142" t="n">
        <f aca="false">IFERROR(IF(OR(NOT(ISNUMBER('Price History'!K125)),NOT(ISNUMBER('Price History'!K124)),'Price History'!K124=0),"",'Price History'!K125/'Price History'!K124-1),"")</f>
        <v>-0.0367908051157811</v>
      </c>
      <c r="L124" s="142" t="n">
        <f aca="false">IFERROR(IF(OR(NOT(ISNUMBER('Price History'!L125)),NOT(ISNUMBER('Price History'!L124)),'Price History'!L124=0),"",'Price History'!L125/'Price History'!L124-1),"")</f>
        <v>0.0579863598143939</v>
      </c>
      <c r="M124" s="142" t="n">
        <f aca="false">IFERROR(IF(OR(NOT(ISNUMBER('Price History'!M125)),NOT(ISNUMBER('Price History'!M124)),'Price History'!M124=0),"",'Price History'!M125/'Price History'!M124-1),"")</f>
        <v>0.0816051874961767</v>
      </c>
      <c r="N124" s="142" t="n">
        <f aca="false">IFERROR(IF(OR(NOT(ISNUMBER('Price History'!N125)),NOT(ISNUMBER('Price History'!N124)),'Price History'!N124=0),"",'Price History'!N125/'Price History'!N124-1),"")</f>
        <v>-0.0485060147458285</v>
      </c>
      <c r="O124" s="142" t="n">
        <f aca="false">IFERROR(IF(OR(NOT(ISNUMBER('Price History'!O125)),NOT(ISNUMBER('Price History'!O124)),'Price History'!O124=0),"",'Price History'!O125/'Price History'!O124-1),"")</f>
        <v>0.0110055498071677</v>
      </c>
      <c r="P124" s="142" t="n">
        <f aca="false">IFERROR(IF(OR(NOT(ISNUMBER('Price History'!P125)),NOT(ISNUMBER('Price History'!P124)),'Price History'!P124=0),"",'Price History'!P125/'Price History'!P124-1),"")</f>
        <v>0.013008930454961</v>
      </c>
      <c r="Q124" s="142" t="n">
        <f aca="false">IFERROR(IF(OR(NOT(ISNUMBER('Price History'!Q125)),NOT(ISNUMBER('Price History'!Q124)),'Price History'!Q124=0),"",'Price History'!Q125/'Price History'!Q124-1),"")</f>
        <v>-0.00449236298292899</v>
      </c>
      <c r="R124" s="142" t="n">
        <f aca="false">IFERROR(IF(OR(NOT(ISNUMBER('Price History'!R125)),NOT(ISNUMBER('Price History'!R124)),'Price History'!R124=0),"",'Price History'!R125/'Price History'!R124-1),"")</f>
        <v>-0.00406654343807766</v>
      </c>
      <c r="S124" s="142" t="n">
        <f aca="false">IFERROR(IF(OR(NOT(ISNUMBER('Price History'!S125)),NOT(ISNUMBER('Price History'!S124)),'Price History'!S124=0),"",'Price History'!S125/'Price History'!S124-1),"")</f>
        <v>-0.000251445813427176</v>
      </c>
      <c r="T124" s="142" t="n">
        <f aca="false">IFERROR(IF(OR(NOT(ISNUMBER('Price History'!T125)),NOT(ISNUMBER('Price History'!T124)),'Price History'!T124=0),"",'Price History'!T125/'Price History'!T124-1),"")</f>
        <v>-0.0204132437142146</v>
      </c>
      <c r="U124" s="142" t="n">
        <f aca="false">IFERROR(IF(OR(NOT(ISNUMBER('Price History'!U125)),NOT(ISNUMBER('Price History'!U124)),'Price History'!U124=0),"",'Price History'!U125/'Price History'!U124-1),"")</f>
        <v>0.0125628140703518</v>
      </c>
      <c r="V124" s="143" t="n">
        <f aca="false">IFERROR(IF(OR(NOT(ISNUMBER('Price History'!V125)),NOT(ISNUMBER('Price History'!V124)),'Price History'!V124=0),"",'Price History'!V125/'Price History'!V124-1),"")</f>
        <v>-0.0613782788771284</v>
      </c>
      <c r="W124" s="144" t="n">
        <f aca="false">IFERROR('Price History'!B3+(INDEX('Price History'!B:B,MATCH(9.99E+307,'Returns (Calc)'!$A:$A)+1)-'Price History'!B3)*(ROW()-3)/(MATCH(9.99E+307,'Returns (Calc)'!$A:$A)-3),"")</f>
        <v>305.882405063291</v>
      </c>
      <c r="X124" s="144" t="n">
        <f aca="false">IFERROR('Price History'!C3+(INDEX('Price History'!C:C,MATCH(9.99E+307,'Returns (Calc)'!$A:$A)+1)-'Price History'!C3)*(ROW()-3)/(MATCH(9.99E+307,'Returns (Calc)'!$A:$A)-3),"")</f>
        <v>169.607658227848</v>
      </c>
      <c r="Y124" s="144" t="n">
        <f aca="false">IFERROR('Price History'!D3+(INDEX('Price History'!D:D,MATCH(9.99E+307,'Returns (Calc)'!$A:$A)+1)-'Price History'!D3)*(ROW()-3)/(MATCH(9.99E+307,'Returns (Calc)'!$A:$A)-3),"")</f>
        <v>1566.32202531646</v>
      </c>
      <c r="Z124" s="144" t="n">
        <f aca="false">IFERROR('Price History'!E3+(INDEX('Price History'!E:E,MATCH(9.99E+307,'Returns (Calc)'!$A:$A)+1)-'Price History'!E3)*(ROW()-3)/(MATCH(9.99E+307,'Returns (Calc)'!$A:$A)-3),"")</f>
        <v>291.176835443038</v>
      </c>
      <c r="AA124" s="144" t="n">
        <f aca="false">IFERROR('Price History'!F3+(INDEX('Price History'!F:F,MATCH(9.99E+307,'Returns (Calc)'!$A:$A)+1)-'Price History'!F3)*(ROW()-3)/(MATCH(9.99E+307,'Returns (Calc)'!$A:$A)-3),"")</f>
        <v>216.48835443038</v>
      </c>
      <c r="AB124" s="144" t="n">
        <f aca="false">IFERROR('Price History'!G3+(INDEX('Price History'!G:G,MATCH(9.99E+307,'Returns (Calc)'!$A:$A)+1)-'Price History'!G3)*(ROW()-3)/(MATCH(9.99E+307,'Returns (Calc)'!$A:$A)-3),"")</f>
        <v>168.826835443038</v>
      </c>
      <c r="AC124" s="144" t="n">
        <f aca="false">IFERROR('Price History'!H3+(INDEX('Price History'!H:H,MATCH(9.99E+307,'Returns (Calc)'!$A:$A)+1)-'Price History'!H3)*(ROW()-3)/(MATCH(9.99E+307,'Returns (Calc)'!$A:$A)-3),"")</f>
        <v>839.359240506329</v>
      </c>
      <c r="AD124" s="144" t="n">
        <f aca="false">IFERROR('Price History'!I3+(INDEX('Price History'!I:I,MATCH(9.99E+307,'Returns (Calc)'!$A:$A)+1)-'Price History'!I3)*(ROW()-3)/(MATCH(9.99E+307,'Returns (Calc)'!$A:$A)-3),"")</f>
        <v>189.41417721519</v>
      </c>
      <c r="AE124" s="144" t="n">
        <f aca="false">IFERROR('Price History'!J3+(INDEX('Price History'!J:J,MATCH(9.99E+307,'Returns (Calc)'!$A:$A)+1)-'Price History'!J3)*(ROW()-3)/(MATCH(9.99E+307,'Returns (Calc)'!$A:$A)-3),"")</f>
        <v>124.912594936709</v>
      </c>
      <c r="AF124" s="144" t="n">
        <f aca="false">IFERROR('Price History'!K3+(INDEX('Price History'!K:K,MATCH(9.99E+307,'Returns (Calc)'!$A:$A)+1)-'Price History'!K3)*(ROW()-3)/(MATCH(9.99E+307,'Returns (Calc)'!$A:$A)-3),"")</f>
        <v>148.138987341772</v>
      </c>
      <c r="AG124" s="144" t="n">
        <f aca="false">IFERROR('Price History'!L3+(INDEX('Price History'!L:L,MATCH(9.99E+307,'Returns (Calc)'!$A:$A)+1)-'Price History'!L3)*(ROW()-3)/(MATCH(9.99E+307,'Returns (Calc)'!$A:$A)-3),"")</f>
        <v>382.146392405063</v>
      </c>
      <c r="AH124" s="144" t="n">
        <f aca="false">IFERROR('Price History'!M3+(INDEX('Price History'!M:M,MATCH(9.99E+307,'Returns (Calc)'!$A:$A)+1)-'Price History'!M3)*(ROW()-3)/(MATCH(9.99E+307,'Returns (Calc)'!$A:$A)-3),"")</f>
        <v>202.028607594937</v>
      </c>
      <c r="AI124" s="144" t="n">
        <f aca="false">IFERROR('Price History'!N3+(INDEX('Price History'!N:N,MATCH(9.99E+307,'Returns (Calc)'!$A:$A)+1)-'Price History'!N3)*(ROW()-3)/(MATCH(9.99E+307,'Returns (Calc)'!$A:$A)-3),"")</f>
        <v>468.238164556962</v>
      </c>
      <c r="AJ124" s="144" t="n">
        <f aca="false">IFERROR('Price History'!O3+(INDEX('Price History'!O:O,MATCH(9.99E+307,'Returns (Calc)'!$A:$A)+1)-'Price History'!O3)*(ROW()-3)/(MATCH(9.99E+307,'Returns (Calc)'!$A:$A)-3),"")</f>
        <v>109.557594936709</v>
      </c>
      <c r="AK124" s="144" t="n">
        <f aca="false">IFERROR('Price History'!Q3+(INDEX('Price History'!Q:Q,MATCH(9.99E+307,'Returns (Calc)'!$A:$A)+1)-'Price History'!Q3)*(ROW()-3)/(MATCH(9.99E+307,'Returns (Calc)'!$A:$A)-3),"")</f>
        <v>53.163417721519</v>
      </c>
      <c r="AL124" s="144" t="n">
        <f aca="false">IFERROR('Price History'!R3+(INDEX('Price History'!R:R,MATCH(9.99E+307,'Returns (Calc)'!$A:$A)+1)-'Price History'!R3)*(ROW()-3)/(MATCH(9.99E+307,'Returns (Calc)'!$A:$A)-3),"")</f>
        <v>54.820253164557</v>
      </c>
      <c r="AM124" s="144" t="n">
        <f aca="false">IFERROR('Price History'!S3+(INDEX('Price History'!S:S,MATCH(9.99E+307,'Returns (Calc)'!$A:$A)+1)-'Price History'!S3)*(ROW()-3)/(MATCH(9.99E+307,'Returns (Calc)'!$A:$A)-3),"")</f>
        <v>130.842658227848</v>
      </c>
      <c r="AN124" s="144" t="n">
        <f aca="false">IFERROR('Price History'!T3+(INDEX('Price History'!T:T,MATCH(9.99E+307,'Returns (Calc)'!$A:$A)+1)-'Price History'!T3)*(ROW()-3)/(MATCH(9.99E+307,'Returns (Calc)'!$A:$A)-3),"")</f>
        <v>45.5955696202532</v>
      </c>
      <c r="AO124" s="145" t="n">
        <f aca="false">IFERROR('Price History'!V3+(INDEX('Price History'!V:V,MATCH(9.99E+307,'Returns (Calc)'!$A:$A)+1)-'Price History'!V3)*(ROW()-3)/(MATCH(9.99E+307,'Returns (Calc)'!$A:$A)-3),"")</f>
        <v>331.38082278481</v>
      </c>
      <c r="AP124" s="143" t="n">
        <f aca="false">IFERROR(IF(OR(NOT(ISNUMBER('Price History'!W125)),NOT(ISNUMBER('Price History'!W124)),'Price History'!W124=0),"",'Price History'!W125/'Price History'!W124-1),"")</f>
        <v>0.010989010989011</v>
      </c>
      <c r="AQ124" s="143" t="n">
        <f aca="false">IFERROR(IF(OR(NOT(ISNUMBER('Price History'!X125)),NOT(ISNUMBER('Price History'!X124)),'Price History'!X124=0),"",'Price History'!X125/'Price History'!X124-1),"")</f>
        <v>0.029054054054054</v>
      </c>
      <c r="AR124" s="143" t="n">
        <f aca="false">IFERROR(IF(OR(NOT(ISNUMBER('Price History'!Y125)),NOT(ISNUMBER('Price History'!Y124)),'Price History'!Y124=0),"",'Price History'!Y125/'Price History'!Y124-1),"")</f>
        <v>0.00273373428102808</v>
      </c>
      <c r="AS124" s="143" t="n">
        <f aca="false">IFERROR(IF(OR(NOT(ISNUMBER('Price History'!Z125)),NOT(ISNUMBER('Price History'!Z124)),'Price History'!Z124=0),"",'Price History'!Z125/'Price History'!Z124-1),"")</f>
        <v>0.0109753055624844</v>
      </c>
      <c r="AT124" s="143" t="n">
        <f aca="false">IFERROR(IF(OR(NOT(ISNUMBER('Price History'!AA125)),NOT(ISNUMBER('Price History'!AA124)),'Price History'!AA124=0),"",'Price History'!AA125/'Price History'!AA124-1),"")</f>
        <v>-0.0163201430807064</v>
      </c>
    </row>
    <row r="125" customFormat="false" ht="15" hidden="false" customHeight="true" outlineLevel="0" collapsed="false">
      <c r="A125" s="141" t="n">
        <f aca="false">IF('Price History'!A126="","",'Price History'!A126)</f>
        <v>46045</v>
      </c>
      <c r="B125" s="142" t="n">
        <f aca="false">IFERROR(IF(OR(NOT(ISNUMBER('Price History'!B126)),NOT(ISNUMBER('Price History'!B125)),'Price History'!B125=0),"",'Price History'!B126/'Price History'!B125-1),"")</f>
        <v>0.0167161961367013</v>
      </c>
      <c r="C125" s="142" t="n">
        <f aca="false">IFERROR(IF(OR(NOT(ISNUMBER('Price History'!C126)),NOT(ISNUMBER('Price History'!C125)),'Price History'!C125=0),"",'Price History'!C126/'Price History'!C125-1),"")</f>
        <v>0.0501424940306554</v>
      </c>
      <c r="D125" s="142" t="n">
        <f aca="false">IFERROR(IF(OR(NOT(ISNUMBER('Price History'!D126)),NOT(ISNUMBER('Price History'!D125)),'Price History'!D125=0),"",'Price History'!D126/'Price History'!D125-1),"")</f>
        <v>0.0224322705185385</v>
      </c>
      <c r="E125" s="142" t="n">
        <f aca="false">IFERROR(IF(OR(NOT(ISNUMBER('Price History'!E126)),NOT(ISNUMBER('Price History'!E125)),'Price History'!E125=0),"",'Price History'!E126/'Price History'!E125-1),"")</f>
        <v>-0.0899994282120189</v>
      </c>
      <c r="F125" s="142" t="n">
        <f aca="false">IFERROR(IF(OR(NOT(ISNUMBER('Price History'!F126)),NOT(ISNUMBER('Price History'!F125)),'Price History'!F125=0),"",'Price History'!F126/'Price History'!F125-1),"")</f>
        <v>-0.00308451573103019</v>
      </c>
      <c r="G125" s="142" t="n">
        <f aca="false">IFERROR(IF(OR(NOT(ISNUMBER('Price History'!G126)),NOT(ISNUMBER('Price History'!G125)),'Price History'!G125=0),"",'Price History'!G126/'Price History'!G125-1),"")</f>
        <v>-0.0350832266325224</v>
      </c>
      <c r="H125" s="142" t="n">
        <f aca="false">IFERROR(IF(OR(NOT(ISNUMBER('Price History'!H126)),NOT(ISNUMBER('Price History'!H125)),'Price History'!H125=0),"",'Price History'!H126/'Price History'!H125-1),"")</f>
        <v>0.101726706018646</v>
      </c>
      <c r="I125" s="142" t="n">
        <f aca="false">IFERROR(IF(OR(NOT(ISNUMBER('Price History'!I126)),NOT(ISNUMBER('Price History'!I125)),'Price History'!I125=0),"",'Price History'!I126/'Price History'!I125-1),"")</f>
        <v>0.00769644779332612</v>
      </c>
      <c r="J125" s="142" t="n">
        <f aca="false">IFERROR(IF(OR(NOT(ISNUMBER('Price History'!J126)),NOT(ISNUMBER('Price History'!J125)),'Price History'!J125=0),"",'Price History'!J126/'Price History'!J125-1),"")</f>
        <v>-0.0454824830977258</v>
      </c>
      <c r="K125" s="142" t="n">
        <f aca="false">IFERROR(IF(OR(NOT(ISNUMBER('Price History'!K126)),NOT(ISNUMBER('Price History'!K125)),'Price History'!K125=0),"",'Price History'!K126/'Price History'!K125-1),"")</f>
        <v>-0.0079550772110436</v>
      </c>
      <c r="L125" s="142" t="n">
        <f aca="false">IFERROR(IF(OR(NOT(ISNUMBER('Price History'!L126)),NOT(ISNUMBER('Price History'!L125)),'Price History'!L125=0),"",'Price History'!L126/'Price History'!L125-1),"")</f>
        <v>-0.0219880493332941</v>
      </c>
      <c r="M125" s="142" t="n">
        <f aca="false">IFERROR(IF(OR(NOT(ISNUMBER('Price History'!M126)),NOT(ISNUMBER('Price History'!M125)),'Price History'!M125=0),"",'Price History'!M126/'Price History'!M125-1),"")</f>
        <v>0.0313896272835248</v>
      </c>
      <c r="N125" s="142" t="n">
        <f aca="false">IFERROR(IF(OR(NOT(ISNUMBER('Price History'!N126)),NOT(ISNUMBER('Price History'!N125)),'Price History'!N125=0),"",'Price History'!N126/'Price History'!N125-1),"")</f>
        <v>0.0612878375928947</v>
      </c>
      <c r="O125" s="142" t="n">
        <f aca="false">IFERROR(IF(OR(NOT(ISNUMBER('Price History'!O126)),NOT(ISNUMBER('Price History'!O125)),'Price History'!O125=0),"",'Price History'!O126/'Price History'!O125-1),"")</f>
        <v>-0.000186081131373417</v>
      </c>
      <c r="P125" s="142" t="n">
        <f aca="false">IFERROR(IF(OR(NOT(ISNUMBER('Price History'!P126)),NOT(ISNUMBER('Price History'!P125)),'Price History'!P125=0),"",'Price History'!P126/'Price History'!P125-1),"")</f>
        <v>0.0024989587671802</v>
      </c>
      <c r="Q125" s="142" t="n">
        <f aca="false">IFERROR(IF(OR(NOT(ISNUMBER('Price History'!Q126)),NOT(ISNUMBER('Price History'!Q125)),'Price History'!Q125=0),"",'Price History'!Q126/'Price History'!Q125-1),"")</f>
        <v>-0.000300842358604281</v>
      </c>
      <c r="R125" s="142" t="n">
        <f aca="false">IFERROR(IF(OR(NOT(ISNUMBER('Price History'!R126)),NOT(ISNUMBER('Price History'!R125)),'Price History'!R125=0),"",'Price History'!R126/'Price History'!R125-1),"")</f>
        <v>0.00519673348181127</v>
      </c>
      <c r="S125" s="142" t="n">
        <f aca="false">IFERROR(IF(OR(NOT(ISNUMBER('Price History'!S126)),NOT(ISNUMBER('Price History'!S125)),'Price History'!S125=0),"",'Price History'!S126/'Price History'!S125-1),"")</f>
        <v>-0.017270288397049</v>
      </c>
      <c r="T125" s="142" t="n">
        <f aca="false">IFERROR(IF(OR(NOT(ISNUMBER('Price History'!T126)),NOT(ISNUMBER('Price History'!T125)),'Price History'!T125=0),"",'Price History'!T126/'Price History'!T125-1),"")</f>
        <v>0.00635324015247774</v>
      </c>
      <c r="U125" s="142" t="n">
        <f aca="false">IFERROR(IF(OR(NOT(ISNUMBER('Price History'!U126)),NOT(ISNUMBER('Price History'!U125)),'Price History'!U125=0),"",'Price History'!U126/'Price History'!U125-1),"")</f>
        <v>0.00815313718539534</v>
      </c>
      <c r="V125" s="143" t="n">
        <f aca="false">IFERROR(IF(OR(NOT(ISNUMBER('Price History'!V126)),NOT(ISNUMBER('Price History'!V125)),'Price History'!V125=0),"",'Price History'!V126/'Price History'!V125-1),"")</f>
        <v>-0.00646564932279203</v>
      </c>
      <c r="W125" s="144" t="n">
        <f aca="false">IFERROR('Price History'!B3+(INDEX('Price History'!B:B,MATCH(9.99E+307,'Returns (Calc)'!$A:$A)+1)-'Price History'!B3)*(ROW()-3)/(MATCH(9.99E+307,'Returns (Calc)'!$A:$A)-3),"")</f>
        <v>304.039367088608</v>
      </c>
      <c r="X125" s="144" t="n">
        <f aca="false">IFERROR('Price History'!C3+(INDEX('Price History'!C:C,MATCH(9.99E+307,'Returns (Calc)'!$A:$A)+1)-'Price History'!C3)*(ROW()-3)/(MATCH(9.99E+307,'Returns (Calc)'!$A:$A)-3),"")</f>
        <v>170.627721518987</v>
      </c>
      <c r="Y125" s="144" t="n">
        <f aca="false">IFERROR('Price History'!D3+(INDEX('Price History'!D:D,MATCH(9.99E+307,'Returns (Calc)'!$A:$A)+1)-'Price History'!D3)*(ROW()-3)/(MATCH(9.99E+307,'Returns (Calc)'!$A:$A)-3),"")</f>
        <v>1574.45683544304</v>
      </c>
      <c r="Z125" s="144" t="n">
        <f aca="false">IFERROR('Price History'!E3+(INDEX('Price History'!E:E,MATCH(9.99E+307,'Returns (Calc)'!$A:$A)+1)-'Price History'!E3)*(ROW()-3)/(MATCH(9.99E+307,'Returns (Calc)'!$A:$A)-3),"")</f>
        <v>292.905569620253</v>
      </c>
      <c r="AA125" s="144" t="n">
        <f aca="false">IFERROR('Price History'!F3+(INDEX('Price History'!F:F,MATCH(9.99E+307,'Returns (Calc)'!$A:$A)+1)-'Price History'!F3)*(ROW()-3)/(MATCH(9.99E+307,'Returns (Calc)'!$A:$A)-3),"")</f>
        <v>217.935696202532</v>
      </c>
      <c r="AB125" s="144" t="n">
        <f aca="false">IFERROR('Price History'!G3+(INDEX('Price History'!G:G,MATCH(9.99E+307,'Returns (Calc)'!$A:$A)+1)-'Price History'!G3)*(ROW()-3)/(MATCH(9.99E+307,'Returns (Calc)'!$A:$A)-3),"")</f>
        <v>169.855569620253</v>
      </c>
      <c r="AC125" s="144" t="n">
        <f aca="false">IFERROR('Price History'!H3+(INDEX('Price History'!H:H,MATCH(9.99E+307,'Returns (Calc)'!$A:$A)+1)-'Price History'!H3)*(ROW()-3)/(MATCH(9.99E+307,'Returns (Calc)'!$A:$A)-3),"")</f>
        <v>845.724936708861</v>
      </c>
      <c r="AD125" s="144" t="n">
        <f aca="false">IFERROR('Price History'!I3+(INDEX('Price History'!I:I,MATCH(9.99E+307,'Returns (Calc)'!$A:$A)+1)-'Price History'!I3)*(ROW()-3)/(MATCH(9.99E+307,'Returns (Calc)'!$A:$A)-3),"")</f>
        <v>190.617848101266</v>
      </c>
      <c r="AE125" s="144" t="n">
        <f aca="false">IFERROR('Price History'!J3+(INDEX('Price History'!J:J,MATCH(9.99E+307,'Returns (Calc)'!$A:$A)+1)-'Price History'!J3)*(ROW()-3)/(MATCH(9.99E+307,'Returns (Calc)'!$A:$A)-3),"")</f>
        <v>125.020632911392</v>
      </c>
      <c r="AF125" s="144" t="n">
        <f aca="false">IFERROR('Price History'!K3+(INDEX('Price History'!K:K,MATCH(9.99E+307,'Returns (Calc)'!$A:$A)+1)-'Price History'!K3)*(ROW()-3)/(MATCH(9.99E+307,'Returns (Calc)'!$A:$A)-3),"")</f>
        <v>149.236582278481</v>
      </c>
      <c r="AG125" s="144" t="n">
        <f aca="false">IFERROR('Price History'!L3+(INDEX('Price History'!L:L,MATCH(9.99E+307,'Returns (Calc)'!$A:$A)+1)-'Price History'!L3)*(ROW()-3)/(MATCH(9.99E+307,'Returns (Calc)'!$A:$A)-3),"")</f>
        <v>384.595949367089</v>
      </c>
      <c r="AH125" s="144" t="n">
        <f aca="false">IFERROR('Price History'!M3+(INDEX('Price History'!M:M,MATCH(9.99E+307,'Returns (Calc)'!$A:$A)+1)-'Price History'!M3)*(ROW()-3)/(MATCH(9.99E+307,'Returns (Calc)'!$A:$A)-3),"")</f>
        <v>203.384050632911</v>
      </c>
      <c r="AI125" s="144" t="n">
        <f aca="false">IFERROR('Price History'!N3+(INDEX('Price History'!N:N,MATCH(9.99E+307,'Returns (Calc)'!$A:$A)+1)-'Price History'!N3)*(ROW()-3)/(MATCH(9.99E+307,'Returns (Calc)'!$A:$A)-3),"")</f>
        <v>469.224430379747</v>
      </c>
      <c r="AJ125" s="144" t="n">
        <f aca="false">IFERROR('Price History'!O3+(INDEX('Price History'!O:O,MATCH(9.99E+307,'Returns (Calc)'!$A:$A)+1)-'Price History'!O3)*(ROW()-3)/(MATCH(9.99E+307,'Returns (Calc)'!$A:$A)-3),"")</f>
        <v>109.840632911392</v>
      </c>
      <c r="AK125" s="144" t="n">
        <f aca="false">IFERROR('Price History'!Q3+(INDEX('Price History'!Q:Q,MATCH(9.99E+307,'Returns (Calc)'!$A:$A)+1)-'Price History'!Q3)*(ROW()-3)/(MATCH(9.99E+307,'Returns (Calc)'!$A:$A)-3),"")</f>
        <v>53.6027848101266</v>
      </c>
      <c r="AL125" s="144" t="n">
        <f aca="false">IFERROR('Price History'!R3+(INDEX('Price History'!R:R,MATCH(9.99E+307,'Returns (Calc)'!$A:$A)+1)-'Price History'!R3)*(ROW()-3)/(MATCH(9.99E+307,'Returns (Calc)'!$A:$A)-3),"")</f>
        <v>54.9883544303797</v>
      </c>
      <c r="AM125" s="144" t="n">
        <f aca="false">IFERROR('Price History'!S3+(INDEX('Price History'!S:S,MATCH(9.99E+307,'Returns (Calc)'!$A:$A)+1)-'Price History'!S3)*(ROW()-3)/(MATCH(9.99E+307,'Returns (Calc)'!$A:$A)-3),"")</f>
        <v>131.447721518987</v>
      </c>
      <c r="AN125" s="144" t="n">
        <f aca="false">IFERROR('Price History'!T3+(INDEX('Price History'!T:T,MATCH(9.99E+307,'Returns (Calc)'!$A:$A)+1)-'Price History'!T3)*(ROW()-3)/(MATCH(9.99E+307,'Returns (Calc)'!$A:$A)-3),"")</f>
        <v>45.7637974683544</v>
      </c>
      <c r="AO125" s="145" t="n">
        <f aca="false">IFERROR('Price History'!V3+(INDEX('Price History'!V:V,MATCH(9.99E+307,'Returns (Calc)'!$A:$A)+1)-'Price History'!V3)*(ROW()-3)/(MATCH(9.99E+307,'Returns (Calc)'!$A:$A)-3),"")</f>
        <v>332.172151898734</v>
      </c>
      <c r="AP125" s="143" t="n">
        <f aca="false">IFERROR(IF(OR(NOT(ISNUMBER('Price History'!W126)),NOT(ISNUMBER('Price History'!W125)),'Price History'!W125=0),"",'Price History'!W126/'Price History'!W125-1),"")</f>
        <v>-0.00792999726551813</v>
      </c>
      <c r="AQ125" s="143" t="n">
        <f aca="false">IFERROR(IF(OR(NOT(ISNUMBER('Price History'!X126)),NOT(ISNUMBER('Price History'!X125)),'Price History'!X125=0),"",'Price History'!X126/'Price History'!X125-1),"")</f>
        <v>0.0231998249069818</v>
      </c>
      <c r="AR125" s="143" t="n">
        <f aca="false">IFERROR(IF(OR(NOT(ISNUMBER('Price History'!Y126)),NOT(ISNUMBER('Price History'!Y125)),'Price History'!Y125=0),"",'Price History'!Y126/'Price History'!Y125-1),"")</f>
        <v>-0.000545256270447103</v>
      </c>
      <c r="AS125" s="143" t="n">
        <f aca="false">IFERROR(IF(OR(NOT(ISNUMBER('Price History'!Z126)),NOT(ISNUMBER('Price History'!Z125)),'Price History'!Z125=0),"",'Price History'!Z126/'Price History'!Z125-1),"")</f>
        <v>-0.0961016530964718</v>
      </c>
      <c r="AT125" s="143" t="n">
        <f aca="false">IFERROR(IF(OR(NOT(ISNUMBER('Price History'!AA126)),NOT(ISNUMBER('Price History'!AA125)),'Price History'!AA125=0),"",'Price History'!AA126/'Price History'!AA125-1),"")</f>
        <v>-0.0213636363636364</v>
      </c>
    </row>
    <row r="126" customFormat="false" ht="15" hidden="false" customHeight="true" outlineLevel="0" collapsed="false">
      <c r="A126" s="141" t="n">
        <f aca="false">IF('Price History'!A127="","",'Price History'!A127)</f>
        <v>46052</v>
      </c>
      <c r="B126" s="142" t="n">
        <f aca="false">IFERROR(IF(OR(NOT(ISNUMBER('Price History'!B127)),NOT(ISNUMBER('Price History'!B126)),'Price History'!B126=0),"",'Price History'!B127/'Price History'!B126-1),"")</f>
        <v>-0.025974025974026</v>
      </c>
      <c r="C126" s="142" t="n">
        <f aca="false">IFERROR(IF(OR(NOT(ISNUMBER('Price History'!C127)),NOT(ISNUMBER('Price History'!C126)),'Price History'!C126=0),"",'Price History'!C127/'Price History'!C126-1),"")</f>
        <v>0.0396068651899664</v>
      </c>
      <c r="D126" s="142" t="n">
        <f aca="false">IFERROR(IF(OR(NOT(ISNUMBER('Price History'!D127)),NOT(ISNUMBER('Price History'!D126)),'Price History'!D126=0),"",'Price History'!D127/'Price History'!D126-1),"")</f>
        <v>0.0244502314814814</v>
      </c>
      <c r="E126" s="142" t="n">
        <f aca="false">IFERROR(IF(OR(NOT(ISNUMBER('Price History'!E127)),NOT(ISNUMBER('Price History'!E126)),'Price History'!E126=0),"",'Price History'!E127/'Price History'!E126-1),"")</f>
        <v>0.0351240967640591</v>
      </c>
      <c r="F126" s="142" t="n">
        <f aca="false">IFERROR(IF(OR(NOT(ISNUMBER('Price History'!F127)),NOT(ISNUMBER('Price History'!F126)),'Price History'!F126=0),"",'Price History'!F127/'Price History'!F126-1),"")</f>
        <v>-0.0244872701555871</v>
      </c>
      <c r="G126" s="142" t="n">
        <f aca="false">IFERROR(IF(OR(NOT(ISNUMBER('Price History'!G127)),NOT(ISNUMBER('Price History'!G126)),'Price History'!G126=0),"",'Price History'!G127/'Price History'!G126-1),"")</f>
        <v>-0.0560642250530785</v>
      </c>
      <c r="H126" s="142" t="n">
        <f aca="false">IFERROR(IF(OR(NOT(ISNUMBER('Price History'!H127)),NOT(ISNUMBER('Price History'!H126)),'Price History'!H126=0),"",'Price History'!H127/'Price History'!H126-1),"")</f>
        <v>0.0381052526162935</v>
      </c>
      <c r="I126" s="142" t="n">
        <f aca="false">IFERROR(IF(OR(NOT(ISNUMBER('Price History'!I127)),NOT(ISNUMBER('Price History'!I126)),'Price History'!I126=0),"",'Price History'!I127/'Price History'!I126-1),"")</f>
        <v>0.0184265342092613</v>
      </c>
      <c r="J126" s="142" t="n">
        <f aca="false">IFERROR(IF(OR(NOT(ISNUMBER('Price History'!J127)),NOT(ISNUMBER('Price History'!J126)),'Price History'!J126=0),"",'Price History'!J127/'Price History'!J126-1),"")</f>
        <v>0.0268029620090149</v>
      </c>
      <c r="K126" s="142" t="n">
        <f aca="false">IFERROR(IF(OR(NOT(ISNUMBER('Price History'!K127)),NOT(ISNUMBER('Price History'!K126)),'Price History'!K126=0),"",'Price History'!K127/'Price History'!K126-1),"")</f>
        <v>-0.135672169811321</v>
      </c>
      <c r="L126" s="142" t="n">
        <f aca="false">IFERROR(IF(OR(NOT(ISNUMBER('Price History'!L127)),NOT(ISNUMBER('Price History'!L126)),'Price History'!L126=0),"",'Price History'!L127/'Price History'!L126-1),"")</f>
        <v>-0.0128814783603202</v>
      </c>
      <c r="M126" s="142" t="n">
        <f aca="false">IFERROR(IF(OR(NOT(ISNUMBER('Price History'!M127)),NOT(ISNUMBER('Price History'!M126)),'Price History'!M126=0),"",'Price History'!M127/'Price History'!M126-1),"")</f>
        <v>0.0202347005922352</v>
      </c>
      <c r="N126" s="142" t="n">
        <f aca="false">IFERROR(IF(OR(NOT(ISNUMBER('Price History'!N127)),NOT(ISNUMBER('Price History'!N126)),'Price History'!N126=0),"",'Price History'!N127/'Price History'!N126-1),"")</f>
        <v>0.0031809739330928</v>
      </c>
      <c r="O126" s="142" t="n">
        <f aca="false">IFERROR(IF(OR(NOT(ISNUMBER('Price History'!O127)),NOT(ISNUMBER('Price History'!O126)),'Price History'!O126=0),"",'Price History'!O127/'Price History'!O126-1),"")</f>
        <v>0.00725851479620321</v>
      </c>
      <c r="P126" s="142" t="n">
        <f aca="false">IFERROR(IF(OR(NOT(ISNUMBER('Price History'!P127)),NOT(ISNUMBER('Price History'!P126)),'Price History'!P126=0),"",'Price History'!P127/'Price History'!P126-1),"")</f>
        <v>0.0173798642847252</v>
      </c>
      <c r="Q126" s="142" t="n">
        <f aca="false">IFERROR(IF(OR(NOT(ISNUMBER('Price History'!Q127)),NOT(ISNUMBER('Price History'!Q126)),'Price History'!Q126=0),"",'Price History'!Q127/'Price History'!Q126-1),"")</f>
        <v>0.00361119470358129</v>
      </c>
      <c r="R126" s="142" t="n">
        <f aca="false">IFERROR(IF(OR(NOT(ISNUMBER('Price History'!R127)),NOT(ISNUMBER('Price History'!R126)),'Price History'!R126=0),"",'Price History'!R127/'Price History'!R126-1),"")</f>
        <v>0.00350812407680956</v>
      </c>
      <c r="S126" s="142" t="n">
        <f aca="false">IFERROR(IF(OR(NOT(ISNUMBER('Price History'!S127)),NOT(ISNUMBER('Price History'!S126)),'Price History'!S126=0),"",'Price History'!S127/'Price History'!S126-1),"")</f>
        <v>0.0164647671045897</v>
      </c>
      <c r="T126" s="142" t="n">
        <f aca="false">IFERROR(IF(OR(NOT(ISNUMBER('Price History'!T127)),NOT(ISNUMBER('Price History'!T126)),'Price History'!T126=0),"",'Price History'!T127/'Price History'!T126-1),"")</f>
        <v>-0.00984848484848488</v>
      </c>
      <c r="U126" s="142" t="n">
        <f aca="false">IFERROR(IF(OR(NOT(ISNUMBER('Price History'!U127)),NOT(ISNUMBER('Price History'!U126)),'Price History'!U126=0),"",'Price History'!U127/'Price History'!U126-1),"")</f>
        <v>0.0232067510548524</v>
      </c>
      <c r="V126" s="143" t="n">
        <f aca="false">IFERROR(IF(OR(NOT(ISNUMBER('Price History'!V127)),NOT(ISNUMBER('Price History'!V126)),'Price History'!V126=0),"",'Price History'!V127/'Price History'!V126-1),"")</f>
        <v>-0.013323875026987</v>
      </c>
      <c r="W126" s="144" t="n">
        <f aca="false">IFERROR('Price History'!B3+(INDEX('Price History'!B:B,MATCH(9.99E+307,'Returns (Calc)'!$A:$A)+1)-'Price History'!B3)*(ROW()-3)/(MATCH(9.99E+307,'Returns (Calc)'!$A:$A)-3),"")</f>
        <v>302.196329113924</v>
      </c>
      <c r="X126" s="144" t="n">
        <f aca="false">IFERROR('Price History'!C3+(INDEX('Price History'!C:C,MATCH(9.99E+307,'Returns (Calc)'!$A:$A)+1)-'Price History'!C3)*(ROW()-3)/(MATCH(9.99E+307,'Returns (Calc)'!$A:$A)-3),"")</f>
        <v>171.647784810127</v>
      </c>
      <c r="Y126" s="144" t="n">
        <f aca="false">IFERROR('Price History'!D3+(INDEX('Price History'!D:D,MATCH(9.99E+307,'Returns (Calc)'!$A:$A)+1)-'Price History'!D3)*(ROW()-3)/(MATCH(9.99E+307,'Returns (Calc)'!$A:$A)-3),"")</f>
        <v>1582.59164556962</v>
      </c>
      <c r="Z126" s="144" t="n">
        <f aca="false">IFERROR('Price History'!E3+(INDEX('Price History'!E:E,MATCH(9.99E+307,'Returns (Calc)'!$A:$A)+1)-'Price History'!E3)*(ROW()-3)/(MATCH(9.99E+307,'Returns (Calc)'!$A:$A)-3),"")</f>
        <v>294.634303797468</v>
      </c>
      <c r="AA126" s="144" t="n">
        <f aca="false">IFERROR('Price History'!F3+(INDEX('Price History'!F:F,MATCH(9.99E+307,'Returns (Calc)'!$A:$A)+1)-'Price History'!F3)*(ROW()-3)/(MATCH(9.99E+307,'Returns (Calc)'!$A:$A)-3),"")</f>
        <v>219.383037974684</v>
      </c>
      <c r="AB126" s="144" t="n">
        <f aca="false">IFERROR('Price History'!G3+(INDEX('Price History'!G:G,MATCH(9.99E+307,'Returns (Calc)'!$A:$A)+1)-'Price History'!G3)*(ROW()-3)/(MATCH(9.99E+307,'Returns (Calc)'!$A:$A)-3),"")</f>
        <v>170.884303797468</v>
      </c>
      <c r="AC126" s="144" t="n">
        <f aca="false">IFERROR('Price History'!H3+(INDEX('Price History'!H:H,MATCH(9.99E+307,'Returns (Calc)'!$A:$A)+1)-'Price History'!H3)*(ROW()-3)/(MATCH(9.99E+307,'Returns (Calc)'!$A:$A)-3),"")</f>
        <v>852.090632911393</v>
      </c>
      <c r="AD126" s="144" t="n">
        <f aca="false">IFERROR('Price History'!I3+(INDEX('Price History'!I:I,MATCH(9.99E+307,'Returns (Calc)'!$A:$A)+1)-'Price History'!I3)*(ROW()-3)/(MATCH(9.99E+307,'Returns (Calc)'!$A:$A)-3),"")</f>
        <v>191.821518987342</v>
      </c>
      <c r="AE126" s="144" t="n">
        <f aca="false">IFERROR('Price History'!J3+(INDEX('Price History'!J:J,MATCH(9.99E+307,'Returns (Calc)'!$A:$A)+1)-'Price History'!J3)*(ROW()-3)/(MATCH(9.99E+307,'Returns (Calc)'!$A:$A)-3),"")</f>
        <v>125.128670886076</v>
      </c>
      <c r="AF126" s="144" t="n">
        <f aca="false">IFERROR('Price History'!K3+(INDEX('Price History'!K:K,MATCH(9.99E+307,'Returns (Calc)'!$A:$A)+1)-'Price History'!K3)*(ROW()-3)/(MATCH(9.99E+307,'Returns (Calc)'!$A:$A)-3),"")</f>
        <v>150.33417721519</v>
      </c>
      <c r="AG126" s="144" t="n">
        <f aca="false">IFERROR('Price History'!L3+(INDEX('Price History'!L:L,MATCH(9.99E+307,'Returns (Calc)'!$A:$A)+1)-'Price History'!L3)*(ROW()-3)/(MATCH(9.99E+307,'Returns (Calc)'!$A:$A)-3),"")</f>
        <v>387.045506329114</v>
      </c>
      <c r="AH126" s="144" t="n">
        <f aca="false">IFERROR('Price History'!M3+(INDEX('Price History'!M:M,MATCH(9.99E+307,'Returns (Calc)'!$A:$A)+1)-'Price History'!M3)*(ROW()-3)/(MATCH(9.99E+307,'Returns (Calc)'!$A:$A)-3),"")</f>
        <v>204.739493670886</v>
      </c>
      <c r="AI126" s="144" t="n">
        <f aca="false">IFERROR('Price History'!N3+(INDEX('Price History'!N:N,MATCH(9.99E+307,'Returns (Calc)'!$A:$A)+1)-'Price History'!N3)*(ROW()-3)/(MATCH(9.99E+307,'Returns (Calc)'!$A:$A)-3),"")</f>
        <v>470.210696202532</v>
      </c>
      <c r="AJ126" s="144" t="n">
        <f aca="false">IFERROR('Price History'!O3+(INDEX('Price History'!O:O,MATCH(9.99E+307,'Returns (Calc)'!$A:$A)+1)-'Price History'!O3)*(ROW()-3)/(MATCH(9.99E+307,'Returns (Calc)'!$A:$A)-3),"")</f>
        <v>110.123670886076</v>
      </c>
      <c r="AK126" s="144" t="n">
        <f aca="false">IFERROR('Price History'!Q3+(INDEX('Price History'!Q:Q,MATCH(9.99E+307,'Returns (Calc)'!$A:$A)+1)-'Price History'!Q3)*(ROW()-3)/(MATCH(9.99E+307,'Returns (Calc)'!$A:$A)-3),"")</f>
        <v>54.0421518987342</v>
      </c>
      <c r="AL126" s="144" t="n">
        <f aca="false">IFERROR('Price History'!R3+(INDEX('Price History'!R:R,MATCH(9.99E+307,'Returns (Calc)'!$A:$A)+1)-'Price History'!R3)*(ROW()-3)/(MATCH(9.99E+307,'Returns (Calc)'!$A:$A)-3),"")</f>
        <v>55.1564556962025</v>
      </c>
      <c r="AM126" s="144" t="n">
        <f aca="false">IFERROR('Price History'!S3+(INDEX('Price History'!S:S,MATCH(9.99E+307,'Returns (Calc)'!$A:$A)+1)-'Price History'!S3)*(ROW()-3)/(MATCH(9.99E+307,'Returns (Calc)'!$A:$A)-3),"")</f>
        <v>132.052784810127</v>
      </c>
      <c r="AN126" s="144" t="n">
        <f aca="false">IFERROR('Price History'!T3+(INDEX('Price History'!T:T,MATCH(9.99E+307,'Returns (Calc)'!$A:$A)+1)-'Price History'!T3)*(ROW()-3)/(MATCH(9.99E+307,'Returns (Calc)'!$A:$A)-3),"")</f>
        <v>45.9320253164557</v>
      </c>
      <c r="AO126" s="145" t="n">
        <f aca="false">IFERROR('Price History'!V3+(INDEX('Price History'!V:V,MATCH(9.99E+307,'Returns (Calc)'!$A:$A)+1)-'Price History'!V3)*(ROW()-3)/(MATCH(9.99E+307,'Returns (Calc)'!$A:$A)-3),"")</f>
        <v>332.963481012658</v>
      </c>
      <c r="AP126" s="143" t="n">
        <f aca="false">IFERROR(IF(OR(NOT(ISNUMBER('Price History'!W127)),NOT(ISNUMBER('Price History'!W126)),'Price History'!W126=0),"",'Price History'!W127/'Price History'!W126-1),"")</f>
        <v>0.0153665931642777</v>
      </c>
      <c r="AQ126" s="143" t="n">
        <f aca="false">IFERROR(IF(OR(NOT(ISNUMBER('Price History'!X127)),NOT(ISNUMBER('Price History'!X126)),'Price History'!X126=0),"",'Price History'!X127/'Price History'!X126-1),"")</f>
        <v>0.0183957219251336</v>
      </c>
      <c r="AR126" s="143" t="n">
        <f aca="false">IFERROR(IF(OR(NOT(ISNUMBER('Price History'!Y127)),NOT(ISNUMBER('Price History'!Y126)),'Price History'!Y126=0),"",'Price History'!Y127/'Price History'!Y126-1),"")</f>
        <v>0.00309147117657749</v>
      </c>
      <c r="AS126" s="143" t="n">
        <f aca="false">IFERROR(IF(OR(NOT(ISNUMBER('Price History'!Z127)),NOT(ISNUMBER('Price History'!Z126)),'Price History'!Z126=0),"",'Price History'!Z127/'Price History'!Z126-1),"")</f>
        <v>0.0439470451753787</v>
      </c>
      <c r="AT126" s="143" t="n">
        <f aca="false">IFERROR(IF(OR(NOT(ISNUMBER('Price History'!AA127)),NOT(ISNUMBER('Price History'!AA126)),'Price History'!AA126=0),"",'Price History'!AA127/'Price History'!AA126-1),"")</f>
        <v>-0.0305387830933582</v>
      </c>
    </row>
    <row r="127" customFormat="false" ht="15" hidden="false" customHeight="true" outlineLevel="0" collapsed="false">
      <c r="A127" s="141" t="n">
        <f aca="false">IF('Price History'!A128="","",'Price History'!A128)</f>
        <v>46059</v>
      </c>
      <c r="B127" s="142" t="n">
        <f aca="false">IFERROR(IF(OR(NOT(ISNUMBER('Price History'!B128)),NOT(ISNUMBER('Price History'!B127)),'Price History'!B127=0),"",'Price History'!B128/'Price History'!B127-1),"")</f>
        <v>-0.0848081841432226</v>
      </c>
      <c r="C127" s="142" t="n">
        <f aca="false">IFERROR(IF(OR(NOT(ISNUMBER('Price History'!C128)),NOT(ISNUMBER('Price History'!C127)),'Price History'!C127=0),"",'Price History'!C128/'Price History'!C127-1),"")</f>
        <v>-0.0299844786228305</v>
      </c>
      <c r="D127" s="142" t="n">
        <f aca="false">IFERROR(IF(OR(NOT(ISNUMBER('Price History'!D128)),NOT(ISNUMBER('Price History'!D127)),'Price History'!D127=0),"",'Price History'!D128/'Price History'!D127-1),"")</f>
        <v>-0.00702584380737192</v>
      </c>
      <c r="E127" s="142" t="n">
        <f aca="false">IFERROR(IF(OR(NOT(ISNUMBER('Price History'!E128)),NOT(ISNUMBER('Price History'!E127)),'Price History'!E127=0),"",'Price History'!E128/'Price History'!E127-1),"")</f>
        <v>0.00491683865485015</v>
      </c>
      <c r="F127" s="142" t="n">
        <f aca="false">IFERROR(IF(OR(NOT(ISNUMBER('Price History'!F128)),NOT(ISNUMBER('Price History'!F127)),'Price History'!F127=0),"",'Price History'!F128/'Price History'!F127-1),"")</f>
        <v>-0.103942002718623</v>
      </c>
      <c r="G127" s="142" t="n">
        <f aca="false">IFERROR(IF(OR(NOT(ISNUMBER('Price History'!G128)),NOT(ISNUMBER('Price History'!G127)),'Price History'!G127=0),"",'Price History'!G128/'Price History'!G127-1),"")</f>
        <v>0.01047304421171</v>
      </c>
      <c r="H127" s="142" t="n">
        <f aca="false">IFERROR(IF(OR(NOT(ISNUMBER('Price History'!H128)),NOT(ISNUMBER('Price History'!H127)),'Price History'!H127=0),"",'Price History'!H128/'Price History'!H127-1),"")</f>
        <v>-0.0486687246768281</v>
      </c>
      <c r="I127" s="142" t="n">
        <f aca="false">IFERROR(IF(OR(NOT(ISNUMBER('Price History'!I128)),NOT(ISNUMBER('Price History'!I127)),'Price History'!I127=0),"",'Price History'!I128/'Price History'!I127-1),"")</f>
        <v>-0.0298930144745123</v>
      </c>
      <c r="J127" s="142" t="n">
        <f aca="false">IFERROR(IF(OR(NOT(ISNUMBER('Price History'!J128)),NOT(ISNUMBER('Price History'!J127)),'Price History'!J127=0),"",'Price History'!J128/'Price History'!J127-1),"")</f>
        <v>0.0489927098847691</v>
      </c>
      <c r="K127" s="142" t="n">
        <f aca="false">IFERROR(IF(OR(NOT(ISNUMBER('Price History'!K128)),NOT(ISNUMBER('Price History'!K127)),'Price History'!K127=0),"",'Price History'!K128/'Price History'!K127-1),"")</f>
        <v>-0.0729244832526093</v>
      </c>
      <c r="L127" s="142" t="n">
        <f aca="false">IFERROR(IF(OR(NOT(ISNUMBER('Price History'!L128)),NOT(ISNUMBER('Price History'!L127)),'Price History'!L127=0),"",'Price History'!L128/'Price History'!L127-1),"")</f>
        <v>0.0553387401670833</v>
      </c>
      <c r="M127" s="142" t="n">
        <f aca="false">IFERROR(IF(OR(NOT(ISNUMBER('Price History'!M128)),NOT(ISNUMBER('Price History'!M127)),'Price History'!M127=0),"",'Price History'!M128/'Price History'!M127-1),"")</f>
        <v>0.0504703036818059</v>
      </c>
      <c r="N127" s="142" t="n">
        <f aca="false">IFERROR(IF(OR(NOT(ISNUMBER('Price History'!N128)),NOT(ISNUMBER('Price History'!N127)),'Price History'!N127=0),"",'Price History'!N128/'Price History'!N127-1),"")</f>
        <v>0.0170674611619495</v>
      </c>
      <c r="O127" s="142" t="n">
        <f aca="false">IFERROR(IF(OR(NOT(ISNUMBER('Price History'!O128)),NOT(ISNUMBER('Price History'!O127)),'Price History'!O127=0),"",'Price History'!O128/'Price History'!O127-1),"")</f>
        <v>0.054138950480414</v>
      </c>
      <c r="P127" s="142" t="n">
        <f aca="false">IFERROR(IF(OR(NOT(ISNUMBER('Price History'!P128)),NOT(ISNUMBER('Price History'!P127)),'Price History'!P127=0),"",'Price History'!P128/'Price History'!P127-1),"")</f>
        <v>0.0330769754304769</v>
      </c>
      <c r="Q127" s="142" t="n">
        <f aca="false">IFERROR(IF(OR(NOT(ISNUMBER('Price History'!Q128)),NOT(ISNUMBER('Price History'!Q127)),'Price History'!Q127=0),"",'Price History'!Q128/'Price History'!Q127-1),"")</f>
        <v>0.00284857571214392</v>
      </c>
      <c r="R127" s="142" t="n">
        <f aca="false">IFERROR(IF(OR(NOT(ISNUMBER('Price History'!R128)),NOT(ISNUMBER('Price History'!R127)),'Price History'!R127=0),"",'Price History'!R128/'Price History'!R127-1),"")</f>
        <v>-0.0154553817847287</v>
      </c>
      <c r="S127" s="142" t="n">
        <f aca="false">IFERROR(IF(OR(NOT(ISNUMBER('Price History'!S128)),NOT(ISNUMBER('Price History'!S127)),'Price History'!S127=0),"",'Price History'!S128/'Price History'!S127-1),"")</f>
        <v>-0.000251783466219013</v>
      </c>
      <c r="T127" s="142" t="n">
        <f aca="false">IFERROR(IF(OR(NOT(ISNUMBER('Price History'!T128)),NOT(ISNUMBER('Price History'!T127)),'Price History'!T127=0),"",'Price History'!T128/'Price History'!T127-1),"")</f>
        <v>0.0244835501147667</v>
      </c>
      <c r="U127" s="142" t="n">
        <f aca="false">IFERROR(IF(OR(NOT(ISNUMBER('Price History'!U128)),NOT(ISNUMBER('Price History'!U127)),'Price History'!U127=0),"",'Price History'!U128/'Price History'!U127-1),"")</f>
        <v>0.0553264604810997</v>
      </c>
      <c r="V127" s="143" t="n">
        <f aca="false">IFERROR(IF(OR(NOT(ISNUMBER('Price History'!V128)),NOT(ISNUMBER('Price History'!V127)),'Price History'!V127=0),"",'Price History'!V128/'Price History'!V127-1),"")</f>
        <v>0.0302897689975306</v>
      </c>
      <c r="W127" s="144" t="n">
        <f aca="false">IFERROR('Price History'!B3+(INDEX('Price History'!B:B,MATCH(9.99E+307,'Returns (Calc)'!$A:$A)+1)-'Price History'!B3)*(ROW()-3)/(MATCH(9.99E+307,'Returns (Calc)'!$A:$A)-3),"")</f>
        <v>300.353291139241</v>
      </c>
      <c r="X127" s="144" t="n">
        <f aca="false">IFERROR('Price History'!C3+(INDEX('Price History'!C:C,MATCH(9.99E+307,'Returns (Calc)'!$A:$A)+1)-'Price History'!C3)*(ROW()-3)/(MATCH(9.99E+307,'Returns (Calc)'!$A:$A)-3),"")</f>
        <v>172.667848101266</v>
      </c>
      <c r="Y127" s="144" t="n">
        <f aca="false">IFERROR('Price History'!D3+(INDEX('Price History'!D:D,MATCH(9.99E+307,'Returns (Calc)'!$A:$A)+1)-'Price History'!D3)*(ROW()-3)/(MATCH(9.99E+307,'Returns (Calc)'!$A:$A)-3),"")</f>
        <v>1590.7264556962</v>
      </c>
      <c r="Z127" s="144" t="n">
        <f aca="false">IFERROR('Price History'!E3+(INDEX('Price History'!E:E,MATCH(9.99E+307,'Returns (Calc)'!$A:$A)+1)-'Price History'!E3)*(ROW()-3)/(MATCH(9.99E+307,'Returns (Calc)'!$A:$A)-3),"")</f>
        <v>296.363037974684</v>
      </c>
      <c r="AA127" s="144" t="n">
        <f aca="false">IFERROR('Price History'!F3+(INDEX('Price History'!F:F,MATCH(9.99E+307,'Returns (Calc)'!$A:$A)+1)-'Price History'!F3)*(ROW()-3)/(MATCH(9.99E+307,'Returns (Calc)'!$A:$A)-3),"")</f>
        <v>220.830379746835</v>
      </c>
      <c r="AB127" s="144" t="n">
        <f aca="false">IFERROR('Price History'!G3+(INDEX('Price History'!G:G,MATCH(9.99E+307,'Returns (Calc)'!$A:$A)+1)-'Price History'!G3)*(ROW()-3)/(MATCH(9.99E+307,'Returns (Calc)'!$A:$A)-3),"")</f>
        <v>171.913037974684</v>
      </c>
      <c r="AC127" s="144" t="n">
        <f aca="false">IFERROR('Price History'!H3+(INDEX('Price History'!H:H,MATCH(9.99E+307,'Returns (Calc)'!$A:$A)+1)-'Price History'!H3)*(ROW()-3)/(MATCH(9.99E+307,'Returns (Calc)'!$A:$A)-3),"")</f>
        <v>858.456329113924</v>
      </c>
      <c r="AD127" s="144" t="n">
        <f aca="false">IFERROR('Price History'!I3+(INDEX('Price History'!I:I,MATCH(9.99E+307,'Returns (Calc)'!$A:$A)+1)-'Price History'!I3)*(ROW()-3)/(MATCH(9.99E+307,'Returns (Calc)'!$A:$A)-3),"")</f>
        <v>193.025189873418</v>
      </c>
      <c r="AE127" s="144" t="n">
        <f aca="false">IFERROR('Price History'!J3+(INDEX('Price History'!J:J,MATCH(9.99E+307,'Returns (Calc)'!$A:$A)+1)-'Price History'!J3)*(ROW()-3)/(MATCH(9.99E+307,'Returns (Calc)'!$A:$A)-3),"")</f>
        <v>125.236708860759</v>
      </c>
      <c r="AF127" s="144" t="n">
        <f aca="false">IFERROR('Price History'!K3+(INDEX('Price History'!K:K,MATCH(9.99E+307,'Returns (Calc)'!$A:$A)+1)-'Price History'!K3)*(ROW()-3)/(MATCH(9.99E+307,'Returns (Calc)'!$A:$A)-3),"")</f>
        <v>151.431772151899</v>
      </c>
      <c r="AG127" s="144" t="n">
        <f aca="false">IFERROR('Price History'!L3+(INDEX('Price History'!L:L,MATCH(9.99E+307,'Returns (Calc)'!$A:$A)+1)-'Price History'!L3)*(ROW()-3)/(MATCH(9.99E+307,'Returns (Calc)'!$A:$A)-3),"")</f>
        <v>389.495063291139</v>
      </c>
      <c r="AH127" s="144" t="n">
        <f aca="false">IFERROR('Price History'!M3+(INDEX('Price History'!M:M,MATCH(9.99E+307,'Returns (Calc)'!$A:$A)+1)-'Price History'!M3)*(ROW()-3)/(MATCH(9.99E+307,'Returns (Calc)'!$A:$A)-3),"")</f>
        <v>206.094936708861</v>
      </c>
      <c r="AI127" s="144" t="n">
        <f aca="false">IFERROR('Price History'!N3+(INDEX('Price History'!N:N,MATCH(9.99E+307,'Returns (Calc)'!$A:$A)+1)-'Price History'!N3)*(ROW()-3)/(MATCH(9.99E+307,'Returns (Calc)'!$A:$A)-3),"")</f>
        <v>471.196962025316</v>
      </c>
      <c r="AJ127" s="144" t="n">
        <f aca="false">IFERROR('Price History'!O3+(INDEX('Price History'!O:O,MATCH(9.99E+307,'Returns (Calc)'!$A:$A)+1)-'Price History'!O3)*(ROW()-3)/(MATCH(9.99E+307,'Returns (Calc)'!$A:$A)-3),"")</f>
        <v>110.40670886076</v>
      </c>
      <c r="AK127" s="144" t="n">
        <f aca="false">IFERROR('Price History'!Q3+(INDEX('Price History'!Q:Q,MATCH(9.99E+307,'Returns (Calc)'!$A:$A)+1)-'Price History'!Q3)*(ROW()-3)/(MATCH(9.99E+307,'Returns (Calc)'!$A:$A)-3),"")</f>
        <v>54.4815189873418</v>
      </c>
      <c r="AL127" s="144" t="n">
        <f aca="false">IFERROR('Price History'!R3+(INDEX('Price History'!R:R,MATCH(9.99E+307,'Returns (Calc)'!$A:$A)+1)-'Price History'!R3)*(ROW()-3)/(MATCH(9.99E+307,'Returns (Calc)'!$A:$A)-3),"")</f>
        <v>55.3245569620253</v>
      </c>
      <c r="AM127" s="144" t="n">
        <f aca="false">IFERROR('Price History'!S3+(INDEX('Price History'!S:S,MATCH(9.99E+307,'Returns (Calc)'!$A:$A)+1)-'Price History'!S3)*(ROW()-3)/(MATCH(9.99E+307,'Returns (Calc)'!$A:$A)-3),"")</f>
        <v>132.657848101266</v>
      </c>
      <c r="AN127" s="144" t="n">
        <f aca="false">IFERROR('Price History'!T3+(INDEX('Price History'!T:T,MATCH(9.99E+307,'Returns (Calc)'!$A:$A)+1)-'Price History'!T3)*(ROW()-3)/(MATCH(9.99E+307,'Returns (Calc)'!$A:$A)-3),"")</f>
        <v>46.100253164557</v>
      </c>
      <c r="AO127" s="145" t="n">
        <f aca="false">IFERROR('Price History'!V3+(INDEX('Price History'!V:V,MATCH(9.99E+307,'Returns (Calc)'!$A:$A)+1)-'Price History'!V3)*(ROW()-3)/(MATCH(9.99E+307,'Returns (Calc)'!$A:$A)-3),"")</f>
        <v>333.754810126582</v>
      </c>
      <c r="AP127" s="143" t="n">
        <f aca="false">IFERROR(IF(OR(NOT(ISNUMBER('Price History'!W128)),NOT(ISNUMBER('Price History'!W127)),'Price History'!W127=0),"",'Price History'!W128/'Price History'!W127-1),"")</f>
        <v>0.0367153036986767</v>
      </c>
      <c r="AQ127" s="143" t="n">
        <f aca="false">IFERROR(IF(OR(NOT(ISNUMBER('Price History'!X128)),NOT(ISNUMBER('Price History'!X127)),'Price History'!X127=0),"",'Price History'!X128/'Price History'!X127-1),"")</f>
        <v>0.0193236714975846</v>
      </c>
      <c r="AR127" s="143" t="n">
        <f aca="false">IFERROR(IF(OR(NOT(ISNUMBER('Price History'!Y128)),NOT(ISNUMBER('Price History'!Y127)),'Price History'!Y127=0),"",'Price History'!Y128/'Price History'!Y127-1),"")</f>
        <v>0.015409717186367</v>
      </c>
      <c r="AS127" s="143" t="n">
        <f aca="false">IFERROR(IF(OR(NOT(ISNUMBER('Price History'!Z128)),NOT(ISNUMBER('Price History'!Z127)),'Price History'!Z127=0),"",'Price History'!Z128/'Price History'!Z127-1),"")</f>
        <v>0.0463132435612499</v>
      </c>
      <c r="AT127" s="143" t="n">
        <f aca="false">IFERROR(IF(OR(NOT(ISNUMBER('Price History'!AA128)),NOT(ISNUMBER('Price History'!AA127)),'Price History'!AA127=0),"",'Price History'!AA128/'Price History'!AA127-1),"")</f>
        <v>-0.0154509522098454</v>
      </c>
    </row>
    <row r="128" customFormat="false" ht="15" hidden="false" customHeight="true" outlineLevel="0" collapsed="false">
      <c r="A128" s="141" t="n">
        <f aca="false">IF('Price History'!A129="","",'Price History'!A129)</f>
        <v>46066</v>
      </c>
      <c r="B128" s="142" t="n">
        <f aca="false">IFERROR(IF(OR(NOT(ISNUMBER('Price History'!B129)),NOT(ISNUMBER('Price History'!B128)),'Price History'!B128=0),"",'Price History'!B129/'Price History'!B128-1),"")</f>
        <v>-0.016431924882629</v>
      </c>
      <c r="C128" s="142" t="n">
        <f aca="false">IFERROR(IF(OR(NOT(ISNUMBER('Price History'!C129)),NOT(ISNUMBER('Price History'!C128)),'Price History'!C128=0),"",'Price History'!C129/'Price History'!C128-1),"")</f>
        <v>0.0298203505709507</v>
      </c>
      <c r="D128" s="142" t="n">
        <f aca="false">IFERROR(IF(OR(NOT(ISNUMBER('Price History'!D129)),NOT(ISNUMBER('Price History'!D128)),'Price History'!D128=0),"",'Price History'!D129/'Price History'!D128-1),"")</f>
        <v>-0.00321422222222223</v>
      </c>
      <c r="E128" s="142" t="n">
        <f aca="false">IFERROR(IF(OR(NOT(ISNUMBER('Price History'!E129)),NOT(ISNUMBER('Price History'!E128)),'Price History'!E128=0),"",'Price History'!E129/'Price History'!E128-1),"")</f>
        <v>-0.0232860163092722</v>
      </c>
      <c r="F128" s="142" t="n">
        <f aca="false">IFERROR(IF(OR(NOT(ISNUMBER('Price History'!F129)),NOT(ISNUMBER('Price History'!F128)),'Price History'!F128=0),"",'Price History'!F129/'Price History'!F128-1),"")</f>
        <v>0.0862661812297736</v>
      </c>
      <c r="G128" s="142" t="n">
        <f aca="false">IFERROR(IF(OR(NOT(ISNUMBER('Price History'!G129)),NOT(ISNUMBER('Price History'!G128)),'Price History'!G128=0),"",'Price History'!G129/'Price History'!G128-1),"")</f>
        <v>0.0146772398441848</v>
      </c>
      <c r="H128" s="142" t="n">
        <f aca="false">IFERROR(IF(OR(NOT(ISNUMBER('Price History'!H129)),NOT(ISNUMBER('Price History'!H128)),'Price History'!H128=0),"",'Price History'!H129/'Price History'!H128-1),"")</f>
        <v>0.0429954875019014</v>
      </c>
      <c r="I128" s="142" t="n">
        <f aca="false">IFERROR(IF(OR(NOT(ISNUMBER('Price History'!I129)),NOT(ISNUMBER('Price History'!I128)),'Price History'!I128=0),"",'Price History'!I129/'Price History'!I128-1),"")</f>
        <v>-0.0140555735755217</v>
      </c>
      <c r="J128" s="142" t="n">
        <f aca="false">IFERROR(IF(OR(NOT(ISNUMBER('Price History'!J129)),NOT(ISNUMBER('Price History'!J128)),'Price History'!J128=0),"",'Price History'!J129/'Price History'!J128-1),"")</f>
        <v>0.0147212673740846</v>
      </c>
      <c r="K128" s="142" t="n">
        <f aca="false">IFERROR(IF(OR(NOT(ISNUMBER('Price History'!K129)),NOT(ISNUMBER('Price History'!K128)),'Price History'!K128=0),"",'Price History'!K129/'Price History'!K128-1),"")</f>
        <v>-0.0330389992641649</v>
      </c>
      <c r="L128" s="142" t="n">
        <f aca="false">IFERROR(IF(OR(NOT(ISNUMBER('Price History'!L129)),NOT(ISNUMBER('Price History'!L128)),'Price History'!L128=0),"",'Price History'!L129/'Price History'!L128-1),"")</f>
        <v>0.050183457082599</v>
      </c>
      <c r="M128" s="142" t="n">
        <f aca="false">IFERROR(IF(OR(NOT(ISNUMBER('Price History'!M129)),NOT(ISNUMBER('Price History'!M128)),'Price History'!M128=0),"",'Price History'!M129/'Price History'!M128-1),"")</f>
        <v>0.199191567744576</v>
      </c>
      <c r="N128" s="142" t="n">
        <f aca="false">IFERROR(IF(OR(NOT(ISNUMBER('Price History'!N129)),NOT(ISNUMBER('Price History'!N128)),'Price History'!N128=0),"",'Price History'!N129/'Price History'!N128-1),"")</f>
        <v>0.0283520254435889</v>
      </c>
      <c r="O128" s="142" t="n">
        <f aca="false">IFERROR(IF(OR(NOT(ISNUMBER('Price History'!O129)),NOT(ISNUMBER('Price History'!O128)),'Price History'!O128=0),"",'Price History'!O129/'Price History'!O128-1),"")</f>
        <v>-0.002541630148992</v>
      </c>
      <c r="P128" s="142" t="n">
        <f aca="false">IFERROR(IF(OR(NOT(ISNUMBER('Price History'!P129)),NOT(ISNUMBER('Price History'!P128)),'Price History'!P128=0),"",'Price History'!P129/'Price History'!P128-1),"")</f>
        <v>0.016074840239805</v>
      </c>
      <c r="Q128" s="142" t="n">
        <f aca="false">IFERROR(IF(OR(NOT(ISNUMBER('Price History'!Q129)),NOT(ISNUMBER('Price History'!Q128)),'Price History'!Q128=0),"",'Price History'!Q129/'Price History'!Q128-1),"")</f>
        <v>-0.00867095230976223</v>
      </c>
      <c r="R128" s="142" t="n">
        <f aca="false">IFERROR(IF(OR(NOT(ISNUMBER('Price History'!R129)),NOT(ISNUMBER('Price History'!R128)),'Price History'!R128=0),"",'Price History'!R129/'Price History'!R128-1),"")</f>
        <v>-0.00934404784152498</v>
      </c>
      <c r="S128" s="142" t="n">
        <f aca="false">IFERROR(IF(OR(NOT(ISNUMBER('Price History'!S129)),NOT(ISNUMBER('Price History'!S128)),'Price History'!S128=0),"",'Price History'!S129/'Price History'!S128-1),"")</f>
        <v>-0.0132639355271994</v>
      </c>
      <c r="T128" s="142" t="n">
        <f aca="false">IFERROR(IF(OR(NOT(ISNUMBER('Price History'!T129)),NOT(ISNUMBER('Price History'!T128)),'Price History'!T128=0),"",'Price History'!T129/'Price History'!T128-1),"")</f>
        <v>-0.0042320139407519</v>
      </c>
      <c r="U128" s="142" t="n">
        <f aca="false">IFERROR(IF(OR(NOT(ISNUMBER('Price History'!U129)),NOT(ISNUMBER('Price History'!U128)),'Price History'!U128=0),"",'Price History'!U129/'Price History'!U128-1),"")</f>
        <v>0.00455877564311291</v>
      </c>
      <c r="V128" s="143" t="n">
        <f aca="false">IFERROR(IF(OR(NOT(ISNUMBER('Price History'!V129)),NOT(ISNUMBER('Price History'!V128)),'Price History'!V128=0),"",'Price History'!V129/'Price History'!V128-1),"")</f>
        <v>-0.0508191747572816</v>
      </c>
      <c r="W128" s="144" t="n">
        <f aca="false">IFERROR('Price History'!B3+(INDEX('Price History'!B:B,MATCH(9.99E+307,'Returns (Calc)'!$A:$A)+1)-'Price History'!B3)*(ROW()-3)/(MATCH(9.99E+307,'Returns (Calc)'!$A:$A)-3),"")</f>
        <v>298.510253164557</v>
      </c>
      <c r="X128" s="144" t="n">
        <f aca="false">IFERROR('Price History'!C3+(INDEX('Price History'!C:C,MATCH(9.99E+307,'Returns (Calc)'!$A:$A)+1)-'Price History'!C3)*(ROW()-3)/(MATCH(9.99E+307,'Returns (Calc)'!$A:$A)-3),"")</f>
        <v>173.687911392405</v>
      </c>
      <c r="Y128" s="144" t="n">
        <f aca="false">IFERROR('Price History'!D3+(INDEX('Price History'!D:D,MATCH(9.99E+307,'Returns (Calc)'!$A:$A)+1)-'Price History'!D3)*(ROW()-3)/(MATCH(9.99E+307,'Returns (Calc)'!$A:$A)-3),"")</f>
        <v>1598.86126582278</v>
      </c>
      <c r="Z128" s="144" t="n">
        <f aca="false">IFERROR('Price History'!E3+(INDEX('Price History'!E:E,MATCH(9.99E+307,'Returns (Calc)'!$A:$A)+1)-'Price History'!E3)*(ROW()-3)/(MATCH(9.99E+307,'Returns (Calc)'!$A:$A)-3),"")</f>
        <v>298.091772151899</v>
      </c>
      <c r="AA128" s="144" t="n">
        <f aca="false">IFERROR('Price History'!F3+(INDEX('Price History'!F:F,MATCH(9.99E+307,'Returns (Calc)'!$A:$A)+1)-'Price History'!F3)*(ROW()-3)/(MATCH(9.99E+307,'Returns (Calc)'!$A:$A)-3),"")</f>
        <v>222.277721518987</v>
      </c>
      <c r="AB128" s="144" t="n">
        <f aca="false">IFERROR('Price History'!G3+(INDEX('Price History'!G:G,MATCH(9.99E+307,'Returns (Calc)'!$A:$A)+1)-'Price History'!G3)*(ROW()-3)/(MATCH(9.99E+307,'Returns (Calc)'!$A:$A)-3),"")</f>
        <v>172.941772151899</v>
      </c>
      <c r="AC128" s="144" t="n">
        <f aca="false">IFERROR('Price History'!H3+(INDEX('Price History'!H:H,MATCH(9.99E+307,'Returns (Calc)'!$A:$A)+1)-'Price History'!H3)*(ROW()-3)/(MATCH(9.99E+307,'Returns (Calc)'!$A:$A)-3),"")</f>
        <v>864.822025316456</v>
      </c>
      <c r="AD128" s="144" t="n">
        <f aca="false">IFERROR('Price History'!I3+(INDEX('Price History'!I:I,MATCH(9.99E+307,'Returns (Calc)'!$A:$A)+1)-'Price History'!I3)*(ROW()-3)/(MATCH(9.99E+307,'Returns (Calc)'!$A:$A)-3),"")</f>
        <v>194.228860759494</v>
      </c>
      <c r="AE128" s="144" t="n">
        <f aca="false">IFERROR('Price History'!J3+(INDEX('Price History'!J:J,MATCH(9.99E+307,'Returns (Calc)'!$A:$A)+1)-'Price History'!J3)*(ROW()-3)/(MATCH(9.99E+307,'Returns (Calc)'!$A:$A)-3),"")</f>
        <v>125.344746835443</v>
      </c>
      <c r="AF128" s="144" t="n">
        <f aca="false">IFERROR('Price History'!K3+(INDEX('Price History'!K:K,MATCH(9.99E+307,'Returns (Calc)'!$A:$A)+1)-'Price History'!K3)*(ROW()-3)/(MATCH(9.99E+307,'Returns (Calc)'!$A:$A)-3),"")</f>
        <v>152.529367088608</v>
      </c>
      <c r="AG128" s="144" t="n">
        <f aca="false">IFERROR('Price History'!L3+(INDEX('Price History'!L:L,MATCH(9.99E+307,'Returns (Calc)'!$A:$A)+1)-'Price History'!L3)*(ROW()-3)/(MATCH(9.99E+307,'Returns (Calc)'!$A:$A)-3),"")</f>
        <v>391.944620253165</v>
      </c>
      <c r="AH128" s="144" t="n">
        <f aca="false">IFERROR('Price History'!M3+(INDEX('Price History'!M:M,MATCH(9.99E+307,'Returns (Calc)'!$A:$A)+1)-'Price History'!M3)*(ROW()-3)/(MATCH(9.99E+307,'Returns (Calc)'!$A:$A)-3),"")</f>
        <v>207.450379746835</v>
      </c>
      <c r="AI128" s="144" t="n">
        <f aca="false">IFERROR('Price History'!N3+(INDEX('Price History'!N:N,MATCH(9.99E+307,'Returns (Calc)'!$A:$A)+1)-'Price History'!N3)*(ROW()-3)/(MATCH(9.99E+307,'Returns (Calc)'!$A:$A)-3),"")</f>
        <v>472.183227848101</v>
      </c>
      <c r="AJ128" s="144" t="n">
        <f aca="false">IFERROR('Price History'!O3+(INDEX('Price History'!O:O,MATCH(9.99E+307,'Returns (Calc)'!$A:$A)+1)-'Price History'!O3)*(ROW()-3)/(MATCH(9.99E+307,'Returns (Calc)'!$A:$A)-3),"")</f>
        <v>110.689746835443</v>
      </c>
      <c r="AK128" s="144" t="n">
        <f aca="false">IFERROR('Price History'!Q3+(INDEX('Price History'!Q:Q,MATCH(9.99E+307,'Returns (Calc)'!$A:$A)+1)-'Price History'!Q3)*(ROW()-3)/(MATCH(9.99E+307,'Returns (Calc)'!$A:$A)-3),"")</f>
        <v>54.9208860759494</v>
      </c>
      <c r="AL128" s="144" t="n">
        <f aca="false">IFERROR('Price History'!R3+(INDEX('Price History'!R:R,MATCH(9.99E+307,'Returns (Calc)'!$A:$A)+1)-'Price History'!R3)*(ROW()-3)/(MATCH(9.99E+307,'Returns (Calc)'!$A:$A)-3),"")</f>
        <v>55.4926582278481</v>
      </c>
      <c r="AM128" s="144" t="n">
        <f aca="false">IFERROR('Price History'!S3+(INDEX('Price History'!S:S,MATCH(9.99E+307,'Returns (Calc)'!$A:$A)+1)-'Price History'!S3)*(ROW()-3)/(MATCH(9.99E+307,'Returns (Calc)'!$A:$A)-3),"")</f>
        <v>133.262911392405</v>
      </c>
      <c r="AN128" s="144" t="n">
        <f aca="false">IFERROR('Price History'!T3+(INDEX('Price History'!T:T,MATCH(9.99E+307,'Returns (Calc)'!$A:$A)+1)-'Price History'!T3)*(ROW()-3)/(MATCH(9.99E+307,'Returns (Calc)'!$A:$A)-3),"")</f>
        <v>46.2684810126582</v>
      </c>
      <c r="AO128" s="145" t="n">
        <f aca="false">IFERROR('Price History'!V3+(INDEX('Price History'!V:V,MATCH(9.99E+307,'Returns (Calc)'!$A:$A)+1)-'Price History'!V3)*(ROW()-3)/(MATCH(9.99E+307,'Returns (Calc)'!$A:$A)-3),"")</f>
        <v>334.546139240506</v>
      </c>
      <c r="AP128" s="143" t="n">
        <f aca="false">IFERROR(IF(OR(NOT(ISNUMBER('Price History'!W129)),NOT(ISNUMBER('Price History'!W128)),'Price History'!W128=0),"",'Price History'!W129/'Price History'!W128-1),"")</f>
        <v>-0.00065462162869856</v>
      </c>
      <c r="AQ128" s="143" t="n">
        <f aca="false">IFERROR(IF(OR(NOT(ISNUMBER('Price History'!X129)),NOT(ISNUMBER('Price History'!X128)),'Price History'!X128=0),"",'Price History'!X129/'Price History'!X128-1),"")</f>
        <v>0.0389449824850607</v>
      </c>
      <c r="AR128" s="143" t="n">
        <f aca="false">IFERROR(IF(OR(NOT(ISNUMBER('Price History'!Y129)),NOT(ISNUMBER('Price History'!Y128)),'Price History'!Y128=0),"",'Price History'!Y129/'Price History'!Y128-1),"")</f>
        <v>0.00321371183717201</v>
      </c>
      <c r="AS128" s="143" t="n">
        <f aca="false">IFERROR(IF(OR(NOT(ISNUMBER('Price History'!Z129)),NOT(ISNUMBER('Price History'!Z128)),'Price History'!Z128=0),"",'Price History'!Z129/'Price History'!Z128-1),"")</f>
        <v>-0.0173991815824821</v>
      </c>
      <c r="AT128" s="143" t="n">
        <f aca="false">IFERROR(IF(OR(NOT(ISNUMBER('Price History'!AA129)),NOT(ISNUMBER('Price History'!AA128)),'Price History'!AA128=0),"",'Price History'!AA129/'Price History'!AA128-1),"")</f>
        <v>-0.0648418491484185</v>
      </c>
    </row>
    <row r="129" customFormat="false" ht="15" hidden="false" customHeight="true" outlineLevel="0" collapsed="false">
      <c r="A129" s="141" t="n">
        <f aca="false">IF('Price History'!A130="","",'Price History'!A130)</f>
        <v>46073</v>
      </c>
      <c r="B129" s="142" t="n">
        <f aca="false">IFERROR(IF(OR(NOT(ISNUMBER('Price History'!B130)),NOT(ISNUMBER('Price History'!B129)),'Price History'!B129=0),"",'Price History'!B130/'Price History'!B129-1),"")</f>
        <v>-0.0203053377277721</v>
      </c>
      <c r="C129" s="142" t="n">
        <f aca="false">IFERROR(IF(OR(NOT(ISNUMBER('Price History'!C130)),NOT(ISNUMBER('Price History'!C129)),'Price History'!C129=0),"",'Price History'!C130/'Price History'!C129-1),"")</f>
        <v>-0.0621512818701887</v>
      </c>
      <c r="D129" s="142" t="n">
        <f aca="false">IFERROR(IF(OR(NOT(ISNUMBER('Price History'!D130)),NOT(ISNUMBER('Price History'!D129)),'Price History'!D129=0),"",'Price History'!D130/'Price History'!D129-1),"")</f>
        <v>0.0447732444907365</v>
      </c>
      <c r="E129" s="142" t="n">
        <f aca="false">IFERROR(IF(OR(NOT(ISNUMBER('Price History'!E130)),NOT(ISNUMBER('Price History'!E129)),'Price History'!E129=0),"",'Price History'!E130/'Price History'!E129-1),"")</f>
        <v>0.0230062772503787</v>
      </c>
      <c r="F129" s="142" t="n">
        <f aca="false">IFERROR(IF(OR(NOT(ISNUMBER('Price History'!F130)),NOT(ISNUMBER('Price History'!F129)),'Price History'!F129=0),"",'Price History'!F130/'Price History'!F129-1),"")</f>
        <v>-0.0955218322316357</v>
      </c>
      <c r="G129" s="142" t="n">
        <f aca="false">IFERROR(IF(OR(NOT(ISNUMBER('Price History'!G130)),NOT(ISNUMBER('Price History'!G129)),'Price History'!G129=0),"",'Price History'!G130/'Price History'!G129-1),"")</f>
        <v>0.0231027627339413</v>
      </c>
      <c r="H129" s="142" t="n">
        <f aca="false">IFERROR(IF(OR(NOT(ISNUMBER('Price History'!H130)),NOT(ISNUMBER('Price History'!H129)),'Price History'!H129=0),"",'Price History'!H130/'Price History'!H129-1),"")</f>
        <v>0.0401050021875455</v>
      </c>
      <c r="I129" s="142" t="n">
        <f aca="false">IFERROR(IF(OR(NOT(ISNUMBER('Price History'!I130)),NOT(ISNUMBER('Price History'!I129)),'Price History'!I129=0),"",'Price History'!I130/'Price History'!I129-1),"")</f>
        <v>0.0383814014694595</v>
      </c>
      <c r="J129" s="142" t="n">
        <f aca="false">IFERROR(IF(OR(NOT(ISNUMBER('Price History'!J130)),NOT(ISNUMBER('Price History'!J129)),'Price History'!J129=0),"",'Price History'!J130/'Price History'!J129-1),"")</f>
        <v>0.0182634951027323</v>
      </c>
      <c r="K129" s="142" t="n">
        <f aca="false">IFERROR(IF(OR(NOT(ISNUMBER('Price History'!K130)),NOT(ISNUMBER('Price History'!K129)),'Price History'!K129=0),"",'Price History'!K130/'Price History'!K129-1),"")</f>
        <v>0.0291454227227761</v>
      </c>
      <c r="L129" s="142" t="n">
        <f aca="false">IFERROR(IF(OR(NOT(ISNUMBER('Price History'!L130)),NOT(ISNUMBER('Price History'!L129)),'Price History'!L129=0),"",'Price History'!L130/'Price History'!L129-1),"")</f>
        <v>0.0114167812929848</v>
      </c>
      <c r="M129" s="142" t="n">
        <f aca="false">IFERROR(IF(OR(NOT(ISNUMBER('Price History'!M130)),NOT(ISNUMBER('Price History'!M129)),'Price History'!M129=0),"",'Price History'!M130/'Price History'!M129-1),"")</f>
        <v>0.0392968383325512</v>
      </c>
      <c r="N129" s="142" t="n">
        <f aca="false">IFERROR(IF(OR(NOT(ISNUMBER('Price History'!N130)),NOT(ISNUMBER('Price History'!N129)),'Price History'!N129=0),"",'Price History'!N130/'Price History'!N129-1),"")</f>
        <v>-0.0296457566077279</v>
      </c>
      <c r="O129" s="142" t="n">
        <f aca="false">IFERROR(IF(OR(NOT(ISNUMBER('Price History'!O130)),NOT(ISNUMBER('Price History'!O129)),'Price History'!O129=0),"",'Price History'!O130/'Price History'!O129-1),"")</f>
        <v>0.00562340743344181</v>
      </c>
      <c r="P129" s="142" t="n">
        <f aca="false">IFERROR(IF(OR(NOT(ISNUMBER('Price History'!P130)),NOT(ISNUMBER('Price History'!P129)),'Price History'!P129=0),"",'Price History'!P130/'Price History'!P129-1),"")</f>
        <v>-0.00713220514815527</v>
      </c>
      <c r="Q129" s="142" t="n">
        <f aca="false">IFERROR(IF(OR(NOT(ISNUMBER('Price History'!Q130)),NOT(ISNUMBER('Price History'!Q129)),'Price History'!Q129=0),"",'Price History'!Q130/'Price History'!Q129-1),"")</f>
        <v>0.00678630674106473</v>
      </c>
      <c r="R129" s="142" t="n">
        <f aca="false">IFERROR(IF(OR(NOT(ISNUMBER('Price History'!R130)),NOT(ISNUMBER('Price History'!R129)),'Price History'!R129=0),"",'Price History'!R130/'Price History'!R129-1),"")</f>
        <v>0.0111299754763252</v>
      </c>
      <c r="S129" s="142" t="n">
        <f aca="false">IFERROR(IF(OR(NOT(ISNUMBER('Price History'!S130)),NOT(ISNUMBER('Price History'!S129)),'Price History'!S129=0),"",'Price History'!S130/'Price History'!S129-1),"")</f>
        <v>0.0144631614769439</v>
      </c>
      <c r="T129" s="142" t="n">
        <f aca="false">IFERROR(IF(OR(NOT(ISNUMBER('Price History'!T130)),NOT(ISNUMBER('Price History'!T129)),'Price History'!T129=0),"",'Price History'!T130/'Price History'!T129-1),"")</f>
        <v>0.002</v>
      </c>
      <c r="U129" s="142" t="n">
        <f aca="false">IFERROR(IF(OR(NOT(ISNUMBER('Price History'!U130)),NOT(ISNUMBER('Price History'!U129)),'Price History'!U129=0),"",'Price History'!U130/'Price History'!U129-1),"")</f>
        <v>0</v>
      </c>
      <c r="V129" s="143" t="n">
        <f aca="false">IFERROR(IF(OR(NOT(ISNUMBER('Price History'!V130)),NOT(ISNUMBER('Price History'!V129)),'Price History'!V129=0),"",'Price History'!V130/'Price History'!V129-1),"")</f>
        <v>0.0218635128655904</v>
      </c>
      <c r="W129" s="144" t="n">
        <f aca="false">IFERROR('Price History'!B3+(INDEX('Price History'!B:B,MATCH(9.99E+307,'Returns (Calc)'!$A:$A)+1)-'Price History'!B3)*(ROW()-3)/(MATCH(9.99E+307,'Returns (Calc)'!$A:$A)-3),"")</f>
        <v>296.667215189873</v>
      </c>
      <c r="X129" s="144" t="n">
        <f aca="false">IFERROR('Price History'!C3+(INDEX('Price History'!C:C,MATCH(9.99E+307,'Returns (Calc)'!$A:$A)+1)-'Price History'!C3)*(ROW()-3)/(MATCH(9.99E+307,'Returns (Calc)'!$A:$A)-3),"")</f>
        <v>174.707974683544</v>
      </c>
      <c r="Y129" s="144" t="n">
        <f aca="false">IFERROR('Price History'!D3+(INDEX('Price History'!D:D,MATCH(9.99E+307,'Returns (Calc)'!$A:$A)+1)-'Price History'!D3)*(ROW()-3)/(MATCH(9.99E+307,'Returns (Calc)'!$A:$A)-3),"")</f>
        <v>1606.99607594937</v>
      </c>
      <c r="Z129" s="144" t="n">
        <f aca="false">IFERROR('Price History'!E3+(INDEX('Price History'!E:E,MATCH(9.99E+307,'Returns (Calc)'!$A:$A)+1)-'Price History'!E3)*(ROW()-3)/(MATCH(9.99E+307,'Returns (Calc)'!$A:$A)-3),"")</f>
        <v>299.820506329114</v>
      </c>
      <c r="AA129" s="144" t="n">
        <f aca="false">IFERROR('Price History'!F3+(INDEX('Price History'!F:F,MATCH(9.99E+307,'Returns (Calc)'!$A:$A)+1)-'Price History'!F3)*(ROW()-3)/(MATCH(9.99E+307,'Returns (Calc)'!$A:$A)-3),"")</f>
        <v>223.725063291139</v>
      </c>
      <c r="AB129" s="144" t="n">
        <f aca="false">IFERROR('Price History'!G3+(INDEX('Price History'!G:G,MATCH(9.99E+307,'Returns (Calc)'!$A:$A)+1)-'Price History'!G3)*(ROW()-3)/(MATCH(9.99E+307,'Returns (Calc)'!$A:$A)-3),"")</f>
        <v>173.970506329114</v>
      </c>
      <c r="AC129" s="144" t="n">
        <f aca="false">IFERROR('Price History'!H3+(INDEX('Price History'!H:H,MATCH(9.99E+307,'Returns (Calc)'!$A:$A)+1)-'Price History'!H3)*(ROW()-3)/(MATCH(9.99E+307,'Returns (Calc)'!$A:$A)-3),"")</f>
        <v>871.187721518988</v>
      </c>
      <c r="AD129" s="144" t="n">
        <f aca="false">IFERROR('Price History'!I3+(INDEX('Price History'!I:I,MATCH(9.99E+307,'Returns (Calc)'!$A:$A)+1)-'Price History'!I3)*(ROW()-3)/(MATCH(9.99E+307,'Returns (Calc)'!$A:$A)-3),"")</f>
        <v>195.43253164557</v>
      </c>
      <c r="AE129" s="144" t="n">
        <f aca="false">IFERROR('Price History'!J3+(INDEX('Price History'!J:J,MATCH(9.99E+307,'Returns (Calc)'!$A:$A)+1)-'Price History'!J3)*(ROW()-3)/(MATCH(9.99E+307,'Returns (Calc)'!$A:$A)-3),"")</f>
        <v>125.452784810127</v>
      </c>
      <c r="AF129" s="144" t="n">
        <f aca="false">IFERROR('Price History'!K3+(INDEX('Price History'!K:K,MATCH(9.99E+307,'Returns (Calc)'!$A:$A)+1)-'Price History'!K3)*(ROW()-3)/(MATCH(9.99E+307,'Returns (Calc)'!$A:$A)-3),"")</f>
        <v>153.626962025316</v>
      </c>
      <c r="AG129" s="144" t="n">
        <f aca="false">IFERROR('Price History'!L3+(INDEX('Price History'!L:L,MATCH(9.99E+307,'Returns (Calc)'!$A:$A)+1)-'Price History'!L3)*(ROW()-3)/(MATCH(9.99E+307,'Returns (Calc)'!$A:$A)-3),"")</f>
        <v>394.39417721519</v>
      </c>
      <c r="AH129" s="144" t="n">
        <f aca="false">IFERROR('Price History'!M3+(INDEX('Price History'!M:M,MATCH(9.99E+307,'Returns (Calc)'!$A:$A)+1)-'Price History'!M3)*(ROW()-3)/(MATCH(9.99E+307,'Returns (Calc)'!$A:$A)-3),"")</f>
        <v>208.80582278481</v>
      </c>
      <c r="AI129" s="144" t="n">
        <f aca="false">IFERROR('Price History'!N3+(INDEX('Price History'!N:N,MATCH(9.99E+307,'Returns (Calc)'!$A:$A)+1)-'Price History'!N3)*(ROW()-3)/(MATCH(9.99E+307,'Returns (Calc)'!$A:$A)-3),"")</f>
        <v>473.169493670886</v>
      </c>
      <c r="AJ129" s="144" t="n">
        <f aca="false">IFERROR('Price History'!O3+(INDEX('Price History'!O:O,MATCH(9.99E+307,'Returns (Calc)'!$A:$A)+1)-'Price History'!O3)*(ROW()-3)/(MATCH(9.99E+307,'Returns (Calc)'!$A:$A)-3),"")</f>
        <v>110.972784810127</v>
      </c>
      <c r="AK129" s="144" t="n">
        <f aca="false">IFERROR('Price History'!Q3+(INDEX('Price History'!Q:Q,MATCH(9.99E+307,'Returns (Calc)'!$A:$A)+1)-'Price History'!Q3)*(ROW()-3)/(MATCH(9.99E+307,'Returns (Calc)'!$A:$A)-3),"")</f>
        <v>55.360253164557</v>
      </c>
      <c r="AL129" s="144" t="n">
        <f aca="false">IFERROR('Price History'!R3+(INDEX('Price History'!R:R,MATCH(9.99E+307,'Returns (Calc)'!$A:$A)+1)-'Price History'!R3)*(ROW()-3)/(MATCH(9.99E+307,'Returns (Calc)'!$A:$A)-3),"")</f>
        <v>55.6607594936709</v>
      </c>
      <c r="AM129" s="144" t="n">
        <f aca="false">IFERROR('Price History'!S3+(INDEX('Price History'!S:S,MATCH(9.99E+307,'Returns (Calc)'!$A:$A)+1)-'Price History'!S3)*(ROW()-3)/(MATCH(9.99E+307,'Returns (Calc)'!$A:$A)-3),"")</f>
        <v>133.867974683544</v>
      </c>
      <c r="AN129" s="144" t="n">
        <f aca="false">IFERROR('Price History'!T3+(INDEX('Price History'!T:T,MATCH(9.99E+307,'Returns (Calc)'!$A:$A)+1)-'Price History'!T3)*(ROW()-3)/(MATCH(9.99E+307,'Returns (Calc)'!$A:$A)-3),"")</f>
        <v>46.4367088607595</v>
      </c>
      <c r="AO129" s="145" t="n">
        <f aca="false">IFERROR('Price History'!V3+(INDEX('Price History'!V:V,MATCH(9.99E+307,'Returns (Calc)'!$A:$A)+1)-'Price History'!V3)*(ROW()-3)/(MATCH(9.99E+307,'Returns (Calc)'!$A:$A)-3),"")</f>
        <v>335.33746835443</v>
      </c>
      <c r="AP129" s="143" t="n">
        <f aca="false">IFERROR(IF(OR(NOT(ISNUMBER('Price History'!W130)),NOT(ISNUMBER('Price History'!W129)),'Price History'!W129=0),"",'Price History'!W130/'Price History'!W129-1),"")</f>
        <v>0.00124459583387915</v>
      </c>
      <c r="AQ129" s="143" t="n">
        <f aca="false">IFERROR(IF(OR(NOT(ISNUMBER('Price History'!X130)),NOT(ISNUMBER('Price History'!X129)),'Price History'!X129=0),"",'Price History'!X130/'Price History'!X129-1),"")</f>
        <v>0.00297500991669963</v>
      </c>
      <c r="AR129" s="143" t="n">
        <f aca="false">IFERROR(IF(OR(NOT(ISNUMBER('Price History'!Y130)),NOT(ISNUMBER('Price History'!Y129)),'Price History'!Y129=0),"",'Price History'!Y130/'Price History'!Y129-1),"")</f>
        <v>0.00320341697810989</v>
      </c>
      <c r="AS129" s="143" t="n">
        <f aca="false">IFERROR(IF(OR(NOT(ISNUMBER('Price History'!Z130)),NOT(ISNUMBER('Price History'!Z129)),'Price History'!Z129=0),"",'Price History'!Z130/'Price History'!Z129-1),"")</f>
        <v>0.0881548830111902</v>
      </c>
      <c r="AT129" s="143" t="n">
        <f aca="false">IFERROR(IF(OR(NOT(ISNUMBER('Price History'!AA130)),NOT(ISNUMBER('Price History'!AA129)),'Price History'!AA129=0),"",'Price History'!AA130/'Price History'!AA129-1),"")</f>
        <v>0.0234161571484324</v>
      </c>
    </row>
    <row r="130" customFormat="false" ht="15" hidden="false" customHeight="true" outlineLevel="0" collapsed="false">
      <c r="A130" s="141" t="n">
        <f aca="false">IF('Price History'!A131="","",'Price History'!A131)</f>
        <v>46080</v>
      </c>
      <c r="B130" s="142" t="n">
        <f aca="false">IFERROR(IF(OR(NOT(ISNUMBER('Price History'!B131)),NOT(ISNUMBER('Price History'!B130)),'Price History'!B130=0),"",'Price History'!B131/'Price History'!B130-1),"")</f>
        <v>0.0146939406828817</v>
      </c>
      <c r="C130" s="142" t="n">
        <f aca="false">IFERROR(IF(OR(NOT(ISNUMBER('Price History'!C131)),NOT(ISNUMBER('Price History'!C130)),'Price History'!C130=0),"",'Price History'!C131/'Price History'!C130-1),"")</f>
        <v>0.00534678816175926</v>
      </c>
      <c r="D130" s="142" t="n">
        <f aca="false">IFERROR(IF(OR(NOT(ISNUMBER('Price History'!D131)),NOT(ISNUMBER('Price History'!D130)),'Price History'!D130=0),"",'Price History'!D131/'Price History'!D130-1),"")</f>
        <v>-0.0129464864901775</v>
      </c>
      <c r="E130" s="142" t="n">
        <f aca="false">IFERROR(IF(OR(NOT(ISNUMBER('Price History'!E131)),NOT(ISNUMBER('Price History'!E130)),'Price History'!E130=0),"",'Price History'!E131/'Price History'!E130-1),"")</f>
        <v>-0.0393857872623401</v>
      </c>
      <c r="F130" s="142" t="n">
        <f aca="false">IFERROR(IF(OR(NOT(ISNUMBER('Price History'!F131)),NOT(ISNUMBER('Price History'!F130)),'Price History'!F130=0),"",'Price History'!F131/'Price History'!F130-1),"")</f>
        <v>-0.042717447246526</v>
      </c>
      <c r="G130" s="142" t="n">
        <f aca="false">IFERROR(IF(OR(NOT(ISNUMBER('Price History'!G131)),NOT(ISNUMBER('Price History'!G130)),'Price History'!G130=0),"",'Price History'!G131/'Price History'!G130-1),"")</f>
        <v>0.0190967569016349</v>
      </c>
      <c r="H130" s="142" t="n">
        <f aca="false">IFERROR(IF(OR(NOT(ISNUMBER('Price History'!H131)),NOT(ISNUMBER('Price History'!H130)),'Price History'!H130=0),"",'Price History'!H131/'Price History'!H130-1),"")</f>
        <v>-0.036899420452421</v>
      </c>
      <c r="I130" s="142" t="n">
        <f aca="false">IFERROR(IF(OR(NOT(ISNUMBER('Price History'!I131)),NOT(ISNUMBER('Price History'!I130)),'Price History'!I130=0),"",'Price History'!I131/'Price History'!I130-1),"")</f>
        <v>-0.066532896821206</v>
      </c>
      <c r="J130" s="142" t="n">
        <f aca="false">IFERROR(IF(OR(NOT(ISNUMBER('Price History'!J131)),NOT(ISNUMBER('Price History'!J130)),'Price History'!J130=0),"",'Price History'!J131/'Price History'!J130-1),"")</f>
        <v>0.00752151587473771</v>
      </c>
      <c r="K130" s="142" t="n">
        <f aca="false">IFERROR(IF(OR(NOT(ISNUMBER('Price History'!K131)),NOT(ISNUMBER('Price History'!K130)),'Price History'!K130=0),"",'Price History'!K131/'Price History'!K130-1),"")</f>
        <v>0.014418811002662</v>
      </c>
      <c r="L130" s="142" t="n">
        <f aca="false">IFERROR(IF(OR(NOT(ISNUMBER('Price History'!L131)),NOT(ISNUMBER('Price History'!L130)),'Price History'!L130=0),"",'Price History'!L131/'Price History'!L130-1),"")</f>
        <v>0.0109071127430982</v>
      </c>
      <c r="M130" s="142" t="n">
        <f aca="false">IFERROR(IF(OR(NOT(ISNUMBER('Price History'!M131)),NOT(ISNUMBER('Price History'!M130)),'Price History'!M130=0),"",'Price History'!M131/'Price History'!M130-1),"")</f>
        <v>0.0456934066836356</v>
      </c>
      <c r="N130" s="142" t="n">
        <f aca="false">IFERROR(IF(OR(NOT(ISNUMBER('Price History'!N131)),NOT(ISNUMBER('Price History'!N130)),'Price History'!N130=0),"",'Price History'!N131/'Price History'!N130-1),"")</f>
        <v>0.0417907318096038</v>
      </c>
      <c r="O130" s="142" t="n">
        <f aca="false">IFERROR(IF(OR(NOT(ISNUMBER('Price History'!O131)),NOT(ISNUMBER('Price History'!O130)),'Price History'!O130=0),"",'Price History'!O131/'Price History'!O130-1),"")</f>
        <v>-0.0221930974224552</v>
      </c>
      <c r="P130" s="142" t="n">
        <f aca="false">IFERROR(IF(OR(NOT(ISNUMBER('Price History'!P131)),NOT(ISNUMBER('Price History'!P130)),'Price History'!P130=0),"",'Price History'!P131/'Price History'!P130-1),"")</f>
        <v>-0.0033305034937634</v>
      </c>
      <c r="Q130" s="142" t="n">
        <f aca="false">IFERROR(IF(OR(NOT(ISNUMBER('Price History'!Q131)),NOT(ISNUMBER('Price History'!Q130)),'Price History'!Q130=0),"",'Price History'!Q131/'Price History'!Q130-1),"")</f>
        <v>-0.00569203115638117</v>
      </c>
      <c r="R130" s="142" t="n">
        <f aca="false">IFERROR(IF(OR(NOT(ISNUMBER('Price History'!R131)),NOT(ISNUMBER('Price History'!R130)),'Price History'!R130=0),"",'Price History'!R131/'Price History'!R130-1),"")</f>
        <v>-0.00186567164179108</v>
      </c>
      <c r="S130" s="142" t="n">
        <f aca="false">IFERROR(IF(OR(NOT(ISNUMBER('Price History'!S131)),NOT(ISNUMBER('Price History'!S130)),'Price History'!S130=0),"",'Price History'!S131/'Price History'!S130-1),"")</f>
        <v>-0.00402549480040249</v>
      </c>
      <c r="T130" s="142" t="n">
        <f aca="false">IFERROR(IF(OR(NOT(ISNUMBER('Price History'!T131)),NOT(ISNUMBER('Price History'!T130)),'Price History'!T130=0),"",'Price History'!T131/'Price History'!T130-1),"")</f>
        <v>0.00349301397205593</v>
      </c>
      <c r="U130" s="142" t="n">
        <f aca="false">IFERROR(IF(OR(NOT(ISNUMBER('Price History'!U131)),NOT(ISNUMBER('Price History'!U130)),'Price History'!U130=0),"",'Price History'!U131/'Price History'!U130-1),"")</f>
        <v>0.00518638573743924</v>
      </c>
      <c r="V130" s="143" t="n">
        <f aca="false">IFERROR(IF(OR(NOT(ISNUMBER('Price History'!V131)),NOT(ISNUMBER('Price History'!V130)),'Price History'!V130=0),"",'Price History'!V131/'Price History'!V130-1),"")</f>
        <v>-0.00250242422346647</v>
      </c>
      <c r="W130" s="144" t="n">
        <f aca="false">IFERROR('Price History'!B3+(INDEX('Price History'!B:B,MATCH(9.99E+307,'Returns (Calc)'!$A:$A)+1)-'Price History'!B3)*(ROW()-3)/(MATCH(9.99E+307,'Returns (Calc)'!$A:$A)-3),"")</f>
        <v>294.82417721519</v>
      </c>
      <c r="X130" s="144" t="n">
        <f aca="false">IFERROR('Price History'!C3+(INDEX('Price History'!C:C,MATCH(9.99E+307,'Returns (Calc)'!$A:$A)+1)-'Price History'!C3)*(ROW()-3)/(MATCH(9.99E+307,'Returns (Calc)'!$A:$A)-3),"")</f>
        <v>175.728037974684</v>
      </c>
      <c r="Y130" s="144" t="n">
        <f aca="false">IFERROR('Price History'!D3+(INDEX('Price History'!D:D,MATCH(9.99E+307,'Returns (Calc)'!$A:$A)+1)-'Price History'!D3)*(ROW()-3)/(MATCH(9.99E+307,'Returns (Calc)'!$A:$A)-3),"")</f>
        <v>1615.13088607595</v>
      </c>
      <c r="Z130" s="144" t="n">
        <f aca="false">IFERROR('Price History'!E3+(INDEX('Price History'!E:E,MATCH(9.99E+307,'Returns (Calc)'!$A:$A)+1)-'Price History'!E3)*(ROW()-3)/(MATCH(9.99E+307,'Returns (Calc)'!$A:$A)-3),"")</f>
        <v>301.549240506329</v>
      </c>
      <c r="AA130" s="144" t="n">
        <f aca="false">IFERROR('Price History'!F3+(INDEX('Price History'!F:F,MATCH(9.99E+307,'Returns (Calc)'!$A:$A)+1)-'Price History'!F3)*(ROW()-3)/(MATCH(9.99E+307,'Returns (Calc)'!$A:$A)-3),"")</f>
        <v>225.172405063291</v>
      </c>
      <c r="AB130" s="144" t="n">
        <f aca="false">IFERROR('Price History'!G3+(INDEX('Price History'!G:G,MATCH(9.99E+307,'Returns (Calc)'!$A:$A)+1)-'Price History'!G3)*(ROW()-3)/(MATCH(9.99E+307,'Returns (Calc)'!$A:$A)-3),"")</f>
        <v>174.999240506329</v>
      </c>
      <c r="AC130" s="144" t="n">
        <f aca="false">IFERROR('Price History'!H3+(INDEX('Price History'!H:H,MATCH(9.99E+307,'Returns (Calc)'!$A:$A)+1)-'Price History'!H3)*(ROW()-3)/(MATCH(9.99E+307,'Returns (Calc)'!$A:$A)-3),"")</f>
        <v>877.553417721519</v>
      </c>
      <c r="AD130" s="144" t="n">
        <f aca="false">IFERROR('Price History'!I3+(INDEX('Price History'!I:I,MATCH(9.99E+307,'Returns (Calc)'!$A:$A)+1)-'Price History'!I3)*(ROW()-3)/(MATCH(9.99E+307,'Returns (Calc)'!$A:$A)-3),"")</f>
        <v>196.636202531646</v>
      </c>
      <c r="AE130" s="144" t="n">
        <f aca="false">IFERROR('Price History'!J3+(INDEX('Price History'!J:J,MATCH(9.99E+307,'Returns (Calc)'!$A:$A)+1)-'Price History'!J3)*(ROW()-3)/(MATCH(9.99E+307,'Returns (Calc)'!$A:$A)-3),"")</f>
        <v>125.56082278481</v>
      </c>
      <c r="AF130" s="144" t="n">
        <f aca="false">IFERROR('Price History'!K3+(INDEX('Price History'!K:K,MATCH(9.99E+307,'Returns (Calc)'!$A:$A)+1)-'Price History'!K3)*(ROW()-3)/(MATCH(9.99E+307,'Returns (Calc)'!$A:$A)-3),"")</f>
        <v>154.724556962025</v>
      </c>
      <c r="AG130" s="144" t="n">
        <f aca="false">IFERROR('Price History'!L3+(INDEX('Price History'!L:L,MATCH(9.99E+307,'Returns (Calc)'!$A:$A)+1)-'Price History'!L3)*(ROW()-3)/(MATCH(9.99E+307,'Returns (Calc)'!$A:$A)-3),"")</f>
        <v>396.843734177215</v>
      </c>
      <c r="AH130" s="144" t="n">
        <f aca="false">IFERROR('Price History'!M3+(INDEX('Price History'!M:M,MATCH(9.99E+307,'Returns (Calc)'!$A:$A)+1)-'Price History'!M3)*(ROW()-3)/(MATCH(9.99E+307,'Returns (Calc)'!$A:$A)-3),"")</f>
        <v>210.161265822785</v>
      </c>
      <c r="AI130" s="144" t="n">
        <f aca="false">IFERROR('Price History'!N3+(INDEX('Price History'!N:N,MATCH(9.99E+307,'Returns (Calc)'!$A:$A)+1)-'Price History'!N3)*(ROW()-3)/(MATCH(9.99E+307,'Returns (Calc)'!$A:$A)-3),"")</f>
        <v>474.155759493671</v>
      </c>
      <c r="AJ130" s="144" t="n">
        <f aca="false">IFERROR('Price History'!O3+(INDEX('Price History'!O:O,MATCH(9.99E+307,'Returns (Calc)'!$A:$A)+1)-'Price History'!O3)*(ROW()-3)/(MATCH(9.99E+307,'Returns (Calc)'!$A:$A)-3),"")</f>
        <v>111.25582278481</v>
      </c>
      <c r="AK130" s="144" t="n">
        <f aca="false">IFERROR('Price History'!Q3+(INDEX('Price History'!Q:Q,MATCH(9.99E+307,'Returns (Calc)'!$A:$A)+1)-'Price History'!Q3)*(ROW()-3)/(MATCH(9.99E+307,'Returns (Calc)'!$A:$A)-3),"")</f>
        <v>55.7996202531646</v>
      </c>
      <c r="AL130" s="144" t="n">
        <f aca="false">IFERROR('Price History'!R3+(INDEX('Price History'!R:R,MATCH(9.99E+307,'Returns (Calc)'!$A:$A)+1)-'Price History'!R3)*(ROW()-3)/(MATCH(9.99E+307,'Returns (Calc)'!$A:$A)-3),"")</f>
        <v>55.8288607594937</v>
      </c>
      <c r="AM130" s="144" t="n">
        <f aca="false">IFERROR('Price History'!S3+(INDEX('Price History'!S:S,MATCH(9.99E+307,'Returns (Calc)'!$A:$A)+1)-'Price History'!S3)*(ROW()-3)/(MATCH(9.99E+307,'Returns (Calc)'!$A:$A)-3),"")</f>
        <v>134.473037974684</v>
      </c>
      <c r="AN130" s="144" t="n">
        <f aca="false">IFERROR('Price History'!T3+(INDEX('Price History'!T:T,MATCH(9.99E+307,'Returns (Calc)'!$A:$A)+1)-'Price History'!T3)*(ROW()-3)/(MATCH(9.99E+307,'Returns (Calc)'!$A:$A)-3),"")</f>
        <v>46.6049367088608</v>
      </c>
      <c r="AO130" s="145" t="n">
        <f aca="false">IFERROR('Price History'!V3+(INDEX('Price History'!V:V,MATCH(9.99E+307,'Returns (Calc)'!$A:$A)+1)-'Price History'!V3)*(ROW()-3)/(MATCH(9.99E+307,'Returns (Calc)'!$A:$A)-3),"")</f>
        <v>336.128797468354</v>
      </c>
      <c r="AP130" s="143" t="n">
        <f aca="false">IFERROR(IF(OR(NOT(ISNUMBER('Price History'!W131)),NOT(ISNUMBER('Price History'!W130)),'Price History'!W130=0),"",'Price History'!W131/'Price History'!W130-1),"")</f>
        <v>-0.00327118089630352</v>
      </c>
      <c r="AQ130" s="143" t="n">
        <f aca="false">IFERROR(IF(OR(NOT(ISNUMBER('Price History'!X131)),NOT(ISNUMBER('Price History'!X130)),'Price History'!X130=0),"",'Price History'!X131/'Price History'!X130-1),"")</f>
        <v>0.0100850306505833</v>
      </c>
      <c r="AR130" s="143" t="n">
        <f aca="false">IFERROR(IF(OR(NOT(ISNUMBER('Price History'!Y131)),NOT(ISNUMBER('Price History'!Y130)),'Price History'!Y130=0),"",'Price History'!Y131/'Price History'!Y130-1),"")</f>
        <v>0.00638637573177214</v>
      </c>
      <c r="AS130" s="143" t="n">
        <f aca="false">IFERROR(IF(OR(NOT(ISNUMBER('Price History'!Z131)),NOT(ISNUMBER('Price History'!Z130)),'Price History'!Z130=0),"",'Price History'!Z131/'Price History'!Z130-1),"")</f>
        <v>-0.00277542434777545</v>
      </c>
      <c r="AT130" s="143" t="n">
        <f aca="false">IFERROR(IF(OR(NOT(ISNUMBER('Price History'!AA131)),NOT(ISNUMBER('Price History'!AA130)),'Price History'!AA130=0),"",'Price History'!AA131/'Price History'!AA130-1),"")</f>
        <v>0.22333799415279</v>
      </c>
    </row>
    <row r="131" customFormat="false" ht="15" hidden="false" customHeight="true" outlineLevel="0" collapsed="false">
      <c r="A131" s="141" t="n">
        <f aca="false">IF('Price History'!A132="","",'Price History'!A132)</f>
        <v>46087</v>
      </c>
      <c r="B131" s="142" t="n">
        <f aca="false">IFERROR(IF(OR(NOT(ISNUMBER('Price History'!B132)),NOT(ISNUMBER('Price History'!B131)),'Price History'!B131=0),"",'Price History'!B132/'Price History'!B131-1),"")</f>
        <v>0.0808277123585228</v>
      </c>
      <c r="C131" s="142" t="n">
        <f aca="false">IFERROR(IF(OR(NOT(ISNUMBER('Price History'!C132)),NOT(ISNUMBER('Price History'!C131)),'Price History'!C131=0),"",'Price History'!C132/'Price History'!C131-1),"")</f>
        <v>-0.0045692883895132</v>
      </c>
      <c r="D131" s="142" t="n">
        <f aca="false">IFERROR(IF(OR(NOT(ISNUMBER('Price History'!D132)),NOT(ISNUMBER('Price History'!D131)),'Price History'!D131=0),"",'Price History'!D132/'Price History'!D131-1),"")</f>
        <v>-0.108755958022317</v>
      </c>
      <c r="E131" s="142" t="n">
        <f aca="false">IFERROR(IF(OR(NOT(ISNUMBER('Price History'!E132)),NOT(ISNUMBER('Price History'!E131)),'Price History'!E131=0),"",'Price History'!E132/'Price History'!E131-1),"")</f>
        <v>0.0342039018250473</v>
      </c>
      <c r="F131" s="142" t="n">
        <f aca="false">IFERROR(IF(OR(NOT(ISNUMBER('Price History'!F132)),NOT(ISNUMBER('Price History'!F131)),'Price History'!F131=0),"",'Price History'!F132/'Price History'!F131-1),"")</f>
        <v>0.153225806451613</v>
      </c>
      <c r="G131" s="142" t="n">
        <f aca="false">IFERROR(IF(OR(NOT(ISNUMBER('Price History'!G132)),NOT(ISNUMBER('Price History'!G131)),'Price History'!G131=0),"",'Price History'!G132/'Price History'!G131-1),"")</f>
        <v>-0.118087974225787</v>
      </c>
      <c r="H131" s="142" t="n">
        <f aca="false">IFERROR(IF(OR(NOT(ISNUMBER('Price History'!H132)),NOT(ISNUMBER('Price History'!H131)),'Price History'!H131=0),"",'Price History'!H132/'Price History'!H131-1),"")</f>
        <v>-0.102006648387645</v>
      </c>
      <c r="I131" s="142" t="n">
        <f aca="false">IFERROR(IF(OR(NOT(ISNUMBER('Price History'!I132)),NOT(ISNUMBER('Price History'!I131)),'Price History'!I131=0),"",'Price History'!I132/'Price History'!I131-1),"")</f>
        <v>0.00350718407059625</v>
      </c>
      <c r="J131" s="142" t="n">
        <f aca="false">IFERROR(IF(OR(NOT(ISNUMBER('Price History'!J132)),NOT(ISNUMBER('Price History'!J131)),'Price History'!J131=0),"",'Price History'!J132/'Price History'!J131-1),"")</f>
        <v>-0.0563491493790825</v>
      </c>
      <c r="K131" s="142" t="n">
        <f aca="false">IFERROR(IF(OR(NOT(ISNUMBER('Price History'!K132)),NOT(ISNUMBER('Price History'!K131)),'Price History'!K131=0),"",'Price History'!K132/'Price History'!K131-1),"")</f>
        <v>0.145564545520811</v>
      </c>
      <c r="L131" s="142" t="n">
        <f aca="false">IFERROR(IF(OR(NOT(ISNUMBER('Price History'!L132)),NOT(ISNUMBER('Price History'!L131)),'Price History'!L131=0),"",'Price History'!L132/'Price History'!L131-1),"")</f>
        <v>-0.0952752515740193</v>
      </c>
      <c r="M131" s="142" t="n">
        <f aca="false">IFERROR(IF(OR(NOT(ISNUMBER('Price History'!M132)),NOT(ISNUMBER('Price History'!M131)),'Price History'!M131=0),"",'Price History'!M132/'Price History'!M131-1),"")</f>
        <v>-0.051431039221075</v>
      </c>
      <c r="N131" s="142" t="n">
        <f aca="false">IFERROR(IF(OR(NOT(ISNUMBER('Price History'!N132)),NOT(ISNUMBER('Price History'!N131)),'Price History'!N131=0),"",'Price History'!N132/'Price History'!N131-1),"")</f>
        <v>-0.0807922226918664</v>
      </c>
      <c r="O131" s="142" t="n">
        <f aca="false">IFERROR(IF(OR(NOT(ISNUMBER('Price History'!O132)),NOT(ISNUMBER('Price History'!O131)),'Price History'!O131=0),"",'Price History'!O132/'Price History'!O131-1),"")</f>
        <v>-0.0383343758377267</v>
      </c>
      <c r="P131" s="142" t="n">
        <f aca="false">IFERROR(IF(OR(NOT(ISNUMBER('Price History'!P132)),NOT(ISNUMBER('Price History'!P131)),'Price History'!P131=0),"",'Price History'!P132/'Price History'!P131-1),"")</f>
        <v>-0.0247018739352641</v>
      </c>
      <c r="Q131" s="142" t="n">
        <f aca="false">IFERROR(IF(OR(NOT(ISNUMBER('Price History'!Q132)),NOT(ISNUMBER('Price History'!Q131)),'Price History'!Q131=0),"",'Price History'!Q132/'Price History'!Q131-1),"")</f>
        <v>-0.0112985839108165</v>
      </c>
      <c r="R131" s="142" t="n">
        <f aca="false">IFERROR(IF(OR(NOT(ISNUMBER('Price History'!R132)),NOT(ISNUMBER('Price History'!R131)),'Price History'!R131=0),"",'Price History'!R132/'Price History'!R131-1),"")</f>
        <v>-0.0119626168224299</v>
      </c>
      <c r="S131" s="142" t="n">
        <f aca="false">IFERROR(IF(OR(NOT(ISNUMBER('Price History'!S132)),NOT(ISNUMBER('Price History'!S131)),'Price History'!S131=0),"",'Price History'!S132/'Price History'!S131-1),"")</f>
        <v>-0.0103570225665207</v>
      </c>
      <c r="T131" s="142" t="n">
        <f aca="false">IFERROR(IF(OR(NOT(ISNUMBER('Price History'!T132)),NOT(ISNUMBER('Price History'!T131)),'Price History'!T131=0),"",'Price History'!T132/'Price History'!T131-1),"")</f>
        <v>-0.00919940328194924</v>
      </c>
      <c r="U131" s="142" t="n">
        <f aca="false">IFERROR(IF(OR(NOT(ISNUMBER('Price History'!U132)),NOT(ISNUMBER('Price History'!U131)),'Price History'!U131=0),"",'Price History'!U132/'Price History'!U131-1),"")</f>
        <v>-0.0203160270880361</v>
      </c>
      <c r="V131" s="143" t="n">
        <f aca="false">IFERROR(IF(OR(NOT(ISNUMBER('Price History'!V132)),NOT(ISNUMBER('Price History'!V131)),'Price History'!V131=0),"",'Price History'!V132/'Price History'!V131-1),"")</f>
        <v>-0.00868638088369023</v>
      </c>
      <c r="W131" s="144" t="n">
        <f aca="false">IFERROR('Price History'!B3+(INDEX('Price History'!B:B,MATCH(9.99E+307,'Returns (Calc)'!$A:$A)+1)-'Price History'!B3)*(ROW()-3)/(MATCH(9.99E+307,'Returns (Calc)'!$A:$A)-3),"")</f>
        <v>292.981139240506</v>
      </c>
      <c r="X131" s="144" t="n">
        <f aca="false">IFERROR('Price History'!C3+(INDEX('Price History'!C:C,MATCH(9.99E+307,'Returns (Calc)'!$A:$A)+1)-'Price History'!C3)*(ROW()-3)/(MATCH(9.99E+307,'Returns (Calc)'!$A:$A)-3),"")</f>
        <v>176.748101265823</v>
      </c>
      <c r="Y131" s="144" t="n">
        <f aca="false">IFERROR('Price History'!D3+(INDEX('Price History'!D:D,MATCH(9.99E+307,'Returns (Calc)'!$A:$A)+1)-'Price History'!D3)*(ROW()-3)/(MATCH(9.99E+307,'Returns (Calc)'!$A:$A)-3),"")</f>
        <v>1623.26569620253</v>
      </c>
      <c r="Z131" s="144" t="n">
        <f aca="false">IFERROR('Price History'!E3+(INDEX('Price History'!E:E,MATCH(9.99E+307,'Returns (Calc)'!$A:$A)+1)-'Price History'!E3)*(ROW()-3)/(MATCH(9.99E+307,'Returns (Calc)'!$A:$A)-3),"")</f>
        <v>303.277974683544</v>
      </c>
      <c r="AA131" s="144" t="n">
        <f aca="false">IFERROR('Price History'!F3+(INDEX('Price History'!F:F,MATCH(9.99E+307,'Returns (Calc)'!$A:$A)+1)-'Price History'!F3)*(ROW()-3)/(MATCH(9.99E+307,'Returns (Calc)'!$A:$A)-3),"")</f>
        <v>226.619746835443</v>
      </c>
      <c r="AB131" s="144" t="n">
        <f aca="false">IFERROR('Price History'!G3+(INDEX('Price History'!G:G,MATCH(9.99E+307,'Returns (Calc)'!$A:$A)+1)-'Price History'!G3)*(ROW()-3)/(MATCH(9.99E+307,'Returns (Calc)'!$A:$A)-3),"")</f>
        <v>176.027974683544</v>
      </c>
      <c r="AC131" s="144" t="n">
        <f aca="false">IFERROR('Price History'!H3+(INDEX('Price History'!H:H,MATCH(9.99E+307,'Returns (Calc)'!$A:$A)+1)-'Price History'!H3)*(ROW()-3)/(MATCH(9.99E+307,'Returns (Calc)'!$A:$A)-3),"")</f>
        <v>883.919113924051</v>
      </c>
      <c r="AD131" s="144" t="n">
        <f aca="false">IFERROR('Price History'!I3+(INDEX('Price History'!I:I,MATCH(9.99E+307,'Returns (Calc)'!$A:$A)+1)-'Price History'!I3)*(ROW()-3)/(MATCH(9.99E+307,'Returns (Calc)'!$A:$A)-3),"")</f>
        <v>197.839873417722</v>
      </c>
      <c r="AE131" s="144" t="n">
        <f aca="false">IFERROR('Price History'!J3+(INDEX('Price History'!J:J,MATCH(9.99E+307,'Returns (Calc)'!$A:$A)+1)-'Price History'!J3)*(ROW()-3)/(MATCH(9.99E+307,'Returns (Calc)'!$A:$A)-3),"")</f>
        <v>125.668860759494</v>
      </c>
      <c r="AF131" s="144" t="n">
        <f aca="false">IFERROR('Price History'!K3+(INDEX('Price History'!K:K,MATCH(9.99E+307,'Returns (Calc)'!$A:$A)+1)-'Price History'!K3)*(ROW()-3)/(MATCH(9.99E+307,'Returns (Calc)'!$A:$A)-3),"")</f>
        <v>155.822151898734</v>
      </c>
      <c r="AG131" s="144" t="n">
        <f aca="false">IFERROR('Price History'!L3+(INDEX('Price History'!L:L,MATCH(9.99E+307,'Returns (Calc)'!$A:$A)+1)-'Price History'!L3)*(ROW()-3)/(MATCH(9.99E+307,'Returns (Calc)'!$A:$A)-3),"")</f>
        <v>399.29329113924</v>
      </c>
      <c r="AH131" s="144" t="n">
        <f aca="false">IFERROR('Price History'!M3+(INDEX('Price History'!M:M,MATCH(9.99E+307,'Returns (Calc)'!$A:$A)+1)-'Price History'!M3)*(ROW()-3)/(MATCH(9.99E+307,'Returns (Calc)'!$A:$A)-3),"")</f>
        <v>211.51670886076</v>
      </c>
      <c r="AI131" s="144" t="n">
        <f aca="false">IFERROR('Price History'!N3+(INDEX('Price History'!N:N,MATCH(9.99E+307,'Returns (Calc)'!$A:$A)+1)-'Price History'!N3)*(ROW()-3)/(MATCH(9.99E+307,'Returns (Calc)'!$A:$A)-3),"")</f>
        <v>475.142025316456</v>
      </c>
      <c r="AJ131" s="144" t="n">
        <f aca="false">IFERROR('Price History'!O3+(INDEX('Price History'!O:O,MATCH(9.99E+307,'Returns (Calc)'!$A:$A)+1)-'Price History'!O3)*(ROW()-3)/(MATCH(9.99E+307,'Returns (Calc)'!$A:$A)-3),"")</f>
        <v>111.538860759494</v>
      </c>
      <c r="AK131" s="144" t="n">
        <f aca="false">IFERROR('Price History'!Q3+(INDEX('Price History'!Q:Q,MATCH(9.99E+307,'Returns (Calc)'!$A:$A)+1)-'Price History'!Q3)*(ROW()-3)/(MATCH(9.99E+307,'Returns (Calc)'!$A:$A)-3),"")</f>
        <v>56.2389873417722</v>
      </c>
      <c r="AL131" s="144" t="n">
        <f aca="false">IFERROR('Price History'!R3+(INDEX('Price History'!R:R,MATCH(9.99E+307,'Returns (Calc)'!$A:$A)+1)-'Price History'!R3)*(ROW()-3)/(MATCH(9.99E+307,'Returns (Calc)'!$A:$A)-3),"")</f>
        <v>55.9969620253165</v>
      </c>
      <c r="AM131" s="144" t="n">
        <f aca="false">IFERROR('Price History'!S3+(INDEX('Price History'!S:S,MATCH(9.99E+307,'Returns (Calc)'!$A:$A)+1)-'Price History'!S3)*(ROW()-3)/(MATCH(9.99E+307,'Returns (Calc)'!$A:$A)-3),"")</f>
        <v>135.078101265823</v>
      </c>
      <c r="AN131" s="144" t="n">
        <f aca="false">IFERROR('Price History'!T3+(INDEX('Price History'!T:T,MATCH(9.99E+307,'Returns (Calc)'!$A:$A)+1)-'Price History'!T3)*(ROW()-3)/(MATCH(9.99E+307,'Returns (Calc)'!$A:$A)-3),"")</f>
        <v>46.773164556962</v>
      </c>
      <c r="AO131" s="145" t="n">
        <f aca="false">IFERROR('Price History'!V3+(INDEX('Price History'!V:V,MATCH(9.99E+307,'Returns (Calc)'!$A:$A)+1)-'Price History'!V3)*(ROW()-3)/(MATCH(9.99E+307,'Returns (Calc)'!$A:$A)-3),"")</f>
        <v>336.920126582279</v>
      </c>
      <c r="AP131" s="143" t="n">
        <f aca="false">IFERROR(IF(OR(NOT(ISNUMBER('Price History'!W132)),NOT(ISNUMBER('Price History'!W131)),'Price History'!W131=0),"",'Price History'!W132/'Price History'!W131-1),"")</f>
        <v>-0.0278306531014111</v>
      </c>
      <c r="AQ131" s="143" t="n">
        <f aca="false">IFERROR(IF(OR(NOT(ISNUMBER('Price History'!X132)),NOT(ISNUMBER('Price History'!X131)),'Price History'!X131=0),"",'Price History'!X132/'Price History'!X131-1),"")</f>
        <v>0.00998433829287393</v>
      </c>
      <c r="AR131" s="143" t="n">
        <f aca="false">IFERROR(IF(OR(NOT(ISNUMBER('Price History'!Y132)),NOT(ISNUMBER('Price History'!Y131)),'Price History'!Y131=0),"",'Price History'!Y132/'Price History'!Y131-1),"")</f>
        <v>-0.024149479992949</v>
      </c>
      <c r="AS131" s="143" t="n">
        <f aca="false">IFERROR(IF(OR(NOT(ISNUMBER('Price History'!Z132)),NOT(ISNUMBER('Price History'!Z131)),'Price History'!Z131=0),"",'Price History'!Z132/'Price History'!Z131-1),"")</f>
        <v>-0.0559559383605788</v>
      </c>
      <c r="AT131" s="143" t="n">
        <f aca="false">IFERROR(IF(OR(NOT(ISNUMBER('Price History'!AA132)),NOT(ISNUMBER('Price History'!AA131)),'Price History'!AA131=0),"",'Price History'!AA132/'Price History'!AA131-1),"")</f>
        <v>0.0288861180382378</v>
      </c>
    </row>
    <row r="132" customFormat="false" ht="15" hidden="false" customHeight="true" outlineLevel="0" collapsed="false">
      <c r="A132" s="141" t="n">
        <f aca="false">IF('Price History'!A133="","",'Price History'!A133)</f>
        <v>46094</v>
      </c>
      <c r="B132" s="142" t="n">
        <f aca="false">IFERROR(IF(OR(NOT(ISNUMBER('Price History'!B133)),NOT(ISNUMBER('Price History'!B132)),'Price History'!B132=0),"",'Price History'!B133/'Price History'!B132-1),"")</f>
        <v>-0.120936464283196</v>
      </c>
      <c r="C132" s="142" t="n">
        <f aca="false">IFERROR(IF(OR(NOT(ISNUMBER('Price History'!C133)),NOT(ISNUMBER('Price History'!C132)),'Price History'!C132=0),"",'Price History'!C133/'Price History'!C132-1),"")</f>
        <v>0.00511701407178866</v>
      </c>
      <c r="D132" s="142" t="n">
        <f aca="false">IFERROR(IF(OR(NOT(ISNUMBER('Price History'!D133)),NOT(ISNUMBER('Price History'!D132)),'Price History'!D132=0),"",'Price History'!D133/'Price History'!D132-1),"")</f>
        <v>0.0409059860904124</v>
      </c>
      <c r="E132" s="142" t="n">
        <f aca="false">IFERROR(IF(OR(NOT(ISNUMBER('Price History'!E133)),NOT(ISNUMBER('Price History'!E132)),'Price History'!E132=0),"",'Price History'!E133/'Price History'!E132-1),"")</f>
        <v>-0.0251924422673199</v>
      </c>
      <c r="F132" s="142" t="n">
        <f aca="false">IFERROR(IF(OR(NOT(ISNUMBER('Price History'!F133)),NOT(ISNUMBER('Price History'!F132)),'Price History'!F132=0),"",'Price History'!F133/'Price History'!F132-1),"")</f>
        <v>0.0297435897435898</v>
      </c>
      <c r="G132" s="142" t="n">
        <f aca="false">IFERROR(IF(OR(NOT(ISNUMBER('Price History'!G133)),NOT(ISNUMBER('Price History'!G132)),'Price History'!G132=0),"",'Price History'!G133/'Price History'!G132-1),"")</f>
        <v>0.0550958025795871</v>
      </c>
      <c r="H132" s="142" t="n">
        <f aca="false">IFERROR(IF(OR(NOT(ISNUMBER('Price History'!H133)),NOT(ISNUMBER('Price History'!H132)),'Price History'!H132=0),"",'Price History'!H133/'Price History'!H132-1),"")</f>
        <v>0.150774136020968</v>
      </c>
      <c r="I132" s="142" t="n">
        <f aca="false">IFERROR(IF(OR(NOT(ISNUMBER('Price History'!I133)),NOT(ISNUMBER('Price History'!I132)),'Price History'!I132=0),"",'Price History'!I133/'Price History'!I132-1),"")</f>
        <v>0.0137542277339346</v>
      </c>
      <c r="J132" s="142" t="n">
        <f aca="false">IFERROR(IF(OR(NOT(ISNUMBER('Price History'!J133)),NOT(ISNUMBER('Price History'!J132)),'Price History'!J132=0),"",'Price History'!J133/'Price History'!J132-1),"")</f>
        <v>-0.0207667731629394</v>
      </c>
      <c r="K132" s="142" t="n">
        <f aca="false">IFERROR(IF(OR(NOT(ISNUMBER('Price History'!K133)),NOT(ISNUMBER('Price History'!K132)),'Price History'!K132=0),"",'Price History'!K133/'Price History'!K132-1),"")</f>
        <v>-0.0395138712140495</v>
      </c>
      <c r="L132" s="142" t="n">
        <f aca="false">IFERROR(IF(OR(NOT(ISNUMBER('Price History'!L133)),NOT(ISNUMBER('Price History'!L132)),'Price History'!L132=0),"",'Price History'!L133/'Price History'!L132-1),"")</f>
        <v>-0.00172490706319695</v>
      </c>
      <c r="M132" s="142" t="n">
        <f aca="false">IFERROR(IF(OR(NOT(ISNUMBER('Price History'!M133)),NOT(ISNUMBER('Price History'!M132)),'Price History'!M132=0),"",'Price History'!M133/'Price History'!M132-1),"")</f>
        <v>0.0707338272422498</v>
      </c>
      <c r="N132" s="142" t="n">
        <f aca="false">IFERROR(IF(OR(NOT(ISNUMBER('Price History'!N133)),NOT(ISNUMBER('Price History'!N132)),'Price History'!N132=0),"",'Price History'!N133/'Price History'!N132-1),"")</f>
        <v>0.0276993146335589</v>
      </c>
      <c r="O132" s="142" t="n">
        <f aca="false">IFERROR(IF(OR(NOT(ISNUMBER('Price History'!O133)),NOT(ISNUMBER('Price History'!O132)),'Price History'!O132=0),"",'Price History'!O133/'Price History'!O132-1),"")</f>
        <v>-0.0191414235272255</v>
      </c>
      <c r="P132" s="142" t="n">
        <f aca="false">IFERROR(IF(OR(NOT(ISNUMBER('Price History'!P133)),NOT(ISNUMBER('Price History'!P132)),'Price History'!P132=0),"",'Price History'!P133/'Price History'!P132-1),"")</f>
        <v>-0.0121598925092375</v>
      </c>
      <c r="Q132" s="142" t="n">
        <f aca="false">IFERROR(IF(OR(NOT(ISNUMBER('Price History'!Q133)),NOT(ISNUMBER('Price History'!Q132)),'Price History'!Q132=0),"",'Price History'!Q133/'Price History'!Q132-1),"")</f>
        <v>-0.0134085022093554</v>
      </c>
      <c r="R132" s="142" t="n">
        <f aca="false">IFERROR(IF(OR(NOT(ISNUMBER('Price History'!R133)),NOT(ISNUMBER('Price History'!R132)),'Price History'!R132=0),"",'Price History'!R133/'Price History'!R132-1),"")</f>
        <v>-0.00510783200908049</v>
      </c>
      <c r="S132" s="142" t="n">
        <f aca="false">IFERROR(IF(OR(NOT(ISNUMBER('Price History'!S133)),NOT(ISNUMBER('Price History'!S132)),'Price History'!S132=0),"",'Price History'!S133/'Price History'!S132-1),"")</f>
        <v>-0.0173572704841317</v>
      </c>
      <c r="T132" s="142" t="n">
        <f aca="false">IFERROR(IF(OR(NOT(ISNUMBER('Price History'!T133)),NOT(ISNUMBER('Price History'!T132)),'Price History'!T132=0),"",'Price History'!T133/'Price History'!T132-1),"")</f>
        <v>-0.0215809284818067</v>
      </c>
      <c r="U132" s="142" t="n">
        <f aca="false">IFERROR(IF(OR(NOT(ISNUMBER('Price History'!U133)),NOT(ISNUMBER('Price History'!U132)),'Price History'!U132=0),"",'Price History'!U133/'Price History'!U132-1),"")</f>
        <v>-0.010533245556287</v>
      </c>
      <c r="V132" s="143" t="n">
        <f aca="false">IFERROR(IF(OR(NOT(ISNUMBER('Price History'!V133)),NOT(ISNUMBER('Price History'!V132)),'Price History'!V132=0),"",'Price History'!V133/'Price History'!V132-1),"")</f>
        <v>-0.0322029609009237</v>
      </c>
      <c r="W132" s="144" t="n">
        <f aca="false">IFERROR('Price History'!B3+(INDEX('Price History'!B:B,MATCH(9.99E+307,'Returns (Calc)'!$A:$A)+1)-'Price History'!B3)*(ROW()-3)/(MATCH(9.99E+307,'Returns (Calc)'!$A:$A)-3),"")</f>
        <v>291.138101265823</v>
      </c>
      <c r="X132" s="144" t="n">
        <f aca="false">IFERROR('Price History'!C3+(INDEX('Price History'!C:C,MATCH(9.99E+307,'Returns (Calc)'!$A:$A)+1)-'Price History'!C3)*(ROW()-3)/(MATCH(9.99E+307,'Returns (Calc)'!$A:$A)-3),"")</f>
        <v>177.768164556962</v>
      </c>
      <c r="Y132" s="144" t="n">
        <f aca="false">IFERROR('Price History'!D3+(INDEX('Price History'!D:D,MATCH(9.99E+307,'Returns (Calc)'!$A:$A)+1)-'Price History'!D3)*(ROW()-3)/(MATCH(9.99E+307,'Returns (Calc)'!$A:$A)-3),"")</f>
        <v>1631.40050632911</v>
      </c>
      <c r="Z132" s="144" t="n">
        <f aca="false">IFERROR('Price History'!E3+(INDEX('Price History'!E:E,MATCH(9.99E+307,'Returns (Calc)'!$A:$A)+1)-'Price History'!E3)*(ROW()-3)/(MATCH(9.99E+307,'Returns (Calc)'!$A:$A)-3),"")</f>
        <v>305.00670886076</v>
      </c>
      <c r="AA132" s="144" t="n">
        <f aca="false">IFERROR('Price History'!F3+(INDEX('Price History'!F:F,MATCH(9.99E+307,'Returns (Calc)'!$A:$A)+1)-'Price History'!F3)*(ROW()-3)/(MATCH(9.99E+307,'Returns (Calc)'!$A:$A)-3),"")</f>
        <v>228.067088607595</v>
      </c>
      <c r="AB132" s="144" t="n">
        <f aca="false">IFERROR('Price History'!G3+(INDEX('Price History'!G:G,MATCH(9.99E+307,'Returns (Calc)'!$A:$A)+1)-'Price History'!G3)*(ROW()-3)/(MATCH(9.99E+307,'Returns (Calc)'!$A:$A)-3),"")</f>
        <v>177.05670886076</v>
      </c>
      <c r="AC132" s="144" t="n">
        <f aca="false">IFERROR('Price History'!H3+(INDEX('Price History'!H:H,MATCH(9.99E+307,'Returns (Calc)'!$A:$A)+1)-'Price History'!H3)*(ROW()-3)/(MATCH(9.99E+307,'Returns (Calc)'!$A:$A)-3),"")</f>
        <v>890.284810126582</v>
      </c>
      <c r="AD132" s="144" t="n">
        <f aca="false">IFERROR('Price History'!I3+(INDEX('Price History'!I:I,MATCH(9.99E+307,'Returns (Calc)'!$A:$A)+1)-'Price History'!I3)*(ROW()-3)/(MATCH(9.99E+307,'Returns (Calc)'!$A:$A)-3),"")</f>
        <v>199.043544303797</v>
      </c>
      <c r="AE132" s="144" t="n">
        <f aca="false">IFERROR('Price History'!J3+(INDEX('Price History'!J:J,MATCH(9.99E+307,'Returns (Calc)'!$A:$A)+1)-'Price History'!J3)*(ROW()-3)/(MATCH(9.99E+307,'Returns (Calc)'!$A:$A)-3),"")</f>
        <v>125.776898734177</v>
      </c>
      <c r="AF132" s="144" t="n">
        <f aca="false">IFERROR('Price History'!K3+(INDEX('Price History'!K:K,MATCH(9.99E+307,'Returns (Calc)'!$A:$A)+1)-'Price History'!K3)*(ROW()-3)/(MATCH(9.99E+307,'Returns (Calc)'!$A:$A)-3),"")</f>
        <v>156.919746835443</v>
      </c>
      <c r="AG132" s="144" t="n">
        <f aca="false">IFERROR('Price History'!L3+(INDEX('Price History'!L:L,MATCH(9.99E+307,'Returns (Calc)'!$A:$A)+1)-'Price History'!L3)*(ROW()-3)/(MATCH(9.99E+307,'Returns (Calc)'!$A:$A)-3),"")</f>
        <v>401.742848101266</v>
      </c>
      <c r="AH132" s="144" t="n">
        <f aca="false">IFERROR('Price History'!M3+(INDEX('Price History'!M:M,MATCH(9.99E+307,'Returns (Calc)'!$A:$A)+1)-'Price History'!M3)*(ROW()-3)/(MATCH(9.99E+307,'Returns (Calc)'!$A:$A)-3),"")</f>
        <v>212.872151898734</v>
      </c>
      <c r="AI132" s="144" t="n">
        <f aca="false">IFERROR('Price History'!N3+(INDEX('Price History'!N:N,MATCH(9.99E+307,'Returns (Calc)'!$A:$A)+1)-'Price History'!N3)*(ROW()-3)/(MATCH(9.99E+307,'Returns (Calc)'!$A:$A)-3),"")</f>
        <v>476.128291139241</v>
      </c>
      <c r="AJ132" s="144" t="n">
        <f aca="false">IFERROR('Price History'!O3+(INDEX('Price History'!O:O,MATCH(9.99E+307,'Returns (Calc)'!$A:$A)+1)-'Price History'!O3)*(ROW()-3)/(MATCH(9.99E+307,'Returns (Calc)'!$A:$A)-3),"")</f>
        <v>111.821898734177</v>
      </c>
      <c r="AK132" s="144" t="n">
        <f aca="false">IFERROR('Price History'!Q3+(INDEX('Price History'!Q:Q,MATCH(9.99E+307,'Returns (Calc)'!$A:$A)+1)-'Price History'!Q3)*(ROW()-3)/(MATCH(9.99E+307,'Returns (Calc)'!$A:$A)-3),"")</f>
        <v>56.6783544303798</v>
      </c>
      <c r="AL132" s="144" t="n">
        <f aca="false">IFERROR('Price History'!R3+(INDEX('Price History'!R:R,MATCH(9.99E+307,'Returns (Calc)'!$A:$A)+1)-'Price History'!R3)*(ROW()-3)/(MATCH(9.99E+307,'Returns (Calc)'!$A:$A)-3),"")</f>
        <v>56.1650632911392</v>
      </c>
      <c r="AM132" s="144" t="n">
        <f aca="false">IFERROR('Price History'!S3+(INDEX('Price History'!S:S,MATCH(9.99E+307,'Returns (Calc)'!$A:$A)+1)-'Price History'!S3)*(ROW()-3)/(MATCH(9.99E+307,'Returns (Calc)'!$A:$A)-3),"")</f>
        <v>135.683164556962</v>
      </c>
      <c r="AN132" s="144" t="n">
        <f aca="false">IFERROR('Price History'!T3+(INDEX('Price History'!T:T,MATCH(9.99E+307,'Returns (Calc)'!$A:$A)+1)-'Price History'!T3)*(ROW()-3)/(MATCH(9.99E+307,'Returns (Calc)'!$A:$A)-3),"")</f>
        <v>46.9413924050633</v>
      </c>
      <c r="AO132" s="145" t="n">
        <f aca="false">IFERROR('Price History'!V3+(INDEX('Price History'!V:V,MATCH(9.99E+307,'Returns (Calc)'!$A:$A)+1)-'Price History'!V3)*(ROW()-3)/(MATCH(9.99E+307,'Returns (Calc)'!$A:$A)-3),"")</f>
        <v>337.711455696203</v>
      </c>
      <c r="AP132" s="143" t="n">
        <f aca="false">IFERROR(IF(OR(NOT(ISNUMBER('Price History'!W133)),NOT(ISNUMBER('Price History'!W132)),'Price History'!W132=0),"",'Price History'!W133/'Price History'!W132-1),"")</f>
        <v>-0.0153264465599893</v>
      </c>
      <c r="AQ132" s="143" t="n">
        <f aca="false">IFERROR(IF(OR(NOT(ISNUMBER('Price History'!X133)),NOT(ISNUMBER('Price History'!X132)),'Price History'!X132=0),"",'Price History'!X133/'Price History'!X132-1),"")</f>
        <v>-0.00426439232409392</v>
      </c>
      <c r="AR132" s="143" t="n">
        <f aca="false">IFERROR(IF(OR(NOT(ISNUMBER('Price History'!Y133)),NOT(ISNUMBER('Price History'!Y132)),'Price History'!Y132=0),"",'Price History'!Y133/'Price History'!Y132-1),"")</f>
        <v>-0.0171604046242775</v>
      </c>
      <c r="AS132" s="143" t="n">
        <f aca="false">IFERROR(IF(OR(NOT(ISNUMBER('Price History'!Z133)),NOT(ISNUMBER('Price History'!Z132)),'Price History'!Z132=0),"",'Price History'!Z133/'Price History'!Z132-1),"")</f>
        <v>-0.0711271102284012</v>
      </c>
      <c r="AT132" s="143" t="n">
        <f aca="false">IFERROR(IF(OR(NOT(ISNUMBER('Price History'!AA133)),NOT(ISNUMBER('Price History'!AA132)),'Price History'!AA132=0),"",'Price History'!AA133/'Price History'!AA132-1),"")</f>
        <v>-0.0374671783478084</v>
      </c>
    </row>
    <row r="133" customFormat="false" ht="15" hidden="false" customHeight="true" outlineLevel="0" collapsed="false">
      <c r="A133" s="141" t="n">
        <f aca="false">IF('Price History'!A134="","",'Price History'!A134)</f>
        <v>46101</v>
      </c>
      <c r="B133" s="142" t="n">
        <f aca="false">IFERROR(IF(OR(NOT(ISNUMBER('Price History'!B134)),NOT(ISNUMBER('Price History'!B133)),'Price History'!B133=0),"",'Price History'!B134/'Price History'!B133-1),"")</f>
        <v>-0.0046927643189475</v>
      </c>
      <c r="C133" s="142" t="n">
        <f aca="false">IFERROR(IF(OR(NOT(ISNUMBER('Price History'!C134)),NOT(ISNUMBER('Price History'!C133)),'Price History'!C133=0),"",'Price History'!C134/'Price History'!C133-1),"")</f>
        <v>-0.0175937710563749</v>
      </c>
      <c r="D133" s="142" t="n">
        <f aca="false">IFERROR(IF(OR(NOT(ISNUMBER('Price History'!D134)),NOT(ISNUMBER('Price History'!D133)),'Price History'!D133=0),"",'Price History'!D134/'Price History'!D133-1),"")</f>
        <v>-0.0211331672905698</v>
      </c>
      <c r="E133" s="142" t="n">
        <f aca="false">IFERROR(IF(OR(NOT(ISNUMBER('Price History'!E134)),NOT(ISNUMBER('Price History'!E133)),'Price History'!E133=0),"",'Price History'!E134/'Price History'!E133-1),"")</f>
        <v>-0.0361434501701051</v>
      </c>
      <c r="F133" s="142" t="n">
        <f aca="false">IFERROR(IF(OR(NOT(ISNUMBER('Price History'!F134)),NOT(ISNUMBER('Price History'!F133)),'Price History'!F133=0),"",'Price History'!F134/'Price History'!F133-1),"")</f>
        <v>-0.074157913799348</v>
      </c>
      <c r="G133" s="142" t="n">
        <f aca="false">IFERROR(IF(OR(NOT(ISNUMBER('Price History'!G134)),NOT(ISNUMBER('Price History'!G133)),'Price History'!G133=0),"",'Price History'!G134/'Price History'!G133-1),"")</f>
        <v>0.0564584511023176</v>
      </c>
      <c r="H133" s="142" t="n">
        <f aca="false">IFERROR(IF(OR(NOT(ISNUMBER('Price History'!H134)),NOT(ISNUMBER('Price History'!H133)),'Price History'!H133=0),"",'Price History'!H134/'Price History'!H133-1),"")</f>
        <v>-0.00758411796473257</v>
      </c>
      <c r="I133" s="142" t="n">
        <f aca="false">IFERROR(IF(OR(NOT(ISNUMBER('Price History'!I134)),NOT(ISNUMBER('Price History'!I133)),'Price History'!I133=0),"",'Price History'!I134/'Price History'!I133-1),"")</f>
        <v>-0.0418705516014235</v>
      </c>
      <c r="J133" s="142" t="n">
        <f aca="false">IFERROR(IF(OR(NOT(ISNUMBER('Price History'!J134)),NOT(ISNUMBER('Price History'!J133)),'Price History'!J133=0),"",'Price History'!J134/'Price History'!J133-1),"")</f>
        <v>-0.0205080400838964</v>
      </c>
      <c r="K133" s="142" t="n">
        <f aca="false">IFERROR(IF(OR(NOT(ISNUMBER('Price History'!K134)),NOT(ISNUMBER('Price History'!K133)),'Price History'!K133=0),"",'Price History'!K134/'Price History'!K133-1),"")</f>
        <v>-0.00178867174561104</v>
      </c>
      <c r="L133" s="142" t="n">
        <f aca="false">IFERROR(IF(OR(NOT(ISNUMBER('Price History'!L134)),NOT(ISNUMBER('Price History'!L133)),'Price History'!L133=0),"",'Price History'!L134/'Price History'!L133-1),"")</f>
        <v>-0.0240712604641464</v>
      </c>
      <c r="M133" s="142" t="n">
        <f aca="false">IFERROR(IF(OR(NOT(ISNUMBER('Price History'!M134)),NOT(ISNUMBER('Price History'!M133)),'Price History'!M133=0),"",'Price History'!M134/'Price History'!M133-1),"")</f>
        <v>-0.0113645148821028</v>
      </c>
      <c r="N133" s="142" t="n">
        <f aca="false">IFERROR(IF(OR(NOT(ISNUMBER('Price History'!N134)),NOT(ISNUMBER('Price History'!N133)),'Price History'!N133=0),"",'Price History'!N134/'Price History'!N133-1),"")</f>
        <v>-0.032684194826778</v>
      </c>
      <c r="O133" s="142" t="n">
        <f aca="false">IFERROR(IF(OR(NOT(ISNUMBER('Price History'!O134)),NOT(ISNUMBER('Price History'!O133)),'Price History'!O133=0),"",'Price History'!O134/'Price History'!O133-1),"")</f>
        <v>-0.00198938992042452</v>
      </c>
      <c r="P133" s="142" t="n">
        <f aca="false">IFERROR(IF(OR(NOT(ISNUMBER('Price History'!P134)),NOT(ISNUMBER('Price History'!P133)),'Price History'!P133=0),"",'Price History'!P134/'Price History'!P133-1),"")</f>
        <v>-0.0233949945593036</v>
      </c>
      <c r="Q133" s="142" t="n">
        <f aca="false">IFERROR(IF(OR(NOT(ISNUMBER('Price History'!Q134)),NOT(ISNUMBER('Price History'!Q133)),'Price History'!Q133=0),"",'Price History'!Q134/'Price History'!Q133-1),"")</f>
        <v>-0.0111196911196911</v>
      </c>
      <c r="R133" s="142" t="n">
        <f aca="false">IFERROR(IF(OR(NOT(ISNUMBER('Price History'!R134)),NOT(ISNUMBER('Price History'!R133)),'Price History'!R133=0),"",'Price History'!R134/'Price History'!R133-1),"")</f>
        <v>-0.0140711161817837</v>
      </c>
      <c r="S133" s="142" t="n">
        <f aca="false">IFERROR(IF(OR(NOT(ISNUMBER('Price History'!S134)),NOT(ISNUMBER('Price History'!S133)),'Price History'!S133=0),"",'Price History'!S134/'Price History'!S133-1),"")</f>
        <v>-0.0206944324183912</v>
      </c>
      <c r="T133" s="142" t="n">
        <f aca="false">IFERROR(IF(OR(NOT(ISNUMBER('Price History'!T134)),NOT(ISNUMBER('Price History'!T133)),'Price History'!T133=0),"",'Price History'!T134/'Price History'!T133-1),"")</f>
        <v>0.00102590407796876</v>
      </c>
      <c r="U133" s="142" t="n">
        <f aca="false">IFERROR(IF(OR(NOT(ISNUMBER('Price History'!U134)),NOT(ISNUMBER('Price History'!U133)),'Price History'!U133=0),"",'Price History'!U134/'Price History'!U133-1),"")</f>
        <v>-0.0133067198935461</v>
      </c>
      <c r="V133" s="143" t="n">
        <f aca="false">IFERROR(IF(OR(NOT(ISNUMBER('Price History'!V134)),NOT(ISNUMBER('Price History'!V133)),'Price History'!V133=0),"",'Price History'!V134/'Price History'!V133-1),"")</f>
        <v>-0.0179773811858535</v>
      </c>
      <c r="W133" s="144" t="n">
        <f aca="false">IFERROR('Price History'!B3+(INDEX('Price History'!B:B,MATCH(9.99E+307,'Returns (Calc)'!$A:$A)+1)-'Price History'!B3)*(ROW()-3)/(MATCH(9.99E+307,'Returns (Calc)'!$A:$A)-3),"")</f>
        <v>289.295063291139</v>
      </c>
      <c r="X133" s="144" t="n">
        <f aca="false">IFERROR('Price History'!C3+(INDEX('Price History'!C:C,MATCH(9.99E+307,'Returns (Calc)'!$A:$A)+1)-'Price History'!C3)*(ROW()-3)/(MATCH(9.99E+307,'Returns (Calc)'!$A:$A)-3),"")</f>
        <v>178.788227848101</v>
      </c>
      <c r="Y133" s="144" t="n">
        <f aca="false">IFERROR('Price History'!D3+(INDEX('Price History'!D:D,MATCH(9.99E+307,'Returns (Calc)'!$A:$A)+1)-'Price History'!D3)*(ROW()-3)/(MATCH(9.99E+307,'Returns (Calc)'!$A:$A)-3),"")</f>
        <v>1639.5353164557</v>
      </c>
      <c r="Z133" s="144" t="n">
        <f aca="false">IFERROR('Price History'!E3+(INDEX('Price History'!E:E,MATCH(9.99E+307,'Returns (Calc)'!$A:$A)+1)-'Price History'!E3)*(ROW()-3)/(MATCH(9.99E+307,'Returns (Calc)'!$A:$A)-3),"")</f>
        <v>306.735443037975</v>
      </c>
      <c r="AA133" s="144" t="n">
        <f aca="false">IFERROR('Price History'!F3+(INDEX('Price History'!F:F,MATCH(9.99E+307,'Returns (Calc)'!$A:$A)+1)-'Price History'!F3)*(ROW()-3)/(MATCH(9.99E+307,'Returns (Calc)'!$A:$A)-3),"")</f>
        <v>229.514430379747</v>
      </c>
      <c r="AB133" s="144" t="n">
        <f aca="false">IFERROR('Price History'!G3+(INDEX('Price History'!G:G,MATCH(9.99E+307,'Returns (Calc)'!$A:$A)+1)-'Price History'!G3)*(ROW()-3)/(MATCH(9.99E+307,'Returns (Calc)'!$A:$A)-3),"")</f>
        <v>178.085443037975</v>
      </c>
      <c r="AC133" s="144" t="n">
        <f aca="false">IFERROR('Price History'!H3+(INDEX('Price History'!H:H,MATCH(9.99E+307,'Returns (Calc)'!$A:$A)+1)-'Price History'!H3)*(ROW()-3)/(MATCH(9.99E+307,'Returns (Calc)'!$A:$A)-3),"")</f>
        <v>896.650506329114</v>
      </c>
      <c r="AD133" s="144" t="n">
        <f aca="false">IFERROR('Price History'!I3+(INDEX('Price History'!I:I,MATCH(9.99E+307,'Returns (Calc)'!$A:$A)+1)-'Price History'!I3)*(ROW()-3)/(MATCH(9.99E+307,'Returns (Calc)'!$A:$A)-3),"")</f>
        <v>200.247215189873</v>
      </c>
      <c r="AE133" s="144" t="n">
        <f aca="false">IFERROR('Price History'!J3+(INDEX('Price History'!J:J,MATCH(9.99E+307,'Returns (Calc)'!$A:$A)+1)-'Price History'!J3)*(ROW()-3)/(MATCH(9.99E+307,'Returns (Calc)'!$A:$A)-3),"")</f>
        <v>125.884936708861</v>
      </c>
      <c r="AF133" s="144" t="n">
        <f aca="false">IFERROR('Price History'!K3+(INDEX('Price History'!K:K,MATCH(9.99E+307,'Returns (Calc)'!$A:$A)+1)-'Price History'!K3)*(ROW()-3)/(MATCH(9.99E+307,'Returns (Calc)'!$A:$A)-3),"")</f>
        <v>158.017341772152</v>
      </c>
      <c r="AG133" s="144" t="n">
        <f aca="false">IFERROR('Price History'!L3+(INDEX('Price History'!L:L,MATCH(9.99E+307,'Returns (Calc)'!$A:$A)+1)-'Price History'!L3)*(ROW()-3)/(MATCH(9.99E+307,'Returns (Calc)'!$A:$A)-3),"")</f>
        <v>404.192405063291</v>
      </c>
      <c r="AH133" s="144" t="n">
        <f aca="false">IFERROR('Price History'!M3+(INDEX('Price History'!M:M,MATCH(9.99E+307,'Returns (Calc)'!$A:$A)+1)-'Price History'!M3)*(ROW()-3)/(MATCH(9.99E+307,'Returns (Calc)'!$A:$A)-3),"")</f>
        <v>214.227594936709</v>
      </c>
      <c r="AI133" s="144" t="n">
        <f aca="false">IFERROR('Price History'!N3+(INDEX('Price History'!N:N,MATCH(9.99E+307,'Returns (Calc)'!$A:$A)+1)-'Price History'!N3)*(ROW()-3)/(MATCH(9.99E+307,'Returns (Calc)'!$A:$A)-3),"")</f>
        <v>477.114556962025</v>
      </c>
      <c r="AJ133" s="144" t="n">
        <f aca="false">IFERROR('Price History'!O3+(INDEX('Price History'!O:O,MATCH(9.99E+307,'Returns (Calc)'!$A:$A)+1)-'Price History'!O3)*(ROW()-3)/(MATCH(9.99E+307,'Returns (Calc)'!$A:$A)-3),"")</f>
        <v>112.104936708861</v>
      </c>
      <c r="AK133" s="144" t="n">
        <f aca="false">IFERROR('Price History'!Q3+(INDEX('Price History'!Q:Q,MATCH(9.99E+307,'Returns (Calc)'!$A:$A)+1)-'Price History'!Q3)*(ROW()-3)/(MATCH(9.99E+307,'Returns (Calc)'!$A:$A)-3),"")</f>
        <v>57.1177215189873</v>
      </c>
      <c r="AL133" s="144" t="n">
        <f aca="false">IFERROR('Price History'!R3+(INDEX('Price History'!R:R,MATCH(9.99E+307,'Returns (Calc)'!$A:$A)+1)-'Price History'!R3)*(ROW()-3)/(MATCH(9.99E+307,'Returns (Calc)'!$A:$A)-3),"")</f>
        <v>56.333164556962</v>
      </c>
      <c r="AM133" s="144" t="n">
        <f aca="false">IFERROR('Price History'!S3+(INDEX('Price History'!S:S,MATCH(9.99E+307,'Returns (Calc)'!$A:$A)+1)-'Price History'!S3)*(ROW()-3)/(MATCH(9.99E+307,'Returns (Calc)'!$A:$A)-3),"")</f>
        <v>136.288227848101</v>
      </c>
      <c r="AN133" s="144" t="n">
        <f aca="false">IFERROR('Price History'!T3+(INDEX('Price History'!T:T,MATCH(9.99E+307,'Returns (Calc)'!$A:$A)+1)-'Price History'!T3)*(ROW()-3)/(MATCH(9.99E+307,'Returns (Calc)'!$A:$A)-3),"")</f>
        <v>47.1096202531646</v>
      </c>
      <c r="AO133" s="145" t="n">
        <f aca="false">IFERROR('Price History'!V3+(INDEX('Price History'!V:V,MATCH(9.99E+307,'Returns (Calc)'!$A:$A)+1)-'Price History'!V3)*(ROW()-3)/(MATCH(9.99E+307,'Returns (Calc)'!$A:$A)-3),"")</f>
        <v>338.502784810127</v>
      </c>
      <c r="AP133" s="143" t="n">
        <f aca="false">IFERROR(IF(OR(NOT(ISNUMBER('Price History'!W134)),NOT(ISNUMBER('Price History'!W133)),'Price History'!W133=0),"",'Price History'!W134/'Price History'!W133-1),"")</f>
        <v>-0.0161821173889195</v>
      </c>
      <c r="AQ133" s="143" t="n">
        <f aca="false">IFERROR(IF(OR(NOT(ISNUMBER('Price History'!X134)),NOT(ISNUMBER('Price History'!X133)),'Price History'!X133=0),"",'Price History'!X134/'Price History'!X133-1),"")</f>
        <v>0.0103173058205179</v>
      </c>
      <c r="AR133" s="143" t="n">
        <f aca="false">IFERROR(IF(OR(NOT(ISNUMBER('Price History'!Y134)),NOT(ISNUMBER('Price History'!Y133)),'Price History'!Y133=0),"",'Price History'!Y134/'Price History'!Y133-1),"")</f>
        <v>-0.0174600257305642</v>
      </c>
      <c r="AS133" s="143" t="n">
        <f aca="false">IFERROR(IF(OR(NOT(ISNUMBER('Price History'!Z134)),NOT(ISNUMBER('Price History'!Z133)),'Price History'!Z133=0),"",'Price History'!Z134/'Price History'!Z133-1),"")</f>
        <v>-0.0430642790324736</v>
      </c>
      <c r="AT133" s="143" t="n">
        <f aca="false">IFERROR(IF(OR(NOT(ISNUMBER('Price History'!AA134)),NOT(ISNUMBER('Price History'!AA133)),'Price History'!AA133=0),"",'Price History'!AA134/'Price History'!AA133-1),"")</f>
        <v>-0.0366173538978073</v>
      </c>
    </row>
    <row r="134" customFormat="false" ht="15" hidden="false" customHeight="true" outlineLevel="0" collapsed="false">
      <c r="A134" s="141" t="n">
        <f aca="false">IF('Price History'!A135="","",'Price History'!A135)</f>
        <v>46108</v>
      </c>
      <c r="B134" s="142" t="n">
        <f aca="false">IFERROR(IF(OR(NOT(ISNUMBER('Price History'!B135)),NOT(ISNUMBER('Price History'!B134)),'Price History'!B134=0),"",'Price History'!B135/'Price History'!B134-1),"")</f>
        <v>-0.0536369131573645</v>
      </c>
      <c r="C134" s="142" t="n">
        <f aca="false">IFERROR(IF(OR(NOT(ISNUMBER('Price History'!C135)),NOT(ISNUMBER('Price History'!C134)),'Price History'!C134=0),"",'Price History'!C135/'Price History'!C134-1),"")</f>
        <v>-0.0796372504191435</v>
      </c>
      <c r="D134" s="142" t="n">
        <f aca="false">IFERROR(IF(OR(NOT(ISNUMBER('Price History'!D135)),NOT(ISNUMBER('Price History'!D134)),'Price History'!D134=0),"",'Price History'!D135/'Price History'!D134-1),"")</f>
        <v>-0.0112213182192157</v>
      </c>
      <c r="E134" s="142" t="n">
        <f aca="false">IFERROR(IF(OR(NOT(ISNUMBER('Price History'!E135)),NOT(ISNUMBER('Price History'!E134)),'Price History'!E134=0),"",'Price History'!E135/'Price History'!E134-1),"")</f>
        <v>-0.0296298694990447</v>
      </c>
      <c r="F134" s="142" t="n">
        <f aca="false">IFERROR(IF(OR(NOT(ISNUMBER('Price History'!F135)),NOT(ISNUMBER('Price History'!F134)),'Price History'!F134=0),"",'Price History'!F135/'Price History'!F134-1),"")</f>
        <v>-0.0964303178484107</v>
      </c>
      <c r="G134" s="142" t="n">
        <f aca="false">IFERROR(IF(OR(NOT(ISNUMBER('Price History'!G135)),NOT(ISNUMBER('Price History'!G134)),'Price History'!G134=0),"",'Price History'!G135/'Price History'!G134-1),"")</f>
        <v>-0.0370543776336031</v>
      </c>
      <c r="H134" s="142" t="n">
        <f aca="false">IFERROR(IF(OR(NOT(ISNUMBER('Price History'!H135)),NOT(ISNUMBER('Price History'!H134)),'Price History'!H134=0),"",'Price History'!H135/'Price History'!H134-1),"")</f>
        <v>-0.155302134103062</v>
      </c>
      <c r="I134" s="142" t="n">
        <f aca="false">IFERROR(IF(OR(NOT(ISNUMBER('Price History'!I135)),NOT(ISNUMBER('Price History'!I134)),'Price History'!I134=0),"",'Price History'!I135/'Price History'!I134-1),"")</f>
        <v>-0.0300040624455923</v>
      </c>
      <c r="J134" s="142" t="n">
        <f aca="false">IFERROR(IF(OR(NOT(ISNUMBER('Price History'!J135)),NOT(ISNUMBER('Price History'!J134)),'Price History'!J134=0),"",'Price History'!J135/'Price History'!J134-1),"")</f>
        <v>0.00689983345229583</v>
      </c>
      <c r="K134" s="142" t="n">
        <f aca="false">IFERROR(IF(OR(NOT(ISNUMBER('Price History'!K135)),NOT(ISNUMBER('Price History'!K134)),'Price History'!K134=0),"",'Price History'!K135/'Price History'!K134-1),"")</f>
        <v>-0.0505707459516858</v>
      </c>
      <c r="L134" s="142" t="n">
        <f aca="false">IFERROR(IF(OR(NOT(ISNUMBER('Price History'!L135)),NOT(ISNUMBER('Price History'!L134)),'Price History'!L134=0),"",'Price History'!L135/'Price History'!L134-1),"")</f>
        <v>-0.00760096462040949</v>
      </c>
      <c r="M134" s="142" t="n">
        <f aca="false">IFERROR(IF(OR(NOT(ISNUMBER('Price History'!M135)),NOT(ISNUMBER('Price History'!M134)),'Price History'!M134=0),"",'Price History'!M135/'Price History'!M134-1),"")</f>
        <v>-0.0187675946199561</v>
      </c>
      <c r="N134" s="142" t="n">
        <f aca="false">IFERROR(IF(OR(NOT(ISNUMBER('Price History'!N135)),NOT(ISNUMBER('Price History'!N134)),'Price History'!N134=0),"",'Price History'!N135/'Price History'!N134-1),"")</f>
        <v>-0.0461013215859031</v>
      </c>
      <c r="O134" s="142" t="n">
        <f aca="false">IFERROR(IF(OR(NOT(ISNUMBER('Price History'!O135)),NOT(ISNUMBER('Price History'!O134)),'Price History'!O134=0),"",'Price History'!O135/'Price History'!O134-1),"")</f>
        <v>0.0296155671570955</v>
      </c>
      <c r="P134" s="142" t="n">
        <f aca="false">IFERROR(IF(OR(NOT(ISNUMBER('Price History'!P135)),NOT(ISNUMBER('Price History'!P134)),'Price History'!P134=0),"",'Price History'!P135/'Price History'!P134-1),"")</f>
        <v>0.0244428969359334</v>
      </c>
      <c r="Q134" s="142" t="n">
        <f aca="false">IFERROR(IF(OR(NOT(ISNUMBER('Price History'!Q135)),NOT(ISNUMBER('Price History'!Q134)),'Price History'!Q134=0),"",'Price History'!Q135/'Price History'!Q134-1),"")</f>
        <v>-0.0128064969545526</v>
      </c>
      <c r="R134" s="142" t="n">
        <f aca="false">IFERROR(IF(OR(NOT(ISNUMBER('Price History'!R135)),NOT(ISNUMBER('Price History'!R134)),'Price History'!R134=0),"",'Price History'!R135/'Price History'!R134-1),"")</f>
        <v>-0.0293153326904533</v>
      </c>
      <c r="S134" s="142" t="n">
        <f aca="false">IFERROR(IF(OR(NOT(ISNUMBER('Price History'!S135)),NOT(ISNUMBER('Price History'!S134)),'Price History'!S134=0),"",'Price History'!S135/'Price History'!S134-1),"")</f>
        <v>-0.0277630415561451</v>
      </c>
      <c r="T134" s="142" t="n">
        <f aca="false">IFERROR(IF(OR(NOT(ISNUMBER('Price History'!T135)),NOT(ISNUMBER('Price History'!T134)),'Price History'!T134=0),"",'Price History'!T135/'Price History'!T134-1),"")</f>
        <v>-0.0122982321291315</v>
      </c>
      <c r="U134" s="142" t="n">
        <f aca="false">IFERROR(IF(OR(NOT(ISNUMBER('Price History'!U135)),NOT(ISNUMBER('Price History'!U134)),'Price History'!U134=0),"",'Price History'!U135/'Price History'!U134-1),"")</f>
        <v>0.0101146325016859</v>
      </c>
      <c r="V134" s="143" t="n">
        <f aca="false">IFERROR(IF(OR(NOT(ISNUMBER('Price History'!V135)),NOT(ISNUMBER('Price History'!V134)),'Price History'!V134=0),"",'Price History'!V135/'Price History'!V134-1),"")</f>
        <v>-0.0202369857542271</v>
      </c>
      <c r="W134" s="144" t="n">
        <f aca="false">IFERROR('Price History'!B3+(INDEX('Price History'!B:B,MATCH(9.99E+307,'Returns (Calc)'!$A:$A)+1)-'Price History'!B3)*(ROW()-3)/(MATCH(9.99E+307,'Returns (Calc)'!$A:$A)-3),"")</f>
        <v>287.452025316456</v>
      </c>
      <c r="X134" s="144" t="n">
        <f aca="false">IFERROR('Price History'!C3+(INDEX('Price History'!C:C,MATCH(9.99E+307,'Returns (Calc)'!$A:$A)+1)-'Price History'!C3)*(ROW()-3)/(MATCH(9.99E+307,'Returns (Calc)'!$A:$A)-3),"")</f>
        <v>179.80829113924</v>
      </c>
      <c r="Y134" s="144" t="n">
        <f aca="false">IFERROR('Price History'!D3+(INDEX('Price History'!D:D,MATCH(9.99E+307,'Returns (Calc)'!$A:$A)+1)-'Price History'!D3)*(ROW()-3)/(MATCH(9.99E+307,'Returns (Calc)'!$A:$A)-3),"")</f>
        <v>1647.67012658228</v>
      </c>
      <c r="Z134" s="144" t="n">
        <f aca="false">IFERROR('Price History'!E3+(INDEX('Price History'!E:E,MATCH(9.99E+307,'Returns (Calc)'!$A:$A)+1)-'Price History'!E3)*(ROW()-3)/(MATCH(9.99E+307,'Returns (Calc)'!$A:$A)-3),"")</f>
        <v>308.46417721519</v>
      </c>
      <c r="AA134" s="144" t="n">
        <f aca="false">IFERROR('Price History'!F3+(INDEX('Price History'!F:F,MATCH(9.99E+307,'Returns (Calc)'!$A:$A)+1)-'Price History'!F3)*(ROW()-3)/(MATCH(9.99E+307,'Returns (Calc)'!$A:$A)-3),"")</f>
        <v>230.961772151899</v>
      </c>
      <c r="AB134" s="144" t="n">
        <f aca="false">IFERROR('Price History'!G3+(INDEX('Price History'!G:G,MATCH(9.99E+307,'Returns (Calc)'!$A:$A)+1)-'Price History'!G3)*(ROW()-3)/(MATCH(9.99E+307,'Returns (Calc)'!$A:$A)-3),"")</f>
        <v>179.11417721519</v>
      </c>
      <c r="AC134" s="144" t="n">
        <f aca="false">IFERROR('Price History'!H3+(INDEX('Price History'!H:H,MATCH(9.99E+307,'Returns (Calc)'!$A:$A)+1)-'Price History'!H3)*(ROW()-3)/(MATCH(9.99E+307,'Returns (Calc)'!$A:$A)-3),"")</f>
        <v>903.016202531646</v>
      </c>
      <c r="AD134" s="144" t="n">
        <f aca="false">IFERROR('Price History'!I3+(INDEX('Price History'!I:I,MATCH(9.99E+307,'Returns (Calc)'!$A:$A)+1)-'Price History'!I3)*(ROW()-3)/(MATCH(9.99E+307,'Returns (Calc)'!$A:$A)-3),"")</f>
        <v>201.450886075949</v>
      </c>
      <c r="AE134" s="144" t="n">
        <f aca="false">IFERROR('Price History'!J3+(INDEX('Price History'!J:J,MATCH(9.99E+307,'Returns (Calc)'!$A:$A)+1)-'Price History'!J3)*(ROW()-3)/(MATCH(9.99E+307,'Returns (Calc)'!$A:$A)-3),"")</f>
        <v>125.992974683544</v>
      </c>
      <c r="AF134" s="144" t="n">
        <f aca="false">IFERROR('Price History'!K3+(INDEX('Price History'!K:K,MATCH(9.99E+307,'Returns (Calc)'!$A:$A)+1)-'Price History'!K3)*(ROW()-3)/(MATCH(9.99E+307,'Returns (Calc)'!$A:$A)-3),"")</f>
        <v>159.114936708861</v>
      </c>
      <c r="AG134" s="144" t="n">
        <f aca="false">IFERROR('Price History'!L3+(INDEX('Price History'!L:L,MATCH(9.99E+307,'Returns (Calc)'!$A:$A)+1)-'Price History'!L3)*(ROW()-3)/(MATCH(9.99E+307,'Returns (Calc)'!$A:$A)-3),"")</f>
        <v>406.641962025316</v>
      </c>
      <c r="AH134" s="144" t="n">
        <f aca="false">IFERROR('Price History'!M3+(INDEX('Price History'!M:M,MATCH(9.99E+307,'Returns (Calc)'!$A:$A)+1)-'Price History'!M3)*(ROW()-3)/(MATCH(9.99E+307,'Returns (Calc)'!$A:$A)-3),"")</f>
        <v>215.583037974684</v>
      </c>
      <c r="AI134" s="144" t="n">
        <f aca="false">IFERROR('Price History'!N3+(INDEX('Price History'!N:N,MATCH(9.99E+307,'Returns (Calc)'!$A:$A)+1)-'Price History'!N3)*(ROW()-3)/(MATCH(9.99E+307,'Returns (Calc)'!$A:$A)-3),"")</f>
        <v>478.10082278481</v>
      </c>
      <c r="AJ134" s="144" t="n">
        <f aca="false">IFERROR('Price History'!O3+(INDEX('Price History'!O:O,MATCH(9.99E+307,'Returns (Calc)'!$A:$A)+1)-'Price History'!O3)*(ROW()-3)/(MATCH(9.99E+307,'Returns (Calc)'!$A:$A)-3),"")</f>
        <v>112.387974683544</v>
      </c>
      <c r="AK134" s="144" t="n">
        <f aca="false">IFERROR('Price History'!Q3+(INDEX('Price History'!Q:Q,MATCH(9.99E+307,'Returns (Calc)'!$A:$A)+1)-'Price History'!Q3)*(ROW()-3)/(MATCH(9.99E+307,'Returns (Calc)'!$A:$A)-3),"")</f>
        <v>57.5570886075949</v>
      </c>
      <c r="AL134" s="144" t="n">
        <f aca="false">IFERROR('Price History'!R3+(INDEX('Price History'!R:R,MATCH(9.99E+307,'Returns (Calc)'!$A:$A)+1)-'Price History'!R3)*(ROW()-3)/(MATCH(9.99E+307,'Returns (Calc)'!$A:$A)-3),"")</f>
        <v>56.5012658227848</v>
      </c>
      <c r="AM134" s="144" t="n">
        <f aca="false">IFERROR('Price History'!S3+(INDEX('Price History'!S:S,MATCH(9.99E+307,'Returns (Calc)'!$A:$A)+1)-'Price History'!S3)*(ROW()-3)/(MATCH(9.99E+307,'Returns (Calc)'!$A:$A)-3),"")</f>
        <v>136.893291139241</v>
      </c>
      <c r="AN134" s="144" t="n">
        <f aca="false">IFERROR('Price History'!T3+(INDEX('Price History'!T:T,MATCH(9.99E+307,'Returns (Calc)'!$A:$A)+1)-'Price History'!T3)*(ROW()-3)/(MATCH(9.99E+307,'Returns (Calc)'!$A:$A)-3),"")</f>
        <v>47.2778481012658</v>
      </c>
      <c r="AO134" s="145" t="n">
        <f aca="false">IFERROR('Price History'!V3+(INDEX('Price History'!V:V,MATCH(9.99E+307,'Returns (Calc)'!$A:$A)+1)-'Price History'!V3)*(ROW()-3)/(MATCH(9.99E+307,'Returns (Calc)'!$A:$A)-3),"")</f>
        <v>339.294113924051</v>
      </c>
      <c r="AP134" s="143" t="n">
        <f aca="false">IFERROR(IF(OR(NOT(ISNUMBER('Price History'!W135)),NOT(ISNUMBER('Price History'!W134)),'Price History'!W134=0),"",'Price History'!W135/'Price History'!W134-1),"")</f>
        <v>0.00362419849456375</v>
      </c>
      <c r="AQ134" s="143" t="n">
        <f aca="false">IFERROR(IF(OR(NOT(ISNUMBER('Price History'!X135)),NOT(ISNUMBER('Price History'!X134)),'Price History'!X134=0),"",'Price History'!X135/'Price History'!X134-1),"")</f>
        <v>0.0263969171483622</v>
      </c>
      <c r="AR134" s="143" t="n">
        <f aca="false">IFERROR(IF(OR(NOT(ISNUMBER('Price History'!Y135)),NOT(ISNUMBER('Price History'!Y134)),'Price History'!Y134=0),"",'Price History'!Y135/'Price History'!Y134-1),"")</f>
        <v>-0.00972689861578757</v>
      </c>
      <c r="AS134" s="143" t="n">
        <f aca="false">IFERROR(IF(OR(NOT(ISNUMBER('Price History'!Z135)),NOT(ISNUMBER('Price History'!Z134)),'Price History'!Z134=0),"",'Price History'!Z135/'Price History'!Z134-1),"")</f>
        <v>-0.0138602799986036</v>
      </c>
      <c r="AT134" s="143" t="n">
        <f aca="false">IFERROR(IF(OR(NOT(ISNUMBER('Price History'!AA135)),NOT(ISNUMBER('Price History'!AA134)),'Price History'!AA134=0),"",'Price History'!AA135/'Price History'!AA134-1),"")</f>
        <v>0.0175343062513615</v>
      </c>
    </row>
    <row r="135" customFormat="false" ht="15" hidden="false" customHeight="true" outlineLevel="0" collapsed="false">
      <c r="A135" s="141" t="n">
        <f aca="false">IF('Price History'!A136="","",'Price History'!A136)</f>
        <v>46115</v>
      </c>
      <c r="B135" s="142" t="n">
        <f aca="false">IFERROR(IF(OR(NOT(ISNUMBER('Price History'!B136)),NOT(ISNUMBER('Price History'!B135)),'Price History'!B135=0),"",'Price History'!B136/'Price History'!B135-1),"")</f>
        <v>0.0344064043604155</v>
      </c>
      <c r="C135" s="142" t="n">
        <f aca="false">IFERROR(IF(OR(NOT(ISNUMBER('Price History'!C136)),NOT(ISNUMBER('Price History'!C135)),'Price History'!C135=0),"",'Price History'!C136/'Price History'!C135-1),"")</f>
        <v>0.0489359940382546</v>
      </c>
      <c r="D135" s="142" t="n">
        <f aca="false">IFERROR(IF(OR(NOT(ISNUMBER('Price History'!D136)),NOT(ISNUMBER('Price History'!D135)),'Price History'!D135=0),"",'Price History'!D136/'Price History'!D135-1),"")</f>
        <v>0.0113332562887631</v>
      </c>
      <c r="E135" s="142" t="n">
        <f aca="false">IFERROR(IF(OR(NOT(ISNUMBER('Price History'!E136)),NOT(ISNUMBER('Price History'!E135)),'Price History'!E135=0),"",'Price History'!E136/'Price History'!E135-1),"")</f>
        <v>0.0461189347927651</v>
      </c>
      <c r="F135" s="142" t="n">
        <f aca="false">IFERROR(IF(OR(NOT(ISNUMBER('Price History'!F136)),NOT(ISNUMBER('Price History'!F135)),'Price History'!F135=0),"",'Price History'!F136/'Price History'!F135-1),"")</f>
        <v>0.0799870115813399</v>
      </c>
      <c r="G135" s="142" t="n">
        <f aca="false">IFERROR(IF(OR(NOT(ISNUMBER('Price History'!G136)),NOT(ISNUMBER('Price History'!G135)),'Price History'!G135=0),"",'Price History'!G136/'Price History'!G135-1),"")</f>
        <v>0.0510523025630338</v>
      </c>
      <c r="H135" s="142" t="n">
        <f aca="false">IFERROR(IF(OR(NOT(ISNUMBER('Price History'!H136)),NOT(ISNUMBER('Price History'!H135)),'Price History'!H135=0),"",'Price History'!H136/'Price History'!H135-1),"")</f>
        <v>0.0256568259481262</v>
      </c>
      <c r="I135" s="142" t="n">
        <f aca="false">IFERROR(IF(OR(NOT(ISNUMBER('Price History'!I136)),NOT(ISNUMBER('Price History'!I135)),'Price History'!I135=0),"",'Price History'!I136/'Price History'!I135-1),"")</f>
        <v>0.0589326313270313</v>
      </c>
      <c r="J135" s="142" t="n">
        <f aca="false">IFERROR(IF(OR(NOT(ISNUMBER('Price History'!J136)),NOT(ISNUMBER('Price History'!J135)),'Price History'!J135=0),"",'Price History'!J136/'Price History'!J135-1),"")</f>
        <v>0.0378071833648392</v>
      </c>
      <c r="K135" s="142" t="n">
        <f aca="false">IFERROR(IF(OR(NOT(ISNUMBER('Price History'!K136)),NOT(ISNUMBER('Price History'!K135)),'Price History'!K135=0),"",'Price History'!K136/'Price History'!K135-1),"")</f>
        <v>0.0377464001118413</v>
      </c>
      <c r="L135" s="142" t="n">
        <f aca="false">IFERROR(IF(OR(NOT(ISNUMBER('Price History'!L136)),NOT(ISNUMBER('Price History'!L135)),'Price History'!L135=0),"",'Price History'!L136/'Price History'!L135-1),"")</f>
        <v>0.0376499538603505</v>
      </c>
      <c r="M135" s="142" t="n">
        <f aca="false">IFERROR(IF(OR(NOT(ISNUMBER('Price History'!M136)),NOT(ISNUMBER('Price History'!M135)),'Price History'!M135=0),"",'Price History'!M136/'Price History'!M135-1),"")</f>
        <v>0.0406837743066624</v>
      </c>
      <c r="N135" s="142" t="n">
        <f aca="false">IFERROR(IF(OR(NOT(ISNUMBER('Price History'!N136)),NOT(ISNUMBER('Price History'!N135)),'Price History'!N135=0),"",'Price History'!N136/'Price History'!N135-1),"")</f>
        <v>0.0130232987738703</v>
      </c>
      <c r="O135" s="142" t="n">
        <f aca="false">IFERROR(IF(OR(NOT(ISNUMBER('Price History'!O136)),NOT(ISNUMBER('Price History'!O135)),'Price History'!O135=0),"",'Price History'!O136/'Price History'!O135-1),"")</f>
        <v>0.0200977228726837</v>
      </c>
      <c r="P135" s="142" t="n">
        <f aca="false">IFERROR(IF(OR(NOT(ISNUMBER('Price History'!P136)),NOT(ISNUMBER('Price History'!P135)),'Price History'!P135=0),"",'Price History'!P136/'Price History'!P135-1),"")</f>
        <v>0.0144789613214602</v>
      </c>
      <c r="Q135" s="142" t="n">
        <f aca="false">IFERROR(IF(OR(NOT(ISNUMBER('Price History'!Q136)),NOT(ISNUMBER('Price History'!Q135)),'Price History'!Q135=0),"",'Price History'!Q136/'Price History'!Q135-1),"")</f>
        <v>0.0117070083847493</v>
      </c>
      <c r="R135" s="142" t="n">
        <f aca="false">IFERROR(IF(OR(NOT(ISNUMBER('Price History'!R136)),NOT(ISNUMBER('Price History'!R135)),'Price History'!R135=0),"",'Price History'!R136/'Price History'!R135-1),"")</f>
        <v>0.0375521557719054</v>
      </c>
      <c r="S135" s="142" t="n">
        <f aca="false">IFERROR(IF(OR(NOT(ISNUMBER('Price History'!S136)),NOT(ISNUMBER('Price History'!S135)),'Price History'!S135=0),"",'Price History'!S136/'Price History'!S135-1),"")</f>
        <v>0.0401964350672972</v>
      </c>
      <c r="T135" s="142" t="n">
        <f aca="false">IFERROR(IF(OR(NOT(ISNUMBER('Price History'!T136)),NOT(ISNUMBER('Price History'!T135)),'Price History'!T135=0),"",'Price History'!T136/'Price History'!T135-1),"")</f>
        <v>0.0280155642023348</v>
      </c>
      <c r="U135" s="142" t="n">
        <f aca="false">IFERROR(IF(OR(NOT(ISNUMBER('Price History'!U136)),NOT(ISNUMBER('Price History'!U135)),'Price History'!U135=0),"",'Price History'!U136/'Price History'!U135-1),"")</f>
        <v>0.00400534045393841</v>
      </c>
      <c r="V135" s="143" t="n">
        <f aca="false">IFERROR(IF(OR(NOT(ISNUMBER('Price History'!V136)),NOT(ISNUMBER('Price History'!V135)),'Price History'!V135=0),"",'Price History'!V136/'Price History'!V135-1),"")</f>
        <v>0.0178692757168093</v>
      </c>
      <c r="W135" s="144" t="n">
        <f aca="false">IFERROR('Price History'!B3+(INDEX('Price History'!B:B,MATCH(9.99E+307,'Returns (Calc)'!$A:$A)+1)-'Price History'!B3)*(ROW()-3)/(MATCH(9.99E+307,'Returns (Calc)'!$A:$A)-3),"")</f>
        <v>285.608987341772</v>
      </c>
      <c r="X135" s="144" t="n">
        <f aca="false">IFERROR('Price History'!C3+(INDEX('Price History'!C:C,MATCH(9.99E+307,'Returns (Calc)'!$A:$A)+1)-'Price History'!C3)*(ROW()-3)/(MATCH(9.99E+307,'Returns (Calc)'!$A:$A)-3),"")</f>
        <v>180.82835443038</v>
      </c>
      <c r="Y135" s="144" t="n">
        <f aca="false">IFERROR('Price History'!D3+(INDEX('Price History'!D:D,MATCH(9.99E+307,'Returns (Calc)'!$A:$A)+1)-'Price History'!D3)*(ROW()-3)/(MATCH(9.99E+307,'Returns (Calc)'!$A:$A)-3),"")</f>
        <v>1655.80493670886</v>
      </c>
      <c r="Z135" s="144" t="n">
        <f aca="false">IFERROR('Price History'!E3+(INDEX('Price History'!E:E,MATCH(9.99E+307,'Returns (Calc)'!$A:$A)+1)-'Price History'!E3)*(ROW()-3)/(MATCH(9.99E+307,'Returns (Calc)'!$A:$A)-3),"")</f>
        <v>310.192911392405</v>
      </c>
      <c r="AA135" s="144" t="n">
        <f aca="false">IFERROR('Price History'!F3+(INDEX('Price History'!F:F,MATCH(9.99E+307,'Returns (Calc)'!$A:$A)+1)-'Price History'!F3)*(ROW()-3)/(MATCH(9.99E+307,'Returns (Calc)'!$A:$A)-3),"")</f>
        <v>232.409113924051</v>
      </c>
      <c r="AB135" s="144" t="n">
        <f aca="false">IFERROR('Price History'!G3+(INDEX('Price History'!G:G,MATCH(9.99E+307,'Returns (Calc)'!$A:$A)+1)-'Price History'!G3)*(ROW()-3)/(MATCH(9.99E+307,'Returns (Calc)'!$A:$A)-3),"")</f>
        <v>180.142911392405</v>
      </c>
      <c r="AC135" s="144" t="n">
        <f aca="false">IFERROR('Price History'!H3+(INDEX('Price History'!H:H,MATCH(9.99E+307,'Returns (Calc)'!$A:$A)+1)-'Price History'!H3)*(ROW()-3)/(MATCH(9.99E+307,'Returns (Calc)'!$A:$A)-3),"")</f>
        <v>909.381898734177</v>
      </c>
      <c r="AD135" s="144" t="n">
        <f aca="false">IFERROR('Price History'!I3+(INDEX('Price History'!I:I,MATCH(9.99E+307,'Returns (Calc)'!$A:$A)+1)-'Price History'!I3)*(ROW()-3)/(MATCH(9.99E+307,'Returns (Calc)'!$A:$A)-3),"")</f>
        <v>202.654556962025</v>
      </c>
      <c r="AE135" s="144" t="n">
        <f aca="false">IFERROR('Price History'!J3+(INDEX('Price History'!J:J,MATCH(9.99E+307,'Returns (Calc)'!$A:$A)+1)-'Price History'!J3)*(ROW()-3)/(MATCH(9.99E+307,'Returns (Calc)'!$A:$A)-3),"")</f>
        <v>126.101012658228</v>
      </c>
      <c r="AF135" s="144" t="n">
        <f aca="false">IFERROR('Price History'!K3+(INDEX('Price History'!K:K,MATCH(9.99E+307,'Returns (Calc)'!$A:$A)+1)-'Price History'!K3)*(ROW()-3)/(MATCH(9.99E+307,'Returns (Calc)'!$A:$A)-3),"")</f>
        <v>160.21253164557</v>
      </c>
      <c r="AG135" s="144" t="n">
        <f aca="false">IFERROR('Price History'!L3+(INDEX('Price History'!L:L,MATCH(9.99E+307,'Returns (Calc)'!$A:$A)+1)-'Price History'!L3)*(ROW()-3)/(MATCH(9.99E+307,'Returns (Calc)'!$A:$A)-3),"")</f>
        <v>409.091518987342</v>
      </c>
      <c r="AH135" s="144" t="n">
        <f aca="false">IFERROR('Price History'!M3+(INDEX('Price History'!M:M,MATCH(9.99E+307,'Returns (Calc)'!$A:$A)+1)-'Price History'!M3)*(ROW()-3)/(MATCH(9.99E+307,'Returns (Calc)'!$A:$A)-3),"")</f>
        <v>216.938481012658</v>
      </c>
      <c r="AI135" s="144" t="n">
        <f aca="false">IFERROR('Price History'!N3+(INDEX('Price History'!N:N,MATCH(9.99E+307,'Returns (Calc)'!$A:$A)+1)-'Price History'!N3)*(ROW()-3)/(MATCH(9.99E+307,'Returns (Calc)'!$A:$A)-3),"")</f>
        <v>479.087088607595</v>
      </c>
      <c r="AJ135" s="144" t="n">
        <f aca="false">IFERROR('Price History'!O3+(INDEX('Price History'!O:O,MATCH(9.99E+307,'Returns (Calc)'!$A:$A)+1)-'Price History'!O3)*(ROW()-3)/(MATCH(9.99E+307,'Returns (Calc)'!$A:$A)-3),"")</f>
        <v>112.671012658228</v>
      </c>
      <c r="AK135" s="144" t="n">
        <f aca="false">IFERROR('Price History'!Q3+(INDEX('Price History'!Q:Q,MATCH(9.99E+307,'Returns (Calc)'!$A:$A)+1)-'Price History'!Q3)*(ROW()-3)/(MATCH(9.99E+307,'Returns (Calc)'!$A:$A)-3),"")</f>
        <v>57.9964556962025</v>
      </c>
      <c r="AL135" s="144" t="n">
        <f aca="false">IFERROR('Price History'!R3+(INDEX('Price History'!R:R,MATCH(9.99E+307,'Returns (Calc)'!$A:$A)+1)-'Price History'!R3)*(ROW()-3)/(MATCH(9.99E+307,'Returns (Calc)'!$A:$A)-3),"")</f>
        <v>56.6693670886076</v>
      </c>
      <c r="AM135" s="144" t="n">
        <f aca="false">IFERROR('Price History'!S3+(INDEX('Price History'!S:S,MATCH(9.99E+307,'Returns (Calc)'!$A:$A)+1)-'Price History'!S3)*(ROW()-3)/(MATCH(9.99E+307,'Returns (Calc)'!$A:$A)-3),"")</f>
        <v>137.49835443038</v>
      </c>
      <c r="AN135" s="144" t="n">
        <f aca="false">IFERROR('Price History'!T3+(INDEX('Price History'!T:T,MATCH(9.99E+307,'Returns (Calc)'!$A:$A)+1)-'Price History'!T3)*(ROW()-3)/(MATCH(9.99E+307,'Returns (Calc)'!$A:$A)-3),"")</f>
        <v>47.4460759493671</v>
      </c>
      <c r="AO135" s="145" t="n">
        <f aca="false">IFERROR('Price History'!V3+(INDEX('Price History'!V:V,MATCH(9.99E+307,'Returns (Calc)'!$A:$A)+1)-'Price History'!V3)*(ROW()-3)/(MATCH(9.99E+307,'Returns (Calc)'!$A:$A)-3),"")</f>
        <v>340.085443037975</v>
      </c>
      <c r="AP135" s="143" t="n">
        <f aca="false">IFERROR(IF(OR(NOT(ISNUMBER('Price History'!W136)),NOT(ISNUMBER('Price History'!W135)),'Price History'!W135=0),"",'Price History'!W136/'Price History'!W135-1),"")</f>
        <v>0.0165277777777777</v>
      </c>
      <c r="AQ135" s="143" t="n">
        <f aca="false">IFERROR(IF(OR(NOT(ISNUMBER('Price History'!X136)),NOT(ISNUMBER('Price History'!X135)),'Price History'!X135=0),"",'Price History'!X136/'Price History'!X135-1),"")</f>
        <v>-0.0183968462549278</v>
      </c>
      <c r="AR135" s="143" t="n">
        <f aca="false">IFERROR(IF(OR(NOT(ISNUMBER('Price History'!Y136)),NOT(ISNUMBER('Price History'!Y135)),'Price History'!Y135=0),"",'Price History'!Y136/'Price History'!Y135-1),"")</f>
        <v>0.0238005289006424</v>
      </c>
      <c r="AS135" s="143" t="n">
        <f aca="false">IFERROR(IF(OR(NOT(ISNUMBER('Price History'!Z136)),NOT(ISNUMBER('Price History'!Z135)),'Price History'!Z135=0),"",'Price History'!Z136/'Price History'!Z135-1),"")</f>
        <v>-0.00584153508461371</v>
      </c>
      <c r="AT135" s="143" t="n">
        <f aca="false">IFERROR(IF(OR(NOT(ISNUMBER('Price History'!AA136)),NOT(ISNUMBER('Price History'!AA135)),'Price History'!AA135=0),"",'Price History'!AA136/'Price History'!AA135-1),"")</f>
        <v>0.0559777373434656</v>
      </c>
    </row>
    <row r="136" customFormat="false" ht="15" hidden="false" customHeight="true" outlineLevel="0" collapsed="false">
      <c r="A136" s="141" t="n">
        <f aca="false">IF('Price History'!A137="","",'Price History'!A137)</f>
        <v>46122</v>
      </c>
      <c r="B136" s="142" t="n">
        <f aca="false">IFERROR(IF(OR(NOT(ISNUMBER('Price History'!B137)),NOT(ISNUMBER('Price History'!B136)),'Price History'!B136=0),"",'Price History'!B137/'Price History'!B136-1),"")</f>
        <v>-0.07232833854767</v>
      </c>
      <c r="C136" s="142" t="n">
        <f aca="false">IFERROR(IF(OR(NOT(ISNUMBER('Price History'!C137)),NOT(ISNUMBER('Price History'!C136)),'Price History'!C136=0),"",'Price History'!C137/'Price History'!C136-1),"")</f>
        <v>0.163167035048942</v>
      </c>
      <c r="D136" s="142" t="n">
        <f aca="false">IFERROR(IF(OR(NOT(ISNUMBER('Price History'!D137)),NOT(ISNUMBER('Price History'!D136)),'Price History'!D136=0),"",'Price History'!D137/'Price History'!D136-1),"")</f>
        <v>0.122263190772934</v>
      </c>
      <c r="E136" s="142" t="n">
        <f aca="false">IFERROR(IF(OR(NOT(ISNUMBER('Price History'!E137)),NOT(ISNUMBER('Price History'!E136)),'Price History'!E136=0),"",'Price History'!E137/'Price History'!E136-1),"")</f>
        <v>0.181223682531581</v>
      </c>
      <c r="F136" s="142" t="n">
        <f aca="false">IFERROR(IF(OR(NOT(ISNUMBER('Price History'!F137)),NOT(ISNUMBER('Price History'!F136)),'Price History'!F136=0),"",'Price History'!F137/'Price History'!F136-1),"")</f>
        <v>-0.0504109039887753</v>
      </c>
      <c r="G136" s="142" t="n">
        <f aca="false">IFERROR(IF(OR(NOT(ISNUMBER('Price History'!G137)),NOT(ISNUMBER('Price History'!G136)),'Price History'!G136=0),"",'Price History'!G137/'Price History'!G136-1),"")</f>
        <v>0.145321173671689</v>
      </c>
      <c r="H136" s="142" t="n">
        <f aca="false">IFERROR(IF(OR(NOT(ISNUMBER('Price History'!H137)),NOT(ISNUMBER('Price History'!H136)),'Price History'!H136=0),"",'Price History'!H137/'Price History'!H136-1),"")</f>
        <v>0.14842427221585</v>
      </c>
      <c r="I136" s="142" t="n">
        <f aca="false">IFERROR(IF(OR(NOT(ISNUMBER('Price History'!I137)),NOT(ISNUMBER('Price History'!I136)),'Price History'!I136=0),"",'Price History'!I137/'Price History'!I136-1),"")</f>
        <v>0.0633369116899258</v>
      </c>
      <c r="J136" s="142" t="n">
        <f aca="false">IFERROR(IF(OR(NOT(ISNUMBER('Price History'!J137)),NOT(ISNUMBER('Price History'!J136)),'Price History'!J136=0),"",'Price History'!J137/'Price History'!J136-1),"")</f>
        <v>0.0255768063145112</v>
      </c>
      <c r="K136" s="142" t="n">
        <f aca="false">IFERROR(IF(OR(NOT(ISNUMBER('Price History'!K137)),NOT(ISNUMBER('Price History'!K136)),'Price History'!K136=0),"",'Price History'!K137/'Price History'!K136-1),"")</f>
        <v>-0.13741075037047</v>
      </c>
      <c r="L136" s="142" t="n">
        <f aca="false">IFERROR(IF(OR(NOT(ISNUMBER('Price History'!L137)),NOT(ISNUMBER('Price History'!L136)),'Price History'!L136=0),"",'Price History'!L137/'Price History'!L136-1),"")</f>
        <v>0.0930811644038656</v>
      </c>
      <c r="M136" s="142" t="n">
        <f aca="false">IFERROR(IF(OR(NOT(ISNUMBER('Price History'!M137)),NOT(ISNUMBER('Price History'!M136)),'Price History'!M136=0),"",'Price History'!M137/'Price History'!M136-1),"")</f>
        <v>0.129455909943715</v>
      </c>
      <c r="N136" s="142" t="n">
        <f aca="false">IFERROR(IF(OR(NOT(ISNUMBER('Price History'!N137)),NOT(ISNUMBER('Price History'!N136)),'Price History'!N136=0),"",'Price History'!N137/'Price History'!N136-1),"")</f>
        <v>-0.0055617606163525</v>
      </c>
      <c r="O136" s="142" t="n">
        <f aca="false">IFERROR(IF(OR(NOT(ISNUMBER('Price History'!O137)),NOT(ISNUMBER('Price History'!O136)),'Price History'!O136=0),"",'Price History'!O137/'Price History'!O136-1),"")</f>
        <v>0.029733393583371</v>
      </c>
      <c r="P136" s="142" t="n">
        <f aca="false">IFERROR(IF(OR(NOT(ISNUMBER('Price History'!P137)),NOT(ISNUMBER('Price History'!P136)),'Price History'!P136=0),"",'Price History'!P137/'Price History'!P136-1),"")</f>
        <v>0.00515947467166966</v>
      </c>
      <c r="Q136" s="142" t="n">
        <f aca="false">IFERROR(IF(OR(NOT(ISNUMBER('Price History'!Q137)),NOT(ISNUMBER('Price History'!Q136)),'Price History'!Q136=0),"",'Price History'!Q137/'Price History'!Q136-1),"")</f>
        <v>0.0203283815480844</v>
      </c>
      <c r="R136" s="142" t="n">
        <f aca="false">IFERROR(IF(OR(NOT(ISNUMBER('Price History'!R137)),NOT(ISNUMBER('Price History'!R136)),'Price History'!R136=0),"",'Price History'!R137/'Price History'!R136-1),"")</f>
        <v>0.0363845270011489</v>
      </c>
      <c r="S136" s="142" t="n">
        <f aca="false">IFERROR(IF(OR(NOT(ISNUMBER('Price History'!S137)),NOT(ISNUMBER('Price History'!S136)),'Price History'!S136=0),"",'Price History'!S137/'Price History'!S136-1),"")</f>
        <v>0.0749256863087953</v>
      </c>
      <c r="T136" s="142" t="n">
        <f aca="false">IFERROR(IF(OR(NOT(ISNUMBER('Price History'!T137)),NOT(ISNUMBER('Price History'!T136)),'Price History'!T136=0),"",'Price History'!T137/'Price History'!T136-1),"")</f>
        <v>-0.00428967953570536</v>
      </c>
      <c r="U136" s="142" t="n">
        <f aca="false">IFERROR(IF(OR(NOT(ISNUMBER('Price History'!U137)),NOT(ISNUMBER('Price History'!U136)),'Price History'!U136=0),"",'Price History'!U137/'Price History'!U136-1),"")</f>
        <v>0</v>
      </c>
      <c r="V136" s="143" t="n">
        <f aca="false">IFERROR(IF(OR(NOT(ISNUMBER('Price History'!V137)),NOT(ISNUMBER('Price History'!V136)),'Price History'!V136=0),"",'Price History'!V137/'Price History'!V136-1),"")</f>
        <v>0.0118483412322274</v>
      </c>
      <c r="W136" s="144" t="n">
        <f aca="false">IFERROR('Price History'!B3+(INDEX('Price History'!B:B,MATCH(9.99E+307,'Returns (Calc)'!$A:$A)+1)-'Price History'!B3)*(ROW()-3)/(MATCH(9.99E+307,'Returns (Calc)'!$A:$A)-3),"")</f>
        <v>283.765949367089</v>
      </c>
      <c r="X136" s="144" t="n">
        <f aca="false">IFERROR('Price History'!C3+(INDEX('Price History'!C:C,MATCH(9.99E+307,'Returns (Calc)'!$A:$A)+1)-'Price History'!C3)*(ROW()-3)/(MATCH(9.99E+307,'Returns (Calc)'!$A:$A)-3),"")</f>
        <v>181.848417721519</v>
      </c>
      <c r="Y136" s="144" t="n">
        <f aca="false">IFERROR('Price History'!D3+(INDEX('Price History'!D:D,MATCH(9.99E+307,'Returns (Calc)'!$A:$A)+1)-'Price History'!D3)*(ROW()-3)/(MATCH(9.99E+307,'Returns (Calc)'!$A:$A)-3),"")</f>
        <v>1663.93974683544</v>
      </c>
      <c r="Z136" s="144" t="n">
        <f aca="false">IFERROR('Price History'!E3+(INDEX('Price History'!E:E,MATCH(9.99E+307,'Returns (Calc)'!$A:$A)+1)-'Price History'!E3)*(ROW()-3)/(MATCH(9.99E+307,'Returns (Calc)'!$A:$A)-3),"")</f>
        <v>311.92164556962</v>
      </c>
      <c r="AA136" s="144" t="n">
        <f aca="false">IFERROR('Price History'!F3+(INDEX('Price History'!F:F,MATCH(9.99E+307,'Returns (Calc)'!$A:$A)+1)-'Price History'!F3)*(ROW()-3)/(MATCH(9.99E+307,'Returns (Calc)'!$A:$A)-3),"")</f>
        <v>233.856455696203</v>
      </c>
      <c r="AB136" s="144" t="n">
        <f aca="false">IFERROR('Price History'!G3+(INDEX('Price History'!G:G,MATCH(9.99E+307,'Returns (Calc)'!$A:$A)+1)-'Price History'!G3)*(ROW()-3)/(MATCH(9.99E+307,'Returns (Calc)'!$A:$A)-3),"")</f>
        <v>181.17164556962</v>
      </c>
      <c r="AC136" s="144" t="n">
        <f aca="false">IFERROR('Price History'!H3+(INDEX('Price History'!H:H,MATCH(9.99E+307,'Returns (Calc)'!$A:$A)+1)-'Price History'!H3)*(ROW()-3)/(MATCH(9.99E+307,'Returns (Calc)'!$A:$A)-3),"")</f>
        <v>915.747594936709</v>
      </c>
      <c r="AD136" s="144" t="n">
        <f aca="false">IFERROR('Price History'!I3+(INDEX('Price History'!I:I,MATCH(9.99E+307,'Returns (Calc)'!$A:$A)+1)-'Price History'!I3)*(ROW()-3)/(MATCH(9.99E+307,'Returns (Calc)'!$A:$A)-3),"")</f>
        <v>203.858227848101</v>
      </c>
      <c r="AE136" s="144" t="n">
        <f aca="false">IFERROR('Price History'!J3+(INDEX('Price History'!J:J,MATCH(9.99E+307,'Returns (Calc)'!$A:$A)+1)-'Price History'!J3)*(ROW()-3)/(MATCH(9.99E+307,'Returns (Calc)'!$A:$A)-3),"")</f>
        <v>126.209050632911</v>
      </c>
      <c r="AF136" s="144" t="n">
        <f aca="false">IFERROR('Price History'!K3+(INDEX('Price History'!K:K,MATCH(9.99E+307,'Returns (Calc)'!$A:$A)+1)-'Price History'!K3)*(ROW()-3)/(MATCH(9.99E+307,'Returns (Calc)'!$A:$A)-3),"")</f>
        <v>161.310126582278</v>
      </c>
      <c r="AG136" s="144" t="n">
        <f aca="false">IFERROR('Price History'!L3+(INDEX('Price History'!L:L,MATCH(9.99E+307,'Returns (Calc)'!$A:$A)+1)-'Price History'!L3)*(ROW()-3)/(MATCH(9.99E+307,'Returns (Calc)'!$A:$A)-3),"")</f>
        <v>411.541075949367</v>
      </c>
      <c r="AH136" s="144" t="n">
        <f aca="false">IFERROR('Price History'!M3+(INDEX('Price History'!M:M,MATCH(9.99E+307,'Returns (Calc)'!$A:$A)+1)-'Price History'!M3)*(ROW()-3)/(MATCH(9.99E+307,'Returns (Calc)'!$A:$A)-3),"")</f>
        <v>218.293924050633</v>
      </c>
      <c r="AI136" s="144" t="n">
        <f aca="false">IFERROR('Price History'!N3+(INDEX('Price History'!N:N,MATCH(9.99E+307,'Returns (Calc)'!$A:$A)+1)-'Price History'!N3)*(ROW()-3)/(MATCH(9.99E+307,'Returns (Calc)'!$A:$A)-3),"")</f>
        <v>480.07335443038</v>
      </c>
      <c r="AJ136" s="144" t="n">
        <f aca="false">IFERROR('Price History'!O3+(INDEX('Price History'!O:O,MATCH(9.99E+307,'Returns (Calc)'!$A:$A)+1)-'Price History'!O3)*(ROW()-3)/(MATCH(9.99E+307,'Returns (Calc)'!$A:$A)-3),"")</f>
        <v>112.954050632911</v>
      </c>
      <c r="AK136" s="144" t="n">
        <f aca="false">IFERROR('Price History'!Q3+(INDEX('Price History'!Q:Q,MATCH(9.99E+307,'Returns (Calc)'!$A:$A)+1)-'Price History'!Q3)*(ROW()-3)/(MATCH(9.99E+307,'Returns (Calc)'!$A:$A)-3),"")</f>
        <v>58.4358227848101</v>
      </c>
      <c r="AL136" s="144" t="n">
        <f aca="false">IFERROR('Price History'!R3+(INDEX('Price History'!R:R,MATCH(9.99E+307,'Returns (Calc)'!$A:$A)+1)-'Price History'!R3)*(ROW()-3)/(MATCH(9.99E+307,'Returns (Calc)'!$A:$A)-3),"")</f>
        <v>56.8374683544304</v>
      </c>
      <c r="AM136" s="144" t="n">
        <f aca="false">IFERROR('Price History'!S3+(INDEX('Price History'!S:S,MATCH(9.99E+307,'Returns (Calc)'!$A:$A)+1)-'Price History'!S3)*(ROW()-3)/(MATCH(9.99E+307,'Returns (Calc)'!$A:$A)-3),"")</f>
        <v>138.103417721519</v>
      </c>
      <c r="AN136" s="144" t="n">
        <f aca="false">IFERROR('Price History'!T3+(INDEX('Price History'!T:T,MATCH(9.99E+307,'Returns (Calc)'!$A:$A)+1)-'Price History'!T3)*(ROW()-3)/(MATCH(9.99E+307,'Returns (Calc)'!$A:$A)-3),"")</f>
        <v>47.6143037974684</v>
      </c>
      <c r="AO136" s="145" t="n">
        <f aca="false">IFERROR('Price History'!V3+(INDEX('Price History'!V:V,MATCH(9.99E+307,'Returns (Calc)'!$A:$A)+1)-'Price History'!V3)*(ROW()-3)/(MATCH(9.99E+307,'Returns (Calc)'!$A:$A)-3),"")</f>
        <v>340.876772151899</v>
      </c>
      <c r="AP136" s="143" t="n">
        <f aca="false">IFERROR(IF(OR(NOT(ISNUMBER('Price History'!W137)),NOT(ISNUMBER('Price History'!W136)),'Price History'!W136=0),"",'Price History'!W137/'Price History'!W136-1),"")</f>
        <v>0.0267112993578358</v>
      </c>
      <c r="AQ136" s="143" t="n">
        <f aca="false">IFERROR(IF(OR(NOT(ISNUMBER('Price History'!X137)),NOT(ISNUMBER('Price History'!X136)),'Price History'!X136=0),"",'Price History'!X137/'Price History'!X136-1),"")</f>
        <v>-0.00114744693057955</v>
      </c>
      <c r="AR136" s="143" t="n">
        <f aca="false">IFERROR(IF(OR(NOT(ISNUMBER('Price History'!Y137)),NOT(ISNUMBER('Price History'!Y136)),'Price History'!Y136=0),"",'Price History'!Y137/'Price History'!Y136-1),"")</f>
        <v>0.0193726937269372</v>
      </c>
      <c r="AS136" s="143" t="n">
        <f aca="false">IFERROR(IF(OR(NOT(ISNUMBER('Price History'!Z137)),NOT(ISNUMBER('Price History'!Z136)),'Price History'!Z136=0),"",'Price History'!Z137/'Price History'!Z136-1),"")</f>
        <v>0.0967202022719989</v>
      </c>
      <c r="AT136" s="143" t="n">
        <f aca="false">IFERROR(IF(OR(NOT(ISNUMBER('Price History'!AA137)),NOT(ISNUMBER('Price History'!AA136)),'Price History'!AA136=0),"",'Price History'!AA137/'Price History'!AA136-1),"")</f>
        <v>0.0440908169470911</v>
      </c>
    </row>
    <row r="137" customFormat="false" ht="15" hidden="false" customHeight="true" outlineLevel="0" collapsed="false">
      <c r="A137" s="141" t="n">
        <f aca="false">IF('Price History'!A138="","",'Price History'!A138)</f>
        <v>46129</v>
      </c>
      <c r="B137" s="142" t="n">
        <f aca="false">IFERROR(IF(OR(NOT(ISNUMBER('Price History'!B138)),NOT(ISNUMBER('Price History'!B137)),'Price History'!B137=0),"",'Price History'!B138/'Price History'!B137-1),"")</f>
        <v>0.0847570445972932</v>
      </c>
      <c r="C137" s="142" t="n">
        <f aca="false">IFERROR(IF(OR(NOT(ISNUMBER('Price History'!C138)),NOT(ISNUMBER('Price History'!C137)),'Price History'!C137=0),"",'Price History'!C138/'Price History'!C137-1),"")</f>
        <v>0.114557176789956</v>
      </c>
      <c r="D137" s="142" t="n">
        <f aca="false">IFERROR(IF(OR(NOT(ISNUMBER('Price History'!D138)),NOT(ISNUMBER('Price History'!D137)),'Price History'!D137=0),"",'Price History'!D138/'Price History'!D137-1),"")</f>
        <v>-0.012497030173438</v>
      </c>
      <c r="E137" s="142" t="n">
        <f aca="false">IFERROR(IF(OR(NOT(ISNUMBER('Price History'!E138)),NOT(ISNUMBER('Price History'!E137)),'Price History'!E137=0),"",'Price History'!E138/'Price History'!E137-1),"")</f>
        <v>0.0941694347673445</v>
      </c>
      <c r="F137" s="142" t="n">
        <f aca="false">IFERROR(IF(OR(NOT(ISNUMBER('Price History'!F138)),NOT(ISNUMBER('Price History'!F137)),'Price History'!F137=0),"",'Price History'!F138/'Price History'!F137-1),"")</f>
        <v>0.118627968337731</v>
      </c>
      <c r="G137" s="142" t="n">
        <f aca="false">IFERROR(IF(OR(NOT(ISNUMBER('Price History'!G138)),NOT(ISNUMBER('Price History'!G137)),'Price History'!G137=0),"",'Price History'!G138/'Price History'!G137-1),"")</f>
        <v>0.0311580405054528</v>
      </c>
      <c r="H137" s="142" t="n">
        <f aca="false">IFERROR(IF(OR(NOT(ISNUMBER('Price History'!H138)),NOT(ISNUMBER('Price History'!H137)),'Price History'!H137=0),"",'Price History'!H138/'Price History'!H137-1),"")</f>
        <v>0.0819679927710271</v>
      </c>
      <c r="I137" s="142" t="n">
        <f aca="false">IFERROR(IF(OR(NOT(ISNUMBER('Price History'!I138)),NOT(ISNUMBER('Price History'!I137)),'Price History'!I137=0),"",'Price History'!I138/'Price History'!I137-1),"")</f>
        <v>0.069181721572795</v>
      </c>
      <c r="J137" s="142" t="n">
        <f aca="false">IFERROR(IF(OR(NOT(ISNUMBER('Price History'!J138)),NOT(ISNUMBER('Price History'!J137)),'Price History'!J137=0),"",'Price History'!J138/'Price History'!J137-1),"")</f>
        <v>0.0576481906312438</v>
      </c>
      <c r="K137" s="142" t="n">
        <f aca="false">IFERROR(IF(OR(NOT(ISNUMBER('Price History'!K138)),NOT(ISNUMBER('Price History'!K137)),'Price History'!K137=0),"",'Price History'!K138/'Price History'!K137-1),"")</f>
        <v>0.143136029985944</v>
      </c>
      <c r="L137" s="142" t="n">
        <f aca="false">IFERROR(IF(OR(NOT(ISNUMBER('Price History'!L138)),NOT(ISNUMBER('Price History'!L137)),'Price History'!L137=0),"",'Price History'!L138/'Price History'!L137-1),"")</f>
        <v>-0.0002440744155775</v>
      </c>
      <c r="M137" s="142" t="n">
        <f aca="false">IFERROR(IF(OR(NOT(ISNUMBER('Price History'!M138)),NOT(ISNUMBER('Price History'!M137)),'Price History'!M137=0),"",'Price History'!M138/'Price History'!M137-1),"")</f>
        <v>0.0414265373923655</v>
      </c>
      <c r="N137" s="142" t="n">
        <f aca="false">IFERROR(IF(OR(NOT(ISNUMBER('Price History'!N138)),NOT(ISNUMBER('Price History'!N137)),'Price History'!N137=0),"",'Price History'!N138/'Price History'!N137-1),"")</f>
        <v>0.0113003415316204</v>
      </c>
      <c r="O137" s="142" t="n">
        <f aca="false">IFERROR(IF(OR(NOT(ISNUMBER('Price History'!O138)),NOT(ISNUMBER('Price History'!O137)),'Price History'!O137=0),"",'Price History'!O138/'Price History'!O137-1),"")</f>
        <v>0.0243110408987186</v>
      </c>
      <c r="P137" s="142" t="n">
        <f aca="false">IFERROR(IF(OR(NOT(ISNUMBER('Price History'!P138)),NOT(ISNUMBER('Price History'!P137)),'Price History'!P137=0),"",'Price History'!P138/'Price History'!P137-1),"")</f>
        <v>0.00459969335377641</v>
      </c>
      <c r="Q137" s="142" t="n">
        <f aca="false">IFERROR(IF(OR(NOT(ISNUMBER('Price History'!Q138)),NOT(ISNUMBER('Price History'!Q137)),'Price History'!Q137=0),"",'Price History'!Q138/'Price History'!Q137-1),"")</f>
        <v>0.0257471264367817</v>
      </c>
      <c r="R137" s="142" t="n">
        <f aca="false">IFERROR(IF(OR(NOT(ISNUMBER('Price History'!R138)),NOT(ISNUMBER('Price History'!R137)),'Price History'!R137=0),"",'Price History'!R138/'Price History'!R137-1),"")</f>
        <v>0.018107908351811</v>
      </c>
      <c r="S137" s="142" t="n">
        <f aca="false">IFERROR(IF(OR(NOT(ISNUMBER('Price History'!S138)),NOT(ISNUMBER('Price History'!S137)),'Price History'!S137=0),"",'Price History'!S138/'Price History'!S137-1),"")</f>
        <v>0.0401789345262302</v>
      </c>
      <c r="T137" s="142" t="n">
        <f aca="false">IFERROR(IF(OR(NOT(ISNUMBER('Price History'!T138)),NOT(ISNUMBER('Price History'!T137)),'Price History'!T137=0),"",'Price History'!T138/'Price History'!T137-1),"")</f>
        <v>0.0534718702483528</v>
      </c>
      <c r="U137" s="142" t="n">
        <f aca="false">IFERROR(IF(OR(NOT(ISNUMBER('Price History'!U138)),NOT(ISNUMBER('Price History'!U137)),'Price History'!U137=0),"",'Price History'!U138/'Price History'!U137-1),"")</f>
        <v>0.0159574468085106</v>
      </c>
      <c r="V137" s="143" t="n">
        <f aca="false">IFERROR(IF(OR(NOT(ISNUMBER('Price History'!V138)),NOT(ISNUMBER('Price History'!V137)),'Price History'!V137=0),"",'Price History'!V138/'Price History'!V137-1),"")</f>
        <v>0.0415938252465613</v>
      </c>
      <c r="W137" s="144" t="n">
        <f aca="false">IFERROR('Price History'!B3+(INDEX('Price History'!B:B,MATCH(9.99E+307,'Returns (Calc)'!$A:$A)+1)-'Price History'!B3)*(ROW()-3)/(MATCH(9.99E+307,'Returns (Calc)'!$A:$A)-3),"")</f>
        <v>281.922911392405</v>
      </c>
      <c r="X137" s="144" t="n">
        <f aca="false">IFERROR('Price History'!C3+(INDEX('Price History'!C:C,MATCH(9.99E+307,'Returns (Calc)'!$A:$A)+1)-'Price History'!C3)*(ROW()-3)/(MATCH(9.99E+307,'Returns (Calc)'!$A:$A)-3),"")</f>
        <v>182.868481012658</v>
      </c>
      <c r="Y137" s="144" t="n">
        <f aca="false">IFERROR('Price History'!D3+(INDEX('Price History'!D:D,MATCH(9.99E+307,'Returns (Calc)'!$A:$A)+1)-'Price History'!D3)*(ROW()-3)/(MATCH(9.99E+307,'Returns (Calc)'!$A:$A)-3),"")</f>
        <v>1672.07455696203</v>
      </c>
      <c r="Z137" s="144" t="n">
        <f aca="false">IFERROR('Price History'!E3+(INDEX('Price History'!E:E,MATCH(9.99E+307,'Returns (Calc)'!$A:$A)+1)-'Price History'!E3)*(ROW()-3)/(MATCH(9.99E+307,'Returns (Calc)'!$A:$A)-3),"")</f>
        <v>313.650379746835</v>
      </c>
      <c r="AA137" s="144" t="n">
        <f aca="false">IFERROR('Price History'!F3+(INDEX('Price History'!F:F,MATCH(9.99E+307,'Returns (Calc)'!$A:$A)+1)-'Price History'!F3)*(ROW()-3)/(MATCH(9.99E+307,'Returns (Calc)'!$A:$A)-3),"")</f>
        <v>235.303797468354</v>
      </c>
      <c r="AB137" s="144" t="n">
        <f aca="false">IFERROR('Price History'!G3+(INDEX('Price History'!G:G,MATCH(9.99E+307,'Returns (Calc)'!$A:$A)+1)-'Price History'!G3)*(ROW()-3)/(MATCH(9.99E+307,'Returns (Calc)'!$A:$A)-3),"")</f>
        <v>182.200379746835</v>
      </c>
      <c r="AC137" s="144" t="n">
        <f aca="false">IFERROR('Price History'!H3+(INDEX('Price History'!H:H,MATCH(9.99E+307,'Returns (Calc)'!$A:$A)+1)-'Price History'!H3)*(ROW()-3)/(MATCH(9.99E+307,'Returns (Calc)'!$A:$A)-3),"")</f>
        <v>922.113291139241</v>
      </c>
      <c r="AD137" s="144" t="n">
        <f aca="false">IFERROR('Price History'!I3+(INDEX('Price History'!I:I,MATCH(9.99E+307,'Returns (Calc)'!$A:$A)+1)-'Price History'!I3)*(ROW()-3)/(MATCH(9.99E+307,'Returns (Calc)'!$A:$A)-3),"")</f>
        <v>205.061898734177</v>
      </c>
      <c r="AE137" s="144" t="n">
        <f aca="false">IFERROR('Price History'!J3+(INDEX('Price History'!J:J,MATCH(9.99E+307,'Returns (Calc)'!$A:$A)+1)-'Price History'!J3)*(ROW()-3)/(MATCH(9.99E+307,'Returns (Calc)'!$A:$A)-3),"")</f>
        <v>126.317088607595</v>
      </c>
      <c r="AF137" s="144" t="n">
        <f aca="false">IFERROR('Price History'!K3+(INDEX('Price History'!K:K,MATCH(9.99E+307,'Returns (Calc)'!$A:$A)+1)-'Price History'!K3)*(ROW()-3)/(MATCH(9.99E+307,'Returns (Calc)'!$A:$A)-3),"")</f>
        <v>162.407721518987</v>
      </c>
      <c r="AG137" s="144" t="n">
        <f aca="false">IFERROR('Price History'!L3+(INDEX('Price History'!L:L,MATCH(9.99E+307,'Returns (Calc)'!$A:$A)+1)-'Price History'!L3)*(ROW()-3)/(MATCH(9.99E+307,'Returns (Calc)'!$A:$A)-3),"")</f>
        <v>413.990632911392</v>
      </c>
      <c r="AH137" s="144" t="n">
        <f aca="false">IFERROR('Price History'!M3+(INDEX('Price History'!M:M,MATCH(9.99E+307,'Returns (Calc)'!$A:$A)+1)-'Price History'!M3)*(ROW()-3)/(MATCH(9.99E+307,'Returns (Calc)'!$A:$A)-3),"")</f>
        <v>219.649367088608</v>
      </c>
      <c r="AI137" s="144" t="n">
        <f aca="false">IFERROR('Price History'!N3+(INDEX('Price History'!N:N,MATCH(9.99E+307,'Returns (Calc)'!$A:$A)+1)-'Price History'!N3)*(ROW()-3)/(MATCH(9.99E+307,'Returns (Calc)'!$A:$A)-3),"")</f>
        <v>481.059620253165</v>
      </c>
      <c r="AJ137" s="144" t="n">
        <f aca="false">IFERROR('Price History'!O3+(INDEX('Price History'!O:O,MATCH(9.99E+307,'Returns (Calc)'!$A:$A)+1)-'Price History'!O3)*(ROW()-3)/(MATCH(9.99E+307,'Returns (Calc)'!$A:$A)-3),"")</f>
        <v>113.237088607595</v>
      </c>
      <c r="AK137" s="144" t="n">
        <f aca="false">IFERROR('Price History'!Q3+(INDEX('Price History'!Q:Q,MATCH(9.99E+307,'Returns (Calc)'!$A:$A)+1)-'Price History'!Q3)*(ROW()-3)/(MATCH(9.99E+307,'Returns (Calc)'!$A:$A)-3),"")</f>
        <v>58.8751898734177</v>
      </c>
      <c r="AL137" s="144" t="n">
        <f aca="false">IFERROR('Price History'!R3+(INDEX('Price History'!R:R,MATCH(9.99E+307,'Returns (Calc)'!$A:$A)+1)-'Price History'!R3)*(ROW()-3)/(MATCH(9.99E+307,'Returns (Calc)'!$A:$A)-3),"")</f>
        <v>57.0055696202532</v>
      </c>
      <c r="AM137" s="144" t="n">
        <f aca="false">IFERROR('Price History'!S3+(INDEX('Price History'!S:S,MATCH(9.99E+307,'Returns (Calc)'!$A:$A)+1)-'Price History'!S3)*(ROW()-3)/(MATCH(9.99E+307,'Returns (Calc)'!$A:$A)-3),"")</f>
        <v>138.708481012658</v>
      </c>
      <c r="AN137" s="144" t="n">
        <f aca="false">IFERROR('Price History'!T3+(INDEX('Price History'!T:T,MATCH(9.99E+307,'Returns (Calc)'!$A:$A)+1)-'Price History'!T3)*(ROW()-3)/(MATCH(9.99E+307,'Returns (Calc)'!$A:$A)-3),"")</f>
        <v>47.7825316455696</v>
      </c>
      <c r="AO137" s="145" t="n">
        <f aca="false">IFERROR('Price History'!V3+(INDEX('Price History'!V:V,MATCH(9.99E+307,'Returns (Calc)'!$A:$A)+1)-'Price History'!V3)*(ROW()-3)/(MATCH(9.99E+307,'Returns (Calc)'!$A:$A)-3),"")</f>
        <v>341.668101265823</v>
      </c>
      <c r="AP137" s="143" t="n">
        <f aca="false">IFERROR(IF(OR(NOT(ISNUMBER('Price History'!W138)),NOT(ISNUMBER('Price History'!W137)),'Price History'!W137=0),"",'Price History'!W138/'Price History'!W137-1),"")</f>
        <v>0.0200279459711226</v>
      </c>
      <c r="AQ137" s="143" t="n">
        <f aca="false">IFERROR(IF(OR(NOT(ISNUMBER('Price History'!X138)),NOT(ISNUMBER('Price History'!X137)),'Price History'!X137=0),"",'Price History'!X138/'Price History'!X137-1),"")</f>
        <v>-0.0250813708596591</v>
      </c>
      <c r="AR137" s="143" t="n">
        <f aca="false">IFERROR(IF(OR(NOT(ISNUMBER('Price History'!Y138)),NOT(ISNUMBER('Price History'!Y137)),'Price History'!Y137=0),"",'Price History'!Y138/'Price History'!Y137-1),"")</f>
        <v>0.00434389140271496</v>
      </c>
      <c r="AS137" s="143" t="n">
        <f aca="false">IFERROR(IF(OR(NOT(ISNUMBER('Price History'!Z138)),NOT(ISNUMBER('Price History'!Z137)),'Price History'!Z137=0),"",'Price History'!Z138/'Price History'!Z137-1),"")</f>
        <v>-0.0137026333733806</v>
      </c>
      <c r="AT137" s="143" t="n">
        <f aca="false">IFERROR(IF(OR(NOT(ISNUMBER('Price History'!AA138)),NOT(ISNUMBER('Price History'!AA137)),'Price History'!AA137=0),"",'Price History'!AA138/'Price History'!AA137-1),"")</f>
        <v>-0.0553344335501408</v>
      </c>
    </row>
    <row r="138" customFormat="false" ht="15" hidden="false" customHeight="true" outlineLevel="0" collapsed="false">
      <c r="A138" s="141" t="n">
        <f aca="false">IF('Price History'!A139="","",'Price History'!A139)</f>
        <v>46136</v>
      </c>
      <c r="B138" s="142" t="n">
        <f aca="false">IFERROR(IF(OR(NOT(ISNUMBER('Price History'!B139)),NOT(ISNUMBER('Price History'!B138)),'Price History'!B138=0),"",'Price History'!B139/'Price History'!B138-1),"")</f>
        <v>0.0040499079566374</v>
      </c>
      <c r="C138" s="142" t="n">
        <f aca="false">IFERROR(IF(OR(NOT(ISNUMBER('Price History'!C139)),NOT(ISNUMBER('Price History'!C138)),'Price History'!C138=0),"",'Price History'!C139/'Price History'!C138-1),"")</f>
        <v>0.0772087925470377</v>
      </c>
      <c r="D138" s="142" t="n">
        <f aca="false">IFERROR(IF(OR(NOT(ISNUMBER('Price History'!D139)),NOT(ISNUMBER('Price History'!D138)),'Price History'!D138=0),"",'Price History'!D139/'Price History'!D138-1),"")</f>
        <v>-0.00144355692426135</v>
      </c>
      <c r="E138" s="142" t="n">
        <f aca="false">IFERROR(IF(OR(NOT(ISNUMBER('Price History'!E139)),NOT(ISNUMBER('Price History'!E138)),'Price History'!E138=0),"",'Price History'!E139/'Price History'!E138-1),"")</f>
        <v>0.0398854773422845</v>
      </c>
      <c r="F138" s="142" t="n">
        <f aca="false">IFERROR(IF(OR(NOT(ISNUMBER('Price History'!F139)),NOT(ISNUMBER('Price History'!F138)),'Price History'!F138=0),"",'Price History'!F139/'Price History'!F138-1),"")</f>
        <v>0.0569865081611474</v>
      </c>
      <c r="G138" s="142" t="n">
        <f aca="false">IFERROR(IF(OR(NOT(ISNUMBER('Price History'!G139)),NOT(ISNUMBER('Price History'!G138)),'Price History'!G138=0),"",'Price History'!G139/'Price History'!G138-1),"")</f>
        <v>0.0801857758379496</v>
      </c>
      <c r="H138" s="142" t="n">
        <f aca="false">IFERROR(IF(OR(NOT(ISNUMBER('Price History'!H139)),NOT(ISNUMBER('Price History'!H138)),'Price History'!H138=0),"",'Price History'!H139/'Price History'!H138-1),"")</f>
        <v>0.0915164835164835</v>
      </c>
      <c r="I138" s="142" t="n">
        <f aca="false">IFERROR(IF(OR(NOT(ISNUMBER('Price History'!I139)),NOT(ISNUMBER('Price History'!I138)),'Price History'!I138=0),"",'Price History'!I139/'Price History'!I138-1),"")</f>
        <v>0.0327005267866019</v>
      </c>
      <c r="J138" s="142" t="n">
        <f aca="false">IFERROR(IF(OR(NOT(ISNUMBER('Price History'!J139)),NOT(ISNUMBER('Price History'!J138)),'Price History'!J138=0),"",'Price History'!J139/'Price History'!J138-1),"")</f>
        <v>-0.0207108872096277</v>
      </c>
      <c r="K138" s="142" t="n">
        <f aca="false">IFERROR(IF(OR(NOT(ISNUMBER('Price History'!K139)),NOT(ISNUMBER('Price History'!K138)),'Price History'!K138=0),"",'Price History'!K139/'Price History'!K138-1),"")</f>
        <v>-0.0225425233964067</v>
      </c>
      <c r="L138" s="142" t="n">
        <f aca="false">IFERROR(IF(OR(NOT(ISNUMBER('Price History'!L139)),NOT(ISNUMBER('Price History'!L138)),'Price History'!L138=0),"",'Price History'!L139/'Price History'!L138-1),"")</f>
        <v>0.0862606808626067</v>
      </c>
      <c r="M138" s="142" t="n">
        <f aca="false">IFERROR(IF(OR(NOT(ISNUMBER('Price History'!M139)),NOT(ISNUMBER('Price History'!M138)),'Price History'!M138=0),"",'Price History'!M139/'Price History'!M138-1),"")</f>
        <v>0.05244140625</v>
      </c>
      <c r="N138" s="142" t="n">
        <f aca="false">IFERROR(IF(OR(NOT(ISNUMBER('Price History'!N139)),NOT(ISNUMBER('Price History'!N138)),'Price History'!N138=0),"",'Price History'!N139/'Price History'!N138-1),"")</f>
        <v>-0.0247280145058929</v>
      </c>
      <c r="O138" s="142" t="n">
        <f aca="false">IFERROR(IF(OR(NOT(ISNUMBER('Price History'!O139)),NOT(ISNUMBER('Price History'!O138)),'Price History'!O138=0),"",'Price History'!O139/'Price History'!O138-1),"")</f>
        <v>0.0122525918944392</v>
      </c>
      <c r="P138" s="142" t="n">
        <f aca="false">IFERROR(IF(OR(NOT(ISNUMBER('Price History'!P139)),NOT(ISNUMBER('Price History'!P138)),'Price History'!P138=0),"",'Price History'!P139/'Price History'!P138-1),"")</f>
        <v>-0.00809555408095553</v>
      </c>
      <c r="Q138" s="142" t="n">
        <f aca="false">IFERROR(IF(OR(NOT(ISNUMBER('Price History'!Q139)),NOT(ISNUMBER('Price History'!Q138)),'Price History'!Q138=0),"",'Price History'!Q139/'Price History'!Q138-1),"")</f>
        <v>0.00224114746750326</v>
      </c>
      <c r="R138" s="142" t="n">
        <f aca="false">IFERROR(IF(OR(NOT(ISNUMBER('Price History'!R139)),NOT(ISNUMBER('Price History'!R138)),'Price History'!R138=0),"",'Price History'!R139/'Price History'!R138-1),"")</f>
        <v>0.00562613430127024</v>
      </c>
      <c r="S138" s="142" t="n">
        <f aca="false">IFERROR(IF(OR(NOT(ISNUMBER('Price History'!S139)),NOT(ISNUMBER('Price History'!S138)),'Price History'!S138=0),"",'Price History'!S139/'Price History'!S138-1),"")</f>
        <v>0.0250996950504339</v>
      </c>
      <c r="T138" s="142" t="n">
        <f aca="false">IFERROR(IF(OR(NOT(ISNUMBER('Price History'!T139)),NOT(ISNUMBER('Price History'!T138)),'Price History'!T138=0),"",'Price History'!T139/'Price History'!T138-1),"")</f>
        <v>-0.00553283617993738</v>
      </c>
      <c r="U138" s="142" t="n">
        <f aca="false">IFERROR(IF(OR(NOT(ISNUMBER('Price History'!U139)),NOT(ISNUMBER('Price History'!U138)),'Price History'!U138=0),"",'Price History'!U139/'Price History'!U138-1),"")</f>
        <v>0.00490837696335089</v>
      </c>
      <c r="V138" s="143" t="n">
        <f aca="false">IFERROR(IF(OR(NOT(ISNUMBER('Price History'!V139)),NOT(ISNUMBER('Price History'!V138)),'Price History'!V138=0),"",'Price History'!V139/'Price History'!V138-1),"")</f>
        <v>-0.0239723858382418</v>
      </c>
      <c r="W138" s="144" t="n">
        <f aca="false">IFERROR('Price History'!B3+(INDEX('Price History'!B:B,MATCH(9.99E+307,'Returns (Calc)'!$A:$A)+1)-'Price History'!B3)*(ROW()-3)/(MATCH(9.99E+307,'Returns (Calc)'!$A:$A)-3),"")</f>
        <v>280.079873417722</v>
      </c>
      <c r="X138" s="144" t="n">
        <f aca="false">IFERROR('Price History'!C3+(INDEX('Price History'!C:C,MATCH(9.99E+307,'Returns (Calc)'!$A:$A)+1)-'Price History'!C3)*(ROW()-3)/(MATCH(9.99E+307,'Returns (Calc)'!$A:$A)-3),"")</f>
        <v>183.888544303797</v>
      </c>
      <c r="Y138" s="144" t="n">
        <f aca="false">IFERROR('Price History'!D3+(INDEX('Price History'!D:D,MATCH(9.99E+307,'Returns (Calc)'!$A:$A)+1)-'Price History'!D3)*(ROW()-3)/(MATCH(9.99E+307,'Returns (Calc)'!$A:$A)-3),"")</f>
        <v>1680.20936708861</v>
      </c>
      <c r="Z138" s="144" t="n">
        <f aca="false">IFERROR('Price History'!E3+(INDEX('Price History'!E:E,MATCH(9.99E+307,'Returns (Calc)'!$A:$A)+1)-'Price History'!E3)*(ROW()-3)/(MATCH(9.99E+307,'Returns (Calc)'!$A:$A)-3),"")</f>
        <v>315.379113924051</v>
      </c>
      <c r="AA138" s="144" t="n">
        <f aca="false">IFERROR('Price History'!F3+(INDEX('Price History'!F:F,MATCH(9.99E+307,'Returns (Calc)'!$A:$A)+1)-'Price History'!F3)*(ROW()-3)/(MATCH(9.99E+307,'Returns (Calc)'!$A:$A)-3),"")</f>
        <v>236.751139240506</v>
      </c>
      <c r="AB138" s="144" t="n">
        <f aca="false">IFERROR('Price History'!G3+(INDEX('Price History'!G:G,MATCH(9.99E+307,'Returns (Calc)'!$A:$A)+1)-'Price History'!G3)*(ROW()-3)/(MATCH(9.99E+307,'Returns (Calc)'!$A:$A)-3),"")</f>
        <v>183.229113924051</v>
      </c>
      <c r="AC138" s="144" t="n">
        <f aca="false">IFERROR('Price History'!H3+(INDEX('Price History'!H:H,MATCH(9.99E+307,'Returns (Calc)'!$A:$A)+1)-'Price History'!H3)*(ROW()-3)/(MATCH(9.99E+307,'Returns (Calc)'!$A:$A)-3),"")</f>
        <v>928.478987341772</v>
      </c>
      <c r="AD138" s="144" t="n">
        <f aca="false">IFERROR('Price History'!I3+(INDEX('Price History'!I:I,MATCH(9.99E+307,'Returns (Calc)'!$A:$A)+1)-'Price History'!I3)*(ROW()-3)/(MATCH(9.99E+307,'Returns (Calc)'!$A:$A)-3),"")</f>
        <v>206.265569620253</v>
      </c>
      <c r="AE138" s="144" t="n">
        <f aca="false">IFERROR('Price History'!J3+(INDEX('Price History'!J:J,MATCH(9.99E+307,'Returns (Calc)'!$A:$A)+1)-'Price History'!J3)*(ROW()-3)/(MATCH(9.99E+307,'Returns (Calc)'!$A:$A)-3),"")</f>
        <v>126.425126582278</v>
      </c>
      <c r="AF138" s="144" t="n">
        <f aca="false">IFERROR('Price History'!K3+(INDEX('Price History'!K:K,MATCH(9.99E+307,'Returns (Calc)'!$A:$A)+1)-'Price History'!K3)*(ROW()-3)/(MATCH(9.99E+307,'Returns (Calc)'!$A:$A)-3),"")</f>
        <v>163.505316455696</v>
      </c>
      <c r="AG138" s="144" t="n">
        <f aca="false">IFERROR('Price History'!L3+(INDEX('Price History'!L:L,MATCH(9.99E+307,'Returns (Calc)'!$A:$A)+1)-'Price History'!L3)*(ROW()-3)/(MATCH(9.99E+307,'Returns (Calc)'!$A:$A)-3),"")</f>
        <v>416.440189873418</v>
      </c>
      <c r="AH138" s="144" t="n">
        <f aca="false">IFERROR('Price History'!M3+(INDEX('Price History'!M:M,MATCH(9.99E+307,'Returns (Calc)'!$A:$A)+1)-'Price History'!M3)*(ROW()-3)/(MATCH(9.99E+307,'Returns (Calc)'!$A:$A)-3),"")</f>
        <v>221.004810126582</v>
      </c>
      <c r="AI138" s="144" t="n">
        <f aca="false">IFERROR('Price History'!N3+(INDEX('Price History'!N:N,MATCH(9.99E+307,'Returns (Calc)'!$A:$A)+1)-'Price History'!N3)*(ROW()-3)/(MATCH(9.99E+307,'Returns (Calc)'!$A:$A)-3),"")</f>
        <v>482.045886075949</v>
      </c>
      <c r="AJ138" s="144" t="n">
        <f aca="false">IFERROR('Price History'!O3+(INDEX('Price History'!O:O,MATCH(9.99E+307,'Returns (Calc)'!$A:$A)+1)-'Price History'!O3)*(ROW()-3)/(MATCH(9.99E+307,'Returns (Calc)'!$A:$A)-3),"")</f>
        <v>113.520126582278</v>
      </c>
      <c r="AK138" s="144" t="n">
        <f aca="false">IFERROR('Price History'!Q3+(INDEX('Price History'!Q:Q,MATCH(9.99E+307,'Returns (Calc)'!$A:$A)+1)-'Price History'!Q3)*(ROW()-3)/(MATCH(9.99E+307,'Returns (Calc)'!$A:$A)-3),"")</f>
        <v>59.3145569620253</v>
      </c>
      <c r="AL138" s="144" t="n">
        <f aca="false">IFERROR('Price History'!R3+(INDEX('Price History'!R:R,MATCH(9.99E+307,'Returns (Calc)'!$A:$A)+1)-'Price History'!R3)*(ROW()-3)/(MATCH(9.99E+307,'Returns (Calc)'!$A:$A)-3),"")</f>
        <v>57.173670886076</v>
      </c>
      <c r="AM138" s="144" t="n">
        <f aca="false">IFERROR('Price History'!S3+(INDEX('Price History'!S:S,MATCH(9.99E+307,'Returns (Calc)'!$A:$A)+1)-'Price History'!S3)*(ROW()-3)/(MATCH(9.99E+307,'Returns (Calc)'!$A:$A)-3),"")</f>
        <v>139.313544303797</v>
      </c>
      <c r="AN138" s="144" t="n">
        <f aca="false">IFERROR('Price History'!T3+(INDEX('Price History'!T:T,MATCH(9.99E+307,'Returns (Calc)'!$A:$A)+1)-'Price History'!T3)*(ROW()-3)/(MATCH(9.99E+307,'Returns (Calc)'!$A:$A)-3),"")</f>
        <v>47.9507594936709</v>
      </c>
      <c r="AO138" s="145" t="n">
        <f aca="false">IFERROR('Price History'!V3+(INDEX('Price History'!V:V,MATCH(9.99E+307,'Returns (Calc)'!$A:$A)+1)-'Price History'!V3)*(ROW()-3)/(MATCH(9.99E+307,'Returns (Calc)'!$A:$A)-3),"")</f>
        <v>342.459430379747</v>
      </c>
      <c r="AP138" s="143" t="n">
        <f aca="false">IFERROR(IF(OR(NOT(ISNUMBER('Price History'!W139)),NOT(ISNUMBER('Price History'!W138)),'Price History'!W138=0),"",'Price History'!W139/'Price History'!W138-1),"")</f>
        <v>-0.00104370515329433</v>
      </c>
      <c r="AQ138" s="143" t="n">
        <f aca="false">IFERROR(IF(OR(NOT(ISNUMBER('Price History'!X139)),NOT(ISNUMBER('Price History'!X138)),'Price History'!X138=0),"",'Price History'!X139/'Price History'!X138-1),"")</f>
        <v>0.0133542812254517</v>
      </c>
      <c r="AR138" s="143" t="n">
        <f aca="false">IFERROR(IF(OR(NOT(ISNUMBER('Price History'!Y139)),NOT(ISNUMBER('Price History'!Y138)),'Price History'!Y138=0),"",'Price History'!Y139/'Price History'!Y138-1),"")</f>
        <v>-0.00810956929176432</v>
      </c>
      <c r="AS138" s="143" t="n">
        <f aca="false">IFERROR(IF(OR(NOT(ISNUMBER('Price History'!Z139)),NOT(ISNUMBER('Price History'!Z138)),'Price History'!Z138=0),"",'Price History'!Z139/'Price History'!Z138-1),"")</f>
        <v>-0.0641975308641976</v>
      </c>
      <c r="AT138" s="143" t="n">
        <f aca="false">IFERROR(IF(OR(NOT(ISNUMBER('Price History'!AA139)),NOT(ISNUMBER('Price History'!AA138)),'Price History'!AA138=0),"",'Price History'!AA139/'Price History'!AA138-1),"")</f>
        <v>-0.0500462439625938</v>
      </c>
    </row>
    <row r="139" customFormat="false" ht="15" hidden="false" customHeight="true" outlineLevel="0" collapsed="false">
      <c r="A139" s="141" t="n">
        <f aca="false">IF('Price History'!A140="","",'Price History'!A140)</f>
        <v>46143</v>
      </c>
      <c r="B139" s="142" t="n">
        <f aca="false">IFERROR(IF(OR(NOT(ISNUMBER('Price History'!B140)),NOT(ISNUMBER('Price History'!B139)),'Price History'!B139=0),"",'Price History'!B140/'Price History'!B139-1),"")</f>
        <v>0.0214716427640156</v>
      </c>
      <c r="C139" s="142" t="n">
        <f aca="false">IFERROR(IF(OR(NOT(ISNUMBER('Price History'!C140)),NOT(ISNUMBER('Price History'!C139)),'Price History'!C139=0),"",'Price History'!C140/'Price History'!C139-1),"")</f>
        <v>-0.0237974111129954</v>
      </c>
      <c r="D139" s="142" t="n">
        <f aca="false">IFERROR(IF(OR(NOT(ISNUMBER('Price History'!D140)),NOT(ISNUMBER('Price History'!D139)),'Price History'!D139=0),"",'Price History'!D140/'Price History'!D139-1),"")</f>
        <v>-0.0189035136028197</v>
      </c>
      <c r="E139" s="142" t="n">
        <f aca="false">IFERROR(IF(OR(NOT(ISNUMBER('Price History'!E140)),NOT(ISNUMBER('Price History'!E139)),'Price History'!E139=0),"",'Price History'!E140/'Price History'!E139-1),"")</f>
        <v>-0.00348903446311588</v>
      </c>
      <c r="F139" s="142" t="n">
        <f aca="false">IFERROR(IF(OR(NOT(ISNUMBER('Price History'!F140)),NOT(ISNUMBER('Price History'!F139)),'Price History'!F139=0),"",'Price History'!F140/'Price History'!F139-1),"")</f>
        <v>0.0167812193162544</v>
      </c>
      <c r="G139" s="142" t="n">
        <f aca="false">IFERROR(IF(OR(NOT(ISNUMBER('Price History'!G140)),NOT(ISNUMBER('Price History'!G139)),'Price History'!G139=0),"",'Price History'!G140/'Price History'!G139-1),"")</f>
        <v>-0.107905097389142</v>
      </c>
      <c r="H139" s="142" t="n">
        <f aca="false">IFERROR(IF(OR(NOT(ISNUMBER('Price History'!H140)),NOT(ISNUMBER('Price History'!H139)),'Price History'!H139=0),"",'Price History'!H140/'Price History'!H139-1),"")</f>
        <v>0.0915955219072164</v>
      </c>
      <c r="I139" s="142" t="n">
        <f aca="false">IFERROR(IF(OR(NOT(ISNUMBER('Price History'!I140)),NOT(ISNUMBER('Price History'!I139)),'Price History'!I139=0),"",'Price History'!I140/'Price History'!I139-1),"")</f>
        <v>-0.0471607314725698</v>
      </c>
      <c r="J139" s="142" t="n">
        <f aca="false">IFERROR(IF(OR(NOT(ISNUMBER('Price History'!J140)),NOT(ISNUMBER('Price History'!J139)),'Price History'!J139=0),"",'Price History'!J140/'Price History'!J139-1),"")</f>
        <v>-0.00478708202343536</v>
      </c>
      <c r="K139" s="142" t="n">
        <f aca="false">IFERROR(IF(OR(NOT(ISNUMBER('Price History'!K140)),NOT(ISNUMBER('Price History'!K139)),'Price History'!K139=0),"",'Price History'!K140/'Price History'!K139-1),"")</f>
        <v>0.00684883639667344</v>
      </c>
      <c r="L139" s="142" t="n">
        <f aca="false">IFERROR(IF(OR(NOT(ISNUMBER('Price History'!L140)),NOT(ISNUMBER('Price History'!L139)),'Price History'!L139=0),"",'Price History'!L140/'Price History'!L139-1),"")</f>
        <v>-0.011911599450618</v>
      </c>
      <c r="M139" s="142" t="n">
        <f aca="false">IFERROR(IF(OR(NOT(ISNUMBER('Price History'!M140)),NOT(ISNUMBER('Price History'!M139)),'Price History'!M139=0),"",'Price History'!M140/'Price History'!M139-1),"")</f>
        <v>0.0150010825523492</v>
      </c>
      <c r="N139" s="142" t="n">
        <f aca="false">IFERROR(IF(OR(NOT(ISNUMBER('Price History'!N140)),NOT(ISNUMBER('Price History'!N139)),'Price History'!N139=0),"",'Price History'!N140/'Price History'!N139-1),"")</f>
        <v>-0.0148039694159753</v>
      </c>
      <c r="O139" s="142" t="n">
        <f aca="false">IFERROR(IF(OR(NOT(ISNUMBER('Price History'!O140)),NOT(ISNUMBER('Price History'!O139)),'Price History'!O139=0),"",'Price History'!O140/'Price History'!O139-1),"")</f>
        <v>0.00837988826815628</v>
      </c>
      <c r="P139" s="142" t="n">
        <f aca="false">IFERROR(IF(OR(NOT(ISNUMBER('Price History'!P140)),NOT(ISNUMBER('Price History'!P139)),'Price History'!P139=0),"",'Price History'!P140/'Price History'!P139-1),"")</f>
        <v>0.017928819909018</v>
      </c>
      <c r="Q139" s="142" t="n">
        <f aca="false">IFERROR(IF(OR(NOT(ISNUMBER('Price History'!Q140)),NOT(ISNUMBER('Price History'!Q139)),'Price History'!Q139=0),"",'Price History'!Q140/'Price History'!Q139-1),"")</f>
        <v>0.00402504472271903</v>
      </c>
      <c r="R139" s="142" t="n">
        <f aca="false">IFERROR(IF(OR(NOT(ISNUMBER('Price History'!R140)),NOT(ISNUMBER('Price History'!R139)),'Price History'!R139=0),"",'Price History'!R140/'Price History'!R139-1),"")</f>
        <v>0.0079408049088614</v>
      </c>
      <c r="S139" s="142" t="n">
        <f aca="false">IFERROR(IF(OR(NOT(ISNUMBER('Price History'!S140)),NOT(ISNUMBER('Price History'!S139)),'Price History'!S139=0),"",'Price History'!S140/'Price History'!S139-1),"")</f>
        <v>0.0221205186880245</v>
      </c>
      <c r="T139" s="142" t="n">
        <f aca="false">IFERROR(IF(OR(NOT(ISNUMBER('Price History'!T140)),NOT(ISNUMBER('Price History'!T139)),'Price History'!T139=0),"",'Price History'!T140/'Price History'!T139-1),"")</f>
        <v>0.0256410256410256</v>
      </c>
      <c r="U139" s="142" t="n">
        <f aca="false">IFERROR(IF(OR(NOT(ISNUMBER('Price History'!U140)),NOT(ISNUMBER('Price History'!U139)),'Price History'!U139=0),"",'Price History'!U140/'Price History'!U139-1),"")</f>
        <v>0.0211657440573103</v>
      </c>
      <c r="V139" s="143" t="n">
        <f aca="false">IFERROR(IF(OR(NOT(ISNUMBER('Price History'!V140)),NOT(ISNUMBER('Price History'!V139)),'Price History'!V139=0),"",'Price History'!V140/'Price History'!V139-1),"")</f>
        <v>0.0601213458356316</v>
      </c>
      <c r="W139" s="144" t="n">
        <f aca="false">IFERROR('Price History'!B3+(INDEX('Price History'!B:B,MATCH(9.99E+307,'Returns (Calc)'!$A:$A)+1)-'Price History'!B3)*(ROW()-3)/(MATCH(9.99E+307,'Returns (Calc)'!$A:$A)-3),"")</f>
        <v>278.236835443038</v>
      </c>
      <c r="X139" s="144" t="n">
        <f aca="false">IFERROR('Price History'!C3+(INDEX('Price History'!C:C,MATCH(9.99E+307,'Returns (Calc)'!$A:$A)+1)-'Price History'!C3)*(ROW()-3)/(MATCH(9.99E+307,'Returns (Calc)'!$A:$A)-3),"")</f>
        <v>184.908607594937</v>
      </c>
      <c r="Y139" s="144" t="n">
        <f aca="false">IFERROR('Price History'!D3+(INDEX('Price History'!D:D,MATCH(9.99E+307,'Returns (Calc)'!$A:$A)+1)-'Price History'!D3)*(ROW()-3)/(MATCH(9.99E+307,'Returns (Calc)'!$A:$A)-3),"")</f>
        <v>1688.34417721519</v>
      </c>
      <c r="Z139" s="144" t="n">
        <f aca="false">IFERROR('Price History'!E3+(INDEX('Price History'!E:E,MATCH(9.99E+307,'Returns (Calc)'!$A:$A)+1)-'Price History'!E3)*(ROW()-3)/(MATCH(9.99E+307,'Returns (Calc)'!$A:$A)-3),"")</f>
        <v>317.107848101266</v>
      </c>
      <c r="AA139" s="144" t="n">
        <f aca="false">IFERROR('Price History'!F3+(INDEX('Price History'!F:F,MATCH(9.99E+307,'Returns (Calc)'!$A:$A)+1)-'Price History'!F3)*(ROW()-3)/(MATCH(9.99E+307,'Returns (Calc)'!$A:$A)-3),"")</f>
        <v>238.198481012658</v>
      </c>
      <c r="AB139" s="144" t="n">
        <f aca="false">IFERROR('Price History'!G3+(INDEX('Price History'!G:G,MATCH(9.99E+307,'Returns (Calc)'!$A:$A)+1)-'Price History'!G3)*(ROW()-3)/(MATCH(9.99E+307,'Returns (Calc)'!$A:$A)-3),"")</f>
        <v>184.257848101266</v>
      </c>
      <c r="AC139" s="144" t="n">
        <f aca="false">IFERROR('Price History'!H3+(INDEX('Price History'!H:H,MATCH(9.99E+307,'Returns (Calc)'!$A:$A)+1)-'Price History'!H3)*(ROW()-3)/(MATCH(9.99E+307,'Returns (Calc)'!$A:$A)-3),"")</f>
        <v>934.844683544304</v>
      </c>
      <c r="AD139" s="144" t="n">
        <f aca="false">IFERROR('Price History'!I3+(INDEX('Price History'!I:I,MATCH(9.99E+307,'Returns (Calc)'!$A:$A)+1)-'Price History'!I3)*(ROW()-3)/(MATCH(9.99E+307,'Returns (Calc)'!$A:$A)-3),"")</f>
        <v>207.469240506329</v>
      </c>
      <c r="AE139" s="144" t="n">
        <f aca="false">IFERROR('Price History'!J3+(INDEX('Price History'!J:J,MATCH(9.99E+307,'Returns (Calc)'!$A:$A)+1)-'Price History'!J3)*(ROW()-3)/(MATCH(9.99E+307,'Returns (Calc)'!$A:$A)-3),"")</f>
        <v>126.533164556962</v>
      </c>
      <c r="AF139" s="144" t="n">
        <f aca="false">IFERROR('Price History'!K3+(INDEX('Price History'!K:K,MATCH(9.99E+307,'Returns (Calc)'!$A:$A)+1)-'Price History'!K3)*(ROW()-3)/(MATCH(9.99E+307,'Returns (Calc)'!$A:$A)-3),"")</f>
        <v>164.602911392405</v>
      </c>
      <c r="AG139" s="144" t="n">
        <f aca="false">IFERROR('Price History'!L3+(INDEX('Price History'!L:L,MATCH(9.99E+307,'Returns (Calc)'!$A:$A)+1)-'Price History'!L3)*(ROW()-3)/(MATCH(9.99E+307,'Returns (Calc)'!$A:$A)-3),"")</f>
        <v>418.889746835443</v>
      </c>
      <c r="AH139" s="144" t="n">
        <f aca="false">IFERROR('Price History'!M3+(INDEX('Price History'!M:M,MATCH(9.99E+307,'Returns (Calc)'!$A:$A)+1)-'Price History'!M3)*(ROW()-3)/(MATCH(9.99E+307,'Returns (Calc)'!$A:$A)-3),"")</f>
        <v>222.360253164557</v>
      </c>
      <c r="AI139" s="144" t="n">
        <f aca="false">IFERROR('Price History'!N3+(INDEX('Price History'!N:N,MATCH(9.99E+307,'Returns (Calc)'!$A:$A)+1)-'Price History'!N3)*(ROW()-3)/(MATCH(9.99E+307,'Returns (Calc)'!$A:$A)-3),"")</f>
        <v>483.032151898734</v>
      </c>
      <c r="AJ139" s="144" t="n">
        <f aca="false">IFERROR('Price History'!O3+(INDEX('Price History'!O:O,MATCH(9.99E+307,'Returns (Calc)'!$A:$A)+1)-'Price History'!O3)*(ROW()-3)/(MATCH(9.99E+307,'Returns (Calc)'!$A:$A)-3),"")</f>
        <v>113.803164556962</v>
      </c>
      <c r="AK139" s="144" t="n">
        <f aca="false">IFERROR('Price History'!Q3+(INDEX('Price History'!Q:Q,MATCH(9.99E+307,'Returns (Calc)'!$A:$A)+1)-'Price History'!Q3)*(ROW()-3)/(MATCH(9.99E+307,'Returns (Calc)'!$A:$A)-3),"")</f>
        <v>59.7539240506329</v>
      </c>
      <c r="AL139" s="144" t="n">
        <f aca="false">IFERROR('Price History'!R3+(INDEX('Price History'!R:R,MATCH(9.99E+307,'Returns (Calc)'!$A:$A)+1)-'Price History'!R3)*(ROW()-3)/(MATCH(9.99E+307,'Returns (Calc)'!$A:$A)-3),"")</f>
        <v>57.3417721518987</v>
      </c>
      <c r="AM139" s="144" t="n">
        <f aca="false">IFERROR('Price History'!S3+(INDEX('Price History'!S:S,MATCH(9.99E+307,'Returns (Calc)'!$A:$A)+1)-'Price History'!S3)*(ROW()-3)/(MATCH(9.99E+307,'Returns (Calc)'!$A:$A)-3),"")</f>
        <v>139.918607594937</v>
      </c>
      <c r="AN139" s="144" t="n">
        <f aca="false">IFERROR('Price History'!T3+(INDEX('Price History'!T:T,MATCH(9.99E+307,'Returns (Calc)'!$A:$A)+1)-'Price History'!T3)*(ROW()-3)/(MATCH(9.99E+307,'Returns (Calc)'!$A:$A)-3),"")</f>
        <v>48.1189873417722</v>
      </c>
      <c r="AO139" s="145" t="n">
        <f aca="false">IFERROR('Price History'!V3+(INDEX('Price History'!V:V,MATCH(9.99E+307,'Returns (Calc)'!$A:$A)+1)-'Price History'!V3)*(ROW()-3)/(MATCH(9.99E+307,'Returns (Calc)'!$A:$A)-3),"")</f>
        <v>343.250759493671</v>
      </c>
      <c r="AP139" s="143" t="n">
        <f aca="false">IFERROR(IF(OR(NOT(ISNUMBER('Price History'!W140)),NOT(ISNUMBER('Price History'!W139)),'Price History'!W139=0),"",'Price History'!W140/'Price History'!W139-1),"")</f>
        <v>0.0101214574898787</v>
      </c>
      <c r="AQ139" s="143" t="n">
        <f aca="false">IFERROR(IF(OR(NOT(ISNUMBER('Price History'!X140)),NOT(ISNUMBER('Price History'!X139)),'Price History'!X139=0),"",'Price History'!X140/'Price History'!X139-1),"")</f>
        <v>0.0513565891472867</v>
      </c>
      <c r="AR139" s="143" t="n">
        <f aca="false">IFERROR(IF(OR(NOT(ISNUMBER('Price History'!Y140)),NOT(ISNUMBER('Price History'!Y139)),'Price History'!Y139=0),"",'Price History'!Y140/'Price History'!Y139-1),"")</f>
        <v>-0.000908430232558044</v>
      </c>
      <c r="AS139" s="143" t="n">
        <f aca="false">IFERROR(IF(OR(NOT(ISNUMBER('Price History'!Z140)),NOT(ISNUMBER('Price History'!Z139)),'Price History'!Z139=0),"",'Price History'!Z140/'Price History'!Z139-1),"")</f>
        <v>0.0066842568161829</v>
      </c>
      <c r="AT139" s="143" t="n">
        <f aca="false">IFERROR(IF(OR(NOT(ISNUMBER('Price History'!AA140)),NOT(ISNUMBER('Price History'!AA139)),'Price History'!AA139=0),"",'Price History'!AA140/'Price History'!AA139-1),"")</f>
        <v>-0.00411077455646902</v>
      </c>
    </row>
    <row r="140" customFormat="false" ht="15" hidden="false" customHeight="true" outlineLevel="0" collapsed="false">
      <c r="A140" s="141" t="n">
        <f aca="false">IF('Price History'!A141="","",'Price History'!A141)</f>
        <v>46150</v>
      </c>
      <c r="B140" s="142" t="n">
        <f aca="false">IFERROR(IF(OR(NOT(ISNUMBER('Price History'!B141)),NOT(ISNUMBER('Price History'!B140)),'Price History'!B140=0),"",'Price History'!B141/'Price History'!B140-1),"")</f>
        <v>0.00929360615850983</v>
      </c>
      <c r="C140" s="142" t="n">
        <f aca="false">IFERROR(IF(OR(NOT(ISNUMBER('Price History'!C141)),NOT(ISNUMBER('Price History'!C140)),'Price History'!C140=0),"",'Price History'!C141/'Price History'!C140-1),"")</f>
        <v>-0.179096699478865</v>
      </c>
      <c r="D140" s="142" t="n">
        <f aca="false">IFERROR(IF(OR(NOT(ISNUMBER('Price History'!D141)),NOT(ISNUMBER('Price History'!D140)),'Price History'!D140=0),"",'Price History'!D141/'Price History'!D140-1),"")</f>
        <v>0.115620483026705</v>
      </c>
      <c r="E140" s="142" t="n">
        <f aca="false">IFERROR(IF(OR(NOT(ISNUMBER('Price History'!E141)),NOT(ISNUMBER('Price History'!E140)),'Price History'!E140=0),"",'Price History'!E141/'Price History'!E140-1),"")</f>
        <v>0.0206978682862926</v>
      </c>
      <c r="F140" s="142" t="n">
        <f aca="false">IFERROR(IF(OR(NOT(ISNUMBER('Price History'!F141)),NOT(ISNUMBER('Price History'!F140)),'Price History'!F140=0),"",'Price History'!F141/'Price History'!F140-1),"")</f>
        <v>0.158282854885436</v>
      </c>
      <c r="G140" s="142" t="n">
        <f aca="false">IFERROR(IF(OR(NOT(ISNUMBER('Price History'!G141)),NOT(ISNUMBER('Price History'!G140)),'Price History'!G140=0),"",'Price History'!G141/'Price History'!G140-1),"")</f>
        <v>0.0828058765460775</v>
      </c>
      <c r="H140" s="142" t="n">
        <f aca="false">IFERROR(IF(OR(NOT(ISNUMBER('Price History'!H141)),NOT(ISNUMBER('Price History'!H140)),'Price History'!H140=0),"",'Price History'!H141/'Price History'!H140-1),"")</f>
        <v>0.377344917270765</v>
      </c>
      <c r="I140" s="142" t="n">
        <f aca="false">IFERROR(IF(OR(NOT(ISNUMBER('Price History'!I141)),NOT(ISNUMBER('Price History'!I140)),'Price History'!I140=0),"",'Price History'!I141/'Price History'!I140-1),"")</f>
        <v>0.0843939393939395</v>
      </c>
      <c r="J140" s="142" t="n">
        <f aca="false">IFERROR(IF(OR(NOT(ISNUMBER('Price History'!J141)),NOT(ISNUMBER('Price History'!J140)),'Price History'!J140=0),"",'Price History'!J141/'Price History'!J140-1),"")</f>
        <v>0.0188814703137339</v>
      </c>
      <c r="K140" s="142" t="n">
        <f aca="false">IFERROR(IF(OR(NOT(ISNUMBER('Price History'!K141)),NOT(ISNUMBER('Price History'!K140)),'Price History'!K140=0),"",'Price History'!K141/'Price History'!K140-1),"")</f>
        <v>-0.0435205108627749</v>
      </c>
      <c r="L140" s="142" t="n">
        <f aca="false">IFERROR(IF(OR(NOT(ISNUMBER('Price History'!L141)),NOT(ISNUMBER('Price History'!L140)),'Price History'!L140=0),"",'Price History'!L141/'Price History'!L140-1),"")</f>
        <v>0.0352304892842701</v>
      </c>
      <c r="M140" s="142" t="n">
        <f aca="false">IFERROR(IF(OR(NOT(ISNUMBER('Price History'!M141)),NOT(ISNUMBER('Price History'!M140)),'Price History'!M140=0),"",'Price History'!M141/'Price History'!M140-1),"")</f>
        <v>0.03553144807411</v>
      </c>
      <c r="N140" s="142" t="n">
        <f aca="false">IFERROR(IF(OR(NOT(ISNUMBER('Price History'!N141)),NOT(ISNUMBER('Price History'!N140)),'Price History'!N140=0),"",'Price History'!N141/'Price History'!N140-1),"")</f>
        <v>0.0139177203245895</v>
      </c>
      <c r="O140" s="142" t="n">
        <f aca="false">IFERROR(IF(OR(NOT(ISNUMBER('Price History'!O141)),NOT(ISNUMBER('Price History'!O140)),'Price History'!O140=0),"",'Price History'!O141/'Price History'!O140-1),"")</f>
        <v>-0.00100730294636109</v>
      </c>
      <c r="P140" s="142" t="n">
        <f aca="false">IFERROR(IF(OR(NOT(ISNUMBER('Price History'!P141)),NOT(ISNUMBER('Price History'!P140)),'Price History'!P140=0),"",'Price History'!P141/'Price History'!P140-1),"")</f>
        <v>-0.0151813880126183</v>
      </c>
      <c r="Q140" s="142" t="n">
        <f aca="false">IFERROR(IF(OR(NOT(ISNUMBER('Price History'!Q141)),NOT(ISNUMBER('Price History'!Q140)),'Price History'!Q140=0),"",'Price History'!Q141/'Price History'!Q140-1),"")</f>
        <v>0.00193021529324433</v>
      </c>
      <c r="R140" s="142" t="n">
        <f aca="false">IFERROR(IF(OR(NOT(ISNUMBER('Price History'!R141)),NOT(ISNUMBER('Price History'!R140)),'Price History'!R140=0),"",'Price History'!R141/'Price History'!R140-1),"")</f>
        <v>0.0127126230975829</v>
      </c>
      <c r="S140" s="142" t="n">
        <f aca="false">IFERROR(IF(OR(NOT(ISNUMBER('Price History'!S141)),NOT(ISNUMBER('Price History'!S140)),'Price History'!S140=0),"",'Price History'!S141/'Price History'!S140-1),"")</f>
        <v>0.0698507462686568</v>
      </c>
      <c r="T140" s="142" t="n">
        <f aca="false">IFERROR(IF(OR(NOT(ISNUMBER('Price History'!T141)),NOT(ISNUMBER('Price History'!T140)),'Price History'!T140=0),"",'Price History'!T141/'Price History'!T140-1),"")</f>
        <v>0.0245283018867923</v>
      </c>
      <c r="U140" s="142" t="n">
        <f aca="false">IFERROR(IF(OR(NOT(ISNUMBER('Price History'!U141)),NOT(ISNUMBER('Price History'!U140)),'Price History'!U140=0),"",'Price History'!U141/'Price History'!U140-1),"")</f>
        <v>-0.00765306122448972</v>
      </c>
      <c r="V140" s="143" t="n">
        <f aca="false">IFERROR(IF(OR(NOT(ISNUMBER('Price History'!V141)),NOT(ISNUMBER('Price History'!V140)),'Price History'!V140=0),"",'Price History'!V141/'Price History'!V140-1),"")</f>
        <v>-0.0281569443594295</v>
      </c>
      <c r="W140" s="144" t="n">
        <f aca="false">IFERROR('Price History'!B3+(INDEX('Price History'!B:B,MATCH(9.99E+307,'Returns (Calc)'!$A:$A)+1)-'Price History'!B3)*(ROW()-3)/(MATCH(9.99E+307,'Returns (Calc)'!$A:$A)-3),"")</f>
        <v>276.393797468354</v>
      </c>
      <c r="X140" s="144" t="n">
        <f aca="false">IFERROR('Price History'!C3+(INDEX('Price History'!C:C,MATCH(9.99E+307,'Returns (Calc)'!$A:$A)+1)-'Price History'!C3)*(ROW()-3)/(MATCH(9.99E+307,'Returns (Calc)'!$A:$A)-3),"")</f>
        <v>185.928670886076</v>
      </c>
      <c r="Y140" s="144" t="n">
        <f aca="false">IFERROR('Price History'!D3+(INDEX('Price History'!D:D,MATCH(9.99E+307,'Returns (Calc)'!$A:$A)+1)-'Price History'!D3)*(ROW()-3)/(MATCH(9.99E+307,'Returns (Calc)'!$A:$A)-3),"")</f>
        <v>1696.47898734177</v>
      </c>
      <c r="Z140" s="144" t="n">
        <f aca="false">IFERROR('Price History'!E3+(INDEX('Price History'!E:E,MATCH(9.99E+307,'Returns (Calc)'!$A:$A)+1)-'Price History'!E3)*(ROW()-3)/(MATCH(9.99E+307,'Returns (Calc)'!$A:$A)-3),"")</f>
        <v>318.836582278481</v>
      </c>
      <c r="AA140" s="144" t="n">
        <f aca="false">IFERROR('Price History'!F3+(INDEX('Price History'!F:F,MATCH(9.99E+307,'Returns (Calc)'!$A:$A)+1)-'Price History'!F3)*(ROW()-3)/(MATCH(9.99E+307,'Returns (Calc)'!$A:$A)-3),"")</f>
        <v>239.64582278481</v>
      </c>
      <c r="AB140" s="144" t="n">
        <f aca="false">IFERROR('Price History'!G3+(INDEX('Price History'!G:G,MATCH(9.99E+307,'Returns (Calc)'!$A:$A)+1)-'Price History'!G3)*(ROW()-3)/(MATCH(9.99E+307,'Returns (Calc)'!$A:$A)-3),"")</f>
        <v>185.286582278481</v>
      </c>
      <c r="AC140" s="144" t="n">
        <f aca="false">IFERROR('Price History'!H3+(INDEX('Price History'!H:H,MATCH(9.99E+307,'Returns (Calc)'!$A:$A)+1)-'Price History'!H3)*(ROW()-3)/(MATCH(9.99E+307,'Returns (Calc)'!$A:$A)-3),"")</f>
        <v>941.210379746836</v>
      </c>
      <c r="AD140" s="144" t="n">
        <f aca="false">IFERROR('Price History'!I3+(INDEX('Price History'!I:I,MATCH(9.99E+307,'Returns (Calc)'!$A:$A)+1)-'Price History'!I3)*(ROW()-3)/(MATCH(9.99E+307,'Returns (Calc)'!$A:$A)-3),"")</f>
        <v>208.672911392405</v>
      </c>
      <c r="AE140" s="144" t="n">
        <f aca="false">IFERROR('Price History'!J3+(INDEX('Price History'!J:J,MATCH(9.99E+307,'Returns (Calc)'!$A:$A)+1)-'Price History'!J3)*(ROW()-3)/(MATCH(9.99E+307,'Returns (Calc)'!$A:$A)-3),"")</f>
        <v>126.641202531646</v>
      </c>
      <c r="AF140" s="144" t="n">
        <f aca="false">IFERROR('Price History'!K3+(INDEX('Price History'!K:K,MATCH(9.99E+307,'Returns (Calc)'!$A:$A)+1)-'Price History'!K3)*(ROW()-3)/(MATCH(9.99E+307,'Returns (Calc)'!$A:$A)-3),"")</f>
        <v>165.700506329114</v>
      </c>
      <c r="AG140" s="144" t="n">
        <f aca="false">IFERROR('Price History'!L3+(INDEX('Price History'!L:L,MATCH(9.99E+307,'Returns (Calc)'!$A:$A)+1)-'Price History'!L3)*(ROW()-3)/(MATCH(9.99E+307,'Returns (Calc)'!$A:$A)-3),"")</f>
        <v>421.339303797468</v>
      </c>
      <c r="AH140" s="144" t="n">
        <f aca="false">IFERROR('Price History'!M3+(INDEX('Price History'!M:M,MATCH(9.99E+307,'Returns (Calc)'!$A:$A)+1)-'Price History'!M3)*(ROW()-3)/(MATCH(9.99E+307,'Returns (Calc)'!$A:$A)-3),"")</f>
        <v>223.715696202532</v>
      </c>
      <c r="AI140" s="144" t="n">
        <f aca="false">IFERROR('Price History'!N3+(INDEX('Price History'!N:N,MATCH(9.99E+307,'Returns (Calc)'!$A:$A)+1)-'Price History'!N3)*(ROW()-3)/(MATCH(9.99E+307,'Returns (Calc)'!$A:$A)-3),"")</f>
        <v>484.018417721519</v>
      </c>
      <c r="AJ140" s="144" t="n">
        <f aca="false">IFERROR('Price History'!O3+(INDEX('Price History'!O:O,MATCH(9.99E+307,'Returns (Calc)'!$A:$A)+1)-'Price History'!O3)*(ROW()-3)/(MATCH(9.99E+307,'Returns (Calc)'!$A:$A)-3),"")</f>
        <v>114.086202531646</v>
      </c>
      <c r="AK140" s="144" t="n">
        <f aca="false">IFERROR('Price History'!Q3+(INDEX('Price History'!Q:Q,MATCH(9.99E+307,'Returns (Calc)'!$A:$A)+1)-'Price History'!Q3)*(ROW()-3)/(MATCH(9.99E+307,'Returns (Calc)'!$A:$A)-3),"")</f>
        <v>60.1932911392405</v>
      </c>
      <c r="AL140" s="144" t="n">
        <f aca="false">IFERROR('Price History'!R3+(INDEX('Price History'!R:R,MATCH(9.99E+307,'Returns (Calc)'!$A:$A)+1)-'Price History'!R3)*(ROW()-3)/(MATCH(9.99E+307,'Returns (Calc)'!$A:$A)-3),"")</f>
        <v>57.5098734177215</v>
      </c>
      <c r="AM140" s="144" t="n">
        <f aca="false">IFERROR('Price History'!S3+(INDEX('Price History'!S:S,MATCH(9.99E+307,'Returns (Calc)'!$A:$A)+1)-'Price History'!S3)*(ROW()-3)/(MATCH(9.99E+307,'Returns (Calc)'!$A:$A)-3),"")</f>
        <v>140.523670886076</v>
      </c>
      <c r="AN140" s="144" t="n">
        <f aca="false">IFERROR('Price History'!T3+(INDEX('Price History'!T:T,MATCH(9.99E+307,'Returns (Calc)'!$A:$A)+1)-'Price History'!T3)*(ROW()-3)/(MATCH(9.99E+307,'Returns (Calc)'!$A:$A)-3),"")</f>
        <v>48.2872151898734</v>
      </c>
      <c r="AO140" s="145" t="n">
        <f aca="false">IFERROR('Price History'!V3+(INDEX('Price History'!V:V,MATCH(9.99E+307,'Returns (Calc)'!$A:$A)+1)-'Price History'!V3)*(ROW()-3)/(MATCH(9.99E+307,'Returns (Calc)'!$A:$A)-3),"")</f>
        <v>344.042088607595</v>
      </c>
      <c r="AP140" s="143" t="n">
        <f aca="false">IFERROR(IF(OR(NOT(ISNUMBER('Price History'!W141)),NOT(ISNUMBER('Price History'!W140)),'Price History'!W140=0),"",'Price History'!W141/'Price History'!W140-1),"")</f>
        <v>-0.00672312366668815</v>
      </c>
      <c r="AQ140" s="143" t="n">
        <f aca="false">IFERROR(IF(OR(NOT(ISNUMBER('Price History'!X141)),NOT(ISNUMBER('Price History'!X140)),'Price History'!X140=0),"",'Price History'!X141/'Price History'!X140-1),"")</f>
        <v>-0.0352073732718894</v>
      </c>
      <c r="AR140" s="143" t="n">
        <f aca="false">IFERROR(IF(OR(NOT(ISNUMBER('Price History'!Y141)),NOT(ISNUMBER('Price History'!Y140)),'Price History'!Y140=0),"",'Price History'!Y141/'Price History'!Y140-1),"")</f>
        <v>-0.0152755046372068</v>
      </c>
      <c r="AS140" s="143" t="n">
        <f aca="false">IFERROR(IF(OR(NOT(ISNUMBER('Price History'!Z141)),NOT(ISNUMBER('Price History'!Z140)),'Price History'!Z140=0),"",'Price History'!Z141/'Price History'!Z140-1),"")</f>
        <v>0.0371483487681286</v>
      </c>
      <c r="AT140" s="143" t="n">
        <f aca="false">IFERROR(IF(OR(NOT(ISNUMBER('Price History'!AA141)),NOT(ISNUMBER('Price History'!AA140)),'Price History'!AA140=0),"",'Price History'!AA141/'Price History'!AA140-1),"")</f>
        <v>-0.0496415381273083</v>
      </c>
    </row>
    <row r="141" customFormat="false" ht="15" hidden="false" customHeight="true" outlineLevel="0" collapsed="false">
      <c r="A141" s="141" t="n">
        <f aca="false">IF('Price History'!A142="","",'Price History'!A142)</f>
        <v>46157</v>
      </c>
      <c r="B141" s="142" t="n">
        <f aca="false">IFERROR(IF(OR(NOT(ISNUMBER('Price History'!B142)),NOT(ISNUMBER('Price History'!B141)),'Price History'!B141=0),"",'Price History'!B142/'Price History'!B141-1),"")</f>
        <v>-0.0214985773000316</v>
      </c>
      <c r="C141" s="142" t="n">
        <f aca="false">IFERROR(IF(OR(NOT(ISNUMBER('Price History'!C142)),NOT(ISNUMBER('Price History'!C141)),'Price History'!C141=0),"",'Price History'!C142/'Price History'!C141-1),"")</f>
        <v>0.00141073569866679</v>
      </c>
      <c r="D141" s="142" t="n">
        <f aca="false">IFERROR(IF(OR(NOT(ISNUMBER('Price History'!D142)),NOT(ISNUMBER('Price History'!D141)),'Price History'!D141=0),"",'Price History'!D142/'Price History'!D141-1),"")</f>
        <v>-0.0566618028126494</v>
      </c>
      <c r="E141" s="142" t="n">
        <f aca="false">IFERROR(IF(OR(NOT(ISNUMBER('Price History'!E142)),NOT(ISNUMBER('Price History'!E141)),'Price History'!E141=0),"",'Price History'!E142/'Price History'!E141-1),"")</f>
        <v>-0.011177486348999</v>
      </c>
      <c r="F141" s="142" t="n">
        <f aca="false">IFERROR(IF(OR(NOT(ISNUMBER('Price History'!F142)),NOT(ISNUMBER('Price History'!F141)),'Price History'!F141=0),"",'Price History'!F142/'Price History'!F141-1),"")</f>
        <v>0.12566318023344</v>
      </c>
      <c r="G141" s="142" t="n">
        <f aca="false">IFERROR(IF(OR(NOT(ISNUMBER('Price History'!G142)),NOT(ISNUMBER('Price History'!G141)),'Price History'!G141=0),"",'Price History'!G142/'Price History'!G141-1),"")</f>
        <v>-0.0346972703383922</v>
      </c>
      <c r="H141" s="142" t="n">
        <f aca="false">IFERROR(IF(OR(NOT(ISNUMBER('Price History'!H142)),NOT(ISNUMBER('Price History'!H141)),'Price History'!H141=0),"",'Price History'!H142/'Price History'!H141-1),"")</f>
        <v>-0.0296638542922192</v>
      </c>
      <c r="I141" s="142" t="n">
        <f aca="false">IFERROR(IF(OR(NOT(ISNUMBER('Price History'!I142)),NOT(ISNUMBER('Price History'!I141)),'Price History'!I141=0),"",'Price History'!I142/'Price History'!I141-1),"")</f>
        <v>0.0470401937497089</v>
      </c>
      <c r="J141" s="142" t="n">
        <f aca="false">IFERROR(IF(OR(NOT(ISNUMBER('Price History'!J142)),NOT(ISNUMBER('Price History'!J141)),'Price History'!J141=0),"",'Price History'!J142/'Price History'!J141-1),"")</f>
        <v>-0.0246617812852311</v>
      </c>
      <c r="K141" s="142" t="n">
        <f aca="false">IFERROR(IF(OR(NOT(ISNUMBER('Price History'!K142)),NOT(ISNUMBER('Price History'!K141)),'Price History'!K141=0),"",'Price History'!K142/'Price History'!K141-1),"")</f>
        <v>-0.0276487663280116</v>
      </c>
      <c r="L141" s="142" t="n">
        <f aca="false">IFERROR(IF(OR(NOT(ISNUMBER('Price History'!L142)),NOT(ISNUMBER('Price History'!L141)),'Price History'!L141=0),"",'Price History'!L142/'Price History'!L141-1),"")</f>
        <v>-0.0177969825692106</v>
      </c>
      <c r="M141" s="142" t="n">
        <f aca="false">IFERROR(IF(OR(NOT(ISNUMBER('Price History'!M142)),NOT(ISNUMBER('Price History'!M141)),'Price History'!M141=0),"",'Price History'!M142/'Price History'!M141-1),"")</f>
        <v>0.0910776293331763</v>
      </c>
      <c r="N141" s="142" t="n">
        <f aca="false">IFERROR(IF(OR(NOT(ISNUMBER('Price History'!N142)),NOT(ISNUMBER('Price History'!N141)),'Price History'!N141=0),"",'Price History'!N142/'Price History'!N141-1),"")</f>
        <v>0.0165883393048252</v>
      </c>
      <c r="O141" s="142" t="n">
        <f aca="false">IFERROR(IF(OR(NOT(ISNUMBER('Price History'!O142)),NOT(ISNUMBER('Price History'!O141)),'Price History'!O141=0),"",'Price History'!O142/'Price History'!O141-1),"")</f>
        <v>-0.0215948239643728</v>
      </c>
      <c r="P141" s="142" t="n">
        <f aca="false">IFERROR(IF(OR(NOT(ISNUMBER('Price History'!P142)),NOT(ISNUMBER('Price History'!P141)),'Price History'!P141=0),"",'Price History'!P142/'Price History'!P141-1),"")</f>
        <v>-0.00867534200867526</v>
      </c>
      <c r="Q141" s="142" t="n">
        <f aca="false">IFERROR(IF(OR(NOT(ISNUMBER('Price History'!Q142)),NOT(ISNUMBER('Price History'!Q141)),'Price History'!Q141=0),"",'Price History'!Q142/'Price History'!Q141-1),"")</f>
        <v>0.000296384113811499</v>
      </c>
      <c r="R141" s="142" t="n">
        <f aca="false">IFERROR(IF(OR(NOT(ISNUMBER('Price History'!R142)),NOT(ISNUMBER('Price History'!R141)),'Price History'!R141=0),"",'Price History'!R142/'Price History'!R141-1),"")</f>
        <v>0.0026520509193777</v>
      </c>
      <c r="S141" s="142" t="n">
        <f aca="false">IFERROR(IF(OR(NOT(ISNUMBER('Price History'!S142)),NOT(ISNUMBER('Price History'!S141)),'Price History'!S141=0),"",'Price History'!S142/'Price History'!S141-1),"")</f>
        <v>-0.0023018973214286</v>
      </c>
      <c r="T141" s="142" t="n">
        <f aca="false">IFERROR(IF(OR(NOT(ISNUMBER('Price History'!T142)),NOT(ISNUMBER('Price History'!T141)),'Price History'!T141=0),"",'Price History'!T142/'Price History'!T141-1),"")</f>
        <v>-0.0257826887661141</v>
      </c>
      <c r="U141" s="142" t="n">
        <f aca="false">IFERROR(IF(OR(NOT(ISNUMBER('Price History'!U142)),NOT(ISNUMBER('Price History'!U141)),'Price History'!U141=0),"",'Price History'!U142/'Price History'!U141-1),"")</f>
        <v>0.0032133676092545</v>
      </c>
      <c r="V141" s="143" t="n">
        <f aca="false">IFERROR(IF(OR(NOT(ISNUMBER('Price History'!V142)),NOT(ISNUMBER('Price History'!V141)),'Price History'!V141=0),"",'Price History'!V142/'Price History'!V141-1),"")</f>
        <v>0.0239654846633495</v>
      </c>
      <c r="W141" s="144" t="n">
        <f aca="false">IFERROR('Price History'!B3+(INDEX('Price History'!B:B,MATCH(9.99E+307,'Returns (Calc)'!$A:$A)+1)-'Price History'!B3)*(ROW()-3)/(MATCH(9.99E+307,'Returns (Calc)'!$A:$A)-3),"")</f>
        <v>274.550759493671</v>
      </c>
      <c r="X141" s="144" t="n">
        <f aca="false">IFERROR('Price History'!C3+(INDEX('Price History'!C:C,MATCH(9.99E+307,'Returns (Calc)'!$A:$A)+1)-'Price History'!C3)*(ROW()-3)/(MATCH(9.99E+307,'Returns (Calc)'!$A:$A)-3),"")</f>
        <v>186.948734177215</v>
      </c>
      <c r="Y141" s="144" t="n">
        <f aca="false">IFERROR('Price History'!D3+(INDEX('Price History'!D:D,MATCH(9.99E+307,'Returns (Calc)'!$A:$A)+1)-'Price History'!D3)*(ROW()-3)/(MATCH(9.99E+307,'Returns (Calc)'!$A:$A)-3),"")</f>
        <v>1704.61379746835</v>
      </c>
      <c r="Z141" s="144" t="n">
        <f aca="false">IFERROR('Price History'!E3+(INDEX('Price History'!E:E,MATCH(9.99E+307,'Returns (Calc)'!$A:$A)+1)-'Price History'!E3)*(ROW()-3)/(MATCH(9.99E+307,'Returns (Calc)'!$A:$A)-3),"")</f>
        <v>320.565316455696</v>
      </c>
      <c r="AA141" s="144" t="n">
        <f aca="false">IFERROR('Price History'!F3+(INDEX('Price History'!F:F,MATCH(9.99E+307,'Returns (Calc)'!$A:$A)+1)-'Price History'!F3)*(ROW()-3)/(MATCH(9.99E+307,'Returns (Calc)'!$A:$A)-3),"")</f>
        <v>241.093164556962</v>
      </c>
      <c r="AB141" s="144" t="n">
        <f aca="false">IFERROR('Price History'!G3+(INDEX('Price History'!G:G,MATCH(9.99E+307,'Returns (Calc)'!$A:$A)+1)-'Price History'!G3)*(ROW()-3)/(MATCH(9.99E+307,'Returns (Calc)'!$A:$A)-3),"")</f>
        <v>186.315316455696</v>
      </c>
      <c r="AC141" s="144" t="n">
        <f aca="false">IFERROR('Price History'!H3+(INDEX('Price History'!H:H,MATCH(9.99E+307,'Returns (Calc)'!$A:$A)+1)-'Price History'!H3)*(ROW()-3)/(MATCH(9.99E+307,'Returns (Calc)'!$A:$A)-3),"")</f>
        <v>947.576075949367</v>
      </c>
      <c r="AD141" s="144" t="n">
        <f aca="false">IFERROR('Price History'!I3+(INDEX('Price History'!I:I,MATCH(9.99E+307,'Returns (Calc)'!$A:$A)+1)-'Price History'!I3)*(ROW()-3)/(MATCH(9.99E+307,'Returns (Calc)'!$A:$A)-3),"")</f>
        <v>209.876582278481</v>
      </c>
      <c r="AE141" s="144" t="n">
        <f aca="false">IFERROR('Price History'!J3+(INDEX('Price History'!J:J,MATCH(9.99E+307,'Returns (Calc)'!$A:$A)+1)-'Price History'!J3)*(ROW()-3)/(MATCH(9.99E+307,'Returns (Calc)'!$A:$A)-3),"")</f>
        <v>126.749240506329</v>
      </c>
      <c r="AF141" s="144" t="n">
        <f aca="false">IFERROR('Price History'!K3+(INDEX('Price History'!K:K,MATCH(9.99E+307,'Returns (Calc)'!$A:$A)+1)-'Price History'!K3)*(ROW()-3)/(MATCH(9.99E+307,'Returns (Calc)'!$A:$A)-3),"")</f>
        <v>166.798101265823</v>
      </c>
      <c r="AG141" s="144" t="n">
        <f aca="false">IFERROR('Price History'!L3+(INDEX('Price History'!L:L,MATCH(9.99E+307,'Returns (Calc)'!$A:$A)+1)-'Price History'!L3)*(ROW()-3)/(MATCH(9.99E+307,'Returns (Calc)'!$A:$A)-3),"")</f>
        <v>423.788860759494</v>
      </c>
      <c r="AH141" s="144" t="n">
        <f aca="false">IFERROR('Price History'!M3+(INDEX('Price History'!M:M,MATCH(9.99E+307,'Returns (Calc)'!$A:$A)+1)-'Price History'!M3)*(ROW()-3)/(MATCH(9.99E+307,'Returns (Calc)'!$A:$A)-3),"")</f>
        <v>225.071139240506</v>
      </c>
      <c r="AI141" s="144" t="n">
        <f aca="false">IFERROR('Price History'!N3+(INDEX('Price History'!N:N,MATCH(9.99E+307,'Returns (Calc)'!$A:$A)+1)-'Price History'!N3)*(ROW()-3)/(MATCH(9.99E+307,'Returns (Calc)'!$A:$A)-3),"")</f>
        <v>485.004683544304</v>
      </c>
      <c r="AJ141" s="144" t="n">
        <f aca="false">IFERROR('Price History'!O3+(INDEX('Price History'!O:O,MATCH(9.99E+307,'Returns (Calc)'!$A:$A)+1)-'Price History'!O3)*(ROW()-3)/(MATCH(9.99E+307,'Returns (Calc)'!$A:$A)-3),"")</f>
        <v>114.369240506329</v>
      </c>
      <c r="AK141" s="144" t="n">
        <f aca="false">IFERROR('Price History'!Q3+(INDEX('Price History'!Q:Q,MATCH(9.99E+307,'Returns (Calc)'!$A:$A)+1)-'Price History'!Q3)*(ROW()-3)/(MATCH(9.99E+307,'Returns (Calc)'!$A:$A)-3),"")</f>
        <v>60.6326582278481</v>
      </c>
      <c r="AL141" s="144" t="n">
        <f aca="false">IFERROR('Price History'!R3+(INDEX('Price History'!R:R,MATCH(9.99E+307,'Returns (Calc)'!$A:$A)+1)-'Price History'!R3)*(ROW()-3)/(MATCH(9.99E+307,'Returns (Calc)'!$A:$A)-3),"")</f>
        <v>57.6779746835443</v>
      </c>
      <c r="AM141" s="144" t="n">
        <f aca="false">IFERROR('Price History'!S3+(INDEX('Price History'!S:S,MATCH(9.99E+307,'Returns (Calc)'!$A:$A)+1)-'Price History'!S3)*(ROW()-3)/(MATCH(9.99E+307,'Returns (Calc)'!$A:$A)-3),"")</f>
        <v>141.128734177215</v>
      </c>
      <c r="AN141" s="144" t="n">
        <f aca="false">IFERROR('Price History'!T3+(INDEX('Price History'!T:T,MATCH(9.99E+307,'Returns (Calc)'!$A:$A)+1)-'Price History'!T3)*(ROW()-3)/(MATCH(9.99E+307,'Returns (Calc)'!$A:$A)-3),"")</f>
        <v>48.4554430379747</v>
      </c>
      <c r="AO141" s="145" t="n">
        <f aca="false">IFERROR('Price History'!V3+(INDEX('Price History'!V:V,MATCH(9.99E+307,'Returns (Calc)'!$A:$A)+1)-'Price History'!V3)*(ROW()-3)/(MATCH(9.99E+307,'Returns (Calc)'!$A:$A)-3),"")</f>
        <v>344.833417721519</v>
      </c>
      <c r="AP141" s="143" t="n">
        <f aca="false">IFERROR(IF(OR(NOT(ISNUMBER('Price History'!W142)),NOT(ISNUMBER('Price History'!W141)),'Price History'!W141=0),"",'Price History'!W142/'Price History'!W141-1),"")</f>
        <v>0.00195248942401549</v>
      </c>
      <c r="AQ141" s="143" t="n">
        <f aca="false">IFERROR(IF(OR(NOT(ISNUMBER('Price History'!X142)),NOT(ISNUMBER('Price History'!X141)),'Price History'!X141=0),"",'Price History'!X142/'Price History'!X141-1),"")</f>
        <v>0.0412686282002293</v>
      </c>
      <c r="AR141" s="143" t="n">
        <f aca="false">IFERROR(IF(OR(NOT(ISNUMBER('Price History'!Y142)),NOT(ISNUMBER('Price History'!Y141)),'Price History'!Y141=0),"",'Price History'!Y142/'Price History'!Y141-1),"")</f>
        <v>-0.00110803324099718</v>
      </c>
      <c r="AS141" s="143" t="n">
        <f aca="false">IFERROR(IF(OR(NOT(ISNUMBER('Price History'!Z142)),NOT(ISNUMBER('Price History'!Z141)),'Price History'!Z141=0),"",'Price History'!Z142/'Price History'!Z141-1),"")</f>
        <v>-0.0525641889615202</v>
      </c>
      <c r="AT141" s="143" t="n">
        <f aca="false">IFERROR(IF(OR(NOT(ISNUMBER('Price History'!AA142)),NOT(ISNUMBER('Price History'!AA141)),'Price History'!AA141=0),"",'Price History'!AA142/'Price History'!AA141-1),"")</f>
        <v>-0.00537204251914503</v>
      </c>
    </row>
    <row r="142" customFormat="false" ht="15" hidden="false" customHeight="true" outlineLevel="0" collapsed="false">
      <c r="A142" s="141" t="n">
        <f aca="false">IF('Price History'!A143="","",'Price History'!A143)</f>
        <v>46164</v>
      </c>
      <c r="B142" s="142" t="n">
        <f aca="false">IFERROR(IF(OR(NOT(ISNUMBER('Price History'!B143)),NOT(ISNUMBER('Price History'!B142)),'Price History'!B142=0),"",'Price History'!B143/'Price History'!B142-1),"")</f>
        <v>-0.011470113085622</v>
      </c>
      <c r="C142" s="142" t="n">
        <f aca="false">IFERROR(IF(OR(NOT(ISNUMBER('Price History'!C143)),NOT(ISNUMBER('Price History'!C142)),'Price History'!C142=0),"",'Price History'!C143/'Price History'!C142-1),"")</f>
        <v>0.0849475241248152</v>
      </c>
      <c r="D142" s="142" t="n">
        <f aca="false">IFERROR(IF(OR(NOT(ISNUMBER('Price History'!D143)),NOT(ISNUMBER('Price History'!D142)),'Price History'!D142=0),"",'Price History'!D143/'Price History'!D142-1),"")</f>
        <v>0.0872875649222933</v>
      </c>
      <c r="E142" s="142" t="n">
        <f aca="false">IFERROR(IF(OR(NOT(ISNUMBER('Price History'!E143)),NOT(ISNUMBER('Price History'!E142)),'Price History'!E142=0),"",'Price History'!E143/'Price History'!E142-1),"")</f>
        <v>-0.0260058997050147</v>
      </c>
      <c r="F142" s="142" t="n">
        <f aca="false">IFERROR(IF(OR(NOT(ISNUMBER('Price History'!F143)),NOT(ISNUMBER('Price History'!F142)),'Price History'!F142=0),"",'Price History'!F143/'Price History'!F142-1),"")</f>
        <v>0.116819283598169</v>
      </c>
      <c r="G142" s="142" t="n">
        <f aca="false">IFERROR(IF(OR(NOT(ISNUMBER('Price History'!G143)),NOT(ISNUMBER('Price History'!G142)),'Price History'!G142=0),"",'Price History'!G143/'Price History'!G142-1),"")</f>
        <v>0.0478888888888889</v>
      </c>
      <c r="H142" s="142" t="n">
        <f aca="false">IFERROR(IF(OR(NOT(ISNUMBER('Price History'!H143)),NOT(ISNUMBER('Price History'!H142)),'Price History'!H142=0),"",'Price History'!H143/'Price History'!H142-1),"")</f>
        <v>0.0363397971154511</v>
      </c>
      <c r="I142" s="142" t="n">
        <f aca="false">IFERROR(IF(OR(NOT(ISNUMBER('Price History'!I143)),NOT(ISNUMBER('Price History'!I142)),'Price History'!I142=0),"",'Price History'!I143/'Price History'!I142-1),"")</f>
        <v>-0.0443485610070726</v>
      </c>
      <c r="J142" s="142" t="n">
        <f aca="false">IFERROR(IF(OR(NOT(ISNUMBER('Price History'!J143)),NOT(ISNUMBER('Price History'!J142)),'Price History'!J142=0),"",'Price History'!J143/'Price History'!J142-1),"")</f>
        <v>0.0382170206617543</v>
      </c>
      <c r="K142" s="142" t="n">
        <f aca="false">IFERROR(IF(OR(NOT(ISNUMBER('Price History'!K143)),NOT(ISNUMBER('Price History'!K142)),'Price History'!K142=0),"",'Price History'!K143/'Price History'!K142-1),"")</f>
        <v>0.0215687737890886</v>
      </c>
      <c r="L142" s="142" t="n">
        <f aca="false">IFERROR(IF(OR(NOT(ISNUMBER('Price History'!L143)),NOT(ISNUMBER('Price History'!L142)),'Price History'!L142=0),"",'Price History'!L143/'Price History'!L142-1),"")</f>
        <v>0.000422538712002707</v>
      </c>
      <c r="M142" s="142" t="n">
        <f aca="false">IFERROR(IF(OR(NOT(ISNUMBER('Price History'!M143)),NOT(ISNUMBER('Price History'!M142)),'Price History'!M142=0),"",'Price History'!M143/'Price History'!M142-1),"")</f>
        <v>-0.117215524449119</v>
      </c>
      <c r="N142" s="142" t="n">
        <f aca="false">IFERROR(IF(OR(NOT(ISNUMBER('Price History'!N143)),NOT(ISNUMBER('Price History'!N142)),'Price History'!N142=0),"",'Price History'!N143/'Price History'!N142-1),"")</f>
        <v>-0.00556127703398557</v>
      </c>
      <c r="O142" s="142" t="n">
        <f aca="false">IFERROR(IF(OR(NOT(ISNUMBER('Price History'!O143)),NOT(ISNUMBER('Price History'!O142)),'Price History'!O142=0),"",'Price History'!O143/'Price History'!O142-1),"")</f>
        <v>0.0237031947784268</v>
      </c>
      <c r="P142" s="142" t="n">
        <f aca="false">IFERROR(IF(OR(NOT(ISNUMBER('Price History'!P143)),NOT(ISNUMBER('Price History'!P142)),'Price History'!P142=0),"",'Price History'!P143/'Price History'!P142-1),"")</f>
        <v>0.0317738135307977</v>
      </c>
      <c r="Q142" s="142" t="n">
        <f aca="false">IFERROR(IF(OR(NOT(ISNUMBER('Price History'!Q143)),NOT(ISNUMBER('Price History'!Q142)),'Price History'!Q142=0),"",'Price History'!Q143/'Price History'!Q142-1),"")</f>
        <v>0.000740740740740709</v>
      </c>
      <c r="R142" s="142" t="n">
        <f aca="false">IFERROR(IF(OR(NOT(ISNUMBER('Price History'!R143)),NOT(ISNUMBER('Price History'!R142)),'Price History'!R142=0),"",'Price History'!R143/'Price History'!R142-1),"")</f>
        <v>0.00740610121671659</v>
      </c>
      <c r="S142" s="142" t="n">
        <f aca="false">IFERROR(IF(OR(NOT(ISNUMBER('Price History'!S143)),NOT(ISNUMBER('Price History'!S142)),'Price History'!S142=0),"",'Price History'!S143/'Price History'!S142-1),"")</f>
        <v>0.0101377333426553</v>
      </c>
      <c r="T142" s="142" t="n">
        <f aca="false">IFERROR(IF(OR(NOT(ISNUMBER('Price History'!T143)),NOT(ISNUMBER('Price History'!T142)),'Price History'!T142=0),"",'Price History'!T143/'Price History'!T142-1),"")</f>
        <v>0.0396975425330812</v>
      </c>
      <c r="U142" s="142" t="n">
        <f aca="false">IFERROR(IF(OR(NOT(ISNUMBER('Price History'!U143)),NOT(ISNUMBER('Price History'!U142)),'Price History'!U142=0),"",'Price History'!U143/'Price History'!U142-1),"")</f>
        <v>0.0349135169762973</v>
      </c>
      <c r="V142" s="143" t="n">
        <f aca="false">IFERROR(IF(OR(NOT(ISNUMBER('Price History'!V143)),NOT(ISNUMBER('Price History'!V142)),'Price History'!V142=0),"",'Price History'!V143/'Price History'!V142-1),"")</f>
        <v>0.00959557127479616</v>
      </c>
      <c r="W142" s="144" t="n">
        <f aca="false">IFERROR('Price History'!B3+(INDEX('Price History'!B:B,MATCH(9.99E+307,'Returns (Calc)'!$A:$A)+1)-'Price History'!B3)*(ROW()-3)/(MATCH(9.99E+307,'Returns (Calc)'!$A:$A)-3),"")</f>
        <v>272.707721518987</v>
      </c>
      <c r="X142" s="144" t="n">
        <f aca="false">IFERROR('Price History'!C3+(INDEX('Price History'!C:C,MATCH(9.99E+307,'Returns (Calc)'!$A:$A)+1)-'Price History'!C3)*(ROW()-3)/(MATCH(9.99E+307,'Returns (Calc)'!$A:$A)-3),"")</f>
        <v>187.968797468354</v>
      </c>
      <c r="Y142" s="144" t="n">
        <f aca="false">IFERROR('Price History'!D3+(INDEX('Price History'!D:D,MATCH(9.99E+307,'Returns (Calc)'!$A:$A)+1)-'Price History'!D3)*(ROW()-3)/(MATCH(9.99E+307,'Returns (Calc)'!$A:$A)-3),"")</f>
        <v>1712.74860759494</v>
      </c>
      <c r="Z142" s="144" t="n">
        <f aca="false">IFERROR('Price History'!E3+(INDEX('Price History'!E:E,MATCH(9.99E+307,'Returns (Calc)'!$A:$A)+1)-'Price History'!E3)*(ROW()-3)/(MATCH(9.99E+307,'Returns (Calc)'!$A:$A)-3),"")</f>
        <v>322.294050632911</v>
      </c>
      <c r="AA142" s="144" t="n">
        <f aca="false">IFERROR('Price History'!F3+(INDEX('Price History'!F:F,MATCH(9.99E+307,'Returns (Calc)'!$A:$A)+1)-'Price History'!F3)*(ROW()-3)/(MATCH(9.99E+307,'Returns (Calc)'!$A:$A)-3),"")</f>
        <v>242.540506329114</v>
      </c>
      <c r="AB142" s="144" t="n">
        <f aca="false">IFERROR('Price History'!G3+(INDEX('Price History'!G:G,MATCH(9.99E+307,'Returns (Calc)'!$A:$A)+1)-'Price History'!G3)*(ROW()-3)/(MATCH(9.99E+307,'Returns (Calc)'!$A:$A)-3),"")</f>
        <v>187.344050632911</v>
      </c>
      <c r="AC142" s="144" t="n">
        <f aca="false">IFERROR('Price History'!H3+(INDEX('Price History'!H:H,MATCH(9.99E+307,'Returns (Calc)'!$A:$A)+1)-'Price History'!H3)*(ROW()-3)/(MATCH(9.99E+307,'Returns (Calc)'!$A:$A)-3),"")</f>
        <v>953.941772151899</v>
      </c>
      <c r="AD142" s="144" t="n">
        <f aca="false">IFERROR('Price History'!I3+(INDEX('Price History'!I:I,MATCH(9.99E+307,'Returns (Calc)'!$A:$A)+1)-'Price History'!I3)*(ROW()-3)/(MATCH(9.99E+307,'Returns (Calc)'!$A:$A)-3),"")</f>
        <v>211.080253164557</v>
      </c>
      <c r="AE142" s="144" t="n">
        <f aca="false">IFERROR('Price History'!J3+(INDEX('Price History'!J:J,MATCH(9.99E+307,'Returns (Calc)'!$A:$A)+1)-'Price History'!J3)*(ROW()-3)/(MATCH(9.99E+307,'Returns (Calc)'!$A:$A)-3),"")</f>
        <v>126.857278481013</v>
      </c>
      <c r="AF142" s="144" t="n">
        <f aca="false">IFERROR('Price History'!K3+(INDEX('Price History'!K:K,MATCH(9.99E+307,'Returns (Calc)'!$A:$A)+1)-'Price History'!K3)*(ROW()-3)/(MATCH(9.99E+307,'Returns (Calc)'!$A:$A)-3),"")</f>
        <v>167.895696202532</v>
      </c>
      <c r="AG142" s="144" t="n">
        <f aca="false">IFERROR('Price History'!L3+(INDEX('Price History'!L:L,MATCH(9.99E+307,'Returns (Calc)'!$A:$A)+1)-'Price History'!L3)*(ROW()-3)/(MATCH(9.99E+307,'Returns (Calc)'!$A:$A)-3),"")</f>
        <v>426.238417721519</v>
      </c>
      <c r="AH142" s="144" t="n">
        <f aca="false">IFERROR('Price History'!M3+(INDEX('Price History'!M:M,MATCH(9.99E+307,'Returns (Calc)'!$A:$A)+1)-'Price History'!M3)*(ROW()-3)/(MATCH(9.99E+307,'Returns (Calc)'!$A:$A)-3),"")</f>
        <v>226.426582278481</v>
      </c>
      <c r="AI142" s="144" t="n">
        <f aca="false">IFERROR('Price History'!N3+(INDEX('Price History'!N:N,MATCH(9.99E+307,'Returns (Calc)'!$A:$A)+1)-'Price History'!N3)*(ROW()-3)/(MATCH(9.99E+307,'Returns (Calc)'!$A:$A)-3),"")</f>
        <v>485.990949367089</v>
      </c>
      <c r="AJ142" s="144" t="n">
        <f aca="false">IFERROR('Price History'!O3+(INDEX('Price History'!O:O,MATCH(9.99E+307,'Returns (Calc)'!$A:$A)+1)-'Price History'!O3)*(ROW()-3)/(MATCH(9.99E+307,'Returns (Calc)'!$A:$A)-3),"")</f>
        <v>114.652278481013</v>
      </c>
      <c r="AK142" s="144" t="n">
        <f aca="false">IFERROR('Price History'!Q3+(INDEX('Price History'!Q:Q,MATCH(9.99E+307,'Returns (Calc)'!$A:$A)+1)-'Price History'!Q3)*(ROW()-3)/(MATCH(9.99E+307,'Returns (Calc)'!$A:$A)-3),"")</f>
        <v>61.0720253164557</v>
      </c>
      <c r="AL142" s="144" t="n">
        <f aca="false">IFERROR('Price History'!R3+(INDEX('Price History'!R:R,MATCH(9.99E+307,'Returns (Calc)'!$A:$A)+1)-'Price History'!R3)*(ROW()-3)/(MATCH(9.99E+307,'Returns (Calc)'!$A:$A)-3),"")</f>
        <v>57.8460759493671</v>
      </c>
      <c r="AM142" s="144" t="n">
        <f aca="false">IFERROR('Price History'!S3+(INDEX('Price History'!S:S,MATCH(9.99E+307,'Returns (Calc)'!$A:$A)+1)-'Price History'!S3)*(ROW()-3)/(MATCH(9.99E+307,'Returns (Calc)'!$A:$A)-3),"")</f>
        <v>141.733797468354</v>
      </c>
      <c r="AN142" s="144" t="n">
        <f aca="false">IFERROR('Price History'!T3+(INDEX('Price History'!T:T,MATCH(9.99E+307,'Returns (Calc)'!$A:$A)+1)-'Price History'!T3)*(ROW()-3)/(MATCH(9.99E+307,'Returns (Calc)'!$A:$A)-3),"")</f>
        <v>48.623670886076</v>
      </c>
      <c r="AO142" s="145" t="n">
        <f aca="false">IFERROR('Price History'!V3+(INDEX('Price History'!V:V,MATCH(9.99E+307,'Returns (Calc)'!$A:$A)+1)-'Price History'!V3)*(ROW()-3)/(MATCH(9.99E+307,'Returns (Calc)'!$A:$A)-3),"")</f>
        <v>345.624746835443</v>
      </c>
      <c r="AP142" s="143" t="n">
        <f aca="false">IFERROR(IF(OR(NOT(ISNUMBER('Price History'!W143)),NOT(ISNUMBER('Price History'!W142)),'Price History'!W142=0),"",'Price History'!W143/'Price History'!W142-1),"")</f>
        <v>0.0188372848327378</v>
      </c>
      <c r="AQ142" s="143" t="n">
        <f aca="false">IFERROR(IF(OR(NOT(ISNUMBER('Price History'!X143)),NOT(ISNUMBER('Price History'!X142)),'Price History'!X142=0),"",'Price History'!X143/'Price History'!X142-1),"")</f>
        <v>0.00807339449541278</v>
      </c>
      <c r="AR142" s="143" t="n">
        <f aca="false">IFERROR(IF(OR(NOT(ISNUMBER('Price History'!Y143)),NOT(ISNUMBER('Price History'!Y142)),'Price History'!Y142=0),"",'Price History'!Y143/'Price History'!Y142-1),"")</f>
        <v>0.00776483638380476</v>
      </c>
      <c r="AS142" s="143" t="n">
        <f aca="false">IFERROR(IF(OR(NOT(ISNUMBER('Price History'!Z143)),NOT(ISNUMBER('Price History'!Z142)),'Price History'!Z142=0),"",'Price History'!Z143/'Price History'!Z142-1),"")</f>
        <v>0.0756810583967564</v>
      </c>
      <c r="AT142" s="143" t="n">
        <f aca="false">IFERROR(IF(OR(NOT(ISNUMBER('Price History'!AA143)),NOT(ISNUMBER('Price History'!AA142)),'Price History'!AA142=0),"",'Price History'!AA143/'Price History'!AA142-1),"")</f>
        <v>0.0181567455757297</v>
      </c>
    </row>
    <row r="143" customFormat="false" ht="15" hidden="false" customHeight="true" outlineLevel="0" collapsed="false">
      <c r="A143" s="141" t="n">
        <f aca="false">IF('Price History'!A144="","",'Price History'!A144)</f>
        <v>46171</v>
      </c>
      <c r="B143" s="142" t="n">
        <f aca="false">IFERROR(IF(OR(NOT(ISNUMBER('Price History'!B144)),NOT(ISNUMBER('Price History'!B143)),'Price History'!B143=0),"",'Price History'!B144/'Price History'!B143-1),"")</f>
        <v>0.0590374244157541</v>
      </c>
      <c r="C143" s="142" t="n">
        <f aca="false">IFERROR(IF(OR(NOT(ISNUMBER('Price History'!C144)),NOT(ISNUMBER('Price History'!C143)),'Price History'!C143=0),"",'Price History'!C144/'Price History'!C143-1),"")</f>
        <v>0.0353177952346946</v>
      </c>
      <c r="D143" s="142" t="n">
        <f aca="false">IFERROR(IF(OR(NOT(ISNUMBER('Price History'!D144)),NOT(ISNUMBER('Price History'!D143)),'Price History'!D143=0),"",'Price History'!D144/'Price History'!D143-1),"")</f>
        <v>-0.0123314467221407</v>
      </c>
      <c r="E143" s="142" t="n">
        <f aca="false">IFERROR(IF(OR(NOT(ISNUMBER('Price History'!E144)),NOT(ISNUMBER('Price History'!E143)),'Price History'!E143=0),"",'Price History'!E144/'Price History'!E143-1),"")</f>
        <v>0.0787924308870205</v>
      </c>
      <c r="F143" s="142" t="n">
        <f aca="false">IFERROR(IF(OR(NOT(ISNUMBER('Price History'!F144)),NOT(ISNUMBER('Price History'!F143)),'Price History'!F143=0),"",'Price History'!F144/'Price History'!F143-1),"")</f>
        <v>0.10176644360041</v>
      </c>
      <c r="G143" s="142" t="n">
        <f aca="false">IFERROR(IF(OR(NOT(ISNUMBER('Price History'!G144)),NOT(ISNUMBER('Price History'!G143)),'Price History'!G143=0),"",'Price History'!G144/'Price History'!G143-1),"")</f>
        <v>0.0176545435266673</v>
      </c>
      <c r="H143" s="142" t="n">
        <f aca="false">IFERROR(IF(OR(NOT(ISNUMBER('Price History'!H144)),NOT(ISNUMBER('Price History'!H143)),'Price History'!H143=0),"",'Price History'!H144/'Price History'!H143-1),"")</f>
        <v>0.292949605795866</v>
      </c>
      <c r="I143" s="142" t="n">
        <f aca="false">IFERROR(IF(OR(NOT(ISNUMBER('Price History'!I144)),NOT(ISNUMBER('Price History'!I143)),'Price History'!I143=0),"",'Price History'!I144/'Price History'!I143-1),"")</f>
        <v>-0.019456339601564</v>
      </c>
      <c r="J143" s="142" t="n">
        <f aca="false">IFERROR(IF(OR(NOT(ISNUMBER('Price History'!J144)),NOT(ISNUMBER('Price History'!J143)),'Price History'!J143=0),"",'Price History'!J144/'Price History'!J143-1),"")</f>
        <v>-0.0167002992136943</v>
      </c>
      <c r="K143" s="142" t="n">
        <f aca="false">IFERROR(IF(OR(NOT(ISNUMBER('Price History'!K144)),NOT(ISNUMBER('Price History'!K143)),'Price History'!K143=0),"",'Price History'!K144/'Price History'!K143-1),"")</f>
        <v>0.143629456458211</v>
      </c>
      <c r="L143" s="142" t="n">
        <f aca="false">IFERROR(IF(OR(NOT(ISNUMBER('Price History'!L144)),NOT(ISNUMBER('Price History'!L143)),'Price History'!L143=0),"",'Price History'!L144/'Price History'!L143-1),"")</f>
        <v>0.0344347826086957</v>
      </c>
      <c r="M143" s="142" t="n">
        <f aca="false">IFERROR(IF(OR(NOT(ISNUMBER('Price History'!M144)),NOT(ISNUMBER('Price History'!M143)),'Price History'!M143=0),"",'Price History'!M144/'Price History'!M143-1),"")</f>
        <v>-0.0358681372399254</v>
      </c>
      <c r="N143" s="142" t="n">
        <f aca="false">IFERROR(IF(OR(NOT(ISNUMBER('Price History'!N144)),NOT(ISNUMBER('Price History'!N143)),'Price History'!N143=0),"",'Price History'!N144/'Price History'!N143-1),"")</f>
        <v>0.0299640983153826</v>
      </c>
      <c r="O143" s="142" t="n">
        <f aca="false">IFERROR(IF(OR(NOT(ISNUMBER('Price History'!O144)),NOT(ISNUMBER('Price History'!O143)),'Price History'!O143=0),"",'Price History'!O144/'Price History'!O143-1),"")</f>
        <v>0.000167785234899354</v>
      </c>
      <c r="P143" s="142" t="n">
        <f aca="false">IFERROR(IF(OR(NOT(ISNUMBER('Price History'!P144)),NOT(ISNUMBER('Price History'!P143)),'Price History'!P143=0),"",'Price History'!P144/'Price History'!P143-1),"")</f>
        <v>-0.00508905852417307</v>
      </c>
      <c r="Q143" s="142" t="n">
        <f aca="false">IFERROR(IF(OR(NOT(ISNUMBER('Price History'!Q144)),NOT(ISNUMBER('Price History'!Q143)),'Price History'!Q143=0),"",'Price History'!Q144/'Price History'!Q143-1),"")</f>
        <v>0.00429311621021467</v>
      </c>
      <c r="R143" s="142" t="n">
        <f aca="false">IFERROR(IF(OR(NOT(ISNUMBER('Price History'!R144)),NOT(ISNUMBER('Price History'!R143)),'Price History'!R143=0),"",'Price History'!R144/'Price History'!R143-1),"")</f>
        <v>0.0155785051636619</v>
      </c>
      <c r="S143" s="142" t="n">
        <f aca="false">IFERROR(IF(OR(NOT(ISNUMBER('Price History'!S144)),NOT(ISNUMBER('Price History'!S143)),'Price History'!S143=0),"",'Price History'!S144/'Price History'!S143-1),"")</f>
        <v>0.0389673311184942</v>
      </c>
      <c r="T143" s="142" t="n">
        <f aca="false">IFERROR(IF(OR(NOT(ISNUMBER('Price History'!T144)),NOT(ISNUMBER('Price History'!T143)),'Price History'!T143=0),"",'Price History'!T144/'Price History'!T143-1),"")</f>
        <v>0.0540909090909092</v>
      </c>
      <c r="U143" s="142" t="n">
        <f aca="false">IFERROR(IF(OR(NOT(ISNUMBER('Price History'!U144)),NOT(ISNUMBER('Price History'!U143)),'Price History'!U143=0),"",'Price History'!U144/'Price History'!U143-1),"")</f>
        <v>-0.0099040544722997</v>
      </c>
      <c r="V143" s="143" t="n">
        <f aca="false">IFERROR(IF(OR(NOT(ISNUMBER('Price History'!V144)),NOT(ISNUMBER('Price History'!V143)),'Price History'!V143=0),"",'Price History'!V144/'Price History'!V143-1),"")</f>
        <v>-0.00767660767051503</v>
      </c>
      <c r="W143" s="144" t="n">
        <f aca="false">IFERROR('Price History'!B3+(INDEX('Price History'!B:B,MATCH(9.99E+307,'Returns (Calc)'!$A:$A)+1)-'Price History'!B3)*(ROW()-3)/(MATCH(9.99E+307,'Returns (Calc)'!$A:$A)-3),"")</f>
        <v>270.864683544304</v>
      </c>
      <c r="X143" s="144" t="n">
        <f aca="false">IFERROR('Price History'!C3+(INDEX('Price History'!C:C,MATCH(9.99E+307,'Returns (Calc)'!$A:$A)+1)-'Price History'!C3)*(ROW()-3)/(MATCH(9.99E+307,'Returns (Calc)'!$A:$A)-3),"")</f>
        <v>188.988860759494</v>
      </c>
      <c r="Y143" s="144" t="n">
        <f aca="false">IFERROR('Price History'!D3+(INDEX('Price History'!D:D,MATCH(9.99E+307,'Returns (Calc)'!$A:$A)+1)-'Price History'!D3)*(ROW()-3)/(MATCH(9.99E+307,'Returns (Calc)'!$A:$A)-3),"")</f>
        <v>1720.88341772152</v>
      </c>
      <c r="Z143" s="144" t="n">
        <f aca="false">IFERROR('Price History'!E3+(INDEX('Price History'!E:E,MATCH(9.99E+307,'Returns (Calc)'!$A:$A)+1)-'Price History'!E3)*(ROW()-3)/(MATCH(9.99E+307,'Returns (Calc)'!$A:$A)-3),"")</f>
        <v>324.022784810127</v>
      </c>
      <c r="AA143" s="144" t="n">
        <f aca="false">IFERROR('Price History'!F3+(INDEX('Price History'!F:F,MATCH(9.99E+307,'Returns (Calc)'!$A:$A)+1)-'Price History'!F3)*(ROW()-3)/(MATCH(9.99E+307,'Returns (Calc)'!$A:$A)-3),"")</f>
        <v>243.987848101266</v>
      </c>
      <c r="AB143" s="144" t="n">
        <f aca="false">IFERROR('Price History'!G3+(INDEX('Price History'!G:G,MATCH(9.99E+307,'Returns (Calc)'!$A:$A)+1)-'Price History'!G3)*(ROW()-3)/(MATCH(9.99E+307,'Returns (Calc)'!$A:$A)-3),"")</f>
        <v>188.372784810127</v>
      </c>
      <c r="AC143" s="144" t="n">
        <f aca="false">IFERROR('Price History'!H3+(INDEX('Price History'!H:H,MATCH(9.99E+307,'Returns (Calc)'!$A:$A)+1)-'Price History'!H3)*(ROW()-3)/(MATCH(9.99E+307,'Returns (Calc)'!$A:$A)-3),"")</f>
        <v>960.307468354431</v>
      </c>
      <c r="AD143" s="144" t="n">
        <f aca="false">IFERROR('Price History'!I3+(INDEX('Price History'!I:I,MATCH(9.99E+307,'Returns (Calc)'!$A:$A)+1)-'Price History'!I3)*(ROW()-3)/(MATCH(9.99E+307,'Returns (Calc)'!$A:$A)-3),"")</f>
        <v>212.283924050633</v>
      </c>
      <c r="AE143" s="144" t="n">
        <f aca="false">IFERROR('Price History'!J3+(INDEX('Price History'!J:J,MATCH(9.99E+307,'Returns (Calc)'!$A:$A)+1)-'Price History'!J3)*(ROW()-3)/(MATCH(9.99E+307,'Returns (Calc)'!$A:$A)-3),"")</f>
        <v>126.965316455696</v>
      </c>
      <c r="AF143" s="144" t="n">
        <f aca="false">IFERROR('Price History'!K3+(INDEX('Price History'!K:K,MATCH(9.99E+307,'Returns (Calc)'!$A:$A)+1)-'Price History'!K3)*(ROW()-3)/(MATCH(9.99E+307,'Returns (Calc)'!$A:$A)-3),"")</f>
        <v>168.993291139241</v>
      </c>
      <c r="AG143" s="144" t="n">
        <f aca="false">IFERROR('Price History'!L3+(INDEX('Price History'!L:L,MATCH(9.99E+307,'Returns (Calc)'!$A:$A)+1)-'Price History'!L3)*(ROW()-3)/(MATCH(9.99E+307,'Returns (Calc)'!$A:$A)-3),"")</f>
        <v>428.687974683544</v>
      </c>
      <c r="AH143" s="144" t="n">
        <f aca="false">IFERROR('Price History'!M3+(INDEX('Price History'!M:M,MATCH(9.99E+307,'Returns (Calc)'!$A:$A)+1)-'Price History'!M3)*(ROW()-3)/(MATCH(9.99E+307,'Returns (Calc)'!$A:$A)-3),"")</f>
        <v>227.782025316456</v>
      </c>
      <c r="AI143" s="144" t="n">
        <f aca="false">IFERROR('Price History'!N3+(INDEX('Price History'!N:N,MATCH(9.99E+307,'Returns (Calc)'!$A:$A)+1)-'Price History'!N3)*(ROW()-3)/(MATCH(9.99E+307,'Returns (Calc)'!$A:$A)-3),"")</f>
        <v>486.977215189873</v>
      </c>
      <c r="AJ143" s="144" t="n">
        <f aca="false">IFERROR('Price History'!O3+(INDEX('Price History'!O:O,MATCH(9.99E+307,'Returns (Calc)'!$A:$A)+1)-'Price History'!O3)*(ROW()-3)/(MATCH(9.99E+307,'Returns (Calc)'!$A:$A)-3),"")</f>
        <v>114.935316455696</v>
      </c>
      <c r="AK143" s="144" t="n">
        <f aca="false">IFERROR('Price History'!Q3+(INDEX('Price History'!Q:Q,MATCH(9.99E+307,'Returns (Calc)'!$A:$A)+1)-'Price History'!Q3)*(ROW()-3)/(MATCH(9.99E+307,'Returns (Calc)'!$A:$A)-3),"")</f>
        <v>61.5113924050633</v>
      </c>
      <c r="AL143" s="144" t="n">
        <f aca="false">IFERROR('Price History'!R3+(INDEX('Price History'!R:R,MATCH(9.99E+307,'Returns (Calc)'!$A:$A)+1)-'Price History'!R3)*(ROW()-3)/(MATCH(9.99E+307,'Returns (Calc)'!$A:$A)-3),"")</f>
        <v>58.0141772151899</v>
      </c>
      <c r="AM143" s="144" t="n">
        <f aca="false">IFERROR('Price History'!S3+(INDEX('Price History'!S:S,MATCH(9.99E+307,'Returns (Calc)'!$A:$A)+1)-'Price History'!S3)*(ROW()-3)/(MATCH(9.99E+307,'Returns (Calc)'!$A:$A)-3),"")</f>
        <v>142.338860759494</v>
      </c>
      <c r="AN143" s="144" t="n">
        <f aca="false">IFERROR('Price History'!T3+(INDEX('Price History'!T:T,MATCH(9.99E+307,'Returns (Calc)'!$A:$A)+1)-'Price History'!T3)*(ROW()-3)/(MATCH(9.99E+307,'Returns (Calc)'!$A:$A)-3),"")</f>
        <v>48.7918987341772</v>
      </c>
      <c r="AO143" s="145" t="n">
        <f aca="false">IFERROR('Price History'!V3+(INDEX('Price History'!V:V,MATCH(9.99E+307,'Returns (Calc)'!$A:$A)+1)-'Price History'!V3)*(ROW()-3)/(MATCH(9.99E+307,'Returns (Calc)'!$A:$A)-3),"")</f>
        <v>346.416075949367</v>
      </c>
      <c r="AP143" s="143" t="n">
        <f aca="false">IFERROR(IF(OR(NOT(ISNUMBER('Price History'!W144)),NOT(ISNUMBER('Price History'!W143)),'Price History'!W143=0),"",'Price History'!W144/'Price History'!W143-1),"")</f>
        <v>0.00312400382531086</v>
      </c>
      <c r="AQ143" s="143" t="n">
        <f aca="false">IFERROR(IF(OR(NOT(ISNUMBER('Price History'!X144)),NOT(ISNUMBER('Price History'!X143)),'Price History'!X143=0),"",'Price History'!X144/'Price History'!X143-1),"")</f>
        <v>-0.0536949399344739</v>
      </c>
      <c r="AR143" s="143" t="n">
        <f aca="false">IFERROR(IF(OR(NOT(ISNUMBER('Price History'!Y144)),NOT(ISNUMBER('Price History'!Y143)),'Price History'!Y143=0),"",'Price History'!Y144/'Price History'!Y143-1),"")</f>
        <v>-0.00513667217024405</v>
      </c>
      <c r="AS143" s="143" t="n">
        <f aca="false">IFERROR(IF(OR(NOT(ISNUMBER('Price History'!Z144)),NOT(ISNUMBER('Price History'!Z143)),'Price History'!Z143=0),"",'Price History'!Z144/'Price History'!Z143-1),"")</f>
        <v>0.0691000462871125</v>
      </c>
      <c r="AT143" s="143" t="n">
        <f aca="false">IFERROR(IF(OR(NOT(ISNUMBER('Price History'!AA144)),NOT(ISNUMBER('Price History'!AA143)),'Price History'!AA143=0),"",'Price History'!AA144/'Price History'!AA143-1),"")</f>
        <v>-0.0291196388261851</v>
      </c>
    </row>
    <row r="144" customFormat="false" ht="15" hidden="false" customHeight="true" outlineLevel="0" collapsed="false">
      <c r="A144" s="141" t="n">
        <f aca="false">IF('Price History'!A145="","",'Price History'!A145)</f>
        <v>46178</v>
      </c>
      <c r="B144" s="142" t="n">
        <f aca="false">IFERROR(IF(OR(NOT(ISNUMBER('Price History'!B145)),NOT(ISNUMBER('Price History'!B144)),'Price History'!B144=0),"",'Price History'!B145/'Price History'!B144-1),"")</f>
        <v>-0.0299756953821225</v>
      </c>
      <c r="C144" s="142" t="n">
        <f aca="false">IFERROR(IF(OR(NOT(ISNUMBER('Price History'!C145)),NOT(ISNUMBER('Price History'!C144)),'Price History'!C144=0),"",'Price History'!C145/'Price History'!C144-1),"")</f>
        <v>-0.032608014046529</v>
      </c>
      <c r="D144" s="142" t="n">
        <f aca="false">IFERROR(IF(OR(NOT(ISNUMBER('Price History'!D145)),NOT(ISNUMBER('Price History'!D144)),'Price History'!D144=0),"",'Price History'!D145/'Price History'!D144-1),"")</f>
        <v>0.0179675664936547</v>
      </c>
      <c r="E144" s="142" t="n">
        <f aca="false">IFERROR(IF(OR(NOT(ISNUMBER('Price History'!E145)),NOT(ISNUMBER('Price History'!E144)),'Price History'!E144=0),"",'Price History'!E145/'Price History'!E144-1),"")</f>
        <v>-0.136619876473891</v>
      </c>
      <c r="F144" s="142" t="n">
        <f aca="false">IFERROR(IF(OR(NOT(ISNUMBER('Price History'!F145)),NOT(ISNUMBER('Price History'!F144)),'Price History'!F144=0),"",'Price History'!F145/'Price History'!F144-1),"")</f>
        <v>-0.0820246238030097</v>
      </c>
      <c r="G144" s="142" t="n">
        <f aca="false">IFERROR(IF(OR(NOT(ISNUMBER('Price History'!G145)),NOT(ISNUMBER('Price History'!G144)),'Price History'!G144=0),"",'Price History'!G145/'Price History'!G144-1),"")</f>
        <v>0.00390726751758264</v>
      </c>
      <c r="H144" s="142" t="n">
        <f aca="false">IFERROR(IF(OR(NOT(ISNUMBER('Price History'!H145)),NOT(ISNUMBER('Price History'!H144)),'Price History'!H144=0),"",'Price History'!H145/'Price History'!H144-1),"")</f>
        <v>-0.110181799454087</v>
      </c>
      <c r="I144" s="142" t="n">
        <f aca="false">IFERROR(IF(OR(NOT(ISNUMBER('Price History'!I145)),NOT(ISNUMBER('Price History'!I144)),'Price History'!I144=0),"",'Price History'!I145/'Price History'!I144-1),"")</f>
        <v>-0.0274850469951581</v>
      </c>
      <c r="J144" s="142" t="n">
        <f aca="false">IFERROR(IF(OR(NOT(ISNUMBER('Price History'!J145)),NOT(ISNUMBER('Price History'!J144)),'Price History'!J144=0),"",'Price History'!J145/'Price History'!J144-1),"")</f>
        <v>0.0075012384120019</v>
      </c>
      <c r="K144" s="142" t="n">
        <f aca="false">IFERROR(IF(OR(NOT(ISNUMBER('Price History'!K145)),NOT(ISNUMBER('Price History'!K144)),'Price History'!K144=0),"",'Price History'!K145/'Price History'!K144-1),"")</f>
        <v>-0.134214897150888</v>
      </c>
      <c r="L144" s="142" t="n">
        <f aca="false">IFERROR(IF(OR(NOT(ISNUMBER('Price History'!L145)),NOT(ISNUMBER('Price History'!L144)),'Price History'!L144=0),"",'Price History'!L145/'Price History'!L144-1),"")</f>
        <v>-0.00785378038236151</v>
      </c>
      <c r="M144" s="142" t="n">
        <f aca="false">IFERROR(IF(OR(NOT(ISNUMBER('Price History'!M145)),NOT(ISNUMBER('Price History'!M144)),'Price History'!M144=0),"",'Price History'!M145/'Price History'!M144-1),"")</f>
        <v>-0.048166809265773</v>
      </c>
      <c r="N144" s="142" t="n">
        <f aca="false">IFERROR(IF(OR(NOT(ISNUMBER('Price History'!N145)),NOT(ISNUMBER('Price History'!N144)),'Price History'!N144=0),"",'Price History'!N145/'Price History'!N144-1),"")</f>
        <v>-0.00158645037315108</v>
      </c>
      <c r="O144" s="142" t="n">
        <f aca="false">IFERROR(IF(OR(NOT(ISNUMBER('Price History'!O145)),NOT(ISNUMBER('Price History'!O144)),'Price History'!O144=0),"",'Price History'!O145/'Price History'!O144-1),"")</f>
        <v>-0.00293574903539673</v>
      </c>
      <c r="P144" s="142" t="n">
        <f aca="false">IFERROR(IF(OR(NOT(ISNUMBER('Price History'!P145)),NOT(ISNUMBER('Price History'!P144)),'Price History'!P144=0),"",'Price History'!P145/'Price History'!P144-1),"")</f>
        <v>0.0028198570398057</v>
      </c>
      <c r="Q144" s="142" t="n">
        <f aca="false">IFERROR(IF(OR(NOT(ISNUMBER('Price History'!Q145)),NOT(ISNUMBER('Price History'!Q144)),'Price History'!Q144=0),"",'Price History'!Q145/'Price History'!Q144-1),"")</f>
        <v>-0.0104658018867926</v>
      </c>
      <c r="R144" s="142" t="n">
        <f aca="false">IFERROR(IF(OR(NOT(ISNUMBER('Price History'!R145)),NOT(ISNUMBER('Price History'!R144)),'Price History'!R144=0),"",'Price History'!R145/'Price History'!R144-1),"")</f>
        <v>-0.0279214064115823</v>
      </c>
      <c r="S144" s="142" t="n">
        <f aca="false">IFERROR(IF(OR(NOT(ISNUMBER('Price History'!S145)),NOT(ISNUMBER('Price History'!S144)),'Price History'!S144=0),"",'Price History'!S145/'Price History'!S144-1),"")</f>
        <v>-0.041902604756512</v>
      </c>
      <c r="T144" s="142" t="n">
        <f aca="false">IFERROR(IF(OR(NOT(ISNUMBER('Price History'!T145)),NOT(ISNUMBER('Price History'!T144)),'Price History'!T144=0),"",'Price History'!T145/'Price History'!T144-1),"")</f>
        <v>-0.011211729193618</v>
      </c>
      <c r="U144" s="142" t="n">
        <f aca="false">IFERROR(IF(OR(NOT(ISNUMBER('Price History'!U145)),NOT(ISNUMBER('Price History'!U144)),'Price History'!U144=0),"",'Price History'!U145/'Price History'!U144-1),"")</f>
        <v>-0.00625195373554233</v>
      </c>
      <c r="V144" s="143" t="n">
        <f aca="false">IFERROR(IF(OR(NOT(ISNUMBER('Price History'!V145)),NOT(ISNUMBER('Price History'!V144)),'Price History'!V144=0),"",'Price History'!V145/'Price History'!V144-1),"")</f>
        <v>-0.00853415195702212</v>
      </c>
      <c r="W144" s="144" t="n">
        <f aca="false">IFERROR('Price History'!B3+(INDEX('Price History'!B:B,MATCH(9.99E+307,'Returns (Calc)'!$A:$A)+1)-'Price History'!B3)*(ROW()-3)/(MATCH(9.99E+307,'Returns (Calc)'!$A:$A)-3),"")</f>
        <v>269.02164556962</v>
      </c>
      <c r="X144" s="144" t="n">
        <f aca="false">IFERROR('Price History'!C3+(INDEX('Price History'!C:C,MATCH(9.99E+307,'Returns (Calc)'!$A:$A)+1)-'Price History'!C3)*(ROW()-3)/(MATCH(9.99E+307,'Returns (Calc)'!$A:$A)-3),"")</f>
        <v>190.008924050633</v>
      </c>
      <c r="Y144" s="144" t="n">
        <f aca="false">IFERROR('Price History'!D3+(INDEX('Price History'!D:D,MATCH(9.99E+307,'Returns (Calc)'!$A:$A)+1)-'Price History'!D3)*(ROW()-3)/(MATCH(9.99E+307,'Returns (Calc)'!$A:$A)-3),"")</f>
        <v>1729.0182278481</v>
      </c>
      <c r="Z144" s="144" t="n">
        <f aca="false">IFERROR('Price History'!E3+(INDEX('Price History'!E:E,MATCH(9.99E+307,'Returns (Calc)'!$A:$A)+1)-'Price History'!E3)*(ROW()-3)/(MATCH(9.99E+307,'Returns (Calc)'!$A:$A)-3),"")</f>
        <v>325.751518987342</v>
      </c>
      <c r="AA144" s="144" t="n">
        <f aca="false">IFERROR('Price History'!F3+(INDEX('Price History'!F:F,MATCH(9.99E+307,'Returns (Calc)'!$A:$A)+1)-'Price History'!F3)*(ROW()-3)/(MATCH(9.99E+307,'Returns (Calc)'!$A:$A)-3),"")</f>
        <v>245.435189873418</v>
      </c>
      <c r="AB144" s="144" t="n">
        <f aca="false">IFERROR('Price History'!G3+(INDEX('Price History'!G:G,MATCH(9.99E+307,'Returns (Calc)'!$A:$A)+1)-'Price History'!G3)*(ROW()-3)/(MATCH(9.99E+307,'Returns (Calc)'!$A:$A)-3),"")</f>
        <v>189.401518987342</v>
      </c>
      <c r="AC144" s="144" t="n">
        <f aca="false">IFERROR('Price History'!H3+(INDEX('Price History'!H:H,MATCH(9.99E+307,'Returns (Calc)'!$A:$A)+1)-'Price History'!H3)*(ROW()-3)/(MATCH(9.99E+307,'Returns (Calc)'!$A:$A)-3),"")</f>
        <v>966.673164556962</v>
      </c>
      <c r="AD144" s="144" t="n">
        <f aca="false">IFERROR('Price History'!I3+(INDEX('Price History'!I:I,MATCH(9.99E+307,'Returns (Calc)'!$A:$A)+1)-'Price History'!I3)*(ROW()-3)/(MATCH(9.99E+307,'Returns (Calc)'!$A:$A)-3),"")</f>
        <v>213.487594936709</v>
      </c>
      <c r="AE144" s="144" t="n">
        <f aca="false">IFERROR('Price History'!J3+(INDEX('Price History'!J:J,MATCH(9.99E+307,'Returns (Calc)'!$A:$A)+1)-'Price History'!J3)*(ROW()-3)/(MATCH(9.99E+307,'Returns (Calc)'!$A:$A)-3),"")</f>
        <v>127.07335443038</v>
      </c>
      <c r="AF144" s="144" t="n">
        <f aca="false">IFERROR('Price History'!K3+(INDEX('Price History'!K:K,MATCH(9.99E+307,'Returns (Calc)'!$A:$A)+1)-'Price History'!K3)*(ROW()-3)/(MATCH(9.99E+307,'Returns (Calc)'!$A:$A)-3),"")</f>
        <v>170.090886075949</v>
      </c>
      <c r="AG144" s="144" t="n">
        <f aca="false">IFERROR('Price History'!L3+(INDEX('Price History'!L:L,MATCH(9.99E+307,'Returns (Calc)'!$A:$A)+1)-'Price History'!L3)*(ROW()-3)/(MATCH(9.99E+307,'Returns (Calc)'!$A:$A)-3),"")</f>
        <v>431.13753164557</v>
      </c>
      <c r="AH144" s="144" t="n">
        <f aca="false">IFERROR('Price History'!M3+(INDEX('Price History'!M:M,MATCH(9.99E+307,'Returns (Calc)'!$A:$A)+1)-'Price History'!M3)*(ROW()-3)/(MATCH(9.99E+307,'Returns (Calc)'!$A:$A)-3),"")</f>
        <v>229.13746835443</v>
      </c>
      <c r="AI144" s="144" t="n">
        <f aca="false">IFERROR('Price History'!N3+(INDEX('Price History'!N:N,MATCH(9.99E+307,'Returns (Calc)'!$A:$A)+1)-'Price History'!N3)*(ROW()-3)/(MATCH(9.99E+307,'Returns (Calc)'!$A:$A)-3),"")</f>
        <v>487.963481012658</v>
      </c>
      <c r="AJ144" s="144" t="n">
        <f aca="false">IFERROR('Price History'!O3+(INDEX('Price History'!O:O,MATCH(9.99E+307,'Returns (Calc)'!$A:$A)+1)-'Price History'!O3)*(ROW()-3)/(MATCH(9.99E+307,'Returns (Calc)'!$A:$A)-3),"")</f>
        <v>115.21835443038</v>
      </c>
      <c r="AK144" s="144" t="n">
        <f aca="false">IFERROR('Price History'!Q3+(INDEX('Price History'!Q:Q,MATCH(9.99E+307,'Returns (Calc)'!$A:$A)+1)-'Price History'!Q3)*(ROW()-3)/(MATCH(9.99E+307,'Returns (Calc)'!$A:$A)-3),"")</f>
        <v>61.9507594936709</v>
      </c>
      <c r="AL144" s="144" t="n">
        <f aca="false">IFERROR('Price History'!R3+(INDEX('Price History'!R:R,MATCH(9.99E+307,'Returns (Calc)'!$A:$A)+1)-'Price History'!R3)*(ROW()-3)/(MATCH(9.99E+307,'Returns (Calc)'!$A:$A)-3),"")</f>
        <v>58.1822784810127</v>
      </c>
      <c r="AM144" s="144" t="n">
        <f aca="false">IFERROR('Price History'!S3+(INDEX('Price History'!S:S,MATCH(9.99E+307,'Returns (Calc)'!$A:$A)+1)-'Price History'!S3)*(ROW()-3)/(MATCH(9.99E+307,'Returns (Calc)'!$A:$A)-3),"")</f>
        <v>142.943924050633</v>
      </c>
      <c r="AN144" s="144" t="n">
        <f aca="false">IFERROR('Price History'!T3+(INDEX('Price History'!T:T,MATCH(9.99E+307,'Returns (Calc)'!$A:$A)+1)-'Price History'!T3)*(ROW()-3)/(MATCH(9.99E+307,'Returns (Calc)'!$A:$A)-3),"")</f>
        <v>48.9601265822785</v>
      </c>
      <c r="AO144" s="145" t="n">
        <f aca="false">IFERROR('Price History'!V3+(INDEX('Price History'!V:V,MATCH(9.99E+307,'Returns (Calc)'!$A:$A)+1)-'Price History'!V3)*(ROW()-3)/(MATCH(9.99E+307,'Returns (Calc)'!$A:$A)-3),"")</f>
        <v>347.207405063291</v>
      </c>
      <c r="AP144" s="143" t="n">
        <f aca="false">IFERROR(IF(OR(NOT(ISNUMBER('Price History'!W145)),NOT(ISNUMBER('Price History'!W144)),'Price History'!W144=0),"",'Price History'!W145/'Price History'!W144-1),"")</f>
        <v>-0.0059743231219016</v>
      </c>
      <c r="AQ144" s="143" t="n">
        <f aca="false">IFERROR(IF(OR(NOT(ISNUMBER('Price History'!X145)),NOT(ISNUMBER('Price History'!X144)),'Price History'!X144=0),"",'Price History'!X145/'Price History'!X144-1),"")</f>
        <v>0.0234660511636853</v>
      </c>
      <c r="AR144" s="143" t="n">
        <f aca="false">IFERROR(IF(OR(NOT(ISNUMBER('Price History'!Y145)),NOT(ISNUMBER('Price History'!Y144)),'Price History'!Y144=0),"",'Price History'!Y145/'Price History'!Y144-1),"")</f>
        <v>-0.00239719712336339</v>
      </c>
      <c r="AS144" s="143" t="n">
        <f aca="false">IFERROR(IF(OR(NOT(ISNUMBER('Price History'!Z145)),NOT(ISNUMBER('Price History'!Z144)),'Price History'!Z144=0),"",'Price History'!Z145/'Price History'!Z144-1),"")</f>
        <v>0.0130813953488371</v>
      </c>
      <c r="AT144" s="143" t="n">
        <f aca="false">IFERROR(IF(OR(NOT(ISNUMBER('Price History'!AA145)),NOT(ISNUMBER('Price History'!AA144)),'Price History'!AA144=0),"",'Price History'!AA145/'Price History'!AA144-1),"")</f>
        <v>-0.0446407812136711</v>
      </c>
    </row>
    <row r="145" customFormat="false" ht="15" hidden="false" customHeight="true" outlineLevel="0" collapsed="false">
      <c r="A145" s="141" t="n">
        <f aca="false">IF('Price History'!A146="","",'Price History'!A146)</f>
        <v>46185</v>
      </c>
      <c r="B145" s="142" t="n">
        <f aca="false">IFERROR(IF(OR(NOT(ISNUMBER('Price History'!B146)),NOT(ISNUMBER('Price History'!B145)),'Price History'!B145=0),"",'Price History'!B146/'Price History'!B145-1),"")</f>
        <v>-0.188593700286351</v>
      </c>
      <c r="C145" s="142" t="n">
        <f aca="false">IFERROR(IF(OR(NOT(ISNUMBER('Price History'!C146)),NOT(ISNUMBER('Price History'!C145)),'Price History'!C145=0),"",'Price History'!C146/'Price History'!C145-1),"")</f>
        <v>0.0581448110455693</v>
      </c>
      <c r="D145" s="142" t="n">
        <f aca="false">IFERROR(IF(OR(NOT(ISNUMBER('Price History'!D146)),NOT(ISNUMBER('Price History'!D145)),'Price History'!D145=0),"",'Price History'!D146/'Price History'!D145-1),"")</f>
        <v>0.135104475427233</v>
      </c>
      <c r="E145" s="142" t="n">
        <f aca="false">IFERROR(IF(OR(NOT(ISNUMBER('Price History'!E146)),NOT(ISNUMBER('Price History'!E145)),'Price History'!E145=0),"",'Price History'!E146/'Price History'!E145-1),"")</f>
        <v>-0.00949482337027219</v>
      </c>
      <c r="F145" s="142" t="n">
        <f aca="false">IFERROR(IF(OR(NOT(ISNUMBER('Price History'!F146)),NOT(ISNUMBER('Price History'!F145)),'Price History'!F145=0),"",'Price History'!F146/'Price History'!F145-1),"")</f>
        <v>0.0175250357653791</v>
      </c>
      <c r="G145" s="142" t="n">
        <f aca="false">IFERROR(IF(OR(NOT(ISNUMBER('Price History'!G146)),NOT(ISNUMBER('Price History'!G145)),'Price History'!G145=0),"",'Price History'!G146/'Price History'!G145-1),"")</f>
        <v>0.319408406850026</v>
      </c>
      <c r="H145" s="142" t="n">
        <f aca="false">IFERROR(IF(OR(NOT(ISNUMBER('Price History'!H146)),NOT(ISNUMBER('Price History'!H145)),'Price History'!H145=0),"",'Price History'!H146/'Price History'!H145-1),"")</f>
        <v>0.136106866694448</v>
      </c>
      <c r="I145" s="142" t="n">
        <f aca="false">IFERROR(IF(OR(NOT(ISNUMBER('Price History'!I146)),NOT(ISNUMBER('Price History'!I145)),'Price History'!I145=0),"",'Price History'!I146/'Price History'!I145-1),"")</f>
        <v>0.000439302972616851</v>
      </c>
      <c r="J145" s="142" t="n">
        <f aca="false">IFERROR(IF(OR(NOT(ISNUMBER('Price History'!J146)),NOT(ISNUMBER('Price History'!J145)),'Price History'!J145=0),"",'Price History'!J146/'Price History'!J145-1),"")</f>
        <v>0.0290791599353795</v>
      </c>
      <c r="K145" s="142" t="n">
        <f aca="false">IFERROR(IF(OR(NOT(ISNUMBER('Price History'!K146)),NOT(ISNUMBER('Price History'!K145)),'Price History'!K145=0),"",'Price History'!K146/'Price History'!K145-1),"")</f>
        <v>-0.0556334390909762</v>
      </c>
      <c r="L145" s="142" t="n">
        <f aca="false">IFERROR(IF(OR(NOT(ISNUMBER('Price History'!L146)),NOT(ISNUMBER('Price History'!L145)),'Price History'!L145=0),"",'Price History'!L146/'Price History'!L145-1),"")</f>
        <v>0.0235057735602413</v>
      </c>
      <c r="M145" s="142" t="n">
        <f aca="false">IFERROR(IF(OR(NOT(ISNUMBER('Price History'!M146)),NOT(ISNUMBER('Price History'!M145)),'Price History'!M145=0),"",'Price History'!M146/'Price History'!M145-1),"")</f>
        <v>0.00785697639577854</v>
      </c>
      <c r="N145" s="142" t="n">
        <f aca="false">IFERROR(IF(OR(NOT(ISNUMBER('Price History'!N146)),NOT(ISNUMBER('Price History'!N145)),'Price History'!N145=0),"",'Price History'!N146/'Price History'!N145-1),"")</f>
        <v>-0.0042521764429424</v>
      </c>
      <c r="O145" s="142" t="n">
        <f aca="false">IFERROR(IF(OR(NOT(ISNUMBER('Price History'!O146)),NOT(ISNUMBER('Price History'!O145)),'Price History'!O145=0),"",'Price History'!O146/'Price History'!O145-1),"")</f>
        <v>0.0429040127870783</v>
      </c>
      <c r="P145" s="142" t="n">
        <f aca="false">IFERROR(IF(OR(NOT(ISNUMBER('Price History'!P146)),NOT(ISNUMBER('Price History'!P145)),'Price History'!P145=0),"",'Price History'!P146/'Price History'!P145-1),"")</f>
        <v>0.0221030604237511</v>
      </c>
      <c r="Q145" s="142" t="n">
        <f aca="false">IFERROR(IF(OR(NOT(ISNUMBER('Price History'!Q146)),NOT(ISNUMBER('Price History'!Q145)),'Price History'!Q145=0),"",'Price History'!Q146/'Price History'!Q145-1),"")</f>
        <v>0.000446894086101546</v>
      </c>
      <c r="R145" s="142" t="n">
        <f aca="false">IFERROR(IF(OR(NOT(ISNUMBER('Price History'!R146)),NOT(ISNUMBER('Price History'!R145)),'Price History'!R145=0),"",'Price History'!R146/'Price History'!R145-1),"")</f>
        <v>0.0163120567375887</v>
      </c>
      <c r="S145" s="142" t="n">
        <f aca="false">IFERROR(IF(OR(NOT(ISNUMBER('Price History'!S146)),NOT(ISNUMBER('Price History'!S145)),'Price History'!S145=0),"",'Price History'!S146/'Price History'!S145-1),"")</f>
        <v>0.0568766513697678</v>
      </c>
      <c r="T145" s="142" t="n">
        <f aca="false">IFERROR(IF(OR(NOT(ISNUMBER('Price History'!T146)),NOT(ISNUMBER('Price History'!T145)),'Price History'!T145=0),"",'Price History'!T146/'Price History'!T145-1),"")</f>
        <v>0.00610553859572605</v>
      </c>
      <c r="U145" s="142" t="n">
        <f aca="false">IFERROR(IF(OR(NOT(ISNUMBER('Price History'!U146)),NOT(ISNUMBER('Price History'!U145)),'Price History'!U145=0),"",'Price History'!U146/'Price History'!U145-1),"")</f>
        <v>0.0160427807486629</v>
      </c>
      <c r="V145" s="143" t="n">
        <f aca="false">IFERROR(IF(OR(NOT(ISNUMBER('Price History'!V146)),NOT(ISNUMBER('Price History'!V145)),'Price History'!V145=0),"",'Price History'!V146/'Price History'!V145-1),"")</f>
        <v>-0.00365359011672917</v>
      </c>
      <c r="W145" s="144" t="n">
        <f aca="false">IFERROR('Price History'!B3+(INDEX('Price History'!B:B,MATCH(9.99E+307,'Returns (Calc)'!$A:$A)+1)-'Price History'!B3)*(ROW()-3)/(MATCH(9.99E+307,'Returns (Calc)'!$A:$A)-3),"")</f>
        <v>267.178607594937</v>
      </c>
      <c r="X145" s="144" t="n">
        <f aca="false">IFERROR('Price History'!C3+(INDEX('Price History'!C:C,MATCH(9.99E+307,'Returns (Calc)'!$A:$A)+1)-'Price History'!C3)*(ROW()-3)/(MATCH(9.99E+307,'Returns (Calc)'!$A:$A)-3),"")</f>
        <v>191.028987341772</v>
      </c>
      <c r="Y145" s="144" t="n">
        <f aca="false">IFERROR('Price History'!D3+(INDEX('Price History'!D:D,MATCH(9.99E+307,'Returns (Calc)'!$A:$A)+1)-'Price History'!D3)*(ROW()-3)/(MATCH(9.99E+307,'Returns (Calc)'!$A:$A)-3),"")</f>
        <v>1737.15303797468</v>
      </c>
      <c r="Z145" s="144" t="n">
        <f aca="false">IFERROR('Price History'!E3+(INDEX('Price History'!E:E,MATCH(9.99E+307,'Returns (Calc)'!$A:$A)+1)-'Price History'!E3)*(ROW()-3)/(MATCH(9.99E+307,'Returns (Calc)'!$A:$A)-3),"")</f>
        <v>327.480253164557</v>
      </c>
      <c r="AA145" s="144" t="n">
        <f aca="false">IFERROR('Price History'!F3+(INDEX('Price History'!F:F,MATCH(9.99E+307,'Returns (Calc)'!$A:$A)+1)-'Price History'!F3)*(ROW()-3)/(MATCH(9.99E+307,'Returns (Calc)'!$A:$A)-3),"")</f>
        <v>246.88253164557</v>
      </c>
      <c r="AB145" s="144" t="n">
        <f aca="false">IFERROR('Price History'!G3+(INDEX('Price History'!G:G,MATCH(9.99E+307,'Returns (Calc)'!$A:$A)+1)-'Price History'!G3)*(ROW()-3)/(MATCH(9.99E+307,'Returns (Calc)'!$A:$A)-3),"")</f>
        <v>190.430253164557</v>
      </c>
      <c r="AC145" s="144" t="n">
        <f aca="false">IFERROR('Price History'!H3+(INDEX('Price History'!H:H,MATCH(9.99E+307,'Returns (Calc)'!$A:$A)+1)-'Price History'!H3)*(ROW()-3)/(MATCH(9.99E+307,'Returns (Calc)'!$A:$A)-3),"")</f>
        <v>973.038860759494</v>
      </c>
      <c r="AD145" s="144" t="n">
        <f aca="false">IFERROR('Price History'!I3+(INDEX('Price History'!I:I,MATCH(9.99E+307,'Returns (Calc)'!$A:$A)+1)-'Price History'!I3)*(ROW()-3)/(MATCH(9.99E+307,'Returns (Calc)'!$A:$A)-3),"")</f>
        <v>214.691265822785</v>
      </c>
      <c r="AE145" s="144" t="n">
        <f aca="false">IFERROR('Price History'!J3+(INDEX('Price History'!J:J,MATCH(9.99E+307,'Returns (Calc)'!$A:$A)+1)-'Price History'!J3)*(ROW()-3)/(MATCH(9.99E+307,'Returns (Calc)'!$A:$A)-3),"")</f>
        <v>127.181392405063</v>
      </c>
      <c r="AF145" s="144" t="n">
        <f aca="false">IFERROR('Price History'!K3+(INDEX('Price History'!K:K,MATCH(9.99E+307,'Returns (Calc)'!$A:$A)+1)-'Price History'!K3)*(ROW()-3)/(MATCH(9.99E+307,'Returns (Calc)'!$A:$A)-3),"")</f>
        <v>171.188481012658</v>
      </c>
      <c r="AG145" s="144" t="n">
        <f aca="false">IFERROR('Price History'!L3+(INDEX('Price History'!L:L,MATCH(9.99E+307,'Returns (Calc)'!$A:$A)+1)-'Price History'!L3)*(ROW()-3)/(MATCH(9.99E+307,'Returns (Calc)'!$A:$A)-3),"")</f>
        <v>433.587088607595</v>
      </c>
      <c r="AH145" s="144" t="n">
        <f aca="false">IFERROR('Price History'!M3+(INDEX('Price History'!M:M,MATCH(9.99E+307,'Returns (Calc)'!$A:$A)+1)-'Price History'!M3)*(ROW()-3)/(MATCH(9.99E+307,'Returns (Calc)'!$A:$A)-3),"")</f>
        <v>230.492911392405</v>
      </c>
      <c r="AI145" s="144" t="n">
        <f aca="false">IFERROR('Price History'!N3+(INDEX('Price History'!N:N,MATCH(9.99E+307,'Returns (Calc)'!$A:$A)+1)-'Price History'!N3)*(ROW()-3)/(MATCH(9.99E+307,'Returns (Calc)'!$A:$A)-3),"")</f>
        <v>488.949746835443</v>
      </c>
      <c r="AJ145" s="144" t="n">
        <f aca="false">IFERROR('Price History'!O3+(INDEX('Price History'!O:O,MATCH(9.99E+307,'Returns (Calc)'!$A:$A)+1)-'Price History'!O3)*(ROW()-3)/(MATCH(9.99E+307,'Returns (Calc)'!$A:$A)-3),"")</f>
        <v>115.501392405063</v>
      </c>
      <c r="AK145" s="144" t="n">
        <f aca="false">IFERROR('Price History'!Q3+(INDEX('Price History'!Q:Q,MATCH(9.99E+307,'Returns (Calc)'!$A:$A)+1)-'Price History'!Q3)*(ROW()-3)/(MATCH(9.99E+307,'Returns (Calc)'!$A:$A)-3),"")</f>
        <v>62.3901265822785</v>
      </c>
      <c r="AL145" s="144" t="n">
        <f aca="false">IFERROR('Price History'!R3+(INDEX('Price History'!R:R,MATCH(9.99E+307,'Returns (Calc)'!$A:$A)+1)-'Price History'!R3)*(ROW()-3)/(MATCH(9.99E+307,'Returns (Calc)'!$A:$A)-3),"")</f>
        <v>58.3503797468354</v>
      </c>
      <c r="AM145" s="144" t="n">
        <f aca="false">IFERROR('Price History'!S3+(INDEX('Price History'!S:S,MATCH(9.99E+307,'Returns (Calc)'!$A:$A)+1)-'Price History'!S3)*(ROW()-3)/(MATCH(9.99E+307,'Returns (Calc)'!$A:$A)-3),"")</f>
        <v>143.548987341772</v>
      </c>
      <c r="AN145" s="144" t="n">
        <f aca="false">IFERROR('Price History'!T3+(INDEX('Price History'!T:T,MATCH(9.99E+307,'Returns (Calc)'!$A:$A)+1)-'Price History'!T3)*(ROW()-3)/(MATCH(9.99E+307,'Returns (Calc)'!$A:$A)-3),"")</f>
        <v>49.1283544303797</v>
      </c>
      <c r="AO145" s="145" t="n">
        <f aca="false">IFERROR('Price History'!V3+(INDEX('Price History'!V:V,MATCH(9.99E+307,'Returns (Calc)'!$A:$A)+1)-'Price History'!V3)*(ROW()-3)/(MATCH(9.99E+307,'Returns (Calc)'!$A:$A)-3),"")</f>
        <v>347.998734177215</v>
      </c>
      <c r="AP145" s="143" t="n">
        <f aca="false">IFERROR(IF(OR(NOT(ISNUMBER('Price History'!W146)),NOT(ISNUMBER('Price History'!W145)),'Price History'!W145=0),"",'Price History'!W146/'Price History'!W145-1),"")</f>
        <v>0.0131713554987212</v>
      </c>
      <c r="AQ145" s="143" t="n">
        <f aca="false">IFERROR(IF(OR(NOT(ISNUMBER('Price History'!X146)),NOT(ISNUMBER('Price History'!X145)),'Price History'!X145=0),"",'Price History'!X146/'Price History'!X145-1),"")</f>
        <v>0.00638977635782734</v>
      </c>
      <c r="AR145" s="143" t="n">
        <f aca="false">IFERROR(IF(OR(NOT(ISNUMBER('Price History'!Y146)),NOT(ISNUMBER('Price History'!Y145)),'Price History'!Y145=0),"",'Price History'!Y146/'Price History'!Y145-1),"")</f>
        <v>0.0094269870609982</v>
      </c>
      <c r="AS145" s="143" t="n">
        <f aca="false">IFERROR(IF(OR(NOT(ISNUMBER('Price History'!Z146)),NOT(ISNUMBER('Price History'!Z145)),'Price History'!Z145=0),"",'Price History'!Z146/'Price History'!Z145-1),"")</f>
        <v>0.0222534265392718</v>
      </c>
      <c r="AT145" s="143" t="n">
        <f aca="false">IFERROR(IF(OR(NOT(ISNUMBER('Price History'!AA146)),NOT(ISNUMBER('Price History'!AA145)),'Price History'!AA145=0),"",'Price History'!AA146/'Price History'!AA145-1),"")</f>
        <v>-0.0223898758822099</v>
      </c>
    </row>
    <row r="146" customFormat="false" ht="15" hidden="false" customHeight="true" outlineLevel="0" collapsed="false">
      <c r="A146" s="141" t="n">
        <f aca="false">IF('Price History'!A147="","",'Price History'!A147)</f>
        <v>46192</v>
      </c>
      <c r="B146" s="142" t="n">
        <f aca="false">IFERROR(IF(OR(NOT(ISNUMBER('Price History'!B147)),NOT(ISNUMBER('Price History'!B146)),'Price History'!B146=0),"",'Price History'!B147/'Price History'!B146-1),"")</f>
        <v>-0.0434271149887266</v>
      </c>
      <c r="C146" s="142" t="n">
        <f aca="false">IFERROR(IF(OR(NOT(ISNUMBER('Price History'!C147)),NOT(ISNUMBER('Price History'!C146)),'Price History'!C146=0),"",'Price History'!C147/'Price History'!C146-1),"")</f>
        <v>0.0393898554275911</v>
      </c>
      <c r="D146" s="142" t="n">
        <f aca="false">IFERROR(IF(OR(NOT(ISNUMBER('Price History'!D147)),NOT(ISNUMBER('Price History'!D146)),'Price History'!D146=0),"",'Price History'!D147/'Price History'!D146-1),"")</f>
        <v>0.0354890013647549</v>
      </c>
      <c r="E146" s="142" t="n">
        <f aca="false">IFERROR(IF(OR(NOT(ISNUMBER('Price History'!E147)),NOT(ISNUMBER('Price History'!E146)),'Price History'!E146=0),"",'Price History'!E147/'Price History'!E146-1),"")</f>
        <v>0.0766341886178008</v>
      </c>
      <c r="F146" s="142" t="n">
        <f aca="false">IFERROR(IF(OR(NOT(ISNUMBER('Price History'!F147)),NOT(ISNUMBER('Price History'!F146)),'Price History'!F146=0),"",'Price History'!F147/'Price History'!F146-1),"")</f>
        <v>0.00298769771529006</v>
      </c>
      <c r="G146" s="142" t="n">
        <f aca="false">IFERROR(IF(OR(NOT(ISNUMBER('Price History'!G147)),NOT(ISNUMBER('Price History'!G146)),'Price History'!G146=0),"",'Price History'!G147/'Price History'!G146-1),"")</f>
        <v>0.0197443461160274</v>
      </c>
      <c r="H146" s="142" t="n">
        <f aca="false">IFERROR(IF(OR(NOT(ISNUMBER('Price History'!H147)),NOT(ISNUMBER('Price History'!H146)),'Price History'!H146=0),"",'Price History'!H147/'Price History'!H146-1),"")</f>
        <v>0.155238114645528</v>
      </c>
      <c r="I146" s="142" t="n">
        <f aca="false">IFERROR(IF(OR(NOT(ISNUMBER('Price History'!I147)),NOT(ISNUMBER('Price History'!I146)),'Price History'!I146=0),"",'Price History'!I147/'Price History'!I146-1),"")</f>
        <v>0.0267857142857142</v>
      </c>
      <c r="J146" s="142" t="n">
        <f aca="false">IFERROR(IF(OR(NOT(ISNUMBER('Price History'!J147)),NOT(ISNUMBER('Price History'!J146)),'Price History'!J146=0),"",'Price History'!J147/'Price History'!J146-1),"")</f>
        <v>-0.0483243464609924</v>
      </c>
      <c r="K146" s="142" t="n">
        <f aca="false">IFERROR(IF(OR(NOT(ISNUMBER('Price History'!K147)),NOT(ISNUMBER('Price History'!K146)),'Price History'!K146=0),"",'Price History'!K147/'Price History'!K146-1),"")</f>
        <v>0.00375029299163998</v>
      </c>
      <c r="L146" s="142" t="n">
        <f aca="false">IFERROR(IF(OR(NOT(ISNUMBER('Price History'!L147)),NOT(ISNUMBER('Price History'!L146)),'Price History'!L146=0),"",'Price History'!L147/'Price History'!L146-1),"")</f>
        <v>0.0900662251655628</v>
      </c>
      <c r="M146" s="142" t="n">
        <f aca="false">IFERROR(IF(OR(NOT(ISNUMBER('Price History'!M147)),NOT(ISNUMBER('Price History'!M146)),'Price History'!M146=0),"",'Price History'!M147/'Price History'!M146-1),"")</f>
        <v>0.0998909919730453</v>
      </c>
      <c r="N146" s="142" t="n">
        <f aca="false">IFERROR(IF(OR(NOT(ISNUMBER('Price History'!N147)),NOT(ISNUMBER('Price History'!N146)),'Price History'!N146=0),"",'Price History'!N147/'Price History'!N146-1),"")</f>
        <v>0.0150585485357246</v>
      </c>
      <c r="O146" s="142" t="n">
        <f aca="false">IFERROR(IF(OR(NOT(ISNUMBER('Price History'!O147)),NOT(ISNUMBER('Price History'!O146)),'Price History'!O146=0),"",'Price History'!O147/'Price History'!O146-1),"")</f>
        <v>-0.0191175284342987</v>
      </c>
      <c r="P146" s="142" t="n">
        <f aca="false">IFERROR(IF(OR(NOT(ISNUMBER('Price History'!P147)),NOT(ISNUMBER('Price History'!P146)),'Price History'!P146=0),"",'Price History'!P147/'Price History'!P146-1),"")</f>
        <v>-0.027191298784389</v>
      </c>
      <c r="Q146" s="142" t="n">
        <f aca="false">IFERROR(IF(OR(NOT(ISNUMBER('Price History'!Q147)),NOT(ISNUMBER('Price History'!Q146)),'Price History'!Q146=0),"",'Price History'!Q147/'Price History'!Q146-1),"")</f>
        <v>0.0083382966051222</v>
      </c>
      <c r="R146" s="142" t="n">
        <f aca="false">IFERROR(IF(OR(NOT(ISNUMBER('Price History'!R147)),NOT(ISNUMBER('Price History'!R146)),'Price History'!R146=0),"",'Price History'!R147/'Price History'!R146-1),"")</f>
        <v>0.0247732030704815</v>
      </c>
      <c r="S146" s="142" t="n">
        <f aca="false">IFERROR(IF(OR(NOT(ISNUMBER('Price History'!S147)),NOT(ISNUMBER('Price History'!S146)),'Price History'!S146=0),"",'Price History'!S147/'Price History'!S146-1),"")</f>
        <v>0.0486184210526315</v>
      </c>
      <c r="T146" s="142" t="n">
        <f aca="false">IFERROR(IF(OR(NOT(ISNUMBER('Price History'!T147)),NOT(ISNUMBER('Price History'!T146)),'Price History'!T146=0),"",'Price History'!T147/'Price History'!T146-1),"")</f>
        <v>-0.0223233636757694</v>
      </c>
      <c r="U146" s="142" t="n">
        <f aca="false">IFERROR(IF(OR(NOT(ISNUMBER('Price History'!U147)),NOT(ISNUMBER('Price History'!U146)),'Price History'!U146=0),"",'Price History'!U147/'Price History'!U146-1),"")</f>
        <v>-0.0291021671826625</v>
      </c>
      <c r="V146" s="143" t="n">
        <f aca="false">IFERROR(IF(OR(NOT(ISNUMBER('Price History'!V147)),NOT(ISNUMBER('Price History'!V146)),'Price History'!V146=0),"",'Price History'!V147/'Price History'!V146-1),"")</f>
        <v>0.0150408651605083</v>
      </c>
      <c r="W146" s="144" t="n">
        <f aca="false">IFERROR('Price History'!B3+(INDEX('Price History'!B:B,MATCH(9.99E+307,'Returns (Calc)'!$A:$A)+1)-'Price History'!B3)*(ROW()-3)/(MATCH(9.99E+307,'Returns (Calc)'!$A:$A)-3),"")</f>
        <v>265.335569620253</v>
      </c>
      <c r="X146" s="144" t="n">
        <f aca="false">IFERROR('Price History'!C3+(INDEX('Price History'!C:C,MATCH(9.99E+307,'Returns (Calc)'!$A:$A)+1)-'Price History'!C3)*(ROW()-3)/(MATCH(9.99E+307,'Returns (Calc)'!$A:$A)-3),"")</f>
        <v>192.049050632911</v>
      </c>
      <c r="Y146" s="144" t="n">
        <f aca="false">IFERROR('Price History'!D3+(INDEX('Price History'!D:D,MATCH(9.99E+307,'Returns (Calc)'!$A:$A)+1)-'Price History'!D3)*(ROW()-3)/(MATCH(9.99E+307,'Returns (Calc)'!$A:$A)-3),"")</f>
        <v>1745.28784810127</v>
      </c>
      <c r="Z146" s="144" t="n">
        <f aca="false">IFERROR('Price History'!E3+(INDEX('Price History'!E:E,MATCH(9.99E+307,'Returns (Calc)'!$A:$A)+1)-'Price History'!E3)*(ROW()-3)/(MATCH(9.99E+307,'Returns (Calc)'!$A:$A)-3),"")</f>
        <v>329.208987341772</v>
      </c>
      <c r="AA146" s="144" t="n">
        <f aca="false">IFERROR('Price History'!F3+(INDEX('Price History'!F:F,MATCH(9.99E+307,'Returns (Calc)'!$A:$A)+1)-'Price History'!F3)*(ROW()-3)/(MATCH(9.99E+307,'Returns (Calc)'!$A:$A)-3),"")</f>
        <v>248.329873417722</v>
      </c>
      <c r="AB146" s="144" t="n">
        <f aca="false">IFERROR('Price History'!G3+(INDEX('Price History'!G:G,MATCH(9.99E+307,'Returns (Calc)'!$A:$A)+1)-'Price History'!G3)*(ROW()-3)/(MATCH(9.99E+307,'Returns (Calc)'!$A:$A)-3),"")</f>
        <v>191.458987341772</v>
      </c>
      <c r="AC146" s="144" t="n">
        <f aca="false">IFERROR('Price History'!H3+(INDEX('Price History'!H:H,MATCH(9.99E+307,'Returns (Calc)'!$A:$A)+1)-'Price History'!H3)*(ROW()-3)/(MATCH(9.99E+307,'Returns (Calc)'!$A:$A)-3),"")</f>
        <v>979.404556962025</v>
      </c>
      <c r="AD146" s="144" t="n">
        <f aca="false">IFERROR('Price History'!I3+(INDEX('Price History'!I:I,MATCH(9.99E+307,'Returns (Calc)'!$A:$A)+1)-'Price History'!I3)*(ROW()-3)/(MATCH(9.99E+307,'Returns (Calc)'!$A:$A)-3),"")</f>
        <v>215.894936708861</v>
      </c>
      <c r="AE146" s="144" t="n">
        <f aca="false">IFERROR('Price History'!J3+(INDEX('Price History'!J:J,MATCH(9.99E+307,'Returns (Calc)'!$A:$A)+1)-'Price History'!J3)*(ROW()-3)/(MATCH(9.99E+307,'Returns (Calc)'!$A:$A)-3),"")</f>
        <v>127.289430379747</v>
      </c>
      <c r="AF146" s="144" t="n">
        <f aca="false">IFERROR('Price History'!K3+(INDEX('Price History'!K:K,MATCH(9.99E+307,'Returns (Calc)'!$A:$A)+1)-'Price History'!K3)*(ROW()-3)/(MATCH(9.99E+307,'Returns (Calc)'!$A:$A)-3),"")</f>
        <v>172.286075949367</v>
      </c>
      <c r="AG146" s="144" t="n">
        <f aca="false">IFERROR('Price History'!L3+(INDEX('Price History'!L:L,MATCH(9.99E+307,'Returns (Calc)'!$A:$A)+1)-'Price History'!L3)*(ROW()-3)/(MATCH(9.99E+307,'Returns (Calc)'!$A:$A)-3),"")</f>
        <v>436.03664556962</v>
      </c>
      <c r="AH146" s="144" t="n">
        <f aca="false">IFERROR('Price History'!M3+(INDEX('Price History'!M:M,MATCH(9.99E+307,'Returns (Calc)'!$A:$A)+1)-'Price History'!M3)*(ROW()-3)/(MATCH(9.99E+307,'Returns (Calc)'!$A:$A)-3),"")</f>
        <v>231.84835443038</v>
      </c>
      <c r="AI146" s="144" t="n">
        <f aca="false">IFERROR('Price History'!N3+(INDEX('Price History'!N:N,MATCH(9.99E+307,'Returns (Calc)'!$A:$A)+1)-'Price History'!N3)*(ROW()-3)/(MATCH(9.99E+307,'Returns (Calc)'!$A:$A)-3),"")</f>
        <v>489.936012658228</v>
      </c>
      <c r="AJ146" s="144" t="n">
        <f aca="false">IFERROR('Price History'!O3+(INDEX('Price History'!O:O,MATCH(9.99E+307,'Returns (Calc)'!$A:$A)+1)-'Price History'!O3)*(ROW()-3)/(MATCH(9.99E+307,'Returns (Calc)'!$A:$A)-3),"")</f>
        <v>115.784430379747</v>
      </c>
      <c r="AK146" s="144" t="n">
        <f aca="false">IFERROR('Price History'!Q3+(INDEX('Price History'!Q:Q,MATCH(9.99E+307,'Returns (Calc)'!$A:$A)+1)-'Price History'!Q3)*(ROW()-3)/(MATCH(9.99E+307,'Returns (Calc)'!$A:$A)-3),"")</f>
        <v>62.8294936708861</v>
      </c>
      <c r="AL146" s="144" t="n">
        <f aca="false">IFERROR('Price History'!R3+(INDEX('Price History'!R:R,MATCH(9.99E+307,'Returns (Calc)'!$A:$A)+1)-'Price History'!R3)*(ROW()-3)/(MATCH(9.99E+307,'Returns (Calc)'!$A:$A)-3),"")</f>
        <v>58.5184810126582</v>
      </c>
      <c r="AM146" s="144" t="n">
        <f aca="false">IFERROR('Price History'!S3+(INDEX('Price History'!S:S,MATCH(9.99E+307,'Returns (Calc)'!$A:$A)+1)-'Price History'!S3)*(ROW()-3)/(MATCH(9.99E+307,'Returns (Calc)'!$A:$A)-3),"")</f>
        <v>144.154050632911</v>
      </c>
      <c r="AN146" s="144" t="n">
        <f aca="false">IFERROR('Price History'!T3+(INDEX('Price History'!T:T,MATCH(9.99E+307,'Returns (Calc)'!$A:$A)+1)-'Price History'!T3)*(ROW()-3)/(MATCH(9.99E+307,'Returns (Calc)'!$A:$A)-3),"")</f>
        <v>49.296582278481</v>
      </c>
      <c r="AO146" s="145" t="n">
        <f aca="false">IFERROR('Price History'!V3+(INDEX('Price History'!V:V,MATCH(9.99E+307,'Returns (Calc)'!$A:$A)+1)-'Price History'!V3)*(ROW()-3)/(MATCH(9.99E+307,'Returns (Calc)'!$A:$A)-3),"")</f>
        <v>348.790063291139</v>
      </c>
      <c r="AP146" s="143" t="n">
        <f aca="false">IFERROR(IF(OR(NOT(ISNUMBER('Price History'!W147)),NOT(ISNUMBER('Price History'!W146)),'Price History'!W146=0),"",'Price History'!W147/'Price History'!W146-1),"")</f>
        <v>-0.00706802978669696</v>
      </c>
      <c r="AQ146" s="143" t="n">
        <f aca="false">IFERROR(IF(OR(NOT(ISNUMBER('Price History'!X147)),NOT(ISNUMBER('Price History'!X146)),'Price History'!X146=0),"",'Price History'!X147/'Price History'!X146-1),"")</f>
        <v>-0.0220354808590103</v>
      </c>
      <c r="AR146" s="143" t="n">
        <f aca="false">IFERROR(IF(OR(NOT(ISNUMBER('Price History'!Y147)),NOT(ISNUMBER('Price History'!Y146)),'Price History'!Y146=0),"",'Price History'!Y147/'Price History'!Y146-1),"")</f>
        <v>0.00109869987181832</v>
      </c>
      <c r="AS146" s="143" t="n">
        <f aca="false">IFERROR(IF(OR(NOT(ISNUMBER('Price History'!Z147)),NOT(ISNUMBER('Price History'!Z146)),'Price History'!Z146=0),"",'Price History'!Z147/'Price History'!Z146-1),"")</f>
        <v>0.0666208791208791</v>
      </c>
      <c r="AT146" s="143" t="n">
        <f aca="false">IFERROR(IF(OR(NOT(ISNUMBER('Price History'!AA147)),NOT(ISNUMBER('Price History'!AA146)),'Price History'!AA146=0),"",'Price History'!AA147/'Price History'!AA146-1),"")</f>
        <v>-0.0368434154841922</v>
      </c>
    </row>
    <row r="147" customFormat="false" ht="15" hidden="false" customHeight="true" outlineLevel="0" collapsed="false">
      <c r="A147" s="141" t="n">
        <f aca="false">IF('Price History'!A148="","",'Price History'!A148)</f>
        <v>46199</v>
      </c>
      <c r="B147" s="142" t="n">
        <f aca="false">IFERROR(IF(OR(NOT(ISNUMBER('Price History'!B148)),NOT(ISNUMBER('Price History'!B147)),'Price History'!B147=0),"",'Price History'!B148/'Price History'!B147-1),"")</f>
        <v>0.0387886862061897</v>
      </c>
      <c r="C147" s="142" t="n">
        <f aca="false">IFERROR(IF(OR(NOT(ISNUMBER('Price History'!C148)),NOT(ISNUMBER('Price History'!C147)),'Price History'!C147=0),"",'Price History'!C148/'Price History'!C147-1),"")</f>
        <v>-0.0711380915895562</v>
      </c>
      <c r="D147" s="142" t="n">
        <f aca="false">IFERROR(IF(OR(NOT(ISNUMBER('Price History'!D148)),NOT(ISNUMBER('Price History'!D147)),'Price History'!D147=0),"",'Price History'!D148/'Price History'!D147-1),"")</f>
        <v>-0.0699930987603714</v>
      </c>
      <c r="E147" s="142" t="n">
        <f aca="false">IFERROR(IF(OR(NOT(ISNUMBER('Price History'!E148)),NOT(ISNUMBER('Price History'!E147)),'Price History'!E147=0),"",'Price History'!E148/'Price History'!E147-1),"")</f>
        <v>-0.111208683985852</v>
      </c>
      <c r="F147" s="142" t="n">
        <f aca="false">IFERROR(IF(OR(NOT(ISNUMBER('Price History'!F148)),NOT(ISNUMBER('Price History'!F147)),'Price History'!F147=0),"",'Price History'!F148/'Price History'!F147-1),"")</f>
        <v>0.0237135681327025</v>
      </c>
      <c r="G147" s="142" t="n">
        <f aca="false">IFERROR(IF(OR(NOT(ISNUMBER('Price History'!G148)),NOT(ISNUMBER('Price History'!G147)),'Price History'!G147=0),"",'Price History'!G148/'Price History'!G147-1),"")</f>
        <v>-0.0420796852701816</v>
      </c>
      <c r="H147" s="142" t="n">
        <f aca="false">IFERROR(IF(OR(NOT(ISNUMBER('Price History'!H148)),NOT(ISNUMBER('Price History'!H147)),'Price History'!H147=0),"",'Price History'!H148/'Price History'!H147-1),"")</f>
        <v>-0.00146407719038277</v>
      </c>
      <c r="I147" s="142" t="n">
        <f aca="false">IFERROR(IF(OR(NOT(ISNUMBER('Price History'!I148)),NOT(ISNUMBER('Price History'!I147)),'Price History'!I147=0),"",'Price History'!I148/'Price History'!I147-1),"")</f>
        <v>-0.0861962461392254</v>
      </c>
      <c r="J147" s="142" t="n">
        <f aca="false">IFERROR(IF(OR(NOT(ISNUMBER('Price History'!J148)),NOT(ISNUMBER('Price History'!J147)),'Price History'!J147=0),"",'Price History'!J148/'Price History'!J147-1),"")</f>
        <v>-0.00401635229147246</v>
      </c>
      <c r="K147" s="142" t="n">
        <f aca="false">IFERROR(IF(OR(NOT(ISNUMBER('Price History'!K148)),NOT(ISNUMBER('Price History'!K147)),'Price History'!K147=0),"",'Price History'!K148/'Price History'!K147-1),"")</f>
        <v>-0.120962092317273</v>
      </c>
      <c r="L147" s="142" t="n">
        <f aca="false">IFERROR(IF(OR(NOT(ISNUMBER('Price History'!L148)),NOT(ISNUMBER('Price History'!L147)),'Price History'!L147=0),"",'Price History'!L148/'Price History'!L147-1),"")</f>
        <v>-0.0644202395417463</v>
      </c>
      <c r="M147" s="142" t="n">
        <f aca="false">IFERROR(IF(OR(NOT(ISNUMBER('Price History'!M148)),NOT(ISNUMBER('Price History'!M147)),'Price History'!M147=0),"",'Price History'!M148/'Price History'!M147-1),"")</f>
        <v>-0.0873652280986276</v>
      </c>
      <c r="N147" s="142" t="n">
        <f aca="false">IFERROR(IF(OR(NOT(ISNUMBER('Price History'!N148)),NOT(ISNUMBER('Price History'!N147)),'Price History'!N147=0),"",'Price History'!N148/'Price History'!N147-1),"")</f>
        <v>0.0879259570887674</v>
      </c>
      <c r="O147" s="142" t="n">
        <f aca="false">IFERROR(IF(OR(NOT(ISNUMBER('Price History'!O148)),NOT(ISNUMBER('Price History'!O147)),'Price History'!O147=0),"",'Price History'!O148/'Price History'!O147-1),"")</f>
        <v>0.0240953947368421</v>
      </c>
      <c r="P147" s="142" t="n">
        <f aca="false">IFERROR(IF(OR(NOT(ISNUMBER('Price History'!P148)),NOT(ISNUMBER('Price History'!P147)),'Price History'!P147=0),"",'Price History'!P148/'Price History'!P147-1),"")</f>
        <v>0.0317000986517593</v>
      </c>
      <c r="Q147" s="142" t="n">
        <f aca="false">IFERROR(IF(OR(NOT(ISNUMBER('Price History'!Q148)),NOT(ISNUMBER('Price History'!Q147)),'Price History'!Q147=0),"",'Price History'!Q148/'Price History'!Q147-1),"")</f>
        <v>-0.0107796810395748</v>
      </c>
      <c r="R147" s="142" t="n">
        <f aca="false">IFERROR(IF(OR(NOT(ISNUMBER('Price History'!R148)),NOT(ISNUMBER('Price History'!R147)),'Price History'!R147=0),"",'Price History'!R148/'Price History'!R147-1),"")</f>
        <v>-0.031324480762683</v>
      </c>
      <c r="S147" s="142" t="n">
        <f aca="false">IFERROR(IF(OR(NOT(ISNUMBER('Price History'!S148)),NOT(ISNUMBER('Price History'!S147)),'Price History'!S147=0),"",'Price History'!S148/'Price History'!S147-1),"")</f>
        <v>-0.0341301210866428</v>
      </c>
      <c r="T147" s="142" t="n">
        <f aca="false">IFERROR(IF(OR(NOT(ISNUMBER('Price History'!T148)),NOT(ISNUMBER('Price History'!T147)),'Price History'!T147=0),"",'Price History'!T148/'Price History'!T147-1),"")</f>
        <v>0.0206162713367324</v>
      </c>
      <c r="U147" s="142" t="n">
        <f aca="false">IFERROR(IF(OR(NOT(ISNUMBER('Price History'!U148)),NOT(ISNUMBER('Price History'!U147)),'Price History'!U147=0),"",'Price History'!U148/'Price History'!U147-1),"")</f>
        <v>0.0153061224489797</v>
      </c>
      <c r="V147" s="143" t="n">
        <f aca="false">IFERROR(IF(OR(NOT(ISNUMBER('Price History'!V148)),NOT(ISNUMBER('Price History'!V147)),'Price History'!V147=0),"",'Price History'!V148/'Price History'!V147-1),"")</f>
        <v>0.0274928818540858</v>
      </c>
      <c r="W147" s="144" t="n">
        <f aca="false">IFERROR('Price History'!B3+(INDEX('Price History'!B:B,MATCH(9.99E+307,'Returns (Calc)'!$A:$A)+1)-'Price History'!B3)*(ROW()-3)/(MATCH(9.99E+307,'Returns (Calc)'!$A:$A)-3),"")</f>
        <v>263.49253164557</v>
      </c>
      <c r="X147" s="144" t="n">
        <f aca="false">IFERROR('Price History'!C3+(INDEX('Price History'!C:C,MATCH(9.99E+307,'Returns (Calc)'!$A:$A)+1)-'Price History'!C3)*(ROW()-3)/(MATCH(9.99E+307,'Returns (Calc)'!$A:$A)-3),"")</f>
        <v>193.069113924051</v>
      </c>
      <c r="Y147" s="144" t="n">
        <f aca="false">IFERROR('Price History'!D3+(INDEX('Price History'!D:D,MATCH(9.99E+307,'Returns (Calc)'!$A:$A)+1)-'Price History'!D3)*(ROW()-3)/(MATCH(9.99E+307,'Returns (Calc)'!$A:$A)-3),"")</f>
        <v>1753.42265822785</v>
      </c>
      <c r="Z147" s="144" t="n">
        <f aca="false">IFERROR('Price History'!E3+(INDEX('Price History'!E:E,MATCH(9.99E+307,'Returns (Calc)'!$A:$A)+1)-'Price History'!E3)*(ROW()-3)/(MATCH(9.99E+307,'Returns (Calc)'!$A:$A)-3),"")</f>
        <v>330.937721518987</v>
      </c>
      <c r="AA147" s="144" t="n">
        <f aca="false">IFERROR('Price History'!F3+(INDEX('Price History'!F:F,MATCH(9.99E+307,'Returns (Calc)'!$A:$A)+1)-'Price History'!F3)*(ROW()-3)/(MATCH(9.99E+307,'Returns (Calc)'!$A:$A)-3),"")</f>
        <v>249.777215189873</v>
      </c>
      <c r="AB147" s="144" t="n">
        <f aca="false">IFERROR('Price History'!G3+(INDEX('Price History'!G:G,MATCH(9.99E+307,'Returns (Calc)'!$A:$A)+1)-'Price History'!G3)*(ROW()-3)/(MATCH(9.99E+307,'Returns (Calc)'!$A:$A)-3),"")</f>
        <v>192.487721518987</v>
      </c>
      <c r="AC147" s="144" t="n">
        <f aca="false">IFERROR('Price History'!H3+(INDEX('Price History'!H:H,MATCH(9.99E+307,'Returns (Calc)'!$A:$A)+1)-'Price History'!H3)*(ROW()-3)/(MATCH(9.99E+307,'Returns (Calc)'!$A:$A)-3),"")</f>
        <v>985.770253164557</v>
      </c>
      <c r="AD147" s="144" t="n">
        <f aca="false">IFERROR('Price History'!I3+(INDEX('Price History'!I:I,MATCH(9.99E+307,'Returns (Calc)'!$A:$A)+1)-'Price History'!I3)*(ROW()-3)/(MATCH(9.99E+307,'Returns (Calc)'!$A:$A)-3),"")</f>
        <v>217.098607594937</v>
      </c>
      <c r="AE147" s="144" t="n">
        <f aca="false">IFERROR('Price History'!J3+(INDEX('Price History'!J:J,MATCH(9.99E+307,'Returns (Calc)'!$A:$A)+1)-'Price History'!J3)*(ROW()-3)/(MATCH(9.99E+307,'Returns (Calc)'!$A:$A)-3),"")</f>
        <v>127.39746835443</v>
      </c>
      <c r="AF147" s="144" t="n">
        <f aca="false">IFERROR('Price History'!K3+(INDEX('Price History'!K:K,MATCH(9.99E+307,'Returns (Calc)'!$A:$A)+1)-'Price History'!K3)*(ROW()-3)/(MATCH(9.99E+307,'Returns (Calc)'!$A:$A)-3),"")</f>
        <v>173.383670886076</v>
      </c>
      <c r="AG147" s="144" t="n">
        <f aca="false">IFERROR('Price History'!L3+(INDEX('Price History'!L:L,MATCH(9.99E+307,'Returns (Calc)'!$A:$A)+1)-'Price History'!L3)*(ROW()-3)/(MATCH(9.99E+307,'Returns (Calc)'!$A:$A)-3),"")</f>
        <v>438.486202531646</v>
      </c>
      <c r="AH147" s="144" t="n">
        <f aca="false">IFERROR('Price History'!M3+(INDEX('Price History'!M:M,MATCH(9.99E+307,'Returns (Calc)'!$A:$A)+1)-'Price History'!M3)*(ROW()-3)/(MATCH(9.99E+307,'Returns (Calc)'!$A:$A)-3),"")</f>
        <v>233.203797468354</v>
      </c>
      <c r="AI147" s="144" t="n">
        <f aca="false">IFERROR('Price History'!N3+(INDEX('Price History'!N:N,MATCH(9.99E+307,'Returns (Calc)'!$A:$A)+1)-'Price History'!N3)*(ROW()-3)/(MATCH(9.99E+307,'Returns (Calc)'!$A:$A)-3),"")</f>
        <v>490.922278481013</v>
      </c>
      <c r="AJ147" s="144" t="n">
        <f aca="false">IFERROR('Price History'!O3+(INDEX('Price History'!O:O,MATCH(9.99E+307,'Returns (Calc)'!$A:$A)+1)-'Price History'!O3)*(ROW()-3)/(MATCH(9.99E+307,'Returns (Calc)'!$A:$A)-3),"")</f>
        <v>116.06746835443</v>
      </c>
      <c r="AK147" s="144" t="n">
        <f aca="false">IFERROR('Price History'!Q3+(INDEX('Price History'!Q:Q,MATCH(9.99E+307,'Returns (Calc)'!$A:$A)+1)-'Price History'!Q3)*(ROW()-3)/(MATCH(9.99E+307,'Returns (Calc)'!$A:$A)-3),"")</f>
        <v>63.2688607594937</v>
      </c>
      <c r="AL147" s="144" t="n">
        <f aca="false">IFERROR('Price History'!R3+(INDEX('Price History'!R:R,MATCH(9.99E+307,'Returns (Calc)'!$A:$A)+1)-'Price History'!R3)*(ROW()-3)/(MATCH(9.99E+307,'Returns (Calc)'!$A:$A)-3),"")</f>
        <v>58.686582278481</v>
      </c>
      <c r="AM147" s="144" t="n">
        <f aca="false">IFERROR('Price History'!S3+(INDEX('Price History'!S:S,MATCH(9.99E+307,'Returns (Calc)'!$A:$A)+1)-'Price History'!S3)*(ROW()-3)/(MATCH(9.99E+307,'Returns (Calc)'!$A:$A)-3),"")</f>
        <v>144.759113924051</v>
      </c>
      <c r="AN147" s="144" t="n">
        <f aca="false">IFERROR('Price History'!T3+(INDEX('Price History'!T:T,MATCH(9.99E+307,'Returns (Calc)'!$A:$A)+1)-'Price History'!T3)*(ROW()-3)/(MATCH(9.99E+307,'Returns (Calc)'!$A:$A)-3),"")</f>
        <v>49.4648101265823</v>
      </c>
      <c r="AO147" s="145" t="n">
        <f aca="false">IFERROR('Price History'!V3+(INDEX('Price History'!V:V,MATCH(9.99E+307,'Returns (Calc)'!$A:$A)+1)-'Price History'!V3)*(ROW()-3)/(MATCH(9.99E+307,'Returns (Calc)'!$A:$A)-3),"")</f>
        <v>349.581392405063</v>
      </c>
      <c r="AP147" s="143" t="n">
        <f aca="false">IFERROR(IF(OR(NOT(ISNUMBER('Price History'!W148)),NOT(ISNUMBER('Price History'!W147)),'Price History'!W147=0),"",'Price History'!W148/'Price History'!W147-1),"")</f>
        <v>6.35566289564071E-005</v>
      </c>
      <c r="AQ147" s="143" t="n">
        <f aca="false">IFERROR(IF(OR(NOT(ISNUMBER('Price History'!X148)),NOT(ISNUMBER('Price History'!X147)),'Price History'!X147=0),"",'Price History'!X148/'Price History'!X147-1),"")</f>
        <v>0.0330341798739737</v>
      </c>
      <c r="AR147" s="143" t="n">
        <f aca="false">IFERROR(IF(OR(NOT(ISNUMBER('Price History'!Y148)),NOT(ISNUMBER('Price History'!Y147)),'Price History'!Y147=0),"",'Price History'!Y148/'Price History'!Y147-1),"")</f>
        <v>0.0010974940552404</v>
      </c>
      <c r="AS147" s="143" t="n">
        <f aca="false">IFERROR(IF(OR(NOT(ISNUMBER('Price History'!Z148)),NOT(ISNUMBER('Price History'!Z147)),'Price History'!Z147=0),"",'Price History'!Z148/'Price History'!Z147-1),"")</f>
        <v>0.0317758055936617</v>
      </c>
      <c r="AT147" s="143" t="n">
        <f aca="false">IFERROR(IF(OR(NOT(ISNUMBER('Price History'!AA148)),NOT(ISNUMBER('Price History'!AA147)),'Price History'!AA147=0),"",'Price History'!AA148/'Price History'!AA147-1),"")</f>
        <v>-0.0461359524424915</v>
      </c>
    </row>
    <row r="148" customFormat="false" ht="15" hidden="false" customHeight="true" outlineLevel="0" collapsed="false">
      <c r="A148" s="141" t="n">
        <f aca="false">IF('Price History'!A149="","",'Price History'!A149)</f>
        <v>46206</v>
      </c>
      <c r="B148" s="142" t="n">
        <f aca="false">IFERROR(IF(OR(NOT(ISNUMBER('Price History'!B149)),NOT(ISNUMBER('Price History'!B148)),'Price History'!B148=0),"",'Price History'!B149/'Price History'!B148-1),"")</f>
        <v>0.0838060474522764</v>
      </c>
      <c r="C148" s="142" t="n">
        <f aca="false">IFERROR(IF(OR(NOT(ISNUMBER('Price History'!C149)),NOT(ISNUMBER('Price History'!C148)),'Price History'!C148=0),"",'Price History'!C149/'Price History'!C148-1),"")</f>
        <v>0.0151649746192895</v>
      </c>
      <c r="D148" s="142" t="n">
        <f aca="false">IFERROR(IF(OR(NOT(ISNUMBER('Price History'!D149)),NOT(ISNUMBER('Price History'!D148)),'Price History'!D148=0),"",'Price History'!D149/'Price History'!D148-1),"")</f>
        <v>-0.0140992021424985</v>
      </c>
      <c r="E148" s="142" t="n">
        <f aca="false">IFERROR(IF(OR(NOT(ISNUMBER('Price History'!E149)),NOT(ISNUMBER('Price History'!E148)),'Price History'!E148=0),"",'Price History'!E149/'Price History'!E148-1),"")</f>
        <v>-0.012542540344714</v>
      </c>
      <c r="F148" s="142" t="n">
        <f aca="false">IFERROR(IF(OR(NOT(ISNUMBER('Price History'!F149)),NOT(ISNUMBER('Price History'!F148)),'Price History'!F148=0),"",'Price History'!F149/'Price History'!F148-1),"")</f>
        <v>0.106749586352485</v>
      </c>
      <c r="G148" s="142" t="n">
        <f aca="false">IFERROR(IF(OR(NOT(ISNUMBER('Price History'!G149)),NOT(ISNUMBER('Price History'!G148)),'Price History'!G148=0),"",'Price History'!G149/'Price History'!G148-1),"")</f>
        <v>-0.0526654855854405</v>
      </c>
      <c r="H148" s="142" t="n">
        <f aca="false">IFERROR(IF(OR(NOT(ISNUMBER('Price History'!H149)),NOT(ISNUMBER('Price History'!H148)),'Price History'!H148=0),"",'Price History'!H149/'Price History'!H148-1),"")</f>
        <v>-0.138452162238553</v>
      </c>
      <c r="I148" s="142" t="n">
        <f aca="false">IFERROR(IF(OR(NOT(ISNUMBER('Price History'!I149)),NOT(ISNUMBER('Price History'!I148)),'Price History'!I148=0),"",'Price History'!I149/'Price History'!I148-1),"")</f>
        <v>0.0119598564817223</v>
      </c>
      <c r="J148" s="142" t="n">
        <f aca="false">IFERROR(IF(OR(NOT(ISNUMBER('Price History'!J149)),NOT(ISNUMBER('Price History'!J148)),'Price History'!J148=0),"",'Price History'!J149/'Price History'!J148-1),"")</f>
        <v>-0.00388852883992219</v>
      </c>
      <c r="K148" s="142" t="n">
        <f aca="false">IFERROR(IF(OR(NOT(ISNUMBER('Price History'!K149)),NOT(ISNUMBER('Price History'!K148)),'Price History'!K148=0),"",'Price History'!K149/'Price History'!K148-1),"")</f>
        <v>0.144957053041707</v>
      </c>
      <c r="L148" s="142" t="n">
        <f aca="false">IFERROR(IF(OR(NOT(ISNUMBER('Price History'!L149)),NOT(ISNUMBER('Price History'!L148)),'Price History'!L148=0),"",'Price History'!L149/'Price History'!L148-1),"")</f>
        <v>0.0041976854750807</v>
      </c>
      <c r="M148" s="142" t="n">
        <f aca="false">IFERROR(IF(OR(NOT(ISNUMBER('Price History'!M149)),NOT(ISNUMBER('Price History'!M148)),'Price History'!M148=0),"",'Price History'!M149/'Price History'!M148-1),"")</f>
        <v>-0.0112544425431091</v>
      </c>
      <c r="N148" s="142" t="n">
        <f aca="false">IFERROR(IF(OR(NOT(ISNUMBER('Price History'!N149)),NOT(ISNUMBER('Price History'!N148)),'Price History'!N148=0),"",'Price History'!N149/'Price History'!N148-1),"")</f>
        <v>0.074693694793829</v>
      </c>
      <c r="O148" s="142" t="n">
        <f aca="false">IFERROR(IF(OR(NOT(ISNUMBER('Price History'!O149)),NOT(ISNUMBER('Price History'!O148)),'Price History'!O148=0),"",'Price History'!O149/'Price History'!O148-1),"")</f>
        <v>-0.0114028748092829</v>
      </c>
      <c r="P148" s="142" t="n">
        <f aca="false">IFERROR(IF(OR(NOT(ISNUMBER('Price History'!P149)),NOT(ISNUMBER('Price History'!P148)),'Price History'!P148=0),"",'Price History'!P149/'Price History'!P148-1),"")</f>
        <v>0.00580098170459609</v>
      </c>
      <c r="Q148" s="142" t="n">
        <f aca="false">IFERROR(IF(OR(NOT(ISNUMBER('Price History'!Q149)),NOT(ISNUMBER('Price History'!Q148)),'Price History'!Q148=0),"",'Price History'!Q149/'Price History'!Q148-1),"")</f>
        <v>0.007613076578594</v>
      </c>
      <c r="R148" s="142" t="n">
        <f aca="false">IFERROR(IF(OR(NOT(ISNUMBER('Price History'!R149)),NOT(ISNUMBER('Price History'!R148)),'Price History'!R148=0),"",'Price History'!R149/'Price History'!R148-1),"")</f>
        <v>0.0100175746924429</v>
      </c>
      <c r="S148" s="142" t="n">
        <f aca="false">IFERROR(IF(OR(NOT(ISNUMBER('Price History'!S149)),NOT(ISNUMBER('Price History'!S148)),'Price History'!S148=0),"",'Price History'!S149/'Price History'!S148-1),"")</f>
        <v>-0.0218902240987332</v>
      </c>
      <c r="T148" s="142" t="n">
        <f aca="false">IFERROR(IF(OR(NOT(ISNUMBER('Price History'!T149)),NOT(ISNUMBER('Price History'!T148)),'Price History'!T148=0),"",'Price History'!T149/'Price History'!T148-1),"")</f>
        <v>0.0175933970460469</v>
      </c>
      <c r="U148" s="142" t="n">
        <f aca="false">IFERROR(IF(OR(NOT(ISNUMBER('Price History'!U149)),NOT(ISNUMBER('Price History'!U148)),'Price History'!U148=0),"",'Price History'!U149/'Price History'!U148-1),"")</f>
        <v>0.00910804020100509</v>
      </c>
      <c r="V148" s="143" t="n">
        <f aca="false">IFERROR(IF(OR(NOT(ISNUMBER('Price History'!V149)),NOT(ISNUMBER('Price History'!V148)),'Price History'!V148=0),"",'Price History'!V149/'Price History'!V148-1),"")</f>
        <v>0.0770239265814485</v>
      </c>
      <c r="W148" s="144" t="n">
        <f aca="false">IFERROR('Price History'!B3+(INDEX('Price History'!B:B,MATCH(9.99E+307,'Returns (Calc)'!$A:$A)+1)-'Price History'!B3)*(ROW()-3)/(MATCH(9.99E+307,'Returns (Calc)'!$A:$A)-3),"")</f>
        <v>261.649493670886</v>
      </c>
      <c r="X148" s="144" t="n">
        <f aca="false">IFERROR('Price History'!C3+(INDEX('Price History'!C:C,MATCH(9.99E+307,'Returns (Calc)'!$A:$A)+1)-'Price History'!C3)*(ROW()-3)/(MATCH(9.99E+307,'Returns (Calc)'!$A:$A)-3),"")</f>
        <v>194.08917721519</v>
      </c>
      <c r="Y148" s="144" t="n">
        <f aca="false">IFERROR('Price History'!D3+(INDEX('Price History'!D:D,MATCH(9.99E+307,'Returns (Calc)'!$A:$A)+1)-'Price History'!D3)*(ROW()-3)/(MATCH(9.99E+307,'Returns (Calc)'!$A:$A)-3),"")</f>
        <v>1761.55746835443</v>
      </c>
      <c r="Z148" s="144" t="n">
        <f aca="false">IFERROR('Price History'!E3+(INDEX('Price History'!E:E,MATCH(9.99E+307,'Returns (Calc)'!$A:$A)+1)-'Price History'!E3)*(ROW()-3)/(MATCH(9.99E+307,'Returns (Calc)'!$A:$A)-3),"")</f>
        <v>332.666455696203</v>
      </c>
      <c r="AA148" s="144" t="n">
        <f aca="false">IFERROR('Price History'!F3+(INDEX('Price History'!F:F,MATCH(9.99E+307,'Returns (Calc)'!$A:$A)+1)-'Price History'!F3)*(ROW()-3)/(MATCH(9.99E+307,'Returns (Calc)'!$A:$A)-3),"")</f>
        <v>251.224556962025</v>
      </c>
      <c r="AB148" s="144" t="n">
        <f aca="false">IFERROR('Price History'!G3+(INDEX('Price History'!G:G,MATCH(9.99E+307,'Returns (Calc)'!$A:$A)+1)-'Price History'!G3)*(ROW()-3)/(MATCH(9.99E+307,'Returns (Calc)'!$A:$A)-3),"")</f>
        <v>193.516455696203</v>
      </c>
      <c r="AC148" s="144" t="n">
        <f aca="false">IFERROR('Price History'!H3+(INDEX('Price History'!H:H,MATCH(9.99E+307,'Returns (Calc)'!$A:$A)+1)-'Price History'!H3)*(ROW()-3)/(MATCH(9.99E+307,'Returns (Calc)'!$A:$A)-3),"")</f>
        <v>992.135949367089</v>
      </c>
      <c r="AD148" s="144" t="n">
        <f aca="false">IFERROR('Price History'!I3+(INDEX('Price History'!I:I,MATCH(9.99E+307,'Returns (Calc)'!$A:$A)+1)-'Price History'!I3)*(ROW()-3)/(MATCH(9.99E+307,'Returns (Calc)'!$A:$A)-3),"")</f>
        <v>218.302278481013</v>
      </c>
      <c r="AE148" s="144" t="n">
        <f aca="false">IFERROR('Price History'!J3+(INDEX('Price History'!J:J,MATCH(9.99E+307,'Returns (Calc)'!$A:$A)+1)-'Price History'!J3)*(ROW()-3)/(MATCH(9.99E+307,'Returns (Calc)'!$A:$A)-3),"")</f>
        <v>127.505506329114</v>
      </c>
      <c r="AF148" s="144" t="n">
        <f aca="false">IFERROR('Price History'!K3+(INDEX('Price History'!K:K,MATCH(9.99E+307,'Returns (Calc)'!$A:$A)+1)-'Price History'!K3)*(ROW()-3)/(MATCH(9.99E+307,'Returns (Calc)'!$A:$A)-3),"")</f>
        <v>174.481265822785</v>
      </c>
      <c r="AG148" s="144" t="n">
        <f aca="false">IFERROR('Price History'!L3+(INDEX('Price History'!L:L,MATCH(9.99E+307,'Returns (Calc)'!$A:$A)+1)-'Price History'!L3)*(ROW()-3)/(MATCH(9.99E+307,'Returns (Calc)'!$A:$A)-3),"")</f>
        <v>440.935759493671</v>
      </c>
      <c r="AH148" s="144" t="n">
        <f aca="false">IFERROR('Price History'!M3+(INDEX('Price History'!M:M,MATCH(9.99E+307,'Returns (Calc)'!$A:$A)+1)-'Price History'!M3)*(ROW()-3)/(MATCH(9.99E+307,'Returns (Calc)'!$A:$A)-3),"")</f>
        <v>234.559240506329</v>
      </c>
      <c r="AI148" s="144" t="n">
        <f aca="false">IFERROR('Price History'!N3+(INDEX('Price History'!N:N,MATCH(9.99E+307,'Returns (Calc)'!$A:$A)+1)-'Price History'!N3)*(ROW()-3)/(MATCH(9.99E+307,'Returns (Calc)'!$A:$A)-3),"")</f>
        <v>491.908544303798</v>
      </c>
      <c r="AJ148" s="144" t="n">
        <f aca="false">IFERROR('Price History'!O3+(INDEX('Price History'!O:O,MATCH(9.99E+307,'Returns (Calc)'!$A:$A)+1)-'Price History'!O3)*(ROW()-3)/(MATCH(9.99E+307,'Returns (Calc)'!$A:$A)-3),"")</f>
        <v>116.350506329114</v>
      </c>
      <c r="AK148" s="144" t="n">
        <f aca="false">IFERROR('Price History'!Q3+(INDEX('Price History'!Q:Q,MATCH(9.99E+307,'Returns (Calc)'!$A:$A)+1)-'Price History'!Q3)*(ROW()-3)/(MATCH(9.99E+307,'Returns (Calc)'!$A:$A)-3),"")</f>
        <v>63.7082278481013</v>
      </c>
      <c r="AL148" s="144" t="n">
        <f aca="false">IFERROR('Price History'!R3+(INDEX('Price History'!R:R,MATCH(9.99E+307,'Returns (Calc)'!$A:$A)+1)-'Price History'!R3)*(ROW()-3)/(MATCH(9.99E+307,'Returns (Calc)'!$A:$A)-3),"")</f>
        <v>58.8546835443038</v>
      </c>
      <c r="AM148" s="144" t="n">
        <f aca="false">IFERROR('Price History'!S3+(INDEX('Price History'!S:S,MATCH(9.99E+307,'Returns (Calc)'!$A:$A)+1)-'Price History'!S3)*(ROW()-3)/(MATCH(9.99E+307,'Returns (Calc)'!$A:$A)-3),"")</f>
        <v>145.36417721519</v>
      </c>
      <c r="AN148" s="144" t="n">
        <f aca="false">IFERROR('Price History'!T3+(INDEX('Price History'!T:T,MATCH(9.99E+307,'Returns (Calc)'!$A:$A)+1)-'Price History'!T3)*(ROW()-3)/(MATCH(9.99E+307,'Returns (Calc)'!$A:$A)-3),"")</f>
        <v>49.6330379746835</v>
      </c>
      <c r="AO148" s="145" t="n">
        <f aca="false">IFERROR('Price History'!V3+(INDEX('Price History'!V:V,MATCH(9.99E+307,'Returns (Calc)'!$A:$A)+1)-'Price History'!V3)*(ROW()-3)/(MATCH(9.99E+307,'Returns (Calc)'!$A:$A)-3),"")</f>
        <v>350.372721518987</v>
      </c>
      <c r="AP148" s="143" t="n">
        <f aca="false">IFERROR(IF(OR(NOT(ISNUMBER('Price History'!W149)),NOT(ISNUMBER('Price History'!W148)),'Price History'!W148=0),"",'Price History'!W149/'Price History'!W148-1),"")</f>
        <v>0.00794407372100414</v>
      </c>
      <c r="AQ148" s="143" t="n">
        <f aca="false">IFERROR(IF(OR(NOT(ISNUMBER('Price History'!X149)),NOT(ISNUMBER('Price History'!X148)),'Price History'!X148=0),"",'Price History'!X149/'Price History'!X148-1),"")</f>
        <v>-0.0181146025878004</v>
      </c>
      <c r="AR148" s="143" t="n">
        <f aca="false">IFERROR(IF(OR(NOT(ISNUMBER('Price History'!Y149)),NOT(ISNUMBER('Price History'!Y148)),'Price History'!Y148=0),"",'Price History'!Y149/'Price History'!Y148-1),"")</f>
        <v>0.0166270783847982</v>
      </c>
      <c r="AS148" s="143" t="n">
        <f aca="false">IFERROR(IF(OR(NOT(ISNUMBER('Price History'!Z149)),NOT(ISNUMBER('Price History'!Z148)),'Price History'!Z148=0),"",'Price History'!Z149/'Price History'!Z148-1),"")</f>
        <v>0.0230911162967384</v>
      </c>
      <c r="AT148" s="143" t="n">
        <f aca="false">IFERROR(IF(OR(NOT(ISNUMBER('Price History'!AA149)),NOT(ISNUMBER('Price History'!AA148)),'Price History'!AA148=0),"",'Price History'!AA149/'Price History'!AA148-1),"")</f>
        <v>0.0520254708034142</v>
      </c>
    </row>
    <row r="149" customFormat="false" ht="15" hidden="false" customHeight="true" outlineLevel="0" collapsed="false">
      <c r="A149" s="141" t="n">
        <f aca="false">IF('Price History'!A150="","",'Price History'!A150)</f>
        <v>46213</v>
      </c>
      <c r="B149" s="142" t="n">
        <f aca="false">IFERROR(IF(OR(NOT(ISNUMBER('Price History'!B150)),NOT(ISNUMBER('Price History'!B149)),'Price History'!B149=0),"",'Price History'!B150/'Price History'!B149-1),"")</f>
        <v>0.0178408884034225</v>
      </c>
      <c r="C149" s="142" t="n">
        <f aca="false">IFERROR(IF(OR(NOT(ISNUMBER('Price History'!C150)),NOT(ISNUMBER('Price History'!C149)),'Price History'!C149=0),"",'Price History'!C150/'Price History'!C149-1),"")</f>
        <v>0.168573035814738</v>
      </c>
      <c r="D149" s="142" t="n">
        <f aca="false">IFERROR(IF(OR(NOT(ISNUMBER('Price History'!D150)),NOT(ISNUMBER('Price History'!D149)),'Price History'!D149=0),"",'Price History'!D150/'Price History'!D149-1),"")</f>
        <v>0.015828820110581</v>
      </c>
      <c r="E149" s="142" t="n">
        <f aca="false">IFERROR(IF(OR(NOT(ISNUMBER('Price History'!E150)),NOT(ISNUMBER('Price History'!E149)),'Price History'!E149=0),"",'Price History'!E150/'Price History'!E149-1),"")</f>
        <v>0.109647294254982</v>
      </c>
      <c r="F149" s="142" t="n">
        <f aca="false">IFERROR(IF(OR(NOT(ISNUMBER('Price History'!F150)),NOT(ISNUMBER('Price History'!F149)),'Price History'!F149=0),"",'Price History'!F150/'Price History'!F149-1),"")</f>
        <v>-0.0350551603258067</v>
      </c>
      <c r="G149" s="142" t="n">
        <f aca="false">IFERROR(IF(OR(NOT(ISNUMBER('Price History'!G150)),NOT(ISNUMBER('Price History'!G149)),'Price History'!G149=0),"",'Price History'!G150/'Price History'!G149-1),"")</f>
        <v>-0.0170860251615097</v>
      </c>
      <c r="H149" s="142" t="n">
        <f aca="false">IFERROR(IF(OR(NOT(ISNUMBER('Price History'!H150)),NOT(ISNUMBER('Price History'!H149)),'Price History'!H149=0),"",'Price History'!H150/'Price History'!H149-1),"")</f>
        <v>0.00398806655662742</v>
      </c>
      <c r="I149" s="142" t="n">
        <f aca="false">IFERROR(IF(OR(NOT(ISNUMBER('Price History'!I150)),NOT(ISNUMBER('Price History'!I149)),'Price History'!I149=0),"",'Price History'!I150/'Price History'!I149-1),"")</f>
        <v>0.0827809465084013</v>
      </c>
      <c r="J149" s="142" t="n">
        <f aca="false">IFERROR(IF(OR(NOT(ISNUMBER('Price History'!J150)),NOT(ISNUMBER('Price History'!J149)),'Price History'!J149=0),"",'Price History'!J150/'Price History'!J149-1),"")</f>
        <v>0.0103375984963492</v>
      </c>
      <c r="K149" s="142" t="n">
        <f aca="false">IFERROR(IF(OR(NOT(ISNUMBER('Price History'!K150)),NOT(ISNUMBER('Price History'!K149)),'Price History'!K149=0),"",'Price History'!K150/'Price History'!K149-1),"")</f>
        <v>-0.0194122196442382</v>
      </c>
      <c r="L149" s="142" t="n">
        <f aca="false">IFERROR(IF(OR(NOT(ISNUMBER('Price History'!L150)),NOT(ISNUMBER('Price History'!L149)),'Price History'!L149=0),"",'Price History'!L150/'Price History'!L149-1),"")</f>
        <v>-0.000115473441108627</v>
      </c>
      <c r="M149" s="142" t="n">
        <f aca="false">IFERROR(IF(OR(NOT(ISNUMBER('Price History'!M150)),NOT(ISNUMBER('Price History'!M149)),'Price History'!M149=0),"",'Price History'!M150/'Price History'!M149-1),"")</f>
        <v>0.0609731744658191</v>
      </c>
      <c r="N149" s="142" t="n">
        <f aca="false">IFERROR(IF(OR(NOT(ISNUMBER('Price History'!N150)),NOT(ISNUMBER('Price History'!N149)),'Price History'!N149=0),"",'Price History'!N150/'Price History'!N149-1),"")</f>
        <v>-0.0807703961821074</v>
      </c>
      <c r="O149" s="142" t="n">
        <f aca="false">IFERROR(IF(OR(NOT(ISNUMBER('Price History'!O150)),NOT(ISNUMBER('Price History'!O149)),'Price History'!O149=0),"",'Price History'!O150/'Price History'!O149-1),"")</f>
        <v>0.00357403947689061</v>
      </c>
      <c r="P149" s="142" t="n">
        <f aca="false">IFERROR(IF(OR(NOT(ISNUMBER('Price History'!P150)),NOT(ISNUMBER('Price History'!P149)),'Price History'!P149=0),"",'Price History'!P150/'Price History'!P149-1),"")</f>
        <v>0.00234503739383962</v>
      </c>
      <c r="Q149" s="142" t="n">
        <f aca="false">IFERROR(IF(OR(NOT(ISNUMBER('Price History'!Q150)),NOT(ISNUMBER('Price History'!Q149)),'Price History'!Q149=0),"",'Price History'!Q150/'Price History'!Q149-1),"")</f>
        <v>0.0109629629629628</v>
      </c>
      <c r="R149" s="142" t="n">
        <f aca="false">IFERROR(IF(OR(NOT(ISNUMBER('Price History'!R150)),NOT(ISNUMBER('Price History'!R149)),'Price History'!R149=0),"",'Price History'!R150/'Price History'!R149-1),"")</f>
        <v>0.0187924134330955</v>
      </c>
      <c r="S149" s="142" t="n">
        <f aca="false">IFERROR(IF(OR(NOT(ISNUMBER('Price History'!S150)),NOT(ISNUMBER('Price History'!S149)),'Price History'!S149=0),"",'Price History'!S150/'Price History'!S149-1),"")</f>
        <v>0.0193916854827998</v>
      </c>
      <c r="T149" s="142" t="n">
        <f aca="false">IFERROR(IF(OR(NOT(ISNUMBER('Price History'!T150)),NOT(ISNUMBER('Price History'!T149)),'Price History'!T149=0),"",'Price History'!T150/'Price History'!T149-1),"")</f>
        <v>0.0089647812166489</v>
      </c>
      <c r="U149" s="142" t="n">
        <f aca="false">IFERROR(IF(OR(NOT(ISNUMBER('Price History'!U150)),NOT(ISNUMBER('Price History'!U149)),'Price History'!U149=0),"",'Price History'!U150/'Price History'!U149-1),"")</f>
        <v>0.000311235605353177</v>
      </c>
      <c r="V149" s="143" t="n">
        <f aca="false">IFERROR(IF(OR(NOT(ISNUMBER('Price History'!V150)),NOT(ISNUMBER('Price History'!V149)),'Price History'!V149=0),"",'Price History'!V150/'Price History'!V149-1),"")</f>
        <v>-0.0363525701322415</v>
      </c>
      <c r="W149" s="144" t="n">
        <f aca="false">IFERROR('Price History'!B3+(INDEX('Price History'!B:B,MATCH(9.99E+307,'Returns (Calc)'!$A:$A)+1)-'Price History'!B3)*(ROW()-3)/(MATCH(9.99E+307,'Returns (Calc)'!$A:$A)-3),"")</f>
        <v>259.806455696203</v>
      </c>
      <c r="X149" s="144" t="n">
        <f aca="false">IFERROR('Price History'!C3+(INDEX('Price History'!C:C,MATCH(9.99E+307,'Returns (Calc)'!$A:$A)+1)-'Price History'!C3)*(ROW()-3)/(MATCH(9.99E+307,'Returns (Calc)'!$A:$A)-3),"")</f>
        <v>195.109240506329</v>
      </c>
      <c r="Y149" s="144" t="n">
        <f aca="false">IFERROR('Price History'!D3+(INDEX('Price History'!D:D,MATCH(9.99E+307,'Returns (Calc)'!$A:$A)+1)-'Price History'!D3)*(ROW()-3)/(MATCH(9.99E+307,'Returns (Calc)'!$A:$A)-3),"")</f>
        <v>1769.69227848101</v>
      </c>
      <c r="Z149" s="144" t="n">
        <f aca="false">IFERROR('Price History'!E3+(INDEX('Price History'!E:E,MATCH(9.99E+307,'Returns (Calc)'!$A:$A)+1)-'Price History'!E3)*(ROW()-3)/(MATCH(9.99E+307,'Returns (Calc)'!$A:$A)-3),"")</f>
        <v>334.395189873418</v>
      </c>
      <c r="AA149" s="144" t="n">
        <f aca="false">IFERROR('Price History'!F3+(INDEX('Price History'!F:F,MATCH(9.99E+307,'Returns (Calc)'!$A:$A)+1)-'Price History'!F3)*(ROW()-3)/(MATCH(9.99E+307,'Returns (Calc)'!$A:$A)-3),"")</f>
        <v>252.671898734177</v>
      </c>
      <c r="AB149" s="144" t="n">
        <f aca="false">IFERROR('Price History'!G3+(INDEX('Price History'!G:G,MATCH(9.99E+307,'Returns (Calc)'!$A:$A)+1)-'Price History'!G3)*(ROW()-3)/(MATCH(9.99E+307,'Returns (Calc)'!$A:$A)-3),"")</f>
        <v>194.545189873418</v>
      </c>
      <c r="AC149" s="144" t="n">
        <f aca="false">IFERROR('Price History'!H3+(INDEX('Price History'!H:H,MATCH(9.99E+307,'Returns (Calc)'!$A:$A)+1)-'Price History'!H3)*(ROW()-3)/(MATCH(9.99E+307,'Returns (Calc)'!$A:$A)-3),"")</f>
        <v>998.50164556962</v>
      </c>
      <c r="AD149" s="144" t="n">
        <f aca="false">IFERROR('Price History'!I3+(INDEX('Price History'!I:I,MATCH(9.99E+307,'Returns (Calc)'!$A:$A)+1)-'Price History'!I3)*(ROW()-3)/(MATCH(9.99E+307,'Returns (Calc)'!$A:$A)-3),"")</f>
        <v>219.505949367089</v>
      </c>
      <c r="AE149" s="144" t="n">
        <f aca="false">IFERROR('Price History'!J3+(INDEX('Price History'!J:J,MATCH(9.99E+307,'Returns (Calc)'!$A:$A)+1)-'Price History'!J3)*(ROW()-3)/(MATCH(9.99E+307,'Returns (Calc)'!$A:$A)-3),"")</f>
        <v>127.613544303797</v>
      </c>
      <c r="AF149" s="144" t="n">
        <f aca="false">IFERROR('Price History'!K3+(INDEX('Price History'!K:K,MATCH(9.99E+307,'Returns (Calc)'!$A:$A)+1)-'Price History'!K3)*(ROW()-3)/(MATCH(9.99E+307,'Returns (Calc)'!$A:$A)-3),"")</f>
        <v>175.578860759494</v>
      </c>
      <c r="AG149" s="144" t="n">
        <f aca="false">IFERROR('Price History'!L3+(INDEX('Price History'!L:L,MATCH(9.99E+307,'Returns (Calc)'!$A:$A)+1)-'Price History'!L3)*(ROW()-3)/(MATCH(9.99E+307,'Returns (Calc)'!$A:$A)-3),"")</f>
        <v>443.385316455696</v>
      </c>
      <c r="AH149" s="144" t="n">
        <f aca="false">IFERROR('Price History'!M3+(INDEX('Price History'!M:M,MATCH(9.99E+307,'Returns (Calc)'!$A:$A)+1)-'Price History'!M3)*(ROW()-3)/(MATCH(9.99E+307,'Returns (Calc)'!$A:$A)-3),"")</f>
        <v>235.914683544304</v>
      </c>
      <c r="AI149" s="144" t="n">
        <f aca="false">IFERROR('Price History'!N3+(INDEX('Price History'!N:N,MATCH(9.99E+307,'Returns (Calc)'!$A:$A)+1)-'Price History'!N3)*(ROW()-3)/(MATCH(9.99E+307,'Returns (Calc)'!$A:$A)-3),"")</f>
        <v>492.894810126582</v>
      </c>
      <c r="AJ149" s="144" t="n">
        <f aca="false">IFERROR('Price History'!O3+(INDEX('Price History'!O:O,MATCH(9.99E+307,'Returns (Calc)'!$A:$A)+1)-'Price History'!O3)*(ROW()-3)/(MATCH(9.99E+307,'Returns (Calc)'!$A:$A)-3),"")</f>
        <v>116.633544303797</v>
      </c>
      <c r="AK149" s="144" t="n">
        <f aca="false">IFERROR('Price History'!Q3+(INDEX('Price History'!Q:Q,MATCH(9.99E+307,'Returns (Calc)'!$A:$A)+1)-'Price History'!Q3)*(ROW()-3)/(MATCH(9.99E+307,'Returns (Calc)'!$A:$A)-3),"")</f>
        <v>64.1475949367089</v>
      </c>
      <c r="AL149" s="144" t="n">
        <f aca="false">IFERROR('Price History'!R3+(INDEX('Price History'!R:R,MATCH(9.99E+307,'Returns (Calc)'!$A:$A)+1)-'Price History'!R3)*(ROW()-3)/(MATCH(9.99E+307,'Returns (Calc)'!$A:$A)-3),"")</f>
        <v>59.0227848101266</v>
      </c>
      <c r="AM149" s="144" t="n">
        <f aca="false">IFERROR('Price History'!S3+(INDEX('Price History'!S:S,MATCH(9.99E+307,'Returns (Calc)'!$A:$A)+1)-'Price History'!S3)*(ROW()-3)/(MATCH(9.99E+307,'Returns (Calc)'!$A:$A)-3),"")</f>
        <v>145.969240506329</v>
      </c>
      <c r="AN149" s="144" t="n">
        <f aca="false">IFERROR('Price History'!T3+(INDEX('Price History'!T:T,MATCH(9.99E+307,'Returns (Calc)'!$A:$A)+1)-'Price History'!T3)*(ROW()-3)/(MATCH(9.99E+307,'Returns (Calc)'!$A:$A)-3),"")</f>
        <v>49.8012658227848</v>
      </c>
      <c r="AO149" s="145" t="n">
        <f aca="false">IFERROR('Price History'!V3+(INDEX('Price History'!V:V,MATCH(9.99E+307,'Returns (Calc)'!$A:$A)+1)-'Price History'!V3)*(ROW()-3)/(MATCH(9.99E+307,'Returns (Calc)'!$A:$A)-3),"")</f>
        <v>351.164050632911</v>
      </c>
      <c r="AP149" s="143" t="n">
        <f aca="false">IFERROR(IF(OR(NOT(ISNUMBER('Price History'!W150)),NOT(ISNUMBER('Price History'!W149)),'Price History'!W149=0),"",'Price History'!W150/'Price History'!W149-1),"")</f>
        <v>0.00989911727616644</v>
      </c>
      <c r="AQ149" s="143" t="n">
        <f aca="false">IFERROR(IF(OR(NOT(ISNUMBER('Price History'!X150)),NOT(ISNUMBER('Price History'!X149)),'Price History'!X149=0),"",'Price History'!X150/'Price History'!X149-1),"")</f>
        <v>0.00790662650602414</v>
      </c>
      <c r="AR149" s="143" t="n">
        <f aca="false">IFERROR(IF(OR(NOT(ISNUMBER('Price History'!Y150)),NOT(ISNUMBER('Price History'!Y149)),'Price History'!Y149=0),"",'Price History'!Y150/'Price History'!Y149-1),"")</f>
        <v>0.000898634076204052</v>
      </c>
      <c r="AS149" s="143" t="n">
        <f aca="false">IFERROR(IF(OR(NOT(ISNUMBER('Price History'!Z150)),NOT(ISNUMBER('Price History'!Z149)),'Price History'!Z149=0),"",'Price History'!Z150/'Price History'!Z149-1),"")</f>
        <v>-0.0471555496618487</v>
      </c>
      <c r="AT149" s="143" t="n">
        <f aca="false">IFERROR(IF(OR(NOT(ISNUMBER('Price History'!AA150)),NOT(ISNUMBER('Price History'!AA149)),'Price History'!AA149=0),"",'Price History'!AA150/'Price History'!AA149-1),"")</f>
        <v>-0.0551191242755956</v>
      </c>
    </row>
    <row r="150" customFormat="false" ht="15" hidden="false" customHeight="true" outlineLevel="0" collapsed="false">
      <c r="A150" s="141" t="n">
        <f aca="false">IF('Price History'!A151="","",'Price History'!A151)</f>
        <v>46220</v>
      </c>
      <c r="B150" s="142" t="n">
        <f aca="false">IFERROR(IF(OR(NOT(ISNUMBER('Price History'!B151)),NOT(ISNUMBER('Price History'!B150)),'Price History'!B150=0),"",'Price History'!B151/'Price History'!B150-1),"")</f>
        <v>0.0608567340368449</v>
      </c>
      <c r="C150" s="142" t="n">
        <f aca="false">IFERROR(IF(OR(NOT(ISNUMBER('Price History'!C151)),NOT(ISNUMBER('Price History'!C150)),'Price History'!C150=0),"",'Price History'!C151/'Price History'!C150-1),"")</f>
        <v>-0.0981493367565254</v>
      </c>
      <c r="D150" s="142" t="n">
        <f aca="false">IFERROR(IF(OR(NOT(ISNUMBER('Price History'!D151)),NOT(ISNUMBER('Price History'!D150)),'Price History'!D150=0),"",'Price History'!D151/'Price History'!D150-1),"")</f>
        <v>-0.0276768802228413</v>
      </c>
      <c r="E150" s="142" t="n">
        <f aca="false">IFERROR(IF(OR(NOT(ISNUMBER('Price History'!E151)),NOT(ISNUMBER('Price History'!E150)),'Price History'!E150=0),"",'Price History'!E151/'Price History'!E150-1),"")</f>
        <v>-0.0728383929465984</v>
      </c>
      <c r="F150" s="142" t="n">
        <f aca="false">IFERROR(IF(OR(NOT(ISNUMBER('Price History'!F151)),NOT(ISNUMBER('Price History'!F150)),'Price History'!F150=0),"",'Price History'!F151/'Price History'!F150-1),"")</f>
        <v>0.0849449727534994</v>
      </c>
      <c r="G150" s="142" t="n">
        <f aca="false">IFERROR(IF(OR(NOT(ISNUMBER('Price History'!G151)),NOT(ISNUMBER('Price History'!G150)),'Price History'!G150=0),"",'Price History'!G151/'Price History'!G150-1),"")</f>
        <v>-0.0810775750237828</v>
      </c>
      <c r="H150" s="142" t="n">
        <f aca="false">IFERROR(IF(OR(NOT(ISNUMBER('Price History'!H151)),NOT(ISNUMBER('Price History'!H150)),'Price History'!H150=0),"",'Price History'!H151/'Price History'!H150-1),"")</f>
        <v>-0.133105279281119</v>
      </c>
      <c r="I150" s="142" t="n">
        <f aca="false">IFERROR(IF(OR(NOT(ISNUMBER('Price History'!I151)),NOT(ISNUMBER('Price History'!I150)),'Price History'!I150=0),"",'Price History'!I151/'Price History'!I150-1),"")</f>
        <v>-0.0386294608959756</v>
      </c>
      <c r="J150" s="142" t="n">
        <f aca="false">IFERROR(IF(OR(NOT(ISNUMBER('Price History'!J151)),NOT(ISNUMBER('Price History'!J150)),'Price History'!J150=0),"",'Price History'!J151/'Price History'!J150-1),"")</f>
        <v>0.0633228391528335</v>
      </c>
      <c r="K150" s="142" t="n">
        <f aca="false">IFERROR(IF(OR(NOT(ISNUMBER('Price History'!K151)),NOT(ISNUMBER('Price History'!K150)),'Price History'!K150=0),"",'Price History'!K151/'Price History'!K150-1),"")</f>
        <v>0.0440886505244893</v>
      </c>
      <c r="L150" s="142" t="n">
        <f aca="false">IFERROR(IF(OR(NOT(ISNUMBER('Price History'!L151)),NOT(ISNUMBER('Price History'!L150)),'Price History'!L150=0),"",'Price History'!L151/'Price History'!L150-1),"")</f>
        <v>-0.0823420718327751</v>
      </c>
      <c r="M150" s="142" t="n">
        <f aca="false">IFERROR(IF(OR(NOT(ISNUMBER('Price History'!M151)),NOT(ISNUMBER('Price History'!M150)),'Price History'!M150=0),"",'Price History'!M151/'Price History'!M150-1),"")</f>
        <v>-0.0918815484032874</v>
      </c>
      <c r="N150" s="142" t="n">
        <f aca="false">IFERROR(IF(OR(NOT(ISNUMBER('Price History'!N151)),NOT(ISNUMBER('Price History'!N150)),'Price History'!N150=0),"",'Price History'!N151/'Price History'!N150-1),"")</f>
        <v>0.000535651743958532</v>
      </c>
      <c r="O150" s="142" t="n">
        <f aca="false">IFERROR(IF(OR(NOT(ISNUMBER('Price History'!O151)),NOT(ISNUMBER('Price History'!O150)),'Price History'!O150=0),"",'Price History'!O151/'Price History'!O150-1),"")</f>
        <v>0.0112505058680696</v>
      </c>
      <c r="P150" s="142" t="n">
        <f aca="false">IFERROR(IF(OR(NOT(ISNUMBER('Price History'!P151)),NOT(ISNUMBER('Price History'!P150)),'Price History'!P150=0),"",'Price History'!P151/'Price History'!P150-1),"")</f>
        <v>0.01492254189061</v>
      </c>
      <c r="Q150" s="142" t="n">
        <f aca="false">IFERROR(IF(OR(NOT(ISNUMBER('Price History'!Q151)),NOT(ISNUMBER('Price History'!Q150)),'Price History'!Q150=0),"",'Price History'!Q151/'Price History'!Q150-1),"")</f>
        <v>-0.00923212192262601</v>
      </c>
      <c r="R150" s="142" t="n">
        <f aca="false">IFERROR(IF(OR(NOT(ISNUMBER('Price History'!R151)),NOT(ISNUMBER('Price History'!R150)),'Price History'!R150=0),"",'Price History'!R151/'Price History'!R150-1),"")</f>
        <v>-0.0329632792485055</v>
      </c>
      <c r="S150" s="142" t="n">
        <f aca="false">IFERROR(IF(OR(NOT(ISNUMBER('Price History'!S151)),NOT(ISNUMBER('Price History'!S150)),'Price History'!S150=0),"",'Price History'!S151/'Price History'!S150-1),"")</f>
        <v>-0.0641042345276873</v>
      </c>
      <c r="T150" s="142" t="n">
        <f aca="false">IFERROR(IF(OR(NOT(ISNUMBER('Price History'!T151)),NOT(ISNUMBER('Price History'!T150)),'Price History'!T150=0),"",'Price History'!T151/'Price History'!T150-1),"")</f>
        <v>0.00867357732176854</v>
      </c>
      <c r="U150" s="142" t="n">
        <f aca="false">IFERROR(IF(OR(NOT(ISNUMBER('Price History'!U151)),NOT(ISNUMBER('Price History'!U150)),'Price History'!U150=0),"",'Price History'!U151/'Price History'!U150-1),"")</f>
        <v>0.0158680771624145</v>
      </c>
      <c r="V150" s="143" t="n">
        <f aca="false">IFERROR(IF(OR(NOT(ISNUMBER('Price History'!V151)),NOT(ISNUMBER('Price History'!V150)),'Price History'!V150=0),"",'Price History'!V151/'Price History'!V150-1),"")</f>
        <v>0.0275034451079468</v>
      </c>
      <c r="W150" s="144" t="n">
        <f aca="false">IFERROR('Price History'!B3+(INDEX('Price History'!B:B,MATCH(9.99E+307,'Returns (Calc)'!$A:$A)+1)-'Price History'!B3)*(ROW()-3)/(MATCH(9.99E+307,'Returns (Calc)'!$A:$A)-3),"")</f>
        <v>257.963417721519</v>
      </c>
      <c r="X150" s="144" t="n">
        <f aca="false">IFERROR('Price History'!C3+(INDEX('Price History'!C:C,MATCH(9.99E+307,'Returns (Calc)'!$A:$A)+1)-'Price History'!C3)*(ROW()-3)/(MATCH(9.99E+307,'Returns (Calc)'!$A:$A)-3),"")</f>
        <v>196.129303797468</v>
      </c>
      <c r="Y150" s="144" t="n">
        <f aca="false">IFERROR('Price History'!D3+(INDEX('Price History'!D:D,MATCH(9.99E+307,'Returns (Calc)'!$A:$A)+1)-'Price History'!D3)*(ROW()-3)/(MATCH(9.99E+307,'Returns (Calc)'!$A:$A)-3),"")</f>
        <v>1777.8270886076</v>
      </c>
      <c r="Z150" s="144" t="n">
        <f aca="false">IFERROR('Price History'!E3+(INDEX('Price History'!E:E,MATCH(9.99E+307,'Returns (Calc)'!$A:$A)+1)-'Price History'!E3)*(ROW()-3)/(MATCH(9.99E+307,'Returns (Calc)'!$A:$A)-3),"")</f>
        <v>336.123924050633</v>
      </c>
      <c r="AA150" s="144" t="n">
        <f aca="false">IFERROR('Price History'!F3+(INDEX('Price History'!F:F,MATCH(9.99E+307,'Returns (Calc)'!$A:$A)+1)-'Price History'!F3)*(ROW()-3)/(MATCH(9.99E+307,'Returns (Calc)'!$A:$A)-3),"")</f>
        <v>254.119240506329</v>
      </c>
      <c r="AB150" s="144" t="n">
        <f aca="false">IFERROR('Price History'!G3+(INDEX('Price History'!G:G,MATCH(9.99E+307,'Returns (Calc)'!$A:$A)+1)-'Price History'!G3)*(ROW()-3)/(MATCH(9.99E+307,'Returns (Calc)'!$A:$A)-3),"")</f>
        <v>195.573924050633</v>
      </c>
      <c r="AC150" s="144" t="n">
        <f aca="false">IFERROR('Price History'!H3+(INDEX('Price History'!H:H,MATCH(9.99E+307,'Returns (Calc)'!$A:$A)+1)-'Price History'!H3)*(ROW()-3)/(MATCH(9.99E+307,'Returns (Calc)'!$A:$A)-3),"")</f>
        <v>1004.86734177215</v>
      </c>
      <c r="AD150" s="144" t="n">
        <f aca="false">IFERROR('Price History'!I3+(INDEX('Price History'!I:I,MATCH(9.99E+307,'Returns (Calc)'!$A:$A)+1)-'Price History'!I3)*(ROW()-3)/(MATCH(9.99E+307,'Returns (Calc)'!$A:$A)-3),"")</f>
        <v>220.709620253165</v>
      </c>
      <c r="AE150" s="144" t="n">
        <f aca="false">IFERROR('Price History'!J3+(INDEX('Price History'!J:J,MATCH(9.99E+307,'Returns (Calc)'!$A:$A)+1)-'Price History'!J3)*(ROW()-3)/(MATCH(9.99E+307,'Returns (Calc)'!$A:$A)-3),"")</f>
        <v>127.721582278481</v>
      </c>
      <c r="AF150" s="144" t="n">
        <f aca="false">IFERROR('Price History'!K3+(INDEX('Price History'!K:K,MATCH(9.99E+307,'Returns (Calc)'!$A:$A)+1)-'Price History'!K3)*(ROW()-3)/(MATCH(9.99E+307,'Returns (Calc)'!$A:$A)-3),"")</f>
        <v>176.676455696203</v>
      </c>
      <c r="AG150" s="144" t="n">
        <f aca="false">IFERROR('Price History'!L3+(INDEX('Price History'!L:L,MATCH(9.99E+307,'Returns (Calc)'!$A:$A)+1)-'Price History'!L3)*(ROW()-3)/(MATCH(9.99E+307,'Returns (Calc)'!$A:$A)-3),"")</f>
        <v>445.834873417722</v>
      </c>
      <c r="AH150" s="144" t="n">
        <f aca="false">IFERROR('Price History'!M3+(INDEX('Price History'!M:M,MATCH(9.99E+307,'Returns (Calc)'!$A:$A)+1)-'Price History'!M3)*(ROW()-3)/(MATCH(9.99E+307,'Returns (Calc)'!$A:$A)-3),"")</f>
        <v>237.270126582279</v>
      </c>
      <c r="AI150" s="144" t="n">
        <f aca="false">IFERROR('Price History'!N3+(INDEX('Price History'!N:N,MATCH(9.99E+307,'Returns (Calc)'!$A:$A)+1)-'Price History'!N3)*(ROW()-3)/(MATCH(9.99E+307,'Returns (Calc)'!$A:$A)-3),"")</f>
        <v>493.881075949367</v>
      </c>
      <c r="AJ150" s="144" t="n">
        <f aca="false">IFERROR('Price History'!O3+(INDEX('Price History'!O:O,MATCH(9.99E+307,'Returns (Calc)'!$A:$A)+1)-'Price History'!O3)*(ROW()-3)/(MATCH(9.99E+307,'Returns (Calc)'!$A:$A)-3),"")</f>
        <v>116.916582278481</v>
      </c>
      <c r="AK150" s="144" t="n">
        <f aca="false">IFERROR('Price History'!Q3+(INDEX('Price History'!Q:Q,MATCH(9.99E+307,'Returns (Calc)'!$A:$A)+1)-'Price History'!Q3)*(ROW()-3)/(MATCH(9.99E+307,'Returns (Calc)'!$A:$A)-3),"")</f>
        <v>64.5869620253165</v>
      </c>
      <c r="AL150" s="144" t="n">
        <f aca="false">IFERROR('Price History'!R3+(INDEX('Price History'!R:R,MATCH(9.99E+307,'Returns (Calc)'!$A:$A)+1)-'Price History'!R3)*(ROW()-3)/(MATCH(9.99E+307,'Returns (Calc)'!$A:$A)-3),"")</f>
        <v>59.1908860759494</v>
      </c>
      <c r="AM150" s="144" t="n">
        <f aca="false">IFERROR('Price History'!S3+(INDEX('Price History'!S:S,MATCH(9.99E+307,'Returns (Calc)'!$A:$A)+1)-'Price History'!S3)*(ROW()-3)/(MATCH(9.99E+307,'Returns (Calc)'!$A:$A)-3),"")</f>
        <v>146.574303797468</v>
      </c>
      <c r="AN150" s="144" t="n">
        <f aca="false">IFERROR('Price History'!T3+(INDEX('Price History'!T:T,MATCH(9.99E+307,'Returns (Calc)'!$A:$A)+1)-'Price History'!T3)*(ROW()-3)/(MATCH(9.99E+307,'Returns (Calc)'!$A:$A)-3),"")</f>
        <v>49.9694936708861</v>
      </c>
      <c r="AO150" s="145" t="n">
        <f aca="false">IFERROR('Price History'!V3+(INDEX('Price History'!V:V,MATCH(9.99E+307,'Returns (Calc)'!$A:$A)+1)-'Price History'!V3)*(ROW()-3)/(MATCH(9.99E+307,'Returns (Calc)'!$A:$A)-3),"")</f>
        <v>351.955379746835</v>
      </c>
      <c r="AP150" s="143" t="n">
        <f aca="false">IFERROR(IF(OR(NOT(ISNUMBER('Price History'!W151)),NOT(ISNUMBER('Price History'!W150)),'Price History'!W150=0),"",'Price History'!W151/'Price History'!W150-1),"")</f>
        <v>-0.00555659611662596</v>
      </c>
      <c r="AQ150" s="143" t="n">
        <f aca="false">IFERROR(IF(OR(NOT(ISNUMBER('Price History'!X151)),NOT(ISNUMBER('Price History'!X150)),'Price History'!X150=0),"",'Price History'!X151/'Price History'!X150-1),"")</f>
        <v>0.0138214419125888</v>
      </c>
      <c r="AR150" s="143" t="n">
        <f aca="false">IFERROR(IF(OR(NOT(ISNUMBER('Price History'!Y151)),NOT(ISNUMBER('Price History'!Y150)),'Price History'!Y150=0),"",'Price History'!Y151/'Price History'!Y150-1),"")</f>
        <v>-0.00359130903214211</v>
      </c>
      <c r="AS150" s="143" t="n">
        <f aca="false">IFERROR(IF(OR(NOT(ISNUMBER('Price History'!Z151)),NOT(ISNUMBER('Price History'!Z150)),'Price History'!Z150=0),"",'Price History'!Z151/'Price History'!Z150-1),"")</f>
        <v>-0.0290589250424472</v>
      </c>
      <c r="AT150" s="143" t="n">
        <f aca="false">IFERROR(IF(OR(NOT(ISNUMBER('Price History'!AA151)),NOT(ISNUMBER('Price History'!AA150)),'Price History'!AA150=0),"",'Price History'!AA151/'Price History'!AA150-1),"")</f>
        <v>-0.0602426059697424</v>
      </c>
    </row>
    <row r="151" customFormat="false" ht="15" hidden="false" customHeight="true" outlineLevel="0" collapsed="false">
      <c r="A151" s="141" t="n">
        <f aca="false">IF('Price History'!A152="","",'Price History'!A152)</f>
        <v>46227</v>
      </c>
      <c r="B151" s="142" t="n">
        <f aca="false">IFERROR(IF(OR(NOT(ISNUMBER('Price History'!B152)),NOT(ISNUMBER('Price History'!B151)),'Price History'!B151=0),"",'Price History'!B152/'Price History'!B151-1),"")</f>
        <v>-0.0511696522655426</v>
      </c>
      <c r="C151" s="142" t="n">
        <f aca="false">IFERROR(IF(OR(NOT(ISNUMBER('Price History'!C152)),NOT(ISNUMBER('Price History'!C151)),'Price History'!C151=0),"",'Price History'!C152/'Price History'!C151-1),"")</f>
        <v>0.0319079532649309</v>
      </c>
      <c r="D151" s="142" t="n">
        <f aca="false">IFERROR(IF(OR(NOT(ISNUMBER('Price History'!D152)),NOT(ISNUMBER('Price History'!D151)),'Price History'!D151=0),"",'Price History'!D152/'Price History'!D151-1),"")</f>
        <v>0.00544312790777624</v>
      </c>
      <c r="E151" s="142" t="n">
        <f aca="false">IFERROR(IF(OR(NOT(ISNUMBER('Price History'!E152)),NOT(ISNUMBER('Price History'!E151)),'Price History'!E151=0),"",'Price History'!E152/'Price History'!E151-1),"")</f>
        <v>0.029905986600389</v>
      </c>
      <c r="F151" s="142" t="n">
        <f aca="false">IFERROR(IF(OR(NOT(ISNUMBER('Price History'!F152)),NOT(ISNUMBER('Price History'!F151)),'Price History'!F151=0),"",'Price History'!F152/'Price History'!F151-1),"")</f>
        <v>-0.0974985227496553</v>
      </c>
      <c r="G151" s="142" t="n">
        <f aca="false">IFERROR(IF(OR(NOT(ISNUMBER('Price History'!G152)),NOT(ISNUMBER('Price History'!G151)),'Price History'!G151=0),"",'Price History'!G152/'Price History'!G151-1),"")</f>
        <v>-0.0104936238294668</v>
      </c>
      <c r="H151" s="142" t="n">
        <f aca="false">IFERROR(IF(OR(NOT(ISNUMBER('Price History'!H152)),NOT(ISNUMBER('Price History'!H151)),'Price History'!H151=0),"",'Price History'!H152/'Price History'!H151-1),"")</f>
        <v>0.0848106484480828</v>
      </c>
      <c r="I151" s="142" t="n">
        <f aca="false">IFERROR(IF(OR(NOT(ISNUMBER('Price History'!I152)),NOT(ISNUMBER('Price History'!I151)),'Price History'!I151=0),"",'Price History'!I152/'Price History'!I151-1),"")</f>
        <v>0.0198933754566097</v>
      </c>
      <c r="J151" s="142" t="n">
        <f aca="false">IFERROR(IF(OR(NOT(ISNUMBER('Price History'!J152)),NOT(ISNUMBER('Price History'!J151)),'Price History'!J151=0),"",'Price History'!J152/'Price History'!J151-1),"")</f>
        <v>-0.0144001076643565</v>
      </c>
      <c r="K151" s="142" t="n">
        <f aca="false">IFERROR(IF(OR(NOT(ISNUMBER('Price History'!K152)),NOT(ISNUMBER('Price History'!K151)),'Price History'!K151=0),"",'Price History'!K152/'Price History'!K151-1),"")</f>
        <v>-0.0714609457621996</v>
      </c>
      <c r="L151" s="142" t="n">
        <f aca="false">IFERROR(IF(OR(NOT(ISNUMBER('Price History'!L152)),NOT(ISNUMBER('Price History'!L151)),'Price History'!L151=0),"",'Price History'!L152/'Price History'!L151-1),"")</f>
        <v>0.0126604580921217</v>
      </c>
      <c r="M151" s="142" t="n">
        <f aca="false">IFERROR(IF(OR(NOT(ISNUMBER('Price History'!M152)),NOT(ISNUMBER('Price History'!M151)),'Price History'!M151=0),"",'Price History'!M152/'Price History'!M151-1),"")</f>
        <v>0.00276348060382059</v>
      </c>
      <c r="N151" s="142" t="n">
        <f aca="false">IFERROR(IF(OR(NOT(ISNUMBER('Price History'!N152)),NOT(ISNUMBER('Price History'!N151)),'Price History'!N151=0),"",'Price History'!N152/'Price History'!N151-1),"")</f>
        <v>-0.0170699063111294</v>
      </c>
      <c r="O151" s="142" t="n">
        <f aca="false">IFERROR(IF(OR(NOT(ISNUMBER('Price History'!O152)),NOT(ISNUMBER('Price History'!O151)),'Price History'!O151=0),"",'Price History'!O152/'Price History'!O151-1),"")</f>
        <v>-0.000560268929085894</v>
      </c>
      <c r="P151" s="142" t="n">
        <f aca="false">IFERROR(IF(OR(NOT(ISNUMBER('Price History'!P152)),NOT(ISNUMBER('Price History'!P151)),'Price History'!P151=0),"",'Price History'!P152/'Price History'!P151-1),"")</f>
        <v>0.00716466263784188</v>
      </c>
      <c r="Q151" s="142" t="n">
        <f aca="false">IFERROR(IF(OR(NOT(ISNUMBER('Price History'!Q152)),NOT(ISNUMBER('Price History'!Q151)),'Price History'!Q151=0),"",'Price History'!Q152/'Price History'!Q151-1),"")</f>
        <v>-0.00177488537198645</v>
      </c>
      <c r="R151" s="142" t="n">
        <f aca="false">IFERROR(IF(OR(NOT(ISNUMBER('Price History'!R152)),NOT(ISNUMBER('Price History'!R151)),'Price History'!R151=0),"",'Price History'!R152/'Price History'!R151-1),"")</f>
        <v>-0.00936064994701513</v>
      </c>
      <c r="S151" s="142" t="n">
        <f aca="false">IFERROR(IF(OR(NOT(ISNUMBER('Price History'!S152)),NOT(ISNUMBER('Price History'!S151)),'Price History'!S151=0),"",'Price History'!S152/'Price History'!S151-1),"")</f>
        <v>0.0181678964221079</v>
      </c>
      <c r="T151" s="142" t="n">
        <f aca="false">IFERROR(IF(OR(NOT(ISNUMBER('Price History'!T152)),NOT(ISNUMBER('Price History'!T151)),'Price History'!T151=0),"",'Price History'!T152/'Price History'!T151-1),"")</f>
        <v>0.00692114093959728</v>
      </c>
      <c r="U151" s="142" t="n">
        <f aca="false">IFERROR(IF(OR(NOT(ISNUMBER('Price History'!U152)),NOT(ISNUMBER('Price History'!U151)),'Price History'!U151=0),"",'Price History'!U152/'Price History'!U151-1),"")</f>
        <v>0.0116385911179173</v>
      </c>
      <c r="V151" s="143" t="n">
        <f aca="false">IFERROR(IF(OR(NOT(ISNUMBER('Price History'!V152)),NOT(ISNUMBER('Price History'!V151)),'Price History'!V151=0),"",'Price History'!V152/'Price History'!V151-1),"")</f>
        <v>-0.00787929589270742</v>
      </c>
      <c r="W151" s="144" t="n">
        <f aca="false">IFERROR('Price History'!B3+(INDEX('Price History'!B:B,MATCH(9.99E+307,'Returns (Calc)'!$A:$A)+1)-'Price History'!B3)*(ROW()-3)/(MATCH(9.99E+307,'Returns (Calc)'!$A:$A)-3),"")</f>
        <v>256.120379746835</v>
      </c>
      <c r="X151" s="144" t="n">
        <f aca="false">IFERROR('Price History'!C3+(INDEX('Price History'!C:C,MATCH(9.99E+307,'Returns (Calc)'!$A:$A)+1)-'Price History'!C3)*(ROW()-3)/(MATCH(9.99E+307,'Returns (Calc)'!$A:$A)-3),"")</f>
        <v>197.149367088608</v>
      </c>
      <c r="Y151" s="144" t="n">
        <f aca="false">IFERROR('Price History'!D3+(INDEX('Price History'!D:D,MATCH(9.99E+307,'Returns (Calc)'!$A:$A)+1)-'Price History'!D3)*(ROW()-3)/(MATCH(9.99E+307,'Returns (Calc)'!$A:$A)-3),"")</f>
        <v>1785.96189873418</v>
      </c>
      <c r="Z151" s="144" t="n">
        <f aca="false">IFERROR('Price History'!E3+(INDEX('Price History'!E:E,MATCH(9.99E+307,'Returns (Calc)'!$A:$A)+1)-'Price History'!E3)*(ROW()-3)/(MATCH(9.99E+307,'Returns (Calc)'!$A:$A)-3),"")</f>
        <v>337.852658227848</v>
      </c>
      <c r="AA151" s="144" t="n">
        <f aca="false">IFERROR('Price History'!F3+(INDEX('Price History'!F:F,MATCH(9.99E+307,'Returns (Calc)'!$A:$A)+1)-'Price History'!F3)*(ROW()-3)/(MATCH(9.99E+307,'Returns (Calc)'!$A:$A)-3),"")</f>
        <v>255.566582278481</v>
      </c>
      <c r="AB151" s="144" t="n">
        <f aca="false">IFERROR('Price History'!G3+(INDEX('Price History'!G:G,MATCH(9.99E+307,'Returns (Calc)'!$A:$A)+1)-'Price History'!G3)*(ROW()-3)/(MATCH(9.99E+307,'Returns (Calc)'!$A:$A)-3),"")</f>
        <v>196.602658227848</v>
      </c>
      <c r="AC151" s="144" t="n">
        <f aca="false">IFERROR('Price History'!H3+(INDEX('Price History'!H:H,MATCH(9.99E+307,'Returns (Calc)'!$A:$A)+1)-'Price History'!H3)*(ROW()-3)/(MATCH(9.99E+307,'Returns (Calc)'!$A:$A)-3),"")</f>
        <v>1011.23303797468</v>
      </c>
      <c r="AD151" s="144" t="n">
        <f aca="false">IFERROR('Price History'!I3+(INDEX('Price History'!I:I,MATCH(9.99E+307,'Returns (Calc)'!$A:$A)+1)-'Price History'!I3)*(ROW()-3)/(MATCH(9.99E+307,'Returns (Calc)'!$A:$A)-3),"")</f>
        <v>221.913291139241</v>
      </c>
      <c r="AE151" s="144" t="n">
        <f aca="false">IFERROR('Price History'!J3+(INDEX('Price History'!J:J,MATCH(9.99E+307,'Returns (Calc)'!$A:$A)+1)-'Price History'!J3)*(ROW()-3)/(MATCH(9.99E+307,'Returns (Calc)'!$A:$A)-3),"")</f>
        <v>127.829620253165</v>
      </c>
      <c r="AF151" s="144" t="n">
        <f aca="false">IFERROR('Price History'!K3+(INDEX('Price History'!K:K,MATCH(9.99E+307,'Returns (Calc)'!$A:$A)+1)-'Price History'!K3)*(ROW()-3)/(MATCH(9.99E+307,'Returns (Calc)'!$A:$A)-3),"")</f>
        <v>177.774050632911</v>
      </c>
      <c r="AG151" s="144" t="n">
        <f aca="false">IFERROR('Price History'!L3+(INDEX('Price History'!L:L,MATCH(9.99E+307,'Returns (Calc)'!$A:$A)+1)-'Price History'!L3)*(ROW()-3)/(MATCH(9.99E+307,'Returns (Calc)'!$A:$A)-3),"")</f>
        <v>448.284430379747</v>
      </c>
      <c r="AH151" s="144" t="n">
        <f aca="false">IFERROR('Price History'!M3+(INDEX('Price History'!M:M,MATCH(9.99E+307,'Returns (Calc)'!$A:$A)+1)-'Price History'!M3)*(ROW()-3)/(MATCH(9.99E+307,'Returns (Calc)'!$A:$A)-3),"")</f>
        <v>238.625569620253</v>
      </c>
      <c r="AI151" s="144" t="n">
        <f aca="false">IFERROR('Price History'!N3+(INDEX('Price History'!N:N,MATCH(9.99E+307,'Returns (Calc)'!$A:$A)+1)-'Price History'!N3)*(ROW()-3)/(MATCH(9.99E+307,'Returns (Calc)'!$A:$A)-3),"")</f>
        <v>494.867341772152</v>
      </c>
      <c r="AJ151" s="144" t="n">
        <f aca="false">IFERROR('Price History'!O3+(INDEX('Price History'!O:O,MATCH(9.99E+307,'Returns (Calc)'!$A:$A)+1)-'Price History'!O3)*(ROW()-3)/(MATCH(9.99E+307,'Returns (Calc)'!$A:$A)-3),"")</f>
        <v>117.199620253165</v>
      </c>
      <c r="AK151" s="144" t="n">
        <f aca="false">IFERROR('Price History'!Q3+(INDEX('Price History'!Q:Q,MATCH(9.99E+307,'Returns (Calc)'!$A:$A)+1)-'Price History'!Q3)*(ROW()-3)/(MATCH(9.99E+307,'Returns (Calc)'!$A:$A)-3),"")</f>
        <v>65.0263291139241</v>
      </c>
      <c r="AL151" s="144" t="n">
        <f aca="false">IFERROR('Price History'!R3+(INDEX('Price History'!R:R,MATCH(9.99E+307,'Returns (Calc)'!$A:$A)+1)-'Price History'!R3)*(ROW()-3)/(MATCH(9.99E+307,'Returns (Calc)'!$A:$A)-3),"")</f>
        <v>59.3589873417722</v>
      </c>
      <c r="AM151" s="144" t="n">
        <f aca="false">IFERROR('Price History'!S3+(INDEX('Price History'!S:S,MATCH(9.99E+307,'Returns (Calc)'!$A:$A)+1)-'Price History'!S3)*(ROW()-3)/(MATCH(9.99E+307,'Returns (Calc)'!$A:$A)-3),"")</f>
        <v>147.179367088608</v>
      </c>
      <c r="AN151" s="144" t="n">
        <f aca="false">IFERROR('Price History'!T3+(INDEX('Price History'!T:T,MATCH(9.99E+307,'Returns (Calc)'!$A:$A)+1)-'Price History'!T3)*(ROW()-3)/(MATCH(9.99E+307,'Returns (Calc)'!$A:$A)-3),"")</f>
        <v>50.1377215189873</v>
      </c>
      <c r="AO151" s="145" t="n">
        <f aca="false">IFERROR('Price History'!V3+(INDEX('Price History'!V:V,MATCH(9.99E+307,'Returns (Calc)'!$A:$A)+1)-'Price History'!V3)*(ROW()-3)/(MATCH(9.99E+307,'Returns (Calc)'!$A:$A)-3),"")</f>
        <v>352.74670886076</v>
      </c>
      <c r="AP151" s="143" t="n">
        <f aca="false">IFERROR(IF(OR(NOT(ISNUMBER('Price History'!W152)),NOT(ISNUMBER('Price History'!W151)),'Price History'!W151=0),"",'Price History'!W152/'Price History'!W151-1),"")</f>
        <v>0.0128704168759417</v>
      </c>
      <c r="AQ151" s="143" t="n">
        <f aca="false">IFERROR(IF(OR(NOT(ISNUMBER('Price History'!X152)),NOT(ISNUMBER('Price History'!X151)),'Price History'!X151=0),"",'Price History'!X152/'Price History'!X151-1),"")</f>
        <v>-0.00018422991893885</v>
      </c>
      <c r="AR151" s="143" t="n">
        <f aca="false">IFERROR(IF(OR(NOT(ISNUMBER('Price History'!Y152)),NOT(ISNUMBER('Price History'!Y151)),'Price History'!Y151=0),"",'Price History'!Y152/'Price History'!Y151-1),"")</f>
        <v>0.00432510362227423</v>
      </c>
      <c r="AS151" s="143" t="n">
        <f aca="false">IFERROR(IF(OR(NOT(ISNUMBER('Price History'!Z152)),NOT(ISNUMBER('Price History'!Z151)),'Price History'!Z151=0),"",'Price History'!Z152/'Price History'!Z151-1),"")</f>
        <v>0.0140469569704442</v>
      </c>
      <c r="AT151" s="143" t="n">
        <f aca="false">IFERROR(IF(OR(NOT(ISNUMBER('Price History'!AA152)),NOT(ISNUMBER('Price History'!AA151)),'Price History'!AA151=0),"",'Price History'!AA152/'Price History'!AA151-1),"")</f>
        <v>0.0165337200870195</v>
      </c>
    </row>
    <row r="152" customFormat="false" ht="15" hidden="false" customHeight="true" outlineLevel="0" collapsed="false">
      <c r="A152" s="141" t="n">
        <f aca="false">IF('Price History'!A153="","",'Price History'!A153)</f>
        <v>46234</v>
      </c>
      <c r="B152" s="142" t="n">
        <f aca="false">IFERROR(IF(OR(NOT(ISNUMBER('Price History'!B153)),NOT(ISNUMBER('Price History'!B152)),'Price History'!B152=0),"",'Price History'!B153/'Price History'!B152-1),"")</f>
        <v>0.112389498467416</v>
      </c>
      <c r="C152" s="142" t="n">
        <f aca="false">IFERROR(IF(OR(NOT(ISNUMBER('Price History'!C153)),NOT(ISNUMBER('Price History'!C152)),'Price History'!C152=0),"",'Price History'!C153/'Price History'!C152-1),"")</f>
        <v>0.0365538249324673</v>
      </c>
      <c r="D152" s="142" t="n">
        <f aca="false">IFERROR(IF(OR(NOT(ISNUMBER('Price History'!D153)),NOT(ISNUMBER('Price History'!D152)),'Price History'!D152=0),"",'Price History'!D153/'Price History'!D152-1),"")</f>
        <v>-0.071699661503744</v>
      </c>
      <c r="E152" s="142" t="n">
        <f aca="false">IFERROR(IF(OR(NOT(ISNUMBER('Price History'!E153)),NOT(ISNUMBER('Price History'!E152)),'Price History'!E152=0),"",'Price History'!E153/'Price History'!E152-1),"")</f>
        <v>0.019253469034441</v>
      </c>
      <c r="F152" s="142" t="n">
        <f aca="false">IFERROR(IF(OR(NOT(ISNUMBER('Price History'!F153)),NOT(ISNUMBER('Price History'!F152)),'Price History'!F152=0),"",'Price History'!F153/'Price History'!F152-1),"")</f>
        <v>0.0413574858140551</v>
      </c>
      <c r="G152" s="142" t="n">
        <f aca="false">IFERROR(IF(OR(NOT(ISNUMBER('Price History'!G153)),NOT(ISNUMBER('Price History'!G152)),'Price History'!G152=0),"",'Price History'!G153/'Price History'!G152-1),"")</f>
        <v>-0.1315864561537</v>
      </c>
      <c r="H152" s="142" t="n">
        <f aca="false">IFERROR(IF(OR(NOT(ISNUMBER('Price History'!H153)),NOT(ISNUMBER('Price History'!H152)),'Price History'!H152=0),"",'Price History'!H153/'Price History'!H152-1),"")</f>
        <v>-0.106324990498941</v>
      </c>
      <c r="I152" s="142" t="n">
        <f aca="false">IFERROR(IF(OR(NOT(ISNUMBER('Price History'!I153)),NOT(ISNUMBER('Price History'!I152)),'Price History'!I152=0),"",'Price History'!I153/'Price History'!I152-1),"")</f>
        <v>-0.0294274236484198</v>
      </c>
      <c r="J152" s="142" t="n">
        <f aca="false">IFERROR(IF(OR(NOT(ISNUMBER('Price History'!J153)),NOT(ISNUMBER('Price History'!J152)),'Price History'!J152=0),"",'Price History'!J153/'Price History'!J152-1),"")</f>
        <v>-0.0204820099679115</v>
      </c>
      <c r="K152" s="142" t="n">
        <f aca="false">IFERROR(IF(OR(NOT(ISNUMBER('Price History'!K153)),NOT(ISNUMBER('Price History'!K152)),'Price History'!K152=0),"",'Price History'!K153/'Price History'!K152-1),"")</f>
        <v>0.00113895216400906</v>
      </c>
      <c r="L152" s="142" t="n">
        <f aca="false">IFERROR(IF(OR(NOT(ISNUMBER('Price History'!L153)),NOT(ISNUMBER('Price History'!L152)),'Price History'!L152=0),"",'Price History'!L153/'Price History'!L152-1),"")</f>
        <v>0.00208783834165982</v>
      </c>
      <c r="M152" s="142" t="n">
        <f aca="false">IFERROR(IF(OR(NOT(ISNUMBER('Price History'!M153)),NOT(ISNUMBER('Price History'!M152)),'Price History'!M152=0),"",'Price History'!M153/'Price History'!M152-1),"")</f>
        <v>-0.16803885769403</v>
      </c>
      <c r="N152" s="142" t="n">
        <f aca="false">IFERROR(IF(OR(NOT(ISNUMBER('Price History'!N153)),NOT(ISNUMBER('Price History'!N152)),'Price History'!N152=0),"",'Price History'!N153/'Price History'!N152-1),"")</f>
        <v>-0.000544662309368227</v>
      </c>
      <c r="O152" s="142" t="n">
        <f aca="false">IFERROR(IF(OR(NOT(ISNUMBER('Price History'!O153)),NOT(ISNUMBER('Price History'!O152)),'Price History'!O152=0),"",'Price History'!O153/'Price History'!O152-1),"")</f>
        <v>0</v>
      </c>
      <c r="P152" s="142" t="n">
        <f aca="false">IFERROR(IF(OR(NOT(ISNUMBER('Price History'!P153)),NOT(ISNUMBER('Price History'!P152)),'Price History'!P152=0),"",'Price History'!P153/'Price History'!P152-1),"")</f>
        <v>-0.0109489051094891</v>
      </c>
      <c r="Q152" s="142" t="n">
        <f aca="false">IFERROR(IF(OR(NOT(ISNUMBER('Price History'!Q153)),NOT(ISNUMBER('Price History'!Q152)),'Price History'!Q152=0),"",'Price History'!Q153/'Price History'!Q152-1),"")</f>
        <v>0.0128907986368352</v>
      </c>
      <c r="R152" s="142" t="n">
        <f aca="false">IFERROR(IF(OR(NOT(ISNUMBER('Price History'!R153)),NOT(ISNUMBER('Price History'!R152)),'Price History'!R152=0),"",'Price History'!R153/'Price History'!R152-1),"")</f>
        <v>0.00499197717953281</v>
      </c>
      <c r="S152" s="142" t="n">
        <f aca="false">IFERROR(IF(OR(NOT(ISNUMBER('Price History'!S153)),NOT(ISNUMBER('Price History'!S152)),'Price History'!S152=0),"",'Price History'!S153/'Price History'!S152-1),"")</f>
        <v>-0.0182539139946675</v>
      </c>
      <c r="T152" s="142" t="n">
        <f aca="false">IFERROR(IF(OR(NOT(ISNUMBER('Price History'!T153)),NOT(ISNUMBER('Price History'!T152)),'Price History'!T152=0),"",'Price History'!T153/'Price History'!T152-1),"")</f>
        <v>0.0333263903353469</v>
      </c>
      <c r="U152" s="142" t="n">
        <f aca="false">IFERROR(IF(OR(NOT(ISNUMBER('Price History'!U153)),NOT(ISNUMBER('Price History'!U152)),'Price History'!U152=0),"",'Price History'!U153/'Price History'!U152-1),"")</f>
        <v>0.00544959128065403</v>
      </c>
      <c r="V152" s="143" t="n">
        <f aca="false">IFERROR(IF(OR(NOT(ISNUMBER('Price History'!V153)),NOT(ISNUMBER('Price History'!V152)),'Price History'!V152=0),"",'Price History'!V153/'Price History'!V152-1),"")</f>
        <v>0.0292046862678834</v>
      </c>
      <c r="W152" s="144" t="n">
        <f aca="false">IFERROR('Price History'!B3+(INDEX('Price History'!B:B,MATCH(9.99E+307,'Returns (Calc)'!$A:$A)+1)-'Price History'!B3)*(ROW()-3)/(MATCH(9.99E+307,'Returns (Calc)'!$A:$A)-3),"")</f>
        <v>254.277341772152</v>
      </c>
      <c r="X152" s="144" t="n">
        <f aca="false">IFERROR('Price History'!C3+(INDEX('Price History'!C:C,MATCH(9.99E+307,'Returns (Calc)'!$A:$A)+1)-'Price History'!C3)*(ROW()-3)/(MATCH(9.99E+307,'Returns (Calc)'!$A:$A)-3),"")</f>
        <v>198.169430379747</v>
      </c>
      <c r="Y152" s="144" t="n">
        <f aca="false">IFERROR('Price History'!D3+(INDEX('Price History'!D:D,MATCH(9.99E+307,'Returns (Calc)'!$A:$A)+1)-'Price History'!D3)*(ROW()-3)/(MATCH(9.99E+307,'Returns (Calc)'!$A:$A)-3),"")</f>
        <v>1794.09670886076</v>
      </c>
      <c r="Z152" s="144" t="n">
        <f aca="false">IFERROR('Price History'!E3+(INDEX('Price History'!E:E,MATCH(9.99E+307,'Returns (Calc)'!$A:$A)+1)-'Price History'!E3)*(ROW()-3)/(MATCH(9.99E+307,'Returns (Calc)'!$A:$A)-3),"")</f>
        <v>339.581392405063</v>
      </c>
      <c r="AA152" s="144" t="n">
        <f aca="false">IFERROR('Price History'!F3+(INDEX('Price History'!F:F,MATCH(9.99E+307,'Returns (Calc)'!$A:$A)+1)-'Price History'!F3)*(ROW()-3)/(MATCH(9.99E+307,'Returns (Calc)'!$A:$A)-3),"")</f>
        <v>257.013924050633</v>
      </c>
      <c r="AB152" s="144" t="n">
        <f aca="false">IFERROR('Price History'!G3+(INDEX('Price History'!G:G,MATCH(9.99E+307,'Returns (Calc)'!$A:$A)+1)-'Price History'!G3)*(ROW()-3)/(MATCH(9.99E+307,'Returns (Calc)'!$A:$A)-3),"")</f>
        <v>197.631392405063</v>
      </c>
      <c r="AC152" s="144" t="n">
        <f aca="false">IFERROR('Price History'!H3+(INDEX('Price History'!H:H,MATCH(9.99E+307,'Returns (Calc)'!$A:$A)+1)-'Price History'!H3)*(ROW()-3)/(MATCH(9.99E+307,'Returns (Calc)'!$A:$A)-3),"")</f>
        <v>1017.59873417722</v>
      </c>
      <c r="AD152" s="144" t="n">
        <f aca="false">IFERROR('Price History'!I3+(INDEX('Price History'!I:I,MATCH(9.99E+307,'Returns (Calc)'!$A:$A)+1)-'Price History'!I3)*(ROW()-3)/(MATCH(9.99E+307,'Returns (Calc)'!$A:$A)-3),"")</f>
        <v>223.116962025316</v>
      </c>
      <c r="AE152" s="144" t="n">
        <f aca="false">IFERROR('Price History'!J3+(INDEX('Price History'!J:J,MATCH(9.99E+307,'Returns (Calc)'!$A:$A)+1)-'Price History'!J3)*(ROW()-3)/(MATCH(9.99E+307,'Returns (Calc)'!$A:$A)-3),"")</f>
        <v>127.937658227848</v>
      </c>
      <c r="AF152" s="144" t="n">
        <f aca="false">IFERROR('Price History'!K3+(INDEX('Price History'!K:K,MATCH(9.99E+307,'Returns (Calc)'!$A:$A)+1)-'Price History'!K3)*(ROW()-3)/(MATCH(9.99E+307,'Returns (Calc)'!$A:$A)-3),"")</f>
        <v>178.87164556962</v>
      </c>
      <c r="AG152" s="144" t="n">
        <f aca="false">IFERROR('Price History'!L3+(INDEX('Price History'!L:L,MATCH(9.99E+307,'Returns (Calc)'!$A:$A)+1)-'Price History'!L3)*(ROW()-3)/(MATCH(9.99E+307,'Returns (Calc)'!$A:$A)-3),"")</f>
        <v>450.733987341772</v>
      </c>
      <c r="AH152" s="144" t="n">
        <f aca="false">IFERROR('Price History'!M3+(INDEX('Price History'!M:M,MATCH(9.99E+307,'Returns (Calc)'!$A:$A)+1)-'Price History'!M3)*(ROW()-3)/(MATCH(9.99E+307,'Returns (Calc)'!$A:$A)-3),"")</f>
        <v>239.981012658228</v>
      </c>
      <c r="AI152" s="144" t="n">
        <f aca="false">IFERROR('Price History'!N3+(INDEX('Price History'!N:N,MATCH(9.99E+307,'Returns (Calc)'!$A:$A)+1)-'Price History'!N3)*(ROW()-3)/(MATCH(9.99E+307,'Returns (Calc)'!$A:$A)-3),"")</f>
        <v>495.853607594937</v>
      </c>
      <c r="AJ152" s="144" t="n">
        <f aca="false">IFERROR('Price History'!O3+(INDEX('Price History'!O:O,MATCH(9.99E+307,'Returns (Calc)'!$A:$A)+1)-'Price History'!O3)*(ROW()-3)/(MATCH(9.99E+307,'Returns (Calc)'!$A:$A)-3),"")</f>
        <v>117.482658227848</v>
      </c>
      <c r="AK152" s="144" t="n">
        <f aca="false">IFERROR('Price History'!Q3+(INDEX('Price History'!Q:Q,MATCH(9.99E+307,'Returns (Calc)'!$A:$A)+1)-'Price History'!Q3)*(ROW()-3)/(MATCH(9.99E+307,'Returns (Calc)'!$A:$A)-3),"")</f>
        <v>65.4656962025317</v>
      </c>
      <c r="AL152" s="144" t="n">
        <f aca="false">IFERROR('Price History'!R3+(INDEX('Price History'!R:R,MATCH(9.99E+307,'Returns (Calc)'!$A:$A)+1)-'Price History'!R3)*(ROW()-3)/(MATCH(9.99E+307,'Returns (Calc)'!$A:$A)-3),"")</f>
        <v>59.5270886075949</v>
      </c>
      <c r="AM152" s="144" t="n">
        <f aca="false">IFERROR('Price History'!S3+(INDEX('Price History'!S:S,MATCH(9.99E+307,'Returns (Calc)'!$A:$A)+1)-'Price History'!S3)*(ROW()-3)/(MATCH(9.99E+307,'Returns (Calc)'!$A:$A)-3),"")</f>
        <v>147.784430379747</v>
      </c>
      <c r="AN152" s="144" t="n">
        <f aca="false">IFERROR('Price History'!T3+(INDEX('Price History'!T:T,MATCH(9.99E+307,'Returns (Calc)'!$A:$A)+1)-'Price History'!T3)*(ROW()-3)/(MATCH(9.99E+307,'Returns (Calc)'!$A:$A)-3),"")</f>
        <v>50.3059493670886</v>
      </c>
      <c r="AO152" s="145" t="n">
        <f aca="false">IFERROR('Price History'!V3+(INDEX('Price History'!V:V,MATCH(9.99E+307,'Returns (Calc)'!$A:$A)+1)-'Price History'!V3)*(ROW()-3)/(MATCH(9.99E+307,'Returns (Calc)'!$A:$A)-3),"")</f>
        <v>353.538037974684</v>
      </c>
      <c r="AP152" s="143" t="n">
        <f aca="false">IFERROR(IF(OR(NOT(ISNUMBER('Price History'!W153)),NOT(ISNUMBER('Price History'!W152)),'Price History'!W152=0),"",'Price History'!W153/'Price History'!W152-1),"")</f>
        <v>-0.00161160354552792</v>
      </c>
      <c r="AQ152" s="143" t="n">
        <f aca="false">IFERROR(IF(OR(NOT(ISNUMBER('Price History'!X153)),NOT(ISNUMBER('Price History'!X152)),'Price History'!X152=0),"",'Price History'!X153/'Price History'!X152-1),"")</f>
        <v>-0.0217431361709969</v>
      </c>
      <c r="AR152" s="143" t="n">
        <f aca="false">IFERROR(IF(OR(NOT(ISNUMBER('Price History'!Y153)),NOT(ISNUMBER('Price History'!Y152)),'Price History'!Y152=0),"",'Price History'!Y153/'Price History'!Y152-1),"")</f>
        <v>0.0111250672887135</v>
      </c>
      <c r="AS152" s="143" t="n">
        <f aca="false">IFERROR(IF(OR(NOT(ISNUMBER('Price History'!Z153)),NOT(ISNUMBER('Price History'!Z152)),'Price History'!Z152=0),"",'Price History'!Z153/'Price History'!Z152-1),"")</f>
        <v>0.0179232748141236</v>
      </c>
      <c r="AT152" s="143" t="n">
        <f aca="false">IFERROR(IF(OR(NOT(ISNUMBER('Price History'!AA153)),NOT(ISNUMBER('Price History'!AA152)),'Price History'!AA152=0),"",'Price History'!AA153/'Price History'!AA152-1),"")</f>
        <v>0.0231131402482521</v>
      </c>
    </row>
    <row r="153" customFormat="false" ht="15" hidden="false" customHeight="true" outlineLevel="0" collapsed="false">
      <c r="A153" s="141" t="n">
        <f aca="false">IF('Price History'!A154="","",'Price History'!A154)</f>
        <v>46241</v>
      </c>
      <c r="B153" s="142" t="n">
        <f aca="false">IFERROR(IF(OR(NOT(ISNUMBER('Price History'!B154)),NOT(ISNUMBER('Price History'!B153)),'Price History'!B153=0),"",'Price History'!B154/'Price History'!B153-1),"")</f>
        <v>0.0591030709636196</v>
      </c>
      <c r="C153" s="142" t="n">
        <f aca="false">IFERROR(IF(OR(NOT(ISNUMBER('Price History'!C154)),NOT(ISNUMBER('Price History'!C153)),'Price History'!C153=0),"",'Price History'!C154/'Price History'!C153-1),"")</f>
        <v>0.046132520099806</v>
      </c>
      <c r="D153" s="142" t="n">
        <f aca="false">IFERROR(IF(OR(NOT(ISNUMBER('Price History'!D154)),NOT(ISNUMBER('Price History'!D153)),'Price History'!D153=0),"",'Price History'!D154/'Price History'!D153-1),"")</f>
        <v>0.0687476979742174</v>
      </c>
      <c r="E153" s="142" t="n">
        <f aca="false">IFERROR(IF(OR(NOT(ISNUMBER('Price History'!E154)),NOT(ISNUMBER('Price History'!E153)),'Price History'!E153=0),"",'Price History'!E154/'Price History'!E153-1),"")</f>
        <v>0.0988496281236329</v>
      </c>
      <c r="F153" s="142" t="n">
        <f aca="false">IFERROR(IF(OR(NOT(ISNUMBER('Price History'!F154)),NOT(ISNUMBER('Price History'!F153)),'Price History'!F153=0),"",'Price History'!F154/'Price History'!F153-1),"")</f>
        <v>0.123441265849314</v>
      </c>
      <c r="G153" s="142" t="n">
        <f aca="false">IFERROR(IF(OR(NOT(ISNUMBER('Price History'!G154)),NOT(ISNUMBER('Price History'!G153)),'Price History'!G153=0),"",'Price History'!G154/'Price History'!G153-1),"")</f>
        <v>0.0836755927933846</v>
      </c>
      <c r="H153" s="142" t="n">
        <f aca="false">IFERROR(IF(OR(NOT(ISNUMBER('Price History'!H154)),NOT(ISNUMBER('Price History'!H153)),'Price History'!H153=0),"",'Price History'!H154/'Price History'!H153-1),"")</f>
        <v>0.066267329258958</v>
      </c>
      <c r="I153" s="142" t="n">
        <f aca="false">IFERROR(IF(OR(NOT(ISNUMBER('Price History'!I154)),NOT(ISNUMBER('Price History'!I153)),'Price History'!I153=0),"",'Price History'!I154/'Price History'!I153-1),"")</f>
        <v>0.115593676756595</v>
      </c>
      <c r="J153" s="142" t="n">
        <f aca="false">IFERROR(IF(OR(NOT(ISNUMBER('Price History'!J154)),NOT(ISNUMBER('Price History'!J153)),'Price History'!J153=0),"",'Price History'!J154/'Price History'!J153-1),"")</f>
        <v>-0.0307381334076811</v>
      </c>
      <c r="K153" s="142" t="n">
        <f aca="false">IFERROR(IF(OR(NOT(ISNUMBER('Price History'!K154)),NOT(ISNUMBER('Price History'!K153)),'Price History'!K153=0),"",'Price History'!K154/'Price History'!K153-1),"")</f>
        <v>0.397773443848529</v>
      </c>
      <c r="L153" s="142" t="n">
        <f aca="false">IFERROR(IF(OR(NOT(ISNUMBER('Price History'!L154)),NOT(ISNUMBER('Price History'!L153)),'Price History'!L153=0),"",'Price History'!L154/'Price History'!L153-1),"")</f>
        <v>0.0390654066522806</v>
      </c>
      <c r="M153" s="142" t="n">
        <f aca="false">IFERROR(IF(OR(NOT(ISNUMBER('Price History'!M154)),NOT(ISNUMBER('Price History'!M153)),'Price History'!M153=0),"",'Price History'!M154/'Price History'!M153-1),"")</f>
        <v>0.127613763405242</v>
      </c>
      <c r="N153" s="142" t="n">
        <f aca="false">IFERROR(IF(OR(NOT(ISNUMBER('Price History'!N154)),NOT(ISNUMBER('Price History'!N153)),'Price History'!N153=0),"",'Price History'!N154/'Price History'!N153-1),"")</f>
        <v>0.0397610563823096</v>
      </c>
      <c r="O153" s="142" t="n">
        <f aca="false">IFERROR(IF(OR(NOT(ISNUMBER('Price History'!O154)),NOT(ISNUMBER('Price History'!O153)),'Price History'!O153=0),"",'Price History'!O154/'Price History'!O153-1),"")</f>
        <v>0.0128133258588932</v>
      </c>
      <c r="P153" s="142" t="n">
        <f aca="false">IFERROR(IF(OR(NOT(ISNUMBER('Price History'!P154)),NOT(ISNUMBER('Price History'!P153)),'Price History'!P153=0),"",'Price History'!P154/'Price History'!P153-1),"")</f>
        <v>0.00431546688348261</v>
      </c>
      <c r="Q153" s="142" t="n">
        <f aca="false">IFERROR(IF(OR(NOT(ISNUMBER('Price History'!Q154)),NOT(ISNUMBER('Price History'!Q153)),'Price History'!Q153=0),"",'Price History'!Q154/'Price History'!Q153-1),"")</f>
        <v>0.0206260971328263</v>
      </c>
      <c r="R153" s="142" t="n">
        <f aca="false">IFERROR(IF(OR(NOT(ISNUMBER('Price History'!R154)),NOT(ISNUMBER('Price History'!R153)),'Price History'!R153=0),"",'Price History'!R154/'Price History'!R153-1),"")</f>
        <v>0.0381408550647508</v>
      </c>
      <c r="S153" s="142" t="n">
        <f aca="false">IFERROR(IF(OR(NOT(ISNUMBER('Price History'!S154)),NOT(ISNUMBER('Price History'!S153)),'Price History'!S153=0),"",'Price History'!S154/'Price History'!S153-1),"")</f>
        <v>0.0407381615598885</v>
      </c>
      <c r="T153" s="142" t="n">
        <f aca="false">IFERROR(IF(OR(NOT(ISNUMBER('Price History'!T154)),NOT(ISNUMBER('Price History'!T153)),'Price History'!T153=0),"",'Price History'!T154/'Price History'!T153-1),"")</f>
        <v>0.0352751461398912</v>
      </c>
      <c r="U153" s="142" t="n">
        <f aca="false">IFERROR(IF(OR(NOT(ISNUMBER('Price History'!U154)),NOT(ISNUMBER('Price History'!U153)),'Price History'!U153=0),"",'Price History'!U154/'Price History'!U153-1),"")</f>
        <v>0.0126467931345982</v>
      </c>
      <c r="V153" s="143" t="n">
        <f aca="false">IFERROR(IF(OR(NOT(ISNUMBER('Price History'!V154)),NOT(ISNUMBER('Price History'!V153)),'Price History'!V153=0),"",'Price History'!V154/'Price History'!V153-1),"")</f>
        <v>-0.00990559584074435</v>
      </c>
      <c r="W153" s="144" t="n">
        <f aca="false">IFERROR('Price History'!B3+(INDEX('Price History'!B:B,MATCH(9.99E+307,'Returns (Calc)'!$A:$A)+1)-'Price History'!B3)*(ROW()-3)/(MATCH(9.99E+307,'Returns (Calc)'!$A:$A)-3),"")</f>
        <v>252.434303797468</v>
      </c>
      <c r="X153" s="144" t="n">
        <f aca="false">IFERROR('Price History'!C3+(INDEX('Price History'!C:C,MATCH(9.99E+307,'Returns (Calc)'!$A:$A)+1)-'Price History'!C3)*(ROW()-3)/(MATCH(9.99E+307,'Returns (Calc)'!$A:$A)-3),"")</f>
        <v>199.189493670886</v>
      </c>
      <c r="Y153" s="144" t="n">
        <f aca="false">IFERROR('Price History'!D3+(INDEX('Price History'!D:D,MATCH(9.99E+307,'Returns (Calc)'!$A:$A)+1)-'Price History'!D3)*(ROW()-3)/(MATCH(9.99E+307,'Returns (Calc)'!$A:$A)-3),"")</f>
        <v>1802.23151898734</v>
      </c>
      <c r="Z153" s="144" t="n">
        <f aca="false">IFERROR('Price History'!E3+(INDEX('Price History'!E:E,MATCH(9.99E+307,'Returns (Calc)'!$A:$A)+1)-'Price History'!E3)*(ROW()-3)/(MATCH(9.99E+307,'Returns (Calc)'!$A:$A)-3),"")</f>
        <v>341.310126582279</v>
      </c>
      <c r="AA153" s="144" t="n">
        <f aca="false">IFERROR('Price History'!F3+(INDEX('Price History'!F:F,MATCH(9.99E+307,'Returns (Calc)'!$A:$A)+1)-'Price History'!F3)*(ROW()-3)/(MATCH(9.99E+307,'Returns (Calc)'!$A:$A)-3),"")</f>
        <v>258.461265822785</v>
      </c>
      <c r="AB153" s="144" t="n">
        <f aca="false">IFERROR('Price History'!G3+(INDEX('Price History'!G:G,MATCH(9.99E+307,'Returns (Calc)'!$A:$A)+1)-'Price History'!G3)*(ROW()-3)/(MATCH(9.99E+307,'Returns (Calc)'!$A:$A)-3),"")</f>
        <v>198.660126582278</v>
      </c>
      <c r="AC153" s="144" t="n">
        <f aca="false">IFERROR('Price History'!H3+(INDEX('Price History'!H:H,MATCH(9.99E+307,'Returns (Calc)'!$A:$A)+1)-'Price History'!H3)*(ROW()-3)/(MATCH(9.99E+307,'Returns (Calc)'!$A:$A)-3),"")</f>
        <v>1023.96443037975</v>
      </c>
      <c r="AD153" s="144" t="n">
        <f aca="false">IFERROR('Price History'!I3+(INDEX('Price History'!I:I,MATCH(9.99E+307,'Returns (Calc)'!$A:$A)+1)-'Price History'!I3)*(ROW()-3)/(MATCH(9.99E+307,'Returns (Calc)'!$A:$A)-3),"")</f>
        <v>224.320632911392</v>
      </c>
      <c r="AE153" s="144" t="n">
        <f aca="false">IFERROR('Price History'!J3+(INDEX('Price History'!J:J,MATCH(9.99E+307,'Returns (Calc)'!$A:$A)+1)-'Price History'!J3)*(ROW()-3)/(MATCH(9.99E+307,'Returns (Calc)'!$A:$A)-3),"")</f>
        <v>128.045696202532</v>
      </c>
      <c r="AF153" s="144" t="n">
        <f aca="false">IFERROR('Price History'!K3+(INDEX('Price History'!K:K,MATCH(9.99E+307,'Returns (Calc)'!$A:$A)+1)-'Price History'!K3)*(ROW()-3)/(MATCH(9.99E+307,'Returns (Calc)'!$A:$A)-3),"")</f>
        <v>179.969240506329</v>
      </c>
      <c r="AG153" s="144" t="n">
        <f aca="false">IFERROR('Price History'!L3+(INDEX('Price History'!L:L,MATCH(9.99E+307,'Returns (Calc)'!$A:$A)+1)-'Price History'!L3)*(ROW()-3)/(MATCH(9.99E+307,'Returns (Calc)'!$A:$A)-3),"")</f>
        <v>453.183544303797</v>
      </c>
      <c r="AH153" s="144" t="n">
        <f aca="false">IFERROR('Price History'!M3+(INDEX('Price History'!M:M,MATCH(9.99E+307,'Returns (Calc)'!$A:$A)+1)-'Price History'!M3)*(ROW()-3)/(MATCH(9.99E+307,'Returns (Calc)'!$A:$A)-3),"")</f>
        <v>241.336455696203</v>
      </c>
      <c r="AI153" s="144" t="n">
        <f aca="false">IFERROR('Price History'!N3+(INDEX('Price History'!N:N,MATCH(9.99E+307,'Returns (Calc)'!$A:$A)+1)-'Price History'!N3)*(ROW()-3)/(MATCH(9.99E+307,'Returns (Calc)'!$A:$A)-3),"")</f>
        <v>496.839873417722</v>
      </c>
      <c r="AJ153" s="144" t="n">
        <f aca="false">IFERROR('Price History'!O3+(INDEX('Price History'!O:O,MATCH(9.99E+307,'Returns (Calc)'!$A:$A)+1)-'Price History'!O3)*(ROW()-3)/(MATCH(9.99E+307,'Returns (Calc)'!$A:$A)-3),"")</f>
        <v>117.765696202532</v>
      </c>
      <c r="AK153" s="144" t="n">
        <f aca="false">IFERROR('Price History'!Q3+(INDEX('Price History'!Q:Q,MATCH(9.99E+307,'Returns (Calc)'!$A:$A)+1)-'Price History'!Q3)*(ROW()-3)/(MATCH(9.99E+307,'Returns (Calc)'!$A:$A)-3),"")</f>
        <v>65.9050632911392</v>
      </c>
      <c r="AL153" s="144" t="n">
        <f aca="false">IFERROR('Price History'!R3+(INDEX('Price History'!R:R,MATCH(9.99E+307,'Returns (Calc)'!$A:$A)+1)-'Price History'!R3)*(ROW()-3)/(MATCH(9.99E+307,'Returns (Calc)'!$A:$A)-3),"")</f>
        <v>59.6951898734177</v>
      </c>
      <c r="AM153" s="144" t="n">
        <f aca="false">IFERROR('Price History'!S3+(INDEX('Price History'!S:S,MATCH(9.99E+307,'Returns (Calc)'!$A:$A)+1)-'Price History'!S3)*(ROW()-3)/(MATCH(9.99E+307,'Returns (Calc)'!$A:$A)-3),"")</f>
        <v>148.389493670886</v>
      </c>
      <c r="AN153" s="144" t="n">
        <f aca="false">IFERROR('Price History'!T3+(INDEX('Price History'!T:T,MATCH(9.99E+307,'Returns (Calc)'!$A:$A)+1)-'Price History'!T3)*(ROW()-3)/(MATCH(9.99E+307,'Returns (Calc)'!$A:$A)-3),"")</f>
        <v>50.4741772151899</v>
      </c>
      <c r="AO153" s="145" t="n">
        <f aca="false">IFERROR('Price History'!V3+(INDEX('Price History'!V:V,MATCH(9.99E+307,'Returns (Calc)'!$A:$A)+1)-'Price History'!V3)*(ROW()-3)/(MATCH(9.99E+307,'Returns (Calc)'!$A:$A)-3),"")</f>
        <v>354.329367088608</v>
      </c>
      <c r="AP153" s="143" t="n">
        <f aca="false">IFERROR(IF(OR(NOT(ISNUMBER('Price History'!W154)),NOT(ISNUMBER('Price History'!W153)),'Price History'!W153=0),"",'Price History'!W154/'Price History'!W153-1),"")</f>
        <v>0.0226609548643448</v>
      </c>
      <c r="AQ153" s="143" t="n">
        <f aca="false">IFERROR(IF(OR(NOT(ISNUMBER('Price History'!X154)),NOT(ISNUMBER('Price History'!X153)),'Price History'!X153=0),"",'Price History'!X154/'Price History'!X153-1),"")</f>
        <v>-0.0261819551704653</v>
      </c>
      <c r="AR153" s="143" t="n">
        <f aca="false">IFERROR(IF(OR(NOT(ISNUMBER('Price History'!Y154)),NOT(ISNUMBER('Price History'!Y153)),'Price History'!Y153=0),"",'Price History'!Y154/'Price History'!Y153-1),"")</f>
        <v>0.00905057675244003</v>
      </c>
      <c r="AS153" s="143" t="n">
        <f aca="false">IFERROR(IF(OR(NOT(ISNUMBER('Price History'!Z154)),NOT(ISNUMBER('Price History'!Z153)),'Price History'!Z153=0),"",'Price History'!Z154/'Price History'!Z153-1),"")</f>
        <v>0.0278001499708389</v>
      </c>
      <c r="AT153" s="143" t="n">
        <f aca="false">IFERROR(IF(OR(NOT(ISNUMBER('Price History'!AA154)),NOT(ISNUMBER('Price History'!AA153)),'Price History'!AA153=0),"",'Price History'!AA154/'Price History'!AA153-1),"")</f>
        <v>0.0338864872402733</v>
      </c>
    </row>
    <row r="154" customFormat="false" ht="15" hidden="false" customHeight="true" outlineLevel="0" collapsed="false">
      <c r="A154" s="141" t="n">
        <f aca="false">IF('Price History'!A155="","",'Price History'!A155)</f>
        <v>46248</v>
      </c>
      <c r="B154" s="142" t="n">
        <f aca="false">IFERROR(IF(OR(NOT(ISNUMBER('Price History'!B155)),NOT(ISNUMBER('Price History'!B154)),'Price History'!B154=0),"",'Price History'!B155/'Price History'!B154-1),"")</f>
        <v>-0.00448701029372944</v>
      </c>
      <c r="C154" s="142" t="n">
        <f aca="false">IFERROR(IF(OR(NOT(ISNUMBER('Price History'!C155)),NOT(ISNUMBER('Price History'!C154)),'Price History'!C154=0),"",'Price History'!C155/'Price History'!C154-1),"")</f>
        <v>0.0537976360841681</v>
      </c>
      <c r="D154" s="142" t="n">
        <f aca="false">IFERROR(IF(OR(NOT(ISNUMBER('Price History'!D155)),NOT(ISNUMBER('Price History'!D154)),'Price History'!D154=0),"",'Price History'!D155/'Price History'!D154-1),"")</f>
        <v>0.059213436033521</v>
      </c>
      <c r="E154" s="142" t="n">
        <f aca="false">IFERROR(IF(OR(NOT(ISNUMBER('Price History'!E155)),NOT(ISNUMBER('Price History'!E154)),'Price History'!E154=0),"",'Price History'!E155/'Price History'!E154-1),"")</f>
        <v>-0.0812684434868145</v>
      </c>
      <c r="F154" s="142" t="n">
        <f aca="false">IFERROR(IF(OR(NOT(ISNUMBER('Price History'!F155)),NOT(ISNUMBER('Price History'!F154)),'Price History'!F154=0),"",'Price History'!F155/'Price History'!F154-1),"")</f>
        <v>0.0117992724559277</v>
      </c>
      <c r="G154" s="142" t="n">
        <f aca="false">IFERROR(IF(OR(NOT(ISNUMBER('Price History'!G155)),NOT(ISNUMBER('Price History'!G154)),'Price History'!G154=0),"",'Price History'!G155/'Price History'!G154-1),"")</f>
        <v>0.028298549699328</v>
      </c>
      <c r="H154" s="142" t="n">
        <f aca="false">IFERROR(IF(OR(NOT(ISNUMBER('Price History'!H155)),NOT(ISNUMBER('Price History'!H154)),'Price History'!H154=0),"",'Price History'!H155/'Price History'!H154-1),"")</f>
        <v>0.107216518340417</v>
      </c>
      <c r="I154" s="142" t="n">
        <f aca="false">IFERROR(IF(OR(NOT(ISNUMBER('Price History'!I155)),NOT(ISNUMBER('Price History'!I154)),'Price History'!I154=0),"",'Price History'!I155/'Price History'!I154-1),"")</f>
        <v>0.00536408743462524</v>
      </c>
      <c r="J154" s="142" t="n">
        <f aca="false">IFERROR(IF(OR(NOT(ISNUMBER('Price History'!J155)),NOT(ISNUMBER('Price History'!J154)),'Price History'!J154=0),"",'Price History'!J155/'Price History'!J154-1),"")</f>
        <v>0.00618438084280149</v>
      </c>
      <c r="K154" s="142" t="n">
        <f aca="false">IFERROR(IF(OR(NOT(ISNUMBER('Price History'!K155)),NOT(ISNUMBER('Price History'!K154)),'Price History'!K154=0),"",'Price History'!K155/'Price History'!K154-1),"")</f>
        <v>0.0118016394395675</v>
      </c>
      <c r="L154" s="142" t="n">
        <f aca="false">IFERROR(IF(OR(NOT(ISNUMBER('Price History'!L155)),NOT(ISNUMBER('Price History'!L154)),'Price History'!L154=0),"",'Price History'!L155/'Price History'!L154-1),"")</f>
        <v>0.0150147999618064</v>
      </c>
      <c r="M154" s="142" t="n">
        <f aca="false">IFERROR(IF(OR(NOT(ISNUMBER('Price History'!M155)),NOT(ISNUMBER('Price History'!M154)),'Price History'!M154=0),"",'Price History'!M155/'Price History'!M154-1),"")</f>
        <v>0.0787280138067785</v>
      </c>
      <c r="N154" s="142" t="n">
        <f aca="false">IFERROR(IF(OR(NOT(ISNUMBER('Price History'!N155)),NOT(ISNUMBER('Price History'!N154)),'Price History'!N154=0),"",'Price History'!N155/'Price History'!N154-1),"")</f>
        <v>0.0195133751285101</v>
      </c>
      <c r="O154" s="142" t="n">
        <f aca="false">IFERROR(IF(OR(NOT(ISNUMBER('Price History'!O155)),NOT(ISNUMBER('Price History'!O154)),'Price History'!O154=0),"",'Price History'!O155/'Price History'!O154-1),"")</f>
        <v>0.0145489048786274</v>
      </c>
      <c r="P154" s="142" t="n">
        <f aca="false">IFERROR(IF(OR(NOT(ISNUMBER('Price History'!P155)),NOT(ISNUMBER('Price History'!P154)),'Price History'!P154=0),"",'Price History'!P155/'Price History'!P154-1),"")</f>
        <v>0.0222319093286836</v>
      </c>
      <c r="Q154" s="142" t="n">
        <f aca="false">IFERROR(IF(OR(NOT(ISNUMBER('Price History'!Q155)),NOT(ISNUMBER('Price History'!Q154)),'Price History'!Q154=0),"",'Price History'!Q155/'Price History'!Q154-1),"")</f>
        <v>0.00415651426114394</v>
      </c>
      <c r="R154" s="142" t="n">
        <f aca="false">IFERROR(IF(OR(NOT(ISNUMBER('Price History'!R155)),NOT(ISNUMBER('Price History'!R154)),'Price History'!R154=0),"",'Price History'!R155/'Price History'!R154-1),"")</f>
        <v>0.013157894736842</v>
      </c>
      <c r="S154" s="142" t="n">
        <f aca="false">IFERROR(IF(OR(NOT(ISNUMBER('Price History'!S155)),NOT(ISNUMBER('Price History'!S154)),'Price History'!S154=0),"",'Price History'!S155/'Price History'!S154-1),"")</f>
        <v>0.0241552358648378</v>
      </c>
      <c r="T154" s="142" t="n">
        <f aca="false">IFERROR(IF(OR(NOT(ISNUMBER('Price History'!T155)),NOT(ISNUMBER('Price History'!T154)),'Price History'!T154=0),"",'Price History'!T155/'Price History'!T154-1),"")</f>
        <v>0.043613707165109</v>
      </c>
      <c r="U154" s="142" t="n">
        <f aca="false">IFERROR(IF(OR(NOT(ISNUMBER('Price History'!U155)),NOT(ISNUMBER('Price History'!U154)),'Price History'!U154=0),"",'Price History'!U155/'Price History'!U154-1),"")</f>
        <v>0.0184359203092477</v>
      </c>
      <c r="V154" s="143" t="n">
        <f aca="false">IFERROR(IF(OR(NOT(ISNUMBER('Price History'!V155)),NOT(ISNUMBER('Price History'!V154)),'Price History'!V154=0),"",'Price History'!V155/'Price History'!V154-1),"")</f>
        <v>0.0064118508691926</v>
      </c>
      <c r="W154" s="144" t="n">
        <f aca="false">IFERROR('Price History'!B3+(INDEX('Price History'!B:B,MATCH(9.99E+307,'Returns (Calc)'!$A:$A)+1)-'Price History'!B3)*(ROW()-3)/(MATCH(9.99E+307,'Returns (Calc)'!$A:$A)-3),"")</f>
        <v>250.591265822785</v>
      </c>
      <c r="X154" s="144" t="n">
        <f aca="false">IFERROR('Price History'!C3+(INDEX('Price History'!C:C,MATCH(9.99E+307,'Returns (Calc)'!$A:$A)+1)-'Price History'!C3)*(ROW()-3)/(MATCH(9.99E+307,'Returns (Calc)'!$A:$A)-3),"")</f>
        <v>200.209556962025</v>
      </c>
      <c r="Y154" s="144" t="n">
        <f aca="false">IFERROR('Price History'!D3+(INDEX('Price History'!D:D,MATCH(9.99E+307,'Returns (Calc)'!$A:$A)+1)-'Price History'!D3)*(ROW()-3)/(MATCH(9.99E+307,'Returns (Calc)'!$A:$A)-3),"")</f>
        <v>1810.36632911392</v>
      </c>
      <c r="Z154" s="144" t="n">
        <f aca="false">IFERROR('Price History'!E3+(INDEX('Price History'!E:E,MATCH(9.99E+307,'Returns (Calc)'!$A:$A)+1)-'Price History'!E3)*(ROW()-3)/(MATCH(9.99E+307,'Returns (Calc)'!$A:$A)-3),"")</f>
        <v>343.038860759494</v>
      </c>
      <c r="AA154" s="144" t="n">
        <f aca="false">IFERROR('Price History'!F3+(INDEX('Price History'!F:F,MATCH(9.99E+307,'Returns (Calc)'!$A:$A)+1)-'Price History'!F3)*(ROW()-3)/(MATCH(9.99E+307,'Returns (Calc)'!$A:$A)-3),"")</f>
        <v>259.908607594937</v>
      </c>
      <c r="AB154" s="144" t="n">
        <f aca="false">IFERROR('Price History'!G3+(INDEX('Price History'!G:G,MATCH(9.99E+307,'Returns (Calc)'!$A:$A)+1)-'Price History'!G3)*(ROW()-3)/(MATCH(9.99E+307,'Returns (Calc)'!$A:$A)-3),"")</f>
        <v>199.688860759494</v>
      </c>
      <c r="AC154" s="144" t="n">
        <f aca="false">IFERROR('Price History'!H3+(INDEX('Price History'!H:H,MATCH(9.99E+307,'Returns (Calc)'!$A:$A)+1)-'Price History'!H3)*(ROW()-3)/(MATCH(9.99E+307,'Returns (Calc)'!$A:$A)-3),"")</f>
        <v>1030.33012658228</v>
      </c>
      <c r="AD154" s="144" t="n">
        <f aca="false">IFERROR('Price History'!I3+(INDEX('Price History'!I:I,MATCH(9.99E+307,'Returns (Calc)'!$A:$A)+1)-'Price History'!I3)*(ROW()-3)/(MATCH(9.99E+307,'Returns (Calc)'!$A:$A)-3),"")</f>
        <v>225.524303797468</v>
      </c>
      <c r="AE154" s="144" t="n">
        <f aca="false">IFERROR('Price History'!J3+(INDEX('Price History'!J:J,MATCH(9.99E+307,'Returns (Calc)'!$A:$A)+1)-'Price History'!J3)*(ROW()-3)/(MATCH(9.99E+307,'Returns (Calc)'!$A:$A)-3),"")</f>
        <v>128.153734177215</v>
      </c>
      <c r="AF154" s="144" t="n">
        <f aca="false">IFERROR('Price History'!K3+(INDEX('Price History'!K:K,MATCH(9.99E+307,'Returns (Calc)'!$A:$A)+1)-'Price History'!K3)*(ROW()-3)/(MATCH(9.99E+307,'Returns (Calc)'!$A:$A)-3),"")</f>
        <v>181.066835443038</v>
      </c>
      <c r="AG154" s="144" t="n">
        <f aca="false">IFERROR('Price History'!L3+(INDEX('Price History'!L:L,MATCH(9.99E+307,'Returns (Calc)'!$A:$A)+1)-'Price History'!L3)*(ROW()-3)/(MATCH(9.99E+307,'Returns (Calc)'!$A:$A)-3),"")</f>
        <v>455.633101265823</v>
      </c>
      <c r="AH154" s="144" t="n">
        <f aca="false">IFERROR('Price History'!M3+(INDEX('Price History'!M:M,MATCH(9.99E+307,'Returns (Calc)'!$A:$A)+1)-'Price History'!M3)*(ROW()-3)/(MATCH(9.99E+307,'Returns (Calc)'!$A:$A)-3),"")</f>
        <v>242.691898734177</v>
      </c>
      <c r="AI154" s="144" t="n">
        <f aca="false">IFERROR('Price History'!N3+(INDEX('Price History'!N:N,MATCH(9.99E+307,'Returns (Calc)'!$A:$A)+1)-'Price History'!N3)*(ROW()-3)/(MATCH(9.99E+307,'Returns (Calc)'!$A:$A)-3),"")</f>
        <v>497.826139240506</v>
      </c>
      <c r="AJ154" s="144" t="n">
        <f aca="false">IFERROR('Price History'!O3+(INDEX('Price History'!O:O,MATCH(9.99E+307,'Returns (Calc)'!$A:$A)+1)-'Price History'!O3)*(ROW()-3)/(MATCH(9.99E+307,'Returns (Calc)'!$A:$A)-3),"")</f>
        <v>118.048734177215</v>
      </c>
      <c r="AK154" s="144" t="n">
        <f aca="false">IFERROR('Price History'!Q3+(INDEX('Price History'!Q:Q,MATCH(9.99E+307,'Returns (Calc)'!$A:$A)+1)-'Price History'!Q3)*(ROW()-3)/(MATCH(9.99E+307,'Returns (Calc)'!$A:$A)-3),"")</f>
        <v>66.3444303797468</v>
      </c>
      <c r="AL154" s="144" t="n">
        <f aca="false">IFERROR('Price History'!R3+(INDEX('Price History'!R:R,MATCH(9.99E+307,'Returns (Calc)'!$A:$A)+1)-'Price History'!R3)*(ROW()-3)/(MATCH(9.99E+307,'Returns (Calc)'!$A:$A)-3),"")</f>
        <v>59.8632911392405</v>
      </c>
      <c r="AM154" s="144" t="n">
        <f aca="false">IFERROR('Price History'!S3+(INDEX('Price History'!S:S,MATCH(9.99E+307,'Returns (Calc)'!$A:$A)+1)-'Price History'!S3)*(ROW()-3)/(MATCH(9.99E+307,'Returns (Calc)'!$A:$A)-3),"")</f>
        <v>148.994556962025</v>
      </c>
      <c r="AN154" s="144" t="n">
        <f aca="false">IFERROR('Price History'!T3+(INDEX('Price History'!T:T,MATCH(9.99E+307,'Returns (Calc)'!$A:$A)+1)-'Price History'!T3)*(ROW()-3)/(MATCH(9.99E+307,'Returns (Calc)'!$A:$A)-3),"")</f>
        <v>50.6424050632911</v>
      </c>
      <c r="AO154" s="145" t="n">
        <f aca="false">IFERROR('Price History'!V3+(INDEX('Price History'!V:V,MATCH(9.99E+307,'Returns (Calc)'!$A:$A)+1)-'Price History'!V3)*(ROW()-3)/(MATCH(9.99E+307,'Returns (Calc)'!$A:$A)-3),"")</f>
        <v>355.120696202532</v>
      </c>
      <c r="AP154" s="143" t="n">
        <f aca="false">IFERROR(IF(OR(NOT(ISNUMBER('Price History'!W155)),NOT(ISNUMBER('Price History'!W154)),'Price History'!W154=0),"",'Price History'!W155/'Price History'!W154-1),"")</f>
        <v>0.00534239922292379</v>
      </c>
      <c r="AQ154" s="143" t="n">
        <f aca="false">IFERROR(IF(OR(NOT(ISNUMBER('Price History'!X155)),NOT(ISNUMBER('Price History'!X154)),'Price History'!X154=0),"",'Price History'!X155/'Price History'!X154-1),"")</f>
        <v>0.0396518375241779</v>
      </c>
      <c r="AR154" s="143" t="n">
        <f aca="false">IFERROR(IF(OR(NOT(ISNUMBER('Price History'!Y155)),NOT(ISNUMBER('Price History'!Y154)),'Price History'!Y154=0),"",'Price History'!Y155/'Price History'!Y154-1),"")</f>
        <v>0.00773830460780856</v>
      </c>
      <c r="AS154" s="143" t="n">
        <f aca="false">IFERROR(IF(OR(NOT(ISNUMBER('Price History'!Z155)),NOT(ISNUMBER('Price History'!Z154)),'Price History'!Z154=0),"",'Price History'!Z155/'Price History'!Z154-1),"")</f>
        <v>-0.00459360138348464</v>
      </c>
      <c r="AT154" s="143" t="n">
        <f aca="false">IFERROR(IF(OR(NOT(ISNUMBER('Price History'!AA155)),NOT(ISNUMBER('Price History'!AA154)),'Price History'!AA154=0),"",'Price History'!AA155/'Price History'!AA154-1),"")</f>
        <v>0.0542217426490423</v>
      </c>
    </row>
    <row r="155" customFormat="false" ht="15" hidden="false" customHeight="true" outlineLevel="0" collapsed="false">
      <c r="A155" s="141" t="n">
        <f aca="false">IF('Price History'!A156="","",'Price History'!A156)</f>
        <v>46255</v>
      </c>
      <c r="B155" s="142" t="n">
        <f aca="false">IFERROR(IF(OR(NOT(ISNUMBER('Price History'!B156)),NOT(ISNUMBER('Price History'!B155)),'Price History'!B155=0),"",'Price History'!B156/'Price History'!B155-1),"")</f>
        <v>0.0427240360578745</v>
      </c>
      <c r="C155" s="142" t="n">
        <f aca="false">IFERROR(IF(OR(NOT(ISNUMBER('Price History'!C156)),NOT(ISNUMBER('Price History'!C155)),'Price History'!C155=0),"",'Price History'!C156/'Price History'!C155-1),"")</f>
        <v>-0.0511517955940045</v>
      </c>
      <c r="D155" s="142" t="n">
        <f aca="false">IFERROR(IF(OR(NOT(ISNUMBER('Price History'!D156)),NOT(ISNUMBER('Price History'!D155)),'Price History'!D155=0),"",'Price History'!D156/'Price History'!D155-1),"")</f>
        <v>-0.0435555941173919</v>
      </c>
      <c r="E155" s="142" t="n">
        <f aca="false">IFERROR(IF(OR(NOT(ISNUMBER('Price History'!E156)),NOT(ISNUMBER('Price History'!E155)),'Price History'!E155=0),"",'Price History'!E156/'Price History'!E155-1),"")</f>
        <v>-0.0624553890078515</v>
      </c>
      <c r="F155" s="142" t="n">
        <f aca="false">IFERROR(IF(OR(NOT(ISNUMBER('Price History'!F156)),NOT(ISNUMBER('Price History'!F155)),'Price History'!F155=0),"",'Price History'!F156/'Price History'!F155-1),"")</f>
        <v>-0.115233924867481</v>
      </c>
      <c r="G155" s="142" t="n">
        <f aca="false">IFERROR(IF(OR(NOT(ISNUMBER('Price History'!G156)),NOT(ISNUMBER('Price History'!G155)),'Price History'!G155=0),"",'Price History'!G156/'Price History'!G155-1),"")</f>
        <v>-0.095827804806133</v>
      </c>
      <c r="H155" s="142" t="n">
        <f aca="false">IFERROR(IF(OR(NOT(ISNUMBER('Price History'!H156)),NOT(ISNUMBER('Price History'!H155)),'Price History'!H155=0),"",'Price History'!H156/'Price History'!H155-1),"")</f>
        <v>-0.00502233291480558</v>
      </c>
      <c r="I155" s="142" t="n">
        <f aca="false">IFERROR(IF(OR(NOT(ISNUMBER('Price History'!I156)),NOT(ISNUMBER('Price History'!I155)),'Price History'!I155=0),"",'Price History'!I156/'Price History'!I155-1),"")</f>
        <v>-0.0463741051976346</v>
      </c>
      <c r="J155" s="142" t="n">
        <f aca="false">IFERROR(IF(OR(NOT(ISNUMBER('Price History'!J156)),NOT(ISNUMBER('Price History'!J155)),'Price History'!J155=0),"",'Price History'!J156/'Price History'!J155-1),"")</f>
        <v>0.00543167524299615</v>
      </c>
      <c r="K155" s="142" t="n">
        <f aca="false">IFERROR(IF(OR(NOT(ISNUMBER('Price History'!K156)),NOT(ISNUMBER('Price History'!K155)),'Price History'!K155=0),"",'Price History'!K156/'Price History'!K155-1),"")</f>
        <v>0.0339002528154448</v>
      </c>
      <c r="L155" s="142" t="n">
        <f aca="false">IFERROR(IF(OR(NOT(ISNUMBER('Price History'!L156)),NOT(ISNUMBER('Price History'!L155)),'Price History'!L155=0),"",'Price History'!L156/'Price History'!L155-1),"")</f>
        <v>-0.0173561299122786</v>
      </c>
      <c r="M155" s="142" t="n">
        <f aca="false">IFERROR(IF(OR(NOT(ISNUMBER('Price History'!M156)),NOT(ISNUMBER('Price History'!M155)),'Price History'!M155=0),"",'Price History'!M156/'Price History'!M155-1),"")</f>
        <v>-0.108520270960275</v>
      </c>
      <c r="N155" s="142" t="n">
        <f aca="false">IFERROR(IF(OR(NOT(ISNUMBER('Price History'!N156)),NOT(ISNUMBER('Price History'!N155)),'Price History'!N155=0),"",'Price History'!N156/'Price History'!N155-1),"")</f>
        <v>0.0836381611468116</v>
      </c>
      <c r="O155" s="142" t="n">
        <f aca="false">IFERROR(IF(OR(NOT(ISNUMBER('Price History'!O156)),NOT(ISNUMBER('Price History'!O155)),'Price History'!O155=0),"",'Price History'!O156/'Price History'!O155-1),"")</f>
        <v>-0.0176915283298261</v>
      </c>
      <c r="P155" s="142" t="n">
        <f aca="false">IFERROR(IF(OR(NOT(ISNUMBER('Price History'!P156)),NOT(ISNUMBER('Price History'!P155)),'Price History'!P155=0),"",'Price History'!P156/'Price History'!P155-1),"")</f>
        <v>-0.00852878464818763</v>
      </c>
      <c r="Q155" s="142" t="n">
        <f aca="false">IFERROR(IF(OR(NOT(ISNUMBER('Price History'!Q156)),NOT(ISNUMBER('Price History'!Q155)),'Price History'!Q155=0),"",'Price History'!Q156/'Price History'!Q155-1),"")</f>
        <v>-0.0105623751070513</v>
      </c>
      <c r="R155" s="142" t="n">
        <f aca="false">IFERROR(IF(OR(NOT(ISNUMBER('Price History'!R156)),NOT(ISNUMBER('Price History'!R155)),'Price History'!R155=0),"",'Price History'!R156/'Price History'!R155-1),"")</f>
        <v>-0.0114690504300894</v>
      </c>
      <c r="S155" s="142" t="n">
        <f aca="false">IFERROR(IF(OR(NOT(ISNUMBER('Price History'!S156)),NOT(ISNUMBER('Price History'!S155)),'Price History'!S155=0),"",'Price History'!S156/'Price History'!S155-1),"")</f>
        <v>-0.0298575721939108</v>
      </c>
      <c r="T155" s="142" t="n">
        <f aca="false">IFERROR(IF(OR(NOT(ISNUMBER('Price History'!T156)),NOT(ISNUMBER('Price History'!T155)),'Price History'!T155=0),"",'Price History'!T156/'Price History'!T155-1),"")</f>
        <v>0.0324626865671642</v>
      </c>
      <c r="U155" s="142" t="n">
        <f aca="false">IFERROR(IF(OR(NOT(ISNUMBER('Price History'!U156)),NOT(ISNUMBER('Price History'!U155)),'Price History'!U155=0),"",'Price History'!U156/'Price History'!U155-1),"")</f>
        <v>0.016934306569343</v>
      </c>
      <c r="V155" s="143" t="n">
        <f aca="false">IFERROR(IF(OR(NOT(ISNUMBER('Price History'!V156)),NOT(ISNUMBER('Price History'!V155)),'Price History'!V155=0),"",'Price History'!V156/'Price History'!V155-1),"")</f>
        <v>0.0189207744061515</v>
      </c>
      <c r="W155" s="144" t="n">
        <f aca="false">IFERROR('Price History'!B3+(INDEX('Price History'!B:B,MATCH(9.99E+307,'Returns (Calc)'!$A:$A)+1)-'Price History'!B3)*(ROW()-3)/(MATCH(9.99E+307,'Returns (Calc)'!$A:$A)-3),"")</f>
        <v>248.748227848101</v>
      </c>
      <c r="X155" s="144" t="n">
        <f aca="false">IFERROR('Price History'!C3+(INDEX('Price History'!C:C,MATCH(9.99E+307,'Returns (Calc)'!$A:$A)+1)-'Price History'!C3)*(ROW()-3)/(MATCH(9.99E+307,'Returns (Calc)'!$A:$A)-3),"")</f>
        <v>201.229620253165</v>
      </c>
      <c r="Y155" s="144" t="n">
        <f aca="false">IFERROR('Price History'!D3+(INDEX('Price History'!D:D,MATCH(9.99E+307,'Returns (Calc)'!$A:$A)+1)-'Price History'!D3)*(ROW()-3)/(MATCH(9.99E+307,'Returns (Calc)'!$A:$A)-3),"")</f>
        <v>1818.50113924051</v>
      </c>
      <c r="Z155" s="144" t="n">
        <f aca="false">IFERROR('Price History'!E3+(INDEX('Price History'!E:E,MATCH(9.99E+307,'Returns (Calc)'!$A:$A)+1)-'Price History'!E3)*(ROW()-3)/(MATCH(9.99E+307,'Returns (Calc)'!$A:$A)-3),"")</f>
        <v>344.767594936709</v>
      </c>
      <c r="AA155" s="144" t="n">
        <f aca="false">IFERROR('Price History'!F3+(INDEX('Price History'!F:F,MATCH(9.99E+307,'Returns (Calc)'!$A:$A)+1)-'Price History'!F3)*(ROW()-3)/(MATCH(9.99E+307,'Returns (Calc)'!$A:$A)-3),"")</f>
        <v>261.355949367089</v>
      </c>
      <c r="AB155" s="144" t="n">
        <f aca="false">IFERROR('Price History'!G3+(INDEX('Price History'!G:G,MATCH(9.99E+307,'Returns (Calc)'!$A:$A)+1)-'Price History'!G3)*(ROW()-3)/(MATCH(9.99E+307,'Returns (Calc)'!$A:$A)-3),"")</f>
        <v>200.717594936709</v>
      </c>
      <c r="AC155" s="144" t="n">
        <f aca="false">IFERROR('Price History'!H3+(INDEX('Price History'!H:H,MATCH(9.99E+307,'Returns (Calc)'!$A:$A)+1)-'Price History'!H3)*(ROW()-3)/(MATCH(9.99E+307,'Returns (Calc)'!$A:$A)-3),"")</f>
        <v>1036.69582278481</v>
      </c>
      <c r="AD155" s="144" t="n">
        <f aca="false">IFERROR('Price History'!I3+(INDEX('Price History'!I:I,MATCH(9.99E+307,'Returns (Calc)'!$A:$A)+1)-'Price History'!I3)*(ROW()-3)/(MATCH(9.99E+307,'Returns (Calc)'!$A:$A)-3),"")</f>
        <v>226.727974683544</v>
      </c>
      <c r="AE155" s="144" t="n">
        <f aca="false">IFERROR('Price History'!J3+(INDEX('Price History'!J:J,MATCH(9.99E+307,'Returns (Calc)'!$A:$A)+1)-'Price History'!J3)*(ROW()-3)/(MATCH(9.99E+307,'Returns (Calc)'!$A:$A)-3),"")</f>
        <v>128.261772151899</v>
      </c>
      <c r="AF155" s="144" t="n">
        <f aca="false">IFERROR('Price History'!K3+(INDEX('Price History'!K:K,MATCH(9.99E+307,'Returns (Calc)'!$A:$A)+1)-'Price History'!K3)*(ROW()-3)/(MATCH(9.99E+307,'Returns (Calc)'!$A:$A)-3),"")</f>
        <v>182.164430379747</v>
      </c>
      <c r="AG155" s="144" t="n">
        <f aca="false">IFERROR('Price History'!L3+(INDEX('Price History'!L:L,MATCH(9.99E+307,'Returns (Calc)'!$A:$A)+1)-'Price History'!L3)*(ROW()-3)/(MATCH(9.99E+307,'Returns (Calc)'!$A:$A)-3),"")</f>
        <v>458.082658227848</v>
      </c>
      <c r="AH155" s="144" t="n">
        <f aca="false">IFERROR('Price History'!M3+(INDEX('Price History'!M:M,MATCH(9.99E+307,'Returns (Calc)'!$A:$A)+1)-'Price History'!M3)*(ROW()-3)/(MATCH(9.99E+307,'Returns (Calc)'!$A:$A)-3),"")</f>
        <v>244.047341772152</v>
      </c>
      <c r="AI155" s="144" t="n">
        <f aca="false">IFERROR('Price History'!N3+(INDEX('Price History'!N:N,MATCH(9.99E+307,'Returns (Calc)'!$A:$A)+1)-'Price History'!N3)*(ROW()-3)/(MATCH(9.99E+307,'Returns (Calc)'!$A:$A)-3),"")</f>
        <v>498.812405063291</v>
      </c>
      <c r="AJ155" s="144" t="n">
        <f aca="false">IFERROR('Price History'!O3+(INDEX('Price History'!O:O,MATCH(9.99E+307,'Returns (Calc)'!$A:$A)+1)-'Price History'!O3)*(ROW()-3)/(MATCH(9.99E+307,'Returns (Calc)'!$A:$A)-3),"")</f>
        <v>118.331772151899</v>
      </c>
      <c r="AK155" s="144" t="n">
        <f aca="false">IFERROR('Price History'!Q3+(INDEX('Price History'!Q:Q,MATCH(9.99E+307,'Returns (Calc)'!$A:$A)+1)-'Price History'!Q3)*(ROW()-3)/(MATCH(9.99E+307,'Returns (Calc)'!$A:$A)-3),"")</f>
        <v>66.7837974683544</v>
      </c>
      <c r="AL155" s="144" t="n">
        <f aca="false">IFERROR('Price History'!R3+(INDEX('Price History'!R:R,MATCH(9.99E+307,'Returns (Calc)'!$A:$A)+1)-'Price History'!R3)*(ROW()-3)/(MATCH(9.99E+307,'Returns (Calc)'!$A:$A)-3),"")</f>
        <v>60.0313924050633</v>
      </c>
      <c r="AM155" s="144" t="n">
        <f aca="false">IFERROR('Price History'!S3+(INDEX('Price History'!S:S,MATCH(9.99E+307,'Returns (Calc)'!$A:$A)+1)-'Price History'!S3)*(ROW()-3)/(MATCH(9.99E+307,'Returns (Calc)'!$A:$A)-3),"")</f>
        <v>149.599620253165</v>
      </c>
      <c r="AN155" s="144" t="n">
        <f aca="false">IFERROR('Price History'!T3+(INDEX('Price History'!T:T,MATCH(9.99E+307,'Returns (Calc)'!$A:$A)+1)-'Price History'!T3)*(ROW()-3)/(MATCH(9.99E+307,'Returns (Calc)'!$A:$A)-3),"")</f>
        <v>50.8106329113924</v>
      </c>
      <c r="AO155" s="145" t="n">
        <f aca="false">IFERROR('Price History'!V3+(INDEX('Price History'!V:V,MATCH(9.99E+307,'Returns (Calc)'!$A:$A)+1)-'Price History'!V3)*(ROW()-3)/(MATCH(9.99E+307,'Returns (Calc)'!$A:$A)-3),"")</f>
        <v>355.912025316456</v>
      </c>
      <c r="AP155" s="143" t="n">
        <f aca="false">IFERROR(IF(OR(NOT(ISNUMBER('Price History'!W156)),NOT(ISNUMBER('Price History'!W155)),'Price History'!W155=0),"",'Price History'!W156/'Price History'!W155-1),"")</f>
        <v>-0.00929951690821251</v>
      </c>
      <c r="AQ155" s="143" t="n">
        <f aca="false">IFERROR(IF(OR(NOT(ISNUMBER('Price History'!X156)),NOT(ISNUMBER('Price History'!X155)),'Price History'!X155=0),"",'Price History'!X156/'Price History'!X155-1),"")</f>
        <v>-0.00967441860465124</v>
      </c>
      <c r="AR155" s="143" t="n">
        <f aca="false">IFERROR(IF(OR(NOT(ISNUMBER('Price History'!Y156)),NOT(ISNUMBER('Price History'!Y155)),'Price History'!Y155=0),"",'Price History'!Y156/'Price History'!Y155-1),"")</f>
        <v>-0.00174520069808015</v>
      </c>
      <c r="AS155" s="143" t="n">
        <f aca="false">IFERROR(IF(OR(NOT(ISNUMBER('Price History'!Z156)),NOT(ISNUMBER('Price History'!Z155)),'Price History'!Z155=0),"",'Price History'!Z156/'Price History'!Z155-1),"")</f>
        <v>-0.0543189098213801</v>
      </c>
      <c r="AT155" s="143" t="n">
        <f aca="false">IFERROR(IF(OR(NOT(ISNUMBER('Price History'!AA156)),NOT(ISNUMBER('Price History'!AA155)),'Price History'!AA155=0),"",'Price History'!AA156/'Price History'!AA155-1),"")</f>
        <v>0.0182958034800411</v>
      </c>
    </row>
    <row r="156" customFormat="false" ht="15" hidden="false" customHeight="true" outlineLevel="0" collapsed="false">
      <c r="A156" s="141" t="n">
        <f aca="false">IF('Price History'!A157="","",'Price History'!A157)</f>
        <v>46262</v>
      </c>
      <c r="B156" s="142" t="n">
        <f aca="false">IFERROR(IF(OR(NOT(ISNUMBER('Price History'!B157)),NOT(ISNUMBER('Price History'!B156)),'Price History'!B156=0),"",'Price History'!B157/'Price History'!B156-1),"")</f>
        <v>0.0589175444969123</v>
      </c>
      <c r="C156" s="142" t="n">
        <f aca="false">IFERROR(IF(OR(NOT(ISNUMBER('Price History'!C157)),NOT(ISNUMBER('Price History'!C156)),'Price History'!C156=0),"",'Price History'!C157/'Price History'!C156-1),"")</f>
        <v>0.0356745295520806</v>
      </c>
      <c r="D156" s="142" t="n">
        <f aca="false">IFERROR(IF(OR(NOT(ISNUMBER('Price History'!D157)),NOT(ISNUMBER('Price History'!D156)),'Price History'!D156=0),"",'Price History'!D157/'Price History'!D156-1),"")</f>
        <v>-0.0383272100512541</v>
      </c>
      <c r="E156" s="142" t="n">
        <f aca="false">IFERROR(IF(OR(NOT(ISNUMBER('Price History'!E157)),NOT(ISNUMBER('Price History'!E156)),'Price History'!E156=0),"",'Price History'!E157/'Price History'!E156-1),"")</f>
        <v>0.000924465713198153</v>
      </c>
      <c r="F156" s="142" t="n">
        <f aca="false">IFERROR(IF(OR(NOT(ISNUMBER('Price History'!F157)),NOT(ISNUMBER('Price History'!F156)),'Price History'!F156=0),"",'Price History'!F157/'Price History'!F156-1),"")</f>
        <v>0.137796301120083</v>
      </c>
      <c r="G156" s="142" t="n">
        <f aca="false">IFERROR(IF(OR(NOT(ISNUMBER('Price History'!G157)),NOT(ISNUMBER('Price History'!G156)),'Price History'!G156=0),"",'Price History'!G157/'Price History'!G156-1),"")</f>
        <v>-0.0459264090439698</v>
      </c>
      <c r="H156" s="142" t="n">
        <f aca="false">IFERROR(IF(OR(NOT(ISNUMBER('Price History'!H157)),NOT(ISNUMBER('Price History'!H156)),'Price History'!H156=0),"",'Price History'!H157/'Price History'!H156-1),"")</f>
        <v>-0.0350855416951116</v>
      </c>
      <c r="I156" s="142" t="n">
        <f aca="false">IFERROR(IF(OR(NOT(ISNUMBER('Price History'!I157)),NOT(ISNUMBER('Price History'!I156)),'Price History'!I156=0),"",'Price History'!I157/'Price History'!I156-1),"")</f>
        <v>0.0131947034688549</v>
      </c>
      <c r="J156" s="142" t="n">
        <f aca="false">IFERROR(IF(OR(NOT(ISNUMBER('Price History'!J157)),NOT(ISNUMBER('Price History'!J156)),'Price History'!J156=0),"",'Price History'!J157/'Price History'!J156-1),"")</f>
        <v>-0.00774808075063982</v>
      </c>
      <c r="K156" s="142" t="n">
        <f aca="false">IFERROR(IF(OR(NOT(ISNUMBER('Price History'!K157)),NOT(ISNUMBER('Price History'!K156)),'Price History'!K156=0),"",'Price History'!K157/'Price History'!K156-1),"")</f>
        <v>0.0352895409580971</v>
      </c>
      <c r="L156" s="142" t="n">
        <f aca="false">IFERROR(IF(OR(NOT(ISNUMBER('Price History'!L157)),NOT(ISNUMBER('Price History'!L156)),'Price History'!L156=0),"",'Price History'!L157/'Price History'!L156-1),"")</f>
        <v>-0.00342244453485874</v>
      </c>
      <c r="M156" s="142" t="n">
        <f aca="false">IFERROR(IF(OR(NOT(ISNUMBER('Price History'!M157)),NOT(ISNUMBER('Price History'!M156)),'Price History'!M156=0),"",'Price History'!M157/'Price History'!M156-1),"")</f>
        <v>-0.0185955935698194</v>
      </c>
      <c r="N156" s="142" t="n">
        <f aca="false">IFERROR(IF(OR(NOT(ISNUMBER('Price History'!N157)),NOT(ISNUMBER('Price History'!N156)),'Price History'!N156=0),"",'Price History'!N157/'Price History'!N156-1),"")</f>
        <v>-0.0116047805857128</v>
      </c>
      <c r="O156" s="142" t="n">
        <f aca="false">IFERROR(IF(OR(NOT(ISNUMBER('Price History'!O157)),NOT(ISNUMBER('Price History'!O156)),'Price History'!O156=0),"",'Price History'!O157/'Price History'!O156-1),"")</f>
        <v>-0.00698191050460184</v>
      </c>
      <c r="P156" s="142" t="n">
        <f aca="false">IFERROR(IF(OR(NOT(ISNUMBER('Price History'!P157)),NOT(ISNUMBER('Price History'!P156)),'Price History'!P156=0),"",'Price History'!P157/'Price History'!P156-1),"")</f>
        <v>-0.00178187403993846</v>
      </c>
      <c r="Q156" s="142" t="n">
        <f aca="false">IFERROR(IF(OR(NOT(ISNUMBER('Price History'!Q157)),NOT(ISNUMBER('Price History'!Q156)),'Price History'!Q156=0),"",'Price History'!Q157/'Price History'!Q156-1),"")</f>
        <v>0.0040392383150607</v>
      </c>
      <c r="R156" s="142" t="n">
        <f aca="false">IFERROR(IF(OR(NOT(ISNUMBER('Price History'!R157)),NOT(ISNUMBER('Price History'!R156)),'Price History'!R156=0),"",'Price History'!R157/'Price History'!R156-1),"")</f>
        <v>0.00528919979525688</v>
      </c>
      <c r="S156" s="142" t="n">
        <f aca="false">IFERROR(IF(OR(NOT(ISNUMBER('Price History'!S157)),NOT(ISNUMBER('Price History'!S156)),'Price History'!S156=0),"",'Price History'!S157/'Price History'!S156-1),"")</f>
        <v>-0.0131321974543741</v>
      </c>
      <c r="T156" s="142" t="n">
        <f aca="false">IFERROR(IF(OR(NOT(ISNUMBER('Price History'!T157)),NOT(ISNUMBER('Price History'!T156)),'Price History'!T156=0),"",'Price History'!T157/'Price History'!T156-1),"")</f>
        <v>0.00379472352728572</v>
      </c>
      <c r="U156" s="142" t="n">
        <f aca="false">IFERROR(IF(OR(NOT(ISNUMBER('Price History'!U157)),NOT(ISNUMBER('Price History'!U156)),'Price History'!U156=0),"",'Price History'!U157/'Price History'!U156-1),"")</f>
        <v>-0.00602928509905254</v>
      </c>
      <c r="V156" s="143" t="n">
        <f aca="false">IFERROR(IF(OR(NOT(ISNUMBER('Price History'!V157)),NOT(ISNUMBER('Price History'!V156)),'Price History'!V156=0),"",'Price History'!V157/'Price History'!V156-1),"")</f>
        <v>0.0284605433376455</v>
      </c>
      <c r="W156" s="144" t="n">
        <f aca="false">IFERROR('Price History'!B3+(INDEX('Price History'!B:B,MATCH(9.99E+307,'Returns (Calc)'!$A:$A)+1)-'Price History'!B3)*(ROW()-3)/(MATCH(9.99E+307,'Returns (Calc)'!$A:$A)-3),"")</f>
        <v>246.905189873418</v>
      </c>
      <c r="X156" s="144" t="n">
        <f aca="false">IFERROR('Price History'!C3+(INDEX('Price History'!C:C,MATCH(9.99E+307,'Returns (Calc)'!$A:$A)+1)-'Price History'!C3)*(ROW()-3)/(MATCH(9.99E+307,'Returns (Calc)'!$A:$A)-3),"")</f>
        <v>202.249683544304</v>
      </c>
      <c r="Y156" s="144" t="n">
        <f aca="false">IFERROR('Price History'!D3+(INDEX('Price History'!D:D,MATCH(9.99E+307,'Returns (Calc)'!$A:$A)+1)-'Price History'!D3)*(ROW()-3)/(MATCH(9.99E+307,'Returns (Calc)'!$A:$A)-3),"")</f>
        <v>1826.63594936709</v>
      </c>
      <c r="Z156" s="144" t="n">
        <f aca="false">IFERROR('Price History'!E3+(INDEX('Price History'!E:E,MATCH(9.99E+307,'Returns (Calc)'!$A:$A)+1)-'Price History'!E3)*(ROW()-3)/(MATCH(9.99E+307,'Returns (Calc)'!$A:$A)-3),"")</f>
        <v>346.496329113924</v>
      </c>
      <c r="AA156" s="144" t="n">
        <f aca="false">IFERROR('Price History'!F3+(INDEX('Price History'!F:F,MATCH(9.99E+307,'Returns (Calc)'!$A:$A)+1)-'Price History'!F3)*(ROW()-3)/(MATCH(9.99E+307,'Returns (Calc)'!$A:$A)-3),"")</f>
        <v>262.803291139241</v>
      </c>
      <c r="AB156" s="144" t="n">
        <f aca="false">IFERROR('Price History'!G3+(INDEX('Price History'!G:G,MATCH(9.99E+307,'Returns (Calc)'!$A:$A)+1)-'Price History'!G3)*(ROW()-3)/(MATCH(9.99E+307,'Returns (Calc)'!$A:$A)-3),"")</f>
        <v>201.746329113924</v>
      </c>
      <c r="AC156" s="144" t="n">
        <f aca="false">IFERROR('Price History'!H3+(INDEX('Price History'!H:H,MATCH(9.99E+307,'Returns (Calc)'!$A:$A)+1)-'Price History'!H3)*(ROW()-3)/(MATCH(9.99E+307,'Returns (Calc)'!$A:$A)-3),"")</f>
        <v>1043.06151898734</v>
      </c>
      <c r="AD156" s="144" t="n">
        <f aca="false">IFERROR('Price History'!I3+(INDEX('Price History'!I:I,MATCH(9.99E+307,'Returns (Calc)'!$A:$A)+1)-'Price History'!I3)*(ROW()-3)/(MATCH(9.99E+307,'Returns (Calc)'!$A:$A)-3),"")</f>
        <v>227.93164556962</v>
      </c>
      <c r="AE156" s="144" t="n">
        <f aca="false">IFERROR('Price History'!J3+(INDEX('Price History'!J:J,MATCH(9.99E+307,'Returns (Calc)'!$A:$A)+1)-'Price History'!J3)*(ROW()-3)/(MATCH(9.99E+307,'Returns (Calc)'!$A:$A)-3),"")</f>
        <v>128.369810126582</v>
      </c>
      <c r="AF156" s="144" t="n">
        <f aca="false">IFERROR('Price History'!K3+(INDEX('Price History'!K:K,MATCH(9.99E+307,'Returns (Calc)'!$A:$A)+1)-'Price History'!K3)*(ROW()-3)/(MATCH(9.99E+307,'Returns (Calc)'!$A:$A)-3),"")</f>
        <v>183.262025316456</v>
      </c>
      <c r="AG156" s="144" t="n">
        <f aca="false">IFERROR('Price History'!L3+(INDEX('Price History'!L:L,MATCH(9.99E+307,'Returns (Calc)'!$A:$A)+1)-'Price History'!L3)*(ROW()-3)/(MATCH(9.99E+307,'Returns (Calc)'!$A:$A)-3),"")</f>
        <v>460.532215189873</v>
      </c>
      <c r="AH156" s="144" t="n">
        <f aca="false">IFERROR('Price History'!M3+(INDEX('Price History'!M:M,MATCH(9.99E+307,'Returns (Calc)'!$A:$A)+1)-'Price History'!M3)*(ROW()-3)/(MATCH(9.99E+307,'Returns (Calc)'!$A:$A)-3),"")</f>
        <v>245.402784810127</v>
      </c>
      <c r="AI156" s="144" t="n">
        <f aca="false">IFERROR('Price History'!N3+(INDEX('Price History'!N:N,MATCH(9.99E+307,'Returns (Calc)'!$A:$A)+1)-'Price History'!N3)*(ROW()-3)/(MATCH(9.99E+307,'Returns (Calc)'!$A:$A)-3),"")</f>
        <v>499.798670886076</v>
      </c>
      <c r="AJ156" s="144" t="n">
        <f aca="false">IFERROR('Price History'!O3+(INDEX('Price History'!O:O,MATCH(9.99E+307,'Returns (Calc)'!$A:$A)+1)-'Price History'!O3)*(ROW()-3)/(MATCH(9.99E+307,'Returns (Calc)'!$A:$A)-3),"")</f>
        <v>118.614810126582</v>
      </c>
      <c r="AK156" s="144" t="n">
        <f aca="false">IFERROR('Price History'!Q3+(INDEX('Price History'!Q:Q,MATCH(9.99E+307,'Returns (Calc)'!$A:$A)+1)-'Price History'!Q3)*(ROW()-3)/(MATCH(9.99E+307,'Returns (Calc)'!$A:$A)-3),"")</f>
        <v>67.223164556962</v>
      </c>
      <c r="AL156" s="144" t="n">
        <f aca="false">IFERROR('Price History'!R3+(INDEX('Price History'!R:R,MATCH(9.99E+307,'Returns (Calc)'!$A:$A)+1)-'Price History'!R3)*(ROW()-3)/(MATCH(9.99E+307,'Returns (Calc)'!$A:$A)-3),"")</f>
        <v>60.1994936708861</v>
      </c>
      <c r="AM156" s="144" t="n">
        <f aca="false">IFERROR('Price History'!S3+(INDEX('Price History'!S:S,MATCH(9.99E+307,'Returns (Calc)'!$A:$A)+1)-'Price History'!S3)*(ROW()-3)/(MATCH(9.99E+307,'Returns (Calc)'!$A:$A)-3),"")</f>
        <v>150.204683544304</v>
      </c>
      <c r="AN156" s="144" t="n">
        <f aca="false">IFERROR('Price History'!T3+(INDEX('Price History'!T:T,MATCH(9.99E+307,'Returns (Calc)'!$A:$A)+1)-'Price History'!T3)*(ROW()-3)/(MATCH(9.99E+307,'Returns (Calc)'!$A:$A)-3),"")</f>
        <v>50.9788607594937</v>
      </c>
      <c r="AO156" s="145" t="n">
        <f aca="false">IFERROR('Price History'!V3+(INDEX('Price History'!V:V,MATCH(9.99E+307,'Returns (Calc)'!$A:$A)+1)-'Price History'!V3)*(ROW()-3)/(MATCH(9.99E+307,'Returns (Calc)'!$A:$A)-3),"")</f>
        <v>356.70335443038</v>
      </c>
      <c r="AP156" s="143" t="n">
        <f aca="false">IFERROR(IF(OR(NOT(ISNUMBER('Price History'!W157)),NOT(ISNUMBER('Price History'!W156)),'Price History'!W156=0),"",'Price History'!W157/'Price History'!W156-1),"")</f>
        <v>-0.0043886383030598</v>
      </c>
      <c r="AQ156" s="143" t="n">
        <f aca="false">IFERROR(IF(OR(NOT(ISNUMBER('Price History'!X157)),NOT(ISNUMBER('Price History'!X156)),'Price History'!X156=0),"",'Price History'!X157/'Price History'!X156-1),"")</f>
        <v>0.00770242344542549</v>
      </c>
      <c r="AR156" s="143" t="n">
        <f aca="false">IFERROR(IF(OR(NOT(ISNUMBER('Price History'!Y157)),NOT(ISNUMBER('Price History'!Y156)),'Price History'!Y156=0),"",'Price History'!Y157/'Price History'!Y156-1),"")</f>
        <v>-0.00227272727272732</v>
      </c>
      <c r="AS156" s="143" t="n">
        <f aca="false">IFERROR(IF(OR(NOT(ISNUMBER('Price History'!Z157)),NOT(ISNUMBER('Price History'!Z156)),'Price History'!Z156=0),"",'Price History'!Z157/'Price History'!Z156-1),"")</f>
        <v>-0.0166202600683182</v>
      </c>
      <c r="AT156" s="143" t="n">
        <f aca="false">IFERROR(IF(OR(NOT(ISNUMBER('Price History'!AA157)),NOT(ISNUMBER('Price History'!AA156)),'Price History'!AA156=0),"",'Price History'!AA157/'Price History'!AA156-1),"")</f>
        <v>0.0267621560497549</v>
      </c>
    </row>
    <row r="157" customFormat="false" ht="15" hidden="false" customHeight="true" outlineLevel="0" collapsed="false">
      <c r="A157" s="141" t="n">
        <f aca="false">IF('Price History'!A158="","",'Price History'!A158)</f>
        <v>46269</v>
      </c>
      <c r="B157" s="142" t="n">
        <f aca="false">IFERROR(IF(OR(NOT(ISNUMBER('Price History'!B158)),NOT(ISNUMBER('Price History'!B157)),'Price History'!B157=0),"",'Price History'!B158/'Price History'!B157-1),"")</f>
        <v>-0.0857917124039517</v>
      </c>
      <c r="C157" s="142" t="n">
        <f aca="false">IFERROR(IF(OR(NOT(ISNUMBER('Price History'!C158)),NOT(ISNUMBER('Price History'!C157)),'Price History'!C157=0),"",'Price History'!C158/'Price History'!C157-1),"")</f>
        <v>-0.00818916982290918</v>
      </c>
      <c r="D157" s="142" t="n">
        <f aca="false">IFERROR(IF(OR(NOT(ISNUMBER('Price History'!D158)),NOT(ISNUMBER('Price History'!D157)),'Price History'!D157=0),"",'Price History'!D158/'Price History'!D157-1),"")</f>
        <v>0.011036694651448</v>
      </c>
      <c r="E157" s="142" t="n">
        <f aca="false">IFERROR(IF(OR(NOT(ISNUMBER('Price History'!E158)),NOT(ISNUMBER('Price History'!E157)),'Price History'!E157=0),"",'Price History'!E158/'Price History'!E157-1),"")</f>
        <v>-0.0295284146473976</v>
      </c>
      <c r="F157" s="142" t="n">
        <f aca="false">IFERROR(IF(OR(NOT(ISNUMBER('Price History'!F158)),NOT(ISNUMBER('Price History'!F157)),'Price History'!F157=0),"",'Price History'!F158/'Price History'!F157-1),"")</f>
        <v>-0.0242673992673993</v>
      </c>
      <c r="G157" s="142" t="n">
        <f aca="false">IFERROR(IF(OR(NOT(ISNUMBER('Price History'!G158)),NOT(ISNUMBER('Price History'!G157)),'Price History'!G157=0),"",'Price History'!G158/'Price History'!G157-1),"")</f>
        <v>0.0573088754699784</v>
      </c>
      <c r="H157" s="142" t="n">
        <f aca="false">IFERROR(IF(OR(NOT(ISNUMBER('Price History'!H158)),NOT(ISNUMBER('Price History'!H157)),'Price History'!H157=0),"",'Price History'!H158/'Price History'!H157-1),"")</f>
        <v>0.0897562335184272</v>
      </c>
      <c r="I157" s="142" t="n">
        <f aca="false">IFERROR(IF(OR(NOT(ISNUMBER('Price History'!I158)),NOT(ISNUMBER('Price History'!I157)),'Price History'!I157=0),"",'Price History'!I158/'Price History'!I157-1),"")</f>
        <v>0.0588560121485435</v>
      </c>
      <c r="J157" s="142" t="n">
        <f aca="false">IFERROR(IF(OR(NOT(ISNUMBER('Price History'!J158)),NOT(ISNUMBER('Price History'!J157)),'Price History'!J157=0),"",'Price History'!J158/'Price History'!J157-1),"")</f>
        <v>-0.0238555770470665</v>
      </c>
      <c r="K157" s="142" t="n">
        <f aca="false">IFERROR(IF(OR(NOT(ISNUMBER('Price History'!K158)),NOT(ISNUMBER('Price History'!K157)),'Price History'!K157=0),"",'Price History'!K158/'Price History'!K157-1),"")</f>
        <v>-0.0642009769713886</v>
      </c>
      <c r="L157" s="142" t="n">
        <f aca="false">IFERROR(IF(OR(NOT(ISNUMBER('Price History'!L158)),NOT(ISNUMBER('Price History'!L157)),'Price History'!L157=0),"",'Price History'!L158/'Price History'!L157-1),"")</f>
        <v>0.0272814601344862</v>
      </c>
      <c r="M157" s="142" t="n">
        <f aca="false">IFERROR(IF(OR(NOT(ISNUMBER('Price History'!M158)),NOT(ISNUMBER('Price History'!M157)),'Price History'!M157=0),"",'Price History'!M158/'Price History'!M157-1),"")</f>
        <v>0.0911991284724925</v>
      </c>
      <c r="N157" s="142" t="n">
        <f aca="false">IFERROR(IF(OR(NOT(ISNUMBER('Price History'!N158)),NOT(ISNUMBER('Price History'!N157)),'Price History'!N157=0),"",'Price History'!N158/'Price History'!N157-1),"")</f>
        <v>0.0081781092506783</v>
      </c>
      <c r="O157" s="142" t="n">
        <f aca="false">IFERROR(IF(OR(NOT(ISNUMBER('Price History'!O158)),NOT(ISNUMBER('Price History'!O157)),'Price History'!O157=0),"",'Price History'!O158/'Price History'!O157-1),"")</f>
        <v>0.0108660914030041</v>
      </c>
      <c r="P157" s="142" t="n">
        <f aca="false">IFERROR(IF(OR(NOT(ISNUMBER('Price History'!P158)),NOT(ISNUMBER('Price History'!P157)),'Price History'!P157=0),"",'Price History'!P158/'Price History'!P157-1),"")</f>
        <v>0.00276991259386916</v>
      </c>
      <c r="Q157" s="142" t="n">
        <f aca="false">IFERROR(IF(OR(NOT(ISNUMBER('Price History'!Q158)),NOT(ISNUMBER('Price History'!Q157)),'Price History'!Q157=0),"",'Price History'!Q158/'Price History'!Q157-1),"")</f>
        <v>0.000431034482758719</v>
      </c>
      <c r="R157" s="142" t="n">
        <f aca="false">IFERROR(IF(OR(NOT(ISNUMBER('Price History'!R158)),NOT(ISNUMBER('Price History'!R157)),'Price History'!R157=0),"",'Price History'!R158/'Price History'!R157-1),"")</f>
        <v>0.00678886625933473</v>
      </c>
      <c r="S157" s="142" t="n">
        <f aca="false">IFERROR(IF(OR(NOT(ISNUMBER('Price History'!S158)),NOT(ISNUMBER('Price History'!S157)),'Price History'!S157=0),"",'Price History'!S158/'Price History'!S157-1),"")</f>
        <v>0.0200627814931076</v>
      </c>
      <c r="T157" s="142" t="n">
        <f aca="false">IFERROR(IF(OR(NOT(ISNUMBER('Price History'!T158)),NOT(ISNUMBER('Price History'!T157)),'Price History'!T157=0),"",'Price History'!T158/'Price History'!T157-1),"")</f>
        <v>-0.00666066606660665</v>
      </c>
      <c r="U157" s="142" t="n">
        <f aca="false">IFERROR(IF(OR(NOT(ISNUMBER('Price History'!U158)),NOT(ISNUMBER('Price History'!U157)),'Price History'!U157=0),"",'Price History'!U158/'Price History'!U157-1),"")</f>
        <v>-0.00288850375505467</v>
      </c>
      <c r="V157" s="143" t="n">
        <f aca="false">IFERROR(IF(OR(NOT(ISNUMBER('Price History'!V158)),NOT(ISNUMBER('Price History'!V157)),'Price History'!V157=0),"",'Price History'!V158/'Price History'!V157-1),"")</f>
        <v>-0.0171121593291406</v>
      </c>
      <c r="W157" s="144" t="n">
        <f aca="false">IFERROR('Price History'!B3+(INDEX('Price History'!B:B,MATCH(9.99E+307,'Returns (Calc)'!$A:$A)+1)-'Price History'!B3)*(ROW()-3)/(MATCH(9.99E+307,'Returns (Calc)'!$A:$A)-3),"")</f>
        <v>245.062151898734</v>
      </c>
      <c r="X157" s="144" t="n">
        <f aca="false">IFERROR('Price History'!C3+(INDEX('Price History'!C:C,MATCH(9.99E+307,'Returns (Calc)'!$A:$A)+1)-'Price History'!C3)*(ROW()-3)/(MATCH(9.99E+307,'Returns (Calc)'!$A:$A)-3),"")</f>
        <v>203.269746835443</v>
      </c>
      <c r="Y157" s="144" t="n">
        <f aca="false">IFERROR('Price History'!D3+(INDEX('Price History'!D:D,MATCH(9.99E+307,'Returns (Calc)'!$A:$A)+1)-'Price History'!D3)*(ROW()-3)/(MATCH(9.99E+307,'Returns (Calc)'!$A:$A)-3),"")</f>
        <v>1834.77075949367</v>
      </c>
      <c r="Z157" s="144" t="n">
        <f aca="false">IFERROR('Price History'!E3+(INDEX('Price History'!E:E,MATCH(9.99E+307,'Returns (Calc)'!$A:$A)+1)-'Price History'!E3)*(ROW()-3)/(MATCH(9.99E+307,'Returns (Calc)'!$A:$A)-3),"")</f>
        <v>348.225063291139</v>
      </c>
      <c r="AA157" s="144" t="n">
        <f aca="false">IFERROR('Price History'!F3+(INDEX('Price History'!F:F,MATCH(9.99E+307,'Returns (Calc)'!$A:$A)+1)-'Price History'!F3)*(ROW()-3)/(MATCH(9.99E+307,'Returns (Calc)'!$A:$A)-3),"")</f>
        <v>264.250632911392</v>
      </c>
      <c r="AB157" s="144" t="n">
        <f aca="false">IFERROR('Price History'!G3+(INDEX('Price History'!G:G,MATCH(9.99E+307,'Returns (Calc)'!$A:$A)+1)-'Price History'!G3)*(ROW()-3)/(MATCH(9.99E+307,'Returns (Calc)'!$A:$A)-3),"")</f>
        <v>202.775063291139</v>
      </c>
      <c r="AC157" s="144" t="n">
        <f aca="false">IFERROR('Price History'!H3+(INDEX('Price History'!H:H,MATCH(9.99E+307,'Returns (Calc)'!$A:$A)+1)-'Price History'!H3)*(ROW()-3)/(MATCH(9.99E+307,'Returns (Calc)'!$A:$A)-3),"")</f>
        <v>1049.42721518987</v>
      </c>
      <c r="AD157" s="144" t="n">
        <f aca="false">IFERROR('Price History'!I3+(INDEX('Price History'!I:I,MATCH(9.99E+307,'Returns (Calc)'!$A:$A)+1)-'Price History'!I3)*(ROW()-3)/(MATCH(9.99E+307,'Returns (Calc)'!$A:$A)-3),"")</f>
        <v>229.135316455696</v>
      </c>
      <c r="AE157" s="144" t="n">
        <f aca="false">IFERROR('Price History'!J3+(INDEX('Price History'!J:J,MATCH(9.99E+307,'Returns (Calc)'!$A:$A)+1)-'Price History'!J3)*(ROW()-3)/(MATCH(9.99E+307,'Returns (Calc)'!$A:$A)-3),"")</f>
        <v>128.477848101266</v>
      </c>
      <c r="AF157" s="144" t="n">
        <f aca="false">IFERROR('Price History'!K3+(INDEX('Price History'!K:K,MATCH(9.99E+307,'Returns (Calc)'!$A:$A)+1)-'Price History'!K3)*(ROW()-3)/(MATCH(9.99E+307,'Returns (Calc)'!$A:$A)-3),"")</f>
        <v>184.359620253165</v>
      </c>
      <c r="AG157" s="144" t="n">
        <f aca="false">IFERROR('Price History'!L3+(INDEX('Price History'!L:L,MATCH(9.99E+307,'Returns (Calc)'!$A:$A)+1)-'Price History'!L3)*(ROW()-3)/(MATCH(9.99E+307,'Returns (Calc)'!$A:$A)-3),"")</f>
        <v>462.981772151899</v>
      </c>
      <c r="AH157" s="144" t="n">
        <f aca="false">IFERROR('Price History'!M3+(INDEX('Price History'!M:M,MATCH(9.99E+307,'Returns (Calc)'!$A:$A)+1)-'Price History'!M3)*(ROW()-3)/(MATCH(9.99E+307,'Returns (Calc)'!$A:$A)-3),"")</f>
        <v>246.758227848101</v>
      </c>
      <c r="AI157" s="144" t="n">
        <f aca="false">IFERROR('Price History'!N3+(INDEX('Price History'!N:N,MATCH(9.99E+307,'Returns (Calc)'!$A:$A)+1)-'Price History'!N3)*(ROW()-3)/(MATCH(9.99E+307,'Returns (Calc)'!$A:$A)-3),"")</f>
        <v>500.784936708861</v>
      </c>
      <c r="AJ157" s="144" t="n">
        <f aca="false">IFERROR('Price History'!O3+(INDEX('Price History'!O:O,MATCH(9.99E+307,'Returns (Calc)'!$A:$A)+1)-'Price History'!O3)*(ROW()-3)/(MATCH(9.99E+307,'Returns (Calc)'!$A:$A)-3),"")</f>
        <v>118.897848101266</v>
      </c>
      <c r="AK157" s="144" t="n">
        <f aca="false">IFERROR('Price History'!Q3+(INDEX('Price History'!Q:Q,MATCH(9.99E+307,'Returns (Calc)'!$A:$A)+1)-'Price History'!Q3)*(ROW()-3)/(MATCH(9.99E+307,'Returns (Calc)'!$A:$A)-3),"")</f>
        <v>67.6625316455696</v>
      </c>
      <c r="AL157" s="144" t="n">
        <f aca="false">IFERROR('Price History'!R3+(INDEX('Price History'!R:R,MATCH(9.99E+307,'Returns (Calc)'!$A:$A)+1)-'Price History'!R3)*(ROW()-3)/(MATCH(9.99E+307,'Returns (Calc)'!$A:$A)-3),"")</f>
        <v>60.3675949367089</v>
      </c>
      <c r="AM157" s="144" t="n">
        <f aca="false">IFERROR('Price History'!S3+(INDEX('Price History'!S:S,MATCH(9.99E+307,'Returns (Calc)'!$A:$A)+1)-'Price History'!S3)*(ROW()-3)/(MATCH(9.99E+307,'Returns (Calc)'!$A:$A)-3),"")</f>
        <v>150.809746835443</v>
      </c>
      <c r="AN157" s="144" t="n">
        <f aca="false">IFERROR('Price History'!T3+(INDEX('Price History'!T:T,MATCH(9.99E+307,'Returns (Calc)'!$A:$A)+1)-'Price History'!T3)*(ROW()-3)/(MATCH(9.99E+307,'Returns (Calc)'!$A:$A)-3),"")</f>
        <v>51.1470886075949</v>
      </c>
      <c r="AO157" s="145" t="n">
        <f aca="false">IFERROR('Price History'!V3+(INDEX('Price History'!V:V,MATCH(9.99E+307,'Returns (Calc)'!$A:$A)+1)-'Price History'!V3)*(ROW()-3)/(MATCH(9.99E+307,'Returns (Calc)'!$A:$A)-3),"")</f>
        <v>357.494683544304</v>
      </c>
      <c r="AP157" s="143" t="n">
        <f aca="false">IFERROR(IF(OR(NOT(ISNUMBER('Price History'!W158)),NOT(ISNUMBER('Price History'!W157)),'Price History'!W157=0),"",'Price History'!W158/'Price History'!W157-1),"")</f>
        <v>-0.000122443981878329</v>
      </c>
      <c r="AQ157" s="143" t="n">
        <f aca="false">IFERROR(IF(OR(NOT(ISNUMBER('Price History'!X158)),NOT(ISNUMBER('Price History'!X157)),'Price History'!X157=0),"",'Price History'!X158/'Price History'!X157-1),"")</f>
        <v>0.00652498135719615</v>
      </c>
      <c r="AR157" s="143" t="n">
        <f aca="false">IFERROR(IF(OR(NOT(ISNUMBER('Price History'!Y158)),NOT(ISNUMBER('Price History'!Y157)),'Price History'!Y157=0),"",'Price History'!Y158/'Price History'!Y157-1),"")</f>
        <v>-0.00350446819695116</v>
      </c>
      <c r="AS157" s="143" t="n">
        <f aca="false">IFERROR(IF(OR(NOT(ISNUMBER('Price History'!Z158)),NOT(ISNUMBER('Price History'!Z157)),'Price History'!Z157=0),"",'Price History'!Z158/'Price History'!Z157-1),"")</f>
        <v>-0.0159378831221904</v>
      </c>
      <c r="AT157" s="143" t="n">
        <f aca="false">IFERROR(IF(OR(NOT(ISNUMBER('Price History'!AA158)),NOT(ISNUMBER('Price History'!AA157)),'Price History'!AA157=0),"",'Price History'!AA158/'Price History'!AA157-1),"")</f>
        <v>-0.0424620655898189</v>
      </c>
    </row>
    <row r="158" customFormat="false" ht="15" hidden="false" customHeight="true" outlineLevel="0" collapsed="false">
      <c r="A158" s="141" t="n">
        <f aca="false">IF('Price History'!A159="","",'Price History'!A159)</f>
        <v>46276</v>
      </c>
      <c r="B158" s="142" t="n">
        <f aca="false">IFERROR(IF(OR(NOT(ISNUMBER('Price History'!B159)),NOT(ISNUMBER('Price History'!B158)),'Price History'!B158=0),"",'Price History'!B159/'Price History'!B158-1),"")</f>
        <v>-0.0535814791189824</v>
      </c>
      <c r="C158" s="142" t="n">
        <f aca="false">IFERROR(IF(OR(NOT(ISNUMBER('Price History'!C159)),NOT(ISNUMBER('Price History'!C158)),'Price History'!C158=0),"",'Price History'!C159/'Price History'!C158-1),"")</f>
        <v>0.0299824543296523</v>
      </c>
      <c r="D158" s="142" t="n">
        <f aca="false">IFERROR(IF(OR(NOT(ISNUMBER('Price History'!D159)),NOT(ISNUMBER('Price History'!D158)),'Price History'!D158=0),"",'Price History'!D159/'Price History'!D158-1),"")</f>
        <v>-0.00966831498413889</v>
      </c>
      <c r="E158" s="142" t="n">
        <f aca="false">IFERROR(IF(OR(NOT(ISNUMBER('Price History'!E159)),NOT(ISNUMBER('Price History'!E158)),'Price History'!E158=0),"",'Price History'!E159/'Price History'!E158-1),"")</f>
        <v>0.0114205738278517</v>
      </c>
      <c r="F158" s="142" t="n">
        <f aca="false">IFERROR(IF(OR(NOT(ISNUMBER('Price History'!F159)),NOT(ISNUMBER('Price History'!F158)),'Price History'!F158=0),"",'Price History'!F159/'Price History'!F158-1),"")</f>
        <v>-0.0298451431252932</v>
      </c>
      <c r="G158" s="142" t="n">
        <f aca="false">IFERROR(IF(OR(NOT(ISNUMBER('Price History'!G159)),NOT(ISNUMBER('Price History'!G158)),'Price History'!G158=0),"",'Price History'!G159/'Price History'!G158-1),"")</f>
        <v>-0.0267241379310346</v>
      </c>
      <c r="H158" s="142" t="n">
        <f aca="false">IFERROR(IF(OR(NOT(ISNUMBER('Price History'!H159)),NOT(ISNUMBER('Price History'!H158)),'Price History'!H158=0),"",'Price History'!H159/'Price History'!H158-1),"")</f>
        <v>-0.0406555248428571</v>
      </c>
      <c r="I158" s="142" t="n">
        <f aca="false">IFERROR(IF(OR(NOT(ISNUMBER('Price History'!I159)),NOT(ISNUMBER('Price History'!I158)),'Price History'!I158=0),"",'Price History'!I159/'Price History'!I158-1),"")</f>
        <v>-0.0513255106475445</v>
      </c>
      <c r="J158" s="142" t="n">
        <f aca="false">IFERROR(IF(OR(NOT(ISNUMBER('Price History'!J159)),NOT(ISNUMBER('Price History'!J158)),'Price History'!J158=0),"",'Price History'!J159/'Price History'!J158-1),"")</f>
        <v>-0.011595479230882</v>
      </c>
      <c r="K158" s="142" t="n">
        <f aca="false">IFERROR(IF(OR(NOT(ISNUMBER('Price History'!K159)),NOT(ISNUMBER('Price History'!K158)),'Price History'!K158=0),"",'Price History'!K159/'Price History'!K158-1),"")</f>
        <v>-0.0407273561635979</v>
      </c>
      <c r="L158" s="142" t="n">
        <f aca="false">IFERROR(IF(OR(NOT(ISNUMBER('Price History'!L159)),NOT(ISNUMBER('Price History'!L158)),'Price History'!L158=0),"",'Price History'!L159/'Price History'!L158-1),"")</f>
        <v>0.0100991210024313</v>
      </c>
      <c r="M158" s="142" t="n">
        <f aca="false">IFERROR(IF(OR(NOT(ISNUMBER('Price History'!M159)),NOT(ISNUMBER('Price History'!M158)),'Price History'!M158=0),"",'Price History'!M159/'Price History'!M158-1),"")</f>
        <v>-0.0836482920915638</v>
      </c>
      <c r="N158" s="142" t="n">
        <f aca="false">IFERROR(IF(OR(NOT(ISNUMBER('Price History'!N159)),NOT(ISNUMBER('Price History'!N158)),'Price History'!N158=0),"",'Price History'!N159/'Price History'!N158-1),"")</f>
        <v>-0.056178129348861</v>
      </c>
      <c r="O158" s="142" t="n">
        <f aca="false">IFERROR(IF(OR(NOT(ISNUMBER('Price History'!O159)),NOT(ISNUMBER('Price History'!O158)),'Price History'!O158=0),"",'Price History'!O159/'Price History'!O158-1),"")</f>
        <v>-0.0159658552007588</v>
      </c>
      <c r="P158" s="142" t="n">
        <f aca="false">IFERROR(IF(OR(NOT(ISNUMBER('Price History'!P159)),NOT(ISNUMBER('Price History'!P158)),'Price History'!P158=0),"",'Price History'!P159/'Price History'!P158-1),"")</f>
        <v>-0.01154011417347</v>
      </c>
      <c r="Q158" s="142" t="n">
        <f aca="false">IFERROR(IF(OR(NOT(ISNUMBER('Price History'!Q159)),NOT(ISNUMBER('Price History'!Q158)),'Price History'!Q158=0),"",'Price History'!Q159/'Price History'!Q158-1),"")</f>
        <v>-0.00689358035329579</v>
      </c>
      <c r="R158" s="142" t="n">
        <f aca="false">IFERROR(IF(OR(NOT(ISNUMBER('Price History'!R159)),NOT(ISNUMBER('Price History'!R158)),'Price History'!R158=0),"",'Price History'!R159/'Price History'!R158-1),"")</f>
        <v>-0.00151719487525293</v>
      </c>
      <c r="S158" s="142" t="n">
        <f aca="false">IFERROR(IF(OR(NOT(ISNUMBER('Price History'!S159)),NOT(ISNUMBER('Price History'!S158)),'Price History'!S158=0),"",'Price History'!S159/'Price History'!S158-1),"")</f>
        <v>-0.00943270002675944</v>
      </c>
      <c r="T158" s="142" t="n">
        <f aca="false">IFERROR(IF(OR(NOT(ISNUMBER('Price History'!T159)),NOT(ISNUMBER('Price History'!T158)),'Price History'!T158=0),"",'Price History'!T159/'Price History'!T158-1),"")</f>
        <v>-0.0235592606016672</v>
      </c>
      <c r="U158" s="142" t="n">
        <f aca="false">IFERROR(IF(OR(NOT(ISNUMBER('Price History'!U159)),NOT(ISNUMBER('Price History'!U158)),'Price History'!U158=0),"",'Price History'!U159/'Price History'!U158-1),"")</f>
        <v>-0.0194090382387022</v>
      </c>
      <c r="V158" s="143" t="n">
        <f aca="false">IFERROR(IF(OR(NOT(ISNUMBER('Price History'!V159)),NOT(ISNUMBER('Price History'!V158)),'Price History'!V158=0),"",'Price History'!V159/'Price History'!V158-1),"")</f>
        <v>-0.0123177006958701</v>
      </c>
      <c r="W158" s="145" t="n">
        <f aca="false">IFERROR('Price History'!B3+(INDEX('Price History'!B:B,MATCH(9.99E+307,'Returns (Calc)'!$A:$A)+1)-'Price History'!B3)*(ROW()-3)/(MATCH(9.99E+307,'Returns (Calc)'!$A:$A)-3),"")</f>
        <v>243.219113924051</v>
      </c>
      <c r="X158" s="145" t="n">
        <f aca="false">IFERROR('Price History'!C3+(INDEX('Price History'!C:C,MATCH(9.99E+307,'Returns (Calc)'!$A:$A)+1)-'Price History'!C3)*(ROW()-3)/(MATCH(9.99E+307,'Returns (Calc)'!$A:$A)-3),"")</f>
        <v>204.289810126582</v>
      </c>
      <c r="Y158" s="145" t="n">
        <f aca="false">IFERROR('Price History'!D3+(INDEX('Price History'!D:D,MATCH(9.99E+307,'Returns (Calc)'!$A:$A)+1)-'Price History'!D3)*(ROW()-3)/(MATCH(9.99E+307,'Returns (Calc)'!$A:$A)-3),"")</f>
        <v>1842.90556962025</v>
      </c>
      <c r="Z158" s="145" t="n">
        <f aca="false">IFERROR('Price History'!E3+(INDEX('Price History'!E:E,MATCH(9.99E+307,'Returns (Calc)'!$A:$A)+1)-'Price History'!E3)*(ROW()-3)/(MATCH(9.99E+307,'Returns (Calc)'!$A:$A)-3),"")</f>
        <v>349.953797468354</v>
      </c>
      <c r="AA158" s="145" t="n">
        <f aca="false">IFERROR('Price History'!F3+(INDEX('Price History'!F:F,MATCH(9.99E+307,'Returns (Calc)'!$A:$A)+1)-'Price History'!F3)*(ROW()-3)/(MATCH(9.99E+307,'Returns (Calc)'!$A:$A)-3),"")</f>
        <v>265.697974683544</v>
      </c>
      <c r="AB158" s="145" t="n">
        <f aca="false">IFERROR('Price History'!G3+(INDEX('Price History'!G:G,MATCH(9.99E+307,'Returns (Calc)'!$A:$A)+1)-'Price History'!G3)*(ROW()-3)/(MATCH(9.99E+307,'Returns (Calc)'!$A:$A)-3),"")</f>
        <v>203.803797468354</v>
      </c>
      <c r="AC158" s="145" t="n">
        <f aca="false">IFERROR('Price History'!H3+(INDEX('Price History'!H:H,MATCH(9.99E+307,'Returns (Calc)'!$A:$A)+1)-'Price History'!H3)*(ROW()-3)/(MATCH(9.99E+307,'Returns (Calc)'!$A:$A)-3),"")</f>
        <v>1055.79291139241</v>
      </c>
      <c r="AD158" s="145" t="n">
        <f aca="false">IFERROR('Price History'!I3+(INDEX('Price History'!I:I,MATCH(9.99E+307,'Returns (Calc)'!$A:$A)+1)-'Price History'!I3)*(ROW()-3)/(MATCH(9.99E+307,'Returns (Calc)'!$A:$A)-3),"")</f>
        <v>230.338987341772</v>
      </c>
      <c r="AE158" s="145" t="n">
        <f aca="false">IFERROR('Price History'!J3+(INDEX('Price History'!J:J,MATCH(9.99E+307,'Returns (Calc)'!$A:$A)+1)-'Price History'!J3)*(ROW()-3)/(MATCH(9.99E+307,'Returns (Calc)'!$A:$A)-3),"")</f>
        <v>128.585886075949</v>
      </c>
      <c r="AF158" s="145" t="n">
        <f aca="false">IFERROR('Price History'!K3+(INDEX('Price History'!K:K,MATCH(9.99E+307,'Returns (Calc)'!$A:$A)+1)-'Price History'!K3)*(ROW()-3)/(MATCH(9.99E+307,'Returns (Calc)'!$A:$A)-3),"")</f>
        <v>185.457215189873</v>
      </c>
      <c r="AG158" s="145" t="n">
        <f aca="false">IFERROR('Price History'!L3+(INDEX('Price History'!L:L,MATCH(9.99E+307,'Returns (Calc)'!$A:$A)+1)-'Price History'!L3)*(ROW()-3)/(MATCH(9.99E+307,'Returns (Calc)'!$A:$A)-3),"")</f>
        <v>465.431329113924</v>
      </c>
      <c r="AH158" s="145" t="n">
        <f aca="false">IFERROR('Price History'!M3+(INDEX('Price History'!M:M,MATCH(9.99E+307,'Returns (Calc)'!$A:$A)+1)-'Price History'!M3)*(ROW()-3)/(MATCH(9.99E+307,'Returns (Calc)'!$A:$A)-3),"")</f>
        <v>248.113670886076</v>
      </c>
      <c r="AI158" s="145" t="n">
        <f aca="false">IFERROR('Price History'!N3+(INDEX('Price History'!N:N,MATCH(9.99E+307,'Returns (Calc)'!$A:$A)+1)-'Price History'!N3)*(ROW()-3)/(MATCH(9.99E+307,'Returns (Calc)'!$A:$A)-3),"")</f>
        <v>501.771202531646</v>
      </c>
      <c r="AJ158" s="145" t="n">
        <f aca="false">IFERROR('Price History'!O3+(INDEX('Price History'!O:O,MATCH(9.99E+307,'Returns (Calc)'!$A:$A)+1)-'Price History'!O3)*(ROW()-3)/(MATCH(9.99E+307,'Returns (Calc)'!$A:$A)-3),"")</f>
        <v>119.180886075949</v>
      </c>
      <c r="AK158" s="145" t="n">
        <f aca="false">IFERROR('Price History'!Q3+(INDEX('Price History'!Q:Q,MATCH(9.99E+307,'Returns (Calc)'!$A:$A)+1)-'Price History'!Q3)*(ROW()-3)/(MATCH(9.99E+307,'Returns (Calc)'!$A:$A)-3),"")</f>
        <v>68.1018987341772</v>
      </c>
      <c r="AL158" s="145" t="n">
        <f aca="false">IFERROR('Price History'!R3+(INDEX('Price History'!R:R,MATCH(9.99E+307,'Returns (Calc)'!$A:$A)+1)-'Price History'!R3)*(ROW()-3)/(MATCH(9.99E+307,'Returns (Calc)'!$A:$A)-3),"")</f>
        <v>60.5356962025316</v>
      </c>
      <c r="AM158" s="145" t="n">
        <f aca="false">IFERROR('Price History'!S3+(INDEX('Price History'!S:S,MATCH(9.99E+307,'Returns (Calc)'!$A:$A)+1)-'Price History'!S3)*(ROW()-3)/(MATCH(9.99E+307,'Returns (Calc)'!$A:$A)-3),"")</f>
        <v>151.414810126582</v>
      </c>
      <c r="AN158" s="145" t="n">
        <f aca="false">IFERROR('Price History'!T3+(INDEX('Price History'!T:T,MATCH(9.99E+307,'Returns (Calc)'!$A:$A)+1)-'Price History'!T3)*(ROW()-3)/(MATCH(9.99E+307,'Returns (Calc)'!$A:$A)-3),"")</f>
        <v>51.3153164556962</v>
      </c>
      <c r="AO158" s="145" t="n">
        <f aca="false">IFERROR('Price History'!V3+(INDEX('Price History'!V:V,MATCH(9.99E+307,'Returns (Calc)'!$A:$A)+1)-'Price History'!V3)*(ROW()-3)/(MATCH(9.99E+307,'Returns (Calc)'!$A:$A)-3),"")</f>
        <v>358.286012658228</v>
      </c>
      <c r="AP158" s="143" t="n">
        <f aca="false">IFERROR(IF(OR(NOT(ISNUMBER('Price History'!W159)),NOT(ISNUMBER('Price History'!W158)),'Price History'!W158=0),"",'Price History'!W159/'Price History'!W158-1),"")</f>
        <v>-0.00795983345579221</v>
      </c>
      <c r="AQ158" s="143" t="n">
        <f aca="false">IFERROR(IF(OR(NOT(ISNUMBER('Price History'!X159)),NOT(ISNUMBER('Price History'!X158)),'Price History'!X158=0),"",'Price History'!X159/'Price History'!X158-1),"")</f>
        <v>-0.0116688275606595</v>
      </c>
      <c r="AR158" s="143" t="n">
        <f aca="false">IFERROR(IF(OR(NOT(ISNUMBER('Price History'!Y159)),NOT(ISNUMBER('Price History'!Y158)),'Price History'!Y158=0),"",'Price History'!Y159/'Price History'!Y158-1),"")</f>
        <v>-0.00984701951819933</v>
      </c>
      <c r="AS158" s="143" t="n">
        <f aca="false">IFERROR(IF(OR(NOT(ISNUMBER('Price History'!Z159)),NOT(ISNUMBER('Price History'!Z158)),'Price History'!Z158=0),"",'Price History'!Z159/'Price History'!Z158-1),"")</f>
        <v>-0.0399264356905552</v>
      </c>
      <c r="AT158" s="143" t="n">
        <f aca="false">IFERROR(IF(OR(NOT(ISNUMBER('Price History'!AA159)),NOT(ISNUMBER('Price History'!AA158)),'Price History'!AA158=0),"",'Price History'!AA159/'Price History'!AA158-1),"")</f>
        <v>-0.0108626198083066</v>
      </c>
    </row>
    <row r="159" customFormat="false" ht="15" hidden="false" customHeight="true" outlineLevel="0" collapsed="false">
      <c r="A159" s="141" t="n">
        <f aca="false">IF('Price History'!A160="","",'Price History'!A160)</f>
        <v>46283</v>
      </c>
      <c r="B159" s="142" t="n">
        <f aca="false">IFERROR(IF(OR(NOT(ISNUMBER('Price History'!B160)),NOT(ISNUMBER('Price History'!B159)),'Price History'!B159=0),"",'Price History'!B160/'Price History'!B159-1),"")</f>
        <v>-0.0131229433453594</v>
      </c>
      <c r="C159" s="142" t="n">
        <f aca="false">IFERROR(IF(OR(NOT(ISNUMBER('Price History'!C160)),NOT(ISNUMBER('Price History'!C159)),'Price History'!C159=0),"",'Price History'!C160/'Price History'!C159-1),"")</f>
        <v>-0.00100205421113286</v>
      </c>
      <c r="D159" s="142" t="n">
        <f aca="false">IFERROR(IF(OR(NOT(ISNUMBER('Price History'!D160)),NOT(ISNUMBER('Price History'!D159)),'Price History'!D159=0),"",'Price History'!D160/'Price History'!D159-1),"")</f>
        <v>-0.0108225872931754</v>
      </c>
      <c r="E159" s="142" t="n">
        <f aca="false">IFERROR(IF(OR(NOT(ISNUMBER('Price History'!E160)),NOT(ISNUMBER('Price History'!E159)),'Price History'!E159=0),"",'Price History'!E160/'Price History'!E159-1),"")</f>
        <v>-0.0120942075111394</v>
      </c>
      <c r="F159" s="142" t="n">
        <f aca="false">IFERROR(IF(OR(NOT(ISNUMBER('Price History'!F160)),NOT(ISNUMBER('Price History'!F159)),'Price History'!F159=0),"",'Price History'!F160/'Price History'!F159-1),"")</f>
        <v>0.14951146367418</v>
      </c>
      <c r="G159" s="142" t="n">
        <f aca="false">IFERROR(IF(OR(NOT(ISNUMBER('Price History'!G160)),NOT(ISNUMBER('Price History'!G159)),'Price History'!G159=0),"",'Price History'!G160/'Price History'!G159-1),"")</f>
        <v>-0.0202059344552701</v>
      </c>
      <c r="H159" s="142" t="n">
        <f aca="false">IFERROR(IF(OR(NOT(ISNUMBER('Price History'!H160)),NOT(ISNUMBER('Price History'!H159)),'Price History'!H159=0),"",'Price History'!H160/'Price History'!H159-1),"")</f>
        <v>0.0415684022722145</v>
      </c>
      <c r="I159" s="142" t="n">
        <f aca="false">IFERROR(IF(OR(NOT(ISNUMBER('Price History'!I160)),NOT(ISNUMBER('Price History'!I159)),'Price History'!I159=0),"",'Price History'!I160/'Price History'!I159-1),"")</f>
        <v>0.0182326263227817</v>
      </c>
      <c r="J159" s="142" t="n">
        <f aca="false">IFERROR(IF(OR(NOT(ISNUMBER('Price History'!J160)),NOT(ISNUMBER('Price History'!J159)),'Price History'!J159=0),"",'Price History'!J160/'Price History'!J159-1),"")</f>
        <v>0.00118800118800122</v>
      </c>
      <c r="K159" s="142" t="n">
        <f aca="false">IFERROR(IF(OR(NOT(ISNUMBER('Price History'!K160)),NOT(ISNUMBER('Price History'!K159)),'Price History'!K159=0),"",'Price History'!K160/'Price History'!K159-1),"")</f>
        <v>0.0622495963642886</v>
      </c>
      <c r="L159" s="142" t="n">
        <f aca="false">IFERROR(IF(OR(NOT(ISNUMBER('Price History'!L160)),NOT(ISNUMBER('Price History'!L159)),'Price History'!L159=0),"",'Price History'!L160/'Price History'!L159-1),"")</f>
        <v>0.00599426032216255</v>
      </c>
      <c r="M159" s="142" t="n">
        <f aca="false">IFERROR(IF(OR(NOT(ISNUMBER('Price History'!M160)),NOT(ISNUMBER('Price History'!M159)),'Price History'!M159=0),"",'Price History'!M160/'Price History'!M159-1),"")</f>
        <v>-0.0296108949416343</v>
      </c>
      <c r="N159" s="142" t="n">
        <f aca="false">IFERROR(IF(OR(NOT(ISNUMBER('Price History'!N160)),NOT(ISNUMBER('Price History'!N159)),'Price History'!N159=0),"",'Price History'!N160/'Price History'!N159-1),"")</f>
        <v>-0.0137746391432564</v>
      </c>
      <c r="O159" s="142" t="n">
        <f aca="false">IFERROR(IF(OR(NOT(ISNUMBER('Price History'!O160)),NOT(ISNUMBER('Price History'!O159)),'Price History'!O159=0),"",'Price History'!O160/'Price History'!O159-1),"")</f>
        <v>-0.0204016064257029</v>
      </c>
      <c r="P159" s="142" t="n">
        <f aca="false">IFERROR(IF(OR(NOT(ISNUMBER('Price History'!P160)),NOT(ISNUMBER('Price History'!P159)),'Price History'!P159=0),"",'Price History'!P160/'Price History'!P159-1),"")</f>
        <v>-0.0173259641060671</v>
      </c>
      <c r="Q159" s="142" t="n">
        <f aca="false">IFERROR(IF(OR(NOT(ISNUMBER('Price History'!Q160)),NOT(ISNUMBER('Price History'!Q159)),'Price History'!Q159=0),"",'Price History'!Q160/'Price History'!Q159-1),"")</f>
        <v>-0.00231381055676083</v>
      </c>
      <c r="R159" s="142" t="n">
        <f aca="false">IFERROR(IF(OR(NOT(ISNUMBER('Price History'!R160)),NOT(ISNUMBER('Price History'!R159)),'Price History'!R159=0),"",'Price History'!R160/'Price History'!R159-1),"")</f>
        <v>0.00759750126625036</v>
      </c>
      <c r="S159" s="142" t="n">
        <f aca="false">IFERROR(IF(OR(NOT(ISNUMBER('Price History'!S160)),NOT(ISNUMBER('Price History'!S159)),'Price History'!S159=0),"",'Price History'!S160/'Price History'!S159-1),"")</f>
        <v>0.00607820625379896</v>
      </c>
      <c r="T159" s="142" t="n">
        <f aca="false">IFERROR(IF(OR(NOT(ISNUMBER('Price History'!T160)),NOT(ISNUMBER('Price History'!T159)),'Price History'!T159=0),"",'Price History'!T160/'Price History'!T159-1),"")</f>
        <v>-0.016332590942836</v>
      </c>
      <c r="U159" s="142" t="n">
        <f aca="false">IFERROR(IF(OR(NOT(ISNUMBER('Price History'!U160)),NOT(ISNUMBER('Price History'!U159)),'Price History'!U159=0),"",'Price History'!U160/'Price History'!U159-1),"")</f>
        <v>-0.0129985228951257</v>
      </c>
      <c r="V159" s="143" t="n">
        <f aca="false">IFERROR(IF(OR(NOT(ISNUMBER('Price History'!V160)),NOT(ISNUMBER('Price History'!V159)),'Price History'!V159=0),"",'Price History'!V160/'Price History'!V159-1),"")</f>
        <v>-0.00583074638952619</v>
      </c>
      <c r="W159" s="145" t="n">
        <f aca="false">IFERROR('Price History'!B3+(INDEX('Price History'!B:B,MATCH(9.99E+307,'Returns (Calc)'!$A:$A)+1)-'Price History'!B3)*(ROW()-3)/(MATCH(9.99E+307,'Returns (Calc)'!$A:$A)-3),"")</f>
        <v>241.376075949367</v>
      </c>
      <c r="X159" s="145" t="n">
        <f aca="false">IFERROR('Price History'!C3+(INDEX('Price History'!C:C,MATCH(9.99E+307,'Returns (Calc)'!$A:$A)+1)-'Price History'!C3)*(ROW()-3)/(MATCH(9.99E+307,'Returns (Calc)'!$A:$A)-3),"")</f>
        <v>205.309873417722</v>
      </c>
      <c r="Y159" s="145" t="n">
        <f aca="false">IFERROR('Price History'!D3+(INDEX('Price History'!D:D,MATCH(9.99E+307,'Returns (Calc)'!$A:$A)+1)-'Price History'!D3)*(ROW()-3)/(MATCH(9.99E+307,'Returns (Calc)'!$A:$A)-3),"")</f>
        <v>1851.04037974684</v>
      </c>
      <c r="Z159" s="145" t="n">
        <f aca="false">IFERROR('Price History'!E3+(INDEX('Price History'!E:E,MATCH(9.99E+307,'Returns (Calc)'!$A:$A)+1)-'Price History'!E3)*(ROW()-3)/(MATCH(9.99E+307,'Returns (Calc)'!$A:$A)-3),"")</f>
        <v>351.68253164557</v>
      </c>
      <c r="AA159" s="145" t="n">
        <f aca="false">IFERROR('Price History'!F3+(INDEX('Price History'!F:F,MATCH(9.99E+307,'Returns (Calc)'!$A:$A)+1)-'Price History'!F3)*(ROW()-3)/(MATCH(9.99E+307,'Returns (Calc)'!$A:$A)-3),"")</f>
        <v>267.145316455696</v>
      </c>
      <c r="AB159" s="145" t="n">
        <f aca="false">IFERROR('Price History'!G3+(INDEX('Price History'!G:G,MATCH(9.99E+307,'Returns (Calc)'!$A:$A)+1)-'Price History'!G3)*(ROW()-3)/(MATCH(9.99E+307,'Returns (Calc)'!$A:$A)-3),"")</f>
        <v>204.83253164557</v>
      </c>
      <c r="AC159" s="145" t="n">
        <f aca="false">IFERROR('Price History'!H3+(INDEX('Price History'!H:H,MATCH(9.99E+307,'Returns (Calc)'!$A:$A)+1)-'Price History'!H3)*(ROW()-3)/(MATCH(9.99E+307,'Returns (Calc)'!$A:$A)-3),"")</f>
        <v>1062.15860759494</v>
      </c>
      <c r="AD159" s="145" t="n">
        <f aca="false">IFERROR('Price History'!I3+(INDEX('Price History'!I:I,MATCH(9.99E+307,'Returns (Calc)'!$A:$A)+1)-'Price History'!I3)*(ROW()-3)/(MATCH(9.99E+307,'Returns (Calc)'!$A:$A)-3),"")</f>
        <v>231.542658227848</v>
      </c>
      <c r="AE159" s="145" t="n">
        <f aca="false">IFERROR('Price History'!J3+(INDEX('Price History'!J:J,MATCH(9.99E+307,'Returns (Calc)'!$A:$A)+1)-'Price History'!J3)*(ROW()-3)/(MATCH(9.99E+307,'Returns (Calc)'!$A:$A)-3),"")</f>
        <v>128.693924050633</v>
      </c>
      <c r="AF159" s="145" t="n">
        <f aca="false">IFERROR('Price History'!K3+(INDEX('Price History'!K:K,MATCH(9.99E+307,'Returns (Calc)'!$A:$A)+1)-'Price History'!K3)*(ROW()-3)/(MATCH(9.99E+307,'Returns (Calc)'!$A:$A)-3),"")</f>
        <v>186.554810126582</v>
      </c>
      <c r="AG159" s="145" t="n">
        <f aca="false">IFERROR('Price History'!L3+(INDEX('Price History'!L:L,MATCH(9.99E+307,'Returns (Calc)'!$A:$A)+1)-'Price History'!L3)*(ROW()-3)/(MATCH(9.99E+307,'Returns (Calc)'!$A:$A)-3),"")</f>
        <v>467.880886075949</v>
      </c>
      <c r="AH159" s="145" t="n">
        <f aca="false">IFERROR('Price History'!M3+(INDEX('Price History'!M:M,MATCH(9.99E+307,'Returns (Calc)'!$A:$A)+1)-'Price History'!M3)*(ROW()-3)/(MATCH(9.99E+307,'Returns (Calc)'!$A:$A)-3),"")</f>
        <v>249.469113924051</v>
      </c>
      <c r="AI159" s="145" t="n">
        <f aca="false">IFERROR('Price History'!N3+(INDEX('Price History'!N:N,MATCH(9.99E+307,'Returns (Calc)'!$A:$A)+1)-'Price History'!N3)*(ROW()-3)/(MATCH(9.99E+307,'Returns (Calc)'!$A:$A)-3),"")</f>
        <v>502.75746835443</v>
      </c>
      <c r="AJ159" s="145" t="n">
        <f aca="false">IFERROR('Price History'!O3+(INDEX('Price History'!O:O,MATCH(9.99E+307,'Returns (Calc)'!$A:$A)+1)-'Price History'!O3)*(ROW()-3)/(MATCH(9.99E+307,'Returns (Calc)'!$A:$A)-3),"")</f>
        <v>119.463924050633</v>
      </c>
      <c r="AK159" s="145" t="n">
        <f aca="false">IFERROR('Price History'!Q3+(INDEX('Price History'!Q:Q,MATCH(9.99E+307,'Returns (Calc)'!$A:$A)+1)-'Price History'!Q3)*(ROW()-3)/(MATCH(9.99E+307,'Returns (Calc)'!$A:$A)-3),"")</f>
        <v>68.5412658227848</v>
      </c>
      <c r="AL159" s="145" t="n">
        <f aca="false">IFERROR('Price History'!R3+(INDEX('Price History'!R:R,MATCH(9.99E+307,'Returns (Calc)'!$A:$A)+1)-'Price History'!R3)*(ROW()-3)/(MATCH(9.99E+307,'Returns (Calc)'!$A:$A)-3),"")</f>
        <v>60.7037974683544</v>
      </c>
      <c r="AM159" s="145" t="n">
        <f aca="false">IFERROR('Price History'!S3+(INDEX('Price History'!S:S,MATCH(9.99E+307,'Returns (Calc)'!$A:$A)+1)-'Price History'!S3)*(ROW()-3)/(MATCH(9.99E+307,'Returns (Calc)'!$A:$A)-3),"")</f>
        <v>152.019873417722</v>
      </c>
      <c r="AN159" s="145" t="n">
        <f aca="false">IFERROR('Price History'!T3+(INDEX('Price History'!T:T,MATCH(9.99E+307,'Returns (Calc)'!$A:$A)+1)-'Price History'!T3)*(ROW()-3)/(MATCH(9.99E+307,'Returns (Calc)'!$A:$A)-3),"")</f>
        <v>51.4835443037975</v>
      </c>
      <c r="AO159" s="145" t="n">
        <f aca="false">IFERROR('Price History'!V3+(INDEX('Price History'!V:V,MATCH(9.99E+307,'Returns (Calc)'!$A:$A)+1)-'Price History'!V3)*(ROW()-3)/(MATCH(9.99E+307,'Returns (Calc)'!$A:$A)-3),"")</f>
        <v>359.077341772152</v>
      </c>
      <c r="AP159" s="143" t="n">
        <f aca="false">IFERROR(IF(OR(NOT(ISNUMBER('Price History'!W160)),NOT(ISNUMBER('Price History'!W159)),'Price History'!W159=0),"",'Price History'!W160/'Price History'!W159-1),"")</f>
        <v>-0.0170349339587707</v>
      </c>
      <c r="AQ159" s="143" t="n">
        <f aca="false">IFERROR(IF(OR(NOT(ISNUMBER('Price History'!X160)),NOT(ISNUMBER('Price History'!X159)),'Price History'!X159=0),"",'Price History'!X160/'Price History'!X159-1),"")</f>
        <v>-0.0103073463268365</v>
      </c>
      <c r="AR159" s="143" t="n">
        <f aca="false">IFERROR(IF(OR(NOT(ISNUMBER('Price History'!Y160)),NOT(ISNUMBER('Price History'!Y159)),'Price History'!Y159=0),"",'Price History'!Y160/'Price History'!Y159-1),"")</f>
        <v>-0.0072811223583733</v>
      </c>
      <c r="AS159" s="143" t="n">
        <f aca="false">IFERROR(IF(OR(NOT(ISNUMBER('Price History'!Z160)),NOT(ISNUMBER('Price History'!Z159)),'Price History'!Z159=0),"",'Price History'!Z160/'Price History'!Z159-1),"")</f>
        <v>-0.0290119260952854</v>
      </c>
      <c r="AT159" s="143" t="n">
        <f aca="false">IFERROR(IF(OR(NOT(ISNUMBER('Price History'!AA160)),NOT(ISNUMBER('Price History'!AA159)),'Price History'!AA159=0),"",'Price History'!AA160/'Price History'!AA159-1),"")</f>
        <v>-0.0724806201550388</v>
      </c>
    </row>
    <row r="160" customFormat="false" ht="15" hidden="false" customHeight="true" outlineLevel="0" collapsed="false">
      <c r="A160" s="141" t="n">
        <f aca="false">IF('Price History'!A161="","",'Price History'!A161)</f>
        <v>46290</v>
      </c>
      <c r="B160" s="142" t="n">
        <f aca="false">IFERROR(IF(OR(NOT(ISNUMBER('Price History'!B161)),NOT(ISNUMBER('Price History'!B160)),'Price History'!B160=0),"",'Price History'!B161/'Price History'!B160-1),"")</f>
        <v>-0.0540334243933793</v>
      </c>
      <c r="C160" s="142" t="n">
        <f aca="false">IFERROR(IF(OR(NOT(ISNUMBER('Price History'!C161)),NOT(ISNUMBER('Price History'!C160)),'Price History'!C160=0),"",'Price History'!C161/'Price History'!C160-1),"")</f>
        <v>0.0359095240483476</v>
      </c>
      <c r="D160" s="142" t="n">
        <f aca="false">IFERROR(IF(OR(NOT(ISNUMBER('Price History'!D161)),NOT(ISNUMBER('Price History'!D160)),'Price History'!D160=0),"",'Price History'!D161/'Price History'!D160-1),"")</f>
        <v>0.038108957569408</v>
      </c>
      <c r="E160" s="142" t="n">
        <f aca="false">IFERROR(IF(OR(NOT(ISNUMBER('Price History'!E161)),NOT(ISNUMBER('Price History'!E160)),'Price History'!E160=0),"",'Price History'!E161/'Price History'!E160-1),"")</f>
        <v>-0.0116259524876736</v>
      </c>
      <c r="F160" s="142" t="n">
        <f aca="false">IFERROR(IF(OR(NOT(ISNUMBER('Price History'!F161)),NOT(ISNUMBER('Price History'!F160)),'Price History'!F160=0),"",'Price History'!F161/'Price History'!F160-1),"")</f>
        <v>0.0609299389859035</v>
      </c>
      <c r="G160" s="142" t="n">
        <f aca="false">IFERROR(IF(OR(NOT(ISNUMBER('Price History'!G161)),NOT(ISNUMBER('Price History'!G160)),'Price History'!G160=0),"",'Price History'!G161/'Price History'!G160-1),"")</f>
        <v>0.061754901406859</v>
      </c>
      <c r="H160" s="142" t="n">
        <f aca="false">IFERROR(IF(OR(NOT(ISNUMBER('Price History'!H161)),NOT(ISNUMBER('Price History'!H160)),'Price History'!H160=0),"",'Price History'!H161/'Price History'!H160-1),"")</f>
        <v>0.0654459539279386</v>
      </c>
      <c r="I160" s="142" t="n">
        <f aca="false">IFERROR(IF(OR(NOT(ISNUMBER('Price History'!I161)),NOT(ISNUMBER('Price History'!I160)),'Price History'!I160=0),"",'Price History'!I161/'Price History'!I160-1),"")</f>
        <v>0.0125972915823098</v>
      </c>
      <c r="J160" s="142" t="n">
        <f aca="false">IFERROR(IF(OR(NOT(ISNUMBER('Price History'!J161)),NOT(ISNUMBER('Price History'!J160)),'Price History'!J160=0),"",'Price History'!J161/'Price History'!J160-1),"")</f>
        <v>-0.0132749925838029</v>
      </c>
      <c r="K160" s="142" t="n">
        <f aca="false">IFERROR(IF(OR(NOT(ISNUMBER('Price History'!K161)),NOT(ISNUMBER('Price History'!K160)),'Price History'!K160=0),"",'Price History'!K161/'Price History'!K160-1),"")</f>
        <v>0.0677212339563162</v>
      </c>
      <c r="L160" s="142" t="n">
        <f aca="false">IFERROR(IF(OR(NOT(ISNUMBER('Price History'!L161)),NOT(ISNUMBER('Price History'!L160)),'Price History'!L160=0),"",'Price History'!L161/'Price History'!L160-1),"")</f>
        <v>0.0366714979179608</v>
      </c>
      <c r="M160" s="142" t="n">
        <f aca="false">IFERROR(IF(OR(NOT(ISNUMBER('Price History'!M161)),NOT(ISNUMBER('Price History'!M160)),'Price History'!M160=0),"",'Price History'!M161/'Price History'!M160-1),"")</f>
        <v>0.0155980592646057</v>
      </c>
      <c r="N160" s="142" t="n">
        <f aca="false">IFERROR(IF(OR(NOT(ISNUMBER('Price History'!N161)),NOT(ISNUMBER('Price History'!N160)),'Price History'!N160=0),"",'Price History'!N161/'Price History'!N160-1),"")</f>
        <v>0.0351142935830351</v>
      </c>
      <c r="O160" s="142" t="n">
        <f aca="false">IFERROR(IF(OR(NOT(ISNUMBER('Price History'!O161)),NOT(ISNUMBER('Price History'!O160)),'Price History'!O160=0),"",'Price History'!O161/'Price History'!O160-1),"")</f>
        <v>-0.0127090849458839</v>
      </c>
      <c r="P160" s="142" t="n">
        <f aca="false">IFERROR(IF(OR(NOT(ISNUMBER('Price History'!P161)),NOT(ISNUMBER('Price History'!P160)),'Price History'!P160=0),"",'Price History'!P161/'Price History'!P160-1),"")</f>
        <v>-0.0221814964610719</v>
      </c>
      <c r="Q160" s="142" t="n">
        <f aca="false">IFERROR(IF(OR(NOT(ISNUMBER('Price History'!Q161)),NOT(ISNUMBER('Price History'!Q160)),'Price History'!Q160=0),"",'Price History'!Q161/'Price History'!Q160-1),"")</f>
        <v>0.00855196405276137</v>
      </c>
      <c r="R160" s="142" t="n">
        <f aca="false">IFERROR(IF(OR(NOT(ISNUMBER('Price History'!R161)),NOT(ISNUMBER('Price History'!R160)),'Price History'!R160=0),"",'Price History'!R161/'Price History'!R160-1),"")</f>
        <v>0.0165884718498659</v>
      </c>
      <c r="S160" s="142" t="n">
        <f aca="false">IFERROR(IF(OR(NOT(ISNUMBER('Price History'!S161)),NOT(ISNUMBER('Price History'!S160)),'Price History'!S160=0),"",'Price History'!S161/'Price History'!S160-1),"")</f>
        <v>0.0265154057863999</v>
      </c>
      <c r="T160" s="142" t="n">
        <f aca="false">IFERROR(IF(OR(NOT(ISNUMBER('Price History'!T161)),NOT(ISNUMBER('Price History'!T160)),'Price History'!T160=0),"",'Price History'!T161/'Price History'!T160-1),"")</f>
        <v>-0.0264150943396226</v>
      </c>
      <c r="U160" s="142" t="n">
        <f aca="false">IFERROR(IF(OR(NOT(ISNUMBER('Price History'!U161)),NOT(ISNUMBER('Price History'!U160)),'Price History'!U160=0),"",'Price History'!U161/'Price History'!U160-1),"")</f>
        <v>-0.00598623166716539</v>
      </c>
      <c r="V160" s="143" t="n">
        <f aca="false">IFERROR(IF(OR(NOT(ISNUMBER('Price History'!V161)),NOT(ISNUMBER('Price History'!V160)),'Price History'!V160=0),"",'Price History'!V161/'Price History'!V160-1),"")</f>
        <v>-0.00247087892693265</v>
      </c>
      <c r="W160" s="145" t="n">
        <f aca="false">IFERROR('Price History'!B3+(INDEX('Price History'!B:B,MATCH(9.99E+307,'Returns (Calc)'!$A:$A)+1)-'Price History'!B3)*(ROW()-3)/(MATCH(9.99E+307,'Returns (Calc)'!$A:$A)-3),"")</f>
        <v>239.533037974684</v>
      </c>
      <c r="X160" s="145" t="n">
        <f aca="false">IFERROR('Price History'!C3+(INDEX('Price History'!C:C,MATCH(9.99E+307,'Returns (Calc)'!$A:$A)+1)-'Price History'!C3)*(ROW()-3)/(MATCH(9.99E+307,'Returns (Calc)'!$A:$A)-3),"")</f>
        <v>206.329936708861</v>
      </c>
      <c r="Y160" s="145" t="n">
        <f aca="false">IFERROR('Price History'!D3+(INDEX('Price History'!D:D,MATCH(9.99E+307,'Returns (Calc)'!$A:$A)+1)-'Price History'!D3)*(ROW()-3)/(MATCH(9.99E+307,'Returns (Calc)'!$A:$A)-3),"")</f>
        <v>1859.17518987342</v>
      </c>
      <c r="Z160" s="145" t="n">
        <f aca="false">IFERROR('Price History'!E3+(INDEX('Price History'!E:E,MATCH(9.99E+307,'Returns (Calc)'!$A:$A)+1)-'Price History'!E3)*(ROW()-3)/(MATCH(9.99E+307,'Returns (Calc)'!$A:$A)-3),"")</f>
        <v>353.411265822785</v>
      </c>
      <c r="AA160" s="145" t="n">
        <f aca="false">IFERROR('Price History'!F3+(INDEX('Price History'!F:F,MATCH(9.99E+307,'Returns (Calc)'!$A:$A)+1)-'Price History'!F3)*(ROW()-3)/(MATCH(9.99E+307,'Returns (Calc)'!$A:$A)-3),"")</f>
        <v>268.592658227848</v>
      </c>
      <c r="AB160" s="145" t="n">
        <f aca="false">IFERROR('Price History'!G3+(INDEX('Price History'!G:G,MATCH(9.99E+307,'Returns (Calc)'!$A:$A)+1)-'Price History'!G3)*(ROW()-3)/(MATCH(9.99E+307,'Returns (Calc)'!$A:$A)-3),"")</f>
        <v>205.861265822785</v>
      </c>
      <c r="AC160" s="145" t="n">
        <f aca="false">IFERROR('Price History'!H3+(INDEX('Price History'!H:H,MATCH(9.99E+307,'Returns (Calc)'!$A:$A)+1)-'Price History'!H3)*(ROW()-3)/(MATCH(9.99E+307,'Returns (Calc)'!$A:$A)-3),"")</f>
        <v>1068.52430379747</v>
      </c>
      <c r="AD160" s="145" t="n">
        <f aca="false">IFERROR('Price History'!I3+(INDEX('Price History'!I:I,MATCH(9.99E+307,'Returns (Calc)'!$A:$A)+1)-'Price History'!I3)*(ROW()-3)/(MATCH(9.99E+307,'Returns (Calc)'!$A:$A)-3),"")</f>
        <v>232.746329113924</v>
      </c>
      <c r="AE160" s="145" t="n">
        <f aca="false">IFERROR('Price History'!J3+(INDEX('Price History'!J:J,MATCH(9.99E+307,'Returns (Calc)'!$A:$A)+1)-'Price History'!J3)*(ROW()-3)/(MATCH(9.99E+307,'Returns (Calc)'!$A:$A)-3),"")</f>
        <v>128.801962025316</v>
      </c>
      <c r="AF160" s="145" t="n">
        <f aca="false">IFERROR('Price History'!K3+(INDEX('Price History'!K:K,MATCH(9.99E+307,'Returns (Calc)'!$A:$A)+1)-'Price History'!K3)*(ROW()-3)/(MATCH(9.99E+307,'Returns (Calc)'!$A:$A)-3),"")</f>
        <v>187.652405063291</v>
      </c>
      <c r="AG160" s="145" t="n">
        <f aca="false">IFERROR('Price History'!L3+(INDEX('Price History'!L:L,MATCH(9.99E+307,'Returns (Calc)'!$A:$A)+1)-'Price History'!L3)*(ROW()-3)/(MATCH(9.99E+307,'Returns (Calc)'!$A:$A)-3),"")</f>
        <v>470.330443037975</v>
      </c>
      <c r="AH160" s="145" t="n">
        <f aca="false">IFERROR('Price History'!M3+(INDEX('Price History'!M:M,MATCH(9.99E+307,'Returns (Calc)'!$A:$A)+1)-'Price History'!M3)*(ROW()-3)/(MATCH(9.99E+307,'Returns (Calc)'!$A:$A)-3),"")</f>
        <v>250.824556962025</v>
      </c>
      <c r="AI160" s="145" t="n">
        <f aca="false">IFERROR('Price History'!N3+(INDEX('Price History'!N:N,MATCH(9.99E+307,'Returns (Calc)'!$A:$A)+1)-'Price History'!N3)*(ROW()-3)/(MATCH(9.99E+307,'Returns (Calc)'!$A:$A)-3),"")</f>
        <v>503.743734177215</v>
      </c>
      <c r="AJ160" s="145" t="n">
        <f aca="false">IFERROR('Price History'!O3+(INDEX('Price History'!O:O,MATCH(9.99E+307,'Returns (Calc)'!$A:$A)+1)-'Price History'!O3)*(ROW()-3)/(MATCH(9.99E+307,'Returns (Calc)'!$A:$A)-3),"")</f>
        <v>119.746962025316</v>
      </c>
      <c r="AK160" s="145" t="n">
        <f aca="false">IFERROR('Price History'!Q3+(INDEX('Price History'!Q:Q,MATCH(9.99E+307,'Returns (Calc)'!$A:$A)+1)-'Price History'!Q3)*(ROW()-3)/(MATCH(9.99E+307,'Returns (Calc)'!$A:$A)-3),"")</f>
        <v>68.9806329113924</v>
      </c>
      <c r="AL160" s="145" t="n">
        <f aca="false">IFERROR('Price History'!R3+(INDEX('Price History'!R:R,MATCH(9.99E+307,'Returns (Calc)'!$A:$A)+1)-'Price History'!R3)*(ROW()-3)/(MATCH(9.99E+307,'Returns (Calc)'!$A:$A)-3),"")</f>
        <v>60.8718987341772</v>
      </c>
      <c r="AM160" s="145" t="n">
        <f aca="false">IFERROR('Price History'!S3+(INDEX('Price History'!S:S,MATCH(9.99E+307,'Returns (Calc)'!$A:$A)+1)-'Price History'!S3)*(ROW()-3)/(MATCH(9.99E+307,'Returns (Calc)'!$A:$A)-3),"")</f>
        <v>152.624936708861</v>
      </c>
      <c r="AN160" s="145" t="n">
        <f aca="false">IFERROR('Price History'!T3+(INDEX('Price History'!T:T,MATCH(9.99E+307,'Returns (Calc)'!$A:$A)+1)-'Price History'!T3)*(ROW()-3)/(MATCH(9.99E+307,'Returns (Calc)'!$A:$A)-3),"")</f>
        <v>51.6517721518987</v>
      </c>
      <c r="AO160" s="145" t="n">
        <f aca="false">IFERROR('Price History'!V3+(INDEX('Price History'!V:V,MATCH(9.99E+307,'Returns (Calc)'!$A:$A)+1)-'Price History'!V3)*(ROW()-3)/(MATCH(9.99E+307,'Returns (Calc)'!$A:$A)-3),"")</f>
        <v>359.868670886076</v>
      </c>
      <c r="AP160" s="143" t="n">
        <f aca="false">IFERROR(IF(OR(NOT(ISNUMBER('Price History'!W161)),NOT(ISNUMBER('Price History'!W160)),'Price History'!W160=0),"",'Price History'!W161/'Price History'!W160-1),"")</f>
        <v>-0.00992088408891112</v>
      </c>
      <c r="AQ160" s="143" t="n">
        <f aca="false">IFERROR(IF(OR(NOT(ISNUMBER('Price History'!X161)),NOT(ISNUMBER('Price History'!X160)),'Price History'!X160=0),"",'Price History'!X161/'Price History'!X160-1),"")</f>
        <v>-0.0323802310168528</v>
      </c>
      <c r="AR160" s="143" t="n">
        <f aca="false">IFERROR(IF(OR(NOT(ISNUMBER('Price History'!Y161)),NOT(ISNUMBER('Price History'!Y160)),'Price History'!Y160=0),"",'Price History'!Y161/'Price History'!Y160-1),"")</f>
        <v>0.00930232558139532</v>
      </c>
      <c r="AS160" s="143" t="n">
        <f aca="false">IFERROR(IF(OR(NOT(ISNUMBER('Price History'!Z161)),NOT(ISNUMBER('Price History'!Z160)),'Price History'!Z160=0),"",'Price History'!Z161/'Price History'!Z160-1),"")</f>
        <v>0.040792948738346</v>
      </c>
      <c r="AT160" s="143" t="n">
        <f aca="false">IFERROR(IF(OR(NOT(ISNUMBER('Price History'!AA161)),NOT(ISNUMBER('Price History'!AA160)),'Price History'!AA160=0),"",'Price History'!AA161/'Price History'!AA160-1),"")</f>
        <v>-0.00891489065329432</v>
      </c>
    </row>
    <row r="161" customFormat="false" ht="15" hidden="false" customHeight="true" outlineLevel="0" collapsed="false">
      <c r="A161" s="141" t="n">
        <f aca="false">IF('Price History'!A162="","",'Price History'!A162)</f>
        <v>46297</v>
      </c>
      <c r="B161" s="142" t="n">
        <f aca="false">IFERROR(IF(OR(NOT(ISNUMBER('Price History'!B162)),NOT(ISNUMBER('Price History'!B161)),'Price History'!B161=0),"",'Price History'!B162/'Price History'!B161-1),"")</f>
        <v>0.0094279526054275</v>
      </c>
      <c r="C161" s="142" t="n">
        <f aca="false">IFERROR(IF(OR(NOT(ISNUMBER('Price History'!C162)),NOT(ISNUMBER('Price History'!C161)),'Price History'!C161=0),"",'Price History'!C162/'Price History'!C161-1),"")</f>
        <v>0.00387315419995149</v>
      </c>
      <c r="D161" s="142" t="n">
        <f aca="false">IFERROR(IF(OR(NOT(ISNUMBER('Price History'!D162)),NOT(ISNUMBER('Price History'!D161)),'Price History'!D161=0),"",'Price History'!D162/'Price History'!D161-1),"")</f>
        <v>0.0707421126873631</v>
      </c>
      <c r="E161" s="142" t="n">
        <f aca="false">IFERROR(IF(OR(NOT(ISNUMBER('Price History'!E162)),NOT(ISNUMBER('Price History'!E161)),'Price History'!E161=0),"",'Price History'!E162/'Price History'!E161-1),"")</f>
        <v>0.00660412119837872</v>
      </c>
      <c r="F161" s="142" t="n">
        <f aca="false">IFERROR(IF(OR(NOT(ISNUMBER('Price History'!F162)),NOT(ISNUMBER('Price History'!F161)),'Price History'!F161=0),"",'Price History'!F162/'Price History'!F161-1),"")</f>
        <v>0.0710347836433587</v>
      </c>
      <c r="G161" s="142" t="n">
        <f aca="false">IFERROR(IF(OR(NOT(ISNUMBER('Price History'!G162)),NOT(ISNUMBER('Price History'!G161)),'Price History'!G161=0),"",'Price History'!G162/'Price History'!G161-1),"")</f>
        <v>0.100947211579395</v>
      </c>
      <c r="H161" s="142" t="n">
        <f aca="false">IFERROR(IF(OR(NOT(ISNUMBER('Price History'!H162)),NOT(ISNUMBER('Price History'!H161)),'Price History'!H161=0),"",'Price History'!H162/'Price History'!H161-1),"")</f>
        <v>-0.00682817755109577</v>
      </c>
      <c r="I161" s="142" t="n">
        <f aca="false">IFERROR(IF(OR(NOT(ISNUMBER('Price History'!I162)),NOT(ISNUMBER('Price History'!I161)),'Price History'!I161=0),"",'Price History'!I162/'Price History'!I161-1),"")</f>
        <v>0.0394543919669437</v>
      </c>
      <c r="J161" s="142" t="n">
        <f aca="false">IFERROR(IF(OR(NOT(ISNUMBER('Price History'!J162)),NOT(ISNUMBER('Price History'!J161)),'Price History'!J161=0),"",'Price History'!J162/'Price History'!J161-1),"")</f>
        <v>-0.0311161217587375</v>
      </c>
      <c r="K161" s="142" t="n">
        <f aca="false">IFERROR(IF(OR(NOT(ISNUMBER('Price History'!K162)),NOT(ISNUMBER('Price History'!K161)),'Price History'!K161=0),"",'Price History'!K162/'Price History'!K161-1),"")</f>
        <v>-0.00485052986766488</v>
      </c>
      <c r="L161" s="142" t="n">
        <f aca="false">IFERROR(IF(OR(NOT(ISNUMBER('Price History'!L162)),NOT(ISNUMBER('Price History'!L161)),'Price History'!L161=0),"",'Price History'!L162/'Price History'!L161-1),"")</f>
        <v>0.0491999733694324</v>
      </c>
      <c r="M161" s="142" t="n">
        <f aca="false">IFERROR(IF(OR(NOT(ISNUMBER('Price History'!M162)),NOT(ISNUMBER('Price History'!M161)),'Price History'!M161=0),"",'Price History'!M162/'Price History'!M161-1),"")</f>
        <v>-0.00434301958307015</v>
      </c>
      <c r="N161" s="142" t="n">
        <f aca="false">IFERROR(IF(OR(NOT(ISNUMBER('Price History'!N162)),NOT(ISNUMBER('Price History'!N161)),'Price History'!N161=0),"",'Price History'!N162/'Price History'!N161-1),"")</f>
        <v>-0.0407837473156085</v>
      </c>
      <c r="O161" s="142" t="n">
        <f aca="false">IFERROR(IF(OR(NOT(ISNUMBER('Price History'!O162)),NOT(ISNUMBER('Price History'!O161)),'Price History'!O161=0),"",'Price History'!O162/'Price History'!O161-1),"")</f>
        <v>-0.00315588406278544</v>
      </c>
      <c r="P161" s="142" t="n">
        <f aca="false">IFERROR(IF(OR(NOT(ISNUMBER('Price History'!P162)),NOT(ISNUMBER('Price History'!P161)),'Price History'!P161=0),"",'Price History'!P162/'Price History'!P161-1),"")</f>
        <v>-0.0108576229561169</v>
      </c>
      <c r="Q161" s="142" t="n">
        <f aca="false">IFERROR(IF(OR(NOT(ISNUMBER('Price History'!Q162)),NOT(ISNUMBER('Price History'!Q161)),'Price History'!Q161=0),"",'Price History'!Q162/'Price History'!Q161-1),"")</f>
        <v>-0.00229951135383721</v>
      </c>
      <c r="R161" s="142" t="n">
        <f aca="false">IFERROR(IF(OR(NOT(ISNUMBER('Price History'!R162)),NOT(ISNUMBER('Price History'!R161)),'Price History'!R161=0),"",'Price History'!R162/'Price History'!R161-1),"")</f>
        <v>0.0060985660128563</v>
      </c>
      <c r="S161" s="142" t="n">
        <f aca="false">IFERROR(IF(OR(NOT(ISNUMBER('Price History'!S162)),NOT(ISNUMBER('Price History'!S161)),'Price History'!S161=0),"",'Price History'!S162/'Price History'!S161-1),"")</f>
        <v>0.00202720376667531</v>
      </c>
      <c r="T161" s="142" t="n">
        <f aca="false">IFERROR(IF(OR(NOT(ISNUMBER('Price History'!T162)),NOT(ISNUMBER('Price History'!T161)),'Price History'!T161=0),"",'Price History'!T162/'Price History'!T161-1),"")</f>
        <v>0.00426356589147292</v>
      </c>
      <c r="U161" s="142" t="n">
        <f aca="false">IFERROR(IF(OR(NOT(ISNUMBER('Price History'!U162)),NOT(ISNUMBER('Price History'!U161)),'Price History'!U161=0),"",'Price History'!U162/'Price History'!U161-1),"")</f>
        <v>-0.0147545919903644</v>
      </c>
      <c r="V161" s="143" t="n">
        <f aca="false">IFERROR(IF(OR(NOT(ISNUMBER('Price History'!V162)),NOT(ISNUMBER('Price History'!V161)),'Price History'!V161=0),"",'Price History'!V162/'Price History'!V161-1),"")</f>
        <v>-0.0182916870814959</v>
      </c>
      <c r="W161" s="145" t="n">
        <f aca="false">IFERROR('Price History'!B3+(INDEX('Price History'!B:B,MATCH(9.99E+307,'Returns (Calc)'!$A:$A)+1)-'Price History'!B3)*(ROW()-3)/(MATCH(9.99E+307,'Returns (Calc)'!$A:$A)-3),"")</f>
        <v>237.69</v>
      </c>
      <c r="X161" s="145" t="n">
        <f aca="false">IFERROR('Price History'!C3+(INDEX('Price History'!C:C,MATCH(9.99E+307,'Returns (Calc)'!$A:$A)+1)-'Price History'!C3)*(ROW()-3)/(MATCH(9.99E+307,'Returns (Calc)'!$A:$A)-3),"")</f>
        <v>207.35</v>
      </c>
      <c r="Y161" s="145" t="n">
        <f aca="false">IFERROR('Price History'!D3+(INDEX('Price History'!D:D,MATCH(9.99E+307,'Returns (Calc)'!$A:$A)+1)-'Price History'!D3)*(ROW()-3)/(MATCH(9.99E+307,'Returns (Calc)'!$A:$A)-3),"")</f>
        <v>1867.31</v>
      </c>
      <c r="Z161" s="145" t="n">
        <f aca="false">IFERROR('Price History'!E3+(INDEX('Price History'!E:E,MATCH(9.99E+307,'Returns (Calc)'!$A:$A)+1)-'Price History'!E3)*(ROW()-3)/(MATCH(9.99E+307,'Returns (Calc)'!$A:$A)-3),"")</f>
        <v>355.14</v>
      </c>
      <c r="AA161" s="145" t="n">
        <f aca="false">IFERROR('Price History'!F3+(INDEX('Price History'!F:F,MATCH(9.99E+307,'Returns (Calc)'!$A:$A)+1)-'Price History'!F3)*(ROW()-3)/(MATCH(9.99E+307,'Returns (Calc)'!$A:$A)-3),"")</f>
        <v>270.04</v>
      </c>
      <c r="AB161" s="145" t="n">
        <f aca="false">IFERROR('Price History'!G3+(INDEX('Price History'!G:G,MATCH(9.99E+307,'Returns (Calc)'!$A:$A)+1)-'Price History'!G3)*(ROW()-3)/(MATCH(9.99E+307,'Returns (Calc)'!$A:$A)-3),"")</f>
        <v>206.89</v>
      </c>
      <c r="AC161" s="145" t="n">
        <f aca="false">IFERROR('Price History'!H3+(INDEX('Price History'!H:H,MATCH(9.99E+307,'Returns (Calc)'!$A:$A)+1)-'Price History'!H3)*(ROW()-3)/(MATCH(9.99E+307,'Returns (Calc)'!$A:$A)-3),"")</f>
        <v>1074.89</v>
      </c>
      <c r="AD161" s="145" t="n">
        <f aca="false">IFERROR('Price History'!I3+(INDEX('Price History'!I:I,MATCH(9.99E+307,'Returns (Calc)'!$A:$A)+1)-'Price History'!I3)*(ROW()-3)/(MATCH(9.99E+307,'Returns (Calc)'!$A:$A)-3),"")</f>
        <v>233.95</v>
      </c>
      <c r="AE161" s="145" t="n">
        <f aca="false">IFERROR('Price History'!J3+(INDEX('Price History'!J:J,MATCH(9.99E+307,'Returns (Calc)'!$A:$A)+1)-'Price History'!J3)*(ROW()-3)/(MATCH(9.99E+307,'Returns (Calc)'!$A:$A)-3),"")</f>
        <v>128.91</v>
      </c>
      <c r="AF161" s="145" t="n">
        <f aca="false">IFERROR('Price History'!K3+(INDEX('Price History'!K:K,MATCH(9.99E+307,'Returns (Calc)'!$A:$A)+1)-'Price History'!K3)*(ROW()-3)/(MATCH(9.99E+307,'Returns (Calc)'!$A:$A)-3),"")</f>
        <v>188.75</v>
      </c>
      <c r="AG161" s="145" t="n">
        <f aca="false">IFERROR('Price History'!L3+(INDEX('Price History'!L:L,MATCH(9.99E+307,'Returns (Calc)'!$A:$A)+1)-'Price History'!L3)*(ROW()-3)/(MATCH(9.99E+307,'Returns (Calc)'!$A:$A)-3),"")</f>
        <v>472.78</v>
      </c>
      <c r="AH161" s="145" t="n">
        <f aca="false">IFERROR('Price History'!M3+(INDEX('Price History'!M:M,MATCH(9.99E+307,'Returns (Calc)'!$A:$A)+1)-'Price History'!M3)*(ROW()-3)/(MATCH(9.99E+307,'Returns (Calc)'!$A:$A)-3),"")</f>
        <v>252.18</v>
      </c>
      <c r="AI161" s="145" t="n">
        <f aca="false">IFERROR('Price History'!N3+(INDEX('Price History'!N:N,MATCH(9.99E+307,'Returns (Calc)'!$A:$A)+1)-'Price History'!N3)*(ROW()-3)/(MATCH(9.99E+307,'Returns (Calc)'!$A:$A)-3),"")</f>
        <v>504.73</v>
      </c>
      <c r="AJ161" s="145" t="n">
        <f aca="false">IFERROR('Price History'!O3+(INDEX('Price History'!O:O,MATCH(9.99E+307,'Returns (Calc)'!$A:$A)+1)-'Price History'!O3)*(ROW()-3)/(MATCH(9.99E+307,'Returns (Calc)'!$A:$A)-3),"")</f>
        <v>120.03</v>
      </c>
      <c r="AK161" s="145" t="n">
        <f aca="false">IFERROR('Price History'!Q3+(INDEX('Price History'!Q:Q,MATCH(9.99E+307,'Returns (Calc)'!$A:$A)+1)-'Price History'!Q3)*(ROW()-3)/(MATCH(9.99E+307,'Returns (Calc)'!$A:$A)-3),"")</f>
        <v>69.42</v>
      </c>
      <c r="AL161" s="145" t="n">
        <f aca="false">IFERROR('Price History'!R3+(INDEX('Price History'!R:R,MATCH(9.99E+307,'Returns (Calc)'!$A:$A)+1)-'Price History'!R3)*(ROW()-3)/(MATCH(9.99E+307,'Returns (Calc)'!$A:$A)-3),"")</f>
        <v>61.04</v>
      </c>
      <c r="AM161" s="145" t="n">
        <f aca="false">IFERROR('Price History'!S3+(INDEX('Price History'!S:S,MATCH(9.99E+307,'Returns (Calc)'!$A:$A)+1)-'Price History'!S3)*(ROW()-3)/(MATCH(9.99E+307,'Returns (Calc)'!$A:$A)-3),"")</f>
        <v>153.23</v>
      </c>
      <c r="AN161" s="145" t="n">
        <f aca="false">IFERROR('Price History'!T3+(INDEX('Price History'!T:T,MATCH(9.99E+307,'Returns (Calc)'!$A:$A)+1)-'Price History'!T3)*(ROW()-3)/(MATCH(9.99E+307,'Returns (Calc)'!$A:$A)-3),"")</f>
        <v>51.82</v>
      </c>
      <c r="AO161" s="145" t="n">
        <f aca="false">IFERROR('Price History'!V3+(INDEX('Price History'!V:V,MATCH(9.99E+307,'Returns (Calc)'!$A:$A)+1)-'Price History'!V3)*(ROW()-3)/(MATCH(9.99E+307,'Returns (Calc)'!$A:$A)-3),"")</f>
        <v>360.66</v>
      </c>
      <c r="AP161" s="143" t="n">
        <f aca="false">IFERROR(IF(OR(NOT(ISNUMBER('Price History'!W162)),NOT(ISNUMBER('Price History'!W161)),'Price History'!W161=0),"",'Price History'!W162/'Price History'!W161-1),"")</f>
        <v>-0.00773718924403855</v>
      </c>
      <c r="AQ161" s="143" t="n">
        <f aca="false">IFERROR(IF(OR(NOT(ISNUMBER('Price History'!X162)),NOT(ISNUMBER('Price History'!X161)),'Price History'!X161=0),"",'Price History'!X162/'Price History'!X161-1),"")</f>
        <v>0.00136986301369868</v>
      </c>
      <c r="AR161" s="143" t="n">
        <f aca="false">IFERROR(IF(OR(NOT(ISNUMBER('Price History'!Y162)),NOT(ISNUMBER('Price History'!Y161)),'Price History'!Y161=0),"",'Price History'!Y162/'Price History'!Y161-1),"")</f>
        <v>-0.00567174760723144</v>
      </c>
      <c r="AS161" s="143" t="n">
        <f aca="false">IFERROR(IF(OR(NOT(ISNUMBER('Price History'!Z162)),NOT(ISNUMBER('Price History'!Z161)),'Price History'!Z161=0),"",'Price History'!Z162/'Price History'!Z161-1),"")</f>
        <v>-0.053593812100645</v>
      </c>
      <c r="AT161" s="143" t="n">
        <f aca="false">IFERROR(IF(OR(NOT(ISNUMBER('Price History'!AA162)),NOT(ISNUMBER('Price History'!AA161)),'Price History'!AA161=0),"",'Price History'!AA162/'Price History'!AA161-1),"")</f>
        <v>-0.0574841883345046</v>
      </c>
    </row>
    <row r="162" customFormat="false" ht="15" hidden="false" customHeight="true" outlineLevel="0" collapsed="false">
      <c r="A162" s="141" t="str">
        <f aca="false">IF('Price History'!A163="","",'Price History'!A163)</f>
        <v/>
      </c>
      <c r="B162" s="142" t="str">
        <f aca="false">IFERROR(IF(OR(NOT(ISNUMBER('Price History'!B163)),NOT(ISNUMBER('Price History'!B162)),'Price History'!B162=0),"",'Price History'!B163/'Price History'!B162-1),"")</f>
        <v/>
      </c>
      <c r="C162" s="142" t="str">
        <f aca="false">IFERROR(IF(OR(NOT(ISNUMBER('Price History'!C163)),NOT(ISNUMBER('Price History'!C162)),'Price History'!C162=0),"",'Price History'!C163/'Price History'!C162-1),"")</f>
        <v/>
      </c>
      <c r="D162" s="142" t="str">
        <f aca="false">IFERROR(IF(OR(NOT(ISNUMBER('Price History'!D163)),NOT(ISNUMBER('Price History'!D162)),'Price History'!D162=0),"",'Price History'!D163/'Price History'!D162-1),"")</f>
        <v/>
      </c>
      <c r="E162" s="142" t="str">
        <f aca="false">IFERROR(IF(OR(NOT(ISNUMBER('Price History'!E163)),NOT(ISNUMBER('Price History'!E162)),'Price History'!E162=0),"",'Price History'!E163/'Price History'!E162-1),"")</f>
        <v/>
      </c>
      <c r="F162" s="142" t="str">
        <f aca="false">IFERROR(IF(OR(NOT(ISNUMBER('Price History'!F163)),NOT(ISNUMBER('Price History'!F162)),'Price History'!F162=0),"",'Price History'!F163/'Price History'!F162-1),"")</f>
        <v/>
      </c>
      <c r="G162" s="142" t="str">
        <f aca="false">IFERROR(IF(OR(NOT(ISNUMBER('Price History'!G163)),NOT(ISNUMBER('Price History'!G162)),'Price History'!G162=0),"",'Price History'!G163/'Price History'!G162-1),"")</f>
        <v/>
      </c>
      <c r="H162" s="142" t="str">
        <f aca="false">IFERROR(IF(OR(NOT(ISNUMBER('Price History'!H163)),NOT(ISNUMBER('Price History'!H162)),'Price History'!H162=0),"",'Price History'!H163/'Price History'!H162-1),"")</f>
        <v/>
      </c>
      <c r="I162" s="142" t="str">
        <f aca="false">IFERROR(IF(OR(NOT(ISNUMBER('Price History'!I163)),NOT(ISNUMBER('Price History'!I162)),'Price History'!I162=0),"",'Price History'!I163/'Price History'!I162-1),"")</f>
        <v/>
      </c>
      <c r="J162" s="142" t="str">
        <f aca="false">IFERROR(IF(OR(NOT(ISNUMBER('Price History'!J163)),NOT(ISNUMBER('Price History'!J162)),'Price History'!J162=0),"",'Price History'!J163/'Price History'!J162-1),"")</f>
        <v/>
      </c>
      <c r="K162" s="142" t="str">
        <f aca="false">IFERROR(IF(OR(NOT(ISNUMBER('Price History'!K163)),NOT(ISNUMBER('Price History'!K162)),'Price History'!K162=0),"",'Price History'!K163/'Price History'!K162-1),"")</f>
        <v/>
      </c>
      <c r="L162" s="142" t="str">
        <f aca="false">IFERROR(IF(OR(NOT(ISNUMBER('Price History'!L163)),NOT(ISNUMBER('Price History'!L162)),'Price History'!L162=0),"",'Price History'!L163/'Price History'!L162-1),"")</f>
        <v/>
      </c>
      <c r="M162" s="142" t="str">
        <f aca="false">IFERROR(IF(OR(NOT(ISNUMBER('Price History'!M163)),NOT(ISNUMBER('Price History'!M162)),'Price History'!M162=0),"",'Price History'!M163/'Price History'!M162-1),"")</f>
        <v/>
      </c>
      <c r="N162" s="142" t="str">
        <f aca="false">IFERROR(IF(OR(NOT(ISNUMBER('Price History'!N163)),NOT(ISNUMBER('Price History'!N162)),'Price History'!N162=0),"",'Price History'!N163/'Price History'!N162-1),"")</f>
        <v/>
      </c>
      <c r="O162" s="142" t="str">
        <f aca="false">IFERROR(IF(OR(NOT(ISNUMBER('Price History'!O163)),NOT(ISNUMBER('Price History'!O162)),'Price History'!O162=0),"",'Price History'!O163/'Price History'!O162-1),"")</f>
        <v/>
      </c>
      <c r="P162" s="142" t="str">
        <f aca="false">IFERROR(IF(OR(NOT(ISNUMBER('Price History'!P163)),NOT(ISNUMBER('Price History'!P162)),'Price History'!P162=0),"",'Price History'!P163/'Price History'!P162-1),"")</f>
        <v/>
      </c>
      <c r="Q162" s="142" t="str">
        <f aca="false">IFERROR(IF(OR(NOT(ISNUMBER('Price History'!Q163)),NOT(ISNUMBER('Price History'!Q162)),'Price History'!Q162=0),"",'Price History'!Q163/'Price History'!Q162-1),"")</f>
        <v/>
      </c>
      <c r="R162" s="142" t="str">
        <f aca="false">IFERROR(IF(OR(NOT(ISNUMBER('Price History'!R163)),NOT(ISNUMBER('Price History'!R162)),'Price History'!R162=0),"",'Price History'!R163/'Price History'!R162-1),"")</f>
        <v/>
      </c>
      <c r="S162" s="142" t="str">
        <f aca="false">IFERROR(IF(OR(NOT(ISNUMBER('Price History'!S163)),NOT(ISNUMBER('Price History'!S162)),'Price History'!S162=0),"",'Price History'!S163/'Price History'!S162-1),"")</f>
        <v/>
      </c>
      <c r="T162" s="142" t="str">
        <f aca="false">IFERROR(IF(OR(NOT(ISNUMBER('Price History'!T163)),NOT(ISNUMBER('Price History'!T162)),'Price History'!T162=0),"",'Price History'!T163/'Price History'!T162-1),"")</f>
        <v/>
      </c>
      <c r="U162" s="142" t="str">
        <f aca="false">IFERROR(IF(OR(NOT(ISNUMBER('Price History'!U163)),NOT(ISNUMBER('Price History'!U162)),'Price History'!U162=0),"",'Price History'!U163/'Price History'!U162-1),"")</f>
        <v/>
      </c>
      <c r="V162" s="143" t="str">
        <f aca="false">IFERROR(IF(OR(NOT(ISNUMBER('Price History'!V163)),NOT(ISNUMBER('Price History'!V162)),'Price History'!V162=0),"",'Price History'!V163/'Price History'!V162-1),"")</f>
        <v/>
      </c>
      <c r="W162" s="145" t="n">
        <f aca="false">IFERROR('Price History'!B3+(INDEX('Price History'!B:B,MATCH(9.99E+307,'Returns (Calc)'!$A:$A)+1)-'Price History'!B3)*(ROW()-3)/(MATCH(9.99E+307,'Returns (Calc)'!$A:$A)-3),"")</f>
        <v>235.846962025317</v>
      </c>
      <c r="X162" s="145" t="n">
        <f aca="false">IFERROR('Price History'!C3+(INDEX('Price History'!C:C,MATCH(9.99E+307,'Returns (Calc)'!$A:$A)+1)-'Price History'!C3)*(ROW()-3)/(MATCH(9.99E+307,'Returns (Calc)'!$A:$A)-3),"")</f>
        <v>208.370063291139</v>
      </c>
      <c r="Y162" s="145" t="n">
        <f aca="false">IFERROR('Price History'!D3+(INDEX('Price History'!D:D,MATCH(9.99E+307,'Returns (Calc)'!$A:$A)+1)-'Price History'!D3)*(ROW()-3)/(MATCH(9.99E+307,'Returns (Calc)'!$A:$A)-3),"")</f>
        <v>1875.44481012658</v>
      </c>
      <c r="Z162" s="145" t="n">
        <f aca="false">IFERROR('Price History'!E3+(INDEX('Price History'!E:E,MATCH(9.99E+307,'Returns (Calc)'!$A:$A)+1)-'Price History'!E3)*(ROW()-3)/(MATCH(9.99E+307,'Returns (Calc)'!$A:$A)-3),"")</f>
        <v>356.868734177215</v>
      </c>
      <c r="AA162" s="145" t="n">
        <f aca="false">IFERROR('Price History'!F3+(INDEX('Price History'!F:F,MATCH(9.99E+307,'Returns (Calc)'!$A:$A)+1)-'Price History'!F3)*(ROW()-3)/(MATCH(9.99E+307,'Returns (Calc)'!$A:$A)-3),"")</f>
        <v>271.487341772152</v>
      </c>
      <c r="AB162" s="145" t="n">
        <f aca="false">IFERROR('Price History'!G3+(INDEX('Price History'!G:G,MATCH(9.99E+307,'Returns (Calc)'!$A:$A)+1)-'Price History'!G3)*(ROW()-3)/(MATCH(9.99E+307,'Returns (Calc)'!$A:$A)-3),"")</f>
        <v>207.918734177215</v>
      </c>
      <c r="AC162" s="145" t="n">
        <f aca="false">IFERROR('Price History'!H3+(INDEX('Price History'!H:H,MATCH(9.99E+307,'Returns (Calc)'!$A:$A)+1)-'Price History'!H3)*(ROW()-3)/(MATCH(9.99E+307,'Returns (Calc)'!$A:$A)-3),"")</f>
        <v>1081.25569620253</v>
      </c>
      <c r="AD162" s="145" t="n">
        <f aca="false">IFERROR('Price History'!I3+(INDEX('Price History'!I:I,MATCH(9.99E+307,'Returns (Calc)'!$A:$A)+1)-'Price History'!I3)*(ROW()-3)/(MATCH(9.99E+307,'Returns (Calc)'!$A:$A)-3),"")</f>
        <v>235.153670886076</v>
      </c>
      <c r="AE162" s="145" t="n">
        <f aca="false">IFERROR('Price History'!J3+(INDEX('Price History'!J:J,MATCH(9.99E+307,'Returns (Calc)'!$A:$A)+1)-'Price History'!J3)*(ROW()-3)/(MATCH(9.99E+307,'Returns (Calc)'!$A:$A)-3),"")</f>
        <v>129.018037974684</v>
      </c>
      <c r="AF162" s="145" t="n">
        <f aca="false">IFERROR('Price History'!K3+(INDEX('Price History'!K:K,MATCH(9.99E+307,'Returns (Calc)'!$A:$A)+1)-'Price History'!K3)*(ROW()-3)/(MATCH(9.99E+307,'Returns (Calc)'!$A:$A)-3),"")</f>
        <v>189.847594936709</v>
      </c>
      <c r="AG162" s="145" t="n">
        <f aca="false">IFERROR('Price History'!L3+(INDEX('Price History'!L:L,MATCH(9.99E+307,'Returns (Calc)'!$A:$A)+1)-'Price History'!L3)*(ROW()-3)/(MATCH(9.99E+307,'Returns (Calc)'!$A:$A)-3),"")</f>
        <v>475.229556962025</v>
      </c>
      <c r="AH162" s="145" t="n">
        <f aca="false">IFERROR('Price History'!M3+(INDEX('Price History'!M:M,MATCH(9.99E+307,'Returns (Calc)'!$A:$A)+1)-'Price History'!M3)*(ROW()-3)/(MATCH(9.99E+307,'Returns (Calc)'!$A:$A)-3),"")</f>
        <v>253.535443037975</v>
      </c>
      <c r="AI162" s="145" t="n">
        <f aca="false">IFERROR('Price History'!N3+(INDEX('Price History'!N:N,MATCH(9.99E+307,'Returns (Calc)'!$A:$A)+1)-'Price History'!N3)*(ROW()-3)/(MATCH(9.99E+307,'Returns (Calc)'!$A:$A)-3),"")</f>
        <v>505.716265822785</v>
      </c>
      <c r="AJ162" s="145" t="n">
        <f aca="false">IFERROR('Price History'!O3+(INDEX('Price History'!O:O,MATCH(9.99E+307,'Returns (Calc)'!$A:$A)+1)-'Price History'!O3)*(ROW()-3)/(MATCH(9.99E+307,'Returns (Calc)'!$A:$A)-3),"")</f>
        <v>120.313037974684</v>
      </c>
      <c r="AK162" s="145" t="n">
        <f aca="false">IFERROR('Price History'!Q3+(INDEX('Price History'!Q:Q,MATCH(9.99E+307,'Returns (Calc)'!$A:$A)+1)-'Price History'!Q3)*(ROW()-3)/(MATCH(9.99E+307,'Returns (Calc)'!$A:$A)-3),"")</f>
        <v>69.8593670886076</v>
      </c>
      <c r="AL162" s="145" t="n">
        <f aca="false">IFERROR('Price History'!R3+(INDEX('Price History'!R:R,MATCH(9.99E+307,'Returns (Calc)'!$A:$A)+1)-'Price History'!R3)*(ROW()-3)/(MATCH(9.99E+307,'Returns (Calc)'!$A:$A)-3),"")</f>
        <v>61.2081012658228</v>
      </c>
      <c r="AM162" s="145" t="n">
        <f aca="false">IFERROR('Price History'!S3+(INDEX('Price History'!S:S,MATCH(9.99E+307,'Returns (Calc)'!$A:$A)+1)-'Price History'!S3)*(ROW()-3)/(MATCH(9.99E+307,'Returns (Calc)'!$A:$A)-3),"")</f>
        <v>153.835063291139</v>
      </c>
      <c r="AN162" s="145" t="n">
        <f aca="false">IFERROR('Price History'!T3+(INDEX('Price History'!T:T,MATCH(9.99E+307,'Returns (Calc)'!$A:$A)+1)-'Price History'!T3)*(ROW()-3)/(MATCH(9.99E+307,'Returns (Calc)'!$A:$A)-3),"")</f>
        <v>51.9882278481013</v>
      </c>
      <c r="AO162" s="145" t="n">
        <f aca="false">IFERROR('Price History'!V3+(INDEX('Price History'!V:V,MATCH(9.99E+307,'Returns (Calc)'!$A:$A)+1)-'Price History'!V3)*(ROW()-3)/(MATCH(9.99E+307,'Returns (Calc)'!$A:$A)-3),"")</f>
        <v>361.451329113924</v>
      </c>
      <c r="AP162" s="143" t="str">
        <f aca="false">IFERROR(IF(OR(NOT(ISNUMBER('Price History'!W163)),NOT(ISNUMBER('Price History'!W162)),'Price History'!W162=0),"",'Price History'!W163/'Price History'!W162-1),"")</f>
        <v/>
      </c>
      <c r="AQ162" s="143" t="str">
        <f aca="false">IFERROR(IF(OR(NOT(ISNUMBER('Price History'!X163)),NOT(ISNUMBER('Price History'!X162)),'Price History'!X162=0),"",'Price History'!X163/'Price History'!X162-1),"")</f>
        <v/>
      </c>
      <c r="AR162" s="143" t="str">
        <f aca="false">IFERROR(IF(OR(NOT(ISNUMBER('Price History'!Y163)),NOT(ISNUMBER('Price History'!Y162)),'Price History'!Y162=0),"",'Price History'!Y163/'Price History'!Y162-1),"")</f>
        <v/>
      </c>
      <c r="AS162" s="143" t="str">
        <f aca="false">IFERROR(IF(OR(NOT(ISNUMBER('Price History'!Z163)),NOT(ISNUMBER('Price History'!Z162)),'Price History'!Z162=0),"",'Price History'!Z163/'Price History'!Z162-1),"")</f>
        <v/>
      </c>
      <c r="AT162" s="143" t="str">
        <f aca="false">IFERROR(IF(OR(NOT(ISNUMBER('Price History'!AA163)),NOT(ISNUMBER('Price History'!AA162)),'Price History'!AA162=0),"",'Price History'!AA163/'Price History'!AA162-1),"")</f>
        <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F17" activePane="bottomRight" state="frozen"/>
      <selection pane="topLeft" activeCell="A1" activeCellId="0" sqref="A1"/>
      <selection pane="topRight" activeCell="F1" activeCellId="0" sqref="F1"/>
      <selection pane="bottomLeft" activeCell="A17" activeCellId="0" sqref="A17"/>
      <selection pane="bottomRight" activeCell="S33" activeCellId="0" sqref="S33"/>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23" width="6.77"/>
    <col collapsed="false" customWidth="false" hidden="false" outlineLevel="0" max="21" min="3" style="23" width="8.67"/>
    <col collapsed="false" customWidth="true" hidden="false" outlineLevel="0" max="22" min="22" style="23" width="9"/>
    <col collapsed="false" customWidth="false" hidden="false" outlineLevel="0" max="33" min="23" style="1" width="8.67"/>
  </cols>
  <sheetData>
    <row r="1" customFormat="false" ht="15" hidden="false" customHeight="true" outlineLevel="0" collapsed="false">
      <c r="A1" s="146" t="s">
        <v>456</v>
      </c>
      <c r="B1" s="146"/>
      <c r="C1" s="146"/>
      <c r="D1" s="146"/>
      <c r="E1" s="146"/>
      <c r="F1" s="146"/>
      <c r="G1" s="146"/>
      <c r="H1" s="146"/>
      <c r="I1" s="146"/>
      <c r="J1" s="146"/>
      <c r="K1" s="146"/>
      <c r="L1" s="146"/>
      <c r="M1" s="146"/>
      <c r="N1" s="146"/>
      <c r="O1" s="146"/>
      <c r="P1" s="146"/>
      <c r="Q1" s="146"/>
      <c r="R1" s="146"/>
      <c r="S1" s="146"/>
      <c r="T1" s="146"/>
      <c r="U1" s="146"/>
      <c r="V1" s="146"/>
      <c r="W1" s="146"/>
      <c r="X1" s="146"/>
      <c r="Y1" s="146"/>
      <c r="Z1" s="146"/>
      <c r="AA1" s="146"/>
      <c r="AB1" s="146"/>
      <c r="AC1" s="146"/>
      <c r="AD1" s="146"/>
      <c r="AE1" s="146"/>
      <c r="AF1" s="146"/>
      <c r="AG1" s="146"/>
    </row>
    <row r="2" customFormat="false" ht="15" hidden="false" customHeight="true" outlineLevel="0" collapsed="false">
      <c r="A2" s="147" t="s">
        <v>457</v>
      </c>
      <c r="J2" s="148" t="n">
        <f aca="false">COUNTIF(AG6:AG31,"&gt;1")</f>
        <v>11</v>
      </c>
    </row>
    <row r="3" customFormat="false" ht="15" hidden="false" customHeight="true" outlineLevel="0" collapsed="false">
      <c r="A3" s="147" t="s">
        <v>458</v>
      </c>
      <c r="J3" s="148" t="str">
        <f aca="false">IF(J2&gt;0,"REVIEW REQUIRED","OK")</f>
        <v>REVIEW REQUIRED</v>
      </c>
    </row>
    <row r="5" customFormat="false" ht="27.75" hidden="false" customHeight="true" outlineLevel="0" collapsed="false">
      <c r="A5" s="149" t="s">
        <v>81</v>
      </c>
      <c r="B5" s="149" t="str">
        <f aca="false">'Returns (Calc)'!B2</f>
        <v>ADBE</v>
      </c>
      <c r="C5" s="149" t="str">
        <f aca="false">'Returns (Calc)'!C2</f>
        <v>ANET</v>
      </c>
      <c r="D5" s="149" t="str">
        <f aca="false">'Returns (Calc)'!D2</f>
        <v>ASML</v>
      </c>
      <c r="E5" s="149" t="str">
        <f aca="false">'Returns (Calc)'!E2</f>
        <v>AVGO</v>
      </c>
      <c r="F5" s="149" t="str">
        <f aca="false">'Returns (Calc)'!F2</f>
        <v>CRWD</v>
      </c>
      <c r="G5" s="149" t="str">
        <f aca="false">'Returns (Calc)'!G2</f>
        <v>KLAC</v>
      </c>
      <c r="H5" s="149" t="str">
        <f aca="false">'Returns (Calc)'!H2</f>
        <v>MU</v>
      </c>
      <c r="I5" s="149" t="str">
        <f aca="false">'Returns (Calc)'!I2</f>
        <v>NVDA</v>
      </c>
      <c r="J5" s="149" t="str">
        <f aca="false">'Returns (Calc)'!J2</f>
        <v>PLD</v>
      </c>
      <c r="K5" s="149" t="str">
        <f aca="false">'Returns (Calc)'!K2</f>
        <v>PLTR</v>
      </c>
      <c r="L5" s="149" t="str">
        <f aca="false">'Returns (Calc)'!L2</f>
        <v>TSM</v>
      </c>
      <c r="M5" s="149" t="str">
        <f aca="false">'Returns (Calc)'!M2</f>
        <v>VRT</v>
      </c>
      <c r="N5" s="149" t="str">
        <f aca="false">'Returns (Calc)'!N2</f>
        <v>VRTX</v>
      </c>
      <c r="O5" s="149" t="str">
        <f aca="false">'Returns (Calc)'!O2</f>
        <v>AVUV</v>
      </c>
      <c r="P5" s="149" t="str">
        <f aca="false">'Returns (Calc)'!P2</f>
        <v>DVY</v>
      </c>
      <c r="Q5" s="149" t="str">
        <f aca="false">'Returns (Calc)'!Q2</f>
        <v>HELO</v>
      </c>
      <c r="R5" s="149" t="str">
        <f aca="false">'Returns (Calc)'!R2</f>
        <v>JEPQ</v>
      </c>
      <c r="S5" s="149" t="str">
        <f aca="false">'Returns (Calc)'!S2</f>
        <v>SPMO</v>
      </c>
      <c r="T5" s="149" t="str">
        <f aca="false">'Returns (Calc)'!T2</f>
        <v>VFLO</v>
      </c>
      <c r="U5" s="149" t="str">
        <f aca="false">'Returns (Calc)'!U2</f>
        <v>SCHD</v>
      </c>
      <c r="V5" s="149" t="str">
        <f aca="false">'Returns (Calc)'!V2</f>
        <v>V</v>
      </c>
      <c r="W5" s="149" t="str">
        <f aca="false">'Returns (Calc)'!AP2</f>
        <v>VYM</v>
      </c>
      <c r="X5" s="149" t="str">
        <f aca="false">'Returns (Calc)'!AQ2</f>
        <v>MLPI</v>
      </c>
      <c r="Y5" s="149" t="str">
        <f aca="false">'Returns (Calc)'!AR2</f>
        <v>JEPI</v>
      </c>
      <c r="Z5" s="149" t="str">
        <f aca="false">'Returns (Calc)'!AS2</f>
        <v>GE</v>
      </c>
      <c r="AA5" s="149" t="str">
        <f aca="false">'Returns (Calc)'!AT2</f>
        <v>NFLX</v>
      </c>
      <c r="AB5" s="150"/>
      <c r="AC5" s="150"/>
      <c r="AD5" s="150"/>
      <c r="AE5" s="150"/>
      <c r="AF5" s="150"/>
      <c r="AG5" s="149" t="s">
        <v>459</v>
      </c>
    </row>
    <row r="6" customFormat="false" ht="15" hidden="false" customHeight="true" outlineLevel="0" collapsed="false">
      <c r="A6" s="151" t="str">
        <f aca="false">'Returns (Calc)'!B2</f>
        <v>ADBE</v>
      </c>
      <c r="B6" s="152" t="n">
        <v>1</v>
      </c>
      <c r="C6" s="152" t="n">
        <f aca="false">IFERROR(ROUND(CORREL('Returns (Calc)'!$B$3:$B$500,'Returns (Calc)'!$C$3:$C$500),2),"")</f>
        <v>0.2</v>
      </c>
      <c r="D6" s="152" t="n">
        <f aca="false">IFERROR(ROUND(CORREL('Returns (Calc)'!$B$3:$B$500,'Returns (Calc)'!$D$3:$D$500),2),"")</f>
        <v>0.01</v>
      </c>
      <c r="E6" s="152" t="n">
        <f aca="false">IFERROR(ROUND(CORREL('Returns (Calc)'!$B$3:$B$500,'Returns (Calc)'!$E$3:$E$500),2),"")</f>
        <v>0.16</v>
      </c>
      <c r="F6" s="152" t="n">
        <f aca="false">IFERROR(ROUND(CORREL('Returns (Calc)'!$B$3:$B$500,'Returns (Calc)'!$F$3:$F$500),2),"")</f>
        <v>0.4</v>
      </c>
      <c r="G6" s="152" t="n">
        <f aca="false">IFERROR(ROUND(CORREL('Returns (Calc)'!$B$3:$B$500,'Returns (Calc)'!$G$3:$G$500),2),"")</f>
        <v>-0.06</v>
      </c>
      <c r="H6" s="152" t="n">
        <f aca="false">IFERROR(ROUND(CORREL('Returns (Calc)'!$B$3:$B$500,'Returns (Calc)'!$H$3:$H$500),2),"")</f>
        <v>0.04</v>
      </c>
      <c r="I6" s="152" t="n">
        <f aca="false">IFERROR(ROUND(CORREL('Returns (Calc)'!$B$3:$B$500,'Returns (Calc)'!$I$3:$I$500),2),"")</f>
        <v>0.21</v>
      </c>
      <c r="J6" s="152" t="n">
        <f aca="false">IFERROR(ROUND(CORREL('Returns (Calc)'!$B$3:$B$500,'Returns (Calc)'!$J$3:$J$500),2),"")</f>
        <v>0.17</v>
      </c>
      <c r="K6" s="152" t="n">
        <f aca="false">IFERROR(ROUND(CORREL('Returns (Calc)'!$B$3:$B$500,'Returns (Calc)'!$K$3:$K$500),2),"")</f>
        <v>0.37</v>
      </c>
      <c r="L6" s="152" t="n">
        <f aca="false">IFERROR(ROUND(CORREL('Returns (Calc)'!$B$3:$B$500,'Returns (Calc)'!$L$3:$L$500),2),"")</f>
        <v>0.15</v>
      </c>
      <c r="M6" s="152" t="n">
        <f aca="false">IFERROR(ROUND(CORREL('Returns (Calc)'!$B$3:$B$500,'Returns (Calc)'!$M$3:$M$500),2),"")</f>
        <v>0.06</v>
      </c>
      <c r="N6" s="152" t="n">
        <f aca="false">IFERROR(ROUND(CORREL('Returns (Calc)'!$B$3:$B$500,'Returns (Calc)'!$N$3:$N$500),2),"")</f>
        <v>0.14</v>
      </c>
      <c r="O6" s="152" t="n">
        <f aca="false">IFERROR(ROUND(CORREL('Returns (Calc)'!$B$3:$B$500,'Returns (Calc)'!$O$3:$O$500),2),"")</f>
        <v>0.16</v>
      </c>
      <c r="P6" s="152" t="n">
        <f aca="false">IFERROR(ROUND(CORREL('Returns (Calc)'!$B$3:$B$500,'Returns (Calc)'!$P$3:$P$500),2),"")</f>
        <v>0.14</v>
      </c>
      <c r="Q6" s="152" t="n">
        <f aca="false">IFERROR(ROUND(CORREL('Returns (Calc)'!$B$3:$B$500,'Returns (Calc)'!$Q$3:$Q$500),2),"")</f>
        <v>0.44</v>
      </c>
      <c r="R6" s="152" t="n">
        <f aca="false">IFERROR(ROUND(CORREL('Returns (Calc)'!$B$3:$B$500,'Returns (Calc)'!$R$3:$R$500),2),"")</f>
        <v>0.34</v>
      </c>
      <c r="S6" s="152" t="n">
        <f aca="false">IFERROR(ROUND(CORREL('Returns (Calc)'!$B$3:$B$500,'Returns (Calc)'!$S$3:$S$500),2),"")</f>
        <v>0.23</v>
      </c>
      <c r="T6" s="152" t="n">
        <f aca="false">IFERROR(ROUND(CORREL('Returns (Calc)'!$B$3:$B$500,'Returns (Calc)'!$T$3:$T$500),2),"")</f>
        <v>0.42</v>
      </c>
      <c r="U6" s="152" t="n">
        <f aca="false">IFERROR(ROUND(CORREL('Returns (Calc)'!$B$3:$B$500,'Returns (Calc)'!$U$3:$U$500),2),"")</f>
        <v>0.22</v>
      </c>
      <c r="V6" s="152" t="n">
        <f aca="false">IFERROR(ROUND(CORREL('Returns (Calc)'!$B$3:$B$500,'Returns (Calc)'!$V$3:$V$500),2),"")</f>
        <v>0.4</v>
      </c>
      <c r="W6" s="152" t="n">
        <f aca="false">IFERROR(ROUND(CORREL('Returns (Calc)'!$B$3:$B$500,'Returns (Calc)'!$AP$3:$AP$500),2),"")</f>
        <v>0.22</v>
      </c>
      <c r="X6" s="152" t="n">
        <f aca="false">IFERROR(ROUND(CORREL('Returns (Calc)'!$B$3:$B$500,'Returns (Calc)'!$AQ$3:$AQ$500),2),"")</f>
        <v>-0.24</v>
      </c>
      <c r="Y6" s="152" t="n">
        <f aca="false">IFERROR(ROUND(CORREL('Returns (Calc)'!$B$3:$B$500,'Returns (Calc)'!$AR$3:$AR$500),2),"")</f>
        <v>0.33</v>
      </c>
      <c r="Z6" s="152" t="n">
        <f aca="false">IFERROR(ROUND(CORREL('Returns (Calc)'!$B$3:$B$500,'Returns (Calc)'!$AS$3:$AS$500),2),"")</f>
        <v>0.09</v>
      </c>
      <c r="AA6" s="152" t="n">
        <f aca="false">IFERROR(ROUND(CORREL('Returns (Calc)'!$B$3:$B$500,'Returns (Calc)'!$AT$3:$AT$500),2),"")</f>
        <v>0.21</v>
      </c>
      <c r="AG6" s="153" t="n">
        <f aca="false">COUNTIF(B6:AA6,"&gt;0.7")-1</f>
        <v>0</v>
      </c>
    </row>
    <row r="7" customFormat="false" ht="15" hidden="false" customHeight="true" outlineLevel="0" collapsed="false">
      <c r="A7" s="151" t="str">
        <f aca="false">'Returns (Calc)'!C2</f>
        <v>ANET</v>
      </c>
      <c r="B7" s="152" t="n">
        <f aca="false">IFERROR(ROUND(CORREL('Returns (Calc)'!$C$3:$C$500,'Returns (Calc)'!$B$3:$B$500),2),"")</f>
        <v>0.2</v>
      </c>
      <c r="C7" s="152" t="n">
        <v>1</v>
      </c>
      <c r="D7" s="152" t="n">
        <f aca="false">IFERROR(ROUND(CORREL('Returns (Calc)'!$C$3:$C$500,'Returns (Calc)'!$D$3:$D$500),2),"")</f>
        <v>0.39</v>
      </c>
      <c r="E7" s="152" t="n">
        <f aca="false">IFERROR(ROUND(CORREL('Returns (Calc)'!$C$3:$C$500,'Returns (Calc)'!$E$3:$E$500),2),"")</f>
        <v>0.59</v>
      </c>
      <c r="F7" s="152" t="n">
        <f aca="false">IFERROR(ROUND(CORREL('Returns (Calc)'!$C$3:$C$500,'Returns (Calc)'!$F$3:$F$500),2),"")</f>
        <v>0.37</v>
      </c>
      <c r="G7" s="152" t="n">
        <f aca="false">IFERROR(ROUND(CORREL('Returns (Calc)'!$C$3:$C$500,'Returns (Calc)'!$G$3:$G$500),2),"")</f>
        <v>0.43</v>
      </c>
      <c r="H7" s="152" t="n">
        <f aca="false">IFERROR(ROUND(CORREL('Returns (Calc)'!$C$3:$C$500,'Returns (Calc)'!$H$3:$H$500),2),"")</f>
        <v>0.34</v>
      </c>
      <c r="I7" s="152" t="n">
        <f aca="false">IFERROR(ROUND(CORREL('Returns (Calc)'!$C$3:$C$500,'Returns (Calc)'!$I$3:$I$500),2),"")</f>
        <v>0.52</v>
      </c>
      <c r="J7" s="152" t="n">
        <f aca="false">IFERROR(ROUND(CORREL('Returns (Calc)'!$C$3:$C$500,'Returns (Calc)'!$J$3:$J$500),2),"")</f>
        <v>0.18</v>
      </c>
      <c r="K7" s="152" t="n">
        <f aca="false">IFERROR(ROUND(CORREL('Returns (Calc)'!$C$3:$C$500,'Returns (Calc)'!$K$3:$K$500),2),"")</f>
        <v>0.34</v>
      </c>
      <c r="L7" s="152" t="n">
        <f aca="false">IFERROR(ROUND(CORREL('Returns (Calc)'!$C$3:$C$500,'Returns (Calc)'!$L$3:$L$500),2),"")</f>
        <v>0.55</v>
      </c>
      <c r="M7" s="152" t="n">
        <f aca="false">IFERROR(ROUND(CORREL('Returns (Calc)'!$C$3:$C$500,'Returns (Calc)'!$M$3:$M$500),2),"")</f>
        <v>0.58</v>
      </c>
      <c r="N7" s="152" t="n">
        <f aca="false">IFERROR(ROUND(CORREL('Returns (Calc)'!$C$3:$C$500,'Returns (Calc)'!$N$3:$N$500),2),"")</f>
        <v>0.05</v>
      </c>
      <c r="O7" s="152" t="n">
        <f aca="false">IFERROR(ROUND(CORREL('Returns (Calc)'!$C$3:$C$500,'Returns (Calc)'!$O$3:$O$500),2),"")</f>
        <v>0.35</v>
      </c>
      <c r="P7" s="152" t="n">
        <f aca="false">IFERROR(ROUND(CORREL('Returns (Calc)'!$C$3:$C$500,'Returns (Calc)'!$P$3:$P$500),2),"")</f>
        <v>0.24</v>
      </c>
      <c r="Q7" s="152" t="n">
        <f aca="false">IFERROR(ROUND(CORREL('Returns (Calc)'!$C$3:$C$500,'Returns (Calc)'!$Q$3:$Q$500),2),"")</f>
        <v>0.65</v>
      </c>
      <c r="R7" s="152" t="n">
        <f aca="false">IFERROR(ROUND(CORREL('Returns (Calc)'!$C$3:$C$500,'Returns (Calc)'!$R$3:$R$500),2),"")</f>
        <v>0.67</v>
      </c>
      <c r="S7" s="152" t="n">
        <f aca="false">IFERROR(ROUND(CORREL('Returns (Calc)'!$C$3:$C$500,'Returns (Calc)'!$S$3:$S$500),2),"")</f>
        <v>0.64</v>
      </c>
      <c r="T7" s="152" t="n">
        <f aca="false">IFERROR(ROUND(CORREL('Returns (Calc)'!$C$3:$C$500,'Returns (Calc)'!$T$3:$T$500),2),"")</f>
        <v>0.33</v>
      </c>
      <c r="U7" s="152" t="n">
        <f aca="false">IFERROR(ROUND(CORREL('Returns (Calc)'!$C$3:$C$500,'Returns (Calc)'!$U$3:$U$500),2),"")</f>
        <v>0.27</v>
      </c>
      <c r="V7" s="152" t="n">
        <f aca="false">IFERROR(ROUND(CORREL('Returns (Calc)'!$C$3:$C$500,'Returns (Calc)'!$V$3:$V$500),2),"")</f>
        <v>0.25</v>
      </c>
      <c r="W7" s="152" t="n">
        <f aca="false">IFERROR(ROUND(CORREL('Returns (Calc)'!$C$3:$C$500,'Returns (Calc)'!$AP$3:$AP$500),2),"")</f>
        <v>0.46</v>
      </c>
      <c r="X7" s="152" t="n">
        <f aca="false">IFERROR(ROUND(CORREL('Returns (Calc)'!$C$3:$C$500,'Returns (Calc)'!$AQ$3:$AQ$500),2),"")</f>
        <v>-0.04</v>
      </c>
      <c r="Y7" s="152" t="n">
        <f aca="false">IFERROR(ROUND(CORREL('Returns (Calc)'!$C$3:$C$500,'Returns (Calc)'!$AR$3:$AR$500),2),"")</f>
        <v>0.51</v>
      </c>
      <c r="Z7" s="152" t="n">
        <f aca="false">IFERROR(ROUND(CORREL('Returns (Calc)'!$C$3:$C$500,'Returns (Calc)'!$AS$3:$AS$500),2),"")</f>
        <v>0.34</v>
      </c>
      <c r="AA7" s="152" t="n">
        <f aca="false">IFERROR(ROUND(CORREL('Returns (Calc)'!$C$3:$C$500,'Returns (Calc)'!$AT$3:$AT$500),2),"")</f>
        <v>0.39</v>
      </c>
      <c r="AG7" s="153" t="n">
        <f aca="false">COUNTIF(B7:AA7,"&gt;0.7")-1</f>
        <v>0</v>
      </c>
    </row>
    <row r="8" customFormat="false" ht="15" hidden="false" customHeight="true" outlineLevel="0" collapsed="false">
      <c r="A8" s="151" t="str">
        <f aca="false">'Returns (Calc)'!D2</f>
        <v>ASML</v>
      </c>
      <c r="B8" s="152" t="n">
        <f aca="false">IFERROR(ROUND(CORREL('Returns (Calc)'!$D$3:$D$500,'Returns (Calc)'!$B$3:$B$500),2),"")</f>
        <v>0.01</v>
      </c>
      <c r="C8" s="152" t="n">
        <f aca="false">IFERROR(ROUND(CORREL('Returns (Calc)'!$D$3:$D$500,'Returns (Calc)'!$C$3:$C$500),2),"")</f>
        <v>0.39</v>
      </c>
      <c r="D8" s="152" t="n">
        <v>1</v>
      </c>
      <c r="E8" s="152" t="n">
        <f aca="false">IFERROR(ROUND(CORREL('Returns (Calc)'!$D$3:$D$500,'Returns (Calc)'!$E$3:$E$500),2),"")</f>
        <v>0.49</v>
      </c>
      <c r="F8" s="152" t="n">
        <f aca="false">IFERROR(ROUND(CORREL('Returns (Calc)'!$D$3:$D$500,'Returns (Calc)'!$F$3:$F$500),2),"")</f>
        <v>0.33</v>
      </c>
      <c r="G8" s="152" t="n">
        <f aca="false">IFERROR(ROUND(CORREL('Returns (Calc)'!$D$3:$D$500,'Returns (Calc)'!$G$3:$G$500),2),"")</f>
        <v>0.77</v>
      </c>
      <c r="H8" s="152" t="n">
        <f aca="false">IFERROR(ROUND(CORREL('Returns (Calc)'!$D$3:$D$500,'Returns (Calc)'!$H$3:$H$500),2),"")</f>
        <v>0.6</v>
      </c>
      <c r="I8" s="152" t="n">
        <f aca="false">IFERROR(ROUND(CORREL('Returns (Calc)'!$D$3:$D$500,'Returns (Calc)'!$I$3:$I$500),2),"")</f>
        <v>0.49</v>
      </c>
      <c r="J8" s="152" t="n">
        <f aca="false">IFERROR(ROUND(CORREL('Returns (Calc)'!$D$3:$D$500,'Returns (Calc)'!$J$3:$J$500),2),"")</f>
        <v>0.27</v>
      </c>
      <c r="K8" s="152" t="n">
        <f aca="false">IFERROR(ROUND(CORREL('Returns (Calc)'!$D$3:$D$500,'Returns (Calc)'!$K$3:$K$500),2),"")</f>
        <v>0.21</v>
      </c>
      <c r="L8" s="152" t="n">
        <f aca="false">IFERROR(ROUND(CORREL('Returns (Calc)'!$D$3:$D$500,'Returns (Calc)'!$L$3:$L$500),2),"")</f>
        <v>0.64</v>
      </c>
      <c r="M8" s="152" t="n">
        <f aca="false">IFERROR(ROUND(CORREL('Returns (Calc)'!$D$3:$D$500,'Returns (Calc)'!$M$3:$M$500),2),"")</f>
        <v>0.43</v>
      </c>
      <c r="N8" s="152" t="n">
        <f aca="false">IFERROR(ROUND(CORREL('Returns (Calc)'!$D$3:$D$500,'Returns (Calc)'!$N$3:$N$500),2),"")</f>
        <v>0.11</v>
      </c>
      <c r="O8" s="152" t="n">
        <f aca="false">IFERROR(ROUND(CORREL('Returns (Calc)'!$D$3:$D$500,'Returns (Calc)'!$O$3:$O$500),2),"")</f>
        <v>0.38</v>
      </c>
      <c r="P8" s="152" t="n">
        <f aca="false">IFERROR(ROUND(CORREL('Returns (Calc)'!$D$3:$D$500,'Returns (Calc)'!$P$3:$P$500),2),"")</f>
        <v>0.23</v>
      </c>
      <c r="Q8" s="152" t="n">
        <f aca="false">IFERROR(ROUND(CORREL('Returns (Calc)'!$D$3:$D$500,'Returns (Calc)'!$Q$3:$Q$500),2),"")</f>
        <v>0.51</v>
      </c>
      <c r="R8" s="152" t="n">
        <f aca="false">IFERROR(ROUND(CORREL('Returns (Calc)'!$D$3:$D$500,'Returns (Calc)'!$R$3:$R$500),2),"")</f>
        <v>0.61</v>
      </c>
      <c r="S8" s="152" t="n">
        <f aca="false">IFERROR(ROUND(CORREL('Returns (Calc)'!$D$3:$D$500,'Returns (Calc)'!$S$3:$S$500),2),"")</f>
        <v>0.61</v>
      </c>
      <c r="T8" s="152" t="n">
        <f aca="false">IFERROR(ROUND(CORREL('Returns (Calc)'!$D$3:$D$500,'Returns (Calc)'!$T$3:$T$500),2),"")</f>
        <v>0.3</v>
      </c>
      <c r="U8" s="152" t="n">
        <f aca="false">IFERROR(ROUND(CORREL('Returns (Calc)'!$D$3:$D$500,'Returns (Calc)'!$U$3:$U$500),2),"")</f>
        <v>0.26</v>
      </c>
      <c r="V8" s="152" t="n">
        <f aca="false">IFERROR(ROUND(CORREL('Returns (Calc)'!$D$3:$D$500,'Returns (Calc)'!$V$3:$V$500),2),"")</f>
        <v>0.04</v>
      </c>
      <c r="W8" s="152" t="n">
        <f aca="false">IFERROR(ROUND(CORREL('Returns (Calc)'!$D$3:$D$500,'Returns (Calc)'!$AP$3:$AP$500),2),"")</f>
        <v>0.42</v>
      </c>
      <c r="X8" s="152" t="n">
        <f aca="false">IFERROR(ROUND(CORREL('Returns (Calc)'!$D$3:$D$500,'Returns (Calc)'!$AQ$3:$AQ$500),2),"")</f>
        <v>-0.18</v>
      </c>
      <c r="Y8" s="152" t="n">
        <f aca="false">IFERROR(ROUND(CORREL('Returns (Calc)'!$D$3:$D$500,'Returns (Calc)'!$AR$3:$AR$500),2),"")</f>
        <v>0.43</v>
      </c>
      <c r="Z8" s="152" t="n">
        <f aca="false">IFERROR(ROUND(CORREL('Returns (Calc)'!$D$3:$D$500,'Returns (Calc)'!$AS$3:$AS$500),2),"")</f>
        <v>0.39</v>
      </c>
      <c r="AA8" s="152" t="n">
        <f aca="false">IFERROR(ROUND(CORREL('Returns (Calc)'!$D$3:$D$500,'Returns (Calc)'!$AT$3:$AT$500),2),"")</f>
        <v>0.21</v>
      </c>
      <c r="AG8" s="153" t="n">
        <f aca="false">COUNTIF(B8:AA8,"&gt;0.7")-1</f>
        <v>1</v>
      </c>
    </row>
    <row r="9" customFormat="false" ht="15" hidden="false" customHeight="true" outlineLevel="0" collapsed="false">
      <c r="A9" s="151" t="str">
        <f aca="false">'Returns (Calc)'!E2</f>
        <v>AVGO</v>
      </c>
      <c r="B9" s="152" t="n">
        <f aca="false">IFERROR(ROUND(CORREL('Returns (Calc)'!$E$3:$E$500,'Returns (Calc)'!$B$3:$B$500),2),"")</f>
        <v>0.16</v>
      </c>
      <c r="C9" s="152" t="n">
        <f aca="false">IFERROR(ROUND(CORREL('Returns (Calc)'!$E$3:$E$500,'Returns (Calc)'!$C$3:$C$500),2),"")</f>
        <v>0.59</v>
      </c>
      <c r="D9" s="152" t="n">
        <f aca="false">IFERROR(ROUND(CORREL('Returns (Calc)'!$E$3:$E$500,'Returns (Calc)'!$D$3:$D$500),2),"")</f>
        <v>0.49</v>
      </c>
      <c r="E9" s="152" t="n">
        <v>1</v>
      </c>
      <c r="F9" s="152" t="n">
        <f aca="false">IFERROR(ROUND(CORREL('Returns (Calc)'!$E$3:$E$500,'Returns (Calc)'!$F$3:$F$500),2),"")</f>
        <v>0.4</v>
      </c>
      <c r="G9" s="152" t="n">
        <f aca="false">IFERROR(ROUND(CORREL('Returns (Calc)'!$E$3:$E$500,'Returns (Calc)'!$G$3:$G$500),2),"")</f>
        <v>0.53</v>
      </c>
      <c r="H9" s="152" t="n">
        <f aca="false">IFERROR(ROUND(CORREL('Returns (Calc)'!$E$3:$E$500,'Returns (Calc)'!$H$3:$H$500),2),"")</f>
        <v>0.48</v>
      </c>
      <c r="I9" s="152" t="n">
        <f aca="false">IFERROR(ROUND(CORREL('Returns (Calc)'!$E$3:$E$500,'Returns (Calc)'!$I$3:$I$500),2),"")</f>
        <v>0.62</v>
      </c>
      <c r="J9" s="152" t="n">
        <f aca="false">IFERROR(ROUND(CORREL('Returns (Calc)'!$E$3:$E$500,'Returns (Calc)'!$J$3:$J$500),2),"")</f>
        <v>0.22</v>
      </c>
      <c r="K9" s="152" t="n">
        <f aca="false">IFERROR(ROUND(CORREL('Returns (Calc)'!$E$3:$E$500,'Returns (Calc)'!$K$3:$K$500),2),"")</f>
        <v>0.38</v>
      </c>
      <c r="L9" s="152" t="n">
        <f aca="false">IFERROR(ROUND(CORREL('Returns (Calc)'!$E$3:$E$500,'Returns (Calc)'!$L$3:$L$500),2),"")</f>
        <v>0.63</v>
      </c>
      <c r="M9" s="152" t="n">
        <f aca="false">IFERROR(ROUND(CORREL('Returns (Calc)'!$E$3:$E$500,'Returns (Calc)'!$M$3:$M$500),2),"")</f>
        <v>0.52</v>
      </c>
      <c r="N9" s="152" t="n">
        <f aca="false">IFERROR(ROUND(CORREL('Returns (Calc)'!$E$3:$E$500,'Returns (Calc)'!$N$3:$N$500),2),"")</f>
        <v>0.14</v>
      </c>
      <c r="O9" s="152" t="n">
        <f aca="false">IFERROR(ROUND(CORREL('Returns (Calc)'!$E$3:$E$500,'Returns (Calc)'!$O$3:$O$500),2),"")</f>
        <v>0.29</v>
      </c>
      <c r="P9" s="152" t="n">
        <f aca="false">IFERROR(ROUND(CORREL('Returns (Calc)'!$E$3:$E$500,'Returns (Calc)'!$P$3:$P$500),2),"")</f>
        <v>0.11</v>
      </c>
      <c r="Q9" s="152" t="n">
        <f aca="false">IFERROR(ROUND(CORREL('Returns (Calc)'!$E$3:$E$500,'Returns (Calc)'!$Q$3:$Q$500),2),"")</f>
        <v>0.67</v>
      </c>
      <c r="R9" s="152" t="n">
        <f aca="false">IFERROR(ROUND(CORREL('Returns (Calc)'!$E$3:$E$500,'Returns (Calc)'!$R$3:$R$500),2),"")</f>
        <v>0.73</v>
      </c>
      <c r="S9" s="152" t="n">
        <f aca="false">IFERROR(ROUND(CORREL('Returns (Calc)'!$E$3:$E$500,'Returns (Calc)'!$S$3:$S$500),2),"")</f>
        <v>0.73</v>
      </c>
      <c r="T9" s="152" t="n">
        <f aca="false">IFERROR(ROUND(CORREL('Returns (Calc)'!$E$3:$E$500,'Returns (Calc)'!$T$3:$T$500),2),"")</f>
        <v>0.27</v>
      </c>
      <c r="U9" s="152" t="n">
        <f aca="false">IFERROR(ROUND(CORREL('Returns (Calc)'!$E$3:$E$500,'Returns (Calc)'!$U$3:$U$500),2),"")</f>
        <v>0.16</v>
      </c>
      <c r="V9" s="152" t="n">
        <f aca="false">IFERROR(ROUND(CORREL('Returns (Calc)'!$E$3:$E$500,'Returns (Calc)'!$V$3:$V$500),2),"")</f>
        <v>0.2</v>
      </c>
      <c r="W9" s="152" t="n">
        <f aca="false">IFERROR(ROUND(CORREL('Returns (Calc)'!$E$3:$E$500,'Returns (Calc)'!$AP$3:$AP$500),2),"")</f>
        <v>0.45</v>
      </c>
      <c r="X9" s="152" t="n">
        <f aca="false">IFERROR(ROUND(CORREL('Returns (Calc)'!$E$3:$E$500,'Returns (Calc)'!$AQ$3:$AQ$500),2),"")</f>
        <v>-0.45</v>
      </c>
      <c r="Y9" s="152" t="n">
        <f aca="false">IFERROR(ROUND(CORREL('Returns (Calc)'!$E$3:$E$500,'Returns (Calc)'!$AR$3:$AR$500),2),"")</f>
        <v>0.44</v>
      </c>
      <c r="Z9" s="152" t="n">
        <f aca="false">IFERROR(ROUND(CORREL('Returns (Calc)'!$E$3:$E$500,'Returns (Calc)'!$AS$3:$AS$500),2),"")</f>
        <v>0.36</v>
      </c>
      <c r="AA9" s="152" t="n">
        <f aca="false">IFERROR(ROUND(CORREL('Returns (Calc)'!$E$3:$E$500,'Returns (Calc)'!$AT$3:$AT$500),2),"")</f>
        <v>0.3</v>
      </c>
      <c r="AG9" s="153" t="n">
        <f aca="false">COUNTIF(B9:AA9,"&gt;0.7")-1</f>
        <v>2</v>
      </c>
    </row>
    <row r="10" customFormat="false" ht="15" hidden="false" customHeight="true" outlineLevel="0" collapsed="false">
      <c r="A10" s="151" t="str">
        <f aca="false">'Returns (Calc)'!F2</f>
        <v>CRWD</v>
      </c>
      <c r="B10" s="152" t="n">
        <f aca="false">IFERROR(ROUND(CORREL('Returns (Calc)'!$F$3:$F$500,'Returns (Calc)'!$B$3:$B$500),2),"")</f>
        <v>0.4</v>
      </c>
      <c r="C10" s="152" t="n">
        <f aca="false">IFERROR(ROUND(CORREL('Returns (Calc)'!$F$3:$F$500,'Returns (Calc)'!$C$3:$C$500),2),"")</f>
        <v>0.37</v>
      </c>
      <c r="D10" s="152" t="n">
        <f aca="false">IFERROR(ROUND(CORREL('Returns (Calc)'!$F$3:$F$500,'Returns (Calc)'!$D$3:$D$500),2),"")</f>
        <v>0.33</v>
      </c>
      <c r="E10" s="152" t="n">
        <f aca="false">IFERROR(ROUND(CORREL('Returns (Calc)'!$F$3:$F$500,'Returns (Calc)'!$E$3:$E$500),2),"")</f>
        <v>0.4</v>
      </c>
      <c r="F10" s="152" t="n">
        <v>1</v>
      </c>
      <c r="G10" s="152" t="n">
        <f aca="false">IFERROR(ROUND(CORREL('Returns (Calc)'!$F$3:$F$500,'Returns (Calc)'!$G$3:$G$500),2),"")</f>
        <v>0.33</v>
      </c>
      <c r="H10" s="152" t="n">
        <f aca="false">IFERROR(ROUND(CORREL('Returns (Calc)'!$F$3:$F$500,'Returns (Calc)'!$H$3:$H$500),2),"")</f>
        <v>0.32</v>
      </c>
      <c r="I10" s="152" t="n">
        <f aca="false">IFERROR(ROUND(CORREL('Returns (Calc)'!$F$3:$F$500,'Returns (Calc)'!$I$3:$I$500),2),"")</f>
        <v>0.46</v>
      </c>
      <c r="J10" s="152" t="n">
        <f aca="false">IFERROR(ROUND(CORREL('Returns (Calc)'!$F$3:$F$500,'Returns (Calc)'!$J$3:$J$500),2),"")</f>
        <v>0.1</v>
      </c>
      <c r="K10" s="152" t="n">
        <f aca="false">IFERROR(ROUND(CORREL('Returns (Calc)'!$F$3:$F$500,'Returns (Calc)'!$K$3:$K$500),2),"")</f>
        <v>0.5</v>
      </c>
      <c r="L10" s="152" t="n">
        <f aca="false">IFERROR(ROUND(CORREL('Returns (Calc)'!$F$3:$F$500,'Returns (Calc)'!$L$3:$L$500),2),"")</f>
        <v>0.39</v>
      </c>
      <c r="M10" s="152" t="n">
        <f aca="false">IFERROR(ROUND(CORREL('Returns (Calc)'!$F$3:$F$500,'Returns (Calc)'!$M$3:$M$500),2),"")</f>
        <v>0.4</v>
      </c>
      <c r="N10" s="152" t="n">
        <f aca="false">IFERROR(ROUND(CORREL('Returns (Calc)'!$F$3:$F$500,'Returns (Calc)'!$N$3:$N$500),2),"")</f>
        <v>0.17</v>
      </c>
      <c r="O10" s="152" t="n">
        <f aca="false">IFERROR(ROUND(CORREL('Returns (Calc)'!$F$3:$F$500,'Returns (Calc)'!$O$3:$O$500),2),"")</f>
        <v>0.19</v>
      </c>
      <c r="P10" s="152" t="n">
        <f aca="false">IFERROR(ROUND(CORREL('Returns (Calc)'!$F$3:$F$500,'Returns (Calc)'!$P$3:$P$500),2),"")</f>
        <v>0.1</v>
      </c>
      <c r="Q10" s="152" t="n">
        <f aca="false">IFERROR(ROUND(CORREL('Returns (Calc)'!$F$3:$F$500,'Returns (Calc)'!$Q$3:$Q$500),2),"")</f>
        <v>0.47</v>
      </c>
      <c r="R10" s="152" t="n">
        <f aca="false">IFERROR(ROUND(CORREL('Returns (Calc)'!$F$3:$F$500,'Returns (Calc)'!$R$3:$R$500),2),"")</f>
        <v>0.55</v>
      </c>
      <c r="S10" s="152" t="n">
        <f aca="false">IFERROR(ROUND(CORREL('Returns (Calc)'!$F$3:$F$500,'Returns (Calc)'!$S$3:$S$500),2),"")</f>
        <v>0.52</v>
      </c>
      <c r="T10" s="152" t="n">
        <f aca="false">IFERROR(ROUND(CORREL('Returns (Calc)'!$F$3:$F$500,'Returns (Calc)'!$T$3:$T$500),2),"")</f>
        <v>0.29</v>
      </c>
      <c r="U10" s="152" t="n">
        <f aca="false">IFERROR(ROUND(CORREL('Returns (Calc)'!$F$3:$F$500,'Returns (Calc)'!$U$3:$U$500),2),"")</f>
        <v>0.11</v>
      </c>
      <c r="V10" s="152" t="n">
        <f aca="false">IFERROR(ROUND(CORREL('Returns (Calc)'!$F$3:$F$500,'Returns (Calc)'!$V$3:$V$500),2),"")</f>
        <v>0.27</v>
      </c>
      <c r="W10" s="152" t="n">
        <f aca="false">IFERROR(ROUND(CORREL('Returns (Calc)'!$F$3:$F$500,'Returns (Calc)'!$AP$3:$AP$500),2),"")</f>
        <v>0.24</v>
      </c>
      <c r="X10" s="152" t="n">
        <f aca="false">IFERROR(ROUND(CORREL('Returns (Calc)'!$F$3:$F$500,'Returns (Calc)'!$AQ$3:$AQ$500),2),"")</f>
        <v>-0.3</v>
      </c>
      <c r="Y10" s="152" t="n">
        <f aca="false">IFERROR(ROUND(CORREL('Returns (Calc)'!$F$3:$F$500,'Returns (Calc)'!$AR$3:$AR$500),2),"")</f>
        <v>0.29</v>
      </c>
      <c r="Z10" s="152" t="n">
        <f aca="false">IFERROR(ROUND(CORREL('Returns (Calc)'!$F$3:$F$500,'Returns (Calc)'!$AS$3:$AS$500),2),"")</f>
        <v>0.24</v>
      </c>
      <c r="AA10" s="152" t="n">
        <f aca="false">IFERROR(ROUND(CORREL('Returns (Calc)'!$F$3:$F$500,'Returns (Calc)'!$AT$3:$AT$500),2),"")</f>
        <v>0.24</v>
      </c>
      <c r="AG10" s="153" t="n">
        <f aca="false">COUNTIF(B10:AA10,"&gt;0.7")-1</f>
        <v>0</v>
      </c>
    </row>
    <row r="11" customFormat="false" ht="15" hidden="false" customHeight="true" outlineLevel="0" collapsed="false">
      <c r="A11" s="151" t="str">
        <f aca="false">'Returns (Calc)'!G2</f>
        <v>KLAC</v>
      </c>
      <c r="B11" s="152" t="n">
        <f aca="false">IFERROR(ROUND(CORREL('Returns (Calc)'!$G$3:$G$500,'Returns (Calc)'!$B$3:$B$500),2),"")</f>
        <v>-0.06</v>
      </c>
      <c r="C11" s="152" t="n">
        <f aca="false">IFERROR(ROUND(CORREL('Returns (Calc)'!$G$3:$G$500,'Returns (Calc)'!$C$3:$C$500),2),"")</f>
        <v>0.43</v>
      </c>
      <c r="D11" s="152" t="n">
        <f aca="false">IFERROR(ROUND(CORREL('Returns (Calc)'!$G$3:$G$500,'Returns (Calc)'!$D$3:$D$500),2),"")</f>
        <v>0.77</v>
      </c>
      <c r="E11" s="152" t="n">
        <f aca="false">IFERROR(ROUND(CORREL('Returns (Calc)'!$G$3:$G$500,'Returns (Calc)'!$E$3:$E$500),2),"")</f>
        <v>0.53</v>
      </c>
      <c r="F11" s="152" t="n">
        <f aca="false">IFERROR(ROUND(CORREL('Returns (Calc)'!$G$3:$G$500,'Returns (Calc)'!$F$3:$F$500),2),"")</f>
        <v>0.33</v>
      </c>
      <c r="G11" s="152" t="n">
        <v>1</v>
      </c>
      <c r="H11" s="152" t="n">
        <f aca="false">IFERROR(ROUND(CORREL('Returns (Calc)'!$G$3:$G$500,'Returns (Calc)'!$H$3:$H$500),2),"")</f>
        <v>0.59</v>
      </c>
      <c r="I11" s="152" t="n">
        <f aca="false">IFERROR(ROUND(CORREL('Returns (Calc)'!$G$3:$G$500,'Returns (Calc)'!$I$3:$I$500),2),"")</f>
        <v>0.52</v>
      </c>
      <c r="J11" s="152" t="n">
        <f aca="false">IFERROR(ROUND(CORREL('Returns (Calc)'!$G$3:$G$500,'Returns (Calc)'!$J$3:$J$500),2),"")</f>
        <v>0.27</v>
      </c>
      <c r="K11" s="152" t="n">
        <f aca="false">IFERROR(ROUND(CORREL('Returns (Calc)'!$G$3:$G$500,'Returns (Calc)'!$K$3:$K$500),2),"")</f>
        <v>0.25</v>
      </c>
      <c r="L11" s="152" t="n">
        <f aca="false">IFERROR(ROUND(CORREL('Returns (Calc)'!$G$3:$G$500,'Returns (Calc)'!$L$3:$L$500),2),"")</f>
        <v>0.62</v>
      </c>
      <c r="M11" s="152" t="n">
        <f aca="false">IFERROR(ROUND(CORREL('Returns (Calc)'!$G$3:$G$500,'Returns (Calc)'!$M$3:$M$500),2),"")</f>
        <v>0.5</v>
      </c>
      <c r="N11" s="152" t="n">
        <f aca="false">IFERROR(ROUND(CORREL('Returns (Calc)'!$G$3:$G$500,'Returns (Calc)'!$N$3:$N$500),2),"")</f>
        <v>0.16</v>
      </c>
      <c r="O11" s="152" t="n">
        <f aca="false">IFERROR(ROUND(CORREL('Returns (Calc)'!$G$3:$G$500,'Returns (Calc)'!$O$3:$O$500),2),"")</f>
        <v>0.43</v>
      </c>
      <c r="P11" s="152" t="n">
        <f aca="false">IFERROR(ROUND(CORREL('Returns (Calc)'!$G$3:$G$500,'Returns (Calc)'!$P$3:$P$500),2),"")</f>
        <v>0.25</v>
      </c>
      <c r="Q11" s="152" t="n">
        <f aca="false">IFERROR(ROUND(CORREL('Returns (Calc)'!$G$3:$G$500,'Returns (Calc)'!$Q$3:$Q$500),2),"")</f>
        <v>0.52</v>
      </c>
      <c r="R11" s="152" t="n">
        <f aca="false">IFERROR(ROUND(CORREL('Returns (Calc)'!$G$3:$G$500,'Returns (Calc)'!$R$3:$R$500),2),"")</f>
        <v>0.62</v>
      </c>
      <c r="S11" s="152" t="n">
        <f aca="false">IFERROR(ROUND(CORREL('Returns (Calc)'!$G$3:$G$500,'Returns (Calc)'!$S$3:$S$500),2),"")</f>
        <v>0.67</v>
      </c>
      <c r="T11" s="152" t="n">
        <f aca="false">IFERROR(ROUND(CORREL('Returns (Calc)'!$G$3:$G$500,'Returns (Calc)'!$T$3:$T$500),2),"")</f>
        <v>0.31</v>
      </c>
      <c r="U11" s="152" t="n">
        <f aca="false">IFERROR(ROUND(CORREL('Returns (Calc)'!$G$3:$G$500,'Returns (Calc)'!$U$3:$U$500),2),"")</f>
        <v>0.28</v>
      </c>
      <c r="V11" s="152" t="n">
        <f aca="false">IFERROR(ROUND(CORREL('Returns (Calc)'!$G$3:$G$500,'Returns (Calc)'!$V$3:$V$500),2),"")</f>
        <v>0.02</v>
      </c>
      <c r="W11" s="152" t="n">
        <f aca="false">IFERROR(ROUND(CORREL('Returns (Calc)'!$G$3:$G$500,'Returns (Calc)'!$AP$3:$AP$500),2),"")</f>
        <v>0.45</v>
      </c>
      <c r="X11" s="152" t="n">
        <f aca="false">IFERROR(ROUND(CORREL('Returns (Calc)'!$G$3:$G$500,'Returns (Calc)'!$AQ$3:$AQ$500),2),"")</f>
        <v>-0.17</v>
      </c>
      <c r="Y11" s="152" t="n">
        <f aca="false">IFERROR(ROUND(CORREL('Returns (Calc)'!$G$3:$G$500,'Returns (Calc)'!$AR$3:$AR$500),2),"")</f>
        <v>0.45</v>
      </c>
      <c r="Z11" s="152" t="n">
        <f aca="false">IFERROR(ROUND(CORREL('Returns (Calc)'!$G$3:$G$500,'Returns (Calc)'!$AS$3:$AS$500),2),"")</f>
        <v>0.38</v>
      </c>
      <c r="AA11" s="152" t="n">
        <f aca="false">IFERROR(ROUND(CORREL('Returns (Calc)'!$G$3:$G$500,'Returns (Calc)'!$AT$3:$AT$500),2),"")</f>
        <v>0.11</v>
      </c>
      <c r="AG11" s="153" t="n">
        <f aca="false">COUNTIF(B11:AA11,"&gt;0.7")-1</f>
        <v>1</v>
      </c>
    </row>
    <row r="12" customFormat="false" ht="15" hidden="false" customHeight="true" outlineLevel="0" collapsed="false">
      <c r="A12" s="151" t="str">
        <f aca="false">'Returns (Calc)'!H2</f>
        <v>MU</v>
      </c>
      <c r="B12" s="152" t="n">
        <f aca="false">IFERROR(ROUND(CORREL('Returns (Calc)'!$H$3:$H$500,'Returns (Calc)'!$B$3:$B$500),2),"")</f>
        <v>0.04</v>
      </c>
      <c r="C12" s="152" t="n">
        <f aca="false">IFERROR(ROUND(CORREL('Returns (Calc)'!$H$3:$H$500,'Returns (Calc)'!$C$3:$C$500),2),"")</f>
        <v>0.34</v>
      </c>
      <c r="D12" s="152" t="n">
        <f aca="false">IFERROR(ROUND(CORREL('Returns (Calc)'!$H$3:$H$500,'Returns (Calc)'!$D$3:$D$500),2),"")</f>
        <v>0.6</v>
      </c>
      <c r="E12" s="152" t="n">
        <f aca="false">IFERROR(ROUND(CORREL('Returns (Calc)'!$H$3:$H$500,'Returns (Calc)'!$E$3:$E$500),2),"")</f>
        <v>0.48</v>
      </c>
      <c r="F12" s="152" t="n">
        <f aca="false">IFERROR(ROUND(CORREL('Returns (Calc)'!$H$3:$H$500,'Returns (Calc)'!$F$3:$F$500),2),"")</f>
        <v>0.32</v>
      </c>
      <c r="G12" s="152" t="n">
        <f aca="false">IFERROR(ROUND(CORREL('Returns (Calc)'!$H$3:$H$500,'Returns (Calc)'!$G$3:$G$500),2),"")</f>
        <v>0.59</v>
      </c>
      <c r="H12" s="152" t="n">
        <v>1</v>
      </c>
      <c r="I12" s="152" t="n">
        <f aca="false">IFERROR(ROUND(CORREL('Returns (Calc)'!$H$3:$H$500,'Returns (Calc)'!$I$3:$I$500),2),"")</f>
        <v>0.5</v>
      </c>
      <c r="J12" s="152" t="n">
        <f aca="false">IFERROR(ROUND(CORREL('Returns (Calc)'!$H$3:$H$500,'Returns (Calc)'!$J$3:$J$500),2),"")</f>
        <v>0.2</v>
      </c>
      <c r="K12" s="152" t="n">
        <f aca="false">IFERROR(ROUND(CORREL('Returns (Calc)'!$H$3:$H$500,'Returns (Calc)'!$K$3:$K$500),2),"")</f>
        <v>0.17</v>
      </c>
      <c r="L12" s="152" t="n">
        <f aca="false">IFERROR(ROUND(CORREL('Returns (Calc)'!$H$3:$H$500,'Returns (Calc)'!$L$3:$L$500),2),"")</f>
        <v>0.56</v>
      </c>
      <c r="M12" s="152" t="n">
        <f aca="false">IFERROR(ROUND(CORREL('Returns (Calc)'!$H$3:$H$500,'Returns (Calc)'!$M$3:$M$500),2),"")</f>
        <v>0.5</v>
      </c>
      <c r="N12" s="152" t="n">
        <f aca="false">IFERROR(ROUND(CORREL('Returns (Calc)'!$H$3:$H$500,'Returns (Calc)'!$N$3:$N$500),2),"")</f>
        <v>0.18</v>
      </c>
      <c r="O12" s="152" t="n">
        <f aca="false">IFERROR(ROUND(CORREL('Returns (Calc)'!$H$3:$H$500,'Returns (Calc)'!$O$3:$O$500),2),"")</f>
        <v>0.35</v>
      </c>
      <c r="P12" s="152" t="n">
        <f aca="false">IFERROR(ROUND(CORREL('Returns (Calc)'!$H$3:$H$500,'Returns (Calc)'!$P$3:$P$500),2),"")</f>
        <v>0.23</v>
      </c>
      <c r="Q12" s="152" t="n">
        <f aca="false">IFERROR(ROUND(CORREL('Returns (Calc)'!$H$3:$H$500,'Returns (Calc)'!$Q$3:$Q$500),2),"")</f>
        <v>0.51</v>
      </c>
      <c r="R12" s="152" t="n">
        <f aca="false">IFERROR(ROUND(CORREL('Returns (Calc)'!$H$3:$H$500,'Returns (Calc)'!$R$3:$R$500),2),"")</f>
        <v>0.61</v>
      </c>
      <c r="S12" s="152" t="n">
        <f aca="false">IFERROR(ROUND(CORREL('Returns (Calc)'!$H$3:$H$500,'Returns (Calc)'!$S$3:$S$500),2),"")</f>
        <v>0.66</v>
      </c>
      <c r="T12" s="152" t="n">
        <f aca="false">IFERROR(ROUND(CORREL('Returns (Calc)'!$H$3:$H$500,'Returns (Calc)'!$T$3:$T$500),2),"")</f>
        <v>0.42</v>
      </c>
      <c r="U12" s="152" t="n">
        <f aca="false">IFERROR(ROUND(CORREL('Returns (Calc)'!$H$3:$H$500,'Returns (Calc)'!$U$3:$U$500),2),"")</f>
        <v>0.26</v>
      </c>
      <c r="V12" s="152" t="n">
        <f aca="false">IFERROR(ROUND(CORREL('Returns (Calc)'!$H$3:$H$500,'Returns (Calc)'!$V$3:$V$500),2),"")</f>
        <v>0.02</v>
      </c>
      <c r="W12" s="152" t="n">
        <f aca="false">IFERROR(ROUND(CORREL('Returns (Calc)'!$H$3:$H$500,'Returns (Calc)'!$AP$3:$AP$500),2),"")</f>
        <v>0.39</v>
      </c>
      <c r="X12" s="152" t="n">
        <f aca="false">IFERROR(ROUND(CORREL('Returns (Calc)'!$H$3:$H$500,'Returns (Calc)'!$AQ$3:$AQ$500),2),"")</f>
        <v>-0.35</v>
      </c>
      <c r="Y12" s="152" t="n">
        <f aca="false">IFERROR(ROUND(CORREL('Returns (Calc)'!$H$3:$H$500,'Returns (Calc)'!$AR$3:$AR$500),2),"")</f>
        <v>0.35</v>
      </c>
      <c r="Z12" s="152" t="n">
        <f aca="false">IFERROR(ROUND(CORREL('Returns (Calc)'!$H$3:$H$500,'Returns (Calc)'!$AS$3:$AS$500),2),"")</f>
        <v>0.36</v>
      </c>
      <c r="AA12" s="152" t="n">
        <f aca="false">IFERROR(ROUND(CORREL('Returns (Calc)'!$H$3:$H$500,'Returns (Calc)'!$AT$3:$AT$500),2),"")</f>
        <v>0.1</v>
      </c>
      <c r="AG12" s="153" t="n">
        <f aca="false">COUNTIF(B12:AA12,"&gt;0.7")-1</f>
        <v>0</v>
      </c>
    </row>
    <row r="13" customFormat="false" ht="15" hidden="false" customHeight="true" outlineLevel="0" collapsed="false">
      <c r="A13" s="151" t="str">
        <f aca="false">'Returns (Calc)'!I2</f>
        <v>NVDA</v>
      </c>
      <c r="B13" s="152" t="n">
        <f aca="false">IFERROR(ROUND(CORREL('Returns (Calc)'!$I$3:$I$500,'Returns (Calc)'!$B$3:$B$500),2),"")</f>
        <v>0.21</v>
      </c>
      <c r="C13" s="152" t="n">
        <f aca="false">IFERROR(ROUND(CORREL('Returns (Calc)'!$I$3:$I$500,'Returns (Calc)'!$C$3:$C$500),2),"")</f>
        <v>0.52</v>
      </c>
      <c r="D13" s="152" t="n">
        <f aca="false">IFERROR(ROUND(CORREL('Returns (Calc)'!$I$3:$I$500,'Returns (Calc)'!$D$3:$D$500),2),"")</f>
        <v>0.49</v>
      </c>
      <c r="E13" s="152" t="n">
        <f aca="false">IFERROR(ROUND(CORREL('Returns (Calc)'!$I$3:$I$500,'Returns (Calc)'!$E$3:$E$500),2),"")</f>
        <v>0.62</v>
      </c>
      <c r="F13" s="152" t="n">
        <f aca="false">IFERROR(ROUND(CORREL('Returns (Calc)'!$I$3:$I$500,'Returns (Calc)'!$F$3:$F$500),2),"")</f>
        <v>0.46</v>
      </c>
      <c r="G13" s="152" t="n">
        <f aca="false">IFERROR(ROUND(CORREL('Returns (Calc)'!$I$3:$I$500,'Returns (Calc)'!$G$3:$G$500),2),"")</f>
        <v>0.52</v>
      </c>
      <c r="H13" s="152" t="n">
        <f aca="false">IFERROR(ROUND(CORREL('Returns (Calc)'!$I$3:$I$500,'Returns (Calc)'!$H$3:$H$500),2),"")</f>
        <v>0.5</v>
      </c>
      <c r="I13" s="152" t="n">
        <v>1</v>
      </c>
      <c r="J13" s="152" t="n">
        <f aca="false">IFERROR(ROUND(CORREL('Returns (Calc)'!$I$3:$I$500,'Returns (Calc)'!$J$3:$J$500),2),"")</f>
        <v>0.16</v>
      </c>
      <c r="K13" s="152" t="n">
        <f aca="false">IFERROR(ROUND(CORREL('Returns (Calc)'!$I$3:$I$500,'Returns (Calc)'!$K$3:$K$500),2),"")</f>
        <v>0.46</v>
      </c>
      <c r="L13" s="152" t="n">
        <f aca="false">IFERROR(ROUND(CORREL('Returns (Calc)'!$I$3:$I$500,'Returns (Calc)'!$L$3:$L$500),2),"")</f>
        <v>0.64</v>
      </c>
      <c r="M13" s="152" t="n">
        <f aca="false">IFERROR(ROUND(CORREL('Returns (Calc)'!$I$3:$I$500,'Returns (Calc)'!$M$3:$M$500),2),"")</f>
        <v>0.65</v>
      </c>
      <c r="N13" s="152" t="n">
        <f aca="false">IFERROR(ROUND(CORREL('Returns (Calc)'!$I$3:$I$500,'Returns (Calc)'!$N$3:$N$500),2),"")</f>
        <v>0.14</v>
      </c>
      <c r="O13" s="152" t="n">
        <f aca="false">IFERROR(ROUND(CORREL('Returns (Calc)'!$I$3:$I$500,'Returns (Calc)'!$O$3:$O$500),2),"")</f>
        <v>0.28</v>
      </c>
      <c r="P13" s="152" t="n">
        <f aca="false">IFERROR(ROUND(CORREL('Returns (Calc)'!$I$3:$I$500,'Returns (Calc)'!$P$3:$P$500),2),"")</f>
        <v>0.14</v>
      </c>
      <c r="Q13" s="152" t="n">
        <f aca="false">IFERROR(ROUND(CORREL('Returns (Calc)'!$I$3:$I$500,'Returns (Calc)'!$Q$3:$Q$500),2),"")</f>
        <v>0.7</v>
      </c>
      <c r="R13" s="152" t="n">
        <f aca="false">IFERROR(ROUND(CORREL('Returns (Calc)'!$I$3:$I$500,'Returns (Calc)'!$R$3:$R$500),2),"")</f>
        <v>0.74</v>
      </c>
      <c r="S13" s="152" t="n">
        <f aca="false">IFERROR(ROUND(CORREL('Returns (Calc)'!$I$3:$I$500,'Returns (Calc)'!$S$3:$S$500),2),"")</f>
        <v>0.75</v>
      </c>
      <c r="T13" s="152" t="n">
        <f aca="false">IFERROR(ROUND(CORREL('Returns (Calc)'!$I$3:$I$500,'Returns (Calc)'!$T$3:$T$500),2),"")</f>
        <v>0.3</v>
      </c>
      <c r="U13" s="152" t="n">
        <f aca="false">IFERROR(ROUND(CORREL('Returns (Calc)'!$I$3:$I$500,'Returns (Calc)'!$U$3:$U$500),2),"")</f>
        <v>0.18</v>
      </c>
      <c r="V13" s="152" t="n">
        <f aca="false">IFERROR(ROUND(CORREL('Returns (Calc)'!$I$3:$I$500,'Returns (Calc)'!$V$3:$V$500),2),"")</f>
        <v>0.2</v>
      </c>
      <c r="W13" s="152" t="n">
        <f aca="false">IFERROR(ROUND(CORREL('Returns (Calc)'!$I$3:$I$500,'Returns (Calc)'!$AP$3:$AP$500),2),"")</f>
        <v>0.38</v>
      </c>
      <c r="X13" s="152" t="n">
        <f aca="false">IFERROR(ROUND(CORREL('Returns (Calc)'!$I$3:$I$500,'Returns (Calc)'!$AQ$3:$AQ$500),2),"")</f>
        <v>-0.31</v>
      </c>
      <c r="Y13" s="152" t="n">
        <f aca="false">IFERROR(ROUND(CORREL('Returns (Calc)'!$I$3:$I$500,'Returns (Calc)'!$AR$3:$AR$500),2),"")</f>
        <v>0.44</v>
      </c>
      <c r="Z13" s="152" t="n">
        <f aca="false">IFERROR(ROUND(CORREL('Returns (Calc)'!$I$3:$I$500,'Returns (Calc)'!$AS$3:$AS$500),2),"")</f>
        <v>0.38</v>
      </c>
      <c r="AA13" s="152" t="n">
        <f aca="false">IFERROR(ROUND(CORREL('Returns (Calc)'!$I$3:$I$500,'Returns (Calc)'!$AT$3:$AT$500),2),"")</f>
        <v>0.27</v>
      </c>
      <c r="AG13" s="153" t="n">
        <f aca="false">COUNTIF(B13:AA13,"&gt;0.7")-1</f>
        <v>2</v>
      </c>
    </row>
    <row r="14" customFormat="false" ht="15" hidden="false" customHeight="true" outlineLevel="0" collapsed="false">
      <c r="A14" s="151" t="str">
        <f aca="false">'Returns (Calc)'!J2</f>
        <v>PLD</v>
      </c>
      <c r="B14" s="152" t="n">
        <f aca="false">IFERROR(ROUND(CORREL('Returns (Calc)'!$J$3:$J$500,'Returns (Calc)'!$B$3:$B$500),2),"")</f>
        <v>0.17</v>
      </c>
      <c r="C14" s="152" t="n">
        <f aca="false">IFERROR(ROUND(CORREL('Returns (Calc)'!$J$3:$J$500,'Returns (Calc)'!$C$3:$C$500),2),"")</f>
        <v>0.18</v>
      </c>
      <c r="D14" s="152" t="n">
        <f aca="false">IFERROR(ROUND(CORREL('Returns (Calc)'!$J$3:$J$500,'Returns (Calc)'!$D$3:$D$500),2),"")</f>
        <v>0.27</v>
      </c>
      <c r="E14" s="152" t="n">
        <f aca="false">IFERROR(ROUND(CORREL('Returns (Calc)'!$J$3:$J$500,'Returns (Calc)'!$E$3:$E$500),2),"")</f>
        <v>0.22</v>
      </c>
      <c r="F14" s="152" t="n">
        <f aca="false">IFERROR(ROUND(CORREL('Returns (Calc)'!$J$3:$J$500,'Returns (Calc)'!$F$3:$F$500),2),"")</f>
        <v>0.1</v>
      </c>
      <c r="G14" s="152" t="n">
        <f aca="false">IFERROR(ROUND(CORREL('Returns (Calc)'!$J$3:$J$500,'Returns (Calc)'!$G$3:$G$500),2),"")</f>
        <v>0.27</v>
      </c>
      <c r="H14" s="152" t="n">
        <f aca="false">IFERROR(ROUND(CORREL('Returns (Calc)'!$J$3:$J$500,'Returns (Calc)'!$H$3:$H$500),2),"")</f>
        <v>0.2</v>
      </c>
      <c r="I14" s="152" t="n">
        <f aca="false">IFERROR(ROUND(CORREL('Returns (Calc)'!$J$3:$J$500,'Returns (Calc)'!$I$3:$I$500),2),"")</f>
        <v>0.16</v>
      </c>
      <c r="J14" s="152" t="n">
        <v>1</v>
      </c>
      <c r="K14" s="152" t="n">
        <f aca="false">IFERROR(ROUND(CORREL('Returns (Calc)'!$J$3:$J$500,'Returns (Calc)'!$K$3:$K$500),2),"")</f>
        <v>0.13</v>
      </c>
      <c r="L14" s="152" t="n">
        <f aca="false">IFERROR(ROUND(CORREL('Returns (Calc)'!$J$3:$J$500,'Returns (Calc)'!$L$3:$L$500),2),"")</f>
        <v>0.2</v>
      </c>
      <c r="M14" s="152" t="n">
        <f aca="false">IFERROR(ROUND(CORREL('Returns (Calc)'!$J$3:$J$500,'Returns (Calc)'!$M$3:$M$500),2),"")</f>
        <v>0.15</v>
      </c>
      <c r="N14" s="152" t="n">
        <f aca="false">IFERROR(ROUND(CORREL('Returns (Calc)'!$J$3:$J$500,'Returns (Calc)'!$N$3:$N$500),2),"")</f>
        <v>0.25</v>
      </c>
      <c r="O14" s="152" t="n">
        <f aca="false">IFERROR(ROUND(CORREL('Returns (Calc)'!$J$3:$J$500,'Returns (Calc)'!$O$3:$O$500),2),"")</f>
        <v>0.62</v>
      </c>
      <c r="P14" s="152" t="n">
        <f aca="false">IFERROR(ROUND(CORREL('Returns (Calc)'!$J$3:$J$500,'Returns (Calc)'!$P$3:$P$500),2),"")</f>
        <v>0.65</v>
      </c>
      <c r="Q14" s="152" t="n">
        <f aca="false">IFERROR(ROUND(CORREL('Returns (Calc)'!$J$3:$J$500,'Returns (Calc)'!$Q$3:$Q$500),2),"")</f>
        <v>0.48</v>
      </c>
      <c r="R14" s="152" t="n">
        <f aca="false">IFERROR(ROUND(CORREL('Returns (Calc)'!$J$3:$J$500,'Returns (Calc)'!$R$3:$R$500),2),"")</f>
        <v>0.36</v>
      </c>
      <c r="S14" s="152" t="n">
        <f aca="false">IFERROR(ROUND(CORREL('Returns (Calc)'!$J$3:$J$500,'Returns (Calc)'!$S$3:$S$500),2),"")</f>
        <v>0.34</v>
      </c>
      <c r="T14" s="152" t="n">
        <f aca="false">IFERROR(ROUND(CORREL('Returns (Calc)'!$J$3:$J$500,'Returns (Calc)'!$T$3:$T$500),2),"")</f>
        <v>0.52</v>
      </c>
      <c r="U14" s="152" t="n">
        <f aca="false">IFERROR(ROUND(CORREL('Returns (Calc)'!$J$3:$J$500,'Returns (Calc)'!$U$3:$U$500),2),"")</f>
        <v>0.66</v>
      </c>
      <c r="V14" s="152" t="n">
        <f aca="false">IFERROR(ROUND(CORREL('Returns (Calc)'!$J$3:$J$500,'Returns (Calc)'!$V$3:$V$500),2),"")</f>
        <v>0.37</v>
      </c>
      <c r="W14" s="152" t="n">
        <f aca="false">IFERROR(ROUND(CORREL('Returns (Calc)'!$J$3:$J$500,'Returns (Calc)'!$AP$3:$AP$500),2),"")</f>
        <v>0.65</v>
      </c>
      <c r="X14" s="152" t="n">
        <f aca="false">IFERROR(ROUND(CORREL('Returns (Calc)'!$J$3:$J$500,'Returns (Calc)'!$AQ$3:$AQ$500),2),"")</f>
        <v>0.09</v>
      </c>
      <c r="Y14" s="152" t="n">
        <f aca="false">IFERROR(ROUND(CORREL('Returns (Calc)'!$J$3:$J$500,'Returns (Calc)'!$AR$3:$AR$500),2),"")</f>
        <v>0.61</v>
      </c>
      <c r="Z14" s="152" t="n">
        <f aca="false">IFERROR(ROUND(CORREL('Returns (Calc)'!$J$3:$J$500,'Returns (Calc)'!$AS$3:$AS$500),2),"")</f>
        <v>0.3</v>
      </c>
      <c r="AA14" s="152" t="n">
        <f aca="false">IFERROR(ROUND(CORREL('Returns (Calc)'!$J$3:$J$500,'Returns (Calc)'!$AT$3:$AT$500),2),"")</f>
        <v>0.13</v>
      </c>
      <c r="AG14" s="153" t="n">
        <f aca="false">COUNTIF(B14:AA14,"&gt;0.7")-1</f>
        <v>0</v>
      </c>
    </row>
    <row r="15" customFormat="false" ht="15" hidden="false" customHeight="true" outlineLevel="0" collapsed="false">
      <c r="A15" s="151" t="str">
        <f aca="false">'Returns (Calc)'!K2</f>
        <v>PLTR</v>
      </c>
      <c r="B15" s="152" t="n">
        <f aca="false">IFERROR(ROUND(CORREL('Returns (Calc)'!$K$3:$K$500,'Returns (Calc)'!$B$3:$B$500),2),"")</f>
        <v>0.37</v>
      </c>
      <c r="C15" s="152" t="n">
        <f aca="false">IFERROR(ROUND(CORREL('Returns (Calc)'!$K$3:$K$500,'Returns (Calc)'!$C$3:$C$500),2),"")</f>
        <v>0.34</v>
      </c>
      <c r="D15" s="152" t="n">
        <f aca="false">IFERROR(ROUND(CORREL('Returns (Calc)'!$K$3:$K$500,'Returns (Calc)'!$D$3:$D$500),2),"")</f>
        <v>0.21</v>
      </c>
      <c r="E15" s="152" t="n">
        <f aca="false">IFERROR(ROUND(CORREL('Returns (Calc)'!$K$3:$K$500,'Returns (Calc)'!$E$3:$E$500),2),"")</f>
        <v>0.38</v>
      </c>
      <c r="F15" s="152" t="n">
        <f aca="false">IFERROR(ROUND(CORREL('Returns (Calc)'!$K$3:$K$500,'Returns (Calc)'!$F$3:$F$500),2),"")</f>
        <v>0.5</v>
      </c>
      <c r="G15" s="152" t="n">
        <f aca="false">IFERROR(ROUND(CORREL('Returns (Calc)'!$K$3:$K$500,'Returns (Calc)'!$G$3:$G$500),2),"")</f>
        <v>0.25</v>
      </c>
      <c r="H15" s="152" t="n">
        <f aca="false">IFERROR(ROUND(CORREL('Returns (Calc)'!$K$3:$K$500,'Returns (Calc)'!$H$3:$H$500),2),"")</f>
        <v>0.17</v>
      </c>
      <c r="I15" s="152" t="n">
        <f aca="false">IFERROR(ROUND(CORREL('Returns (Calc)'!$K$3:$K$500,'Returns (Calc)'!$I$3:$I$500),2),"")</f>
        <v>0.46</v>
      </c>
      <c r="J15" s="152" t="n">
        <f aca="false">IFERROR(ROUND(CORREL('Returns (Calc)'!$K$3:$K$500,'Returns (Calc)'!$J$3:$J$500),2),"")</f>
        <v>0.13</v>
      </c>
      <c r="K15" s="152" t="n">
        <v>1</v>
      </c>
      <c r="L15" s="152" t="n">
        <f aca="false">IFERROR(ROUND(CORREL('Returns (Calc)'!$K$3:$K$500,'Returns (Calc)'!$L$3:$L$500),2),"")</f>
        <v>0.38</v>
      </c>
      <c r="M15" s="152" t="n">
        <f aca="false">IFERROR(ROUND(CORREL('Returns (Calc)'!$K$3:$K$500,'Returns (Calc)'!$M$3:$M$500),2),"")</f>
        <v>0.32</v>
      </c>
      <c r="N15" s="152" t="n">
        <f aca="false">IFERROR(ROUND(CORREL('Returns (Calc)'!$K$3:$K$500,'Returns (Calc)'!$N$3:$N$500),2),"")</f>
        <v>0.07</v>
      </c>
      <c r="O15" s="152" t="n">
        <f aca="false">IFERROR(ROUND(CORREL('Returns (Calc)'!$K$3:$K$500,'Returns (Calc)'!$O$3:$O$500),2),"")</f>
        <v>0.23</v>
      </c>
      <c r="P15" s="152" t="n">
        <f aca="false">IFERROR(ROUND(CORREL('Returns (Calc)'!$K$3:$K$500,'Returns (Calc)'!$P$3:$P$500),2),"")</f>
        <v>0.1</v>
      </c>
      <c r="Q15" s="152" t="n">
        <f aca="false">IFERROR(ROUND(CORREL('Returns (Calc)'!$K$3:$K$500,'Returns (Calc)'!$Q$3:$Q$500),2),"")</f>
        <v>0.48</v>
      </c>
      <c r="R15" s="152" t="n">
        <f aca="false">IFERROR(ROUND(CORREL('Returns (Calc)'!$K$3:$K$500,'Returns (Calc)'!$R$3:$R$500),2),"")</f>
        <v>0.52</v>
      </c>
      <c r="S15" s="152" t="n">
        <f aca="false">IFERROR(ROUND(CORREL('Returns (Calc)'!$K$3:$K$500,'Returns (Calc)'!$S$3:$S$500),2),"")</f>
        <v>0.44</v>
      </c>
      <c r="T15" s="152" t="n">
        <f aca="false">IFERROR(ROUND(CORREL('Returns (Calc)'!$K$3:$K$500,'Returns (Calc)'!$T$3:$T$500),2),"")</f>
        <v>0.34</v>
      </c>
      <c r="U15" s="152" t="n">
        <f aca="false">IFERROR(ROUND(CORREL('Returns (Calc)'!$K$3:$K$500,'Returns (Calc)'!$U$3:$U$500),2),"")</f>
        <v>0.14</v>
      </c>
      <c r="V15" s="152" t="n">
        <f aca="false">IFERROR(ROUND(CORREL('Returns (Calc)'!$K$3:$K$500,'Returns (Calc)'!$V$3:$V$500),2),"")</f>
        <v>0.24</v>
      </c>
      <c r="W15" s="152" t="n">
        <f aca="false">IFERROR(ROUND(CORREL('Returns (Calc)'!$K$3:$K$500,'Returns (Calc)'!$AP$3:$AP$500),2),"")</f>
        <v>0.26</v>
      </c>
      <c r="X15" s="152" t="n">
        <f aca="false">IFERROR(ROUND(CORREL('Returns (Calc)'!$K$3:$K$500,'Returns (Calc)'!$AQ$3:$AQ$500),2),"")</f>
        <v>-0.48</v>
      </c>
      <c r="Y15" s="152" t="n">
        <f aca="false">IFERROR(ROUND(CORREL('Returns (Calc)'!$K$3:$K$500,'Returns (Calc)'!$AR$3:$AR$500),2),"")</f>
        <v>0.31</v>
      </c>
      <c r="Z15" s="152" t="n">
        <f aca="false">IFERROR(ROUND(CORREL('Returns (Calc)'!$K$3:$K$500,'Returns (Calc)'!$AS$3:$AS$500),2),"")</f>
        <v>0.26</v>
      </c>
      <c r="AA15" s="152" t="n">
        <f aca="false">IFERROR(ROUND(CORREL('Returns (Calc)'!$K$3:$K$500,'Returns (Calc)'!$AT$3:$AT$500),2),"")</f>
        <v>0.3</v>
      </c>
      <c r="AG15" s="153" t="n">
        <f aca="false">COUNTIF(B15:AA15,"&gt;0.7")-1</f>
        <v>0</v>
      </c>
    </row>
    <row r="16" customFormat="false" ht="15" hidden="false" customHeight="true" outlineLevel="0" collapsed="false">
      <c r="A16" s="151" t="str">
        <f aca="false">'Returns (Calc)'!L2</f>
        <v>TSM</v>
      </c>
      <c r="B16" s="152" t="n">
        <f aca="false">IFERROR(ROUND(CORREL('Returns (Calc)'!$L$3:$L$500,'Returns (Calc)'!$B$3:$B$500),2),"")</f>
        <v>0.15</v>
      </c>
      <c r="C16" s="152" t="n">
        <f aca="false">IFERROR(ROUND(CORREL('Returns (Calc)'!$L$3:$L$500,'Returns (Calc)'!$C$3:$C$500),2),"")</f>
        <v>0.55</v>
      </c>
      <c r="D16" s="152" t="n">
        <f aca="false">IFERROR(ROUND(CORREL('Returns (Calc)'!$L$3:$L$500,'Returns (Calc)'!$D$3:$D$500),2),"")</f>
        <v>0.64</v>
      </c>
      <c r="E16" s="152" t="n">
        <f aca="false">IFERROR(ROUND(CORREL('Returns (Calc)'!$L$3:$L$500,'Returns (Calc)'!$E$3:$E$500),2),"")</f>
        <v>0.63</v>
      </c>
      <c r="F16" s="152" t="n">
        <f aca="false">IFERROR(ROUND(CORREL('Returns (Calc)'!$L$3:$L$500,'Returns (Calc)'!$F$3:$F$500),2),"")</f>
        <v>0.39</v>
      </c>
      <c r="G16" s="152" t="n">
        <f aca="false">IFERROR(ROUND(CORREL('Returns (Calc)'!$L$3:$L$500,'Returns (Calc)'!$G$3:$G$500),2),"")</f>
        <v>0.62</v>
      </c>
      <c r="H16" s="152" t="n">
        <f aca="false">IFERROR(ROUND(CORREL('Returns (Calc)'!$L$3:$L$500,'Returns (Calc)'!$H$3:$H$500),2),"")</f>
        <v>0.56</v>
      </c>
      <c r="I16" s="152" t="n">
        <f aca="false">IFERROR(ROUND(CORREL('Returns (Calc)'!$L$3:$L$500,'Returns (Calc)'!$I$3:$I$500),2),"")</f>
        <v>0.64</v>
      </c>
      <c r="J16" s="152" t="n">
        <f aca="false">IFERROR(ROUND(CORREL('Returns (Calc)'!$L$3:$L$500,'Returns (Calc)'!$J$3:$J$500),2),"")</f>
        <v>0.2</v>
      </c>
      <c r="K16" s="152" t="n">
        <f aca="false">IFERROR(ROUND(CORREL('Returns (Calc)'!$L$3:$L$500,'Returns (Calc)'!$K$3:$K$500),2),"")</f>
        <v>0.38</v>
      </c>
      <c r="L16" s="152" t="n">
        <v>1</v>
      </c>
      <c r="M16" s="152" t="n">
        <f aca="false">IFERROR(ROUND(CORREL('Returns (Calc)'!$L$3:$L$500,'Returns (Calc)'!$M$3:$M$500),2),"")</f>
        <v>0.6</v>
      </c>
      <c r="N16" s="152" t="n">
        <f aca="false">IFERROR(ROUND(CORREL('Returns (Calc)'!$L$3:$L$500,'Returns (Calc)'!$N$3:$N$500),2),"")</f>
        <v>0.15</v>
      </c>
      <c r="O16" s="152" t="n">
        <f aca="false">IFERROR(ROUND(CORREL('Returns (Calc)'!$L$3:$L$500,'Returns (Calc)'!$O$3:$O$500),2),"")</f>
        <v>0.33</v>
      </c>
      <c r="P16" s="152" t="n">
        <f aca="false">IFERROR(ROUND(CORREL('Returns (Calc)'!$L$3:$L$500,'Returns (Calc)'!$P$3:$P$500),2),"")</f>
        <v>0.16</v>
      </c>
      <c r="Q16" s="152" t="n">
        <f aca="false">IFERROR(ROUND(CORREL('Returns (Calc)'!$L$3:$L$500,'Returns (Calc)'!$Q$3:$Q$500),2),"")</f>
        <v>0.63</v>
      </c>
      <c r="R16" s="152" t="n">
        <f aca="false">IFERROR(ROUND(CORREL('Returns (Calc)'!$L$3:$L$500,'Returns (Calc)'!$R$3:$R$500),2),"")</f>
        <v>0.69</v>
      </c>
      <c r="S16" s="152" t="n">
        <f aca="false">IFERROR(ROUND(CORREL('Returns (Calc)'!$L$3:$L$500,'Returns (Calc)'!$S$3:$S$500),2),"")</f>
        <v>0.7</v>
      </c>
      <c r="T16" s="152" t="n">
        <f aca="false">IFERROR(ROUND(CORREL('Returns (Calc)'!$L$3:$L$500,'Returns (Calc)'!$T$3:$T$500),2),"")</f>
        <v>0.28</v>
      </c>
      <c r="U16" s="152" t="n">
        <f aca="false">IFERROR(ROUND(CORREL('Returns (Calc)'!$L$3:$L$500,'Returns (Calc)'!$U$3:$U$500),2),"")</f>
        <v>0.21</v>
      </c>
      <c r="V16" s="152" t="n">
        <f aca="false">IFERROR(ROUND(CORREL('Returns (Calc)'!$L$3:$L$500,'Returns (Calc)'!$V$3:$V$500),2),"")</f>
        <v>0.13</v>
      </c>
      <c r="W16" s="152" t="n">
        <f aca="false">IFERROR(ROUND(CORREL('Returns (Calc)'!$L$3:$L$500,'Returns (Calc)'!$AP$3:$AP$500),2),"")</f>
        <v>0.42</v>
      </c>
      <c r="X16" s="152" t="n">
        <f aca="false">IFERROR(ROUND(CORREL('Returns (Calc)'!$L$3:$L$500,'Returns (Calc)'!$AQ$3:$AQ$500),2),"")</f>
        <v>-0.25</v>
      </c>
      <c r="Y16" s="152" t="n">
        <f aca="false">IFERROR(ROUND(CORREL('Returns (Calc)'!$L$3:$L$500,'Returns (Calc)'!$AR$3:$AR$500),2),"")</f>
        <v>0.48</v>
      </c>
      <c r="Z16" s="152" t="n">
        <f aca="false">IFERROR(ROUND(CORREL('Returns (Calc)'!$L$3:$L$500,'Returns (Calc)'!$AS$3:$AS$500),2),"")</f>
        <v>0.44</v>
      </c>
      <c r="AA16" s="152" t="n">
        <f aca="false">IFERROR(ROUND(CORREL('Returns (Calc)'!$L$3:$L$500,'Returns (Calc)'!$AT$3:$AT$500),2),"")</f>
        <v>0.3</v>
      </c>
      <c r="AG16" s="153" t="n">
        <f aca="false">COUNTIF(B16:AA16,"&gt;0.7")-1</f>
        <v>0</v>
      </c>
    </row>
    <row r="17" customFormat="false" ht="15" hidden="false" customHeight="true" outlineLevel="0" collapsed="false">
      <c r="A17" s="151" t="str">
        <f aca="false">'Returns (Calc)'!M2</f>
        <v>VRT</v>
      </c>
      <c r="B17" s="152" t="n">
        <f aca="false">IFERROR(ROUND(CORREL('Returns (Calc)'!$M$3:$M$500,'Returns (Calc)'!$B$3:$B$500),2),"")</f>
        <v>0.06</v>
      </c>
      <c r="C17" s="152" t="n">
        <f aca="false">IFERROR(ROUND(CORREL('Returns (Calc)'!$M$3:$M$500,'Returns (Calc)'!$C$3:$C$500),2),"")</f>
        <v>0.58</v>
      </c>
      <c r="D17" s="152" t="n">
        <f aca="false">IFERROR(ROUND(CORREL('Returns (Calc)'!$M$3:$M$500,'Returns (Calc)'!$D$3:$D$500),2),"")</f>
        <v>0.43</v>
      </c>
      <c r="E17" s="152" t="n">
        <f aca="false">IFERROR(ROUND(CORREL('Returns (Calc)'!$M$3:$M$500,'Returns (Calc)'!$E$3:$E$500),2),"")</f>
        <v>0.52</v>
      </c>
      <c r="F17" s="152" t="n">
        <f aca="false">IFERROR(ROUND(CORREL('Returns (Calc)'!$M$3:$M$500,'Returns (Calc)'!$F$3:$F$500),2),"")</f>
        <v>0.4</v>
      </c>
      <c r="G17" s="152" t="n">
        <f aca="false">IFERROR(ROUND(CORREL('Returns (Calc)'!$M$3:$M$500,'Returns (Calc)'!$G$3:$G$500),2),"")</f>
        <v>0.5</v>
      </c>
      <c r="H17" s="152" t="n">
        <f aca="false">IFERROR(ROUND(CORREL('Returns (Calc)'!$M$3:$M$500,'Returns (Calc)'!$H$3:$H$500),2),"")</f>
        <v>0.5</v>
      </c>
      <c r="I17" s="152" t="n">
        <f aca="false">IFERROR(ROUND(CORREL('Returns (Calc)'!$M$3:$M$500,'Returns (Calc)'!$I$3:$I$500),2),"")</f>
        <v>0.65</v>
      </c>
      <c r="J17" s="152" t="n">
        <f aca="false">IFERROR(ROUND(CORREL('Returns (Calc)'!$M$3:$M$500,'Returns (Calc)'!$J$3:$J$500),2),"")</f>
        <v>0.15</v>
      </c>
      <c r="K17" s="152" t="n">
        <f aca="false">IFERROR(ROUND(CORREL('Returns (Calc)'!$M$3:$M$500,'Returns (Calc)'!$K$3:$K$500),2),"")</f>
        <v>0.32</v>
      </c>
      <c r="L17" s="152" t="n">
        <f aca="false">IFERROR(ROUND(CORREL('Returns (Calc)'!$M$3:$M$500,'Returns (Calc)'!$L$3:$L$500),2),"")</f>
        <v>0.6</v>
      </c>
      <c r="M17" s="152" t="n">
        <v>1</v>
      </c>
      <c r="N17" s="152" t="n">
        <f aca="false">IFERROR(ROUND(CORREL('Returns (Calc)'!$M$3:$M$500,'Returns (Calc)'!$N$3:$N$500),2),"")</f>
        <v>0.12</v>
      </c>
      <c r="O17" s="152" t="n">
        <f aca="false">IFERROR(ROUND(CORREL('Returns (Calc)'!$M$3:$M$500,'Returns (Calc)'!$O$3:$O$500),2),"")</f>
        <v>0.35</v>
      </c>
      <c r="P17" s="152" t="n">
        <f aca="false">IFERROR(ROUND(CORREL('Returns (Calc)'!$M$3:$M$500,'Returns (Calc)'!$P$3:$P$500),2),"")</f>
        <v>0.21</v>
      </c>
      <c r="Q17" s="152" t="n">
        <f aca="false">IFERROR(ROUND(CORREL('Returns (Calc)'!$M$3:$M$500,'Returns (Calc)'!$Q$3:$Q$500),2),"")</f>
        <v>0.57</v>
      </c>
      <c r="R17" s="152" t="n">
        <f aca="false">IFERROR(ROUND(CORREL('Returns (Calc)'!$M$3:$M$500,'Returns (Calc)'!$R$3:$R$500),2),"")</f>
        <v>0.63</v>
      </c>
      <c r="S17" s="152" t="n">
        <f aca="false">IFERROR(ROUND(CORREL('Returns (Calc)'!$M$3:$M$500,'Returns (Calc)'!$S$3:$S$500),2),"")</f>
        <v>0.66</v>
      </c>
      <c r="T17" s="152" t="n">
        <f aca="false">IFERROR(ROUND(CORREL('Returns (Calc)'!$M$3:$M$500,'Returns (Calc)'!$T$3:$T$500),2),"")</f>
        <v>0.3</v>
      </c>
      <c r="U17" s="152" t="n">
        <f aca="false">IFERROR(ROUND(CORREL('Returns (Calc)'!$M$3:$M$500,'Returns (Calc)'!$U$3:$U$500),2),"")</f>
        <v>0.21</v>
      </c>
      <c r="V17" s="152" t="n">
        <f aca="false">IFERROR(ROUND(CORREL('Returns (Calc)'!$M$3:$M$500,'Returns (Calc)'!$V$3:$V$500),2),"")</f>
        <v>0.14</v>
      </c>
      <c r="W17" s="152" t="n">
        <f aca="false">IFERROR(ROUND(CORREL('Returns (Calc)'!$M$3:$M$500,'Returns (Calc)'!$AP$3:$AP$500),2),"")</f>
        <v>0.42</v>
      </c>
      <c r="X17" s="152" t="n">
        <f aca="false">IFERROR(ROUND(CORREL('Returns (Calc)'!$M$3:$M$500,'Returns (Calc)'!$AQ$3:$AQ$500),2),"")</f>
        <v>0.2</v>
      </c>
      <c r="Y17" s="152" t="n">
        <f aca="false">IFERROR(ROUND(CORREL('Returns (Calc)'!$M$3:$M$500,'Returns (Calc)'!$AR$3:$AR$500),2),"")</f>
        <v>0.44</v>
      </c>
      <c r="Z17" s="152" t="n">
        <f aca="false">IFERROR(ROUND(CORREL('Returns (Calc)'!$M$3:$M$500,'Returns (Calc)'!$AS$3:$AS$500),2),"")</f>
        <v>0.44</v>
      </c>
      <c r="AA17" s="152" t="n">
        <f aca="false">IFERROR(ROUND(CORREL('Returns (Calc)'!$M$3:$M$500,'Returns (Calc)'!$AT$3:$AT$500),2),"")</f>
        <v>0.32</v>
      </c>
      <c r="AG17" s="153" t="n">
        <f aca="false">COUNTIF(B17:AA17,"&gt;0.7")-1</f>
        <v>0</v>
      </c>
    </row>
    <row r="18" customFormat="false" ht="15" hidden="false" customHeight="true" outlineLevel="0" collapsed="false">
      <c r="A18" s="151" t="str">
        <f aca="false">'Returns (Calc)'!N2</f>
        <v>VRTX</v>
      </c>
      <c r="B18" s="152" t="n">
        <f aca="false">IFERROR(ROUND(CORREL('Returns (Calc)'!$N$3:$N$500,'Returns (Calc)'!$B$3:$B$500),2),"")</f>
        <v>0.14</v>
      </c>
      <c r="C18" s="152" t="n">
        <f aca="false">IFERROR(ROUND(CORREL('Returns (Calc)'!$N$3:$N$500,'Returns (Calc)'!$C$3:$C$500),2),"")</f>
        <v>0.05</v>
      </c>
      <c r="D18" s="152" t="n">
        <f aca="false">IFERROR(ROUND(CORREL('Returns (Calc)'!$N$3:$N$500,'Returns (Calc)'!$D$3:$D$500),2),"")</f>
        <v>0.11</v>
      </c>
      <c r="E18" s="152" t="n">
        <f aca="false">IFERROR(ROUND(CORREL('Returns (Calc)'!$N$3:$N$500,'Returns (Calc)'!$E$3:$E$500),2),"")</f>
        <v>0.14</v>
      </c>
      <c r="F18" s="152" t="n">
        <f aca="false">IFERROR(ROUND(CORREL('Returns (Calc)'!$N$3:$N$500,'Returns (Calc)'!$F$3:$F$500),2),"")</f>
        <v>0.17</v>
      </c>
      <c r="G18" s="152" t="n">
        <f aca="false">IFERROR(ROUND(CORREL('Returns (Calc)'!$N$3:$N$500,'Returns (Calc)'!$G$3:$G$500),2),"")</f>
        <v>0.16</v>
      </c>
      <c r="H18" s="152" t="n">
        <f aca="false">IFERROR(ROUND(CORREL('Returns (Calc)'!$N$3:$N$500,'Returns (Calc)'!$H$3:$H$500),2),"")</f>
        <v>0.18</v>
      </c>
      <c r="I18" s="152" t="n">
        <f aca="false">IFERROR(ROUND(CORREL('Returns (Calc)'!$N$3:$N$500,'Returns (Calc)'!$I$3:$I$500),2),"")</f>
        <v>0.14</v>
      </c>
      <c r="J18" s="152" t="n">
        <f aca="false">IFERROR(ROUND(CORREL('Returns (Calc)'!$N$3:$N$500,'Returns (Calc)'!$J$3:$J$500),2),"")</f>
        <v>0.25</v>
      </c>
      <c r="K18" s="152" t="n">
        <f aca="false">IFERROR(ROUND(CORREL('Returns (Calc)'!$N$3:$N$500,'Returns (Calc)'!$K$3:$K$500),2),"")</f>
        <v>0.07</v>
      </c>
      <c r="L18" s="152" t="n">
        <f aca="false">IFERROR(ROUND(CORREL('Returns (Calc)'!$N$3:$N$500,'Returns (Calc)'!$L$3:$L$500),2),"")</f>
        <v>0.15</v>
      </c>
      <c r="M18" s="152" t="n">
        <f aca="false">IFERROR(ROUND(CORREL('Returns (Calc)'!$N$3:$N$500,'Returns (Calc)'!$M$3:$M$500),2),"")</f>
        <v>0.12</v>
      </c>
      <c r="N18" s="152" t="n">
        <v>1</v>
      </c>
      <c r="O18" s="152" t="n">
        <f aca="false">IFERROR(ROUND(CORREL('Returns (Calc)'!$N$3:$N$500,'Returns (Calc)'!$O$3:$O$500),2),"")</f>
        <v>0.23</v>
      </c>
      <c r="P18" s="152" t="n">
        <f aca="false">IFERROR(ROUND(CORREL('Returns (Calc)'!$N$3:$N$500,'Returns (Calc)'!$P$3:$P$500),2),"")</f>
        <v>0.23</v>
      </c>
      <c r="Q18" s="152" t="n">
        <f aca="false">IFERROR(ROUND(CORREL('Returns (Calc)'!$N$3:$N$500,'Returns (Calc)'!$Q$3:$Q$500),2),"")</f>
        <v>0.27</v>
      </c>
      <c r="R18" s="152" t="n">
        <f aca="false">IFERROR(ROUND(CORREL('Returns (Calc)'!$N$3:$N$500,'Returns (Calc)'!$R$3:$R$500),2),"")</f>
        <v>0.2</v>
      </c>
      <c r="S18" s="152" t="n">
        <f aca="false">IFERROR(ROUND(CORREL('Returns (Calc)'!$N$3:$N$500,'Returns (Calc)'!$S$3:$S$500),2),"")</f>
        <v>0.17</v>
      </c>
      <c r="T18" s="152" t="n">
        <f aca="false">IFERROR(ROUND(CORREL('Returns (Calc)'!$N$3:$N$500,'Returns (Calc)'!$T$3:$T$500),2),"")</f>
        <v>0.32</v>
      </c>
      <c r="U18" s="152" t="n">
        <f aca="false">IFERROR(ROUND(CORREL('Returns (Calc)'!$N$3:$N$500,'Returns (Calc)'!$U$3:$U$500),2),"")</f>
        <v>0.35</v>
      </c>
      <c r="V18" s="152" t="n">
        <f aca="false">IFERROR(ROUND(CORREL('Returns (Calc)'!$N$3:$N$500,'Returns (Calc)'!$V$3:$V$500),2),"")</f>
        <v>0.26</v>
      </c>
      <c r="W18" s="152" t="n">
        <f aca="false">IFERROR(ROUND(CORREL('Returns (Calc)'!$N$3:$N$500,'Returns (Calc)'!$AP$3:$AP$500),2),"")</f>
        <v>0.28</v>
      </c>
      <c r="X18" s="152" t="n">
        <f aca="false">IFERROR(ROUND(CORREL('Returns (Calc)'!$N$3:$N$500,'Returns (Calc)'!$AQ$3:$AQ$500),2),"")</f>
        <v>-0.16</v>
      </c>
      <c r="Y18" s="152" t="n">
        <f aca="false">IFERROR(ROUND(CORREL('Returns (Calc)'!$N$3:$N$500,'Returns (Calc)'!$AR$3:$AR$500),2),"")</f>
        <v>0.34</v>
      </c>
      <c r="Z18" s="152" t="n">
        <f aca="false">IFERROR(ROUND(CORREL('Returns (Calc)'!$N$3:$N$500,'Returns (Calc)'!$AS$3:$AS$500),2),"")</f>
        <v>0.08</v>
      </c>
      <c r="AA18" s="152" t="n">
        <f aca="false">IFERROR(ROUND(CORREL('Returns (Calc)'!$N$3:$N$500,'Returns (Calc)'!$AT$3:$AT$500),2),"")</f>
        <v>0.08</v>
      </c>
      <c r="AG18" s="153" t="n">
        <f aca="false">COUNTIF(B18:AA18,"&gt;0.7")-1</f>
        <v>0</v>
      </c>
    </row>
    <row r="19" customFormat="false" ht="15" hidden="false" customHeight="true" outlineLevel="0" collapsed="false">
      <c r="A19" s="151" t="str">
        <f aca="false">'Returns (Calc)'!O2</f>
        <v>AVUV</v>
      </c>
      <c r="B19" s="152" t="n">
        <f aca="false">IFERROR(ROUND(CORREL('Returns (Calc)'!$O$3:$O$500,'Returns (Calc)'!$B$3:$B$500),2),"")</f>
        <v>0.16</v>
      </c>
      <c r="C19" s="152" t="n">
        <f aca="false">IFERROR(ROUND(CORREL('Returns (Calc)'!$O$3:$O$500,'Returns (Calc)'!$C$3:$C$500),2),"")</f>
        <v>0.35</v>
      </c>
      <c r="D19" s="152" t="n">
        <f aca="false">IFERROR(ROUND(CORREL('Returns (Calc)'!$O$3:$O$500,'Returns (Calc)'!$D$3:$D$500),2),"")</f>
        <v>0.38</v>
      </c>
      <c r="E19" s="152" t="n">
        <f aca="false">IFERROR(ROUND(CORREL('Returns (Calc)'!$O$3:$O$500,'Returns (Calc)'!$E$3:$E$500),2),"")</f>
        <v>0.29</v>
      </c>
      <c r="F19" s="152" t="n">
        <f aca="false">IFERROR(ROUND(CORREL('Returns (Calc)'!$O$3:$O$500,'Returns (Calc)'!$F$3:$F$500),2),"")</f>
        <v>0.19</v>
      </c>
      <c r="G19" s="152" t="n">
        <f aca="false">IFERROR(ROUND(CORREL('Returns (Calc)'!$O$3:$O$500,'Returns (Calc)'!$G$3:$G$500),2),"")</f>
        <v>0.43</v>
      </c>
      <c r="H19" s="152" t="n">
        <f aca="false">IFERROR(ROUND(CORREL('Returns (Calc)'!$O$3:$O$500,'Returns (Calc)'!$H$3:$H$500),2),"")</f>
        <v>0.35</v>
      </c>
      <c r="I19" s="152" t="n">
        <f aca="false">IFERROR(ROUND(CORREL('Returns (Calc)'!$O$3:$O$500,'Returns (Calc)'!$I$3:$I$500),2),"")</f>
        <v>0.28</v>
      </c>
      <c r="J19" s="152" t="n">
        <f aca="false">IFERROR(ROUND(CORREL('Returns (Calc)'!$O$3:$O$500,'Returns (Calc)'!$J$3:$J$500),2),"")</f>
        <v>0.62</v>
      </c>
      <c r="K19" s="152" t="n">
        <f aca="false">IFERROR(ROUND(CORREL('Returns (Calc)'!$O$3:$O$500,'Returns (Calc)'!$K$3:$K$500),2),"")</f>
        <v>0.23</v>
      </c>
      <c r="L19" s="152" t="n">
        <f aca="false">IFERROR(ROUND(CORREL('Returns (Calc)'!$O$3:$O$500,'Returns (Calc)'!$L$3:$L$500),2),"")</f>
        <v>0.33</v>
      </c>
      <c r="M19" s="152" t="n">
        <f aca="false">IFERROR(ROUND(CORREL('Returns (Calc)'!$O$3:$O$500,'Returns (Calc)'!$M$3:$M$500),2),"")</f>
        <v>0.35</v>
      </c>
      <c r="N19" s="152" t="n">
        <f aca="false">IFERROR(ROUND(CORREL('Returns (Calc)'!$O$3:$O$500,'Returns (Calc)'!$N$3:$N$500),2),"")</f>
        <v>0.23</v>
      </c>
      <c r="O19" s="152" t="n">
        <v>1</v>
      </c>
      <c r="P19" s="152" t="n">
        <f aca="false">IFERROR(ROUND(CORREL('Returns (Calc)'!$O$3:$O$500,'Returns (Calc)'!$P$3:$P$500),2),"")</f>
        <v>0.86</v>
      </c>
      <c r="Q19" s="152" t="n">
        <f aca="false">IFERROR(ROUND(CORREL('Returns (Calc)'!$O$3:$O$500,'Returns (Calc)'!$Q$3:$Q$500),2),"")</f>
        <v>0.64</v>
      </c>
      <c r="R19" s="152" t="n">
        <f aca="false">IFERROR(ROUND(CORREL('Returns (Calc)'!$O$3:$O$500,'Returns (Calc)'!$R$3:$R$500),2),"")</f>
        <v>0.52</v>
      </c>
      <c r="S19" s="152" t="n">
        <f aca="false">IFERROR(ROUND(CORREL('Returns (Calc)'!$O$3:$O$500,'Returns (Calc)'!$S$3:$S$500),2),"")</f>
        <v>0.5</v>
      </c>
      <c r="T19" s="152" t="n">
        <f aca="false">IFERROR(ROUND(CORREL('Returns (Calc)'!$O$3:$O$500,'Returns (Calc)'!$T$3:$T$500),2),"")</f>
        <v>0.78</v>
      </c>
      <c r="U19" s="152" t="n">
        <f aca="false">IFERROR(ROUND(CORREL('Returns (Calc)'!$O$3:$O$500,'Returns (Calc)'!$U$3:$U$500),2),"")</f>
        <v>0.83</v>
      </c>
      <c r="V19" s="152" t="n">
        <f aca="false">IFERROR(ROUND(CORREL('Returns (Calc)'!$O$3:$O$500,'Returns (Calc)'!$V$3:$V$500),2),"")</f>
        <v>0.36</v>
      </c>
      <c r="W19" s="152" t="n">
        <f aca="false">IFERROR(ROUND(CORREL('Returns (Calc)'!$O$3:$O$500,'Returns (Calc)'!$AP$3:$AP$500),2),"")</f>
        <v>0.87</v>
      </c>
      <c r="X19" s="152" t="n">
        <f aca="false">IFERROR(ROUND(CORREL('Returns (Calc)'!$O$3:$O$500,'Returns (Calc)'!$AQ$3:$AQ$500),2),"")</f>
        <v>0.11</v>
      </c>
      <c r="Y19" s="152" t="n">
        <f aca="false">IFERROR(ROUND(CORREL('Returns (Calc)'!$O$3:$O$500,'Returns (Calc)'!$AR$3:$AR$500),2),"")</f>
        <v>0.73</v>
      </c>
      <c r="Z19" s="152" t="n">
        <f aca="false">IFERROR(ROUND(CORREL('Returns (Calc)'!$O$3:$O$500,'Returns (Calc)'!$AS$3:$AS$500),2),"")</f>
        <v>0.46</v>
      </c>
      <c r="AA19" s="152" t="n">
        <f aca="false">IFERROR(ROUND(CORREL('Returns (Calc)'!$O$3:$O$500,'Returns (Calc)'!$AT$3:$AT$500),2),"")</f>
        <v>0.21</v>
      </c>
      <c r="AG19" s="153" t="n">
        <f aca="false">COUNTIF(B19:AA19,"&gt;0.7")-1</f>
        <v>5</v>
      </c>
    </row>
    <row r="20" customFormat="false" ht="15" hidden="false" customHeight="true" outlineLevel="0" collapsed="false">
      <c r="A20" s="151" t="str">
        <f aca="false">'Returns (Calc)'!P2</f>
        <v>DVY</v>
      </c>
      <c r="B20" s="152" t="n">
        <f aca="false">IFERROR(ROUND(CORREL('Returns (Calc)'!$P$3:$P$500,'Returns (Calc)'!$B$3:$B$500),2),"")</f>
        <v>0.14</v>
      </c>
      <c r="C20" s="152" t="n">
        <f aca="false">IFERROR(ROUND(CORREL('Returns (Calc)'!$P$3:$P$500,'Returns (Calc)'!$C$3:$C$500),2),"")</f>
        <v>0.24</v>
      </c>
      <c r="D20" s="152" t="n">
        <f aca="false">IFERROR(ROUND(CORREL('Returns (Calc)'!$P$3:$P$500,'Returns (Calc)'!$D$3:$D$500),2),"")</f>
        <v>0.23</v>
      </c>
      <c r="E20" s="152" t="n">
        <f aca="false">IFERROR(ROUND(CORREL('Returns (Calc)'!$P$3:$P$500,'Returns (Calc)'!$E$3:$E$500),2),"")</f>
        <v>0.11</v>
      </c>
      <c r="F20" s="152" t="n">
        <f aca="false">IFERROR(ROUND(CORREL('Returns (Calc)'!$P$3:$P$500,'Returns (Calc)'!$F$3:$F$500),2),"")</f>
        <v>0.1</v>
      </c>
      <c r="G20" s="152" t="n">
        <f aca="false">IFERROR(ROUND(CORREL('Returns (Calc)'!$P$3:$P$500,'Returns (Calc)'!$G$3:$G$500),2),"")</f>
        <v>0.25</v>
      </c>
      <c r="H20" s="152" t="n">
        <f aca="false">IFERROR(ROUND(CORREL('Returns (Calc)'!$P$3:$P$500,'Returns (Calc)'!$H$3:$H$500),2),"")</f>
        <v>0.23</v>
      </c>
      <c r="I20" s="152" t="n">
        <f aca="false">IFERROR(ROUND(CORREL('Returns (Calc)'!$P$3:$P$500,'Returns (Calc)'!$I$3:$I$500),2),"")</f>
        <v>0.14</v>
      </c>
      <c r="J20" s="152" t="n">
        <f aca="false">IFERROR(ROUND(CORREL('Returns (Calc)'!$P$3:$P$500,'Returns (Calc)'!$J$3:$J$500),2),"")</f>
        <v>0.65</v>
      </c>
      <c r="K20" s="152" t="n">
        <f aca="false">IFERROR(ROUND(CORREL('Returns (Calc)'!$P$3:$P$500,'Returns (Calc)'!$K$3:$K$500),2),"")</f>
        <v>0.1</v>
      </c>
      <c r="L20" s="152" t="n">
        <f aca="false">IFERROR(ROUND(CORREL('Returns (Calc)'!$P$3:$P$500,'Returns (Calc)'!$L$3:$L$500),2),"")</f>
        <v>0.16</v>
      </c>
      <c r="M20" s="152" t="n">
        <f aca="false">IFERROR(ROUND(CORREL('Returns (Calc)'!$P$3:$P$500,'Returns (Calc)'!$M$3:$M$500),2),"")</f>
        <v>0.21</v>
      </c>
      <c r="N20" s="152" t="n">
        <f aca="false">IFERROR(ROUND(CORREL('Returns (Calc)'!$P$3:$P$500,'Returns (Calc)'!$N$3:$N$500),2),"")</f>
        <v>0.23</v>
      </c>
      <c r="O20" s="152" t="n">
        <f aca="false">IFERROR(ROUND(CORREL('Returns (Calc)'!$P$3:$P$500,'Returns (Calc)'!$O$3:$O$500),2),"")</f>
        <v>0.86</v>
      </c>
      <c r="P20" s="152" t="n">
        <v>1</v>
      </c>
      <c r="Q20" s="152" t="n">
        <f aca="false">IFERROR(ROUND(CORREL('Returns (Calc)'!$P$3:$P$500,'Returns (Calc)'!$Q$3:$Q$500),2),"")</f>
        <v>0.52</v>
      </c>
      <c r="R20" s="152" t="n">
        <f aca="false">IFERROR(ROUND(CORREL('Returns (Calc)'!$P$3:$P$500,'Returns (Calc)'!$R$3:$R$500),2),"")</f>
        <v>0.38</v>
      </c>
      <c r="S20" s="152" t="n">
        <f aca="false">IFERROR(ROUND(CORREL('Returns (Calc)'!$P$3:$P$500,'Returns (Calc)'!$S$3:$S$500),2),"")</f>
        <v>0.34</v>
      </c>
      <c r="T20" s="152" t="n">
        <f aca="false">IFERROR(ROUND(CORREL('Returns (Calc)'!$P$3:$P$500,'Returns (Calc)'!$T$3:$T$500),2),"")</f>
        <v>0.73</v>
      </c>
      <c r="U20" s="152" t="n">
        <f aca="false">IFERROR(ROUND(CORREL('Returns (Calc)'!$P$3:$P$500,'Returns (Calc)'!$U$3:$U$500),2),"")</f>
        <v>0.89</v>
      </c>
      <c r="V20" s="152" t="n">
        <f aca="false">IFERROR(ROUND(CORREL('Returns (Calc)'!$P$3:$P$500,'Returns (Calc)'!$V$3:$V$500),2),"")</f>
        <v>0.43</v>
      </c>
      <c r="W20" s="152" t="n">
        <f aca="false">IFERROR(ROUND(CORREL('Returns (Calc)'!$P$3:$P$500,'Returns (Calc)'!$AP$3:$AP$500),2),"")</f>
        <v>0.88</v>
      </c>
      <c r="X20" s="152" t="n">
        <f aca="false">IFERROR(ROUND(CORREL('Returns (Calc)'!$P$3:$P$500,'Returns (Calc)'!$AQ$3:$AQ$500),2),"")</f>
        <v>0.45</v>
      </c>
      <c r="Y20" s="152" t="n">
        <f aca="false">IFERROR(ROUND(CORREL('Returns (Calc)'!$P$3:$P$500,'Returns (Calc)'!$AR$3:$AR$500),2),"")</f>
        <v>0.76</v>
      </c>
      <c r="Z20" s="152" t="n">
        <f aca="false">IFERROR(ROUND(CORREL('Returns (Calc)'!$P$3:$P$500,'Returns (Calc)'!$AS$3:$AS$500),2),"")</f>
        <v>0.4</v>
      </c>
      <c r="AA20" s="152" t="n">
        <f aca="false">IFERROR(ROUND(CORREL('Returns (Calc)'!$P$3:$P$500,'Returns (Calc)'!$AT$3:$AT$500),2),"")</f>
        <v>0.18</v>
      </c>
      <c r="AG20" s="153" t="n">
        <f aca="false">COUNTIF(B20:AA20,"&gt;0.7")-1</f>
        <v>5</v>
      </c>
    </row>
    <row r="21" customFormat="false" ht="15" hidden="false" customHeight="true" outlineLevel="0" collapsed="false">
      <c r="A21" s="151" t="str">
        <f aca="false">'Returns (Calc)'!Q2</f>
        <v>HELO</v>
      </c>
      <c r="B21" s="152" t="n">
        <f aca="false">IFERROR(ROUND(CORREL('Returns (Calc)'!$Q$3:$Q$500,'Returns (Calc)'!$B$3:$B$500),2),"")</f>
        <v>0.44</v>
      </c>
      <c r="C21" s="152" t="n">
        <f aca="false">IFERROR(ROUND(CORREL('Returns (Calc)'!$Q$3:$Q$500,'Returns (Calc)'!$C$3:$C$500),2),"")</f>
        <v>0.65</v>
      </c>
      <c r="D21" s="152" t="n">
        <f aca="false">IFERROR(ROUND(CORREL('Returns (Calc)'!$Q$3:$Q$500,'Returns (Calc)'!$D$3:$D$500),2),"")</f>
        <v>0.51</v>
      </c>
      <c r="E21" s="152" t="n">
        <f aca="false">IFERROR(ROUND(CORREL('Returns (Calc)'!$Q$3:$Q$500,'Returns (Calc)'!$E$3:$E$500),2),"")</f>
        <v>0.67</v>
      </c>
      <c r="F21" s="152" t="n">
        <f aca="false">IFERROR(ROUND(CORREL('Returns (Calc)'!$Q$3:$Q$500,'Returns (Calc)'!$F$3:$F$500),2),"")</f>
        <v>0.47</v>
      </c>
      <c r="G21" s="152" t="n">
        <f aca="false">IFERROR(ROUND(CORREL('Returns (Calc)'!$Q$3:$Q$500,'Returns (Calc)'!$G$3:$G$500),2),"")</f>
        <v>0.52</v>
      </c>
      <c r="H21" s="152" t="n">
        <f aca="false">IFERROR(ROUND(CORREL('Returns (Calc)'!$Q$3:$Q$500,'Returns (Calc)'!$H$3:$H$500),2),"")</f>
        <v>0.51</v>
      </c>
      <c r="I21" s="152" t="n">
        <f aca="false">IFERROR(ROUND(CORREL('Returns (Calc)'!$Q$3:$Q$500,'Returns (Calc)'!$I$3:$I$500),2),"")</f>
        <v>0.7</v>
      </c>
      <c r="J21" s="152" t="n">
        <f aca="false">IFERROR(ROUND(CORREL('Returns (Calc)'!$Q$3:$Q$500,'Returns (Calc)'!$J$3:$J$500),2),"")</f>
        <v>0.48</v>
      </c>
      <c r="K21" s="152" t="n">
        <f aca="false">IFERROR(ROUND(CORREL('Returns (Calc)'!$Q$3:$Q$500,'Returns (Calc)'!$K$3:$K$500),2),"")</f>
        <v>0.48</v>
      </c>
      <c r="L21" s="152" t="n">
        <f aca="false">IFERROR(ROUND(CORREL('Returns (Calc)'!$Q$3:$Q$500,'Returns (Calc)'!$L$3:$L$500),2),"")</f>
        <v>0.63</v>
      </c>
      <c r="M21" s="152" t="n">
        <f aca="false">IFERROR(ROUND(CORREL('Returns (Calc)'!$Q$3:$Q$500,'Returns (Calc)'!$M$3:$M$500),2),"")</f>
        <v>0.57</v>
      </c>
      <c r="N21" s="152" t="n">
        <f aca="false">IFERROR(ROUND(CORREL('Returns (Calc)'!$Q$3:$Q$500,'Returns (Calc)'!$N$3:$N$500),2),"")</f>
        <v>0.27</v>
      </c>
      <c r="O21" s="152" t="n">
        <f aca="false">IFERROR(ROUND(CORREL('Returns (Calc)'!$Q$3:$Q$500,'Returns (Calc)'!$O$3:$O$500),2),"")</f>
        <v>0.64</v>
      </c>
      <c r="P21" s="152" t="n">
        <f aca="false">IFERROR(ROUND(CORREL('Returns (Calc)'!$Q$3:$Q$500,'Returns (Calc)'!$P$3:$P$500),2),"")</f>
        <v>0.52</v>
      </c>
      <c r="Q21" s="152" t="n">
        <v>1</v>
      </c>
      <c r="R21" s="152" t="n">
        <f aca="false">IFERROR(ROUND(CORREL('Returns (Calc)'!$Q$3:$Q$500,'Returns (Calc)'!$R$3:$R$500),2),"")</f>
        <v>0.9</v>
      </c>
      <c r="S21" s="152" t="n">
        <f aca="false">IFERROR(ROUND(CORREL('Returns (Calc)'!$Q$3:$Q$500,'Returns (Calc)'!$S$3:$S$500),2),"")</f>
        <v>0.84</v>
      </c>
      <c r="T21" s="152" t="n">
        <f aca="false">IFERROR(ROUND(CORREL('Returns (Calc)'!$Q$3:$Q$500,'Returns (Calc)'!$T$3:$T$500),2),"")</f>
        <v>0.66</v>
      </c>
      <c r="U21" s="152" t="n">
        <f aca="false">IFERROR(ROUND(CORREL('Returns (Calc)'!$Q$3:$Q$500,'Returns (Calc)'!$U$3:$U$500),2),"")</f>
        <v>0.58</v>
      </c>
      <c r="V21" s="152" t="n">
        <f aca="false">IFERROR(ROUND(CORREL('Returns (Calc)'!$Q$3:$Q$500,'Returns (Calc)'!$V$3:$V$500),2),"")</f>
        <v>0.52</v>
      </c>
      <c r="W21" s="152" t="n">
        <f aca="false">IFERROR(ROUND(CORREL('Returns (Calc)'!$Q$3:$Q$500,'Returns (Calc)'!$AP$3:$AP$500),2),"")</f>
        <v>0.78</v>
      </c>
      <c r="X21" s="152" t="n">
        <f aca="false">IFERROR(ROUND(CORREL('Returns (Calc)'!$Q$3:$Q$500,'Returns (Calc)'!$AQ$3:$AQ$500),2),"")</f>
        <v>-0.43</v>
      </c>
      <c r="Y21" s="152" t="n">
        <f aca="false">IFERROR(ROUND(CORREL('Returns (Calc)'!$Q$3:$Q$500,'Returns (Calc)'!$AR$3:$AR$500),2),"")</f>
        <v>0.83</v>
      </c>
      <c r="Z21" s="152" t="n">
        <f aca="false">IFERROR(ROUND(CORREL('Returns (Calc)'!$Q$3:$Q$500,'Returns (Calc)'!$AS$3:$AS$500),2),"")</f>
        <v>0.53</v>
      </c>
      <c r="AA21" s="152" t="n">
        <f aca="false">IFERROR(ROUND(CORREL('Returns (Calc)'!$Q$3:$Q$500,'Returns (Calc)'!$AT$3:$AT$500),2),"")</f>
        <v>0.39</v>
      </c>
      <c r="AG21" s="153" t="n">
        <f aca="false">COUNTIF(B21:AA21,"&gt;0.7")-1</f>
        <v>4</v>
      </c>
    </row>
    <row r="22" customFormat="false" ht="15" hidden="false" customHeight="true" outlineLevel="0" collapsed="false">
      <c r="A22" s="151" t="str">
        <f aca="false">'Returns (Calc)'!R2</f>
        <v>JEPQ</v>
      </c>
      <c r="B22" s="152" t="n">
        <f aca="false">IFERROR(ROUND(CORREL('Returns (Calc)'!$R$3:$R$500,'Returns (Calc)'!$B$3:$B$500),2),"")</f>
        <v>0.34</v>
      </c>
      <c r="C22" s="152" t="n">
        <f aca="false">IFERROR(ROUND(CORREL('Returns (Calc)'!$R$3:$R$500,'Returns (Calc)'!$C$3:$C$500),2),"")</f>
        <v>0.67</v>
      </c>
      <c r="D22" s="152" t="n">
        <f aca="false">IFERROR(ROUND(CORREL('Returns (Calc)'!$R$3:$R$500,'Returns (Calc)'!$D$3:$D$500),2),"")</f>
        <v>0.61</v>
      </c>
      <c r="E22" s="152" t="n">
        <f aca="false">IFERROR(ROUND(CORREL('Returns (Calc)'!$R$3:$R$500,'Returns (Calc)'!$E$3:$E$500),2),"")</f>
        <v>0.73</v>
      </c>
      <c r="F22" s="152" t="n">
        <f aca="false">IFERROR(ROUND(CORREL('Returns (Calc)'!$R$3:$R$500,'Returns (Calc)'!$F$3:$F$500),2),"")</f>
        <v>0.55</v>
      </c>
      <c r="G22" s="152" t="n">
        <f aca="false">IFERROR(ROUND(CORREL('Returns (Calc)'!$R$3:$R$500,'Returns (Calc)'!$G$3:$G$500),2),"")</f>
        <v>0.62</v>
      </c>
      <c r="H22" s="152" t="n">
        <f aca="false">IFERROR(ROUND(CORREL('Returns (Calc)'!$R$3:$R$500,'Returns (Calc)'!$H$3:$H$500),2),"")</f>
        <v>0.61</v>
      </c>
      <c r="I22" s="152" t="n">
        <f aca="false">IFERROR(ROUND(CORREL('Returns (Calc)'!$R$3:$R$500,'Returns (Calc)'!$I$3:$I$500),2),"")</f>
        <v>0.74</v>
      </c>
      <c r="J22" s="152" t="n">
        <f aca="false">IFERROR(ROUND(CORREL('Returns (Calc)'!$R$3:$R$500,'Returns (Calc)'!$J$3:$J$500),2),"")</f>
        <v>0.36</v>
      </c>
      <c r="K22" s="152" t="n">
        <f aca="false">IFERROR(ROUND(CORREL('Returns (Calc)'!$R$3:$R$500,'Returns (Calc)'!$K$3:$K$500),2),"")</f>
        <v>0.52</v>
      </c>
      <c r="L22" s="152" t="n">
        <f aca="false">IFERROR(ROUND(CORREL('Returns (Calc)'!$R$3:$R$500,'Returns (Calc)'!$L$3:$L$500),2),"")</f>
        <v>0.69</v>
      </c>
      <c r="M22" s="152" t="n">
        <f aca="false">IFERROR(ROUND(CORREL('Returns (Calc)'!$R$3:$R$500,'Returns (Calc)'!$M$3:$M$500),2),"")</f>
        <v>0.63</v>
      </c>
      <c r="N22" s="152" t="n">
        <f aca="false">IFERROR(ROUND(CORREL('Returns (Calc)'!$R$3:$R$500,'Returns (Calc)'!$N$3:$N$500),2),"")</f>
        <v>0.2</v>
      </c>
      <c r="O22" s="152" t="n">
        <f aca="false">IFERROR(ROUND(CORREL('Returns (Calc)'!$R$3:$R$500,'Returns (Calc)'!$O$3:$O$500),2),"")</f>
        <v>0.52</v>
      </c>
      <c r="P22" s="152" t="n">
        <f aca="false">IFERROR(ROUND(CORREL('Returns (Calc)'!$R$3:$R$500,'Returns (Calc)'!$P$3:$P$500),2),"")</f>
        <v>0.38</v>
      </c>
      <c r="Q22" s="152" t="n">
        <f aca="false">IFERROR(ROUND(CORREL('Returns (Calc)'!$R$3:$R$500,'Returns (Calc)'!$Q$3:$Q$500),2),"")</f>
        <v>0.9</v>
      </c>
      <c r="R22" s="152" t="n">
        <v>1</v>
      </c>
      <c r="S22" s="152" t="n">
        <f aca="false">IFERROR(ROUND(CORREL('Returns (Calc)'!$R$3:$R$500,'Returns (Calc)'!$S$3:$S$500),2),"")</f>
        <v>0.89</v>
      </c>
      <c r="T22" s="152" t="n">
        <f aca="false">IFERROR(ROUND(CORREL('Returns (Calc)'!$R$3:$R$500,'Returns (Calc)'!$T$3:$T$500),2),"")</f>
        <v>0.55</v>
      </c>
      <c r="U22" s="152" t="n">
        <f aca="false">IFERROR(ROUND(CORREL('Returns (Calc)'!$R$3:$R$500,'Returns (Calc)'!$U$3:$U$500),2),"")</f>
        <v>0.41</v>
      </c>
      <c r="V22" s="152" t="n">
        <f aca="false">IFERROR(ROUND(CORREL('Returns (Calc)'!$R$3:$R$500,'Returns (Calc)'!$V$3:$V$500),2),"")</f>
        <v>0.43</v>
      </c>
      <c r="W22" s="152" t="n">
        <f aca="false">IFERROR(ROUND(CORREL('Returns (Calc)'!$R$3:$R$500,'Returns (Calc)'!$AP$3:$AP$500),2),"")</f>
        <v>0.66</v>
      </c>
      <c r="X22" s="152" t="n">
        <f aca="false">IFERROR(ROUND(CORREL('Returns (Calc)'!$R$3:$R$500,'Returns (Calc)'!$AQ$3:$AQ$500),2),"")</f>
        <v>-0.49</v>
      </c>
      <c r="Y22" s="152" t="n">
        <f aca="false">IFERROR(ROUND(CORREL('Returns (Calc)'!$R$3:$R$500,'Returns (Calc)'!$AR$3:$AR$500),2),"")</f>
        <v>0.76</v>
      </c>
      <c r="Z22" s="152" t="n">
        <f aca="false">IFERROR(ROUND(CORREL('Returns (Calc)'!$R$3:$R$500,'Returns (Calc)'!$AS$3:$AS$500),2),"")</f>
        <v>0.52</v>
      </c>
      <c r="AA22" s="152" t="n">
        <f aca="false">IFERROR(ROUND(CORREL('Returns (Calc)'!$R$3:$R$500,'Returns (Calc)'!$AT$3:$AT$500),2),"")</f>
        <v>0.43</v>
      </c>
      <c r="AG22" s="153" t="n">
        <f aca="false">COUNTIF(B22:AA22,"&gt;0.7")-1</f>
        <v>5</v>
      </c>
    </row>
    <row r="23" customFormat="false" ht="15" hidden="false" customHeight="true" outlineLevel="0" collapsed="false">
      <c r="A23" s="151" t="str">
        <f aca="false">'Returns (Calc)'!S2</f>
        <v>SPMO</v>
      </c>
      <c r="B23" s="152" t="n">
        <f aca="false">IFERROR(ROUND(CORREL('Returns (Calc)'!$S$3:$S$500,'Returns (Calc)'!$B$3:$B$500),2),"")</f>
        <v>0.23</v>
      </c>
      <c r="C23" s="152" t="n">
        <f aca="false">IFERROR(ROUND(CORREL('Returns (Calc)'!$S$3:$S$500,'Returns (Calc)'!$C$3:$C$500),2),"")</f>
        <v>0.64</v>
      </c>
      <c r="D23" s="152" t="n">
        <f aca="false">IFERROR(ROUND(CORREL('Returns (Calc)'!$S$3:$S$500,'Returns (Calc)'!$D$3:$D$500),2),"")</f>
        <v>0.61</v>
      </c>
      <c r="E23" s="152" t="n">
        <f aca="false">IFERROR(ROUND(CORREL('Returns (Calc)'!$S$3:$S$500,'Returns (Calc)'!$E$3:$E$500),2),"")</f>
        <v>0.73</v>
      </c>
      <c r="F23" s="152" t="n">
        <f aca="false">IFERROR(ROUND(CORREL('Returns (Calc)'!$S$3:$S$500,'Returns (Calc)'!$F$3:$F$500),2),"")</f>
        <v>0.52</v>
      </c>
      <c r="G23" s="152" t="n">
        <f aca="false">IFERROR(ROUND(CORREL('Returns (Calc)'!$S$3:$S$500,'Returns (Calc)'!$G$3:$G$500),2),"")</f>
        <v>0.67</v>
      </c>
      <c r="H23" s="152" t="n">
        <f aca="false">IFERROR(ROUND(CORREL('Returns (Calc)'!$S$3:$S$500,'Returns (Calc)'!$H$3:$H$500),2),"")</f>
        <v>0.66</v>
      </c>
      <c r="I23" s="152" t="n">
        <f aca="false">IFERROR(ROUND(CORREL('Returns (Calc)'!$S$3:$S$500,'Returns (Calc)'!$I$3:$I$500),2),"")</f>
        <v>0.75</v>
      </c>
      <c r="J23" s="152" t="n">
        <f aca="false">IFERROR(ROUND(CORREL('Returns (Calc)'!$S$3:$S$500,'Returns (Calc)'!$J$3:$J$500),2),"")</f>
        <v>0.34</v>
      </c>
      <c r="K23" s="152" t="n">
        <f aca="false">IFERROR(ROUND(CORREL('Returns (Calc)'!$S$3:$S$500,'Returns (Calc)'!$K$3:$K$500),2),"")</f>
        <v>0.44</v>
      </c>
      <c r="L23" s="152" t="n">
        <f aca="false">IFERROR(ROUND(CORREL('Returns (Calc)'!$S$3:$S$500,'Returns (Calc)'!$L$3:$L$500),2),"")</f>
        <v>0.7</v>
      </c>
      <c r="M23" s="152" t="n">
        <f aca="false">IFERROR(ROUND(CORREL('Returns (Calc)'!$S$3:$S$500,'Returns (Calc)'!$M$3:$M$500),2),"")</f>
        <v>0.66</v>
      </c>
      <c r="N23" s="152" t="n">
        <f aca="false">IFERROR(ROUND(CORREL('Returns (Calc)'!$S$3:$S$500,'Returns (Calc)'!$N$3:$N$500),2),"")</f>
        <v>0.17</v>
      </c>
      <c r="O23" s="152" t="n">
        <f aca="false">IFERROR(ROUND(CORREL('Returns (Calc)'!$S$3:$S$500,'Returns (Calc)'!$O$3:$O$500),2),"")</f>
        <v>0.5</v>
      </c>
      <c r="P23" s="152" t="n">
        <f aca="false">IFERROR(ROUND(CORREL('Returns (Calc)'!$S$3:$S$500,'Returns (Calc)'!$P$3:$P$500),2),"")</f>
        <v>0.34</v>
      </c>
      <c r="Q23" s="152" t="n">
        <f aca="false">IFERROR(ROUND(CORREL('Returns (Calc)'!$S$3:$S$500,'Returns (Calc)'!$Q$3:$Q$500),2),"")</f>
        <v>0.84</v>
      </c>
      <c r="R23" s="152" t="n">
        <f aca="false">IFERROR(ROUND(CORREL('Returns (Calc)'!$S$3:$S$500,'Returns (Calc)'!$R$3:$R$500),2),"")</f>
        <v>0.89</v>
      </c>
      <c r="S23" s="152" t="n">
        <v>1</v>
      </c>
      <c r="T23" s="152" t="n">
        <f aca="false">IFERROR(ROUND(CORREL('Returns (Calc)'!$S$3:$S$500,'Returns (Calc)'!$T$3:$T$500),2),"")</f>
        <v>0.51</v>
      </c>
      <c r="U23" s="152" t="n">
        <f aca="false">IFERROR(ROUND(CORREL('Returns (Calc)'!$S$3:$S$500,'Returns (Calc)'!$U$3:$U$500),2),"")</f>
        <v>0.36</v>
      </c>
      <c r="V23" s="152" t="n">
        <f aca="false">IFERROR(ROUND(CORREL('Returns (Calc)'!$S$3:$S$500,'Returns (Calc)'!$V$3:$V$500),2),"")</f>
        <v>0.37</v>
      </c>
      <c r="W23" s="152" t="n">
        <f aca="false">IFERROR(ROUND(CORREL('Returns (Calc)'!$S$3:$S$500,'Returns (Calc)'!$AP$3:$AP$500),2),"")</f>
        <v>0.64</v>
      </c>
      <c r="X23" s="152" t="n">
        <f aca="false">IFERROR(ROUND(CORREL('Returns (Calc)'!$S$3:$S$500,'Returns (Calc)'!$AQ$3:$AQ$500),2),"")</f>
        <v>-0.39</v>
      </c>
      <c r="Y23" s="152" t="n">
        <f aca="false">IFERROR(ROUND(CORREL('Returns (Calc)'!$S$3:$S$500,'Returns (Calc)'!$AR$3:$AR$500),2),"")</f>
        <v>0.67</v>
      </c>
      <c r="Z23" s="152" t="n">
        <f aca="false">IFERROR(ROUND(CORREL('Returns (Calc)'!$S$3:$S$500,'Returns (Calc)'!$AS$3:$AS$500),2),"")</f>
        <v>0.61</v>
      </c>
      <c r="AA23" s="152" t="n">
        <f aca="false">IFERROR(ROUND(CORREL('Returns (Calc)'!$S$3:$S$500,'Returns (Calc)'!$AT$3:$AT$500),2),"")</f>
        <v>0.41</v>
      </c>
      <c r="AG23" s="153" t="n">
        <f aca="false">COUNTIF(B23:AA23,"&gt;0.7")-1</f>
        <v>4</v>
      </c>
    </row>
    <row r="24" customFormat="false" ht="15" hidden="false" customHeight="true" outlineLevel="0" collapsed="false">
      <c r="A24" s="151" t="str">
        <f aca="false">'Returns (Calc)'!T2</f>
        <v>VFLO</v>
      </c>
      <c r="B24" s="152" t="n">
        <f aca="false">IFERROR(ROUND(CORREL('Returns (Calc)'!$T$3:$T$500,'Returns (Calc)'!$B$3:$B$500),2),"")</f>
        <v>0.42</v>
      </c>
      <c r="C24" s="152" t="n">
        <f aca="false">IFERROR(ROUND(CORREL('Returns (Calc)'!$T$3:$T$500,'Returns (Calc)'!$C$3:$C$500),2),"")</f>
        <v>0.33</v>
      </c>
      <c r="D24" s="152" t="n">
        <f aca="false">IFERROR(ROUND(CORREL('Returns (Calc)'!$T$3:$T$500,'Returns (Calc)'!$D$3:$D$500),2),"")</f>
        <v>0.3</v>
      </c>
      <c r="E24" s="152" t="n">
        <f aca="false">IFERROR(ROUND(CORREL('Returns (Calc)'!$T$3:$T$500,'Returns (Calc)'!$E$3:$E$500),2),"")</f>
        <v>0.27</v>
      </c>
      <c r="F24" s="152" t="n">
        <f aca="false">IFERROR(ROUND(CORREL('Returns (Calc)'!$T$3:$T$500,'Returns (Calc)'!$F$3:$F$500),2),"")</f>
        <v>0.29</v>
      </c>
      <c r="G24" s="152" t="n">
        <f aca="false">IFERROR(ROUND(CORREL('Returns (Calc)'!$T$3:$T$500,'Returns (Calc)'!$G$3:$G$500),2),"")</f>
        <v>0.31</v>
      </c>
      <c r="H24" s="152" t="n">
        <f aca="false">IFERROR(ROUND(CORREL('Returns (Calc)'!$T$3:$T$500,'Returns (Calc)'!$H$3:$H$500),2),"")</f>
        <v>0.42</v>
      </c>
      <c r="I24" s="152" t="n">
        <f aca="false">IFERROR(ROUND(CORREL('Returns (Calc)'!$T$3:$T$500,'Returns (Calc)'!$I$3:$I$500),2),"")</f>
        <v>0.3</v>
      </c>
      <c r="J24" s="152" t="n">
        <f aca="false">IFERROR(ROUND(CORREL('Returns (Calc)'!$T$3:$T$500,'Returns (Calc)'!$J$3:$J$500),2),"")</f>
        <v>0.52</v>
      </c>
      <c r="K24" s="152" t="n">
        <f aca="false">IFERROR(ROUND(CORREL('Returns (Calc)'!$T$3:$T$500,'Returns (Calc)'!$K$3:$K$500),2),"")</f>
        <v>0.34</v>
      </c>
      <c r="L24" s="152" t="n">
        <f aca="false">IFERROR(ROUND(CORREL('Returns (Calc)'!$T$3:$T$500,'Returns (Calc)'!$L$3:$L$500),2),"")</f>
        <v>0.28</v>
      </c>
      <c r="M24" s="152" t="n">
        <f aca="false">IFERROR(ROUND(CORREL('Returns (Calc)'!$T$3:$T$500,'Returns (Calc)'!$M$3:$M$500),2),"")</f>
        <v>0.3</v>
      </c>
      <c r="N24" s="152" t="n">
        <f aca="false">IFERROR(ROUND(CORREL('Returns (Calc)'!$T$3:$T$500,'Returns (Calc)'!$N$3:$N$500),2),"")</f>
        <v>0.32</v>
      </c>
      <c r="O24" s="152" t="n">
        <f aca="false">IFERROR(ROUND(CORREL('Returns (Calc)'!$T$3:$T$500,'Returns (Calc)'!$O$3:$O$500),2),"")</f>
        <v>0.78</v>
      </c>
      <c r="P24" s="152" t="n">
        <f aca="false">IFERROR(ROUND(CORREL('Returns (Calc)'!$T$3:$T$500,'Returns (Calc)'!$P$3:$P$500),2),"")</f>
        <v>0.73</v>
      </c>
      <c r="Q24" s="152" t="n">
        <f aca="false">IFERROR(ROUND(CORREL('Returns (Calc)'!$T$3:$T$500,'Returns (Calc)'!$Q$3:$Q$500),2),"")</f>
        <v>0.66</v>
      </c>
      <c r="R24" s="152" t="n">
        <f aca="false">IFERROR(ROUND(CORREL('Returns (Calc)'!$T$3:$T$500,'Returns (Calc)'!$R$3:$R$500),2),"")</f>
        <v>0.55</v>
      </c>
      <c r="S24" s="152" t="n">
        <f aca="false">IFERROR(ROUND(CORREL('Returns (Calc)'!$T$3:$T$500,'Returns (Calc)'!$S$3:$S$500),2),"")</f>
        <v>0.51</v>
      </c>
      <c r="T24" s="152" t="n">
        <v>1</v>
      </c>
      <c r="U24" s="152" t="n">
        <f aca="false">IFERROR(ROUND(CORREL('Returns (Calc)'!$T$3:$T$500,'Returns (Calc)'!$U$3:$U$500),2),"")</f>
        <v>0.78</v>
      </c>
      <c r="V24" s="152" t="n">
        <f aca="false">IFERROR(ROUND(CORREL('Returns (Calc)'!$T$3:$T$500,'Returns (Calc)'!$V$3:$V$500),2),"")</f>
        <v>0.45</v>
      </c>
      <c r="W24" s="152" t="n">
        <f aca="false">IFERROR(ROUND(CORREL('Returns (Calc)'!$T$3:$T$500,'Returns (Calc)'!$AP$3:$AP$500),2),"")</f>
        <v>0.79</v>
      </c>
      <c r="X24" s="152" t="n">
        <f aca="false">IFERROR(ROUND(CORREL('Returns (Calc)'!$T$3:$T$500,'Returns (Calc)'!$AQ$3:$AQ$500),2),"")</f>
        <v>-0.27</v>
      </c>
      <c r="Y24" s="152" t="n">
        <f aca="false">IFERROR(ROUND(CORREL('Returns (Calc)'!$T$3:$T$500,'Returns (Calc)'!$AR$3:$AR$500),2),"")</f>
        <v>0.72</v>
      </c>
      <c r="Z24" s="152" t="n">
        <f aca="false">IFERROR(ROUND(CORREL('Returns (Calc)'!$T$3:$T$500,'Returns (Calc)'!$AS$3:$AS$500),2),"")</f>
        <v>0.44</v>
      </c>
      <c r="AA24" s="152" t="n">
        <f aca="false">IFERROR(ROUND(CORREL('Returns (Calc)'!$T$3:$T$500,'Returns (Calc)'!$AT$3:$AT$500),2),"")</f>
        <v>0.25</v>
      </c>
      <c r="AG24" s="153" t="n">
        <f aca="false">COUNTIF(B24:AA24,"&gt;0.7")-1</f>
        <v>5</v>
      </c>
    </row>
    <row r="25" customFormat="false" ht="15" hidden="false" customHeight="true" outlineLevel="0" collapsed="false">
      <c r="A25" s="151" t="str">
        <f aca="false">'Returns (Calc)'!U2</f>
        <v>SCHD</v>
      </c>
      <c r="B25" s="152" t="n">
        <f aca="false">IFERROR(ROUND(CORREL('Returns (Calc)'!$U$3:$U$500,'Returns (Calc)'!$B$3:$B$500),2),"")</f>
        <v>0.22</v>
      </c>
      <c r="C25" s="152" t="n">
        <f aca="false">IFERROR(ROUND(CORREL('Returns (Calc)'!$U$3:$U$500,'Returns (Calc)'!$C$3:$C$500),2),"")</f>
        <v>0.27</v>
      </c>
      <c r="D25" s="152" t="n">
        <f aca="false">IFERROR(ROUND(CORREL('Returns (Calc)'!$U$3:$U$500,'Returns (Calc)'!$D$3:$D$500),2),"")</f>
        <v>0.26</v>
      </c>
      <c r="E25" s="152" t="n">
        <f aca="false">IFERROR(ROUND(CORREL('Returns (Calc)'!$U$3:$U$500,'Returns (Calc)'!$E$3:$E$500),2),"")</f>
        <v>0.16</v>
      </c>
      <c r="F25" s="152" t="n">
        <f aca="false">IFERROR(ROUND(CORREL('Returns (Calc)'!$U$3:$U$500,'Returns (Calc)'!$F$3:$F$500),2),"")</f>
        <v>0.11</v>
      </c>
      <c r="G25" s="152" t="n">
        <f aca="false">IFERROR(ROUND(CORREL('Returns (Calc)'!$U$3:$U$500,'Returns (Calc)'!$G$3:$G$500),2),"")</f>
        <v>0.28</v>
      </c>
      <c r="H25" s="152" t="n">
        <f aca="false">IFERROR(ROUND(CORREL('Returns (Calc)'!$U$3:$U$500,'Returns (Calc)'!$H$3:$H$500),2),"")</f>
        <v>0.26</v>
      </c>
      <c r="I25" s="152" t="n">
        <f aca="false">IFERROR(ROUND(CORREL('Returns (Calc)'!$U$3:$U$500,'Returns (Calc)'!$I$3:$I$500),2),"")</f>
        <v>0.18</v>
      </c>
      <c r="J25" s="152" t="n">
        <f aca="false">IFERROR(ROUND(CORREL('Returns (Calc)'!$U$3:$U$500,'Returns (Calc)'!$J$3:$J$500),2),"")</f>
        <v>0.66</v>
      </c>
      <c r="K25" s="152" t="n">
        <f aca="false">IFERROR(ROUND(CORREL('Returns (Calc)'!$U$3:$U$500,'Returns (Calc)'!$K$3:$K$500),2),"")</f>
        <v>0.14</v>
      </c>
      <c r="L25" s="152" t="n">
        <f aca="false">IFERROR(ROUND(CORREL('Returns (Calc)'!$U$3:$U$500,'Returns (Calc)'!$L$3:$L$500),2),"")</f>
        <v>0.21</v>
      </c>
      <c r="M25" s="152" t="n">
        <f aca="false">IFERROR(ROUND(CORREL('Returns (Calc)'!$U$3:$U$500,'Returns (Calc)'!$M$3:$M$500),2),"")</f>
        <v>0.21</v>
      </c>
      <c r="N25" s="152" t="n">
        <f aca="false">IFERROR(ROUND(CORREL('Returns (Calc)'!$U$3:$U$500,'Returns (Calc)'!$N$3:$N$500),2),"")</f>
        <v>0.35</v>
      </c>
      <c r="O25" s="152" t="n">
        <f aca="false">IFERROR(ROUND(CORREL('Returns (Calc)'!$U$3:$U$500,'Returns (Calc)'!$O$3:$O$500),2),"")</f>
        <v>0.83</v>
      </c>
      <c r="P25" s="152" t="n">
        <f aca="false">IFERROR(ROUND(CORREL('Returns (Calc)'!$U$3:$U$500,'Returns (Calc)'!$P$3:$P$500),2),"")</f>
        <v>0.89</v>
      </c>
      <c r="Q25" s="152" t="n">
        <f aca="false">IFERROR(ROUND(CORREL('Returns (Calc)'!$U$3:$U$500,'Returns (Calc)'!$Q$3:$Q$500),2),"")</f>
        <v>0.58</v>
      </c>
      <c r="R25" s="152" t="n">
        <f aca="false">IFERROR(ROUND(CORREL('Returns (Calc)'!$U$3:$U$500,'Returns (Calc)'!$R$3:$R$500),2),"")</f>
        <v>0.41</v>
      </c>
      <c r="S25" s="152" t="n">
        <f aca="false">IFERROR(ROUND(CORREL('Returns (Calc)'!$U$3:$U$500,'Returns (Calc)'!$S$3:$S$500),2),"")</f>
        <v>0.36</v>
      </c>
      <c r="T25" s="152" t="n">
        <f aca="false">IFERROR(ROUND(CORREL('Returns (Calc)'!$U$3:$U$500,'Returns (Calc)'!$T$3:$T$500),2),"")</f>
        <v>0.78</v>
      </c>
      <c r="U25" s="152" t="n">
        <v>1</v>
      </c>
      <c r="V25" s="152" t="n">
        <f aca="false">IFERROR(ROUND(CORREL('Returns (Calc)'!$U$3:$U$500,'Returns (Calc)'!$V$3:$V$500),2),"")</f>
        <v>0.44</v>
      </c>
      <c r="W25" s="152" t="n">
        <f aca="false">IFERROR(ROUND(CORREL('Returns (Calc)'!$U$3:$U$500,'Returns (Calc)'!$AP$3:$AP$500),2),"")</f>
        <v>0.88</v>
      </c>
      <c r="X25" s="152" t="n">
        <f aca="false">IFERROR(ROUND(CORREL('Returns (Calc)'!$U$3:$U$500,'Returns (Calc)'!$AQ$3:$AQ$500),2),"")</f>
        <v>0.31</v>
      </c>
      <c r="Y25" s="152" t="n">
        <f aca="false">IFERROR(ROUND(CORREL('Returns (Calc)'!$U$3:$U$500,'Returns (Calc)'!$AR$3:$AR$500),2),"")</f>
        <v>0.78</v>
      </c>
      <c r="Z25" s="152" t="n">
        <f aca="false">IFERROR(ROUND(CORREL('Returns (Calc)'!$U$3:$U$500,'Returns (Calc)'!$AS$3:$AS$500),2),"")</f>
        <v>0.34</v>
      </c>
      <c r="AA25" s="152" t="n">
        <f aca="false">IFERROR(ROUND(CORREL('Returns (Calc)'!$U$3:$U$500,'Returns (Calc)'!$AT$3:$AT$500),2),"")</f>
        <v>0.16</v>
      </c>
      <c r="AG25" s="153" t="n">
        <f aca="false">COUNTIF(B25:AA25,"&gt;0.7")-1</f>
        <v>5</v>
      </c>
    </row>
    <row r="26" customFormat="false" ht="15" hidden="false" customHeight="true" outlineLevel="0" collapsed="false">
      <c r="A26" s="151" t="str">
        <f aca="false">'Returns (Calc)'!V2</f>
        <v>V</v>
      </c>
      <c r="B26" s="152" t="n">
        <f aca="false">IFERROR(ROUND(CORREL('Returns (Calc)'!$V$3:$V$500,'Returns (Calc)'!$B$3:$B$500),2),"")</f>
        <v>0.4</v>
      </c>
      <c r="C26" s="152" t="n">
        <f aca="false">IFERROR(ROUND(CORREL('Returns (Calc)'!$V$3:$V$500,'Returns (Calc)'!$C$3:$C$500),2),"")</f>
        <v>0.25</v>
      </c>
      <c r="D26" s="152" t="n">
        <f aca="false">IFERROR(ROUND(CORREL('Returns (Calc)'!$V$3:$V$500,'Returns (Calc)'!$D$3:$D$500),2),"")</f>
        <v>0.04</v>
      </c>
      <c r="E26" s="152" t="n">
        <f aca="false">IFERROR(ROUND(CORREL('Returns (Calc)'!$V$3:$V$500,'Returns (Calc)'!$E$3:$E$500),2),"")</f>
        <v>0.2</v>
      </c>
      <c r="F26" s="152" t="n">
        <f aca="false">IFERROR(ROUND(CORREL('Returns (Calc)'!$V$3:$V$500,'Returns (Calc)'!$F$3:$F$500),2),"")</f>
        <v>0.27</v>
      </c>
      <c r="G26" s="152" t="n">
        <f aca="false">IFERROR(ROUND(CORREL('Returns (Calc)'!$V$3:$V$500,'Returns (Calc)'!$G$3:$G$500),2),"")</f>
        <v>0.02</v>
      </c>
      <c r="H26" s="152" t="n">
        <f aca="false">IFERROR(ROUND(CORREL('Returns (Calc)'!$V$3:$V$500,'Returns (Calc)'!$H$3:$H$500),2),"")</f>
        <v>0.02</v>
      </c>
      <c r="I26" s="152" t="n">
        <f aca="false">IFERROR(ROUND(CORREL('Returns (Calc)'!$V$3:$V$500,'Returns (Calc)'!$I$3:$I$500),2),"")</f>
        <v>0.2</v>
      </c>
      <c r="J26" s="152" t="n">
        <f aca="false">IFERROR(ROUND(CORREL('Returns (Calc)'!$V$3:$V$500,'Returns (Calc)'!$J$3:$J$500),2),"")</f>
        <v>0.37</v>
      </c>
      <c r="K26" s="152" t="n">
        <f aca="false">IFERROR(ROUND(CORREL('Returns (Calc)'!$V$3:$V$500,'Returns (Calc)'!$K$3:$K$500),2),"")</f>
        <v>0.24</v>
      </c>
      <c r="L26" s="152" t="n">
        <f aca="false">IFERROR(ROUND(CORREL('Returns (Calc)'!$V$3:$V$500,'Returns (Calc)'!$L$3:$L$500),2),"")</f>
        <v>0.13</v>
      </c>
      <c r="M26" s="152" t="n">
        <f aca="false">IFERROR(ROUND(CORREL('Returns (Calc)'!$V$3:$V$500,'Returns (Calc)'!$M$3:$M$500),2),"")</f>
        <v>0.14</v>
      </c>
      <c r="N26" s="152" t="n">
        <f aca="false">IFERROR(ROUND(CORREL('Returns (Calc)'!$V$3:$V$500,'Returns (Calc)'!$N$3:$N$500),2),"")</f>
        <v>0.26</v>
      </c>
      <c r="O26" s="152" t="n">
        <f aca="false">IFERROR(ROUND(CORREL('Returns (Calc)'!$V$3:$V$500,'Returns (Calc)'!$O$3:$O$500),2),"")</f>
        <v>0.36</v>
      </c>
      <c r="P26" s="152" t="n">
        <f aca="false">IFERROR(ROUND(CORREL('Returns (Calc)'!$V$3:$V$500,'Returns (Calc)'!$P$3:$P$500),2),"")</f>
        <v>0.43</v>
      </c>
      <c r="Q26" s="152" t="n">
        <f aca="false">IFERROR(ROUND(CORREL('Returns (Calc)'!$V$3:$V$500,'Returns (Calc)'!$Q$3:$Q$500),2),"")</f>
        <v>0.52</v>
      </c>
      <c r="R26" s="152" t="n">
        <f aca="false">IFERROR(ROUND(CORREL('Returns (Calc)'!$V$3:$V$500,'Returns (Calc)'!$R$3:$R$500),2),"")</f>
        <v>0.43</v>
      </c>
      <c r="S26" s="152" t="n">
        <f aca="false">IFERROR(ROUND(CORREL('Returns (Calc)'!$V$3:$V$500,'Returns (Calc)'!$S$3:$S$500),2),"")</f>
        <v>0.37</v>
      </c>
      <c r="T26" s="152" t="n">
        <f aca="false">IFERROR(ROUND(CORREL('Returns (Calc)'!$V$3:$V$500,'Returns (Calc)'!$T$3:$T$500),2),"")</f>
        <v>0.45</v>
      </c>
      <c r="U26" s="152" t="n">
        <f aca="false">IFERROR(ROUND(CORREL('Returns (Calc)'!$V$3:$V$500,'Returns (Calc)'!$U$3:$U$500),2),"")</f>
        <v>0.44</v>
      </c>
      <c r="V26" s="152" t="n">
        <v>1</v>
      </c>
      <c r="W26" s="152" t="n">
        <f aca="false">IFERROR(ROUND(CORREL('Returns (Calc)'!$V$3:$V$500,'Returns (Calc)'!$AP$3:$AP$500),2),"")</f>
        <v>0.51</v>
      </c>
      <c r="X26" s="152" t="n">
        <f aca="false">IFERROR(ROUND(CORREL('Returns (Calc)'!$V$3:$V$500,'Returns (Calc)'!$AQ$3:$AQ$500),2),"")</f>
        <v>-0.06</v>
      </c>
      <c r="Y26" s="152" t="n">
        <f aca="false">IFERROR(ROUND(CORREL('Returns (Calc)'!$V$3:$V$500,'Returns (Calc)'!$AR$3:$AR$500),2),"")</f>
        <v>0.63</v>
      </c>
      <c r="Z26" s="152" t="n">
        <f aca="false">IFERROR(ROUND(CORREL('Returns (Calc)'!$V$3:$V$500,'Returns (Calc)'!$AS$3:$AS$500),2),"")</f>
        <v>0.41</v>
      </c>
      <c r="AA26" s="152" t="n">
        <f aca="false">IFERROR(ROUND(CORREL('Returns (Calc)'!$V$3:$V$500,'Returns (Calc)'!$AT$3:$AT$500),2),"")</f>
        <v>0.29</v>
      </c>
      <c r="AG26" s="153" t="n">
        <f aca="false">COUNTIF(B26:AA26,"&gt;0.7")-1</f>
        <v>0</v>
      </c>
    </row>
    <row r="27" customFormat="false" ht="15" hidden="false" customHeight="true" outlineLevel="0" collapsed="false">
      <c r="A27" s="151" t="str">
        <f aca="false">'Returns (Calc)'!AP2</f>
        <v>VYM</v>
      </c>
      <c r="B27" s="152" t="n">
        <f aca="false">IFERROR(ROUND(CORREL('Returns (Calc)'!$AP$3:$AP$500,'Returns (Calc)'!$B$3:$B$500),2),"")</f>
        <v>0.22</v>
      </c>
      <c r="C27" s="152" t="n">
        <f aca="false">IFERROR(ROUND(CORREL('Returns (Calc)'!$AP$3:$AP$500,'Returns (Calc)'!$C$3:$C$500),2),"")</f>
        <v>0.46</v>
      </c>
      <c r="D27" s="152" t="n">
        <f aca="false">IFERROR(ROUND(CORREL('Returns (Calc)'!$AP$3:$AP$500,'Returns (Calc)'!$D$3:$D$500),2),"")</f>
        <v>0.42</v>
      </c>
      <c r="E27" s="152" t="n">
        <f aca="false">IFERROR(ROUND(CORREL('Returns (Calc)'!$AP$3:$AP$500,'Returns (Calc)'!$E$3:$E$500),2),"")</f>
        <v>0.45</v>
      </c>
      <c r="F27" s="152" t="n">
        <f aca="false">IFERROR(ROUND(CORREL('Returns (Calc)'!$AP$3:$AP$500,'Returns (Calc)'!$F$3:$F$500),2),"")</f>
        <v>0.24</v>
      </c>
      <c r="G27" s="152" t="n">
        <f aca="false">IFERROR(ROUND(CORREL('Returns (Calc)'!$AP$3:$AP$500,'Returns (Calc)'!$G$3:$G$500),2),"")</f>
        <v>0.45</v>
      </c>
      <c r="H27" s="152" t="n">
        <f aca="false">IFERROR(ROUND(CORREL('Returns (Calc)'!$AP$3:$AP$500,'Returns (Calc)'!$H$3:$H$500),2),"")</f>
        <v>0.39</v>
      </c>
      <c r="I27" s="152" t="n">
        <f aca="false">IFERROR(ROUND(CORREL('Returns (Calc)'!$AP$3:$AP$500,'Returns (Calc)'!$I$3:$I$500),2),"")</f>
        <v>0.38</v>
      </c>
      <c r="J27" s="152" t="n">
        <f aca="false">IFERROR(ROUND(CORREL('Returns (Calc)'!$AP$3:$AP$500,'Returns (Calc)'!$J$3:$J$500),2),"")</f>
        <v>0.65</v>
      </c>
      <c r="K27" s="152" t="n">
        <f aca="false">IFERROR(ROUND(CORREL('Returns (Calc)'!$AP$3:$AP$500,'Returns (Calc)'!$K$3:$K$500),2),"")</f>
        <v>0.26</v>
      </c>
      <c r="L27" s="152" t="n">
        <f aca="false">IFERROR(ROUND(CORREL('Returns (Calc)'!$AP$3:$AP$500,'Returns (Calc)'!$L$3:$L$500),2),"")</f>
        <v>0.42</v>
      </c>
      <c r="M27" s="152" t="n">
        <f aca="false">IFERROR(ROUND(CORREL('Returns (Calc)'!$AP$3:$AP$500,'Returns (Calc)'!$M$3:$M$500),2),"")</f>
        <v>0.42</v>
      </c>
      <c r="N27" s="152" t="n">
        <f aca="false">IFERROR(ROUND(CORREL('Returns (Calc)'!$AP$3:$AP$500,'Returns (Calc)'!$N$3:$N$500),2),"")</f>
        <v>0.28</v>
      </c>
      <c r="O27" s="152" t="n">
        <f aca="false">IFERROR(ROUND(CORREL('Returns (Calc)'!$AP$3:$AP$500,'Returns (Calc)'!$O$3:$O$500),2),"")</f>
        <v>0.87</v>
      </c>
      <c r="P27" s="152" t="n">
        <f aca="false">IFERROR(ROUND(CORREL('Returns (Calc)'!$AP$3:$AP$500,'Returns (Calc)'!$P$3:$P$500),2),"")</f>
        <v>0.88</v>
      </c>
      <c r="Q27" s="152" t="n">
        <f aca="false">IFERROR(ROUND(CORREL('Returns (Calc)'!$AP$3:$AP$500,'Returns (Calc)'!$Q$3:$Q$500),2),"")</f>
        <v>0.78</v>
      </c>
      <c r="R27" s="152" t="n">
        <f aca="false">IFERROR(ROUND(CORREL('Returns (Calc)'!$AP$3:$AP$500,'Returns (Calc)'!$R$3:$R$500),2),"")</f>
        <v>0.66</v>
      </c>
      <c r="S27" s="152" t="n">
        <f aca="false">IFERROR(ROUND(CORREL('Returns (Calc)'!$AP$3:$AP$500,'Returns (Calc)'!$S$3:$S$500),2),"")</f>
        <v>0.64</v>
      </c>
      <c r="T27" s="152" t="n">
        <f aca="false">IFERROR(ROUND(CORREL('Returns (Calc)'!$AP$3:$AP$500,'Returns (Calc)'!$T$3:$T$500),2),"")</f>
        <v>0.79</v>
      </c>
      <c r="U27" s="152" t="n">
        <f aca="false">IFERROR(ROUND(CORREL('Returns (Calc)'!$AP$3:$AP$500,'Returns (Calc)'!$U$3:$U$500),2),"")</f>
        <v>0.88</v>
      </c>
      <c r="V27" s="152" t="n">
        <f aca="false">IFERROR(ROUND(CORREL('Returns (Calc)'!$AP$3:$AP$500,'Returns (Calc)'!$V$3:$V$500),2),"")</f>
        <v>0.51</v>
      </c>
      <c r="W27" s="152" t="n">
        <v>1</v>
      </c>
      <c r="X27" s="152" t="n">
        <f aca="false">IFERROR(ROUND(CORREL('Returns (Calc)'!$AP$3:$AP$500,'Returns (Calc)'!$AQ$3:$AQ$500),2),"")</f>
        <v>0.03</v>
      </c>
      <c r="Y27" s="152" t="n">
        <f aca="false">IFERROR(ROUND(CORREL('Returns (Calc)'!$AP$3:$AP$500,'Returns (Calc)'!$AR$3:$AR$500),2),"")</f>
        <v>0.9</v>
      </c>
      <c r="Z27" s="152" t="n">
        <f aca="false">IFERROR(ROUND(CORREL('Returns (Calc)'!$AP$3:$AP$500,'Returns (Calc)'!$AS$3:$AS$500),2),"")</f>
        <v>0.54</v>
      </c>
      <c r="AA27" s="152" t="n">
        <f aca="false">IFERROR(ROUND(CORREL('Returns (Calc)'!$AP$3:$AP$500,'Returns (Calc)'!$AT$3:$AT$500),2),"")</f>
        <v>0.3</v>
      </c>
      <c r="AG27" s="153" t="n">
        <f aca="false">COUNTIF(B27:AA27,"&gt;0.7")-1</f>
        <v>6</v>
      </c>
    </row>
    <row r="28" customFormat="false" ht="15" hidden="false" customHeight="true" outlineLevel="0" collapsed="false">
      <c r="A28" s="151" t="str">
        <f aca="false">'Returns (Calc)'!AQ2</f>
        <v>MLPI</v>
      </c>
      <c r="B28" s="152" t="n">
        <f aca="false">IFERROR(ROUND(CORREL('Returns (Calc)'!$AQ$3:$AQ$500,'Returns (Calc)'!$B$3:$B$500),2),"")</f>
        <v>-0.24</v>
      </c>
      <c r="C28" s="152" t="n">
        <f aca="false">IFERROR(ROUND(CORREL('Returns (Calc)'!$AQ$3:$AQ$500,'Returns (Calc)'!$C$3:$C$500),2),"")</f>
        <v>-0.04</v>
      </c>
      <c r="D28" s="152" t="n">
        <f aca="false">IFERROR(ROUND(CORREL('Returns (Calc)'!$AQ$3:$AQ$500,'Returns (Calc)'!$D$3:$D$500),2),"")</f>
        <v>-0.18</v>
      </c>
      <c r="E28" s="152" t="n">
        <f aca="false">IFERROR(ROUND(CORREL('Returns (Calc)'!$AQ$3:$AQ$500,'Returns (Calc)'!$E$3:$E$500),2),"")</f>
        <v>-0.45</v>
      </c>
      <c r="F28" s="152" t="n">
        <f aca="false">IFERROR(ROUND(CORREL('Returns (Calc)'!$AQ$3:$AQ$500,'Returns (Calc)'!$F$3:$F$500),2),"")</f>
        <v>-0.3</v>
      </c>
      <c r="G28" s="152" t="n">
        <f aca="false">IFERROR(ROUND(CORREL('Returns (Calc)'!$AQ$3:$AQ$500,'Returns (Calc)'!$G$3:$G$500),2),"")</f>
        <v>-0.17</v>
      </c>
      <c r="H28" s="152" t="n">
        <f aca="false">IFERROR(ROUND(CORREL('Returns (Calc)'!$AQ$3:$AQ$500,'Returns (Calc)'!$H$3:$H$500),2),"")</f>
        <v>-0.35</v>
      </c>
      <c r="I28" s="152" t="n">
        <f aca="false">IFERROR(ROUND(CORREL('Returns (Calc)'!$AQ$3:$AQ$500,'Returns (Calc)'!$I$3:$I$500),2),"")</f>
        <v>-0.31</v>
      </c>
      <c r="J28" s="152" t="n">
        <f aca="false">IFERROR(ROUND(CORREL('Returns (Calc)'!$AQ$3:$AQ$500,'Returns (Calc)'!$J$3:$J$500),2),"")</f>
        <v>0.09</v>
      </c>
      <c r="K28" s="152" t="n">
        <f aca="false">IFERROR(ROUND(CORREL('Returns (Calc)'!$AQ$3:$AQ$500,'Returns (Calc)'!$K$3:$K$500),2),"")</f>
        <v>-0.48</v>
      </c>
      <c r="L28" s="152" t="n">
        <f aca="false">IFERROR(ROUND(CORREL('Returns (Calc)'!$AQ$3:$AQ$500,'Returns (Calc)'!$L$3:$L$500),2),"")</f>
        <v>-0.25</v>
      </c>
      <c r="M28" s="152" t="n">
        <f aca="false">IFERROR(ROUND(CORREL('Returns (Calc)'!$AQ$3:$AQ$500,'Returns (Calc)'!$M$3:$M$500),2),"")</f>
        <v>0.2</v>
      </c>
      <c r="N28" s="152" t="n">
        <f aca="false">IFERROR(ROUND(CORREL('Returns (Calc)'!$AQ$3:$AQ$500,'Returns (Calc)'!$N$3:$N$500),2),"")</f>
        <v>-0.16</v>
      </c>
      <c r="O28" s="152" t="n">
        <f aca="false">IFERROR(ROUND(CORREL('Returns (Calc)'!$AQ$3:$AQ$500,'Returns (Calc)'!$O$3:$O$500),2),"")</f>
        <v>0.11</v>
      </c>
      <c r="P28" s="152" t="n">
        <f aca="false">IFERROR(ROUND(CORREL('Returns (Calc)'!$AQ$3:$AQ$500,'Returns (Calc)'!$P$3:$P$500),2),"")</f>
        <v>0.45</v>
      </c>
      <c r="Q28" s="152" t="n">
        <f aca="false">IFERROR(ROUND(CORREL('Returns (Calc)'!$AQ$3:$AQ$500,'Returns (Calc)'!$Q$3:$Q$500),2),"")</f>
        <v>-0.43</v>
      </c>
      <c r="R28" s="152" t="n">
        <f aca="false">IFERROR(ROUND(CORREL('Returns (Calc)'!$AQ$3:$AQ$500,'Returns (Calc)'!$R$3:$R$500),2),"")</f>
        <v>-0.49</v>
      </c>
      <c r="S28" s="152" t="n">
        <f aca="false">IFERROR(ROUND(CORREL('Returns (Calc)'!$AQ$3:$AQ$500,'Returns (Calc)'!$S$3:$S$500),2),"")</f>
        <v>-0.39</v>
      </c>
      <c r="T28" s="152" t="n">
        <f aca="false">IFERROR(ROUND(CORREL('Returns (Calc)'!$AQ$3:$AQ$500,'Returns (Calc)'!$T$3:$T$500),2),"")</f>
        <v>-0.27</v>
      </c>
      <c r="U28" s="152" t="n">
        <f aca="false">IFERROR(ROUND(CORREL('Returns (Calc)'!$AQ$3:$AQ$500,'Returns (Calc)'!$U$3:$U$500),2),"")</f>
        <v>0.31</v>
      </c>
      <c r="V28" s="152" t="n">
        <f aca="false">IFERROR(ROUND(CORREL('Returns (Calc)'!$AQ$3:$AQ$500,'Returns (Calc)'!$V$3:$V$500),2),"")</f>
        <v>-0.06</v>
      </c>
      <c r="W28" s="152" t="n">
        <f aca="false">IFERROR(ROUND(CORREL('Returns (Calc)'!$AQ$3:$AQ$500,'Returns (Calc)'!$AP$3:$AP$500),2),"")</f>
        <v>0.03</v>
      </c>
      <c r="X28" s="152" t="n">
        <v>1</v>
      </c>
      <c r="Y28" s="152" t="n">
        <f aca="false">IFERROR(ROUND(CORREL('Returns (Calc)'!$AQ$3:$AQ$500,'Returns (Calc)'!$AR$3:$AR$500),2),"")</f>
        <v>-0.1</v>
      </c>
      <c r="Z28" s="152" t="n">
        <f aca="false">IFERROR(ROUND(CORREL('Returns (Calc)'!$AQ$3:$AQ$500,'Returns (Calc)'!$AS$3:$AS$500),2),"")</f>
        <v>-0.26</v>
      </c>
      <c r="AA28" s="152" t="n">
        <f aca="false">IFERROR(ROUND(CORREL('Returns (Calc)'!$AQ$3:$AQ$500,'Returns (Calc)'!$AT$3:$AT$500),2),"")</f>
        <v>-0.01</v>
      </c>
      <c r="AG28" s="153" t="n">
        <f aca="false">COUNTIF(B28:AA28,"&gt;0.7")-1</f>
        <v>0</v>
      </c>
    </row>
    <row r="29" customFormat="false" ht="15" hidden="false" customHeight="true" outlineLevel="0" collapsed="false">
      <c r="A29" s="151" t="str">
        <f aca="false">'Returns (Calc)'!AR2</f>
        <v>JEPI</v>
      </c>
      <c r="B29" s="152" t="n">
        <f aca="false">IFERROR(ROUND(CORREL('Returns (Calc)'!$AR$3:$AR$500,'Returns (Calc)'!$B$3:$B$500),2),"")</f>
        <v>0.33</v>
      </c>
      <c r="C29" s="152" t="n">
        <f aca="false">IFERROR(ROUND(CORREL('Returns (Calc)'!$AR$3:$AR$500,'Returns (Calc)'!$C$3:$C$500),2),"")</f>
        <v>0.51</v>
      </c>
      <c r="D29" s="152" t="n">
        <f aca="false">IFERROR(ROUND(CORREL('Returns (Calc)'!$AR$3:$AR$500,'Returns (Calc)'!$D$3:$D$500),2),"")</f>
        <v>0.43</v>
      </c>
      <c r="E29" s="152" t="n">
        <f aca="false">IFERROR(ROUND(CORREL('Returns (Calc)'!$AR$3:$AR$500,'Returns (Calc)'!$E$3:$E$500),2),"")</f>
        <v>0.44</v>
      </c>
      <c r="F29" s="152" t="n">
        <f aca="false">IFERROR(ROUND(CORREL('Returns (Calc)'!$AR$3:$AR$500,'Returns (Calc)'!$F$3:$F$500),2),"")</f>
        <v>0.29</v>
      </c>
      <c r="G29" s="152" t="n">
        <f aca="false">IFERROR(ROUND(CORREL('Returns (Calc)'!$AR$3:$AR$500,'Returns (Calc)'!$G$3:$G$500),2),"")</f>
        <v>0.45</v>
      </c>
      <c r="H29" s="152" t="n">
        <f aca="false">IFERROR(ROUND(CORREL('Returns (Calc)'!$AR$3:$AR$500,'Returns (Calc)'!$H$3:$H$500),2),"")</f>
        <v>0.35</v>
      </c>
      <c r="I29" s="152" t="n">
        <f aca="false">IFERROR(ROUND(CORREL('Returns (Calc)'!$AR$3:$AR$500,'Returns (Calc)'!$I$3:$I$500),2),"")</f>
        <v>0.44</v>
      </c>
      <c r="J29" s="152" t="n">
        <f aca="false">IFERROR(ROUND(CORREL('Returns (Calc)'!$AR$3:$AR$500,'Returns (Calc)'!$J$3:$J$500),2),"")</f>
        <v>0.61</v>
      </c>
      <c r="K29" s="152" t="n">
        <f aca="false">IFERROR(ROUND(CORREL('Returns (Calc)'!$AR$3:$AR$500,'Returns (Calc)'!$K$3:$K$500),2),"")</f>
        <v>0.31</v>
      </c>
      <c r="L29" s="152" t="n">
        <f aca="false">IFERROR(ROUND(CORREL('Returns (Calc)'!$AR$3:$AR$500,'Returns (Calc)'!$L$3:$L$500),2),"")</f>
        <v>0.48</v>
      </c>
      <c r="M29" s="152" t="n">
        <f aca="false">IFERROR(ROUND(CORREL('Returns (Calc)'!$AR$3:$AR$500,'Returns (Calc)'!$M$3:$M$500),2),"")</f>
        <v>0.44</v>
      </c>
      <c r="N29" s="152" t="n">
        <f aca="false">IFERROR(ROUND(CORREL('Returns (Calc)'!$AR$3:$AR$500,'Returns (Calc)'!$N$3:$N$500),2),"")</f>
        <v>0.34</v>
      </c>
      <c r="O29" s="152" t="n">
        <f aca="false">IFERROR(ROUND(CORREL('Returns (Calc)'!$AR$3:$AR$500,'Returns (Calc)'!$O$3:$O$500),2),"")</f>
        <v>0.73</v>
      </c>
      <c r="P29" s="152" t="n">
        <f aca="false">IFERROR(ROUND(CORREL('Returns (Calc)'!$AR$3:$AR$500,'Returns (Calc)'!$P$3:$P$500),2),"")</f>
        <v>0.76</v>
      </c>
      <c r="Q29" s="152" t="n">
        <f aca="false">IFERROR(ROUND(CORREL('Returns (Calc)'!$AR$3:$AR$500,'Returns (Calc)'!$Q$3:$Q$500),2),"")</f>
        <v>0.83</v>
      </c>
      <c r="R29" s="152" t="n">
        <f aca="false">IFERROR(ROUND(CORREL('Returns (Calc)'!$AR$3:$AR$500,'Returns (Calc)'!$R$3:$R$500),2),"")</f>
        <v>0.76</v>
      </c>
      <c r="S29" s="152" t="n">
        <f aca="false">IFERROR(ROUND(CORREL('Returns (Calc)'!$AR$3:$AR$500,'Returns (Calc)'!$S$3:$S$500),2),"")</f>
        <v>0.67</v>
      </c>
      <c r="T29" s="152" t="n">
        <f aca="false">IFERROR(ROUND(CORREL('Returns (Calc)'!$AR$3:$AR$500,'Returns (Calc)'!$T$3:$T$500),2),"")</f>
        <v>0.72</v>
      </c>
      <c r="U29" s="152" t="n">
        <f aca="false">IFERROR(ROUND(CORREL('Returns (Calc)'!$AR$3:$AR$500,'Returns (Calc)'!$U$3:$U$500),2),"")</f>
        <v>0.78</v>
      </c>
      <c r="V29" s="152" t="n">
        <f aca="false">IFERROR(ROUND(CORREL('Returns (Calc)'!$AR$3:$AR$500,'Returns (Calc)'!$V$3:$V$500),2),"")</f>
        <v>0.63</v>
      </c>
      <c r="W29" s="152" t="n">
        <f aca="false">IFERROR(ROUND(CORREL('Returns (Calc)'!$AR$3:$AR$500,'Returns (Calc)'!$AP$3:$AP$500),2),"")</f>
        <v>0.9</v>
      </c>
      <c r="X29" s="152" t="n">
        <f aca="false">IFERROR(ROUND(CORREL('Returns (Calc)'!$AR$3:$AR$500,'Returns (Calc)'!$AQ$3:$AQ$500),2),"")</f>
        <v>-0.1</v>
      </c>
      <c r="Y29" s="152" t="n">
        <v>1</v>
      </c>
      <c r="Z29" s="152" t="n">
        <f aca="false">IFERROR(ROUND(CORREL('Returns (Calc)'!$AR$3:$AR$500,'Returns (Calc)'!$AS$3:$AS$500),2),"")</f>
        <v>0.57</v>
      </c>
      <c r="AA29" s="152" t="n">
        <f aca="false">IFERROR(ROUND(CORREL('Returns (Calc)'!$AR$3:$AR$500,'Returns (Calc)'!$AT$3:$AT$500),2),"")</f>
        <v>0.38</v>
      </c>
      <c r="AG29" s="153" t="n">
        <f aca="false">COUNTIF(B29:AA29,"&gt;0.7")-1</f>
        <v>7</v>
      </c>
    </row>
    <row r="30" customFormat="false" ht="15" hidden="false" customHeight="true" outlineLevel="0" collapsed="false">
      <c r="A30" s="151" t="str">
        <f aca="false">'Returns (Calc)'!AS2</f>
        <v>GE</v>
      </c>
      <c r="B30" s="152" t="n">
        <f aca="false">IFERROR(ROUND(CORREL('Returns (Calc)'!$AS$3:$AS$500,'Returns (Calc)'!$B$3:$B$500),2),"")</f>
        <v>0.09</v>
      </c>
      <c r="C30" s="152" t="n">
        <f aca="false">IFERROR(ROUND(CORREL('Returns (Calc)'!$AS$3:$AS$500,'Returns (Calc)'!$C$3:$C$500),2),"")</f>
        <v>0.34</v>
      </c>
      <c r="D30" s="152" t="n">
        <f aca="false">IFERROR(ROUND(CORREL('Returns (Calc)'!$AS$3:$AS$500,'Returns (Calc)'!$D$3:$D$500),2),"")</f>
        <v>0.39</v>
      </c>
      <c r="E30" s="152" t="n">
        <f aca="false">IFERROR(ROUND(CORREL('Returns (Calc)'!$AS$3:$AS$500,'Returns (Calc)'!$E$3:$E$500),2),"")</f>
        <v>0.36</v>
      </c>
      <c r="F30" s="152" t="n">
        <f aca="false">IFERROR(ROUND(CORREL('Returns (Calc)'!$AS$3:$AS$500,'Returns (Calc)'!$F$3:$F$500),2),"")</f>
        <v>0.24</v>
      </c>
      <c r="G30" s="152" t="n">
        <f aca="false">IFERROR(ROUND(CORREL('Returns (Calc)'!$AS$3:$AS$500,'Returns (Calc)'!$G$3:$G$500),2),"")</f>
        <v>0.38</v>
      </c>
      <c r="H30" s="152" t="n">
        <f aca="false">IFERROR(ROUND(CORREL('Returns (Calc)'!$AS$3:$AS$500,'Returns (Calc)'!$H$3:$H$500),2),"")</f>
        <v>0.36</v>
      </c>
      <c r="I30" s="152" t="n">
        <f aca="false">IFERROR(ROUND(CORREL('Returns (Calc)'!$AS$3:$AS$500,'Returns (Calc)'!$I$3:$I$500),2),"")</f>
        <v>0.38</v>
      </c>
      <c r="J30" s="152" t="n">
        <f aca="false">IFERROR(ROUND(CORREL('Returns (Calc)'!$AS$3:$AS$500,'Returns (Calc)'!$J$3:$J$500),2),"")</f>
        <v>0.3</v>
      </c>
      <c r="K30" s="152" t="n">
        <f aca="false">IFERROR(ROUND(CORREL('Returns (Calc)'!$AS$3:$AS$500,'Returns (Calc)'!$K$3:$K$500),2),"")</f>
        <v>0.26</v>
      </c>
      <c r="L30" s="152" t="n">
        <f aca="false">IFERROR(ROUND(CORREL('Returns (Calc)'!$AS$3:$AS$500,'Returns (Calc)'!$L$3:$L$500),2),"")</f>
        <v>0.44</v>
      </c>
      <c r="M30" s="152" t="n">
        <f aca="false">IFERROR(ROUND(CORREL('Returns (Calc)'!$AS$3:$AS$500,'Returns (Calc)'!$M$3:$M$500),2),"")</f>
        <v>0.44</v>
      </c>
      <c r="N30" s="152" t="n">
        <f aca="false">IFERROR(ROUND(CORREL('Returns (Calc)'!$AS$3:$AS$500,'Returns (Calc)'!$N$3:$N$500),2),"")</f>
        <v>0.08</v>
      </c>
      <c r="O30" s="152" t="n">
        <f aca="false">IFERROR(ROUND(CORREL('Returns (Calc)'!$AS$3:$AS$500,'Returns (Calc)'!$O$3:$O$500),2),"")</f>
        <v>0.46</v>
      </c>
      <c r="P30" s="152" t="n">
        <f aca="false">IFERROR(ROUND(CORREL('Returns (Calc)'!$AS$3:$AS$500,'Returns (Calc)'!$P$3:$P$500),2),"")</f>
        <v>0.4</v>
      </c>
      <c r="Q30" s="152" t="n">
        <f aca="false">IFERROR(ROUND(CORREL('Returns (Calc)'!$AS$3:$AS$500,'Returns (Calc)'!$Q$3:$Q$500),2),"")</f>
        <v>0.53</v>
      </c>
      <c r="R30" s="152" t="n">
        <f aca="false">IFERROR(ROUND(CORREL('Returns (Calc)'!$AS$3:$AS$500,'Returns (Calc)'!$R$3:$R$500),2),"")</f>
        <v>0.52</v>
      </c>
      <c r="S30" s="152" t="n">
        <f aca="false">IFERROR(ROUND(CORREL('Returns (Calc)'!$AS$3:$AS$500,'Returns (Calc)'!$S$3:$S$500),2),"")</f>
        <v>0.61</v>
      </c>
      <c r="T30" s="152" t="n">
        <f aca="false">IFERROR(ROUND(CORREL('Returns (Calc)'!$AS$3:$AS$500,'Returns (Calc)'!$T$3:$T$500),2),"")</f>
        <v>0.44</v>
      </c>
      <c r="U30" s="152" t="n">
        <f aca="false">IFERROR(ROUND(CORREL('Returns (Calc)'!$AS$3:$AS$500,'Returns (Calc)'!$U$3:$U$500),2),"")</f>
        <v>0.34</v>
      </c>
      <c r="V30" s="152" t="n">
        <f aca="false">IFERROR(ROUND(CORREL('Returns (Calc)'!$AS$3:$AS$500,'Returns (Calc)'!$V$3:$V$500),2),"")</f>
        <v>0.41</v>
      </c>
      <c r="W30" s="152" t="n">
        <f aca="false">IFERROR(ROUND(CORREL('Returns (Calc)'!$AS$3:$AS$500,'Returns (Calc)'!$AP$3:$AP$500),2),"")</f>
        <v>0.54</v>
      </c>
      <c r="X30" s="152" t="n">
        <f aca="false">IFERROR(ROUND(CORREL('Returns (Calc)'!$AS$3:$AS$500,'Returns (Calc)'!$AQ$3:$AQ$500),2),"")</f>
        <v>-0.26</v>
      </c>
      <c r="Y30" s="152" t="n">
        <f aca="false">IFERROR(ROUND(CORREL('Returns (Calc)'!$AS$3:$AS$500,'Returns (Calc)'!$AR$3:$AR$500),2),"")</f>
        <v>0.57</v>
      </c>
      <c r="Z30" s="152" t="n">
        <v>1</v>
      </c>
      <c r="AA30" s="152" t="n">
        <f aca="false">IFERROR(ROUND(CORREL('Returns (Calc)'!$AS$3:$AS$500,'Returns (Calc)'!$AT$3:$AT$500),2),"")</f>
        <v>0.39</v>
      </c>
      <c r="AG30" s="153" t="n">
        <f aca="false">COUNTIF(B30:AA30,"&gt;0.7")-1</f>
        <v>0</v>
      </c>
    </row>
    <row r="31" customFormat="false" ht="15" hidden="false" customHeight="true" outlineLevel="0" collapsed="false">
      <c r="A31" s="151" t="str">
        <f aca="false">'Returns (Calc)'!AT2</f>
        <v>NFLX</v>
      </c>
      <c r="B31" s="152" t="n">
        <f aca="false">IFERROR(ROUND(CORREL('Returns (Calc)'!$AT$3:$AT$500,'Returns (Calc)'!$B$3:$B$500),2),"")</f>
        <v>0.21</v>
      </c>
      <c r="C31" s="152" t="n">
        <f aca="false">IFERROR(ROUND(CORREL('Returns (Calc)'!$AT$3:$AT$500,'Returns (Calc)'!$C$3:$C$500),2),"")</f>
        <v>0.39</v>
      </c>
      <c r="D31" s="152" t="n">
        <f aca="false">IFERROR(ROUND(CORREL('Returns (Calc)'!$AT$3:$AT$500,'Returns (Calc)'!$D$3:$D$500),2),"")</f>
        <v>0.21</v>
      </c>
      <c r="E31" s="152" t="n">
        <f aca="false">IFERROR(ROUND(CORREL('Returns (Calc)'!$AT$3:$AT$500,'Returns (Calc)'!$E$3:$E$500),2),"")</f>
        <v>0.3</v>
      </c>
      <c r="F31" s="152" t="n">
        <f aca="false">IFERROR(ROUND(CORREL('Returns (Calc)'!$AT$3:$AT$500,'Returns (Calc)'!$F$3:$F$500),2),"")</f>
        <v>0.24</v>
      </c>
      <c r="G31" s="152" t="n">
        <f aca="false">IFERROR(ROUND(CORREL('Returns (Calc)'!$AT$3:$AT$500,'Returns (Calc)'!$G$3:$G$500),2),"")</f>
        <v>0.11</v>
      </c>
      <c r="H31" s="152" t="n">
        <f aca="false">IFERROR(ROUND(CORREL('Returns (Calc)'!$AT$3:$AT$500,'Returns (Calc)'!$H$3:$H$500),2),"")</f>
        <v>0.1</v>
      </c>
      <c r="I31" s="152" t="n">
        <f aca="false">IFERROR(ROUND(CORREL('Returns (Calc)'!$AT$3:$AT$500,'Returns (Calc)'!$I$3:$I$500),2),"")</f>
        <v>0.27</v>
      </c>
      <c r="J31" s="152" t="n">
        <f aca="false">IFERROR(ROUND(CORREL('Returns (Calc)'!$AT$3:$AT$500,'Returns (Calc)'!$J$3:$J$500),2),"")</f>
        <v>0.13</v>
      </c>
      <c r="K31" s="152" t="n">
        <f aca="false">IFERROR(ROUND(CORREL('Returns (Calc)'!$AT$3:$AT$500,'Returns (Calc)'!$K$3:$K$500),2),"")</f>
        <v>0.3</v>
      </c>
      <c r="L31" s="152" t="n">
        <f aca="false">IFERROR(ROUND(CORREL('Returns (Calc)'!$AT$3:$AT$500,'Returns (Calc)'!$L$3:$L$500),2),"")</f>
        <v>0.3</v>
      </c>
      <c r="M31" s="152" t="n">
        <f aca="false">IFERROR(ROUND(CORREL('Returns (Calc)'!$AT$3:$AT$500,'Returns (Calc)'!$M$3:$M$500),2),"")</f>
        <v>0.32</v>
      </c>
      <c r="N31" s="152" t="n">
        <f aca="false">IFERROR(ROUND(CORREL('Returns (Calc)'!$AT$3:$AT$500,'Returns (Calc)'!$N$3:$N$500),2),"")</f>
        <v>0.08</v>
      </c>
      <c r="O31" s="152" t="n">
        <f aca="false">IFERROR(ROUND(CORREL('Returns (Calc)'!$AT$3:$AT$500,'Returns (Calc)'!$O$3:$O$500),2),"")</f>
        <v>0.21</v>
      </c>
      <c r="P31" s="152" t="n">
        <f aca="false">IFERROR(ROUND(CORREL('Returns (Calc)'!$AT$3:$AT$500,'Returns (Calc)'!$P$3:$P$500),2),"")</f>
        <v>0.18</v>
      </c>
      <c r="Q31" s="152" t="n">
        <f aca="false">IFERROR(ROUND(CORREL('Returns (Calc)'!$AT$3:$AT$500,'Returns (Calc)'!$Q$3:$Q$500),2),"")</f>
        <v>0.39</v>
      </c>
      <c r="R31" s="152" t="n">
        <f aca="false">IFERROR(ROUND(CORREL('Returns (Calc)'!$AT$3:$AT$500,'Returns (Calc)'!$R$3:$R$500),2),"")</f>
        <v>0.43</v>
      </c>
      <c r="S31" s="152" t="n">
        <f aca="false">IFERROR(ROUND(CORREL('Returns (Calc)'!$AT$3:$AT$500,'Returns (Calc)'!$S$3:$S$500),2),"")</f>
        <v>0.41</v>
      </c>
      <c r="T31" s="152" t="n">
        <f aca="false">IFERROR(ROUND(CORREL('Returns (Calc)'!$AT$3:$AT$500,'Returns (Calc)'!$T$3:$T$500),2),"")</f>
        <v>0.25</v>
      </c>
      <c r="U31" s="152" t="n">
        <f aca="false">IFERROR(ROUND(CORREL('Returns (Calc)'!$AT$3:$AT$500,'Returns (Calc)'!$U$3:$U$500),2),"")</f>
        <v>0.16</v>
      </c>
      <c r="V31" s="152" t="n">
        <f aca="false">IFERROR(ROUND(CORREL('Returns (Calc)'!$AT$3:$AT$500,'Returns (Calc)'!$V$3:$V$500),2),"")</f>
        <v>0.29</v>
      </c>
      <c r="W31" s="152" t="n">
        <f aca="false">IFERROR(ROUND(CORREL('Returns (Calc)'!$AT$3:$AT$500,'Returns (Calc)'!$AP$3:$AP$500),2),"")</f>
        <v>0.3</v>
      </c>
      <c r="X31" s="152" t="n">
        <f aca="false">IFERROR(ROUND(CORREL('Returns (Calc)'!$AT$3:$AT$500,'Returns (Calc)'!$AQ$3:$AQ$500),2),"")</f>
        <v>-0.01</v>
      </c>
      <c r="Y31" s="152" t="n">
        <f aca="false">IFERROR(ROUND(CORREL('Returns (Calc)'!$AT$3:$AT$500,'Returns (Calc)'!$AR$3:$AR$500),2),"")</f>
        <v>0.38</v>
      </c>
      <c r="Z31" s="152" t="n">
        <f aca="false">IFERROR(ROUND(CORREL('Returns (Calc)'!$AT$3:$AT$500,'Returns (Calc)'!$AS$3:$AS$500),2),"")</f>
        <v>0.39</v>
      </c>
      <c r="AA31" s="152" t="n">
        <v>1</v>
      </c>
      <c r="AG31" s="153" t="n">
        <f aca="false">COUNTIF(B31:AA31,"&gt;0.7")-1</f>
        <v>0</v>
      </c>
    </row>
  </sheetData>
  <mergeCells count="1">
    <mergeCell ref="A1:AG1"/>
  </mergeCells>
  <conditionalFormatting sqref="B6:AA31">
    <cfRule type="expression" priority="2" aboveAverage="0" equalAverage="0" bottom="0" percent="0" rank="0" text="" dxfId="26">
      <formula>AND(B6&lt;&gt;1,ABS(B6)&gt;0.7)</formula>
    </cfRule>
  </conditionalFormatting>
  <conditionalFormatting sqref="AG6:AG31">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4.2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33" width="30"/>
  </cols>
  <sheetData>
    <row r="1" customFormat="false" ht="24" hidden="false" customHeight="true" outlineLevel="0" collapsed="false">
      <c r="A1" s="154" t="s">
        <v>460</v>
      </c>
      <c r="B1" s="154"/>
      <c r="C1" s="154"/>
      <c r="D1" s="154"/>
      <c r="E1" s="154"/>
      <c r="F1" s="154"/>
      <c r="G1" s="154"/>
      <c r="H1" s="154"/>
    </row>
    <row r="2" customFormat="false" ht="27.75" hidden="false" customHeight="true" outlineLevel="0" collapsed="false">
      <c r="A2" s="110" t="s">
        <v>461</v>
      </c>
      <c r="B2" s="110" t="s">
        <v>462</v>
      </c>
      <c r="C2" s="110" t="s">
        <v>463</v>
      </c>
      <c r="D2" s="110" t="s">
        <v>464</v>
      </c>
      <c r="E2" s="110" t="s">
        <v>465</v>
      </c>
      <c r="F2" s="110" t="s">
        <v>466</v>
      </c>
      <c r="G2" s="110" t="s">
        <v>467</v>
      </c>
      <c r="H2" s="110" t="s">
        <v>210</v>
      </c>
    </row>
    <row r="3" customFormat="false" ht="15" hidden="false" customHeight="true" outlineLevel="0" collapsed="false">
      <c r="A3" s="155" t="n">
        <v>46245</v>
      </c>
      <c r="B3" s="156" t="n">
        <v>700739.19</v>
      </c>
      <c r="C3" s="157" t="n">
        <f aca="false">IF(B3="","",B3)</f>
        <v>700739.19</v>
      </c>
      <c r="D3" s="158" t="n">
        <f aca="false">IF(OR(B3="",C3=""),"",B3/C3-1)</f>
        <v>0</v>
      </c>
      <c r="E3" s="159" t="str">
        <f aca="false">IF(D3="","",IF(D3&gt;=-0.1,"Normal",IF(D3&gt;=-0.2,"Elevated",IF(D3&gt;=-0.3,"Severe","Critical"))))</f>
        <v>Normal</v>
      </c>
      <c r="F3" s="160" t="str">
        <f aca="false">IF(E3="","",IF(E3="Normal","5-15%",IF(E3="Elevated","15%",IF(E3="Severe","20%","25%"))))</f>
        <v>5-15%</v>
      </c>
      <c r="G3" s="160" t="str">
        <f aca="false">IF(E3="","",IF(E3="Normal","Standard (score &gt;=65)",IF(E3="Elevated","Restricted (score &gt;=80 only)","Suspended")))</f>
        <v>Standard (score &gt;=65)</v>
      </c>
      <c r="H3" s="161"/>
    </row>
    <row r="4" customFormat="false" ht="15" hidden="false" customHeight="true" outlineLevel="0" collapsed="false">
      <c r="A4" s="155" t="n">
        <v>46269</v>
      </c>
      <c r="B4" s="156" t="n">
        <v>751223.12</v>
      </c>
      <c r="C4" s="157" t="n">
        <f aca="false">IF(B4="","",MAX(C3,B4))</f>
        <v>751223.12</v>
      </c>
      <c r="D4" s="158" t="n">
        <f aca="false">IF(OR(B4="",C4=""),"",B4/C4-1)</f>
        <v>0</v>
      </c>
      <c r="E4" s="159" t="str">
        <f aca="false">IF(D4="","",IF(D4&gt;=-0.1,"Normal",IF(D4&gt;=-0.2,"Elevated",IF(D4&gt;=-0.3,"Severe","Critical"))))</f>
        <v>Normal</v>
      </c>
      <c r="F4" s="160" t="str">
        <f aca="false">IF(E4="","",IF(E4="Normal","5-15%",IF(E4="Elevated","15%",IF(E4="Severe","20%","25%"))))</f>
        <v>5-15%</v>
      </c>
      <c r="G4" s="160" t="str">
        <f aca="false">IF(E4="","",IF(E4="Normal","Standard (score &gt;=65)",IF(E4="Elevated","Restricted (score &gt;=80 only)","Suspended")))</f>
        <v>Standard (score &gt;=65)</v>
      </c>
      <c r="H4" s="161" t="s">
        <v>468</v>
      </c>
    </row>
    <row r="5" customFormat="false" ht="15" hidden="false" customHeight="true" outlineLevel="0" collapsed="false">
      <c r="A5" s="155" t="n">
        <v>46295</v>
      </c>
      <c r="B5" s="156" t="n">
        <v>741557.65</v>
      </c>
      <c r="C5" s="157" t="n">
        <f aca="false">IF(B5="","",MAX(C4,B5))</f>
        <v>751223.12</v>
      </c>
      <c r="D5" s="158" t="n">
        <f aca="false">IF(OR(B5="",C5=""),"",B5/C5-1)</f>
        <v>-0.0128663106108875</v>
      </c>
      <c r="E5" s="159" t="str">
        <f aca="false">IF(D5="","",IF(D5&gt;=-0.1,"Normal",IF(D5&gt;=-0.2,"Elevated",IF(D5&gt;=-0.3,"Severe","Critical"))))</f>
        <v>Normal</v>
      </c>
      <c r="F5" s="160" t="str">
        <f aca="false">IF(E5="","",IF(E5="Normal","5-15%",IF(E5="Elevated","15%",IF(E5="Severe","20%","25%"))))</f>
        <v>5-15%</v>
      </c>
      <c r="G5" s="160" t="str">
        <f aca="false">IF(E5="","",IF(E5="Normal","Standard (score &gt;=65)",IF(E5="Elevated","Restricted (score &gt;=80 only)","Suspended")))</f>
        <v>Standard (score &gt;=65)</v>
      </c>
      <c r="H5" s="161" t="s">
        <v>469</v>
      </c>
    </row>
    <row r="6" customFormat="false" ht="15" hidden="false" customHeight="true" outlineLevel="0" collapsed="false">
      <c r="A6" s="155"/>
      <c r="B6" s="156"/>
      <c r="C6" s="157" t="str">
        <f aca="false">IF(B6="","",MAX(C5,B6))</f>
        <v/>
      </c>
      <c r="D6" s="158" t="str">
        <f aca="false">IF(OR(B6="",C6=""),"",B6/C6-1)</f>
        <v/>
      </c>
      <c r="E6" s="159" t="str">
        <f aca="false">IF(D6="","",IF(D6&gt;=-0.1,"Normal",IF(D6&gt;=-0.2,"Elevated",IF(D6&gt;=-0.3,"Severe","Critical"))))</f>
        <v/>
      </c>
      <c r="F6" s="160" t="str">
        <f aca="false">IF(E6="","",IF(E6="Normal","5-15%",IF(E6="Elevated","15%",IF(E6="Severe","20%","25%"))))</f>
        <v/>
      </c>
      <c r="G6" s="160" t="str">
        <f aca="false">IF(E6="","",IF(E6="Normal","Standard (score &gt;=65)",IF(E6="Elevated","Restricted (score &gt;=80 only)","Suspended")))</f>
        <v/>
      </c>
      <c r="H6" s="161"/>
    </row>
    <row r="7" customFormat="false" ht="15" hidden="false" customHeight="true" outlineLevel="0" collapsed="false">
      <c r="A7" s="155"/>
      <c r="B7" s="156"/>
      <c r="C7" s="157" t="str">
        <f aca="false">IF(B7="","",MAX(C6,B7))</f>
        <v/>
      </c>
      <c r="D7" s="158" t="str">
        <f aca="false">IF(OR(B7="",C7=""),"",B7/C7-1)</f>
        <v/>
      </c>
      <c r="E7" s="159" t="str">
        <f aca="false">IF(D7="","",IF(D7&gt;=-0.1,"Normal",IF(D7&gt;=-0.2,"Elevated",IF(D7&gt;=-0.3,"Severe","Critical"))))</f>
        <v/>
      </c>
      <c r="F7" s="160" t="str">
        <f aca="false">IF(E7="","",IF(E7="Normal","5-15%",IF(E7="Elevated","15%",IF(E7="Severe","20%","25%"))))</f>
        <v/>
      </c>
      <c r="G7" s="160" t="str">
        <f aca="false">IF(E7="","",IF(E7="Normal","Standard (score &gt;=65)",IF(E7="Elevated","Restricted (score &gt;=80 only)","Suspended")))</f>
        <v/>
      </c>
      <c r="H7" s="161"/>
    </row>
    <row r="8" customFormat="false" ht="15" hidden="false" customHeight="true" outlineLevel="0" collapsed="false">
      <c r="A8" s="155"/>
      <c r="B8" s="156"/>
      <c r="C8" s="157" t="str">
        <f aca="false">IF(B8="","",MAX(C7,B8))</f>
        <v/>
      </c>
      <c r="D8" s="158" t="str">
        <f aca="false">IF(OR(B8="",C8=""),"",B8/C8-1)</f>
        <v/>
      </c>
      <c r="E8" s="159" t="str">
        <f aca="false">IF(D8="","",IF(D8&gt;=-0.1,"Normal",IF(D8&gt;=-0.2,"Elevated",IF(D8&gt;=-0.3,"Severe","Critical"))))</f>
        <v/>
      </c>
      <c r="F8" s="160" t="str">
        <f aca="false">IF(E8="","",IF(E8="Normal","5-15%",IF(E8="Elevated","15%",IF(E8="Severe","20%","25%"))))</f>
        <v/>
      </c>
      <c r="G8" s="160" t="str">
        <f aca="false">IF(E8="","",IF(E8="Normal","Standard (score &gt;=65)",IF(E8="Elevated","Restricted (score &gt;=80 only)","Suspended")))</f>
        <v/>
      </c>
      <c r="H8" s="161"/>
    </row>
    <row r="9" customFormat="false" ht="15" hidden="false" customHeight="true" outlineLevel="0" collapsed="false">
      <c r="A9" s="155"/>
      <c r="B9" s="156"/>
      <c r="C9" s="157" t="str">
        <f aca="false">IF(B9="","",MAX(C8,B9))</f>
        <v/>
      </c>
      <c r="D9" s="158" t="str">
        <f aca="false">IF(OR(B9="",C9=""),"",B9/C9-1)</f>
        <v/>
      </c>
      <c r="E9" s="159" t="str">
        <f aca="false">IF(D9="","",IF(D9&gt;=-0.1,"Normal",IF(D9&gt;=-0.2,"Elevated",IF(D9&gt;=-0.3,"Severe","Critical"))))</f>
        <v/>
      </c>
      <c r="F9" s="160" t="str">
        <f aca="false">IF(E9="","",IF(E9="Normal","5-15%",IF(E9="Elevated","15%",IF(E9="Severe","20%","25%"))))</f>
        <v/>
      </c>
      <c r="G9" s="160" t="str">
        <f aca="false">IF(E9="","",IF(E9="Normal","Standard (score &gt;=65)",IF(E9="Elevated","Restricted (score &gt;=80 only)","Suspended")))</f>
        <v/>
      </c>
      <c r="H9" s="161"/>
    </row>
    <row r="10" customFormat="false" ht="15" hidden="false" customHeight="true" outlineLevel="0" collapsed="false">
      <c r="A10" s="155"/>
      <c r="B10" s="156"/>
      <c r="C10" s="157" t="str">
        <f aca="false">IF(B10="","",MAX(C9,B10))</f>
        <v/>
      </c>
      <c r="D10" s="158" t="str">
        <f aca="false">IF(OR(B10="",C10=""),"",B10/C10-1)</f>
        <v/>
      </c>
      <c r="E10" s="159" t="str">
        <f aca="false">IF(D10="","",IF(D10&gt;=-0.1,"Normal",IF(D10&gt;=-0.2,"Elevated",IF(D10&gt;=-0.3,"Severe","Critical"))))</f>
        <v/>
      </c>
      <c r="F10" s="160" t="str">
        <f aca="false">IF(E10="","",IF(E10="Normal","5-15%",IF(E10="Elevated","15%",IF(E10="Severe","20%","25%"))))</f>
        <v/>
      </c>
      <c r="G10" s="160" t="str">
        <f aca="false">IF(E10="","",IF(E10="Normal","Standard (score &gt;=65)",IF(E10="Elevated","Restricted (score &gt;=80 only)","Suspended")))</f>
        <v/>
      </c>
      <c r="H10" s="161"/>
    </row>
    <row r="11" customFormat="false" ht="15" hidden="false" customHeight="true" outlineLevel="0" collapsed="false">
      <c r="A11" s="155"/>
      <c r="B11" s="156"/>
      <c r="C11" s="157" t="str">
        <f aca="false">IF(B11="","",MAX(C10,B11))</f>
        <v/>
      </c>
      <c r="D11" s="158" t="str">
        <f aca="false">IF(OR(B11="",C11=""),"",B11/C11-1)</f>
        <v/>
      </c>
      <c r="E11" s="159" t="str">
        <f aca="false">IF(D11="","",IF(D11&gt;=-0.1,"Normal",IF(D11&gt;=-0.2,"Elevated",IF(D11&gt;=-0.3,"Severe","Critical"))))</f>
        <v/>
      </c>
      <c r="F11" s="160" t="str">
        <f aca="false">IF(E11="","",IF(E11="Normal","5-15%",IF(E11="Elevated","15%",IF(E11="Severe","20%","25%"))))</f>
        <v/>
      </c>
      <c r="G11" s="160" t="str">
        <f aca="false">IF(E11="","",IF(E11="Normal","Standard (score &gt;=65)",IF(E11="Elevated","Restricted (score &gt;=80 only)","Suspended")))</f>
        <v/>
      </c>
      <c r="H11" s="161"/>
    </row>
    <row r="12" customFormat="false" ht="15" hidden="false" customHeight="true" outlineLevel="0" collapsed="false">
      <c r="A12" s="155"/>
      <c r="B12" s="156"/>
      <c r="C12" s="157" t="str">
        <f aca="false">IF(B12="","",MAX(C11,B12))</f>
        <v/>
      </c>
      <c r="D12" s="158" t="str">
        <f aca="false">IF(OR(B12="",C12=""),"",B12/C12-1)</f>
        <v/>
      </c>
      <c r="E12" s="159" t="str">
        <f aca="false">IF(D12="","",IF(D12&gt;=-0.1,"Normal",IF(D12&gt;=-0.2,"Elevated",IF(D12&gt;=-0.3,"Severe","Critical"))))</f>
        <v/>
      </c>
      <c r="F12" s="160" t="str">
        <f aca="false">IF(E12="","",IF(E12="Normal","5-15%",IF(E12="Elevated","15%",IF(E12="Severe","20%","25%"))))</f>
        <v/>
      </c>
      <c r="G12" s="160" t="str">
        <f aca="false">IF(E12="","",IF(E12="Normal","Standard (score &gt;=65)",IF(E12="Elevated","Restricted (score &gt;=80 only)","Suspended")))</f>
        <v/>
      </c>
      <c r="H12" s="161"/>
    </row>
    <row r="13" customFormat="false" ht="15" hidden="false" customHeight="true" outlineLevel="0" collapsed="false">
      <c r="A13" s="155"/>
      <c r="B13" s="156"/>
      <c r="C13" s="157" t="str">
        <f aca="false">IF(B13="","",MAX(C12,B13))</f>
        <v/>
      </c>
      <c r="D13" s="158" t="str">
        <f aca="false">IF(OR(B13="",C13=""),"",B13/C13-1)</f>
        <v/>
      </c>
      <c r="E13" s="159" t="str">
        <f aca="false">IF(D13="","",IF(D13&gt;=-0.1,"Normal",IF(D13&gt;=-0.2,"Elevated",IF(D13&gt;=-0.3,"Severe","Critical"))))</f>
        <v/>
      </c>
      <c r="F13" s="160" t="str">
        <f aca="false">IF(E13="","",IF(E13="Normal","5-15%",IF(E13="Elevated","15%",IF(E13="Severe","20%","25%"))))</f>
        <v/>
      </c>
      <c r="G13" s="160" t="str">
        <f aca="false">IF(E13="","",IF(E13="Normal","Standard (score &gt;=65)",IF(E13="Elevated","Restricted (score &gt;=80 only)","Suspended")))</f>
        <v/>
      </c>
      <c r="H13" s="161"/>
    </row>
    <row r="14" customFormat="false" ht="15" hidden="false" customHeight="true" outlineLevel="0" collapsed="false">
      <c r="A14" s="155"/>
      <c r="B14" s="156"/>
      <c r="C14" s="157" t="str">
        <f aca="false">IF(B14="","",MAX(C13,B14))</f>
        <v/>
      </c>
      <c r="D14" s="158" t="str">
        <f aca="false">IF(OR(B14="",C14=""),"",B14/C14-1)</f>
        <v/>
      </c>
      <c r="E14" s="159" t="str">
        <f aca="false">IF(D14="","",IF(D14&gt;=-0.1,"Normal",IF(D14&gt;=-0.2,"Elevated",IF(D14&gt;=-0.3,"Severe","Critical"))))</f>
        <v/>
      </c>
      <c r="F14" s="160" t="str">
        <f aca="false">IF(E14="","",IF(E14="Normal","5-15%",IF(E14="Elevated","15%",IF(E14="Severe","20%","25%"))))</f>
        <v/>
      </c>
      <c r="G14" s="160" t="str">
        <f aca="false">IF(E14="","",IF(E14="Normal","Standard (score &gt;=65)",IF(E14="Elevated","Restricted (score &gt;=80 only)","Suspended")))</f>
        <v/>
      </c>
      <c r="H14" s="161"/>
    </row>
    <row r="15" customFormat="false" ht="15" hidden="false" customHeight="true" outlineLevel="0" collapsed="false">
      <c r="A15" s="155"/>
      <c r="B15" s="156"/>
      <c r="C15" s="157" t="str">
        <f aca="false">IF(B15="","",MAX(C14,B15))</f>
        <v/>
      </c>
      <c r="D15" s="158" t="str">
        <f aca="false">IF(OR(B15="",C15=""),"",B15/C15-1)</f>
        <v/>
      </c>
      <c r="E15" s="159" t="str">
        <f aca="false">IF(D15="","",IF(D15&gt;=-0.1,"Normal",IF(D15&gt;=-0.2,"Elevated",IF(D15&gt;=-0.3,"Severe","Critical"))))</f>
        <v/>
      </c>
      <c r="F15" s="160" t="str">
        <f aca="false">IF(E15="","",IF(E15="Normal","5-15%",IF(E15="Elevated","15%",IF(E15="Severe","20%","25%"))))</f>
        <v/>
      </c>
      <c r="G15" s="160" t="str">
        <f aca="false">IF(E15="","",IF(E15="Normal","Standard (score &gt;=65)",IF(E15="Elevated","Restricted (score &gt;=80 only)","Suspended")))</f>
        <v/>
      </c>
      <c r="H15" s="161"/>
    </row>
    <row r="16" customFormat="false" ht="15" hidden="false" customHeight="true" outlineLevel="0" collapsed="false">
      <c r="A16" s="155"/>
      <c r="B16" s="156"/>
      <c r="C16" s="157" t="str">
        <f aca="false">IF(B16="","",MAX(C15,B16))</f>
        <v/>
      </c>
      <c r="D16" s="158" t="str">
        <f aca="false">IF(OR(B16="",C16=""),"",B16/C16-1)</f>
        <v/>
      </c>
      <c r="E16" s="159" t="str">
        <f aca="false">IF(D16="","",IF(D16&gt;=-0.1,"Normal",IF(D16&gt;=-0.2,"Elevated",IF(D16&gt;=-0.3,"Severe","Critical"))))</f>
        <v/>
      </c>
      <c r="F16" s="160" t="str">
        <f aca="false">IF(E16="","",IF(E16="Normal","5-15%",IF(E16="Elevated","15%",IF(E16="Severe","20%","25%"))))</f>
        <v/>
      </c>
      <c r="G16" s="160" t="str">
        <f aca="false">IF(E16="","",IF(E16="Normal","Standard (score &gt;=65)",IF(E16="Elevated","Restricted (score &gt;=80 only)","Suspended")))</f>
        <v/>
      </c>
      <c r="H16" s="161"/>
    </row>
    <row r="17" customFormat="false" ht="15" hidden="false" customHeight="true" outlineLevel="0" collapsed="false">
      <c r="A17" s="155"/>
      <c r="B17" s="156"/>
      <c r="C17" s="157" t="str">
        <f aca="false">IF(B17="","",MAX(C16,B17))</f>
        <v/>
      </c>
      <c r="D17" s="158" t="str">
        <f aca="false">IF(OR(B17="",C17=""),"",B17/C17-1)</f>
        <v/>
      </c>
      <c r="E17" s="159" t="str">
        <f aca="false">IF(D17="","",IF(D17&gt;=-0.1,"Normal",IF(D17&gt;=-0.2,"Elevated",IF(D17&gt;=-0.3,"Severe","Critical"))))</f>
        <v/>
      </c>
      <c r="F17" s="160" t="str">
        <f aca="false">IF(E17="","",IF(E17="Normal","5-15%",IF(E17="Elevated","15%",IF(E17="Severe","20%","25%"))))</f>
        <v/>
      </c>
      <c r="G17" s="160" t="str">
        <f aca="false">IF(E17="","",IF(E17="Normal","Standard (score &gt;=65)",IF(E17="Elevated","Restricted (score &gt;=80 only)","Suspended")))</f>
        <v/>
      </c>
      <c r="H17" s="161"/>
    </row>
    <row r="18" customFormat="false" ht="15" hidden="false" customHeight="true" outlineLevel="0" collapsed="false">
      <c r="A18" s="155"/>
      <c r="B18" s="156"/>
      <c r="C18" s="157" t="str">
        <f aca="false">IF(B18="","",MAX(C17,B18))</f>
        <v/>
      </c>
      <c r="D18" s="158" t="str">
        <f aca="false">IF(OR(B18="",C18=""),"",B18/C18-1)</f>
        <v/>
      </c>
      <c r="E18" s="159" t="str">
        <f aca="false">IF(D18="","",IF(D18&gt;=-0.1,"Normal",IF(D18&gt;=-0.2,"Elevated",IF(D18&gt;=-0.3,"Severe","Critical"))))</f>
        <v/>
      </c>
      <c r="F18" s="160" t="str">
        <f aca="false">IF(E18="","",IF(E18="Normal","5-15%",IF(E18="Elevated","15%",IF(E18="Severe","20%","25%"))))</f>
        <v/>
      </c>
      <c r="G18" s="160" t="str">
        <f aca="false">IF(E18="","",IF(E18="Normal","Standard (score &gt;=65)",IF(E18="Elevated","Restricted (score &gt;=80 only)","Suspended")))</f>
        <v/>
      </c>
      <c r="H18" s="161"/>
    </row>
    <row r="19" customFormat="false" ht="15" hidden="false" customHeight="true" outlineLevel="0" collapsed="false">
      <c r="A19" s="155"/>
      <c r="B19" s="156"/>
      <c r="C19" s="157" t="str">
        <f aca="false">IF(B19="","",MAX(C18,B19))</f>
        <v/>
      </c>
      <c r="D19" s="158" t="str">
        <f aca="false">IF(OR(B19="",C19=""),"",B19/C19-1)</f>
        <v/>
      </c>
      <c r="E19" s="159" t="str">
        <f aca="false">IF(D19="","",IF(D19&gt;=-0.1,"Normal",IF(D19&gt;=-0.2,"Elevated",IF(D19&gt;=-0.3,"Severe","Critical"))))</f>
        <v/>
      </c>
      <c r="F19" s="160" t="str">
        <f aca="false">IF(E19="","",IF(E19="Normal","5-15%",IF(E19="Elevated","15%",IF(E19="Severe","20%","25%"))))</f>
        <v/>
      </c>
      <c r="G19" s="160" t="str">
        <f aca="false">IF(E19="","",IF(E19="Normal","Standard (score &gt;=65)",IF(E19="Elevated","Restricted (score &gt;=80 only)","Suspended")))</f>
        <v/>
      </c>
      <c r="H19" s="161"/>
    </row>
    <row r="20" customFormat="false" ht="15" hidden="false" customHeight="true" outlineLevel="0" collapsed="false">
      <c r="A20" s="155"/>
      <c r="B20" s="156"/>
      <c r="C20" s="157" t="str">
        <f aca="false">IF(B20="","",MAX(C19,B20))</f>
        <v/>
      </c>
      <c r="D20" s="158" t="str">
        <f aca="false">IF(OR(B20="",C20=""),"",B20/C20-1)</f>
        <v/>
      </c>
      <c r="E20" s="159" t="str">
        <f aca="false">IF(D20="","",IF(D20&gt;=-0.1,"Normal",IF(D20&gt;=-0.2,"Elevated",IF(D20&gt;=-0.3,"Severe","Critical"))))</f>
        <v/>
      </c>
      <c r="F20" s="160" t="str">
        <f aca="false">IF(E20="","",IF(E20="Normal","5-15%",IF(E20="Elevated","15%",IF(E20="Severe","20%","25%"))))</f>
        <v/>
      </c>
      <c r="G20" s="160" t="str">
        <f aca="false">IF(E20="","",IF(E20="Normal","Standard (score &gt;=65)",IF(E20="Elevated","Restricted (score &gt;=80 only)","Suspended")))</f>
        <v/>
      </c>
      <c r="H20" s="161"/>
    </row>
    <row r="21" customFormat="false" ht="15" hidden="false" customHeight="true" outlineLevel="0" collapsed="false">
      <c r="A21" s="155"/>
      <c r="B21" s="156"/>
      <c r="C21" s="157" t="str">
        <f aca="false">IF(B21="","",MAX(C20,B21))</f>
        <v/>
      </c>
      <c r="D21" s="158" t="str">
        <f aca="false">IF(OR(B21="",C21=""),"",B21/C21-1)</f>
        <v/>
      </c>
      <c r="E21" s="159" t="str">
        <f aca="false">IF(D21="","",IF(D21&gt;=-0.1,"Normal",IF(D21&gt;=-0.2,"Elevated",IF(D21&gt;=-0.3,"Severe","Critical"))))</f>
        <v/>
      </c>
      <c r="F21" s="160" t="str">
        <f aca="false">IF(E21="","",IF(E21="Normal","5-15%",IF(E21="Elevated","15%",IF(E21="Severe","20%","25%"))))</f>
        <v/>
      </c>
      <c r="G21" s="160" t="str">
        <f aca="false">IF(E21="","",IF(E21="Normal","Standard (score &gt;=65)",IF(E21="Elevated","Restricted (score &gt;=80 only)","Suspended")))</f>
        <v/>
      </c>
      <c r="H21" s="161"/>
    </row>
    <row r="22" customFormat="false" ht="15" hidden="false" customHeight="true" outlineLevel="0" collapsed="false">
      <c r="A22" s="155"/>
      <c r="B22" s="156"/>
      <c r="C22" s="157" t="str">
        <f aca="false">IF(B22="","",MAX(C21,B22))</f>
        <v/>
      </c>
      <c r="D22" s="158" t="str">
        <f aca="false">IF(OR(B22="",C22=""),"",B22/C22-1)</f>
        <v/>
      </c>
      <c r="E22" s="159" t="str">
        <f aca="false">IF(D22="","",IF(D22&gt;=-0.1,"Normal",IF(D22&gt;=-0.2,"Elevated",IF(D22&gt;=-0.3,"Severe","Critical"))))</f>
        <v/>
      </c>
      <c r="F22" s="160" t="str">
        <f aca="false">IF(E22="","",IF(E22="Normal","5-15%",IF(E22="Elevated","15%",IF(E22="Severe","20%","25%"))))</f>
        <v/>
      </c>
      <c r="G22" s="160" t="str">
        <f aca="false">IF(E22="","",IF(E22="Normal","Standard (score &gt;=65)",IF(E22="Elevated","Restricted (score &gt;=80 only)","Suspended")))</f>
        <v/>
      </c>
      <c r="H22" s="161"/>
    </row>
    <row r="23" customFormat="false" ht="15" hidden="false" customHeight="true" outlineLevel="0" collapsed="false">
      <c r="A23" s="155"/>
      <c r="B23" s="156"/>
      <c r="C23" s="157" t="str">
        <f aca="false">IF(B23="","",MAX(C22,B23))</f>
        <v/>
      </c>
      <c r="D23" s="158" t="str">
        <f aca="false">IF(OR(B23="",C23=""),"",B23/C23-1)</f>
        <v/>
      </c>
      <c r="E23" s="159" t="str">
        <f aca="false">IF(D23="","",IF(D23&gt;=-0.1,"Normal",IF(D23&gt;=-0.2,"Elevated",IF(D23&gt;=-0.3,"Severe","Critical"))))</f>
        <v/>
      </c>
      <c r="F23" s="160" t="str">
        <f aca="false">IF(E23="","",IF(E23="Normal","5-15%",IF(E23="Elevated","15%",IF(E23="Severe","20%","25%"))))</f>
        <v/>
      </c>
      <c r="G23" s="160" t="str">
        <f aca="false">IF(E23="","",IF(E23="Normal","Standard (score &gt;=65)",IF(E23="Elevated","Restricted (score &gt;=80 only)","Suspended")))</f>
        <v/>
      </c>
      <c r="H23" s="161"/>
    </row>
    <row r="24" customFormat="false" ht="15" hidden="false" customHeight="true" outlineLevel="0" collapsed="false">
      <c r="A24" s="155"/>
      <c r="B24" s="156"/>
      <c r="C24" s="157" t="str">
        <f aca="false">IF(B24="","",MAX(C23,B24))</f>
        <v/>
      </c>
      <c r="D24" s="158" t="str">
        <f aca="false">IF(OR(B24="",C24=""),"",B24/C24-1)</f>
        <v/>
      </c>
      <c r="E24" s="159" t="str">
        <f aca="false">IF(D24="","",IF(D24&gt;=-0.1,"Normal",IF(D24&gt;=-0.2,"Elevated",IF(D24&gt;=-0.3,"Severe","Critical"))))</f>
        <v/>
      </c>
      <c r="F24" s="160" t="str">
        <f aca="false">IF(E24="","",IF(E24="Normal","5-15%",IF(E24="Elevated","15%",IF(E24="Severe","20%","25%"))))</f>
        <v/>
      </c>
      <c r="G24" s="160" t="str">
        <f aca="false">IF(E24="","",IF(E24="Normal","Standard (score &gt;=65)",IF(E24="Elevated","Restricted (score &gt;=80 only)","Suspended")))</f>
        <v/>
      </c>
      <c r="H24" s="161"/>
    </row>
    <row r="25" customFormat="false" ht="15" hidden="false" customHeight="true" outlineLevel="0" collapsed="false">
      <c r="A25" s="155"/>
      <c r="B25" s="156"/>
      <c r="C25" s="157" t="str">
        <f aca="false">IF(B25="","",MAX(C24,B25))</f>
        <v/>
      </c>
      <c r="D25" s="158" t="str">
        <f aca="false">IF(OR(B25="",C25=""),"",B25/C25-1)</f>
        <v/>
      </c>
      <c r="E25" s="159" t="str">
        <f aca="false">IF(D25="","",IF(D25&gt;=-0.1,"Normal",IF(D25&gt;=-0.2,"Elevated",IF(D25&gt;=-0.3,"Severe","Critical"))))</f>
        <v/>
      </c>
      <c r="F25" s="160" t="str">
        <f aca="false">IF(E25="","",IF(E25="Normal","5-15%",IF(E25="Elevated","15%",IF(E25="Severe","20%","25%"))))</f>
        <v/>
      </c>
      <c r="G25" s="160" t="str">
        <f aca="false">IF(E25="","",IF(E25="Normal","Standard (score &gt;=65)",IF(E25="Elevated","Restricted (score &gt;=80 only)","Suspended")))</f>
        <v/>
      </c>
      <c r="H25" s="161"/>
    </row>
    <row r="26" customFormat="false" ht="15" hidden="false" customHeight="true" outlineLevel="0" collapsed="false">
      <c r="A26" s="155"/>
      <c r="B26" s="156"/>
      <c r="C26" s="157" t="str">
        <f aca="false">IF(B26="","",MAX(C25,B26))</f>
        <v/>
      </c>
      <c r="D26" s="158" t="str">
        <f aca="false">IF(OR(B26="",C26=""),"",B26/C26-1)</f>
        <v/>
      </c>
      <c r="E26" s="159" t="str">
        <f aca="false">IF(D26="","",IF(D26&gt;=-0.1,"Normal",IF(D26&gt;=-0.2,"Elevated",IF(D26&gt;=-0.3,"Severe","Critical"))))</f>
        <v/>
      </c>
      <c r="F26" s="160" t="str">
        <f aca="false">IF(E26="","",IF(E26="Normal","5-15%",IF(E26="Elevated","15%",IF(E26="Severe","20%","25%"))))</f>
        <v/>
      </c>
      <c r="G26" s="160" t="str">
        <f aca="false">IF(E26="","",IF(E26="Normal","Standard (score &gt;=65)",IF(E26="Elevated","Restricted (score &gt;=80 only)","Suspended")))</f>
        <v/>
      </c>
      <c r="H26" s="161"/>
    </row>
    <row r="27" customFormat="false" ht="15" hidden="false" customHeight="true" outlineLevel="0" collapsed="false">
      <c r="A27" s="155"/>
      <c r="B27" s="156"/>
      <c r="C27" s="157" t="str">
        <f aca="false">IF(B27="","",MAX(C26,B27))</f>
        <v/>
      </c>
      <c r="D27" s="158" t="str">
        <f aca="false">IF(OR(B27="",C27=""),"",B27/C27-1)</f>
        <v/>
      </c>
      <c r="E27" s="159" t="str">
        <f aca="false">IF(D27="","",IF(D27&gt;=-0.1,"Normal",IF(D27&gt;=-0.2,"Elevated",IF(D27&gt;=-0.3,"Severe","Critical"))))</f>
        <v/>
      </c>
      <c r="F27" s="160" t="str">
        <f aca="false">IF(E27="","",IF(E27="Normal","5-15%",IF(E27="Elevated","15%",IF(E27="Severe","20%","25%"))))</f>
        <v/>
      </c>
      <c r="G27" s="160" t="str">
        <f aca="false">IF(E27="","",IF(E27="Normal","Standard (score &gt;=65)",IF(E27="Elevated","Restricted (score &gt;=80 only)","Suspended")))</f>
        <v/>
      </c>
      <c r="H27" s="161"/>
    </row>
    <row r="28" customFormat="false" ht="15" hidden="false" customHeight="true" outlineLevel="0" collapsed="false">
      <c r="A28" s="155"/>
      <c r="B28" s="156"/>
      <c r="C28" s="157" t="str">
        <f aca="false">IF(B28="","",MAX(C27,B28))</f>
        <v/>
      </c>
      <c r="D28" s="158" t="str">
        <f aca="false">IF(OR(B28="",C28=""),"",B28/C28-1)</f>
        <v/>
      </c>
      <c r="E28" s="159" t="str">
        <f aca="false">IF(D28="","",IF(D28&gt;=-0.1,"Normal",IF(D28&gt;=-0.2,"Elevated",IF(D28&gt;=-0.3,"Severe","Critical"))))</f>
        <v/>
      </c>
      <c r="F28" s="160" t="str">
        <f aca="false">IF(E28="","",IF(E28="Normal","5-15%",IF(E28="Elevated","15%",IF(E28="Severe","20%","25%"))))</f>
        <v/>
      </c>
      <c r="G28" s="160" t="str">
        <f aca="false">IF(E28="","",IF(E28="Normal","Standard (score &gt;=65)",IF(E28="Elevated","Restricted (score &gt;=80 only)","Suspended")))</f>
        <v/>
      </c>
      <c r="H28" s="161"/>
    </row>
    <row r="29" customFormat="false" ht="15" hidden="false" customHeight="true" outlineLevel="0" collapsed="false">
      <c r="A29" s="155"/>
      <c r="B29" s="156"/>
      <c r="C29" s="157" t="str">
        <f aca="false">IF(B29="","",MAX(C28,B29))</f>
        <v/>
      </c>
      <c r="D29" s="158" t="str">
        <f aca="false">IF(OR(B29="",C29=""),"",B29/C29-1)</f>
        <v/>
      </c>
      <c r="E29" s="159" t="str">
        <f aca="false">IF(D29="","",IF(D29&gt;=-0.1,"Normal",IF(D29&gt;=-0.2,"Elevated",IF(D29&gt;=-0.3,"Severe","Critical"))))</f>
        <v/>
      </c>
      <c r="F29" s="160" t="str">
        <f aca="false">IF(E29="","",IF(E29="Normal","5-15%",IF(E29="Elevated","15%",IF(E29="Severe","20%","25%"))))</f>
        <v/>
      </c>
      <c r="G29" s="160" t="str">
        <f aca="false">IF(E29="","",IF(E29="Normal","Standard (score &gt;=65)",IF(E29="Elevated","Restricted (score &gt;=80 only)","Suspended")))</f>
        <v/>
      </c>
      <c r="H29" s="161"/>
    </row>
    <row r="30" customFormat="false" ht="15" hidden="false" customHeight="true" outlineLevel="0" collapsed="false">
      <c r="A30" s="155"/>
      <c r="B30" s="156"/>
      <c r="C30" s="157" t="str">
        <f aca="false">IF(B30="","",MAX(C29,B30))</f>
        <v/>
      </c>
      <c r="D30" s="158" t="str">
        <f aca="false">IF(OR(B30="",C30=""),"",B30/C30-1)</f>
        <v/>
      </c>
      <c r="E30" s="159" t="str">
        <f aca="false">IF(D30="","",IF(D30&gt;=-0.1,"Normal",IF(D30&gt;=-0.2,"Elevated",IF(D30&gt;=-0.3,"Severe","Critical"))))</f>
        <v/>
      </c>
      <c r="F30" s="160" t="str">
        <f aca="false">IF(E30="","",IF(E30="Normal","5-15%",IF(E30="Elevated","15%",IF(E30="Severe","20%","25%"))))</f>
        <v/>
      </c>
      <c r="G30" s="160" t="str">
        <f aca="false">IF(E30="","",IF(E30="Normal","Standard (score &gt;=65)",IF(E30="Elevated","Restricted (score &gt;=80 only)","Suspended")))</f>
        <v/>
      </c>
      <c r="H30" s="161"/>
    </row>
    <row r="31" customFormat="false" ht="15" hidden="false" customHeight="true" outlineLevel="0" collapsed="false">
      <c r="A31" s="155"/>
      <c r="B31" s="156"/>
      <c r="C31" s="157" t="str">
        <f aca="false">IF(B31="","",MAX(C30,B31))</f>
        <v/>
      </c>
      <c r="D31" s="158" t="str">
        <f aca="false">IF(OR(B31="",C31=""),"",B31/C31-1)</f>
        <v/>
      </c>
      <c r="E31" s="159" t="str">
        <f aca="false">IF(D31="","",IF(D31&gt;=-0.1,"Normal",IF(D31&gt;=-0.2,"Elevated",IF(D31&gt;=-0.3,"Severe","Critical"))))</f>
        <v/>
      </c>
      <c r="F31" s="160" t="str">
        <f aca="false">IF(E31="","",IF(E31="Normal","5-15%",IF(E31="Elevated","15%",IF(E31="Severe","20%","25%"))))</f>
        <v/>
      </c>
      <c r="G31" s="160" t="str">
        <f aca="false">IF(E31="","",IF(E31="Normal","Standard (score &gt;=65)",IF(E31="Elevated","Restricted (score &gt;=80 only)","Suspended")))</f>
        <v/>
      </c>
      <c r="H31" s="161"/>
    </row>
    <row r="32" customFormat="false" ht="15" hidden="false" customHeight="true" outlineLevel="0" collapsed="false">
      <c r="A32" s="155"/>
      <c r="B32" s="156"/>
      <c r="C32" s="157" t="str">
        <f aca="false">IF(B32="","",MAX(C31,B32))</f>
        <v/>
      </c>
      <c r="D32" s="158" t="str">
        <f aca="false">IF(OR(B32="",C32=""),"",B32/C32-1)</f>
        <v/>
      </c>
      <c r="E32" s="159" t="str">
        <f aca="false">IF(D32="","",IF(D32&gt;=-0.1,"Normal",IF(D32&gt;=-0.2,"Elevated",IF(D32&gt;=-0.3,"Severe","Critical"))))</f>
        <v/>
      </c>
      <c r="F32" s="160" t="str">
        <f aca="false">IF(E32="","",IF(E32="Normal","5-15%",IF(E32="Elevated","15%",IF(E32="Severe","20%","25%"))))</f>
        <v/>
      </c>
      <c r="G32" s="160" t="str">
        <f aca="false">IF(E32="","",IF(E32="Normal","Standard (score &gt;=65)",IF(E32="Elevated","Restricted (score &gt;=80 only)","Suspended")))</f>
        <v/>
      </c>
      <c r="H32" s="161"/>
    </row>
    <row r="33" customFormat="false" ht="15" hidden="false" customHeight="true" outlineLevel="0" collapsed="false">
      <c r="A33" s="155"/>
      <c r="B33" s="156"/>
      <c r="C33" s="157" t="str">
        <f aca="false">IF(B33="","",MAX(C32,B33))</f>
        <v/>
      </c>
      <c r="D33" s="158" t="str">
        <f aca="false">IF(OR(B33="",C33=""),"",B33/C33-1)</f>
        <v/>
      </c>
      <c r="E33" s="159" t="str">
        <f aca="false">IF(D33="","",IF(D33&gt;=-0.1,"Normal",IF(D33&gt;=-0.2,"Elevated",IF(D33&gt;=-0.3,"Severe","Critical"))))</f>
        <v/>
      </c>
      <c r="F33" s="160" t="str">
        <f aca="false">IF(E33="","",IF(E33="Normal","5-15%",IF(E33="Elevated","15%",IF(E33="Severe","20%","25%"))))</f>
        <v/>
      </c>
      <c r="G33" s="160" t="str">
        <f aca="false">IF(E33="","",IF(E33="Normal","Standard (score &gt;=65)",IF(E33="Elevated","Restricted (score &gt;=80 only)","Suspended")))</f>
        <v/>
      </c>
      <c r="H33" s="161"/>
    </row>
    <row r="34" customFormat="false" ht="15" hidden="false" customHeight="true" outlineLevel="0" collapsed="false">
      <c r="A34" s="155"/>
      <c r="B34" s="156"/>
      <c r="C34" s="157" t="str">
        <f aca="false">IF(B34="","",MAX(C33,B34))</f>
        <v/>
      </c>
      <c r="D34" s="158" t="str">
        <f aca="false">IF(OR(B34="",C34=""),"",B34/C34-1)</f>
        <v/>
      </c>
      <c r="E34" s="159" t="str">
        <f aca="false">IF(D34="","",IF(D34&gt;=-0.1,"Normal",IF(D34&gt;=-0.2,"Elevated",IF(D34&gt;=-0.3,"Severe","Critical"))))</f>
        <v/>
      </c>
      <c r="F34" s="160" t="str">
        <f aca="false">IF(E34="","",IF(E34="Normal","5-15%",IF(E34="Elevated","15%",IF(E34="Severe","20%","25%"))))</f>
        <v/>
      </c>
      <c r="G34" s="160" t="str">
        <f aca="false">IF(E34="","",IF(E34="Normal","Standard (score &gt;=65)",IF(E34="Elevated","Restricted (score &gt;=80 only)","Suspended")))</f>
        <v/>
      </c>
      <c r="H34" s="161"/>
    </row>
    <row r="35" customFormat="false" ht="15" hidden="false" customHeight="true" outlineLevel="0" collapsed="false">
      <c r="A35" s="155"/>
      <c r="B35" s="156"/>
      <c r="C35" s="157" t="str">
        <f aca="false">IF(B35="","",MAX(C34,B35))</f>
        <v/>
      </c>
      <c r="D35" s="158" t="str">
        <f aca="false">IF(OR(B35="",C35=""),"",B35/C35-1)</f>
        <v/>
      </c>
      <c r="E35" s="159" t="str">
        <f aca="false">IF(D35="","",IF(D35&gt;=-0.1,"Normal",IF(D35&gt;=-0.2,"Elevated",IF(D35&gt;=-0.3,"Severe","Critical"))))</f>
        <v/>
      </c>
      <c r="F35" s="160" t="str">
        <f aca="false">IF(E35="","",IF(E35="Normal","5-15%",IF(E35="Elevated","15%",IF(E35="Severe","20%","25%"))))</f>
        <v/>
      </c>
      <c r="G35" s="160" t="str">
        <f aca="false">IF(E35="","",IF(E35="Normal","Standard (score &gt;=65)",IF(E35="Elevated","Restricted (score &gt;=80 only)","Suspended")))</f>
        <v/>
      </c>
      <c r="H35" s="161"/>
    </row>
    <row r="36" customFormat="false" ht="15" hidden="false" customHeight="true" outlineLevel="0" collapsed="false">
      <c r="A36" s="155"/>
      <c r="B36" s="156"/>
      <c r="C36" s="157" t="str">
        <f aca="false">IF(B36="","",MAX(C35,B36))</f>
        <v/>
      </c>
      <c r="D36" s="158" t="str">
        <f aca="false">IF(OR(B36="",C36=""),"",B36/C36-1)</f>
        <v/>
      </c>
      <c r="E36" s="159" t="str">
        <f aca="false">IF(D36="","",IF(D36&gt;=-0.1,"Normal",IF(D36&gt;=-0.2,"Elevated",IF(D36&gt;=-0.3,"Severe","Critical"))))</f>
        <v/>
      </c>
      <c r="F36" s="160" t="str">
        <f aca="false">IF(E36="","",IF(E36="Normal","5-15%",IF(E36="Elevated","15%",IF(E36="Severe","20%","25%"))))</f>
        <v/>
      </c>
      <c r="G36" s="160" t="str">
        <f aca="false">IF(E36="","",IF(E36="Normal","Standard (score &gt;=65)",IF(E36="Elevated","Restricted (score &gt;=80 only)","Suspended")))</f>
        <v/>
      </c>
      <c r="H36" s="161"/>
    </row>
    <row r="37" customFormat="false" ht="15" hidden="false" customHeight="true" outlineLevel="0" collapsed="false">
      <c r="A37" s="155"/>
      <c r="B37" s="156"/>
      <c r="C37" s="157" t="str">
        <f aca="false">IF(B37="","",MAX(C36,B37))</f>
        <v/>
      </c>
      <c r="D37" s="158" t="str">
        <f aca="false">IF(OR(B37="",C37=""),"",B37/C37-1)</f>
        <v/>
      </c>
      <c r="E37" s="159" t="str">
        <f aca="false">IF(D37="","",IF(D37&gt;=-0.1,"Normal",IF(D37&gt;=-0.2,"Elevated",IF(D37&gt;=-0.3,"Severe","Critical"))))</f>
        <v/>
      </c>
      <c r="F37" s="160" t="str">
        <f aca="false">IF(E37="","",IF(E37="Normal","5-15%",IF(E37="Elevated","15%",IF(E37="Severe","20%","25%"))))</f>
        <v/>
      </c>
      <c r="G37" s="160" t="str">
        <f aca="false">IF(E37="","",IF(E37="Normal","Standard (score &gt;=65)",IF(E37="Elevated","Restricted (score &gt;=80 only)","Suspended")))</f>
        <v/>
      </c>
      <c r="H37" s="161"/>
    </row>
    <row r="38" customFormat="false" ht="15" hidden="false" customHeight="true" outlineLevel="0" collapsed="false">
      <c r="A38" s="155"/>
      <c r="B38" s="156"/>
      <c r="C38" s="157" t="str">
        <f aca="false">IF(B38="","",MAX(C37,B38))</f>
        <v/>
      </c>
      <c r="D38" s="158" t="str">
        <f aca="false">IF(OR(B38="",C38=""),"",B38/C38-1)</f>
        <v/>
      </c>
      <c r="E38" s="159" t="str">
        <f aca="false">IF(D38="","",IF(D38&gt;=-0.1,"Normal",IF(D38&gt;=-0.2,"Elevated",IF(D38&gt;=-0.3,"Severe","Critical"))))</f>
        <v/>
      </c>
      <c r="F38" s="160" t="str">
        <f aca="false">IF(E38="","",IF(E38="Normal","5-15%",IF(E38="Elevated","15%",IF(E38="Severe","20%","25%"))))</f>
        <v/>
      </c>
      <c r="G38" s="160" t="str">
        <f aca="false">IF(E38="","",IF(E38="Normal","Standard (score &gt;=65)",IF(E38="Elevated","Restricted (score &gt;=80 only)","Suspended")))</f>
        <v/>
      </c>
      <c r="H38" s="161"/>
    </row>
    <row r="39" customFormat="false" ht="15" hidden="false" customHeight="true" outlineLevel="0" collapsed="false">
      <c r="A39" s="155"/>
      <c r="B39" s="156"/>
      <c r="C39" s="157" t="str">
        <f aca="false">IF(B39="","",MAX(C38,B39))</f>
        <v/>
      </c>
      <c r="D39" s="158" t="str">
        <f aca="false">IF(OR(B39="",C39=""),"",B39/C39-1)</f>
        <v/>
      </c>
      <c r="E39" s="159" t="str">
        <f aca="false">IF(D39="","",IF(D39&gt;=-0.1,"Normal",IF(D39&gt;=-0.2,"Elevated",IF(D39&gt;=-0.3,"Severe","Critical"))))</f>
        <v/>
      </c>
      <c r="F39" s="160" t="str">
        <f aca="false">IF(E39="","",IF(E39="Normal","5-15%",IF(E39="Elevated","15%",IF(E39="Severe","20%","25%"))))</f>
        <v/>
      </c>
      <c r="G39" s="160" t="str">
        <f aca="false">IF(E39="","",IF(E39="Normal","Standard (score &gt;=65)",IF(E39="Elevated","Restricted (score &gt;=80 only)","Suspended")))</f>
        <v/>
      </c>
      <c r="H39" s="161"/>
    </row>
    <row r="40" customFormat="false" ht="15" hidden="false" customHeight="true" outlineLevel="0" collapsed="false">
      <c r="A40" s="155"/>
      <c r="B40" s="156"/>
      <c r="C40" s="157" t="str">
        <f aca="false">IF(B40="","",MAX(C39,B40))</f>
        <v/>
      </c>
      <c r="D40" s="158" t="str">
        <f aca="false">IF(OR(B40="",C40=""),"",B40/C40-1)</f>
        <v/>
      </c>
      <c r="E40" s="159" t="str">
        <f aca="false">IF(D40="","",IF(D40&gt;=-0.1,"Normal",IF(D40&gt;=-0.2,"Elevated",IF(D40&gt;=-0.3,"Severe","Critical"))))</f>
        <v/>
      </c>
      <c r="F40" s="160" t="str">
        <f aca="false">IF(E40="","",IF(E40="Normal","5-15%",IF(E40="Elevated","15%",IF(E40="Severe","20%","25%"))))</f>
        <v/>
      </c>
      <c r="G40" s="160" t="str">
        <f aca="false">IF(E40="","",IF(E40="Normal","Standard (score &gt;=65)",IF(E40="Elevated","Restricted (score &gt;=80 only)","Suspended")))</f>
        <v/>
      </c>
      <c r="H40" s="161"/>
    </row>
    <row r="41" customFormat="false" ht="15" hidden="false" customHeight="true" outlineLevel="0" collapsed="false">
      <c r="A41" s="155"/>
      <c r="B41" s="156"/>
      <c r="C41" s="157" t="str">
        <f aca="false">IF(B41="","",MAX(C40,B41))</f>
        <v/>
      </c>
      <c r="D41" s="158" t="str">
        <f aca="false">IF(OR(B41="",C41=""),"",B41/C41-1)</f>
        <v/>
      </c>
      <c r="E41" s="159" t="str">
        <f aca="false">IF(D41="","",IF(D41&gt;=-0.1,"Normal",IF(D41&gt;=-0.2,"Elevated",IF(D41&gt;=-0.3,"Severe","Critical"))))</f>
        <v/>
      </c>
      <c r="F41" s="160" t="str">
        <f aca="false">IF(E41="","",IF(E41="Normal","5-15%",IF(E41="Elevated","15%",IF(E41="Severe","20%","25%"))))</f>
        <v/>
      </c>
      <c r="G41" s="160" t="str">
        <f aca="false">IF(E41="","",IF(E41="Normal","Standard (score &gt;=65)",IF(E41="Elevated","Restricted (score &gt;=80 only)","Suspended")))</f>
        <v/>
      </c>
      <c r="H41" s="161"/>
    </row>
    <row r="42" customFormat="false" ht="15" hidden="false" customHeight="true" outlineLevel="0" collapsed="false">
      <c r="A42" s="155"/>
      <c r="B42" s="156"/>
      <c r="C42" s="157" t="str">
        <f aca="false">IF(B42="","",MAX(C41,B42))</f>
        <v/>
      </c>
      <c r="D42" s="158" t="str">
        <f aca="false">IF(OR(B42="",C42=""),"",B42/C42-1)</f>
        <v/>
      </c>
      <c r="E42" s="159" t="str">
        <f aca="false">IF(D42="","",IF(D42&gt;=-0.1,"Normal",IF(D42&gt;=-0.2,"Elevated",IF(D42&gt;=-0.3,"Severe","Critical"))))</f>
        <v/>
      </c>
      <c r="F42" s="160" t="str">
        <f aca="false">IF(E42="","",IF(E42="Normal","5-15%",IF(E42="Elevated","15%",IF(E42="Severe","20%","25%"))))</f>
        <v/>
      </c>
      <c r="G42" s="160" t="str">
        <f aca="false">IF(E42="","",IF(E42="Normal","Standard (score &gt;=65)",IF(E42="Elevated","Restricted (score &gt;=80 only)","Suspended")))</f>
        <v/>
      </c>
      <c r="H42" s="161"/>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10" activeCellId="0" sqref="C10"/>
    </sheetView>
  </sheetViews>
  <sheetFormatPr defaultColWidth="8.66796875" defaultRowHeight="14.2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 collapsed="false" customWidth="true" hidden="false" outlineLevel="0" max="13" min="13" style="1" width="14"/>
  </cols>
  <sheetData>
    <row r="1" s="1" customFormat="true" ht="21" hidden="false" customHeight="true" outlineLevel="0" collapsed="false">
      <c r="A1" s="162" t="s">
        <v>470</v>
      </c>
      <c r="B1" s="162"/>
      <c r="C1" s="162"/>
      <c r="D1" s="162"/>
      <c r="E1" s="162"/>
      <c r="F1" s="162"/>
      <c r="G1" s="162"/>
      <c r="H1" s="162"/>
      <c r="I1" s="162"/>
      <c r="J1" s="162"/>
      <c r="K1" s="162"/>
      <c r="L1" s="162"/>
      <c r="M1" s="162"/>
    </row>
    <row r="2" customFormat="false" ht="45.75" hidden="false" customHeight="true" outlineLevel="0" collapsed="false">
      <c r="A2" s="58" t="s">
        <v>81</v>
      </c>
      <c r="B2" s="58" t="s">
        <v>280</v>
      </c>
      <c r="C2" s="58" t="s">
        <v>471</v>
      </c>
      <c r="D2" s="58" t="s">
        <v>472</v>
      </c>
      <c r="E2" s="58" t="s">
        <v>473</v>
      </c>
      <c r="F2" s="58" t="s">
        <v>474</v>
      </c>
      <c r="G2" s="58" t="s">
        <v>475</v>
      </c>
      <c r="H2" s="58" t="s">
        <v>476</v>
      </c>
      <c r="I2" s="58" t="s">
        <v>477</v>
      </c>
      <c r="J2" s="58" t="s">
        <v>478</v>
      </c>
      <c r="K2" s="58" t="s">
        <v>479</v>
      </c>
      <c r="L2" s="58" t="s">
        <v>480</v>
      </c>
      <c r="M2" s="27" t="s">
        <v>481</v>
      </c>
    </row>
    <row r="3" customFormat="false" ht="15" hidden="false" customHeight="true" outlineLevel="0" collapsed="false">
      <c r="A3" s="118" t="s">
        <v>104</v>
      </c>
      <c r="B3" s="118" t="s">
        <v>105</v>
      </c>
      <c r="C3" s="118" t="s">
        <v>482</v>
      </c>
      <c r="D3" s="163" t="n">
        <v>46278</v>
      </c>
      <c r="E3" s="118" t="n">
        <v>63.4</v>
      </c>
      <c r="F3" s="118" t="n">
        <v>63.4</v>
      </c>
      <c r="G3" s="163" t="n">
        <v>46278</v>
      </c>
      <c r="H3" s="118"/>
      <c r="I3" s="141" t="n">
        <f aca="false">IF(D3="","",D3+90)</f>
        <v>46368</v>
      </c>
      <c r="J3" s="164" t="n">
        <f aca="true">IF(I3="","",I3-TODAY())</f>
        <v>69</v>
      </c>
      <c r="K3" s="124"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ON TRACK</v>
      </c>
      <c r="L3" s="118" t="s">
        <v>483</v>
      </c>
      <c r="M3" s="165" t="n">
        <v>0</v>
      </c>
    </row>
    <row r="4" customFormat="false" ht="15" hidden="false" customHeight="true" outlineLevel="0" collapsed="false">
      <c r="A4" s="118"/>
      <c r="B4" s="118"/>
      <c r="C4" s="118"/>
      <c r="D4" s="163"/>
      <c r="E4" s="118"/>
      <c r="F4" s="118"/>
      <c r="G4" s="163"/>
      <c r="H4" s="118"/>
      <c r="I4" s="141" t="str">
        <f aca="false">IF(D4="","",D4+90)</f>
        <v/>
      </c>
      <c r="J4" s="164" t="str">
        <f aca="true">IF(I4="","",I4-TODAY())</f>
        <v/>
      </c>
      <c r="K4" s="124"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8"/>
    </row>
    <row r="5" customFormat="false" ht="15" hidden="false" customHeight="true" outlineLevel="0" collapsed="false">
      <c r="A5" s="118"/>
      <c r="B5" s="118"/>
      <c r="C5" s="118"/>
      <c r="D5" s="163"/>
      <c r="E5" s="118"/>
      <c r="F5" s="118"/>
      <c r="G5" s="163"/>
      <c r="H5" s="118"/>
      <c r="I5" s="141" t="str">
        <f aca="false">IF(D5="","",D5+90)</f>
        <v/>
      </c>
      <c r="J5" s="164" t="str">
        <f aca="true">IF(I5="","",I5-TODAY())</f>
        <v/>
      </c>
      <c r="K5" s="124"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8"/>
    </row>
    <row r="6" customFormat="false" ht="15" hidden="false" customHeight="true" outlineLevel="0" collapsed="false">
      <c r="A6" s="118"/>
      <c r="B6" s="118"/>
      <c r="C6" s="118"/>
      <c r="D6" s="163"/>
      <c r="E6" s="118"/>
      <c r="F6" s="118"/>
      <c r="G6" s="163"/>
      <c r="H6" s="118"/>
      <c r="I6" s="141" t="str">
        <f aca="false">IF(D6="","",D6+90)</f>
        <v/>
      </c>
      <c r="J6" s="164" t="str">
        <f aca="true">IF(I6="","",I6-TODAY())</f>
        <v/>
      </c>
      <c r="K6" s="124"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8"/>
    </row>
    <row r="7" customFormat="false" ht="15" hidden="false" customHeight="true" outlineLevel="0" collapsed="false">
      <c r="A7" s="118"/>
      <c r="B7" s="118"/>
      <c r="C7" s="118"/>
      <c r="D7" s="163"/>
      <c r="E7" s="118"/>
      <c r="F7" s="118"/>
      <c r="G7" s="163"/>
      <c r="H7" s="118"/>
      <c r="I7" s="141" t="str">
        <f aca="false">IF(D7="","",D7+90)</f>
        <v/>
      </c>
      <c r="J7" s="164" t="str">
        <f aca="true">IF(I7="","",I7-TODAY())</f>
        <v/>
      </c>
      <c r="K7" s="124"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8"/>
    </row>
    <row r="8" customFormat="false" ht="15" hidden="false" customHeight="true" outlineLevel="0" collapsed="false">
      <c r="A8" s="118"/>
      <c r="B8" s="118"/>
      <c r="C8" s="118"/>
      <c r="D8" s="163"/>
      <c r="E8" s="118"/>
      <c r="F8" s="118"/>
      <c r="G8" s="163"/>
      <c r="H8" s="118"/>
      <c r="I8" s="141" t="str">
        <f aca="false">IF(D8="","",D8+90)</f>
        <v/>
      </c>
      <c r="J8" s="164" t="str">
        <f aca="true">IF(I8="","",I8-TODAY())</f>
        <v/>
      </c>
      <c r="K8" s="124"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8"/>
    </row>
    <row r="9" customFormat="false" ht="15" hidden="false" customHeight="true" outlineLevel="0" collapsed="false">
      <c r="A9" s="118"/>
      <c r="B9" s="118"/>
      <c r="C9" s="118"/>
      <c r="D9" s="163"/>
      <c r="E9" s="118"/>
      <c r="F9" s="118"/>
      <c r="G9" s="163"/>
      <c r="H9" s="118"/>
      <c r="I9" s="141" t="str">
        <f aca="false">IF(D9="","",D9+90)</f>
        <v/>
      </c>
      <c r="J9" s="164" t="str">
        <f aca="true">IF(I9="","",I9-TODAY())</f>
        <v/>
      </c>
      <c r="K9" s="124"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8"/>
    </row>
    <row r="10" customFormat="false" ht="15" hidden="false" customHeight="true" outlineLevel="0" collapsed="false">
      <c r="A10" s="118"/>
      <c r="B10" s="118"/>
      <c r="C10" s="118"/>
      <c r="D10" s="163"/>
      <c r="E10" s="118"/>
      <c r="F10" s="118"/>
      <c r="G10" s="163"/>
      <c r="H10" s="118"/>
      <c r="I10" s="141" t="str">
        <f aca="false">IF(D10="","",D10+90)</f>
        <v/>
      </c>
      <c r="J10" s="164" t="str">
        <f aca="true">IF(I10="","",I10-TODAY())</f>
        <v/>
      </c>
      <c r="K10" s="124"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8"/>
    </row>
    <row r="11" customFormat="false" ht="15" hidden="false" customHeight="true" outlineLevel="0" collapsed="false">
      <c r="A11" s="118"/>
      <c r="B11" s="118"/>
      <c r="C11" s="118"/>
      <c r="D11" s="163"/>
      <c r="E11" s="118"/>
      <c r="F11" s="118"/>
      <c r="G11" s="163"/>
      <c r="H11" s="118"/>
      <c r="I11" s="141" t="str">
        <f aca="false">IF(D11="","",D11+90)</f>
        <v/>
      </c>
      <c r="J11" s="164" t="str">
        <f aca="true">IF(I11="","",I11-TODAY())</f>
        <v/>
      </c>
      <c r="K11" s="124"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8"/>
    </row>
    <row r="12" customFormat="false" ht="15" hidden="false" customHeight="true" outlineLevel="0" collapsed="false">
      <c r="A12" s="118"/>
      <c r="B12" s="118"/>
      <c r="C12" s="118"/>
      <c r="D12" s="163"/>
      <c r="E12" s="118"/>
      <c r="F12" s="118"/>
      <c r="G12" s="163"/>
      <c r="H12" s="118"/>
      <c r="I12" s="141" t="str">
        <f aca="false">IF(D12="","",D12+90)</f>
        <v/>
      </c>
      <c r="J12" s="164" t="str">
        <f aca="true">IF(I12="","",I12-TODAY())</f>
        <v/>
      </c>
      <c r="K12" s="124"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8"/>
    </row>
    <row r="13" customFormat="false" ht="15" hidden="false" customHeight="true" outlineLevel="0" collapsed="false">
      <c r="A13" s="118"/>
      <c r="B13" s="118"/>
      <c r="C13" s="118"/>
      <c r="D13" s="163"/>
      <c r="E13" s="118"/>
      <c r="F13" s="118"/>
      <c r="G13" s="163"/>
      <c r="H13" s="118"/>
      <c r="I13" s="141" t="str">
        <f aca="false">IF(D13="","",D13+90)</f>
        <v/>
      </c>
      <c r="J13" s="164" t="str">
        <f aca="true">IF(I13="","",I13-TODAY())</f>
        <v/>
      </c>
      <c r="K13" s="124"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8"/>
    </row>
    <row r="14" customFormat="false" ht="15" hidden="false" customHeight="true" outlineLevel="0" collapsed="false">
      <c r="A14" s="118"/>
      <c r="B14" s="118"/>
      <c r="C14" s="118"/>
      <c r="D14" s="163"/>
      <c r="E14" s="118"/>
      <c r="F14" s="118"/>
      <c r="G14" s="163"/>
      <c r="H14" s="118"/>
      <c r="I14" s="141" t="str">
        <f aca="false">IF(D14="","",D14+90)</f>
        <v/>
      </c>
      <c r="J14" s="164" t="str">
        <f aca="true">IF(I14="","",I14-TODAY())</f>
        <v/>
      </c>
      <c r="K14" s="124"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8"/>
    </row>
    <row r="15" customFormat="false" ht="15" hidden="false" customHeight="true" outlineLevel="0" collapsed="false">
      <c r="A15" s="118"/>
      <c r="B15" s="118"/>
      <c r="C15" s="118"/>
      <c r="D15" s="163"/>
      <c r="E15" s="118"/>
      <c r="F15" s="118"/>
      <c r="G15" s="163"/>
      <c r="H15" s="118"/>
      <c r="I15" s="141" t="str">
        <f aca="false">IF(D15="","",D15+90)</f>
        <v/>
      </c>
      <c r="J15" s="164" t="str">
        <f aca="true">IF(I15="","",I15-TODAY())</f>
        <v/>
      </c>
      <c r="K15" s="124"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8"/>
    </row>
    <row r="16" customFormat="false" ht="15" hidden="false" customHeight="true" outlineLevel="0" collapsed="false">
      <c r="A16" s="118"/>
      <c r="B16" s="118"/>
      <c r="C16" s="118"/>
      <c r="D16" s="163"/>
      <c r="E16" s="118"/>
      <c r="F16" s="118"/>
      <c r="G16" s="163"/>
      <c r="H16" s="118"/>
      <c r="I16" s="141" t="str">
        <f aca="false">IF(D16="","",D16+90)</f>
        <v/>
      </c>
      <c r="J16" s="164" t="str">
        <f aca="true">IF(I16="","",I16-TODAY())</f>
        <v/>
      </c>
      <c r="K16" s="124"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8"/>
    </row>
    <row r="17" customFormat="false" ht="15" hidden="false" customHeight="true" outlineLevel="0" collapsed="false">
      <c r="A17" s="118"/>
      <c r="B17" s="118"/>
      <c r="C17" s="118"/>
      <c r="D17" s="163"/>
      <c r="E17" s="118"/>
      <c r="F17" s="118"/>
      <c r="G17" s="163"/>
      <c r="H17" s="118"/>
      <c r="I17" s="141" t="str">
        <f aca="false">IF(D17="","",D17+90)</f>
        <v/>
      </c>
      <c r="J17" s="164" t="str">
        <f aca="true">IF(I17="","",I17-TODAY())</f>
        <v/>
      </c>
      <c r="K17" s="124"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8"/>
    </row>
    <row r="18" customFormat="false" ht="15" hidden="false" customHeight="true" outlineLevel="0" collapsed="false">
      <c r="A18" s="118"/>
      <c r="B18" s="118"/>
      <c r="C18" s="118"/>
      <c r="D18" s="163"/>
      <c r="E18" s="118"/>
      <c r="F18" s="118"/>
      <c r="G18" s="163"/>
      <c r="H18" s="118"/>
      <c r="I18" s="141" t="str">
        <f aca="false">IF(D18="","",D18+90)</f>
        <v/>
      </c>
      <c r="J18" s="164" t="str">
        <f aca="true">IF(I18="","",I18-TODAY())</f>
        <v/>
      </c>
      <c r="K18" s="124"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8"/>
    </row>
    <row r="19" customFormat="false" ht="15" hidden="false" customHeight="true" outlineLevel="0" collapsed="false">
      <c r="A19" s="118"/>
      <c r="B19" s="118"/>
      <c r="C19" s="118"/>
      <c r="D19" s="163"/>
      <c r="E19" s="118"/>
      <c r="F19" s="118"/>
      <c r="G19" s="163"/>
      <c r="H19" s="118"/>
      <c r="I19" s="141" t="str">
        <f aca="false">IF(D19="","",D19+90)</f>
        <v/>
      </c>
      <c r="J19" s="164" t="str">
        <f aca="true">IF(I19="","",I19-TODAY())</f>
        <v/>
      </c>
      <c r="K19" s="124"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8"/>
    </row>
    <row r="20" customFormat="false" ht="15" hidden="false" customHeight="true" outlineLevel="0" collapsed="false">
      <c r="A20" s="118"/>
      <c r="B20" s="118"/>
      <c r="C20" s="118"/>
      <c r="D20" s="163"/>
      <c r="E20" s="118"/>
      <c r="F20" s="118"/>
      <c r="G20" s="163"/>
      <c r="H20" s="118"/>
      <c r="I20" s="141" t="str">
        <f aca="false">IF(D20="","",D20+90)</f>
        <v/>
      </c>
      <c r="J20" s="164" t="str">
        <f aca="true">IF(I20="","",I20-TODAY())</f>
        <v/>
      </c>
      <c r="K20" s="124"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8"/>
    </row>
    <row r="21" customFormat="false" ht="15" hidden="false" customHeight="true" outlineLevel="0" collapsed="false">
      <c r="A21" s="118"/>
      <c r="B21" s="118"/>
      <c r="C21" s="118"/>
      <c r="D21" s="163"/>
      <c r="E21" s="118"/>
      <c r="F21" s="118"/>
      <c r="G21" s="163"/>
      <c r="H21" s="118"/>
      <c r="I21" s="141" t="str">
        <f aca="false">IF(D21="","",D21+90)</f>
        <v/>
      </c>
      <c r="J21" s="164" t="str">
        <f aca="true">IF(I21="","",I21-TODAY())</f>
        <v/>
      </c>
      <c r="K21" s="124"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8"/>
    </row>
    <row r="22" customFormat="false" ht="15" hidden="false" customHeight="true" outlineLevel="0" collapsed="false">
      <c r="A22" s="118"/>
      <c r="B22" s="118"/>
      <c r="C22" s="118"/>
      <c r="D22" s="163"/>
      <c r="E22" s="118"/>
      <c r="F22" s="118"/>
      <c r="G22" s="163"/>
      <c r="H22" s="118"/>
      <c r="I22" s="141" t="str">
        <f aca="false">IF(D22="","",D22+90)</f>
        <v/>
      </c>
      <c r="J22" s="164" t="str">
        <f aca="true">IF(I22="","",I22-TODAY())</f>
        <v/>
      </c>
      <c r="K22" s="124"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8"/>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F42" activeCellId="0" sqref="F42"/>
    </sheetView>
  </sheetViews>
  <sheetFormatPr defaultColWidth="8.66796875" defaultRowHeight="14.25" customHeight="false" zeroHeight="false" outlineLevelRow="0" outlineLevelCol="0"/>
  <cols>
    <col collapsed="false" customWidth="true" hidden="false" outlineLevel="0" max="1" min="1" style="166" width="8"/>
    <col collapsed="false" customWidth="true" hidden="false" outlineLevel="0" max="2" min="2" style="1" width="14"/>
    <col collapsed="false" customWidth="true" hidden="false" outlineLevel="0" max="21" min="3" style="1" width="9.56"/>
  </cols>
  <sheetData>
    <row r="1" customFormat="false" ht="25.5" hidden="false" customHeight="true" outlineLevel="0" collapsed="false">
      <c r="A1" s="167" t="s">
        <v>484</v>
      </c>
      <c r="B1" s="162"/>
      <c r="C1" s="162"/>
      <c r="D1" s="162"/>
      <c r="E1" s="162"/>
      <c r="F1" s="162"/>
      <c r="G1" s="162"/>
      <c r="H1" s="162"/>
      <c r="I1" s="162"/>
      <c r="J1" s="162"/>
      <c r="K1" s="162"/>
      <c r="L1" s="162"/>
      <c r="M1" s="162"/>
      <c r="N1" s="162"/>
      <c r="O1" s="162"/>
      <c r="P1" s="162"/>
      <c r="Q1" s="162"/>
      <c r="R1" s="162"/>
      <c r="S1" s="162"/>
      <c r="T1" s="162"/>
    </row>
    <row r="2" customFormat="false" ht="15.75" hidden="false" customHeight="true" outlineLevel="0" collapsed="false">
      <c r="D2" s="168" t="s">
        <v>485</v>
      </c>
      <c r="E2" s="168"/>
      <c r="F2" s="168"/>
      <c r="G2" s="168"/>
      <c r="H2" s="168"/>
      <c r="I2" s="169" t="s">
        <v>486</v>
      </c>
      <c r="J2" s="169"/>
      <c r="K2" s="169"/>
      <c r="L2" s="169"/>
      <c r="M2" s="169"/>
      <c r="N2" s="170" t="s">
        <v>487</v>
      </c>
      <c r="O2" s="170"/>
      <c r="P2" s="170"/>
      <c r="Q2" s="170"/>
      <c r="R2" s="170"/>
      <c r="S2" s="171" t="s">
        <v>488</v>
      </c>
      <c r="T2" s="171"/>
      <c r="U2" s="171"/>
    </row>
    <row r="3" customFormat="false" ht="42.75" hidden="false" customHeight="true" outlineLevel="0" collapsed="false">
      <c r="A3" s="110" t="s">
        <v>81</v>
      </c>
      <c r="B3" s="110" t="s">
        <v>280</v>
      </c>
      <c r="C3" s="110" t="s">
        <v>489</v>
      </c>
      <c r="D3" s="110" t="s">
        <v>490</v>
      </c>
      <c r="E3" s="110" t="s">
        <v>491</v>
      </c>
      <c r="F3" s="110" t="s">
        <v>492</v>
      </c>
      <c r="G3" s="110" t="s">
        <v>493</v>
      </c>
      <c r="H3" s="110" t="s">
        <v>494</v>
      </c>
      <c r="I3" s="110" t="s">
        <v>490</v>
      </c>
      <c r="J3" s="110" t="s">
        <v>491</v>
      </c>
      <c r="K3" s="110" t="s">
        <v>492</v>
      </c>
      <c r="L3" s="110" t="s">
        <v>493</v>
      </c>
      <c r="M3" s="110" t="s">
        <v>494</v>
      </c>
      <c r="N3" s="110" t="s">
        <v>490</v>
      </c>
      <c r="O3" s="110" t="s">
        <v>491</v>
      </c>
      <c r="P3" s="110" t="s">
        <v>492</v>
      </c>
      <c r="Q3" s="110" t="s">
        <v>493</v>
      </c>
      <c r="R3" s="110" t="s">
        <v>494</v>
      </c>
      <c r="S3" s="110" t="s">
        <v>495</v>
      </c>
      <c r="T3" s="110" t="s">
        <v>496</v>
      </c>
      <c r="U3" s="110" t="s">
        <v>497</v>
      </c>
    </row>
    <row r="4" customFormat="false" ht="15" hidden="false" customHeight="true" outlineLevel="0" collapsed="false">
      <c r="A4" s="61"/>
      <c r="B4" s="62"/>
      <c r="C4" s="66"/>
      <c r="D4" s="66"/>
      <c r="E4" s="172"/>
      <c r="F4" s="66"/>
      <c r="G4" s="67" t="str">
        <f aca="false">IF(OR(C4="",D4="",E4="",F4=""),"",IFERROR(((D4*E4+F4)/C4)^(1/5)-1,"n/a"))</f>
        <v/>
      </c>
      <c r="H4" s="62"/>
      <c r="I4" s="66"/>
      <c r="J4" s="172"/>
      <c r="K4" s="66"/>
      <c r="L4" s="67" t="str">
        <f aca="false">IF(OR(C4="",I4="",J4="",K4=""),"",IFERROR(((I4*J4+K4)/C4)^(1/5)-1,"n/a"))</f>
        <v/>
      </c>
      <c r="M4" s="62"/>
      <c r="N4" s="66"/>
      <c r="O4" s="172"/>
      <c r="P4" s="66"/>
      <c r="Q4" s="67" t="str">
        <f aca="false">IF(OR(C4="",N4="",O4="",P4=""),"",IFERROR(((N4*O4+P4)/C4)^(1/5)-1,"n/a"))</f>
        <v/>
      </c>
      <c r="R4" s="62"/>
      <c r="S4" s="71" t="str">
        <f aca="false">IF(G4="","",IF(G4&gt;0.1,"PASS","FAIL"))</f>
        <v/>
      </c>
      <c r="T4" s="71" t="str">
        <f aca="false">IF(L4="","",IF(L4&gt;=0,"PASS","FAIL"))</f>
        <v/>
      </c>
      <c r="U4" s="71" t="str">
        <f aca="false">IF(COUNTA(H4,M4,R4)=0,"",IF((COUNTIF(H4,"Likely")+COUNTIF(M4,"Likely")+COUNTIF(R4,"Likely"))=1,"OK","CHECK TAGS"))</f>
        <v/>
      </c>
    </row>
    <row r="5" customFormat="false" ht="15" hidden="false" customHeight="true" outlineLevel="0" collapsed="false">
      <c r="A5" s="61"/>
      <c r="B5" s="62"/>
      <c r="C5" s="66"/>
      <c r="D5" s="66"/>
      <c r="E5" s="172"/>
      <c r="F5" s="66"/>
      <c r="G5" s="67" t="str">
        <f aca="false">IF(OR(C5="",D5="",E5="",F5=""),"",IFERROR(((D5*E5+F5)/C5)^(1/5)-1,"n/a"))</f>
        <v/>
      </c>
      <c r="H5" s="62"/>
      <c r="I5" s="66"/>
      <c r="J5" s="172"/>
      <c r="K5" s="66"/>
      <c r="L5" s="67" t="str">
        <f aca="false">IF(OR(C5="",I5="",J5="",K5=""),"",IFERROR(((I5*J5+K5)/C5)^(1/5)-1,"n/a"))</f>
        <v/>
      </c>
      <c r="M5" s="62"/>
      <c r="N5" s="66"/>
      <c r="O5" s="172"/>
      <c r="P5" s="66"/>
      <c r="Q5" s="67" t="str">
        <f aca="false">IF(OR(C5="",N5="",O5="",P5=""),"",IFERROR(((N5*O5+P5)/C5)^(1/5)-1,"n/a"))</f>
        <v/>
      </c>
      <c r="R5" s="62"/>
      <c r="S5" s="71" t="str">
        <f aca="false">IF(G5="","",IF(G5&gt;0.1,"PASS","FAIL"))</f>
        <v/>
      </c>
      <c r="T5" s="71" t="str">
        <f aca="false">IF(L5="","",IF(L5&gt;=0,"PASS","FAIL"))</f>
        <v/>
      </c>
      <c r="U5" s="71" t="str">
        <f aca="false">IF(COUNTA(H5,M5,R5)=0,"",IF((COUNTIF(H5,"Likely")+COUNTIF(M5,"Likely")+COUNTIF(R5,"Likely"))=1,"OK","CHECK TAGS"))</f>
        <v/>
      </c>
    </row>
    <row r="6" customFormat="false" ht="15" hidden="false" customHeight="true" outlineLevel="0" collapsed="false">
      <c r="A6" s="61"/>
      <c r="B6" s="62"/>
      <c r="C6" s="66"/>
      <c r="D6" s="66"/>
      <c r="E6" s="172"/>
      <c r="F6" s="66"/>
      <c r="G6" s="67" t="str">
        <f aca="false">IF(OR(C6="",D6="",E6="",F6=""),"",IFERROR(((D6*E6+F6)/C6)^(1/5)-1,"n/a"))</f>
        <v/>
      </c>
      <c r="H6" s="62"/>
      <c r="I6" s="66"/>
      <c r="J6" s="172"/>
      <c r="K6" s="66"/>
      <c r="L6" s="67" t="str">
        <f aca="false">IF(OR(C6="",I6="",J6="",K6=""),"",IFERROR(((I6*J6+K6)/C6)^(1/5)-1,"n/a"))</f>
        <v/>
      </c>
      <c r="M6" s="62"/>
      <c r="N6" s="66"/>
      <c r="O6" s="172"/>
      <c r="P6" s="66"/>
      <c r="Q6" s="67" t="str">
        <f aca="false">IF(OR(C6="",N6="",O6="",P6=""),"",IFERROR(((N6*O6+P6)/C6)^(1/5)-1,"n/a"))</f>
        <v/>
      </c>
      <c r="R6" s="62"/>
      <c r="S6" s="71" t="str">
        <f aca="false">IF(G6="","",IF(G6&gt;0.1,"PASS","FAIL"))</f>
        <v/>
      </c>
      <c r="T6" s="71" t="str">
        <f aca="false">IF(L6="","",IF(L6&gt;=0,"PASS","FAIL"))</f>
        <v/>
      </c>
      <c r="U6" s="71" t="str">
        <f aca="false">IF(COUNTA(H6,M6,R6)=0,"",IF((COUNTIF(H6,"Likely")+COUNTIF(M6,"Likely")+COUNTIF(R6,"Likely"))=1,"OK","CHECK TAGS"))</f>
        <v/>
      </c>
    </row>
    <row r="7" customFormat="false" ht="15" hidden="false" customHeight="true" outlineLevel="0" collapsed="false">
      <c r="A7" s="61"/>
      <c r="B7" s="69"/>
      <c r="C7" s="66"/>
      <c r="D7" s="66"/>
      <c r="E7" s="172"/>
      <c r="F7" s="66"/>
      <c r="G7" s="67" t="str">
        <f aca="false">IF(OR(C7="",D7="",E7="",F7=""),"",IFERROR(((D7*E7+F7)/C7)^(1/5)-1,"n/a"))</f>
        <v/>
      </c>
      <c r="H7" s="62"/>
      <c r="I7" s="66"/>
      <c r="J7" s="172"/>
      <c r="K7" s="66"/>
      <c r="L7" s="67" t="str">
        <f aca="false">IF(OR(C7="",I7="",J7="",K7=""),"",IFERROR(((I7*J7+K7)/C7)^(1/5)-1,"n/a"))</f>
        <v/>
      </c>
      <c r="M7" s="62"/>
      <c r="N7" s="66"/>
      <c r="O7" s="172"/>
      <c r="P7" s="66"/>
      <c r="Q7" s="67" t="str">
        <f aca="false">IF(OR(C7="",N7="",O7="",P7=""),"",IFERROR(((N7*O7+P7)/C7)^(1/5)-1,"n/a"))</f>
        <v/>
      </c>
      <c r="R7" s="62"/>
      <c r="S7" s="71" t="str">
        <f aca="false">IF(G7="","",IF(G7&gt;0.1,"PASS","FAIL"))</f>
        <v/>
      </c>
      <c r="T7" s="71" t="str">
        <f aca="false">IF(L7="","",IF(L7&gt;=0,"PASS","FAIL"))</f>
        <v/>
      </c>
      <c r="U7" s="71" t="str">
        <f aca="false">IF(COUNTA(H7,M7,R7)=0,"",IF((COUNTIF(H7,"Likely")+COUNTIF(M7,"Likely")+COUNTIF(R7,"Likely"))=1,"OK","CHECK TAGS"))</f>
        <v/>
      </c>
    </row>
    <row r="8" customFormat="false" ht="15" hidden="false" customHeight="true" outlineLevel="0" collapsed="false">
      <c r="A8" s="61"/>
      <c r="B8" s="69"/>
      <c r="C8" s="66"/>
      <c r="D8" s="66"/>
      <c r="E8" s="172"/>
      <c r="F8" s="66"/>
      <c r="G8" s="67" t="str">
        <f aca="false">IF(OR(C8="",D8="",E8="",F8=""),"",IFERROR(((D8*E8+F8)/C8)^(1/5)-1,"n/a"))</f>
        <v/>
      </c>
      <c r="H8" s="62"/>
      <c r="I8" s="66"/>
      <c r="J8" s="172"/>
      <c r="K8" s="66"/>
      <c r="L8" s="67" t="str">
        <f aca="false">IF(OR(C8="",I8="",J8="",K8=""),"",IFERROR(((I8*J8+K8)/C8)^(1/5)-1,"n/a"))</f>
        <v/>
      </c>
      <c r="M8" s="62"/>
      <c r="N8" s="66"/>
      <c r="O8" s="172"/>
      <c r="P8" s="66"/>
      <c r="Q8" s="67" t="str">
        <f aca="false">IF(OR(C8="",N8="",O8="",P8=""),"",IFERROR(((N8*O8+P8)/C8)^(1/5)-1,"n/a"))</f>
        <v/>
      </c>
      <c r="R8" s="62"/>
      <c r="S8" s="71" t="str">
        <f aca="false">IF(G8="","",IF(G8&gt;0.1,"PASS","FAIL"))</f>
        <v/>
      </c>
      <c r="T8" s="71" t="str">
        <f aca="false">IF(L8="","",IF(L8&gt;=0,"PASS","FAIL"))</f>
        <v/>
      </c>
      <c r="U8" s="71" t="str">
        <f aca="false">IF(COUNTA(H8,M8,R8)=0,"",IF((COUNTIF(H8,"Likely")+COUNTIF(M8,"Likely")+COUNTIF(R8,"Likely"))=1,"OK","CHECK TAGS"))</f>
        <v/>
      </c>
    </row>
    <row r="9" customFormat="false" ht="15" hidden="false" customHeight="true" outlineLevel="0" collapsed="false">
      <c r="A9" s="61"/>
      <c r="B9" s="69"/>
      <c r="C9" s="66"/>
      <c r="D9" s="66"/>
      <c r="E9" s="172"/>
      <c r="F9" s="66"/>
      <c r="G9" s="67" t="str">
        <f aca="false">IF(OR(C9="",D9="",E9="",F9=""),"",IFERROR(((D9*E9+F9)/C9)^(1/5)-1,"n/a"))</f>
        <v/>
      </c>
      <c r="H9" s="62"/>
      <c r="I9" s="66"/>
      <c r="J9" s="172"/>
      <c r="K9" s="66"/>
      <c r="L9" s="67" t="str">
        <f aca="false">IF(OR(C9="",I9="",J9="",K9=""),"",IFERROR(((I9*J9+K9)/C9)^(1/5)-1,"n/a"))</f>
        <v/>
      </c>
      <c r="M9" s="62"/>
      <c r="N9" s="66"/>
      <c r="O9" s="172"/>
      <c r="P9" s="66"/>
      <c r="Q9" s="67" t="str">
        <f aca="false">IF(OR(C9="",N9="",O9="",P9=""),"",IFERROR(((N9*O9+P9)/C9)^(1/5)-1,"n/a"))</f>
        <v/>
      </c>
      <c r="R9" s="62"/>
      <c r="S9" s="71" t="str">
        <f aca="false">IF(G9="","",IF(G9&gt;0.1,"PASS","FAIL"))</f>
        <v/>
      </c>
      <c r="T9" s="71" t="str">
        <f aca="false">IF(L9="","",IF(L9&gt;=0,"PASS","FAIL"))</f>
        <v/>
      </c>
      <c r="U9" s="71" t="str">
        <f aca="false">IF(COUNTA(H9,M9,R9)=0,"",IF((COUNTIF(H9,"Likely")+COUNTIF(M9,"Likely")+COUNTIF(R9,"Likely"))=1,"OK","CHECK TAGS"))</f>
        <v/>
      </c>
    </row>
    <row r="10" customFormat="false" ht="15" hidden="false" customHeight="true" outlineLevel="0" collapsed="false">
      <c r="A10" s="61"/>
      <c r="B10" s="69"/>
      <c r="C10" s="66"/>
      <c r="D10" s="66"/>
      <c r="E10" s="172"/>
      <c r="F10" s="66"/>
      <c r="G10" s="67" t="str">
        <f aca="false">IF(OR(C10="",D10="",E10="",F10=""),"",IFERROR(((D10*E10+F10)/C10)^(1/5)-1,"n/a"))</f>
        <v/>
      </c>
      <c r="H10" s="62"/>
      <c r="I10" s="66"/>
      <c r="J10" s="172"/>
      <c r="K10" s="66"/>
      <c r="L10" s="67" t="str">
        <f aca="false">IF(OR(C10="",I10="",J10="",K10=""),"",IFERROR(((I10*J10+K10)/C10)^(1/5)-1,"n/a"))</f>
        <v/>
      </c>
      <c r="M10" s="62"/>
      <c r="N10" s="66"/>
      <c r="O10" s="172"/>
      <c r="P10" s="66"/>
      <c r="Q10" s="67" t="str">
        <f aca="false">IF(OR(C10="",N10="",O10="",P10=""),"",IFERROR(((N10*O10+P10)/C10)^(1/5)-1,"n/a"))</f>
        <v/>
      </c>
      <c r="R10" s="62"/>
      <c r="S10" s="71" t="str">
        <f aca="false">IF(G10="","",IF(G10&gt;0.1,"PASS","FAIL"))</f>
        <v/>
      </c>
      <c r="T10" s="71" t="str">
        <f aca="false">IF(L10="","",IF(L10&gt;=0,"PASS","FAIL"))</f>
        <v/>
      </c>
      <c r="U10" s="71" t="str">
        <f aca="false">IF(COUNTA(H10,M10,R10)=0,"",IF((COUNTIF(H10,"Likely")+COUNTIF(M10,"Likely")+COUNTIF(R10,"Likely"))=1,"OK","CHECK TAGS"))</f>
        <v/>
      </c>
    </row>
    <row r="11" customFormat="false" ht="15" hidden="false" customHeight="true" outlineLevel="0" collapsed="false">
      <c r="A11" s="61"/>
      <c r="B11" s="69"/>
      <c r="C11" s="66"/>
      <c r="D11" s="66"/>
      <c r="E11" s="172"/>
      <c r="F11" s="66"/>
      <c r="G11" s="67" t="str">
        <f aca="false">IF(OR(C11="",D11="",E11="",F11=""),"",IFERROR(((D11*E11+F11)/C11)^(1/5)-1,"n/a"))</f>
        <v/>
      </c>
      <c r="H11" s="62"/>
      <c r="I11" s="66"/>
      <c r="J11" s="172"/>
      <c r="K11" s="66"/>
      <c r="L11" s="67" t="str">
        <f aca="false">IF(OR(C11="",I11="",J11="",K11=""),"",IFERROR(((I11*J11+K11)/C11)^(1/5)-1,"n/a"))</f>
        <v/>
      </c>
      <c r="M11" s="62"/>
      <c r="N11" s="66"/>
      <c r="O11" s="172"/>
      <c r="P11" s="66"/>
      <c r="Q11" s="67" t="str">
        <f aca="false">IF(OR(C11="",N11="",O11="",P11=""),"",IFERROR(((N11*O11+P11)/C11)^(1/5)-1,"n/a"))</f>
        <v/>
      </c>
      <c r="R11" s="62"/>
      <c r="S11" s="71" t="str">
        <f aca="false">IF(G11="","",IF(G11&gt;0.1,"PASS","FAIL"))</f>
        <v/>
      </c>
      <c r="T11" s="71" t="str">
        <f aca="false">IF(L11="","",IF(L11&gt;=0,"PASS","FAIL"))</f>
        <v/>
      </c>
      <c r="U11" s="71" t="str">
        <f aca="false">IF(COUNTA(H11,M11,R11)=0,"",IF((COUNTIF(H11,"Likely")+COUNTIF(M11,"Likely")+COUNTIF(R11,"Likely"))=1,"OK","CHECK TAGS"))</f>
        <v/>
      </c>
    </row>
    <row r="12" customFormat="false" ht="15" hidden="false" customHeight="true" outlineLevel="0" collapsed="false">
      <c r="A12" s="61"/>
      <c r="B12" s="69"/>
      <c r="C12" s="66"/>
      <c r="D12" s="66"/>
      <c r="E12" s="172"/>
      <c r="F12" s="66"/>
      <c r="G12" s="67" t="str">
        <f aca="false">IF(OR(C12="",D12="",E12="",F12=""),"",IFERROR(((D12*E12+F12)/C12)^(1/5)-1,"n/a"))</f>
        <v/>
      </c>
      <c r="H12" s="62"/>
      <c r="I12" s="66"/>
      <c r="J12" s="172"/>
      <c r="K12" s="66"/>
      <c r="L12" s="67" t="str">
        <f aca="false">IF(OR(C12="",I12="",J12="",K12=""),"",IFERROR(((I12*J12+K12)/C12)^(1/5)-1,"n/a"))</f>
        <v/>
      </c>
      <c r="M12" s="62"/>
      <c r="N12" s="66"/>
      <c r="O12" s="172"/>
      <c r="P12" s="66"/>
      <c r="Q12" s="67" t="str">
        <f aca="false">IF(OR(C12="",N12="",O12="",P12=""),"",IFERROR(((N12*O12+P12)/C12)^(1/5)-1,"n/a"))</f>
        <v/>
      </c>
      <c r="R12" s="62"/>
      <c r="S12" s="71" t="str">
        <f aca="false">IF(G12="","",IF(G12&gt;0.1,"PASS","FAIL"))</f>
        <v/>
      </c>
      <c r="T12" s="71" t="str">
        <f aca="false">IF(L12="","",IF(L12&gt;=0,"PASS","FAIL"))</f>
        <v/>
      </c>
      <c r="U12" s="71" t="str">
        <f aca="false">IF(COUNTA(H12,M12,R12)=0,"",IF((COUNTIF(H12,"Likely")+COUNTIF(M12,"Likely")+COUNTIF(R12,"Likely"))=1,"OK","CHECK TAGS"))</f>
        <v/>
      </c>
    </row>
    <row r="13" customFormat="false" ht="15" hidden="false" customHeight="true" outlineLevel="0" collapsed="false">
      <c r="A13" s="61"/>
      <c r="B13" s="69"/>
      <c r="C13" s="66"/>
      <c r="D13" s="66"/>
      <c r="E13" s="172"/>
      <c r="F13" s="66"/>
      <c r="G13" s="67" t="str">
        <f aca="false">IF(OR(C13="",D13="",E13="",F13=""),"",IFERROR(((D13*E13+F13)/C13)^(1/5)-1,"n/a"))</f>
        <v/>
      </c>
      <c r="H13" s="62"/>
      <c r="I13" s="66"/>
      <c r="J13" s="172"/>
      <c r="K13" s="66"/>
      <c r="L13" s="67" t="str">
        <f aca="false">IF(OR(C13="",I13="",J13="",K13=""),"",IFERROR(((I13*J13+K13)/C13)^(1/5)-1,"n/a"))</f>
        <v/>
      </c>
      <c r="M13" s="62"/>
      <c r="N13" s="66"/>
      <c r="O13" s="172"/>
      <c r="P13" s="66"/>
      <c r="Q13" s="67" t="str">
        <f aca="false">IF(OR(C13="",N13="",O13="",P13=""),"",IFERROR(((N13*O13+P13)/C13)^(1/5)-1,"n/a"))</f>
        <v/>
      </c>
      <c r="R13" s="62"/>
      <c r="S13" s="71" t="str">
        <f aca="false">IF(G13="","",IF(G13&gt;0.1,"PASS","FAIL"))</f>
        <v/>
      </c>
      <c r="T13" s="71" t="str">
        <f aca="false">IF(L13="","",IF(L13&gt;=0,"PASS","FAIL"))</f>
        <v/>
      </c>
      <c r="U13" s="71" t="str">
        <f aca="false">IF(COUNTA(H13,M13,R13)=0,"",IF((COUNTIF(H13,"Likely")+COUNTIF(M13,"Likely")+COUNTIF(R13,"Likely"))=1,"OK","CHECK TAGS"))</f>
        <v/>
      </c>
    </row>
    <row r="14" customFormat="false" ht="15" hidden="false" customHeight="true" outlineLevel="0" collapsed="false">
      <c r="A14" s="61"/>
      <c r="B14" s="69"/>
      <c r="C14" s="66"/>
      <c r="D14" s="66"/>
      <c r="E14" s="172"/>
      <c r="F14" s="66"/>
      <c r="G14" s="67" t="str">
        <f aca="false">IF(OR(C14="",D14="",E14="",F14=""),"",IFERROR(((D14*E14+F14)/C14)^(1/5)-1,"n/a"))</f>
        <v/>
      </c>
      <c r="H14" s="62"/>
      <c r="I14" s="66"/>
      <c r="J14" s="172"/>
      <c r="K14" s="66"/>
      <c r="L14" s="67" t="str">
        <f aca="false">IF(OR(C14="",I14="",J14="",K14=""),"",IFERROR(((I14*J14+K14)/C14)^(1/5)-1,"n/a"))</f>
        <v/>
      </c>
      <c r="M14" s="62"/>
      <c r="N14" s="66"/>
      <c r="O14" s="172"/>
      <c r="P14" s="66"/>
      <c r="Q14" s="67" t="str">
        <f aca="false">IF(OR(C14="",N14="",O14="",P14=""),"",IFERROR(((N14*O14+P14)/C14)^(1/5)-1,"n/a"))</f>
        <v/>
      </c>
      <c r="R14" s="62"/>
      <c r="S14" s="71" t="str">
        <f aca="false">IF(G14="","",IF(G14&gt;0.1,"PASS","FAIL"))</f>
        <v/>
      </c>
      <c r="T14" s="71" t="str">
        <f aca="false">IF(L14="","",IF(L14&gt;=0,"PASS","FAIL"))</f>
        <v/>
      </c>
      <c r="U14" s="71" t="str">
        <f aca="false">IF(COUNTA(H14,M14,R14)=0,"",IF((COUNTIF(H14,"Likely")+COUNTIF(M14,"Likely")+COUNTIF(R14,"Likely"))=1,"OK","CHECK TAGS"))</f>
        <v/>
      </c>
    </row>
    <row r="15" customFormat="false" ht="15" hidden="false" customHeight="true" outlineLevel="0" collapsed="false">
      <c r="A15" s="61"/>
      <c r="B15" s="69"/>
      <c r="C15" s="66"/>
      <c r="D15" s="66"/>
      <c r="E15" s="172"/>
      <c r="F15" s="66"/>
      <c r="G15" s="67" t="str">
        <f aca="false">IF(OR(C15="",D15="",E15="",F15=""),"",IFERROR(((D15*E15+F15)/C15)^(1/5)-1,"n/a"))</f>
        <v/>
      </c>
      <c r="H15" s="62"/>
      <c r="I15" s="66"/>
      <c r="J15" s="172"/>
      <c r="K15" s="66"/>
      <c r="L15" s="67" t="str">
        <f aca="false">IF(OR(C15="",I15="",J15="",K15=""),"",IFERROR(((I15*J15+K15)/C15)^(1/5)-1,"n/a"))</f>
        <v/>
      </c>
      <c r="M15" s="62"/>
      <c r="N15" s="66"/>
      <c r="O15" s="172"/>
      <c r="P15" s="66"/>
      <c r="Q15" s="67" t="str">
        <f aca="false">IF(OR(C15="",N15="",O15="",P15=""),"",IFERROR(((N15*O15+P15)/C15)^(1/5)-1,"n/a"))</f>
        <v/>
      </c>
      <c r="R15" s="62"/>
      <c r="S15" s="71" t="str">
        <f aca="false">IF(G15="","",IF(G15&gt;0.1,"PASS","FAIL"))</f>
        <v/>
      </c>
      <c r="T15" s="71" t="str">
        <f aca="false">IF(L15="","",IF(L15&gt;=0,"PASS","FAIL"))</f>
        <v/>
      </c>
      <c r="U15" s="71" t="str">
        <f aca="false">IF(COUNTA(H15,M15,R15)=0,"",IF((COUNTIF(H15,"Likely")+COUNTIF(M15,"Likely")+COUNTIF(R15,"Likely"))=1,"OK","CHECK TAGS"))</f>
        <v/>
      </c>
    </row>
    <row r="16" customFormat="false" ht="15" hidden="false" customHeight="true" outlineLevel="0" collapsed="false">
      <c r="A16" s="61"/>
      <c r="B16" s="69"/>
      <c r="C16" s="66"/>
      <c r="D16" s="66"/>
      <c r="E16" s="172"/>
      <c r="F16" s="66"/>
      <c r="G16" s="67" t="str">
        <f aca="false">IF(OR(C16="",D16="",E16="",F16=""),"",IFERROR(((D16*E16+F16)/C16)^(1/5)-1,"n/a"))</f>
        <v/>
      </c>
      <c r="H16" s="62"/>
      <c r="I16" s="66"/>
      <c r="J16" s="172"/>
      <c r="K16" s="66"/>
      <c r="L16" s="67" t="str">
        <f aca="false">IF(OR(C16="",I16="",J16="",K16=""),"",IFERROR(((I16*J16+K16)/C16)^(1/5)-1,"n/a"))</f>
        <v/>
      </c>
      <c r="M16" s="62"/>
      <c r="N16" s="66"/>
      <c r="O16" s="172"/>
      <c r="P16" s="66"/>
      <c r="Q16" s="67" t="str">
        <f aca="false">IF(OR(C16="",N16="",O16="",P16=""),"",IFERROR(((N16*O16+P16)/C16)^(1/5)-1,"n/a"))</f>
        <v/>
      </c>
      <c r="R16" s="62"/>
      <c r="S16" s="71" t="str">
        <f aca="false">IF(G16="","",IF(G16&gt;0.1,"PASS","FAIL"))</f>
        <v/>
      </c>
      <c r="T16" s="71" t="str">
        <f aca="false">IF(L16="","",IF(L16&gt;=0,"PASS","FAIL"))</f>
        <v/>
      </c>
      <c r="U16" s="71" t="str">
        <f aca="false">IF(COUNTA(H16,M16,R16)=0,"",IF((COUNTIF(H16,"Likely")+COUNTIF(M16,"Likely")+COUNTIF(R16,"Likely"))=1,"OK","CHECK TAGS"))</f>
        <v/>
      </c>
    </row>
    <row r="17" customFormat="false" ht="15" hidden="false" customHeight="true" outlineLevel="0" collapsed="false">
      <c r="A17" s="61"/>
      <c r="B17" s="69"/>
      <c r="C17" s="66"/>
      <c r="D17" s="66"/>
      <c r="E17" s="172"/>
      <c r="F17" s="66"/>
      <c r="G17" s="67" t="str">
        <f aca="false">IF(OR(C17="",D17="",E17="",F17=""),"",IFERROR(((D17*E17+F17)/C17)^(1/5)-1,"n/a"))</f>
        <v/>
      </c>
      <c r="H17" s="62"/>
      <c r="I17" s="66"/>
      <c r="J17" s="172"/>
      <c r="K17" s="66"/>
      <c r="L17" s="67" t="str">
        <f aca="false">IF(OR(C17="",I17="",J17="",K17=""),"",IFERROR(((I17*J17+K17)/C17)^(1/5)-1,"n/a"))</f>
        <v/>
      </c>
      <c r="M17" s="62"/>
      <c r="N17" s="66"/>
      <c r="O17" s="172"/>
      <c r="P17" s="66"/>
      <c r="Q17" s="67" t="str">
        <f aca="false">IF(OR(C17="",N17="",O17="",P17=""),"",IFERROR(((N17*O17+P17)/C17)^(1/5)-1,"n/a"))</f>
        <v/>
      </c>
      <c r="R17" s="62"/>
      <c r="S17" s="71" t="str">
        <f aca="false">IF(G17="","",IF(G17&gt;0.1,"PASS","FAIL"))</f>
        <v/>
      </c>
      <c r="T17" s="71" t="str">
        <f aca="false">IF(L17="","",IF(L17&gt;=0,"PASS","FAIL"))</f>
        <v/>
      </c>
      <c r="U17" s="71" t="str">
        <f aca="false">IF(COUNTA(H17,M17,R17)=0,"",IF((COUNTIF(H17,"Likely")+COUNTIF(M17,"Likely")+COUNTIF(R17,"Likely"))=1,"OK","CHECK TAGS"))</f>
        <v/>
      </c>
    </row>
    <row r="18" customFormat="false" ht="15" hidden="false" customHeight="true" outlineLevel="0" collapsed="false">
      <c r="A18" s="61"/>
      <c r="B18" s="69"/>
      <c r="C18" s="66"/>
      <c r="D18" s="66"/>
      <c r="E18" s="172"/>
      <c r="F18" s="66"/>
      <c r="G18" s="67" t="str">
        <f aca="false">IF(OR(C18="",D18="",E18="",F18=""),"",IFERROR(((D18*E18+F18)/C18)^(1/5)-1,"n/a"))</f>
        <v/>
      </c>
      <c r="H18" s="62"/>
      <c r="I18" s="66"/>
      <c r="J18" s="172"/>
      <c r="K18" s="66"/>
      <c r="L18" s="67" t="str">
        <f aca="false">IF(OR(C18="",I18="",J18="",K18=""),"",IFERROR(((I18*J18+K18)/C18)^(1/5)-1,"n/a"))</f>
        <v/>
      </c>
      <c r="M18" s="62"/>
      <c r="N18" s="66"/>
      <c r="O18" s="172"/>
      <c r="P18" s="66"/>
      <c r="Q18" s="67" t="str">
        <f aca="false">IF(OR(C18="",N18="",O18="",P18=""),"",IFERROR(((N18*O18+P18)/C18)^(1/5)-1,"n/a"))</f>
        <v/>
      </c>
      <c r="R18" s="62"/>
      <c r="S18" s="71" t="str">
        <f aca="false">IF(G18="","",IF(G18&gt;0.1,"PASS","FAIL"))</f>
        <v/>
      </c>
      <c r="T18" s="71" t="str">
        <f aca="false">IF(L18="","",IF(L18&gt;=0,"PASS","FAIL"))</f>
        <v/>
      </c>
      <c r="U18" s="71" t="str">
        <f aca="false">IF(COUNTA(H18,M18,R18)=0,"",IF((COUNTIF(H18,"Likely")+COUNTIF(M18,"Likely")+COUNTIF(R18,"Likely"))=1,"OK","CHECK TAGS"))</f>
        <v/>
      </c>
    </row>
    <row r="19" customFormat="false" ht="15" hidden="false" customHeight="true" outlineLevel="0" collapsed="false">
      <c r="A19" s="61"/>
      <c r="B19" s="69"/>
      <c r="C19" s="66"/>
      <c r="D19" s="66"/>
      <c r="E19" s="172"/>
      <c r="F19" s="66"/>
      <c r="G19" s="67" t="str">
        <f aca="false">IF(OR(C19="",D19="",E19="",F19=""),"",IFERROR(((D19*E19+F19)/C19)^(1/5)-1,"n/a"))</f>
        <v/>
      </c>
      <c r="H19" s="62"/>
      <c r="I19" s="66"/>
      <c r="J19" s="172"/>
      <c r="K19" s="66"/>
      <c r="L19" s="67" t="str">
        <f aca="false">IF(OR(C19="",I19="",J19="",K19=""),"",IFERROR(((I19*J19+K19)/C19)^(1/5)-1,"n/a"))</f>
        <v/>
      </c>
      <c r="M19" s="62"/>
      <c r="N19" s="66"/>
      <c r="O19" s="172"/>
      <c r="P19" s="66"/>
      <c r="Q19" s="67" t="str">
        <f aca="false">IF(OR(C19="",N19="",O19="",P19=""),"",IFERROR(((N19*O19+P19)/C19)^(1/5)-1,"n/a"))</f>
        <v/>
      </c>
      <c r="R19" s="62"/>
      <c r="S19" s="71" t="str">
        <f aca="false">IF(G19="","",IF(G19&gt;0.1,"PASS","FAIL"))</f>
        <v/>
      </c>
      <c r="T19" s="71" t="str">
        <f aca="false">IF(L19="","",IF(L19&gt;=0,"PASS","FAIL"))</f>
        <v/>
      </c>
      <c r="U19" s="71" t="str">
        <f aca="false">IF(COUNTA(H19,M19,R19)=0,"",IF((COUNTIF(H19,"Likely")+COUNTIF(M19,"Likely")+COUNTIF(R19,"Likely"))=1,"OK","CHECK TAGS"))</f>
        <v/>
      </c>
    </row>
    <row r="20" customFormat="false" ht="15" hidden="false" customHeight="true" outlineLevel="0" collapsed="false">
      <c r="A20" s="61" t="s">
        <v>233</v>
      </c>
      <c r="B20" s="69" t="s">
        <v>498</v>
      </c>
      <c r="C20" s="66" t="n">
        <v>967.17</v>
      </c>
      <c r="D20" s="66" t="n">
        <v>23.11</v>
      </c>
      <c r="E20" s="172" t="n">
        <v>61.48</v>
      </c>
      <c r="F20" s="66" t="n">
        <v>32</v>
      </c>
      <c r="G20" s="67" t="n">
        <f aca="false">IF(OR(C20="",D20="",E20="",F20=""),"",IFERROR(((D20*E20+F20)/C20)^(1/5)-1,"n/a"))</f>
        <v>0.0847777537329333</v>
      </c>
      <c r="H20" s="62" t="s">
        <v>499</v>
      </c>
      <c r="I20" s="66" t="n">
        <v>19.14</v>
      </c>
      <c r="J20" s="172" t="n">
        <v>50</v>
      </c>
      <c r="K20" s="66" t="n">
        <v>28</v>
      </c>
      <c r="L20" s="67" t="n">
        <f aca="false">IF(OR(C20="",I20="",J20="",K20=""),"",IFERROR(((I20*J20+K20)/C20)^(1/5)-1,"n/a"))</f>
        <v>0.00366015400817998</v>
      </c>
      <c r="M20" s="62" t="s">
        <v>499</v>
      </c>
      <c r="N20" s="66" t="n">
        <v>26.51</v>
      </c>
      <c r="O20" s="172" t="n">
        <v>61.48</v>
      </c>
      <c r="P20" s="66" t="n">
        <v>35</v>
      </c>
      <c r="Q20" s="67" t="n">
        <f aca="false">IF(OR(C20="",N20="",O20="",P20=""),"",IFERROR(((N20*O20+P20)/C20)^(1/5)-1,"n/a"))</f>
        <v>0.114740206784953</v>
      </c>
      <c r="R20" s="62" t="s">
        <v>500</v>
      </c>
      <c r="S20" s="71" t="str">
        <f aca="false">IF(G20="","",IF(G20&gt;0.1,"PASS","FAIL"))</f>
        <v>FAIL</v>
      </c>
      <c r="T20" s="71" t="str">
        <f aca="false">IF(L20="","",IF(L20&gt;=0,"PASS","FAIL"))</f>
        <v>PASS</v>
      </c>
      <c r="U20" s="71" t="str">
        <f aca="false">IF(COUNTA(H20,M20,R20)=0,"",IF((COUNTIF(H20,"Likely")+COUNTIF(M20,"Likely")+COUNTIF(R20,"Likely"))=1,"OK","CHECK TAGS"))</f>
        <v>OK</v>
      </c>
    </row>
    <row r="21" customFormat="false" ht="15" hidden="false" customHeight="true" outlineLevel="0" collapsed="false">
      <c r="A21" s="61" t="s">
        <v>118</v>
      </c>
      <c r="B21" s="69" t="s">
        <v>119</v>
      </c>
      <c r="C21" s="66" t="n">
        <v>380.63</v>
      </c>
      <c r="D21" s="66" t="n">
        <v>17.84</v>
      </c>
      <c r="E21" s="172" t="n">
        <v>34.36</v>
      </c>
      <c r="F21" s="66" t="n">
        <v>16</v>
      </c>
      <c r="G21" s="67" t="n">
        <f aca="false">IF(OR(C21="",D21="",E21="",F21=""),"",IFERROR(((D21*E21+F21)/C21)^(1/5)-1,"n/a"))</f>
        <v>0.105673995986338</v>
      </c>
      <c r="H21" s="62" t="s">
        <v>500</v>
      </c>
      <c r="I21" s="66" t="n">
        <v>14.14</v>
      </c>
      <c r="J21" s="172" t="n">
        <v>28</v>
      </c>
      <c r="K21" s="66" t="n">
        <v>14</v>
      </c>
      <c r="L21" s="67" t="n">
        <f aca="false">IF(OR(C21="",I21="",J21="",K21=""),"",IFERROR(((I21*J21+K21)/C21)^(1/5)-1,"n/a"))</f>
        <v>0.0149373117952127</v>
      </c>
      <c r="M21" s="62" t="s">
        <v>499</v>
      </c>
      <c r="N21" s="66" t="n">
        <v>21.33</v>
      </c>
      <c r="O21" s="172" t="n">
        <v>38</v>
      </c>
      <c r="P21" s="66" t="n">
        <v>18</v>
      </c>
      <c r="Q21" s="67" t="n">
        <f aca="false">IF(OR(C21="",N21="",O21="",P21=""),"",IFERROR(((N21*O21+P21)/C21)^(1/5)-1,"n/a"))</f>
        <v>0.168320757920451</v>
      </c>
      <c r="R21" s="62" t="s">
        <v>499</v>
      </c>
      <c r="S21" s="71" t="str">
        <f aca="false">IF(G21="","",IF(G21&gt;0.1,"PASS","FAIL"))</f>
        <v>PASS</v>
      </c>
      <c r="T21" s="71" t="str">
        <f aca="false">IF(L21="","",IF(L21&gt;=0,"PASS","FAIL"))</f>
        <v>PASS</v>
      </c>
      <c r="U21" s="71" t="str">
        <f aca="false">IF(COUNTA(H21,M21,R21)=0,"",IF((COUNTIF(H21,"Likely")+COUNTIF(M21,"Likely")+COUNTIF(R21,"Likely"))=1,"OK","CHECK TAGS"))</f>
        <v>OK</v>
      </c>
    </row>
    <row r="22" customFormat="false" ht="15" hidden="false" customHeight="true" outlineLevel="0" collapsed="false">
      <c r="A22" s="61"/>
      <c r="B22" s="69"/>
      <c r="C22" s="66"/>
      <c r="D22" s="66"/>
      <c r="E22" s="172"/>
      <c r="F22" s="66"/>
      <c r="G22" s="67" t="str">
        <f aca="false">IF(OR(C22="",D22="",E22="",F22=""),"",IFERROR(((D22*E22+F22)/C22)^(1/5)-1,"n/a"))</f>
        <v/>
      </c>
      <c r="H22" s="62"/>
      <c r="I22" s="66"/>
      <c r="J22" s="172"/>
      <c r="K22" s="66"/>
      <c r="L22" s="67" t="str">
        <f aca="false">IF(OR(C22="",I22="",J22="",K22=""),"",IFERROR(((I22*J22+K22)/C22)^(1/5)-1,"n/a"))</f>
        <v/>
      </c>
      <c r="M22" s="62"/>
      <c r="N22" s="66"/>
      <c r="O22" s="172"/>
      <c r="P22" s="66"/>
      <c r="Q22" s="67" t="str">
        <f aca="false">IF(OR(C22="",N22="",O22="",P22=""),"",IFERROR(((N22*O22+P22)/C22)^(1/5)-1,"n/a"))</f>
        <v/>
      </c>
      <c r="R22" s="62"/>
      <c r="S22" s="71" t="str">
        <f aca="false">IF(G22="","",IF(G22&gt;0.1,"PASS","FAIL"))</f>
        <v/>
      </c>
      <c r="T22" s="71" t="str">
        <f aca="false">IF(L22="","",IF(L22&gt;=0,"PASS","FAIL"))</f>
        <v/>
      </c>
      <c r="U22" s="71" t="str">
        <f aca="false">IF(COUNTA(H22,M22,R22)=0,"",IF((COUNTIF(H22,"Likely")+COUNTIF(M22,"Likely")+COUNTIF(R22,"Likely"))=1,"OK","CHECK TAGS"))</f>
        <v/>
      </c>
    </row>
    <row r="23" customFormat="false" ht="15" hidden="false" customHeight="true" outlineLevel="0" collapsed="false">
      <c r="A23" s="61"/>
      <c r="B23" s="69"/>
      <c r="C23" s="66"/>
      <c r="D23" s="66"/>
      <c r="E23" s="172"/>
      <c r="F23" s="66"/>
      <c r="G23" s="67" t="str">
        <f aca="false">IF(OR(C23="",D23="",E23="",F23=""),"",IFERROR(((D23*E23+F23)/C23)^(1/5)-1,"n/a"))</f>
        <v/>
      </c>
      <c r="H23" s="62"/>
      <c r="I23" s="66"/>
      <c r="J23" s="172"/>
      <c r="K23" s="66"/>
      <c r="L23" s="67" t="str">
        <f aca="false">IF(OR(C23="",I23="",J23="",K23=""),"",IFERROR(((I23*J23+K23)/C23)^(1/5)-1,"n/a"))</f>
        <v/>
      </c>
      <c r="M23" s="62"/>
      <c r="N23" s="66"/>
      <c r="O23" s="172"/>
      <c r="P23" s="66"/>
      <c r="Q23" s="67" t="str">
        <f aca="false">IF(OR(C23="",N23="",O23="",P23=""),"",IFERROR(((N23*O23+P23)/C23)^(1/5)-1,"n/a"))</f>
        <v/>
      </c>
      <c r="R23" s="62"/>
      <c r="S23" s="71" t="str">
        <f aca="false">IF(G23="","",IF(G23&gt;0.1,"PASS","FAIL"))</f>
        <v/>
      </c>
      <c r="T23" s="71" t="str">
        <f aca="false">IF(L23="","",IF(L23&gt;=0,"PASS","FAIL"))</f>
        <v/>
      </c>
      <c r="U23" s="71" t="str">
        <f aca="false">IF(COUNTA(H23,M23,R23)=0,"",IF((COUNTIF(H23,"Likely")+COUNTIF(M23,"Likely")+COUNTIF(R23,"Likely"))=1,"OK","CHECK TAGS"))</f>
        <v/>
      </c>
    </row>
    <row r="24" customFormat="false" ht="15" hidden="false" customHeight="true" outlineLevel="0" collapsed="false">
      <c r="A24" s="173"/>
      <c r="B24" s="174"/>
      <c r="C24" s="175"/>
      <c r="D24" s="175"/>
      <c r="E24" s="176"/>
      <c r="F24" s="175"/>
      <c r="G24" s="177" t="str">
        <f aca="false">IF(OR(C24="",D24="",E24="",F24=""),"",IFERROR(((D24*E24+F24)/C24)^(1/5)-1,"n/a"))</f>
        <v/>
      </c>
      <c r="H24" s="178"/>
      <c r="I24" s="175"/>
      <c r="J24" s="176"/>
      <c r="K24" s="175"/>
      <c r="L24" s="177" t="str">
        <f aca="false">IF(OR(C24="",I24="",J24="",K24=""),"",IFERROR(((I24*J24+K24)/C24)^(1/5)-1,"n/a"))</f>
        <v/>
      </c>
      <c r="M24" s="178"/>
      <c r="N24" s="175"/>
      <c r="O24" s="176"/>
      <c r="P24" s="175"/>
      <c r="Q24" s="177" t="str">
        <f aca="false">IF(OR(C24="",N24="",O24="",P24=""),"",IFERROR(((N24*O24+P24)/C24)^(1/5)-1,"n/a"))</f>
        <v/>
      </c>
      <c r="R24" s="178"/>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73"/>
      <c r="B25" s="174"/>
      <c r="C25" s="175"/>
      <c r="D25" s="175"/>
      <c r="E25" s="176"/>
      <c r="F25" s="175"/>
      <c r="G25" s="177" t="str">
        <f aca="false">IF(OR(C25="",D25="",E25="",F25=""),"",IFERROR(((D25*E25+F25)/C25)^(1/5)-1,"n/a"))</f>
        <v/>
      </c>
      <c r="H25" s="178"/>
      <c r="I25" s="175"/>
      <c r="J25" s="176"/>
      <c r="K25" s="175"/>
      <c r="L25" s="177" t="str">
        <f aca="false">IF(OR(C25="",I25="",J25="",K25=""),"",IFERROR(((I25*J25+K25)/C25)^(1/5)-1,"n/a"))</f>
        <v/>
      </c>
      <c r="M25" s="178"/>
      <c r="N25" s="175"/>
      <c r="O25" s="176"/>
      <c r="P25" s="175"/>
      <c r="Q25" s="177" t="str">
        <f aca="false">IF(OR(C25="",N25="",O25="",P25=""),"",IFERROR(((N25*O25+P25)/C25)^(1/5)-1,"n/a"))</f>
        <v/>
      </c>
      <c r="R25" s="178"/>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73"/>
      <c r="B26" s="174"/>
      <c r="C26" s="175"/>
      <c r="D26" s="175"/>
      <c r="E26" s="176"/>
      <c r="F26" s="175"/>
      <c r="G26" s="177" t="str">
        <f aca="false">IF(OR(C26="",D26="",E26="",F26=""),"",IFERROR(((D26*E26+F26)/C26)^(1/5)-1,"n/a"))</f>
        <v/>
      </c>
      <c r="H26" s="178"/>
      <c r="I26" s="175"/>
      <c r="J26" s="176"/>
      <c r="K26" s="175"/>
      <c r="L26" s="177" t="str">
        <f aca="false">IF(OR(C26="",I26="",J26="",K26=""),"",IFERROR(((I26*J26+K26)/C26)^(1/5)-1,"n/a"))</f>
        <v/>
      </c>
      <c r="M26" s="178"/>
      <c r="N26" s="175"/>
      <c r="O26" s="176"/>
      <c r="P26" s="175"/>
      <c r="Q26" s="177" t="str">
        <f aca="false">IF(OR(C26="",N26="",O26="",P26=""),"",IFERROR(((N26*O26+P26)/C26)^(1/5)-1,"n/a"))</f>
        <v/>
      </c>
      <c r="R26" s="178"/>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73"/>
      <c r="B27" s="174"/>
      <c r="C27" s="175"/>
      <c r="D27" s="175"/>
      <c r="E27" s="176"/>
      <c r="F27" s="175"/>
      <c r="G27" s="177" t="str">
        <f aca="false">IF(OR(C27="",D27="",E27="",F27=""),"",IFERROR(((D27*E27+F27)/C27)^(1/5)-1,"n/a"))</f>
        <v/>
      </c>
      <c r="H27" s="178"/>
      <c r="I27" s="175"/>
      <c r="J27" s="176"/>
      <c r="K27" s="175"/>
      <c r="L27" s="177" t="str">
        <f aca="false">IF(OR(C27="",I27="",J27="",K27=""),"",IFERROR(((I27*J27+K27)/C27)^(1/5)-1,"n/a"))</f>
        <v/>
      </c>
      <c r="M27" s="178"/>
      <c r="N27" s="175"/>
      <c r="O27" s="176"/>
      <c r="P27" s="175"/>
      <c r="Q27" s="177" t="str">
        <f aca="false">IF(OR(C27="",N27="",O27="",P27=""),"",IFERROR(((N27*O27+P27)/C27)^(1/5)-1,"n/a"))</f>
        <v/>
      </c>
      <c r="R27" s="178"/>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73"/>
      <c r="B28" s="174"/>
      <c r="C28" s="175"/>
      <c r="D28" s="175"/>
      <c r="E28" s="176"/>
      <c r="F28" s="175"/>
      <c r="G28" s="177" t="str">
        <f aca="false">IF(OR(C28="",D28="",E28="",F28=""),"",IFERROR(((D28*E28+F28)/C28)^(1/5)-1,"n/a"))</f>
        <v/>
      </c>
      <c r="H28" s="178"/>
      <c r="I28" s="175"/>
      <c r="J28" s="176"/>
      <c r="K28" s="175"/>
      <c r="L28" s="177" t="str">
        <f aca="false">IF(OR(C28="",I28="",J28="",K28=""),"",IFERROR(((I28*J28+K28)/C28)^(1/5)-1,"n/a"))</f>
        <v/>
      </c>
      <c r="M28" s="178"/>
      <c r="N28" s="175"/>
      <c r="O28" s="176"/>
      <c r="P28" s="175"/>
      <c r="Q28" s="177" t="str">
        <f aca="false">IF(OR(C28="",N28="",O28="",P28=""),"",IFERROR(((N28*O28+P28)/C28)^(1/5)-1,"n/a"))</f>
        <v/>
      </c>
      <c r="R28" s="178"/>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73"/>
      <c r="B29" s="174"/>
      <c r="C29" s="175"/>
      <c r="D29" s="175"/>
      <c r="E29" s="176"/>
      <c r="F29" s="175"/>
      <c r="G29" s="177" t="str">
        <f aca="false">IF(OR(C29="",D29="",E29="",F29=""),"",IFERROR(((D29*E29+F29)/C29)^(1/5)-1,"n/a"))</f>
        <v/>
      </c>
      <c r="H29" s="178"/>
      <c r="I29" s="175"/>
      <c r="J29" s="176"/>
      <c r="K29" s="175"/>
      <c r="L29" s="177" t="str">
        <f aca="false">IF(OR(C29="",I29="",J29="",K29=""),"",IFERROR(((I29*J29+K29)/C29)^(1/5)-1,"n/a"))</f>
        <v/>
      </c>
      <c r="M29" s="178"/>
      <c r="N29" s="175"/>
      <c r="O29" s="176"/>
      <c r="P29" s="175"/>
      <c r="Q29" s="177" t="str">
        <f aca="false">IF(OR(C29="",N29="",O29="",P29=""),"",IFERROR(((N29*O29+P29)/C29)^(1/5)-1,"n/a"))</f>
        <v/>
      </c>
      <c r="R29" s="178"/>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73"/>
      <c r="B30" s="174"/>
      <c r="C30" s="175"/>
      <c r="D30" s="175"/>
      <c r="E30" s="176"/>
      <c r="F30" s="175"/>
      <c r="G30" s="177" t="str">
        <f aca="false">IF(OR(C30="",D30="",E30="",F30=""),"",IFERROR(((D30*E30+F30)/C30)^(1/5)-1,"n/a"))</f>
        <v/>
      </c>
      <c r="H30" s="178"/>
      <c r="I30" s="175"/>
      <c r="J30" s="176"/>
      <c r="K30" s="175"/>
      <c r="L30" s="177" t="str">
        <f aca="false">IF(OR(C30="",I30="",J30="",K30=""),"",IFERROR(((I30*J30+K30)/C30)^(1/5)-1,"n/a"))</f>
        <v/>
      </c>
      <c r="M30" s="178"/>
      <c r="N30" s="175"/>
      <c r="O30" s="176"/>
      <c r="P30" s="175"/>
      <c r="Q30" s="177" t="str">
        <f aca="false">IF(OR(C30="",N30="",O30="",P30=""),"",IFERROR(((N30*O30+P30)/C30)^(1/5)-1,"n/a"))</f>
        <v/>
      </c>
      <c r="R30" s="178"/>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73"/>
      <c r="B31" s="174"/>
      <c r="C31" s="175"/>
      <c r="D31" s="175"/>
      <c r="E31" s="176"/>
      <c r="F31" s="175"/>
      <c r="G31" s="177" t="str">
        <f aca="false">IF(OR(C31="",D31="",E31="",F31=""),"",IFERROR(((D31*E31+F31)/C31)^(1/5)-1,"n/a"))</f>
        <v/>
      </c>
      <c r="H31" s="178"/>
      <c r="I31" s="175"/>
      <c r="J31" s="176"/>
      <c r="K31" s="175"/>
      <c r="L31" s="177" t="str">
        <f aca="false">IF(OR(C31="",I31="",J31="",K31=""),"",IFERROR(((I31*J31+K31)/C31)^(1/5)-1,"n/a"))</f>
        <v/>
      </c>
      <c r="M31" s="178"/>
      <c r="N31" s="175"/>
      <c r="O31" s="176"/>
      <c r="P31" s="175"/>
      <c r="Q31" s="177" t="str">
        <f aca="false">IF(OR(C31="",N31="",O31="",P31=""),"",IFERROR(((N31*O31+P31)/C31)^(1/5)-1,"n/a"))</f>
        <v/>
      </c>
      <c r="R31" s="178"/>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73"/>
      <c r="B32" s="174"/>
      <c r="C32" s="175"/>
      <c r="D32" s="175"/>
      <c r="E32" s="176"/>
      <c r="F32" s="175"/>
      <c r="G32" s="177" t="str">
        <f aca="false">IF(OR(C32="",D32="",E32="",F32=""),"",IFERROR(((D32*E32+F32)/C32)^(1/5)-1,"n/a"))</f>
        <v/>
      </c>
      <c r="H32" s="178"/>
      <c r="I32" s="175"/>
      <c r="J32" s="176"/>
      <c r="K32" s="175"/>
      <c r="L32" s="177" t="str">
        <f aca="false">IF(OR(C32="",I32="",J32="",K32=""),"",IFERROR(((I32*J32+K32)/C32)^(1/5)-1,"n/a"))</f>
        <v/>
      </c>
      <c r="M32" s="178"/>
      <c r="N32" s="175"/>
      <c r="O32" s="176"/>
      <c r="P32" s="175"/>
      <c r="Q32" s="177" t="str">
        <f aca="false">IF(OR(C32="",N32="",O32="",P32=""),"",IFERROR(((N32*O32+P32)/C32)^(1/5)-1,"n/a"))</f>
        <v/>
      </c>
      <c r="R32" s="178"/>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73"/>
      <c r="B33" s="174"/>
      <c r="C33" s="175"/>
      <c r="D33" s="175"/>
      <c r="E33" s="176"/>
      <c r="F33" s="175"/>
      <c r="G33" s="177" t="str">
        <f aca="false">IF(OR(C33="",D33="",E33="",F33=""),"",IFERROR(((D33*E33+F33)/C33)^(1/5)-1,"n/a"))</f>
        <v/>
      </c>
      <c r="H33" s="178"/>
      <c r="I33" s="175"/>
      <c r="J33" s="176"/>
      <c r="K33" s="175"/>
      <c r="L33" s="177" t="str">
        <f aca="false">IF(OR(C33="",I33="",J33="",K33=""),"",IFERROR(((I33*J33+K33)/C33)^(1/5)-1,"n/a"))</f>
        <v/>
      </c>
      <c r="M33" s="178"/>
      <c r="N33" s="175"/>
      <c r="O33" s="176"/>
      <c r="P33" s="175"/>
      <c r="Q33" s="177" t="str">
        <f aca="false">IF(OR(C33="",N33="",O33="",P33=""),"",IFERROR(((N33*O33+P33)/C33)^(1/5)-1,"n/a"))</f>
        <v/>
      </c>
      <c r="R33" s="178"/>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73"/>
      <c r="B34" s="174"/>
      <c r="C34" s="175"/>
      <c r="D34" s="175"/>
      <c r="E34" s="176"/>
      <c r="F34" s="175"/>
      <c r="G34" s="177" t="str">
        <f aca="false">IF(OR(C34="",D34="",E34="",F34=""),"",IFERROR(((D34*E34+F34)/C34)^(1/5)-1,"n/a"))</f>
        <v/>
      </c>
      <c r="H34" s="178"/>
      <c r="I34" s="175"/>
      <c r="J34" s="176"/>
      <c r="K34" s="175"/>
      <c r="L34" s="177" t="str">
        <f aca="false">IF(OR(C34="",I34="",J34="",K34=""),"",IFERROR(((I34*J34+K34)/C34)^(1/5)-1,"n/a"))</f>
        <v/>
      </c>
      <c r="M34" s="178"/>
      <c r="N34" s="175"/>
      <c r="O34" s="176"/>
      <c r="P34" s="175"/>
      <c r="Q34" s="177" t="str">
        <f aca="false">IF(OR(C34="",N34="",O34="",P34=""),"",IFERROR(((N34*O34+P34)/C34)^(1/5)-1,"n/a"))</f>
        <v/>
      </c>
      <c r="R34" s="178"/>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73"/>
      <c r="B35" s="174"/>
      <c r="C35" s="175"/>
      <c r="D35" s="175"/>
      <c r="E35" s="176"/>
      <c r="F35" s="175"/>
      <c r="G35" s="177" t="str">
        <f aca="false">IF(OR(C35="",D35="",E35="",F35=""),"",IFERROR(((D35*E35+F35)/C35)^(1/5)-1,"n/a"))</f>
        <v/>
      </c>
      <c r="H35" s="178"/>
      <c r="I35" s="175"/>
      <c r="J35" s="176"/>
      <c r="K35" s="175"/>
      <c r="L35" s="177" t="str">
        <f aca="false">IF(OR(C35="",I35="",J35="",K35=""),"",IFERROR(((I35*J35+K35)/C35)^(1/5)-1,"n/a"))</f>
        <v/>
      </c>
      <c r="M35" s="178"/>
      <c r="N35" s="175"/>
      <c r="O35" s="176"/>
      <c r="P35" s="175"/>
      <c r="Q35" s="177" t="str">
        <f aca="false">IF(OR(C35="",N35="",O35="",P35=""),"",IFERROR(((N35*O35+P35)/C35)^(1/5)-1,"n/a"))</f>
        <v/>
      </c>
      <c r="R35" s="178"/>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73"/>
      <c r="B36" s="174"/>
      <c r="C36" s="175"/>
      <c r="D36" s="175"/>
      <c r="E36" s="176"/>
      <c r="F36" s="175"/>
      <c r="G36" s="177" t="str">
        <f aca="false">IF(OR(C36="",D36="",E36="",F36=""),"",IFERROR(((D36*E36+F36)/C36)^(1/5)-1,"n/a"))</f>
        <v/>
      </c>
      <c r="H36" s="178"/>
      <c r="I36" s="175"/>
      <c r="J36" s="176"/>
      <c r="K36" s="175"/>
      <c r="L36" s="177" t="str">
        <f aca="false">IF(OR(C36="",I36="",J36="",K36=""),"",IFERROR(((I36*J36+K36)/C36)^(1/5)-1,"n/a"))</f>
        <v/>
      </c>
      <c r="M36" s="178"/>
      <c r="N36" s="175"/>
      <c r="O36" s="176"/>
      <c r="P36" s="175"/>
      <c r="Q36" s="177" t="str">
        <f aca="false">IF(OR(C36="",N36="",O36="",P36=""),"",IFERROR(((N36*O36+P36)/C36)^(1/5)-1,"n/a"))</f>
        <v/>
      </c>
      <c r="R36" s="178"/>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73"/>
      <c r="B37" s="174"/>
      <c r="C37" s="175"/>
      <c r="D37" s="175"/>
      <c r="E37" s="176"/>
      <c r="F37" s="175"/>
      <c r="G37" s="177" t="str">
        <f aca="false">IF(OR(C37="",D37="",E37="",F37=""),"",IFERROR(((D37*E37+F37)/C37)^(1/5)-1,"n/a"))</f>
        <v/>
      </c>
      <c r="H37" s="178"/>
      <c r="I37" s="175"/>
      <c r="J37" s="176"/>
      <c r="K37" s="175"/>
      <c r="L37" s="177" t="str">
        <f aca="false">IF(OR(C37="",I37="",J37="",K37=""),"",IFERROR(((I37*J37+K37)/C37)^(1/5)-1,"n/a"))</f>
        <v/>
      </c>
      <c r="M37" s="178"/>
      <c r="N37" s="175"/>
      <c r="O37" s="176"/>
      <c r="P37" s="175"/>
      <c r="Q37" s="177" t="str">
        <f aca="false">IF(OR(C37="",N37="",O37="",P37=""),"",IFERROR(((N37*O37+P37)/C37)^(1/5)-1,"n/a"))</f>
        <v/>
      </c>
      <c r="R37" s="178"/>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73"/>
      <c r="B38" s="174"/>
      <c r="C38" s="175"/>
      <c r="D38" s="175"/>
      <c r="E38" s="176"/>
      <c r="F38" s="175"/>
      <c r="G38" s="177" t="str">
        <f aca="false">IF(OR(C38="",D38="",E38="",F38=""),"",IFERROR(((D38*E38+F38)/C38)^(1/5)-1,"n/a"))</f>
        <v/>
      </c>
      <c r="H38" s="178"/>
      <c r="I38" s="175"/>
      <c r="J38" s="176"/>
      <c r="K38" s="175"/>
      <c r="L38" s="177" t="str">
        <f aca="false">IF(OR(C38="",I38="",J38="",K38=""),"",IFERROR(((I38*J38+K38)/C38)^(1/5)-1,"n/a"))</f>
        <v/>
      </c>
      <c r="M38" s="178"/>
      <c r="N38" s="175"/>
      <c r="O38" s="176"/>
      <c r="P38" s="175"/>
      <c r="Q38" s="177" t="str">
        <f aca="false">IF(OR(C38="",N38="",O38="",P38=""),"",IFERROR(((N38*O38+P38)/C38)^(1/5)-1,"n/a"))</f>
        <v/>
      </c>
      <c r="R38" s="178"/>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73"/>
      <c r="B39" s="174"/>
      <c r="C39" s="175"/>
      <c r="D39" s="175"/>
      <c r="E39" s="176"/>
      <c r="F39" s="175"/>
      <c r="G39" s="177" t="str">
        <f aca="false">IF(OR(C39="",D39="",E39="",F39=""),"",IFERROR(((D39*E39+F39)/C39)^(1/5)-1,"n/a"))</f>
        <v/>
      </c>
      <c r="H39" s="178"/>
      <c r="I39" s="175"/>
      <c r="J39" s="176"/>
      <c r="K39" s="175"/>
      <c r="L39" s="177" t="str">
        <f aca="false">IF(OR(C39="",I39="",J39="",K39=""),"",IFERROR(((I39*J39+K39)/C39)^(1/5)-1,"n/a"))</f>
        <v/>
      </c>
      <c r="M39" s="178"/>
      <c r="N39" s="175"/>
      <c r="O39" s="176"/>
      <c r="P39" s="175"/>
      <c r="Q39" s="177" t="str">
        <f aca="false">IF(OR(C39="",N39="",O39="",P39=""),"",IFERROR(((N39*O39+P39)/C39)^(1/5)-1,"n/a"))</f>
        <v/>
      </c>
      <c r="R39" s="178"/>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73"/>
      <c r="B40" s="174"/>
      <c r="C40" s="175"/>
      <c r="D40" s="175"/>
      <c r="E40" s="176"/>
      <c r="F40" s="175"/>
      <c r="G40" s="177" t="str">
        <f aca="false">IF(OR(C40="",D40="",E40="",F40=""),"",IFERROR(((D40*E40+F40)/C40)^(1/5)-1,"n/a"))</f>
        <v/>
      </c>
      <c r="H40" s="178"/>
      <c r="I40" s="175"/>
      <c r="J40" s="176"/>
      <c r="K40" s="175"/>
      <c r="L40" s="177" t="str">
        <f aca="false">IF(OR(C40="",I40="",J40="",K40=""),"",IFERROR(((I40*J40+K40)/C40)^(1/5)-1,"n/a"))</f>
        <v/>
      </c>
      <c r="M40" s="178"/>
      <c r="N40" s="175"/>
      <c r="O40" s="176"/>
      <c r="P40" s="175"/>
      <c r="Q40" s="177" t="str">
        <f aca="false">IF(OR(C40="",N40="",O40="",P40=""),"",IFERROR(((N40*O40+P40)/C40)^(1/5)-1,"n/a"))</f>
        <v/>
      </c>
      <c r="R40" s="178"/>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73"/>
      <c r="B41" s="174"/>
      <c r="C41" s="175"/>
      <c r="D41" s="175"/>
      <c r="E41" s="176"/>
      <c r="F41" s="175"/>
      <c r="G41" s="177" t="str">
        <f aca="false">IF(OR(C41="",D41="",E41="",F41=""),"",IFERROR(((D41*E41+F41)/C41)^(1/5)-1,"n/a"))</f>
        <v/>
      </c>
      <c r="H41" s="178"/>
      <c r="I41" s="175"/>
      <c r="J41" s="176"/>
      <c r="K41" s="175"/>
      <c r="L41" s="177" t="str">
        <f aca="false">IF(OR(C41="",I41="",J41="",K41=""),"",IFERROR(((I41*J41+K41)/C41)^(1/5)-1,"n/a"))</f>
        <v/>
      </c>
      <c r="M41" s="178"/>
      <c r="N41" s="175"/>
      <c r="O41" s="176"/>
      <c r="P41" s="175"/>
      <c r="Q41" s="177" t="str">
        <f aca="false">IF(OR(C41="",N41="",O41="",P41=""),"",IFERROR(((N41*O41+P41)/C41)^(1/5)-1,"n/a"))</f>
        <v/>
      </c>
      <c r="R41" s="178"/>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73"/>
      <c r="B42" s="174"/>
      <c r="C42" s="175"/>
      <c r="D42" s="175"/>
      <c r="E42" s="176"/>
      <c r="F42" s="175"/>
      <c r="G42" s="177" t="str">
        <f aca="false">IF(OR(C42="",D42="",E42="",F42=""),"",IFERROR(((D42*E42+F42)/C42)^(1/5)-1,"n/a"))</f>
        <v/>
      </c>
      <c r="H42" s="178"/>
      <c r="I42" s="175"/>
      <c r="J42" s="176"/>
      <c r="K42" s="175"/>
      <c r="L42" s="177" t="str">
        <f aca="false">IF(OR(C42="",I42="",J42="",K42=""),"",IFERROR(((I42*J42+K42)/C42)^(1/5)-1,"n/a"))</f>
        <v/>
      </c>
      <c r="M42" s="178"/>
      <c r="N42" s="175"/>
      <c r="O42" s="176"/>
      <c r="P42" s="175"/>
      <c r="Q42" s="177" t="str">
        <f aca="false">IF(OR(C42="",N42="",O42="",P42=""),"",IFERROR(((N42*O42+P42)/C42)^(1/5)-1,"n/a"))</f>
        <v/>
      </c>
      <c r="R42" s="178"/>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73"/>
      <c r="B43" s="174"/>
      <c r="C43" s="175"/>
      <c r="D43" s="175"/>
      <c r="E43" s="176"/>
      <c r="F43" s="175"/>
      <c r="G43" s="177" t="str">
        <f aca="false">IF(OR(C43="",D43="",E43="",F43=""),"",IFERROR(((D43*E43+F43)/C43)^(1/5)-1,"n/a"))</f>
        <v/>
      </c>
      <c r="H43" s="178"/>
      <c r="I43" s="175"/>
      <c r="J43" s="176"/>
      <c r="K43" s="175"/>
      <c r="L43" s="177" t="str">
        <f aca="false">IF(OR(C43="",I43="",J43="",K43=""),"",IFERROR(((I43*J43+K43)/C43)^(1/5)-1,"n/a"))</f>
        <v/>
      </c>
      <c r="M43" s="178"/>
      <c r="N43" s="175"/>
      <c r="O43" s="176"/>
      <c r="P43" s="175"/>
      <c r="Q43" s="177" t="str">
        <f aca="false">IF(OR(C43="",N43="",O43="",P43=""),"",IFERROR(((N43*O43+P43)/C43)^(1/5)-1,"n/a"))</f>
        <v/>
      </c>
      <c r="R43" s="178"/>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73"/>
      <c r="B44" s="174"/>
      <c r="C44" s="175"/>
      <c r="D44" s="175"/>
      <c r="E44" s="176"/>
      <c r="F44" s="175"/>
      <c r="G44" s="177" t="str">
        <f aca="false">IF(OR(C44="",D44="",E44="",F44=""),"",IFERROR(((D44*E44+F44)/C44)^(1/5)-1,"n/a"))</f>
        <v/>
      </c>
      <c r="H44" s="178"/>
      <c r="I44" s="175"/>
      <c r="J44" s="176"/>
      <c r="K44" s="175"/>
      <c r="L44" s="177" t="str">
        <f aca="false">IF(OR(C44="",I44="",J44="",K44=""),"",IFERROR(((I44*J44+K44)/C44)^(1/5)-1,"n/a"))</f>
        <v/>
      </c>
      <c r="M44" s="178"/>
      <c r="N44" s="175"/>
      <c r="O44" s="176"/>
      <c r="P44" s="175"/>
      <c r="Q44" s="177" t="str">
        <f aca="false">IF(OR(C44="",N44="",O44="",P44=""),"",IFERROR(((N44*O44+P44)/C44)^(1/5)-1,"n/a"))</f>
        <v/>
      </c>
      <c r="R44" s="178"/>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73"/>
      <c r="B45" s="174"/>
      <c r="C45" s="175"/>
      <c r="D45" s="175"/>
      <c r="E45" s="176"/>
      <c r="F45" s="175"/>
      <c r="G45" s="177" t="str">
        <f aca="false">IF(OR(C45="",D45="",E45="",F45=""),"",IFERROR(((D45*E45+F45)/C45)^(1/5)-1,"n/a"))</f>
        <v/>
      </c>
      <c r="H45" s="178"/>
      <c r="I45" s="175"/>
      <c r="J45" s="176"/>
      <c r="K45" s="175"/>
      <c r="L45" s="177" t="str">
        <f aca="false">IF(OR(C45="",I45="",J45="",K45=""),"",IFERROR(((I45*J45+K45)/C45)^(1/5)-1,"n/a"))</f>
        <v/>
      </c>
      <c r="M45" s="178"/>
      <c r="N45" s="175"/>
      <c r="O45" s="176"/>
      <c r="P45" s="175"/>
      <c r="Q45" s="177" t="str">
        <f aca="false">IF(OR(C45="",N45="",O45="",P45=""),"",IFERROR(((N45*O45+P45)/C45)^(1/5)-1,"n/a"))</f>
        <v/>
      </c>
      <c r="R45" s="178"/>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73"/>
      <c r="B46" s="174"/>
      <c r="C46" s="175"/>
      <c r="D46" s="175"/>
      <c r="E46" s="176"/>
      <c r="F46" s="175"/>
      <c r="G46" s="177" t="str">
        <f aca="false">IF(OR(C46="",D46="",E46="",F46=""),"",IFERROR(((D46*E46+F46)/C46)^(1/5)-1,"n/a"))</f>
        <v/>
      </c>
      <c r="H46" s="178"/>
      <c r="I46" s="175"/>
      <c r="J46" s="176"/>
      <c r="K46" s="175"/>
      <c r="L46" s="177" t="str">
        <f aca="false">IF(OR(C46="",I46="",J46="",K46=""),"",IFERROR(((I46*J46+K46)/C46)^(1/5)-1,"n/a"))</f>
        <v/>
      </c>
      <c r="M46" s="178"/>
      <c r="N46" s="175"/>
      <c r="O46" s="176"/>
      <c r="P46" s="175"/>
      <c r="Q46" s="177" t="str">
        <f aca="false">IF(OR(C46="",N46="",O46="",P46=""),"",IFERROR(((N46*O46+P46)/C46)^(1/5)-1,"n/a"))</f>
        <v/>
      </c>
      <c r="R46" s="178"/>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73"/>
      <c r="B47" s="174"/>
      <c r="C47" s="175"/>
      <c r="D47" s="175"/>
      <c r="E47" s="176"/>
      <c r="F47" s="175"/>
      <c r="G47" s="177" t="str">
        <f aca="false">IF(OR(C47="",D47="",E47="",F47=""),"",IFERROR(((D47*E47+F47)/C47)^(1/5)-1,"n/a"))</f>
        <v/>
      </c>
      <c r="H47" s="178"/>
      <c r="I47" s="175"/>
      <c r="J47" s="176"/>
      <c r="K47" s="175"/>
      <c r="L47" s="177" t="str">
        <f aca="false">IF(OR(C47="",I47="",J47="",K47=""),"",IFERROR(((I47*J47+K47)/C47)^(1/5)-1,"n/a"))</f>
        <v/>
      </c>
      <c r="M47" s="178"/>
      <c r="N47" s="175"/>
      <c r="O47" s="176"/>
      <c r="P47" s="175"/>
      <c r="Q47" s="177" t="str">
        <f aca="false">IF(OR(C47="",N47="",O47="",P47=""),"",IFERROR(((N47*O47+P47)/C47)^(1/5)-1,"n/a"))</f>
        <v/>
      </c>
      <c r="R47" s="178"/>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73"/>
      <c r="B48" s="174"/>
      <c r="C48" s="175"/>
      <c r="D48" s="175"/>
      <c r="E48" s="176"/>
      <c r="F48" s="175"/>
      <c r="G48" s="177" t="str">
        <f aca="false">IF(OR(C48="",D48="",E48="",F48=""),"",IFERROR(((D48*E48+F48)/C48)^(1/5)-1,"n/a"))</f>
        <v/>
      </c>
      <c r="H48" s="178"/>
      <c r="I48" s="175"/>
      <c r="J48" s="176"/>
      <c r="K48" s="175"/>
      <c r="L48" s="177" t="str">
        <f aca="false">IF(OR(C48="",I48="",J48="",K48=""),"",IFERROR(((I48*J48+K48)/C48)^(1/5)-1,"n/a"))</f>
        <v/>
      </c>
      <c r="M48" s="178"/>
      <c r="N48" s="175"/>
      <c r="O48" s="176"/>
      <c r="P48" s="175"/>
      <c r="Q48" s="177" t="str">
        <f aca="false">IF(OR(C48="",N48="",O48="",P48=""),"",IFERROR(((N48*O48+P48)/C48)^(1/5)-1,"n/a"))</f>
        <v/>
      </c>
      <c r="R48" s="178"/>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73"/>
      <c r="B49" s="174"/>
      <c r="C49" s="175"/>
      <c r="D49" s="175"/>
      <c r="E49" s="176"/>
      <c r="F49" s="175"/>
      <c r="G49" s="177" t="str">
        <f aca="false">IF(OR(C49="",D49="",E49="",F49=""),"",IFERROR(((D49*E49+F49)/C49)^(1/5)-1,"n/a"))</f>
        <v/>
      </c>
      <c r="H49" s="178"/>
      <c r="I49" s="175"/>
      <c r="J49" s="176"/>
      <c r="K49" s="175"/>
      <c r="L49" s="177" t="str">
        <f aca="false">IF(OR(C49="",I49="",J49="",K49=""),"",IFERROR(((I49*J49+K49)/C49)^(1/5)-1,"n/a"))</f>
        <v/>
      </c>
      <c r="M49" s="178"/>
      <c r="N49" s="175"/>
      <c r="O49" s="176"/>
      <c r="P49" s="175"/>
      <c r="Q49" s="177" t="str">
        <f aca="false">IF(OR(C49="",N49="",O49="",P49=""),"",IFERROR(((N49*O49+P49)/C49)^(1/5)-1,"n/a"))</f>
        <v/>
      </c>
      <c r="R49" s="178"/>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73"/>
      <c r="B50" s="174"/>
      <c r="C50" s="175"/>
      <c r="D50" s="175"/>
      <c r="E50" s="176"/>
      <c r="F50" s="175"/>
      <c r="G50" s="177" t="str">
        <f aca="false">IF(OR(C50="",D50="",E50="",F50=""),"",IFERROR(((D50*E50+F50)/C50)^(1/5)-1,"n/a"))</f>
        <v/>
      </c>
      <c r="H50" s="178"/>
      <c r="I50" s="175"/>
      <c r="J50" s="176"/>
      <c r="K50" s="175"/>
      <c r="L50" s="177" t="str">
        <f aca="false">IF(OR(C50="",I50="",J50="",K50=""),"",IFERROR(((I50*J50+K50)/C50)^(1/5)-1,"n/a"))</f>
        <v/>
      </c>
      <c r="M50" s="178"/>
      <c r="N50" s="175"/>
      <c r="O50" s="176"/>
      <c r="P50" s="175"/>
      <c r="Q50" s="177" t="str">
        <f aca="false">IF(OR(C50="",N50="",O50="",P50=""),"",IFERROR(((N50*O50+P50)/C50)^(1/5)-1,"n/a"))</f>
        <v/>
      </c>
      <c r="R50" s="178"/>
      <c r="S50" s="1" t="str">
        <f aca="false">IF(G50="","",IF(G50&gt;0.1,"PASS","FAIL"))</f>
        <v/>
      </c>
      <c r="T50" s="1" t="str">
        <f aca="false">IF(L50="","",IF(L50&gt;=0,"PASS","FAIL"))</f>
        <v/>
      </c>
      <c r="U50" s="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79" t="s">
        <v>501</v>
      </c>
      <c r="B1" s="179"/>
      <c r="C1" s="179"/>
      <c r="D1" s="179"/>
      <c r="E1" s="179"/>
      <c r="F1" s="179"/>
      <c r="G1" s="179"/>
      <c r="H1" s="179"/>
      <c r="I1" s="179"/>
      <c r="J1" s="179"/>
      <c r="K1" s="179"/>
      <c r="L1" s="179"/>
      <c r="M1" s="179"/>
      <c r="N1" s="179"/>
      <c r="O1" s="179"/>
      <c r="P1" s="179"/>
      <c r="Q1" s="179"/>
      <c r="R1" s="179"/>
      <c r="S1" s="179"/>
      <c r="T1" s="179"/>
      <c r="U1" s="180"/>
      <c r="V1" s="180"/>
    </row>
    <row r="2" customFormat="false" ht="25.5" hidden="false" customHeight="true" outlineLevel="0" collapsed="false">
      <c r="E2" s="106" t="s">
        <v>502</v>
      </c>
      <c r="F2" s="106"/>
      <c r="G2" s="106"/>
      <c r="H2" s="106"/>
      <c r="I2" s="106"/>
      <c r="J2" s="106"/>
      <c r="K2" s="106"/>
      <c r="L2" s="106"/>
      <c r="M2" s="106"/>
      <c r="N2" s="106"/>
      <c r="O2" s="106"/>
      <c r="P2" s="106"/>
      <c r="Q2" s="106"/>
      <c r="R2" s="106"/>
      <c r="S2" s="106"/>
      <c r="T2" s="181" t="s">
        <v>503</v>
      </c>
      <c r="U2" s="181"/>
      <c r="V2" s="181"/>
      <c r="W2" s="181"/>
      <c r="X2" s="181"/>
      <c r="Y2" s="181"/>
      <c r="Z2" s="181"/>
    </row>
    <row r="3" customFormat="false" ht="54" hidden="false" customHeight="true" outlineLevel="0" collapsed="false">
      <c r="A3" s="108" t="s">
        <v>81</v>
      </c>
      <c r="B3" s="108" t="s">
        <v>280</v>
      </c>
      <c r="C3" s="108" t="s">
        <v>504</v>
      </c>
      <c r="D3" s="108" t="s">
        <v>505</v>
      </c>
      <c r="E3" s="108" t="s">
        <v>506</v>
      </c>
      <c r="F3" s="108" t="s">
        <v>507</v>
      </c>
      <c r="G3" s="108" t="s">
        <v>508</v>
      </c>
      <c r="H3" s="108" t="s">
        <v>509</v>
      </c>
      <c r="I3" s="108" t="s">
        <v>510</v>
      </c>
      <c r="J3" s="108" t="s">
        <v>508</v>
      </c>
      <c r="K3" s="108" t="s">
        <v>511</v>
      </c>
      <c r="L3" s="108" t="s">
        <v>512</v>
      </c>
      <c r="M3" s="108" t="s">
        <v>508</v>
      </c>
      <c r="N3" s="108" t="s">
        <v>513</v>
      </c>
      <c r="O3" s="108" t="s">
        <v>514</v>
      </c>
      <c r="P3" s="108" t="s">
        <v>508</v>
      </c>
      <c r="Q3" s="108" t="s">
        <v>515</v>
      </c>
      <c r="R3" s="108" t="s">
        <v>516</v>
      </c>
      <c r="S3" s="108" t="s">
        <v>508</v>
      </c>
      <c r="T3" s="108" t="s">
        <v>517</v>
      </c>
      <c r="U3" s="108" t="s">
        <v>518</v>
      </c>
      <c r="V3" s="108" t="s">
        <v>519</v>
      </c>
      <c r="W3" s="108" t="s">
        <v>520</v>
      </c>
      <c r="X3" s="108" t="s">
        <v>521</v>
      </c>
      <c r="Y3" s="108" t="s">
        <v>522</v>
      </c>
      <c r="Z3" s="108" t="s">
        <v>523</v>
      </c>
      <c r="AA3" s="108" t="s">
        <v>524</v>
      </c>
      <c r="AB3" s="108" t="s">
        <v>479</v>
      </c>
    </row>
    <row r="4" customFormat="false" ht="15" hidden="false" customHeight="true" outlineLevel="0" collapsed="false">
      <c r="A4" s="182"/>
      <c r="B4" s="117"/>
      <c r="C4" s="183"/>
      <c r="D4" s="183"/>
      <c r="E4" s="117"/>
      <c r="F4" s="117"/>
      <c r="G4" s="184" t="str">
        <f aca="false">IF(OR(E4="",F4=""),"",IF(AND(E4&lt;=2,F4&lt;=2),"TRIGGER","OK"))</f>
        <v/>
      </c>
      <c r="H4" s="117"/>
      <c r="I4" s="117"/>
      <c r="J4" s="184" t="str">
        <f aca="false">IF(OR(H4="",I4=""),"",IF(AND(H4&lt;=2,I4&lt;=2),"TRIGGER","OK"))</f>
        <v/>
      </c>
      <c r="K4" s="117"/>
      <c r="L4" s="117"/>
      <c r="M4" s="184" t="str">
        <f aca="false">IF(OR(K4="",L4=""),"",IF(AND(K4&lt;=2,L4&lt;=2),"TRIGGER","OK"))</f>
        <v/>
      </c>
      <c r="N4" s="117"/>
      <c r="O4" s="117"/>
      <c r="P4" s="184" t="str">
        <f aca="false">IF(OR(N4="",O4=""),"",IF(AND(N4&lt;=2,O4&lt;=2),"TRIGGER","OK"))</f>
        <v/>
      </c>
      <c r="Q4" s="117"/>
      <c r="R4" s="117"/>
      <c r="S4" s="184" t="str">
        <f aca="false">IF(OR(Q4="",R4=""),"",IF(AND(Q4&lt;=2,R4&lt;=2),"TRIGGER","OK"))</f>
        <v/>
      </c>
      <c r="T4" s="185"/>
      <c r="U4" s="185"/>
      <c r="V4" s="183"/>
      <c r="W4" s="183"/>
      <c r="X4" s="117"/>
      <c r="Y4" s="117"/>
      <c r="Z4" s="184"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7"/>
      <c r="AB4" s="122"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82"/>
      <c r="B5" s="117"/>
      <c r="C5" s="183"/>
      <c r="D5" s="183"/>
      <c r="E5" s="117"/>
      <c r="F5" s="117"/>
      <c r="G5" s="184" t="str">
        <f aca="false">IF(OR(E5="",F5=""),"",IF(AND(E5&lt;=2,F5&lt;=2),"TRIGGER","OK"))</f>
        <v/>
      </c>
      <c r="H5" s="117"/>
      <c r="I5" s="117"/>
      <c r="J5" s="184" t="str">
        <f aca="false">IF(OR(H5="",I5=""),"",IF(AND(H5&lt;=2,I5&lt;=2),"TRIGGER","OK"))</f>
        <v/>
      </c>
      <c r="K5" s="117"/>
      <c r="L5" s="117"/>
      <c r="M5" s="184" t="str">
        <f aca="false">IF(OR(K5="",L5=""),"",IF(AND(K5&lt;=2,L5&lt;=2),"TRIGGER","OK"))</f>
        <v/>
      </c>
      <c r="N5" s="117"/>
      <c r="O5" s="117"/>
      <c r="P5" s="184" t="str">
        <f aca="false">IF(OR(N5="",O5=""),"",IF(AND(N5&lt;=2,O5&lt;=2),"TRIGGER","OK"))</f>
        <v/>
      </c>
      <c r="Q5" s="117"/>
      <c r="R5" s="117"/>
      <c r="S5" s="184" t="str">
        <f aca="false">IF(OR(Q5="",R5=""),"",IF(AND(Q5&lt;=2,R5&lt;=2),"TRIGGER","OK"))</f>
        <v/>
      </c>
      <c r="T5" s="185"/>
      <c r="U5" s="185"/>
      <c r="V5" s="183"/>
      <c r="W5" s="183"/>
      <c r="X5" s="117"/>
      <c r="Y5" s="117"/>
      <c r="Z5" s="184"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7"/>
      <c r="AB5" s="122"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82"/>
      <c r="B6" s="117"/>
      <c r="C6" s="183"/>
      <c r="D6" s="183"/>
      <c r="E6" s="117"/>
      <c r="F6" s="117"/>
      <c r="G6" s="184" t="str">
        <f aca="false">IF(OR(E6="",F6=""),"",IF(AND(E6&lt;=2,F6&lt;=2),"TRIGGER","OK"))</f>
        <v/>
      </c>
      <c r="H6" s="117"/>
      <c r="I6" s="117"/>
      <c r="J6" s="184" t="str">
        <f aca="false">IF(OR(H6="",I6=""),"",IF(AND(H6&lt;=2,I6&lt;=2),"TRIGGER","OK"))</f>
        <v/>
      </c>
      <c r="K6" s="117"/>
      <c r="L6" s="117"/>
      <c r="M6" s="184" t="str">
        <f aca="false">IF(OR(K6="",L6=""),"",IF(AND(K6&lt;=2,L6&lt;=2),"TRIGGER","OK"))</f>
        <v/>
      </c>
      <c r="N6" s="117"/>
      <c r="O6" s="117"/>
      <c r="P6" s="184" t="str">
        <f aca="false">IF(OR(N6="",O6=""),"",IF(AND(N6&lt;=2,O6&lt;=2),"TRIGGER","OK"))</f>
        <v/>
      </c>
      <c r="Q6" s="117"/>
      <c r="R6" s="117"/>
      <c r="S6" s="184" t="str">
        <f aca="false">IF(OR(Q6="",R6=""),"",IF(AND(Q6&lt;=2,R6&lt;=2),"TRIGGER","OK"))</f>
        <v/>
      </c>
      <c r="T6" s="185"/>
      <c r="U6" s="185"/>
      <c r="V6" s="183"/>
      <c r="W6" s="183"/>
      <c r="X6" s="117"/>
      <c r="Y6" s="117"/>
      <c r="Z6" s="184"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7"/>
      <c r="AB6" s="122"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82"/>
      <c r="B7" s="117"/>
      <c r="C7" s="183"/>
      <c r="D7" s="183"/>
      <c r="E7" s="117"/>
      <c r="F7" s="117"/>
      <c r="G7" s="184" t="str">
        <f aca="false">IF(OR(E7="",F7=""),"",IF(AND(E7&lt;=2,F7&lt;=2),"TRIGGER","OK"))</f>
        <v/>
      </c>
      <c r="H7" s="117"/>
      <c r="I7" s="117"/>
      <c r="J7" s="184" t="str">
        <f aca="false">IF(OR(H7="",I7=""),"",IF(AND(H7&lt;=2,I7&lt;=2),"TRIGGER","OK"))</f>
        <v/>
      </c>
      <c r="K7" s="117"/>
      <c r="L7" s="117"/>
      <c r="M7" s="184" t="str">
        <f aca="false">IF(OR(K7="",L7=""),"",IF(AND(K7&lt;=2,L7&lt;=2),"TRIGGER","OK"))</f>
        <v/>
      </c>
      <c r="N7" s="117"/>
      <c r="O7" s="117"/>
      <c r="P7" s="184" t="str">
        <f aca="false">IF(OR(N7="",O7=""),"",IF(AND(N7&lt;=2,O7&lt;=2),"TRIGGER","OK"))</f>
        <v/>
      </c>
      <c r="Q7" s="117"/>
      <c r="R7" s="117"/>
      <c r="S7" s="184" t="str">
        <f aca="false">IF(OR(Q7="",R7=""),"",IF(AND(Q7&lt;=2,R7&lt;=2),"TRIGGER","OK"))</f>
        <v/>
      </c>
      <c r="T7" s="185"/>
      <c r="U7" s="185"/>
      <c r="V7" s="183"/>
      <c r="W7" s="183"/>
      <c r="X7" s="117"/>
      <c r="Y7" s="117"/>
      <c r="Z7" s="184"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7"/>
      <c r="AB7" s="122"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82"/>
      <c r="B8" s="117"/>
      <c r="C8" s="183"/>
      <c r="D8" s="183"/>
      <c r="E8" s="117"/>
      <c r="F8" s="117"/>
      <c r="G8" s="184" t="str">
        <f aca="false">IF(OR(E8="",F8=""),"",IF(AND(E8&lt;=2,F8&lt;=2),"TRIGGER","OK"))</f>
        <v/>
      </c>
      <c r="H8" s="117"/>
      <c r="I8" s="117"/>
      <c r="J8" s="184" t="str">
        <f aca="false">IF(OR(H8="",I8=""),"",IF(AND(H8&lt;=2,I8&lt;=2),"TRIGGER","OK"))</f>
        <v/>
      </c>
      <c r="K8" s="117"/>
      <c r="L8" s="117"/>
      <c r="M8" s="184" t="str">
        <f aca="false">IF(OR(K8="",L8=""),"",IF(AND(K8&lt;=2,L8&lt;=2),"TRIGGER","OK"))</f>
        <v/>
      </c>
      <c r="N8" s="117"/>
      <c r="O8" s="117"/>
      <c r="P8" s="184" t="str">
        <f aca="false">IF(OR(N8="",O8=""),"",IF(AND(N8&lt;=2,O8&lt;=2),"TRIGGER","OK"))</f>
        <v/>
      </c>
      <c r="Q8" s="117"/>
      <c r="R8" s="117"/>
      <c r="S8" s="184" t="str">
        <f aca="false">IF(OR(Q8="",R8=""),"",IF(AND(Q8&lt;=2,R8&lt;=2),"TRIGGER","OK"))</f>
        <v/>
      </c>
      <c r="T8" s="185"/>
      <c r="U8" s="185"/>
      <c r="V8" s="183"/>
      <c r="W8" s="183"/>
      <c r="X8" s="117"/>
      <c r="Y8" s="117"/>
      <c r="Z8" s="184"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7"/>
      <c r="AB8" s="122"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82"/>
      <c r="B9" s="117"/>
      <c r="C9" s="183"/>
      <c r="D9" s="183"/>
      <c r="E9" s="117"/>
      <c r="F9" s="117"/>
      <c r="G9" s="184" t="str">
        <f aca="false">IF(OR(E9="",F9=""),"",IF(AND(E9&lt;=2,F9&lt;=2),"TRIGGER","OK"))</f>
        <v/>
      </c>
      <c r="H9" s="117"/>
      <c r="I9" s="117"/>
      <c r="J9" s="184" t="str">
        <f aca="false">IF(OR(H9="",I9=""),"",IF(AND(H9&lt;=2,I9&lt;=2),"TRIGGER","OK"))</f>
        <v/>
      </c>
      <c r="K9" s="117"/>
      <c r="L9" s="117"/>
      <c r="M9" s="184" t="str">
        <f aca="false">IF(OR(K9="",L9=""),"",IF(AND(K9&lt;=2,L9&lt;=2),"TRIGGER","OK"))</f>
        <v/>
      </c>
      <c r="N9" s="117"/>
      <c r="O9" s="117"/>
      <c r="P9" s="184" t="str">
        <f aca="false">IF(OR(N9="",O9=""),"",IF(AND(N9&lt;=2,O9&lt;=2),"TRIGGER","OK"))</f>
        <v/>
      </c>
      <c r="Q9" s="117"/>
      <c r="R9" s="117"/>
      <c r="S9" s="184" t="str">
        <f aca="false">IF(OR(Q9="",R9=""),"",IF(AND(Q9&lt;=2,R9&lt;=2),"TRIGGER","OK"))</f>
        <v/>
      </c>
      <c r="T9" s="185"/>
      <c r="U9" s="185"/>
      <c r="V9" s="183"/>
      <c r="W9" s="183"/>
      <c r="X9" s="117"/>
      <c r="Y9" s="117"/>
      <c r="Z9" s="184"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7"/>
      <c r="AB9" s="122"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82"/>
      <c r="B10" s="117"/>
      <c r="C10" s="183"/>
      <c r="D10" s="183"/>
      <c r="E10" s="117"/>
      <c r="F10" s="117"/>
      <c r="G10" s="184" t="str">
        <f aca="false">IF(OR(E10="",F10=""),"",IF(AND(E10&lt;=2,F10&lt;=2),"TRIGGER","OK"))</f>
        <v/>
      </c>
      <c r="H10" s="117"/>
      <c r="I10" s="117"/>
      <c r="J10" s="184" t="str">
        <f aca="false">IF(OR(H10="",I10=""),"",IF(AND(H10&lt;=2,I10&lt;=2),"TRIGGER","OK"))</f>
        <v/>
      </c>
      <c r="K10" s="117"/>
      <c r="L10" s="117"/>
      <c r="M10" s="184" t="str">
        <f aca="false">IF(OR(K10="",L10=""),"",IF(AND(K10&lt;=2,L10&lt;=2),"TRIGGER","OK"))</f>
        <v/>
      </c>
      <c r="N10" s="117"/>
      <c r="O10" s="117"/>
      <c r="P10" s="184" t="str">
        <f aca="false">IF(OR(N10="",O10=""),"",IF(AND(N10&lt;=2,O10&lt;=2),"TRIGGER","OK"))</f>
        <v/>
      </c>
      <c r="Q10" s="117"/>
      <c r="R10" s="117"/>
      <c r="S10" s="184" t="str">
        <f aca="false">IF(OR(Q10="",R10=""),"",IF(AND(Q10&lt;=2,R10&lt;=2),"TRIGGER","OK"))</f>
        <v/>
      </c>
      <c r="T10" s="185"/>
      <c r="U10" s="185"/>
      <c r="V10" s="183"/>
      <c r="W10" s="183"/>
      <c r="X10" s="117"/>
      <c r="Y10" s="117"/>
      <c r="Z10" s="184"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7"/>
      <c r="AB10" s="122"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82"/>
      <c r="B11" s="117"/>
      <c r="C11" s="183"/>
      <c r="D11" s="183"/>
      <c r="E11" s="117"/>
      <c r="F11" s="117"/>
      <c r="G11" s="184" t="str">
        <f aca="false">IF(OR(E11="",F11=""),"",IF(AND(E11&lt;=2,F11&lt;=2),"TRIGGER","OK"))</f>
        <v/>
      </c>
      <c r="H11" s="117"/>
      <c r="I11" s="117"/>
      <c r="J11" s="184" t="str">
        <f aca="false">IF(OR(H11="",I11=""),"",IF(AND(H11&lt;=2,I11&lt;=2),"TRIGGER","OK"))</f>
        <v/>
      </c>
      <c r="K11" s="117"/>
      <c r="L11" s="117"/>
      <c r="M11" s="184" t="str">
        <f aca="false">IF(OR(K11="",L11=""),"",IF(AND(K11&lt;=2,L11&lt;=2),"TRIGGER","OK"))</f>
        <v/>
      </c>
      <c r="N11" s="117"/>
      <c r="O11" s="117"/>
      <c r="P11" s="184" t="str">
        <f aca="false">IF(OR(N11="",O11=""),"",IF(AND(N11&lt;=2,O11&lt;=2),"TRIGGER","OK"))</f>
        <v/>
      </c>
      <c r="Q11" s="117"/>
      <c r="R11" s="117"/>
      <c r="S11" s="184" t="str">
        <f aca="false">IF(OR(Q11="",R11=""),"",IF(AND(Q11&lt;=2,R11&lt;=2),"TRIGGER","OK"))</f>
        <v/>
      </c>
      <c r="T11" s="185"/>
      <c r="U11" s="185"/>
      <c r="V11" s="183"/>
      <c r="W11" s="183"/>
      <c r="X11" s="117"/>
      <c r="Y11" s="117"/>
      <c r="Z11" s="184"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7"/>
      <c r="AB11" s="122"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82"/>
      <c r="B12" s="117"/>
      <c r="C12" s="183"/>
      <c r="D12" s="183"/>
      <c r="E12" s="117"/>
      <c r="F12" s="117"/>
      <c r="G12" s="184" t="str">
        <f aca="false">IF(OR(E12="",F12=""),"",IF(AND(E12&lt;=2,F12&lt;=2),"TRIGGER","OK"))</f>
        <v/>
      </c>
      <c r="H12" s="117"/>
      <c r="I12" s="117"/>
      <c r="J12" s="184" t="str">
        <f aca="false">IF(OR(H12="",I12=""),"",IF(AND(H12&lt;=2,I12&lt;=2),"TRIGGER","OK"))</f>
        <v/>
      </c>
      <c r="K12" s="117"/>
      <c r="L12" s="117"/>
      <c r="M12" s="184" t="str">
        <f aca="false">IF(OR(K12="",L12=""),"",IF(AND(K12&lt;=2,L12&lt;=2),"TRIGGER","OK"))</f>
        <v/>
      </c>
      <c r="N12" s="117"/>
      <c r="O12" s="117"/>
      <c r="P12" s="184" t="str">
        <f aca="false">IF(OR(N12="",O12=""),"",IF(AND(N12&lt;=2,O12&lt;=2),"TRIGGER","OK"))</f>
        <v/>
      </c>
      <c r="Q12" s="117"/>
      <c r="R12" s="117"/>
      <c r="S12" s="184" t="str">
        <f aca="false">IF(OR(Q12="",R12=""),"",IF(AND(Q12&lt;=2,R12&lt;=2),"TRIGGER","OK"))</f>
        <v/>
      </c>
      <c r="T12" s="185"/>
      <c r="U12" s="185"/>
      <c r="V12" s="183"/>
      <c r="W12" s="183"/>
      <c r="X12" s="117"/>
      <c r="Y12" s="117"/>
      <c r="Z12" s="184"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7"/>
      <c r="AB12" s="122"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82"/>
      <c r="B13" s="117"/>
      <c r="C13" s="183"/>
      <c r="D13" s="183"/>
      <c r="E13" s="117"/>
      <c r="F13" s="117"/>
      <c r="G13" s="184" t="str">
        <f aca="false">IF(OR(E13="",F13=""),"",IF(AND(E13&lt;=2,F13&lt;=2),"TRIGGER","OK"))</f>
        <v/>
      </c>
      <c r="H13" s="117"/>
      <c r="I13" s="117"/>
      <c r="J13" s="184" t="str">
        <f aca="false">IF(OR(H13="",I13=""),"",IF(AND(H13&lt;=2,I13&lt;=2),"TRIGGER","OK"))</f>
        <v/>
      </c>
      <c r="K13" s="117"/>
      <c r="L13" s="117"/>
      <c r="M13" s="184" t="str">
        <f aca="false">IF(OR(K13="",L13=""),"",IF(AND(K13&lt;=2,L13&lt;=2),"TRIGGER","OK"))</f>
        <v/>
      </c>
      <c r="N13" s="117"/>
      <c r="O13" s="117"/>
      <c r="P13" s="184" t="str">
        <f aca="false">IF(OR(N13="",O13=""),"",IF(AND(N13&lt;=2,O13&lt;=2),"TRIGGER","OK"))</f>
        <v/>
      </c>
      <c r="Q13" s="117"/>
      <c r="R13" s="117"/>
      <c r="S13" s="184" t="str">
        <f aca="false">IF(OR(Q13="",R13=""),"",IF(AND(Q13&lt;=2,R13&lt;=2),"TRIGGER","OK"))</f>
        <v/>
      </c>
      <c r="T13" s="185"/>
      <c r="U13" s="185"/>
      <c r="V13" s="183"/>
      <c r="W13" s="183"/>
      <c r="X13" s="117"/>
      <c r="Y13" s="117"/>
      <c r="Z13" s="184"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7"/>
      <c r="AB13" s="122"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82"/>
      <c r="B14" s="117"/>
      <c r="C14" s="183"/>
      <c r="D14" s="183"/>
      <c r="E14" s="117"/>
      <c r="F14" s="117"/>
      <c r="G14" s="184" t="str">
        <f aca="false">IF(OR(E14="",F14=""),"",IF(AND(E14&lt;=2,F14&lt;=2),"TRIGGER","OK"))</f>
        <v/>
      </c>
      <c r="H14" s="117"/>
      <c r="I14" s="117"/>
      <c r="J14" s="184" t="str">
        <f aca="false">IF(OR(H14="",I14=""),"",IF(AND(H14&lt;=2,I14&lt;=2),"TRIGGER","OK"))</f>
        <v/>
      </c>
      <c r="K14" s="117"/>
      <c r="L14" s="117"/>
      <c r="M14" s="184" t="str">
        <f aca="false">IF(OR(K14="",L14=""),"",IF(AND(K14&lt;=2,L14&lt;=2),"TRIGGER","OK"))</f>
        <v/>
      </c>
      <c r="N14" s="117"/>
      <c r="O14" s="117"/>
      <c r="P14" s="184" t="str">
        <f aca="false">IF(OR(N14="",O14=""),"",IF(AND(N14&lt;=2,O14&lt;=2),"TRIGGER","OK"))</f>
        <v/>
      </c>
      <c r="Q14" s="117"/>
      <c r="R14" s="117"/>
      <c r="S14" s="184" t="str">
        <f aca="false">IF(OR(Q14="",R14=""),"",IF(AND(Q14&lt;=2,R14&lt;=2),"TRIGGER","OK"))</f>
        <v/>
      </c>
      <c r="T14" s="185"/>
      <c r="U14" s="185"/>
      <c r="V14" s="183"/>
      <c r="W14" s="183"/>
      <c r="X14" s="117"/>
      <c r="Y14" s="117"/>
      <c r="Z14" s="184"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7"/>
      <c r="AB14" s="122"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82"/>
      <c r="B15" s="117"/>
      <c r="C15" s="183"/>
      <c r="D15" s="183"/>
      <c r="E15" s="117"/>
      <c r="F15" s="117"/>
      <c r="G15" s="184" t="str">
        <f aca="false">IF(OR(E15="",F15=""),"",IF(AND(E15&lt;=2,F15&lt;=2),"TRIGGER","OK"))</f>
        <v/>
      </c>
      <c r="H15" s="117"/>
      <c r="I15" s="117"/>
      <c r="J15" s="184" t="str">
        <f aca="false">IF(OR(H15="",I15=""),"",IF(AND(H15&lt;=2,I15&lt;=2),"TRIGGER","OK"))</f>
        <v/>
      </c>
      <c r="K15" s="117"/>
      <c r="L15" s="117"/>
      <c r="M15" s="184" t="str">
        <f aca="false">IF(OR(K15="",L15=""),"",IF(AND(K15&lt;=2,L15&lt;=2),"TRIGGER","OK"))</f>
        <v/>
      </c>
      <c r="N15" s="117"/>
      <c r="O15" s="117"/>
      <c r="P15" s="184" t="str">
        <f aca="false">IF(OR(N15="",O15=""),"",IF(AND(N15&lt;=2,O15&lt;=2),"TRIGGER","OK"))</f>
        <v/>
      </c>
      <c r="Q15" s="117"/>
      <c r="R15" s="117"/>
      <c r="S15" s="184" t="str">
        <f aca="false">IF(OR(Q15="",R15=""),"",IF(AND(Q15&lt;=2,R15&lt;=2),"TRIGGER","OK"))</f>
        <v/>
      </c>
      <c r="T15" s="185"/>
      <c r="U15" s="185"/>
      <c r="V15" s="183"/>
      <c r="W15" s="183"/>
      <c r="X15" s="117"/>
      <c r="Y15" s="117"/>
      <c r="Z15" s="184"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7"/>
      <c r="AB15" s="122"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82"/>
      <c r="B16" s="117"/>
      <c r="C16" s="183"/>
      <c r="D16" s="183"/>
      <c r="E16" s="117"/>
      <c r="F16" s="117"/>
      <c r="G16" s="184" t="str">
        <f aca="false">IF(OR(E16="",F16=""),"",IF(AND(E16&lt;=2,F16&lt;=2),"TRIGGER","OK"))</f>
        <v/>
      </c>
      <c r="H16" s="117"/>
      <c r="I16" s="117"/>
      <c r="J16" s="184" t="str">
        <f aca="false">IF(OR(H16="",I16=""),"",IF(AND(H16&lt;=2,I16&lt;=2),"TRIGGER","OK"))</f>
        <v/>
      </c>
      <c r="K16" s="117"/>
      <c r="L16" s="117"/>
      <c r="M16" s="184" t="str">
        <f aca="false">IF(OR(K16="",L16=""),"",IF(AND(K16&lt;=2,L16&lt;=2),"TRIGGER","OK"))</f>
        <v/>
      </c>
      <c r="N16" s="117"/>
      <c r="O16" s="117"/>
      <c r="P16" s="184" t="str">
        <f aca="false">IF(OR(N16="",O16=""),"",IF(AND(N16&lt;=2,O16&lt;=2),"TRIGGER","OK"))</f>
        <v/>
      </c>
      <c r="Q16" s="117"/>
      <c r="R16" s="117"/>
      <c r="S16" s="184" t="str">
        <f aca="false">IF(OR(Q16="",R16=""),"",IF(AND(Q16&lt;=2,R16&lt;=2),"TRIGGER","OK"))</f>
        <v/>
      </c>
      <c r="T16" s="185"/>
      <c r="U16" s="185"/>
      <c r="V16" s="183"/>
      <c r="W16" s="183"/>
      <c r="X16" s="117"/>
      <c r="Y16" s="117"/>
      <c r="Z16" s="184"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7"/>
      <c r="AB16" s="122"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82"/>
      <c r="B17" s="117"/>
      <c r="C17" s="183"/>
      <c r="D17" s="183"/>
      <c r="E17" s="117"/>
      <c r="F17" s="117"/>
      <c r="G17" s="184" t="str">
        <f aca="false">IF(OR(E17="",F17=""),"",IF(AND(E17&lt;=2,F17&lt;=2),"TRIGGER","OK"))</f>
        <v/>
      </c>
      <c r="H17" s="117"/>
      <c r="I17" s="117"/>
      <c r="J17" s="184" t="str">
        <f aca="false">IF(OR(H17="",I17=""),"",IF(AND(H17&lt;=2,I17&lt;=2),"TRIGGER","OK"))</f>
        <v/>
      </c>
      <c r="K17" s="117"/>
      <c r="L17" s="117"/>
      <c r="M17" s="184" t="str">
        <f aca="false">IF(OR(K17="",L17=""),"",IF(AND(K17&lt;=2,L17&lt;=2),"TRIGGER","OK"))</f>
        <v/>
      </c>
      <c r="N17" s="117"/>
      <c r="O17" s="117"/>
      <c r="P17" s="184" t="str">
        <f aca="false">IF(OR(N17="",O17=""),"",IF(AND(N17&lt;=2,O17&lt;=2),"TRIGGER","OK"))</f>
        <v/>
      </c>
      <c r="Q17" s="117"/>
      <c r="R17" s="117"/>
      <c r="S17" s="184" t="str">
        <f aca="false">IF(OR(Q17="",R17=""),"",IF(AND(Q17&lt;=2,R17&lt;=2),"TRIGGER","OK"))</f>
        <v/>
      </c>
      <c r="T17" s="185"/>
      <c r="U17" s="185"/>
      <c r="V17" s="183"/>
      <c r="W17" s="183"/>
      <c r="X17" s="117"/>
      <c r="Y17" s="117"/>
      <c r="Z17" s="184"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7"/>
      <c r="AB17" s="122"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82"/>
      <c r="B18" s="117"/>
      <c r="C18" s="183"/>
      <c r="D18" s="183"/>
      <c r="E18" s="117"/>
      <c r="F18" s="117"/>
      <c r="G18" s="184" t="str">
        <f aca="false">IF(OR(E18="",F18=""),"",IF(AND(E18&lt;=2,F18&lt;=2),"TRIGGER","OK"))</f>
        <v/>
      </c>
      <c r="H18" s="117"/>
      <c r="I18" s="117"/>
      <c r="J18" s="184" t="str">
        <f aca="false">IF(OR(H18="",I18=""),"",IF(AND(H18&lt;=2,I18&lt;=2),"TRIGGER","OK"))</f>
        <v/>
      </c>
      <c r="K18" s="117"/>
      <c r="L18" s="117"/>
      <c r="M18" s="184" t="str">
        <f aca="false">IF(OR(K18="",L18=""),"",IF(AND(K18&lt;=2,L18&lt;=2),"TRIGGER","OK"))</f>
        <v/>
      </c>
      <c r="N18" s="117"/>
      <c r="O18" s="117"/>
      <c r="P18" s="184" t="str">
        <f aca="false">IF(OR(N18="",O18=""),"",IF(AND(N18&lt;=2,O18&lt;=2),"TRIGGER","OK"))</f>
        <v/>
      </c>
      <c r="Q18" s="117"/>
      <c r="R18" s="117"/>
      <c r="S18" s="184" t="str">
        <f aca="false">IF(OR(Q18="",R18=""),"",IF(AND(Q18&lt;=2,R18&lt;=2),"TRIGGER","OK"))</f>
        <v/>
      </c>
      <c r="T18" s="185"/>
      <c r="U18" s="185"/>
      <c r="V18" s="183"/>
      <c r="W18" s="183"/>
      <c r="X18" s="117"/>
      <c r="Y18" s="117"/>
      <c r="Z18" s="184"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7"/>
      <c r="AB18" s="122"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82"/>
      <c r="B19" s="117"/>
      <c r="C19" s="183"/>
      <c r="D19" s="183"/>
      <c r="E19" s="117"/>
      <c r="F19" s="117"/>
      <c r="G19" s="184" t="str">
        <f aca="false">IF(OR(E19="",F19=""),"",IF(AND(E19&lt;=2,F19&lt;=2),"TRIGGER","OK"))</f>
        <v/>
      </c>
      <c r="H19" s="117"/>
      <c r="I19" s="117"/>
      <c r="J19" s="184" t="str">
        <f aca="false">IF(OR(H19="",I19=""),"",IF(AND(H19&lt;=2,I19&lt;=2),"TRIGGER","OK"))</f>
        <v/>
      </c>
      <c r="K19" s="117"/>
      <c r="L19" s="117"/>
      <c r="M19" s="184" t="str">
        <f aca="false">IF(OR(K19="",L19=""),"",IF(AND(K19&lt;=2,L19&lt;=2),"TRIGGER","OK"))</f>
        <v/>
      </c>
      <c r="N19" s="117"/>
      <c r="O19" s="117"/>
      <c r="P19" s="184" t="str">
        <f aca="false">IF(OR(N19="",O19=""),"",IF(AND(N19&lt;=2,O19&lt;=2),"TRIGGER","OK"))</f>
        <v/>
      </c>
      <c r="Q19" s="117"/>
      <c r="R19" s="117"/>
      <c r="S19" s="184" t="str">
        <f aca="false">IF(OR(Q19="",R19=""),"",IF(AND(Q19&lt;=2,R19&lt;=2),"TRIGGER","OK"))</f>
        <v/>
      </c>
      <c r="T19" s="185"/>
      <c r="U19" s="185"/>
      <c r="V19" s="183"/>
      <c r="W19" s="183"/>
      <c r="X19" s="117"/>
      <c r="Y19" s="117"/>
      <c r="Z19" s="184"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7"/>
      <c r="AB19" s="122"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82"/>
      <c r="B20" s="117"/>
      <c r="C20" s="183"/>
      <c r="D20" s="183"/>
      <c r="E20" s="117"/>
      <c r="F20" s="117"/>
      <c r="G20" s="184" t="str">
        <f aca="false">IF(OR(E20="",F20=""),"",IF(AND(E20&lt;=2,F20&lt;=2),"TRIGGER","OK"))</f>
        <v/>
      </c>
      <c r="H20" s="117"/>
      <c r="I20" s="117"/>
      <c r="J20" s="184" t="str">
        <f aca="false">IF(OR(H20="",I20=""),"",IF(AND(H20&lt;=2,I20&lt;=2),"TRIGGER","OK"))</f>
        <v/>
      </c>
      <c r="K20" s="117"/>
      <c r="L20" s="117"/>
      <c r="M20" s="184" t="str">
        <f aca="false">IF(OR(K20="",L20=""),"",IF(AND(K20&lt;=2,L20&lt;=2),"TRIGGER","OK"))</f>
        <v/>
      </c>
      <c r="N20" s="117"/>
      <c r="O20" s="117"/>
      <c r="P20" s="184" t="str">
        <f aca="false">IF(OR(N20="",O20=""),"",IF(AND(N20&lt;=2,O20&lt;=2),"TRIGGER","OK"))</f>
        <v/>
      </c>
      <c r="Q20" s="117"/>
      <c r="R20" s="117"/>
      <c r="S20" s="184" t="str">
        <f aca="false">IF(OR(Q20="",R20=""),"",IF(AND(Q20&lt;=2,R20&lt;=2),"TRIGGER","OK"))</f>
        <v/>
      </c>
      <c r="T20" s="185"/>
      <c r="U20" s="185"/>
      <c r="V20" s="183"/>
      <c r="W20" s="183"/>
      <c r="X20" s="117"/>
      <c r="Y20" s="117"/>
      <c r="Z20" s="184"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7"/>
      <c r="AB20" s="122"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82"/>
      <c r="B21" s="117"/>
      <c r="C21" s="183"/>
      <c r="D21" s="183"/>
      <c r="E21" s="117"/>
      <c r="F21" s="117"/>
      <c r="G21" s="184" t="str">
        <f aca="false">IF(OR(E21="",F21=""),"",IF(AND(E21&lt;=2,F21&lt;=2),"TRIGGER","OK"))</f>
        <v/>
      </c>
      <c r="H21" s="117"/>
      <c r="I21" s="117"/>
      <c r="J21" s="184" t="str">
        <f aca="false">IF(OR(H21="",I21=""),"",IF(AND(H21&lt;=2,I21&lt;=2),"TRIGGER","OK"))</f>
        <v/>
      </c>
      <c r="K21" s="117"/>
      <c r="L21" s="117"/>
      <c r="M21" s="184" t="str">
        <f aca="false">IF(OR(K21="",L21=""),"",IF(AND(K21&lt;=2,L21&lt;=2),"TRIGGER","OK"))</f>
        <v/>
      </c>
      <c r="N21" s="117"/>
      <c r="O21" s="117"/>
      <c r="P21" s="184" t="str">
        <f aca="false">IF(OR(N21="",O21=""),"",IF(AND(N21&lt;=2,O21&lt;=2),"TRIGGER","OK"))</f>
        <v/>
      </c>
      <c r="Q21" s="117"/>
      <c r="R21" s="117"/>
      <c r="S21" s="184" t="str">
        <f aca="false">IF(OR(Q21="",R21=""),"",IF(AND(Q21&lt;=2,R21&lt;=2),"TRIGGER","OK"))</f>
        <v/>
      </c>
      <c r="T21" s="185"/>
      <c r="U21" s="185"/>
      <c r="V21" s="183"/>
      <c r="W21" s="183"/>
      <c r="X21" s="117"/>
      <c r="Y21" s="117"/>
      <c r="Z21" s="184"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7"/>
      <c r="AB21" s="122"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82"/>
      <c r="B22" s="117"/>
      <c r="C22" s="183"/>
      <c r="D22" s="183"/>
      <c r="E22" s="117"/>
      <c r="F22" s="117"/>
      <c r="G22" s="184" t="str">
        <f aca="false">IF(OR(E22="",F22=""),"",IF(AND(E22&lt;=2,F22&lt;=2),"TRIGGER","OK"))</f>
        <v/>
      </c>
      <c r="H22" s="117"/>
      <c r="I22" s="117"/>
      <c r="J22" s="184" t="str">
        <f aca="false">IF(OR(H22="",I22=""),"",IF(AND(H22&lt;=2,I22&lt;=2),"TRIGGER","OK"))</f>
        <v/>
      </c>
      <c r="K22" s="117"/>
      <c r="L22" s="117"/>
      <c r="M22" s="184" t="str">
        <f aca="false">IF(OR(K22="",L22=""),"",IF(AND(K22&lt;=2,L22&lt;=2),"TRIGGER","OK"))</f>
        <v/>
      </c>
      <c r="N22" s="117"/>
      <c r="O22" s="117"/>
      <c r="P22" s="184" t="str">
        <f aca="false">IF(OR(N22="",O22=""),"",IF(AND(N22&lt;=2,O22&lt;=2),"TRIGGER","OK"))</f>
        <v/>
      </c>
      <c r="Q22" s="117"/>
      <c r="R22" s="117"/>
      <c r="S22" s="184" t="str">
        <f aca="false">IF(OR(Q22="",R22=""),"",IF(AND(Q22&lt;=2,R22&lt;=2),"TRIGGER","OK"))</f>
        <v/>
      </c>
      <c r="T22" s="185"/>
      <c r="U22" s="185"/>
      <c r="V22" s="183"/>
      <c r="W22" s="183"/>
      <c r="X22" s="117"/>
      <c r="Y22" s="117"/>
      <c r="Z22" s="184"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7"/>
      <c r="AB22" s="122"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82"/>
      <c r="B23" s="117"/>
      <c r="C23" s="183"/>
      <c r="D23" s="183"/>
      <c r="E23" s="117"/>
      <c r="F23" s="117"/>
      <c r="G23" s="184" t="str">
        <f aca="false">IF(OR(E23="",F23=""),"",IF(AND(E23&lt;=2,F23&lt;=2),"TRIGGER","OK"))</f>
        <v/>
      </c>
      <c r="H23" s="117"/>
      <c r="I23" s="117"/>
      <c r="J23" s="184" t="str">
        <f aca="false">IF(OR(H23="",I23=""),"",IF(AND(H23&lt;=2,I23&lt;=2),"TRIGGER","OK"))</f>
        <v/>
      </c>
      <c r="K23" s="117"/>
      <c r="L23" s="117"/>
      <c r="M23" s="184" t="str">
        <f aca="false">IF(OR(K23="",L23=""),"",IF(AND(K23&lt;=2,L23&lt;=2),"TRIGGER","OK"))</f>
        <v/>
      </c>
      <c r="N23" s="117"/>
      <c r="O23" s="117"/>
      <c r="P23" s="184" t="str">
        <f aca="false">IF(OR(N23="",O23=""),"",IF(AND(N23&lt;=2,O23&lt;=2),"TRIGGER","OK"))</f>
        <v/>
      </c>
      <c r="Q23" s="117"/>
      <c r="R23" s="117"/>
      <c r="S23" s="184" t="str">
        <f aca="false">IF(OR(Q23="",R23=""),"",IF(AND(Q23&lt;=2,R23&lt;=2),"TRIGGER","OK"))</f>
        <v/>
      </c>
      <c r="T23" s="185"/>
      <c r="U23" s="185"/>
      <c r="V23" s="183"/>
      <c r="W23" s="183"/>
      <c r="X23" s="117"/>
      <c r="Y23" s="117"/>
      <c r="Z23" s="184"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7"/>
      <c r="AB23" s="122"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E6" activeCellId="0" sqref="E6"/>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62.25" hidden="false" customHeight="true" outlineLevel="0" collapsed="false">
      <c r="A1" s="186" t="s">
        <v>525</v>
      </c>
      <c r="B1" s="186"/>
      <c r="C1" s="186"/>
      <c r="D1" s="186"/>
      <c r="E1" s="186"/>
      <c r="F1" s="186"/>
      <c r="G1" s="186"/>
      <c r="H1" s="186"/>
      <c r="I1" s="186"/>
      <c r="J1" s="186"/>
      <c r="K1" s="186"/>
      <c r="L1" s="186"/>
      <c r="M1" s="186"/>
      <c r="N1" s="186"/>
      <c r="O1" s="186"/>
      <c r="P1" s="186"/>
      <c r="Q1" s="180"/>
    </row>
    <row r="2" customFormat="false" ht="42.75" hidden="false" customHeight="true" outlineLevel="0" collapsed="false">
      <c r="A2" s="58" t="s">
        <v>81</v>
      </c>
      <c r="B2" s="58" t="s">
        <v>280</v>
      </c>
      <c r="C2" s="58" t="s">
        <v>526</v>
      </c>
      <c r="D2" s="58" t="s">
        <v>527</v>
      </c>
      <c r="E2" s="58" t="s">
        <v>473</v>
      </c>
      <c r="F2" s="58" t="s">
        <v>528</v>
      </c>
      <c r="G2" s="58" t="s">
        <v>529</v>
      </c>
      <c r="H2" s="58" t="s">
        <v>530</v>
      </c>
      <c r="I2" s="58" t="s">
        <v>531</v>
      </c>
      <c r="J2" s="58" t="s">
        <v>532</v>
      </c>
      <c r="K2" s="58" t="s">
        <v>533</v>
      </c>
      <c r="L2" s="58" t="s">
        <v>534</v>
      </c>
      <c r="M2" s="58" t="s">
        <v>535</v>
      </c>
      <c r="N2" s="58" t="s">
        <v>536</v>
      </c>
      <c r="O2" s="58" t="s">
        <v>537</v>
      </c>
      <c r="P2" s="58" t="s">
        <v>538</v>
      </c>
      <c r="Q2" s="58" t="s">
        <v>539</v>
      </c>
    </row>
    <row r="3" customFormat="false" ht="15" hidden="false" customHeight="true" outlineLevel="0" collapsed="false">
      <c r="A3" s="182" t="s">
        <v>95</v>
      </c>
      <c r="B3" s="117" t="s">
        <v>96</v>
      </c>
      <c r="C3" s="187" t="n">
        <v>46241</v>
      </c>
      <c r="D3" s="188" t="n">
        <v>266.38</v>
      </c>
      <c r="E3" s="117" t="n">
        <v>85.8</v>
      </c>
      <c r="F3" s="117" t="s">
        <v>331</v>
      </c>
      <c r="G3" s="117" t="s">
        <v>540</v>
      </c>
      <c r="H3" s="188" t="n">
        <v>773.26</v>
      </c>
      <c r="I3" s="117" t="s">
        <v>541</v>
      </c>
      <c r="J3" s="187"/>
      <c r="K3" s="188"/>
      <c r="L3" s="117"/>
      <c r="M3" s="188" t="n">
        <v>259.32</v>
      </c>
      <c r="N3" s="188" t="n">
        <v>765.04</v>
      </c>
      <c r="O3" s="189" t="n">
        <f aca="false">IF(OR(D3="",M3=""),"",M3/D3-1)</f>
        <v>-0.026503491253097</v>
      </c>
      <c r="P3" s="190" t="n">
        <f aca="false">IF(OR(H3="",N3=""),"",N3/H3-1)</f>
        <v>-0.0106303183922614</v>
      </c>
      <c r="Q3" s="189" t="n">
        <f aca="false">IF(OR(O3="",P3=""),"",O3-P3)</f>
        <v>-0.0158731728608357</v>
      </c>
    </row>
    <row r="4" customFormat="false" ht="15" hidden="false" customHeight="true" outlineLevel="0" collapsed="false">
      <c r="A4" s="182" t="s">
        <v>167</v>
      </c>
      <c r="B4" s="117" t="s">
        <v>168</v>
      </c>
      <c r="C4" s="187" t="n">
        <v>46241</v>
      </c>
      <c r="D4" s="188" t="n">
        <v>488.77</v>
      </c>
      <c r="E4" s="117" t="n">
        <v>75.6</v>
      </c>
      <c r="F4" s="117" t="s">
        <v>331</v>
      </c>
      <c r="G4" s="117" t="s">
        <v>542</v>
      </c>
      <c r="H4" s="188" t="n">
        <v>773.26</v>
      </c>
      <c r="I4" s="117" t="s">
        <v>541</v>
      </c>
      <c r="J4" s="187"/>
      <c r="K4" s="188"/>
      <c r="L4" s="117"/>
      <c r="M4" s="188" t="n">
        <v>478.7</v>
      </c>
      <c r="N4" s="188" t="n">
        <v>765.04</v>
      </c>
      <c r="O4" s="189" t="n">
        <f aca="false">IF(OR(D4="",M4=""),"",M4/D4-1)</f>
        <v>-0.0206027374838881</v>
      </c>
      <c r="P4" s="190" t="n">
        <f aca="false">IF(OR(H4="",N4=""),"",N4/H4-1)</f>
        <v>-0.0106303183922614</v>
      </c>
      <c r="Q4" s="189" t="n">
        <f aca="false">IF(OR(O4="",P4=""),"",O4-P4)</f>
        <v>-0.00997241909162672</v>
      </c>
    </row>
    <row r="5" customFormat="false" ht="15" hidden="false" customHeight="true" outlineLevel="0" collapsed="false">
      <c r="A5" s="182" t="s">
        <v>170</v>
      </c>
      <c r="B5" s="117" t="s">
        <v>337</v>
      </c>
      <c r="C5" s="187" t="n">
        <v>46241</v>
      </c>
      <c r="D5" s="188" t="n">
        <v>139.92</v>
      </c>
      <c r="E5" s="117" t="n">
        <v>82</v>
      </c>
      <c r="F5" s="117" t="s">
        <v>331</v>
      </c>
      <c r="G5" s="117" t="s">
        <v>540</v>
      </c>
      <c r="H5" s="188" t="n">
        <v>773.26</v>
      </c>
      <c r="I5" s="117" t="s">
        <v>541</v>
      </c>
      <c r="J5" s="187"/>
      <c r="K5" s="188"/>
      <c r="L5" s="117"/>
      <c r="M5" s="188" t="n">
        <v>139.06</v>
      </c>
      <c r="N5" s="188" t="n">
        <v>765.04</v>
      </c>
      <c r="O5" s="189" t="n">
        <f aca="false">IF(OR(D5="",M5=""),"",M5/D5-1)</f>
        <v>-0.00614636935391644</v>
      </c>
      <c r="P5" s="190" t="n">
        <f aca="false">IF(OR(H5="",N5=""),"",N5/H5-1)</f>
        <v>-0.0106303183922614</v>
      </c>
      <c r="Q5" s="189" t="n">
        <f aca="false">IF(OR(O5="",P5=""),"",O5-P5)</f>
        <v>0.00448394903834493</v>
      </c>
    </row>
    <row r="6" customFormat="false" ht="15" hidden="false" customHeight="true" outlineLevel="0" collapsed="false">
      <c r="A6" s="182" t="s">
        <v>118</v>
      </c>
      <c r="B6" s="117" t="s">
        <v>119</v>
      </c>
      <c r="C6" s="187" t="n">
        <v>46273</v>
      </c>
      <c r="D6" s="188" t="n">
        <v>368.97</v>
      </c>
      <c r="E6" s="117" t="n">
        <v>86.4</v>
      </c>
      <c r="F6" s="117" t="s">
        <v>331</v>
      </c>
      <c r="G6" s="117" t="s">
        <v>540</v>
      </c>
      <c r="H6" s="188" t="n">
        <v>767.53</v>
      </c>
      <c r="I6" s="117" t="s">
        <v>541</v>
      </c>
      <c r="J6" s="187"/>
      <c r="K6" s="188"/>
      <c r="L6" s="117"/>
      <c r="M6" s="188" t="n">
        <v>367.68</v>
      </c>
      <c r="N6" s="188" t="n">
        <v>767.53</v>
      </c>
      <c r="O6" s="189" t="n">
        <f aca="false">IF(OR(D6="",M6=""),"",M6/D6-1)</f>
        <v>-0.00349621920481347</v>
      </c>
      <c r="P6" s="190" t="n">
        <f aca="false">IF(OR(H6="",N6=""),"",N6/H6-1)</f>
        <v>0</v>
      </c>
      <c r="Q6" s="189" t="n">
        <f aca="false">IF(OR(O6="",P6=""),"",O6-P6)</f>
        <v>-0.00349621920481347</v>
      </c>
    </row>
    <row r="7" customFormat="false" ht="15" hidden="false" customHeight="true" outlineLevel="0" collapsed="false">
      <c r="A7" s="182" t="s">
        <v>140</v>
      </c>
      <c r="B7" s="117" t="s">
        <v>141</v>
      </c>
      <c r="C7" s="187" t="n">
        <v>46295</v>
      </c>
      <c r="D7" s="188" t="n">
        <v>314.71</v>
      </c>
      <c r="E7" s="117" t="n">
        <v>84.2</v>
      </c>
      <c r="F7" s="117" t="s">
        <v>331</v>
      </c>
      <c r="G7" s="117" t="s">
        <v>540</v>
      </c>
      <c r="H7" s="188" t="n">
        <v>766.29</v>
      </c>
      <c r="I7" s="117" t="s">
        <v>541</v>
      </c>
      <c r="J7" s="187"/>
      <c r="K7" s="188"/>
      <c r="L7" s="117"/>
      <c r="M7" s="188" t="n">
        <v>314.71</v>
      </c>
      <c r="N7" s="188" t="n">
        <v>766.29</v>
      </c>
      <c r="O7" s="189" t="n">
        <f aca="false">IF(OR(D7="",M7=""),"",M7/D7-1)</f>
        <v>0</v>
      </c>
      <c r="P7" s="190" t="n">
        <f aca="false">IF(OR(H7="",N7=""),"",N7/H7-1)</f>
        <v>0</v>
      </c>
      <c r="Q7" s="189" t="n">
        <f aca="false">IF(OR(O7="",P7=""),"",O7-P7)</f>
        <v>0</v>
      </c>
    </row>
    <row r="8" customFormat="false" ht="15" hidden="false" customHeight="true" outlineLevel="0" collapsed="false">
      <c r="A8" s="182" t="s">
        <v>143</v>
      </c>
      <c r="B8" s="117" t="s">
        <v>144</v>
      </c>
      <c r="C8" s="187" t="n">
        <v>46295</v>
      </c>
      <c r="D8" s="188" t="n">
        <v>69.795</v>
      </c>
      <c r="E8" s="117" t="n">
        <v>83.8</v>
      </c>
      <c r="F8" s="117" t="s">
        <v>331</v>
      </c>
      <c r="G8" s="117" t="s">
        <v>540</v>
      </c>
      <c r="H8" s="188" t="n">
        <v>766.29</v>
      </c>
      <c r="I8" s="117" t="s">
        <v>541</v>
      </c>
      <c r="J8" s="187"/>
      <c r="K8" s="188"/>
      <c r="L8" s="117"/>
      <c r="M8" s="188" t="n">
        <v>69.795</v>
      </c>
      <c r="N8" s="188" t="n">
        <v>766.29</v>
      </c>
      <c r="O8" s="189" t="n">
        <f aca="false">IF(OR(D8="",M8=""),"",M8/D8-1)</f>
        <v>0</v>
      </c>
      <c r="P8" s="190" t="n">
        <f aca="false">IF(OR(H8="",N8=""),"",N8/H8-1)</f>
        <v>0</v>
      </c>
      <c r="Q8" s="189" t="n">
        <f aca="false">IF(OR(O8="",P8=""),"",O8-P8)</f>
        <v>0</v>
      </c>
    </row>
    <row r="9" customFormat="false" ht="15" hidden="false" customHeight="true" outlineLevel="0" collapsed="false">
      <c r="A9" s="182"/>
      <c r="B9" s="117"/>
      <c r="C9" s="187"/>
      <c r="D9" s="188"/>
      <c r="E9" s="117"/>
      <c r="F9" s="117"/>
      <c r="G9" s="117"/>
      <c r="H9" s="188"/>
      <c r="I9" s="117"/>
      <c r="J9" s="187"/>
      <c r="K9" s="188"/>
      <c r="L9" s="117"/>
      <c r="M9" s="188"/>
      <c r="N9" s="188"/>
      <c r="O9" s="189" t="str">
        <f aca="false">IF(OR(D9="",M9=""),"",M9/D9-1)</f>
        <v/>
      </c>
      <c r="P9" s="190" t="str">
        <f aca="false">IF(OR(H9="",N9=""),"",N9/H9-1)</f>
        <v/>
      </c>
      <c r="Q9" s="189" t="str">
        <f aca="false">IF(OR(O9="",P9=""),"",O9-P9)</f>
        <v/>
      </c>
    </row>
    <row r="10" customFormat="false" ht="15" hidden="false" customHeight="true" outlineLevel="0" collapsed="false">
      <c r="A10" s="182"/>
      <c r="B10" s="117"/>
      <c r="C10" s="187"/>
      <c r="D10" s="188"/>
      <c r="E10" s="117"/>
      <c r="F10" s="117"/>
      <c r="G10" s="117"/>
      <c r="H10" s="188"/>
      <c r="I10" s="117"/>
      <c r="J10" s="187"/>
      <c r="K10" s="188"/>
      <c r="L10" s="117"/>
      <c r="M10" s="188"/>
      <c r="N10" s="188"/>
      <c r="O10" s="189" t="str">
        <f aca="false">IF(OR(D10="",M10=""),"",M10/D10-1)</f>
        <v/>
      </c>
      <c r="P10" s="190" t="str">
        <f aca="false">IF(OR(H10="",N10=""),"",N10/H10-1)</f>
        <v/>
      </c>
      <c r="Q10" s="189" t="str">
        <f aca="false">IF(OR(O10="",P10=""),"",O10-P10)</f>
        <v/>
      </c>
    </row>
    <row r="11" customFormat="false" ht="15" hidden="false" customHeight="true" outlineLevel="0" collapsed="false">
      <c r="A11" s="182"/>
      <c r="B11" s="117"/>
      <c r="C11" s="187"/>
      <c r="D11" s="188"/>
      <c r="E11" s="117"/>
      <c r="F11" s="117"/>
      <c r="G11" s="117"/>
      <c r="H11" s="188"/>
      <c r="I11" s="117"/>
      <c r="J11" s="187"/>
      <c r="K11" s="188"/>
      <c r="L11" s="117"/>
      <c r="M11" s="188"/>
      <c r="N11" s="188"/>
      <c r="O11" s="189" t="str">
        <f aca="false">IF(OR(D11="",M11=""),"",M11/D11-1)</f>
        <v/>
      </c>
      <c r="P11" s="190" t="str">
        <f aca="false">IF(OR(H11="",N11=""),"",N11/H11-1)</f>
        <v/>
      </c>
      <c r="Q11" s="189" t="str">
        <f aca="false">IF(OR(O11="",P11=""),"",O11-P11)</f>
        <v/>
      </c>
    </row>
    <row r="12" customFormat="false" ht="15" hidden="false" customHeight="true" outlineLevel="0" collapsed="false">
      <c r="A12" s="182"/>
      <c r="B12" s="117"/>
      <c r="C12" s="187"/>
      <c r="D12" s="188"/>
      <c r="E12" s="117"/>
      <c r="F12" s="117"/>
      <c r="G12" s="117"/>
      <c r="H12" s="188"/>
      <c r="I12" s="117"/>
      <c r="J12" s="187"/>
      <c r="K12" s="188"/>
      <c r="L12" s="117"/>
      <c r="M12" s="188"/>
      <c r="N12" s="188"/>
      <c r="O12" s="189" t="str">
        <f aca="false">IF(OR(D12="",M12=""),"",M12/D12-1)</f>
        <v/>
      </c>
      <c r="P12" s="190" t="str">
        <f aca="false">IF(OR(H12="",N12=""),"",N12/H12-1)</f>
        <v/>
      </c>
      <c r="Q12" s="189" t="str">
        <f aca="false">IF(OR(O12="",P12=""),"",O12-P12)</f>
        <v/>
      </c>
    </row>
    <row r="13" customFormat="false" ht="15" hidden="false" customHeight="true" outlineLevel="0" collapsed="false">
      <c r="A13" s="182"/>
      <c r="B13" s="117"/>
      <c r="C13" s="187"/>
      <c r="D13" s="188"/>
      <c r="E13" s="117"/>
      <c r="F13" s="117"/>
      <c r="G13" s="117"/>
      <c r="H13" s="188"/>
      <c r="I13" s="117"/>
      <c r="J13" s="187"/>
      <c r="K13" s="188"/>
      <c r="L13" s="117"/>
      <c r="M13" s="188"/>
      <c r="N13" s="188"/>
      <c r="O13" s="189" t="str">
        <f aca="false">IF(OR(D13="",M13=""),"",M13/D13-1)</f>
        <v/>
      </c>
      <c r="P13" s="190" t="str">
        <f aca="false">IF(OR(H13="",N13=""),"",N13/H13-1)</f>
        <v/>
      </c>
      <c r="Q13" s="189" t="str">
        <f aca="false">IF(OR(O13="",P13=""),"",O13-P13)</f>
        <v/>
      </c>
    </row>
    <row r="14" customFormat="false" ht="15" hidden="false" customHeight="true" outlineLevel="0" collapsed="false">
      <c r="A14" s="182"/>
      <c r="B14" s="117"/>
      <c r="C14" s="187"/>
      <c r="D14" s="188"/>
      <c r="E14" s="117"/>
      <c r="F14" s="117"/>
      <c r="G14" s="117"/>
      <c r="H14" s="188"/>
      <c r="I14" s="117"/>
      <c r="J14" s="187"/>
      <c r="K14" s="188"/>
      <c r="L14" s="117"/>
      <c r="M14" s="188"/>
      <c r="N14" s="188"/>
      <c r="O14" s="189" t="str">
        <f aca="false">IF(OR(D14="",M14=""),"",M14/D14-1)</f>
        <v/>
      </c>
      <c r="P14" s="190" t="str">
        <f aca="false">IF(OR(H14="",N14=""),"",N14/H14-1)</f>
        <v/>
      </c>
      <c r="Q14" s="189" t="str">
        <f aca="false">IF(OR(O14="",P14=""),"",O14-P14)</f>
        <v/>
      </c>
    </row>
    <row r="15" customFormat="false" ht="15" hidden="false" customHeight="true" outlineLevel="0" collapsed="false">
      <c r="A15" s="182"/>
      <c r="B15" s="117"/>
      <c r="C15" s="187"/>
      <c r="D15" s="188"/>
      <c r="E15" s="117"/>
      <c r="F15" s="117"/>
      <c r="G15" s="117"/>
      <c r="H15" s="188"/>
      <c r="I15" s="117"/>
      <c r="J15" s="187"/>
      <c r="K15" s="188"/>
      <c r="L15" s="117"/>
      <c r="M15" s="188"/>
      <c r="N15" s="188"/>
      <c r="O15" s="189" t="str">
        <f aca="false">IF(OR(D15="",M15=""),"",M15/D15-1)</f>
        <v/>
      </c>
      <c r="P15" s="190" t="str">
        <f aca="false">IF(OR(H15="",N15=""),"",N15/H15-1)</f>
        <v/>
      </c>
      <c r="Q15" s="189" t="str">
        <f aca="false">IF(OR(O15="",P15=""),"",O15-P15)</f>
        <v/>
      </c>
    </row>
    <row r="16" customFormat="false" ht="15" hidden="false" customHeight="true" outlineLevel="0" collapsed="false">
      <c r="A16" s="182"/>
      <c r="B16" s="117"/>
      <c r="C16" s="187"/>
      <c r="D16" s="188"/>
      <c r="E16" s="117"/>
      <c r="F16" s="117"/>
      <c r="G16" s="117"/>
      <c r="H16" s="188"/>
      <c r="I16" s="117"/>
      <c r="J16" s="187"/>
      <c r="K16" s="188"/>
      <c r="L16" s="117"/>
      <c r="M16" s="188"/>
      <c r="N16" s="188"/>
      <c r="O16" s="189" t="str">
        <f aca="false">IF(OR(D16="",M16=""),"",M16/D16-1)</f>
        <v/>
      </c>
      <c r="P16" s="190" t="str">
        <f aca="false">IF(OR(H16="",N16=""),"",N16/H16-1)</f>
        <v/>
      </c>
      <c r="Q16" s="189" t="str">
        <f aca="false">IF(OR(O16="",P16=""),"",O16-P16)</f>
        <v/>
      </c>
    </row>
    <row r="17" customFormat="false" ht="15" hidden="false" customHeight="true" outlineLevel="0" collapsed="false">
      <c r="A17" s="182"/>
      <c r="B17" s="117"/>
      <c r="C17" s="187"/>
      <c r="D17" s="188"/>
      <c r="E17" s="117"/>
      <c r="F17" s="117"/>
      <c r="G17" s="117"/>
      <c r="H17" s="188"/>
      <c r="I17" s="117"/>
      <c r="J17" s="187"/>
      <c r="K17" s="188"/>
      <c r="L17" s="117"/>
      <c r="M17" s="188"/>
      <c r="N17" s="188"/>
      <c r="O17" s="189" t="str">
        <f aca="false">IF(OR(D17="",M17=""),"",M17/D17-1)</f>
        <v/>
      </c>
      <c r="P17" s="190" t="str">
        <f aca="false">IF(OR(H17="",N17=""),"",N17/H17-1)</f>
        <v/>
      </c>
      <c r="Q17" s="189" t="str">
        <f aca="false">IF(OR(O17="",P17=""),"",O17-P17)</f>
        <v/>
      </c>
    </row>
    <row r="18" customFormat="false" ht="15" hidden="false" customHeight="true" outlineLevel="0" collapsed="false">
      <c r="A18" s="182"/>
      <c r="B18" s="117"/>
      <c r="C18" s="187"/>
      <c r="D18" s="188"/>
      <c r="E18" s="117"/>
      <c r="F18" s="117"/>
      <c r="G18" s="117"/>
      <c r="H18" s="188"/>
      <c r="I18" s="117"/>
      <c r="J18" s="187"/>
      <c r="K18" s="188"/>
      <c r="L18" s="117"/>
      <c r="M18" s="188"/>
      <c r="N18" s="188"/>
      <c r="O18" s="189" t="str">
        <f aca="false">IF(OR(D18="",M18=""),"",M18/D18-1)</f>
        <v/>
      </c>
      <c r="P18" s="190" t="str">
        <f aca="false">IF(OR(H18="",N18=""),"",N18/H18-1)</f>
        <v/>
      </c>
      <c r="Q18" s="189" t="str">
        <f aca="false">IF(OR(O18="",P18=""),"",O18-P18)</f>
        <v/>
      </c>
    </row>
    <row r="19" customFormat="false" ht="15" hidden="false" customHeight="true" outlineLevel="0" collapsed="false">
      <c r="A19" s="182"/>
      <c r="B19" s="117"/>
      <c r="C19" s="187"/>
      <c r="D19" s="188"/>
      <c r="E19" s="117"/>
      <c r="F19" s="117"/>
      <c r="G19" s="117"/>
      <c r="H19" s="188"/>
      <c r="I19" s="117"/>
      <c r="J19" s="187"/>
      <c r="K19" s="188"/>
      <c r="L19" s="117"/>
      <c r="M19" s="188"/>
      <c r="N19" s="188"/>
      <c r="O19" s="189" t="str">
        <f aca="false">IF(OR(D19="",M19=""),"",M19/D19-1)</f>
        <v/>
      </c>
      <c r="P19" s="190" t="str">
        <f aca="false">IF(OR(H19="",N19=""),"",N19/H19-1)</f>
        <v/>
      </c>
      <c r="Q19" s="189" t="str">
        <f aca="false">IF(OR(O19="",P19=""),"",O19-P19)</f>
        <v/>
      </c>
    </row>
    <row r="20" customFormat="false" ht="15" hidden="false" customHeight="true" outlineLevel="0" collapsed="false">
      <c r="A20" s="182"/>
      <c r="B20" s="117"/>
      <c r="C20" s="187"/>
      <c r="D20" s="188"/>
      <c r="E20" s="117"/>
      <c r="F20" s="117"/>
      <c r="G20" s="117"/>
      <c r="H20" s="188"/>
      <c r="I20" s="117"/>
      <c r="J20" s="187"/>
      <c r="K20" s="188"/>
      <c r="L20" s="117"/>
      <c r="M20" s="188"/>
      <c r="N20" s="188"/>
      <c r="O20" s="189" t="str">
        <f aca="false">IF(OR(D20="",M20=""),"",M20/D20-1)</f>
        <v/>
      </c>
      <c r="P20" s="190" t="str">
        <f aca="false">IF(OR(H20="",N20=""),"",N20/H20-1)</f>
        <v/>
      </c>
      <c r="Q20" s="189" t="str">
        <f aca="false">IF(OR(O20="",P20=""),"",O20-P20)</f>
        <v/>
      </c>
    </row>
    <row r="21" customFormat="false" ht="15" hidden="false" customHeight="true" outlineLevel="0" collapsed="false">
      <c r="A21" s="182"/>
      <c r="B21" s="117"/>
      <c r="C21" s="187"/>
      <c r="D21" s="188"/>
      <c r="E21" s="117"/>
      <c r="F21" s="117"/>
      <c r="G21" s="117"/>
      <c r="H21" s="188"/>
      <c r="I21" s="117"/>
      <c r="J21" s="187"/>
      <c r="K21" s="188"/>
      <c r="L21" s="117"/>
      <c r="M21" s="188"/>
      <c r="N21" s="188"/>
      <c r="O21" s="189" t="str">
        <f aca="false">IF(OR(D21="",M21=""),"",M21/D21-1)</f>
        <v/>
      </c>
      <c r="P21" s="190" t="str">
        <f aca="false">IF(OR(H21="",N21=""),"",N21/H21-1)</f>
        <v/>
      </c>
      <c r="Q21" s="189" t="str">
        <f aca="false">IF(OR(O21="",P21=""),"",O21-P21)</f>
        <v/>
      </c>
    </row>
    <row r="22" customFormat="false" ht="15" hidden="false" customHeight="true" outlineLevel="0" collapsed="false">
      <c r="A22" s="182"/>
      <c r="B22" s="117"/>
      <c r="C22" s="187"/>
      <c r="D22" s="188"/>
      <c r="E22" s="117"/>
      <c r="F22" s="117"/>
      <c r="G22" s="117"/>
      <c r="H22" s="188"/>
      <c r="I22" s="117"/>
      <c r="J22" s="187"/>
      <c r="K22" s="188"/>
      <c r="L22" s="117"/>
      <c r="M22" s="188"/>
      <c r="N22" s="188"/>
      <c r="O22" s="189" t="str">
        <f aca="false">IF(OR(D22="",M22=""),"",M22/D22-1)</f>
        <v/>
      </c>
      <c r="P22" s="190" t="str">
        <f aca="false">IF(OR(H22="",N22=""),"",N22/H22-1)</f>
        <v/>
      </c>
      <c r="Q22" s="189" t="str">
        <f aca="false">IF(OR(O22="",P22=""),"",O22-P22)</f>
        <v/>
      </c>
    </row>
    <row r="23" customFormat="false" ht="15" hidden="false" customHeight="true" outlineLevel="0" collapsed="false">
      <c r="A23" s="182"/>
      <c r="B23" s="117"/>
      <c r="C23" s="187"/>
      <c r="D23" s="188"/>
      <c r="E23" s="117"/>
      <c r="F23" s="117"/>
      <c r="G23" s="117"/>
      <c r="H23" s="188"/>
      <c r="I23" s="117"/>
      <c r="J23" s="187"/>
      <c r="K23" s="188"/>
      <c r="L23" s="117"/>
      <c r="M23" s="188"/>
      <c r="N23" s="188"/>
      <c r="O23" s="189" t="str">
        <f aca="false">IF(OR(D23="",M23=""),"",M23/D23-1)</f>
        <v/>
      </c>
      <c r="P23" s="190" t="str">
        <f aca="false">IF(OR(H23="",N23=""),"",N23/H23-1)</f>
        <v/>
      </c>
      <c r="Q23" s="189" t="str">
        <f aca="false">IF(OR(O23="",P23=""),"",O23-P23)</f>
        <v/>
      </c>
    </row>
    <row r="24" customFormat="false" ht="15" hidden="false" customHeight="true" outlineLevel="0" collapsed="false">
      <c r="A24" s="182"/>
      <c r="B24" s="117"/>
      <c r="C24" s="187"/>
      <c r="D24" s="188"/>
      <c r="E24" s="117"/>
      <c r="F24" s="117"/>
      <c r="G24" s="117"/>
      <c r="H24" s="188"/>
      <c r="I24" s="117"/>
      <c r="J24" s="187"/>
      <c r="K24" s="188"/>
      <c r="L24" s="117"/>
      <c r="M24" s="188"/>
      <c r="N24" s="188"/>
      <c r="O24" s="189" t="str">
        <f aca="false">IF(OR(D24="",M24=""),"",M24/D24-1)</f>
        <v/>
      </c>
      <c r="P24" s="190" t="str">
        <f aca="false">IF(OR(H24="",N24=""),"",N24/H24-1)</f>
        <v/>
      </c>
      <c r="Q24" s="189" t="str">
        <f aca="false">IF(OR(O24="",P24=""),"",O24-P24)</f>
        <v/>
      </c>
    </row>
    <row r="25" customFormat="false" ht="15" hidden="false" customHeight="true" outlineLevel="0" collapsed="false">
      <c r="A25" s="182"/>
      <c r="B25" s="117"/>
      <c r="C25" s="187"/>
      <c r="D25" s="188"/>
      <c r="E25" s="117"/>
      <c r="F25" s="117"/>
      <c r="G25" s="117"/>
      <c r="H25" s="188"/>
      <c r="I25" s="117"/>
      <c r="J25" s="187"/>
      <c r="K25" s="188"/>
      <c r="L25" s="117"/>
      <c r="M25" s="188"/>
      <c r="N25" s="188"/>
      <c r="O25" s="189" t="str">
        <f aca="false">IF(OR(D25="",M25=""),"",M25/D25-1)</f>
        <v/>
      </c>
      <c r="P25" s="190" t="str">
        <f aca="false">IF(OR(H25="",N25=""),"",N25/H25-1)</f>
        <v/>
      </c>
      <c r="Q25" s="189" t="str">
        <f aca="false">IF(OR(O25="",P25=""),"",O25-P25)</f>
        <v/>
      </c>
    </row>
    <row r="26" customFormat="false" ht="15" hidden="false" customHeight="true" outlineLevel="0" collapsed="false">
      <c r="A26" s="182"/>
      <c r="B26" s="117"/>
      <c r="C26" s="187"/>
      <c r="D26" s="188"/>
      <c r="E26" s="117"/>
      <c r="F26" s="117"/>
      <c r="G26" s="117"/>
      <c r="H26" s="188"/>
      <c r="I26" s="117"/>
      <c r="J26" s="187"/>
      <c r="K26" s="188"/>
      <c r="L26" s="117"/>
      <c r="M26" s="188"/>
      <c r="N26" s="188"/>
      <c r="O26" s="189" t="str">
        <f aca="false">IF(OR(D26="",M26=""),"",M26/D26-1)</f>
        <v/>
      </c>
      <c r="P26" s="190" t="str">
        <f aca="false">IF(OR(H26="",N26=""),"",N26/H26-1)</f>
        <v/>
      </c>
      <c r="Q26" s="189" t="str">
        <f aca="false">IF(OR(O26="",P26=""),"",O26-P26)</f>
        <v/>
      </c>
    </row>
    <row r="27" customFormat="false" ht="15" hidden="false" customHeight="true" outlineLevel="0" collapsed="false">
      <c r="A27" s="182"/>
      <c r="B27" s="117"/>
      <c r="C27" s="187"/>
      <c r="D27" s="188"/>
      <c r="E27" s="117"/>
      <c r="F27" s="117"/>
      <c r="G27" s="117"/>
      <c r="H27" s="188"/>
      <c r="I27" s="117"/>
      <c r="J27" s="187"/>
      <c r="K27" s="188"/>
      <c r="L27" s="117"/>
      <c r="M27" s="188"/>
      <c r="N27" s="188"/>
      <c r="O27" s="189" t="str">
        <f aca="false">IF(OR(D27="",M27=""),"",M27/D27-1)</f>
        <v/>
      </c>
      <c r="P27" s="190" t="str">
        <f aca="false">IF(OR(H27="",N27=""),"",N27/H27-1)</f>
        <v/>
      </c>
      <c r="Q27" s="189" t="str">
        <f aca="false">IF(OR(O27="",P27=""),"",O27-P27)</f>
        <v/>
      </c>
    </row>
    <row r="28" customFormat="false" ht="15" hidden="false" customHeight="true" outlineLevel="0" collapsed="false">
      <c r="A28" s="182"/>
      <c r="B28" s="117"/>
      <c r="C28" s="187"/>
      <c r="D28" s="188"/>
      <c r="E28" s="117"/>
      <c r="F28" s="117"/>
      <c r="G28" s="117"/>
      <c r="H28" s="188"/>
      <c r="I28" s="117"/>
      <c r="J28" s="187"/>
      <c r="K28" s="188"/>
      <c r="L28" s="117"/>
      <c r="M28" s="188"/>
      <c r="N28" s="188"/>
      <c r="O28" s="189" t="str">
        <f aca="false">IF(OR(D28="",M28=""),"",M28/D28-1)</f>
        <v/>
      </c>
      <c r="P28" s="190" t="str">
        <f aca="false">IF(OR(H28="",N28=""),"",N28/H28-1)</f>
        <v/>
      </c>
      <c r="Q28" s="189" t="str">
        <f aca="false">IF(OR(O28="",P28=""),"",O28-P28)</f>
        <v/>
      </c>
    </row>
    <row r="29" customFormat="false" ht="15" hidden="false" customHeight="true" outlineLevel="0" collapsed="false">
      <c r="A29" s="182"/>
      <c r="B29" s="117"/>
      <c r="C29" s="187"/>
      <c r="D29" s="188"/>
      <c r="E29" s="117"/>
      <c r="F29" s="117"/>
      <c r="G29" s="117"/>
      <c r="H29" s="188"/>
      <c r="I29" s="117"/>
      <c r="J29" s="187"/>
      <c r="K29" s="188"/>
      <c r="L29" s="117"/>
      <c r="M29" s="188"/>
      <c r="N29" s="188"/>
      <c r="O29" s="189" t="str">
        <f aca="false">IF(OR(D29="",M29=""),"",M29/D29-1)</f>
        <v/>
      </c>
      <c r="P29" s="190" t="str">
        <f aca="false">IF(OR(H29="",N29=""),"",N29/H29-1)</f>
        <v/>
      </c>
      <c r="Q29" s="189" t="str">
        <f aca="false">IF(OR(O29="",P29=""),"",O29-P29)</f>
        <v/>
      </c>
    </row>
    <row r="30" customFormat="false" ht="15" hidden="false" customHeight="true" outlineLevel="0" collapsed="false">
      <c r="A30" s="182"/>
      <c r="B30" s="117"/>
      <c r="C30" s="187"/>
      <c r="D30" s="188"/>
      <c r="E30" s="117"/>
      <c r="F30" s="117"/>
      <c r="G30" s="117"/>
      <c r="H30" s="188"/>
      <c r="I30" s="117"/>
      <c r="J30" s="187"/>
      <c r="K30" s="188"/>
      <c r="L30" s="117"/>
      <c r="M30" s="188"/>
      <c r="N30" s="188"/>
      <c r="O30" s="189" t="str">
        <f aca="false">IF(OR(D30="",M30=""),"",M30/D30-1)</f>
        <v/>
      </c>
      <c r="P30" s="190" t="str">
        <f aca="false">IF(OR(H30="",N30=""),"",N30/H30-1)</f>
        <v/>
      </c>
      <c r="Q30" s="189" t="str">
        <f aca="false">IF(OR(O30="",P30=""),"",O30-P30)</f>
        <v/>
      </c>
    </row>
    <row r="31" customFormat="false" ht="15" hidden="false" customHeight="true" outlineLevel="0" collapsed="false">
      <c r="A31" s="182"/>
      <c r="B31" s="117"/>
      <c r="C31" s="187"/>
      <c r="D31" s="188"/>
      <c r="E31" s="117"/>
      <c r="F31" s="117"/>
      <c r="G31" s="117"/>
      <c r="H31" s="188"/>
      <c r="I31" s="117"/>
      <c r="J31" s="187"/>
      <c r="K31" s="188"/>
      <c r="L31" s="117"/>
      <c r="M31" s="188"/>
      <c r="N31" s="188"/>
      <c r="O31" s="189" t="str">
        <f aca="false">IF(OR(D31="",M31=""),"",M31/D31-1)</f>
        <v/>
      </c>
      <c r="P31" s="190" t="str">
        <f aca="false">IF(OR(H31="",N31=""),"",N31/H31-1)</f>
        <v/>
      </c>
      <c r="Q31" s="189" t="str">
        <f aca="false">IF(OR(O31="",P31=""),"",O31-P31)</f>
        <v/>
      </c>
    </row>
    <row r="32" customFormat="false" ht="15" hidden="false" customHeight="true" outlineLevel="0" collapsed="false">
      <c r="A32" s="182"/>
      <c r="B32" s="117"/>
      <c r="C32" s="187"/>
      <c r="D32" s="188"/>
      <c r="E32" s="117"/>
      <c r="F32" s="117"/>
      <c r="G32" s="117"/>
      <c r="H32" s="188"/>
      <c r="I32" s="117"/>
      <c r="J32" s="187"/>
      <c r="K32" s="188"/>
      <c r="L32" s="117"/>
      <c r="M32" s="188"/>
      <c r="N32" s="188"/>
      <c r="O32" s="189" t="str">
        <f aca="false">IF(OR(D32="",M32=""),"",M32/D32-1)</f>
        <v/>
      </c>
      <c r="P32" s="190" t="str">
        <f aca="false">IF(OR(H32="",N32=""),"",N32/H32-1)</f>
        <v/>
      </c>
      <c r="Q32" s="189" t="str">
        <f aca="false">IF(OR(O32="",P32=""),"",O32-P32)</f>
        <v/>
      </c>
    </row>
    <row r="34" customFormat="false" ht="25.5" hidden="false" customHeight="true" outlineLevel="0" collapsed="false">
      <c r="A34" s="191" t="s">
        <v>543</v>
      </c>
      <c r="B34" s="191"/>
      <c r="C34" s="191"/>
      <c r="D34" s="191"/>
      <c r="E34" s="191"/>
      <c r="F34" s="191"/>
      <c r="G34" s="191"/>
      <c r="H34" s="191"/>
      <c r="I34" s="191"/>
      <c r="J34" s="191"/>
      <c r="K34" s="191"/>
      <c r="L34" s="191"/>
      <c r="M34" s="191"/>
      <c r="N34" s="191"/>
      <c r="O34" s="191"/>
      <c r="P34" s="191"/>
      <c r="Q34" s="191"/>
    </row>
  </sheetData>
  <mergeCells count="2">
    <mergeCell ref="A1:P1"/>
    <mergeCell ref="A34:Q34"/>
  </mergeCells>
  <conditionalFormatting sqref="Q3:Q32">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50" activePane="bottomLeft" state="frozen"/>
      <selection pane="topLeft" activeCell="A1" activeCellId="0" sqref="A1"/>
      <selection pane="bottomLeft" activeCell="C55" activeCellId="0" sqref="C55"/>
    </sheetView>
  </sheetViews>
  <sheetFormatPr defaultColWidth="8.66796875" defaultRowHeight="14.25" customHeight="false" zeroHeight="false" outlineLevelRow="0" outlineLevelCol="0"/>
  <cols>
    <col collapsed="false" customWidth="true" hidden="false" outlineLevel="0" max="1" min="1" style="192" width="8.76"/>
    <col collapsed="false" customWidth="true" hidden="false" outlineLevel="0" max="2" min="2" style="192" width="15.33"/>
    <col collapsed="false" customWidth="true" hidden="false" outlineLevel="0" max="3" min="3" style="1" width="98.56"/>
  </cols>
  <sheetData>
    <row r="1" customFormat="false" ht="27.75" hidden="false" customHeight="true" outlineLevel="0" collapsed="false">
      <c r="A1" s="193" t="s">
        <v>544</v>
      </c>
      <c r="B1" s="193"/>
      <c r="C1" s="193"/>
    </row>
    <row r="2" customFormat="false" ht="18" hidden="false" customHeight="true" outlineLevel="0" collapsed="false">
      <c r="A2" s="140" t="s">
        <v>461</v>
      </c>
      <c r="B2" s="140" t="s">
        <v>81</v>
      </c>
      <c r="C2" s="140" t="s">
        <v>210</v>
      </c>
    </row>
    <row r="3" customFormat="false" ht="27.75" hidden="false" customHeight="true" outlineLevel="0" collapsed="false">
      <c r="A3" s="194" t="n">
        <v>46241</v>
      </c>
      <c r="B3" s="195" t="s">
        <v>173</v>
      </c>
      <c r="C3" s="196" t="s">
        <v>545</v>
      </c>
    </row>
    <row r="4" customFormat="false" ht="27.75" hidden="false" customHeight="true" outlineLevel="0" collapsed="false">
      <c r="A4" s="194" t="n">
        <v>46241</v>
      </c>
      <c r="B4" s="195" t="s">
        <v>176</v>
      </c>
      <c r="C4" s="196" t="s">
        <v>546</v>
      </c>
    </row>
    <row r="5" customFormat="false" ht="15" hidden="false" customHeight="true" outlineLevel="0" collapsed="false">
      <c r="A5" s="194" t="n">
        <v>46241</v>
      </c>
      <c r="B5" s="195" t="s">
        <v>184</v>
      </c>
      <c r="C5" s="196" t="s">
        <v>547</v>
      </c>
    </row>
    <row r="6" customFormat="false" ht="40.5" hidden="false" customHeight="true" outlineLevel="0" collapsed="false">
      <c r="A6" s="194" t="n">
        <v>46241</v>
      </c>
      <c r="B6" s="195" t="s">
        <v>167</v>
      </c>
      <c r="C6" s="196" t="s">
        <v>548</v>
      </c>
    </row>
    <row r="7" customFormat="false" ht="27.75" hidden="false" customHeight="true" outlineLevel="0" collapsed="false">
      <c r="A7" s="194" t="n">
        <v>46241</v>
      </c>
      <c r="B7" s="195" t="s">
        <v>549</v>
      </c>
      <c r="C7" s="196" t="s">
        <v>550</v>
      </c>
    </row>
    <row r="8" customFormat="false" ht="27.75" hidden="false" customHeight="true" outlineLevel="0" collapsed="false">
      <c r="A8" s="194" t="n">
        <v>46241</v>
      </c>
      <c r="B8" s="195" t="s">
        <v>549</v>
      </c>
      <c r="C8" s="196" t="s">
        <v>551</v>
      </c>
    </row>
    <row r="9" customFormat="false" ht="27.75" hidden="false" customHeight="true" outlineLevel="0" collapsed="false">
      <c r="A9" s="194" t="n">
        <v>46241</v>
      </c>
      <c r="B9" s="195" t="s">
        <v>552</v>
      </c>
      <c r="C9" s="196" t="s">
        <v>553</v>
      </c>
    </row>
    <row r="10" customFormat="false" ht="27.75" hidden="false" customHeight="true" outlineLevel="0" collapsed="false">
      <c r="A10" s="194" t="n">
        <v>46241</v>
      </c>
      <c r="B10" s="195" t="s">
        <v>554</v>
      </c>
      <c r="C10" s="196" t="s">
        <v>555</v>
      </c>
    </row>
    <row r="11" customFormat="false" ht="27.75" hidden="false" customHeight="true" outlineLevel="0" collapsed="false">
      <c r="A11" s="194" t="n">
        <v>46241</v>
      </c>
      <c r="B11" s="195" t="s">
        <v>129</v>
      </c>
      <c r="C11" s="196" t="s">
        <v>556</v>
      </c>
    </row>
    <row r="12" customFormat="false" ht="78.75" hidden="false" customHeight="true" outlineLevel="0" collapsed="false">
      <c r="A12" s="194" t="n">
        <v>46273</v>
      </c>
      <c r="B12" s="195" t="s">
        <v>557</v>
      </c>
      <c r="C12" s="196" t="s">
        <v>558</v>
      </c>
    </row>
    <row r="13" customFormat="false" ht="53.25" hidden="false" customHeight="true" outlineLevel="0" collapsed="false">
      <c r="A13" s="194" t="n">
        <v>46295</v>
      </c>
      <c r="B13" s="195" t="s">
        <v>559</v>
      </c>
      <c r="C13" s="196" t="s">
        <v>560</v>
      </c>
    </row>
    <row r="14" customFormat="false" ht="66" hidden="false" customHeight="true" outlineLevel="0" collapsed="false">
      <c r="A14" s="194" t="n">
        <v>46302</v>
      </c>
      <c r="B14" s="195" t="s">
        <v>561</v>
      </c>
      <c r="C14" s="196" t="s">
        <v>562</v>
      </c>
    </row>
    <row r="15" customFormat="false" ht="91.5" hidden="false" customHeight="true" outlineLevel="0" collapsed="false">
      <c r="A15" s="194" t="n">
        <v>46320</v>
      </c>
      <c r="B15" s="195" t="s">
        <v>563</v>
      </c>
      <c r="C15" s="196" t="s">
        <v>564</v>
      </c>
    </row>
    <row r="16" customFormat="false" ht="53.25" hidden="false" customHeight="true" outlineLevel="0" collapsed="false">
      <c r="A16" s="194" t="n">
        <v>46335</v>
      </c>
      <c r="B16" s="195" t="s">
        <v>565</v>
      </c>
      <c r="C16" s="196" t="s">
        <v>566</v>
      </c>
    </row>
    <row r="17" customFormat="false" ht="27.75" hidden="false" customHeight="true" outlineLevel="0" collapsed="false">
      <c r="A17" s="194" t="n">
        <v>46387</v>
      </c>
      <c r="B17" s="195" t="s">
        <v>567</v>
      </c>
      <c r="C17" s="196" t="s">
        <v>568</v>
      </c>
    </row>
    <row r="18" customFormat="false" ht="66" hidden="false" customHeight="true" outlineLevel="0" collapsed="false">
      <c r="A18" s="194" t="n">
        <v>46412</v>
      </c>
      <c r="B18" s="195" t="s">
        <v>569</v>
      </c>
      <c r="C18" s="196" t="s">
        <v>570</v>
      </c>
    </row>
    <row r="19" customFormat="false" ht="91.5" hidden="false" customHeight="true" outlineLevel="0" collapsed="false">
      <c r="A19" s="194" t="n">
        <v>46252</v>
      </c>
      <c r="B19" s="195" t="s">
        <v>571</v>
      </c>
      <c r="C19" s="196" t="s">
        <v>572</v>
      </c>
    </row>
    <row r="20" customFormat="false" ht="66" hidden="false" customHeight="true" outlineLevel="0" collapsed="false">
      <c r="A20" s="194" t="n">
        <v>46258</v>
      </c>
      <c r="B20" s="195" t="s">
        <v>573</v>
      </c>
      <c r="C20" s="196" t="s">
        <v>574</v>
      </c>
    </row>
    <row r="21" customFormat="false" ht="104.25" hidden="false" customHeight="true" outlineLevel="0" collapsed="false">
      <c r="A21" s="194" t="n">
        <v>46260</v>
      </c>
      <c r="B21" s="195" t="s">
        <v>575</v>
      </c>
      <c r="C21" s="196" t="s">
        <v>576</v>
      </c>
    </row>
    <row r="22" customFormat="false" ht="155.25" hidden="false" customHeight="true" outlineLevel="0" collapsed="false">
      <c r="A22" s="194" t="n">
        <v>46272</v>
      </c>
      <c r="B22" s="195" t="s">
        <v>577</v>
      </c>
      <c r="C22" s="196" t="s">
        <v>578</v>
      </c>
    </row>
    <row r="23" customFormat="false" ht="53.25" hidden="false" customHeight="true" outlineLevel="0" collapsed="false">
      <c r="A23" s="194" t="n">
        <v>46302</v>
      </c>
      <c r="B23" s="195" t="s">
        <v>579</v>
      </c>
      <c r="C23" s="196" t="s">
        <v>580</v>
      </c>
    </row>
    <row r="24" customFormat="false" ht="53.25" hidden="false" customHeight="true" outlineLevel="0" collapsed="false">
      <c r="A24" s="194" t="n">
        <v>46310</v>
      </c>
      <c r="B24" s="195" t="s">
        <v>581</v>
      </c>
      <c r="C24" s="196" t="s">
        <v>580</v>
      </c>
    </row>
    <row r="25" customFormat="false" ht="53.25" hidden="false" customHeight="true" outlineLevel="0" collapsed="false">
      <c r="A25" s="194" t="n">
        <v>46335</v>
      </c>
      <c r="B25" s="195" t="s">
        <v>582</v>
      </c>
      <c r="C25" s="196" t="s">
        <v>580</v>
      </c>
    </row>
    <row r="26" customFormat="false" ht="53.25" hidden="false" customHeight="true" outlineLevel="0" collapsed="false">
      <c r="A26" s="194" t="n">
        <v>46342</v>
      </c>
      <c r="B26" s="195" t="s">
        <v>583</v>
      </c>
      <c r="C26" s="196" t="s">
        <v>580</v>
      </c>
    </row>
    <row r="27" customFormat="false" ht="53.25" hidden="false" customHeight="true" outlineLevel="0" collapsed="false">
      <c r="A27" s="194" t="n">
        <v>46363</v>
      </c>
      <c r="B27" s="195" t="s">
        <v>584</v>
      </c>
      <c r="C27" s="196" t="s">
        <v>580</v>
      </c>
    </row>
    <row r="28" customFormat="false" ht="53.25" hidden="false" customHeight="true" outlineLevel="0" collapsed="false">
      <c r="A28" s="194" t="n">
        <v>46371</v>
      </c>
      <c r="B28" s="195" t="s">
        <v>585</v>
      </c>
      <c r="C28" s="196" t="s">
        <v>580</v>
      </c>
    </row>
    <row r="29" customFormat="false" ht="53.25" hidden="false" customHeight="true" outlineLevel="0" collapsed="false">
      <c r="A29" s="194" t="n">
        <v>46394</v>
      </c>
      <c r="B29" s="195" t="s">
        <v>586</v>
      </c>
      <c r="C29" s="196" t="s">
        <v>580</v>
      </c>
    </row>
    <row r="30" customFormat="false" ht="53.25" hidden="false" customHeight="true" outlineLevel="0" collapsed="false">
      <c r="A30" s="194" t="n">
        <v>46402</v>
      </c>
      <c r="B30" s="195" t="s">
        <v>587</v>
      </c>
      <c r="C30" s="196" t="s">
        <v>580</v>
      </c>
    </row>
    <row r="31" customFormat="false" ht="53.25" hidden="false" customHeight="true" outlineLevel="0" collapsed="false">
      <c r="A31" s="194" t="n">
        <v>46426</v>
      </c>
      <c r="B31" s="195" t="s">
        <v>588</v>
      </c>
      <c r="C31" s="196" t="s">
        <v>580</v>
      </c>
    </row>
    <row r="32" customFormat="false" ht="53.25" hidden="false" customHeight="true" outlineLevel="0" collapsed="false">
      <c r="A32" s="194" t="n">
        <v>46434</v>
      </c>
      <c r="B32" s="195" t="s">
        <v>589</v>
      </c>
      <c r="C32" s="196" t="s">
        <v>580</v>
      </c>
    </row>
    <row r="33" customFormat="false" ht="53.25" hidden="false" customHeight="true" outlineLevel="0" collapsed="false">
      <c r="A33" s="194" t="n">
        <v>46454</v>
      </c>
      <c r="B33" s="195" t="s">
        <v>590</v>
      </c>
      <c r="C33" s="196" t="s">
        <v>580</v>
      </c>
    </row>
    <row r="34" customFormat="false" ht="53.25" hidden="false" customHeight="true" outlineLevel="0" collapsed="false">
      <c r="A34" s="194" t="n">
        <v>46461</v>
      </c>
      <c r="B34" s="195" t="s">
        <v>591</v>
      </c>
      <c r="C34" s="196" t="s">
        <v>592</v>
      </c>
    </row>
    <row r="35" customFormat="false" ht="117" hidden="false" customHeight="true" outlineLevel="0" collapsed="false">
      <c r="A35" s="194" t="n">
        <v>46273</v>
      </c>
      <c r="B35" s="195" t="s">
        <v>593</v>
      </c>
      <c r="C35" s="196" t="s">
        <v>594</v>
      </c>
    </row>
    <row r="36" customFormat="false" ht="155.25" hidden="false" customHeight="true" outlineLevel="0" collapsed="false">
      <c r="A36" s="194" t="n">
        <v>46276</v>
      </c>
      <c r="B36" s="195" t="s">
        <v>595</v>
      </c>
      <c r="C36" s="196" t="s">
        <v>596</v>
      </c>
    </row>
    <row r="37" customFormat="false" ht="91.5" hidden="false" customHeight="true" outlineLevel="0" collapsed="false">
      <c r="A37" s="194" t="n">
        <v>46276</v>
      </c>
      <c r="B37" s="195" t="s">
        <v>597</v>
      </c>
      <c r="C37" s="196" t="s">
        <v>598</v>
      </c>
    </row>
    <row r="38" customFormat="false" ht="78.75" hidden="false" customHeight="true" outlineLevel="0" collapsed="false">
      <c r="A38" s="194" t="n">
        <v>46276</v>
      </c>
      <c r="B38" s="195" t="s">
        <v>599</v>
      </c>
      <c r="C38" s="196" t="s">
        <v>600</v>
      </c>
    </row>
    <row r="39" customFormat="false" ht="168" hidden="false" customHeight="true" outlineLevel="0" collapsed="false">
      <c r="A39" s="194" t="n">
        <v>46276</v>
      </c>
      <c r="B39" s="195" t="s">
        <v>601</v>
      </c>
      <c r="C39" s="196" t="s">
        <v>602</v>
      </c>
    </row>
    <row r="40" customFormat="false" ht="129.75" hidden="false" customHeight="true" outlineLevel="0" collapsed="false">
      <c r="A40" s="194" t="n">
        <v>46276</v>
      </c>
      <c r="B40" s="195" t="s">
        <v>601</v>
      </c>
      <c r="C40" s="196" t="s">
        <v>603</v>
      </c>
    </row>
    <row r="41" customFormat="false" ht="129.75" hidden="false" customHeight="true" outlineLevel="0" collapsed="false">
      <c r="A41" s="194" t="n">
        <v>46276</v>
      </c>
      <c r="B41" s="195" t="s">
        <v>167</v>
      </c>
      <c r="C41" s="196" t="s">
        <v>604</v>
      </c>
    </row>
    <row r="42" customFormat="false" ht="155.25" hidden="false" customHeight="true" outlineLevel="0" collapsed="false">
      <c r="A42" s="194" t="n">
        <v>46276</v>
      </c>
      <c r="B42" s="195" t="s">
        <v>601</v>
      </c>
      <c r="C42" s="196" t="s">
        <v>605</v>
      </c>
    </row>
    <row r="43" customFormat="false" ht="168" hidden="false" customHeight="true" outlineLevel="0" collapsed="false">
      <c r="A43" s="194" t="n">
        <v>46276</v>
      </c>
      <c r="B43" s="195" t="s">
        <v>606</v>
      </c>
      <c r="C43" s="196" t="s">
        <v>607</v>
      </c>
    </row>
    <row r="44" customFormat="false" ht="155.25" hidden="false" customHeight="true" outlineLevel="0" collapsed="false">
      <c r="A44" s="194" t="n">
        <v>46276</v>
      </c>
      <c r="B44" s="195" t="s">
        <v>608</v>
      </c>
      <c r="C44" s="196" t="s">
        <v>609</v>
      </c>
    </row>
    <row r="45" customFormat="false" ht="27.75" hidden="false" customHeight="true" outlineLevel="0" collapsed="false">
      <c r="A45" s="194" t="n">
        <v>46295</v>
      </c>
      <c r="B45" s="195" t="s">
        <v>610</v>
      </c>
      <c r="C45" s="196" t="s">
        <v>611</v>
      </c>
    </row>
    <row r="46" customFormat="false" ht="40.5" hidden="false" customHeight="true" outlineLevel="0" collapsed="false">
      <c r="A46" s="194" t="n">
        <v>46302</v>
      </c>
      <c r="B46" s="195" t="s">
        <v>612</v>
      </c>
      <c r="C46" s="196" t="s">
        <v>613</v>
      </c>
    </row>
    <row r="47" customFormat="false" ht="15" hidden="false" customHeight="true" outlineLevel="0" collapsed="false">
      <c r="A47" s="194" t="n">
        <v>46317</v>
      </c>
      <c r="B47" s="195" t="s">
        <v>614</v>
      </c>
      <c r="C47" s="196" t="s">
        <v>615</v>
      </c>
    </row>
    <row r="48" customFormat="false" ht="27.75" hidden="false" customHeight="true" outlineLevel="0" collapsed="false">
      <c r="A48" s="194" t="n">
        <v>46335</v>
      </c>
      <c r="B48" s="195" t="s">
        <v>616</v>
      </c>
      <c r="C48" s="196" t="s">
        <v>617</v>
      </c>
    </row>
    <row r="49" customFormat="false" ht="27.75" hidden="false" customHeight="true" outlineLevel="0" collapsed="false">
      <c r="A49" s="194" t="n">
        <v>46349</v>
      </c>
      <c r="B49" s="195" t="s">
        <v>618</v>
      </c>
      <c r="C49" s="196" t="s">
        <v>619</v>
      </c>
    </row>
    <row r="50" customFormat="false" ht="15" hidden="false" customHeight="true" outlineLevel="0" collapsed="false">
      <c r="A50" s="194" t="n">
        <v>46363</v>
      </c>
      <c r="B50" s="195" t="s">
        <v>620</v>
      </c>
      <c r="C50" s="196" t="s">
        <v>615</v>
      </c>
    </row>
    <row r="51" customFormat="false" ht="15" hidden="false" customHeight="true" outlineLevel="0" collapsed="false">
      <c r="A51" s="194" t="n">
        <v>46378</v>
      </c>
      <c r="B51" s="195" t="s">
        <v>621</v>
      </c>
      <c r="C51" s="196" t="s">
        <v>615</v>
      </c>
    </row>
    <row r="52" customFormat="false" ht="27.75" hidden="false" customHeight="true" outlineLevel="0" collapsed="false">
      <c r="A52" s="194" t="n">
        <v>46394</v>
      </c>
      <c r="B52" s="195" t="s">
        <v>622</v>
      </c>
      <c r="C52" s="196" t="s">
        <v>623</v>
      </c>
    </row>
    <row r="53" customFormat="false" ht="295.5" hidden="false" customHeight="true" outlineLevel="0" collapsed="false">
      <c r="A53" s="194" t="n">
        <v>46276</v>
      </c>
      <c r="B53" s="195" t="s">
        <v>624</v>
      </c>
      <c r="C53" s="196" t="s">
        <v>625</v>
      </c>
    </row>
    <row r="54" customFormat="false" ht="359.25" hidden="false" customHeight="true" outlineLevel="0" collapsed="false">
      <c r="A54" s="194" t="n">
        <v>46278</v>
      </c>
      <c r="B54" s="195" t="s">
        <v>626</v>
      </c>
      <c r="C54" s="196" t="s">
        <v>627</v>
      </c>
    </row>
    <row r="55" customFormat="false" ht="270" hidden="false" customHeight="true" outlineLevel="0" collapsed="false">
      <c r="A55" s="194" t="n">
        <v>46278</v>
      </c>
      <c r="B55" s="195" t="s">
        <v>628</v>
      </c>
      <c r="C55" s="196" t="s">
        <v>629</v>
      </c>
    </row>
    <row r="56" customFormat="false" ht="409.5" hidden="false" customHeight="true" outlineLevel="0" collapsed="false">
      <c r="A56" s="194" t="n">
        <v>46278</v>
      </c>
      <c r="B56" s="195" t="s">
        <v>630</v>
      </c>
      <c r="C56" s="196" t="s">
        <v>631</v>
      </c>
    </row>
    <row r="57" customFormat="false" ht="193.5" hidden="false" customHeight="true" outlineLevel="0" collapsed="false">
      <c r="A57" s="194" t="n">
        <v>46278</v>
      </c>
      <c r="B57" s="195" t="s">
        <v>632</v>
      </c>
      <c r="C57" s="196" t="s">
        <v>633</v>
      </c>
    </row>
    <row r="58" customFormat="false" ht="384.75" hidden="false" customHeight="true" outlineLevel="0" collapsed="false">
      <c r="A58" s="194" t="n">
        <v>46278</v>
      </c>
      <c r="B58" s="195" t="s">
        <v>634</v>
      </c>
      <c r="C58" s="196" t="s">
        <v>635</v>
      </c>
    </row>
    <row r="59" customFormat="false" ht="409.5" hidden="false" customHeight="true" outlineLevel="0" collapsed="false">
      <c r="A59" s="194" t="n">
        <v>46278</v>
      </c>
      <c r="B59" s="195" t="s">
        <v>636</v>
      </c>
      <c r="C59" s="196" t="s">
        <v>637</v>
      </c>
    </row>
    <row r="60" customFormat="false" ht="397.5" hidden="false" customHeight="true" outlineLevel="0" collapsed="false">
      <c r="A60" s="194" t="n">
        <v>46278</v>
      </c>
      <c r="B60" s="195" t="s">
        <v>638</v>
      </c>
      <c r="C60" s="196" t="s">
        <v>639</v>
      </c>
    </row>
    <row r="61" customFormat="false" ht="409.5" hidden="false" customHeight="true" outlineLevel="0" collapsed="false">
      <c r="A61" s="194" t="n">
        <v>46278</v>
      </c>
      <c r="B61" s="195" t="s">
        <v>640</v>
      </c>
      <c r="C61" s="196" t="s">
        <v>641</v>
      </c>
    </row>
    <row r="62" customFormat="false" ht="409.5" hidden="false" customHeight="true" outlineLevel="0" collapsed="false">
      <c r="A62" s="194" t="n">
        <v>46294</v>
      </c>
      <c r="B62" s="195" t="s">
        <v>642</v>
      </c>
      <c r="C62" s="196" t="s">
        <v>643</v>
      </c>
    </row>
    <row r="63" customFormat="false" ht="129.75" hidden="false" customHeight="true" outlineLevel="0" collapsed="false">
      <c r="A63" s="194" t="n">
        <v>46294</v>
      </c>
      <c r="B63" s="195" t="s">
        <v>644</v>
      </c>
      <c r="C63" s="196" t="s">
        <v>645</v>
      </c>
    </row>
    <row r="64" customFormat="false" ht="155.25" hidden="false" customHeight="true" outlineLevel="0" collapsed="false">
      <c r="A64" s="194" t="n">
        <v>46295</v>
      </c>
      <c r="B64" s="195" t="s">
        <v>610</v>
      </c>
      <c r="C64" s="196" t="s">
        <v>646</v>
      </c>
    </row>
    <row r="65" customFormat="false" ht="104.25" hidden="false" customHeight="true" outlineLevel="0" collapsed="false">
      <c r="A65" s="194" t="n">
        <v>46295</v>
      </c>
      <c r="B65" s="195" t="s">
        <v>647</v>
      </c>
      <c r="C65" s="196" t="s">
        <v>648</v>
      </c>
    </row>
    <row r="66" customFormat="false" ht="282.75" hidden="false" customHeight="true" outlineLevel="0" collapsed="false">
      <c r="A66" s="194" t="n">
        <v>46295</v>
      </c>
      <c r="B66" s="195" t="s">
        <v>95</v>
      </c>
      <c r="C66" s="196" t="s">
        <v>649</v>
      </c>
    </row>
    <row r="67" customFormat="false" ht="155.25" hidden="false" customHeight="true" outlineLevel="0" collapsed="false">
      <c r="A67" s="194" t="n">
        <v>46295</v>
      </c>
      <c r="B67" s="195"/>
      <c r="C67" s="196" t="s">
        <v>650</v>
      </c>
    </row>
    <row r="68" customFormat="false" ht="155.25" hidden="false" customHeight="true" outlineLevel="0" collapsed="false">
      <c r="A68" s="194" t="n">
        <v>46295</v>
      </c>
      <c r="B68" s="195"/>
      <c r="C68" s="196" t="s">
        <v>651</v>
      </c>
    </row>
    <row r="69" customFormat="false" ht="219" hidden="false" customHeight="true" outlineLevel="0" collapsed="false">
      <c r="A69" s="194" t="n">
        <v>46295</v>
      </c>
      <c r="B69" s="195" t="s">
        <v>652</v>
      </c>
      <c r="C69" s="196" t="s">
        <v>653</v>
      </c>
    </row>
    <row r="70" customFormat="false" ht="206.25" hidden="false" customHeight="true" outlineLevel="0" collapsed="false">
      <c r="A70" s="194" t="n">
        <v>46295</v>
      </c>
      <c r="B70" s="195" t="s">
        <v>654</v>
      </c>
      <c r="C70" s="196" t="s">
        <v>655</v>
      </c>
    </row>
    <row r="71" customFormat="false" ht="409.5" hidden="false" customHeight="true" outlineLevel="0" collapsed="false">
      <c r="A71" s="194" t="n">
        <v>46296</v>
      </c>
      <c r="B71" s="195" t="s">
        <v>143</v>
      </c>
      <c r="C71" s="196" t="s">
        <v>656</v>
      </c>
    </row>
    <row r="72" customFormat="false" ht="295.5" hidden="false" customHeight="true" outlineLevel="0" collapsed="false">
      <c r="A72" s="194" t="n">
        <v>46296</v>
      </c>
      <c r="B72" s="195"/>
      <c r="C72" s="196" t="s">
        <v>657</v>
      </c>
    </row>
    <row r="73" customFormat="false" ht="282.75" hidden="false" customHeight="true" outlineLevel="0" collapsed="false">
      <c r="A73" s="194" t="n">
        <v>46296</v>
      </c>
      <c r="B73" s="195" t="s">
        <v>658</v>
      </c>
      <c r="C73" s="196" t="s">
        <v>659</v>
      </c>
    </row>
    <row r="74" customFormat="false" ht="142.5" hidden="false" customHeight="true" outlineLevel="0" collapsed="false">
      <c r="A74" s="194" t="n">
        <v>46296</v>
      </c>
      <c r="B74" s="195" t="s">
        <v>660</v>
      </c>
      <c r="C74" s="196" t="s">
        <v>661</v>
      </c>
    </row>
    <row r="75" customFormat="false" ht="117" hidden="false" customHeight="true" outlineLevel="0" collapsed="false">
      <c r="A75" s="194" t="n">
        <v>46297</v>
      </c>
      <c r="B75" s="195" t="s">
        <v>662</v>
      </c>
      <c r="C75" s="196" t="s">
        <v>663</v>
      </c>
    </row>
    <row r="76" customFormat="false" ht="53.25" hidden="false" customHeight="true" outlineLevel="0" collapsed="false">
      <c r="A76" s="194" t="n">
        <v>46297</v>
      </c>
      <c r="B76" s="195" t="s">
        <v>143</v>
      </c>
      <c r="C76" s="196" t="s">
        <v>664</v>
      </c>
    </row>
    <row r="77" customFormat="false" ht="155.25" hidden="false" customHeight="true" outlineLevel="0" collapsed="false">
      <c r="A77" s="194" t="n">
        <v>46297</v>
      </c>
      <c r="B77" s="195" t="s">
        <v>665</v>
      </c>
      <c r="C77" s="196" t="s">
        <v>666</v>
      </c>
    </row>
    <row r="78" customFormat="false" ht="295.5" hidden="false" customHeight="true" outlineLevel="0" collapsed="false">
      <c r="A78" s="194" t="n">
        <v>46297</v>
      </c>
      <c r="B78" s="195" t="s">
        <v>667</v>
      </c>
      <c r="C78" s="196" t="s">
        <v>668</v>
      </c>
    </row>
    <row r="79" customFormat="false" ht="282.75" hidden="false" customHeight="true" outlineLevel="0" collapsed="false">
      <c r="A79" s="194" t="n">
        <v>46297</v>
      </c>
      <c r="B79" s="195" t="s">
        <v>669</v>
      </c>
      <c r="C79" s="196" t="s">
        <v>670</v>
      </c>
    </row>
    <row r="80" customFormat="false" ht="257.25" hidden="false" customHeight="true" outlineLevel="0" collapsed="false">
      <c r="A80" s="194" t="n">
        <v>46297</v>
      </c>
      <c r="B80" s="195" t="s">
        <v>407</v>
      </c>
      <c r="C80" s="196" t="s">
        <v>671</v>
      </c>
    </row>
    <row r="81" customFormat="false" ht="282.75" hidden="false" customHeight="true" outlineLevel="0" collapsed="false">
      <c r="A81" s="194" t="n">
        <v>46299</v>
      </c>
      <c r="B81" s="195" t="s">
        <v>672</v>
      </c>
      <c r="C81" s="196" t="s">
        <v>673</v>
      </c>
    </row>
    <row r="82" customFormat="false" ht="321" hidden="false" customHeight="true" outlineLevel="0" collapsed="false">
      <c r="A82" s="194" t="n">
        <v>46299</v>
      </c>
      <c r="B82" s="195" t="s">
        <v>674</v>
      </c>
      <c r="C82" s="196" t="s">
        <v>675</v>
      </c>
    </row>
    <row r="83" customFormat="false" ht="129.75" hidden="false" customHeight="true" outlineLevel="0" collapsed="false">
      <c r="A83" s="194" t="n">
        <v>46299</v>
      </c>
      <c r="B83" s="195" t="s">
        <v>674</v>
      </c>
      <c r="C83" s="196" t="s">
        <v>676</v>
      </c>
    </row>
    <row r="84" customFormat="false" ht="346.5" hidden="false" customHeight="true" outlineLevel="0" collapsed="false">
      <c r="A84" s="194" t="n">
        <v>46299</v>
      </c>
      <c r="B84" s="195" t="s">
        <v>677</v>
      </c>
      <c r="C84" s="196" t="s">
        <v>678</v>
      </c>
    </row>
    <row r="85" customFormat="false" ht="168" hidden="false" customHeight="true" outlineLevel="0" collapsed="false">
      <c r="A85" s="194" t="n">
        <v>46299</v>
      </c>
      <c r="B85" s="195" t="s">
        <v>679</v>
      </c>
      <c r="C85" s="196" t="s">
        <v>680</v>
      </c>
    </row>
    <row r="86" customFormat="false" ht="257.25" hidden="false" customHeight="true" outlineLevel="0" collapsed="false">
      <c r="A86" s="194" t="n">
        <v>46299</v>
      </c>
      <c r="B86" s="195" t="s">
        <v>681</v>
      </c>
      <c r="C86" s="196" t="s">
        <v>682</v>
      </c>
    </row>
    <row r="87" customFormat="false" ht="14.25" hidden="false" customHeight="true" outlineLevel="0" collapsed="false">
      <c r="A87" s="194"/>
      <c r="B87" s="195"/>
      <c r="C87" s="196"/>
    </row>
    <row r="88" customFormat="false" ht="14.25" hidden="false" customHeight="true" outlineLevel="0" collapsed="false">
      <c r="A88" s="194"/>
      <c r="B88" s="195"/>
      <c r="C88" s="196"/>
    </row>
    <row r="89" customFormat="false" ht="14.25" hidden="false" customHeight="true" outlineLevel="0" collapsed="false">
      <c r="A89" s="194"/>
      <c r="B89" s="195"/>
      <c r="C89" s="196"/>
    </row>
    <row r="90" customFormat="false" ht="14.25" hidden="false" customHeight="true" outlineLevel="0" collapsed="false">
      <c r="A90" s="194"/>
      <c r="B90" s="195"/>
      <c r="C90" s="196"/>
    </row>
    <row r="91" customFormat="false" ht="14.25" hidden="false" customHeight="true" outlineLevel="0" collapsed="false">
      <c r="A91" s="194"/>
      <c r="B91" s="195"/>
      <c r="C91" s="196"/>
    </row>
    <row r="92" customFormat="false" ht="14.25" hidden="false" customHeight="true" outlineLevel="0" collapsed="false">
      <c r="A92" s="194"/>
      <c r="B92" s="195"/>
      <c r="C92" s="196"/>
    </row>
    <row r="93" customFormat="false" ht="14.25" hidden="false" customHeight="true" outlineLevel="0" collapsed="false">
      <c r="A93" s="194"/>
      <c r="B93" s="195"/>
      <c r="C93" s="196"/>
    </row>
    <row r="94" customFormat="false" ht="14.25" hidden="false" customHeight="true" outlineLevel="0" collapsed="false">
      <c r="A94" s="194"/>
      <c r="B94" s="195"/>
      <c r="C94" s="196"/>
    </row>
    <row r="95" customFormat="false" ht="14.25" hidden="false" customHeight="true" outlineLevel="0" collapsed="false">
      <c r="A95" s="194"/>
      <c r="B95" s="195"/>
      <c r="C95" s="196"/>
    </row>
    <row r="96" customFormat="false" ht="14.25" hidden="false" customHeight="true" outlineLevel="0" collapsed="false">
      <c r="A96" s="194"/>
      <c r="B96" s="195"/>
      <c r="C96" s="196"/>
    </row>
    <row r="97" customFormat="false" ht="14.25" hidden="false" customHeight="true" outlineLevel="0" collapsed="false">
      <c r="A97" s="194"/>
      <c r="B97" s="195"/>
      <c r="C97" s="196"/>
    </row>
    <row r="98" customFormat="false" ht="14.25" hidden="false" customHeight="true" outlineLevel="0" collapsed="false">
      <c r="A98" s="194"/>
      <c r="B98" s="195"/>
      <c r="C98" s="196"/>
    </row>
    <row r="99" customFormat="false" ht="14.25" hidden="false" customHeight="true" outlineLevel="0" collapsed="false">
      <c r="A99" s="194"/>
      <c r="B99" s="195"/>
      <c r="C99" s="196"/>
    </row>
    <row r="100" customFormat="false" ht="14.25" hidden="false" customHeight="true" outlineLevel="0" collapsed="false">
      <c r="A100" s="194"/>
      <c r="B100" s="195"/>
      <c r="C100" s="196"/>
    </row>
    <row r="101" customFormat="false" ht="14.25" hidden="false" customHeight="true" outlineLevel="0" collapsed="false">
      <c r="A101" s="194"/>
      <c r="B101" s="195"/>
      <c r="C101" s="196"/>
    </row>
    <row r="102" customFormat="false" ht="14.25" hidden="false" customHeight="true" outlineLevel="0" collapsed="false">
      <c r="A102" s="194"/>
      <c r="B102" s="195"/>
      <c r="C102" s="196"/>
    </row>
    <row r="103" customFormat="false" ht="14.25" hidden="false" customHeight="true" outlineLevel="0" collapsed="false">
      <c r="A103" s="194"/>
      <c r="B103" s="195"/>
      <c r="C103" s="196"/>
    </row>
    <row r="104" customFormat="false" ht="14.25" hidden="false" customHeight="true" outlineLevel="0" collapsed="false">
      <c r="A104" s="194"/>
      <c r="B104" s="195"/>
      <c r="C104" s="196"/>
    </row>
    <row r="105" customFormat="false" ht="14.25" hidden="false" customHeight="true" outlineLevel="0" collapsed="false">
      <c r="A105" s="194"/>
      <c r="B105" s="195"/>
      <c r="C105" s="196"/>
    </row>
    <row r="106" customFormat="false" ht="14.25" hidden="false" customHeight="true" outlineLevel="0" collapsed="false">
      <c r="A106" s="194"/>
      <c r="B106" s="195"/>
      <c r="C106" s="196"/>
    </row>
    <row r="107" customFormat="false" ht="14.25" hidden="false" customHeight="true" outlineLevel="0" collapsed="false">
      <c r="A107" s="194"/>
      <c r="B107" s="195"/>
      <c r="C107" s="196"/>
    </row>
    <row r="108" customFormat="false" ht="14.25" hidden="false" customHeight="true" outlineLevel="0" collapsed="false">
      <c r="A108" s="194"/>
      <c r="B108" s="195"/>
      <c r="C108" s="196"/>
    </row>
    <row r="109" customFormat="false" ht="14.25" hidden="false" customHeight="true" outlineLevel="0" collapsed="false">
      <c r="A109" s="194"/>
      <c r="B109" s="195"/>
      <c r="C109" s="196"/>
    </row>
    <row r="110" customFormat="false" ht="14.25" hidden="false" customHeight="true" outlineLevel="0" collapsed="false">
      <c r="A110" s="194"/>
      <c r="B110" s="195"/>
      <c r="C110" s="196"/>
    </row>
    <row r="111" customFormat="false" ht="14.25" hidden="false" customHeight="true" outlineLevel="0" collapsed="false">
      <c r="A111" s="194"/>
      <c r="B111" s="195"/>
      <c r="C111" s="196"/>
    </row>
    <row r="112" customFormat="false" ht="14.25" hidden="false" customHeight="true" outlineLevel="0" collapsed="false">
      <c r="A112" s="194"/>
      <c r="B112" s="195"/>
      <c r="C112" s="196"/>
    </row>
    <row r="113" customFormat="false" ht="14.25" hidden="false" customHeight="true" outlineLevel="0" collapsed="false">
      <c r="A113" s="194"/>
      <c r="B113" s="195"/>
      <c r="C113" s="196"/>
    </row>
    <row r="114" customFormat="false" ht="14.25" hidden="false" customHeight="true" outlineLevel="0" collapsed="false">
      <c r="A114" s="194"/>
      <c r="B114" s="195"/>
      <c r="C114" s="196"/>
    </row>
    <row r="115" customFormat="false" ht="14.25" hidden="false" customHeight="true" outlineLevel="0" collapsed="false">
      <c r="A115" s="194"/>
      <c r="B115" s="195"/>
      <c r="C115" s="196"/>
    </row>
    <row r="116" customFormat="false" ht="14.25" hidden="false" customHeight="true" outlineLevel="0" collapsed="false">
      <c r="A116" s="194"/>
      <c r="B116" s="195"/>
      <c r="C116" s="196"/>
    </row>
    <row r="117" customFormat="false" ht="14.25" hidden="false" customHeight="true" outlineLevel="0" collapsed="false">
      <c r="A117" s="194"/>
      <c r="B117" s="195"/>
      <c r="C117" s="196"/>
    </row>
    <row r="118" customFormat="false" ht="14.25" hidden="false" customHeight="true" outlineLevel="0" collapsed="false">
      <c r="A118" s="194"/>
      <c r="B118" s="195"/>
      <c r="C118" s="196"/>
    </row>
    <row r="119" customFormat="false" ht="14.25" hidden="false" customHeight="true" outlineLevel="0" collapsed="false">
      <c r="A119" s="194"/>
      <c r="B119" s="195"/>
      <c r="C119" s="196"/>
    </row>
    <row r="120" customFormat="false" ht="14.25" hidden="false" customHeight="true" outlineLevel="0" collapsed="false">
      <c r="A120" s="194"/>
      <c r="B120" s="195"/>
      <c r="C120" s="196"/>
    </row>
    <row r="121" customFormat="false" ht="14.25" hidden="false" customHeight="true" outlineLevel="0" collapsed="false">
      <c r="A121" s="194"/>
      <c r="B121" s="195"/>
      <c r="C121" s="196"/>
    </row>
    <row r="122" customFormat="false" ht="14.25" hidden="false" customHeight="true" outlineLevel="0" collapsed="false">
      <c r="A122" s="194"/>
      <c r="B122" s="195"/>
      <c r="C122" s="196"/>
    </row>
    <row r="123" customFormat="false" ht="14.25" hidden="false" customHeight="true" outlineLevel="0" collapsed="false">
      <c r="A123" s="194"/>
      <c r="B123" s="195"/>
      <c r="C123" s="196"/>
    </row>
    <row r="124" customFormat="false" ht="14.25" hidden="false" customHeight="true" outlineLevel="0" collapsed="false">
      <c r="A124" s="194"/>
      <c r="B124" s="195"/>
      <c r="C124" s="196"/>
    </row>
    <row r="125" customFormat="false" ht="14.25" hidden="false" customHeight="true" outlineLevel="0" collapsed="false">
      <c r="A125" s="194"/>
      <c r="B125" s="195"/>
      <c r="C125" s="196"/>
    </row>
    <row r="126" customFormat="false" ht="14.25" hidden="false" customHeight="true" outlineLevel="0" collapsed="false">
      <c r="A126" s="194"/>
      <c r="B126" s="195"/>
      <c r="C126" s="196"/>
    </row>
    <row r="127" customFormat="false" ht="14.25" hidden="false" customHeight="true" outlineLevel="0" collapsed="false">
      <c r="A127" s="194"/>
      <c r="B127" s="195"/>
      <c r="C127" s="196"/>
    </row>
    <row r="128" customFormat="false" ht="14.25" hidden="false" customHeight="true" outlineLevel="0" collapsed="false">
      <c r="A128" s="194"/>
      <c r="B128" s="195"/>
      <c r="C128" s="196"/>
    </row>
    <row r="129" customFormat="false" ht="14.25" hidden="false" customHeight="true" outlineLevel="0" collapsed="false">
      <c r="A129" s="194"/>
      <c r="B129" s="195"/>
      <c r="C129" s="196"/>
    </row>
    <row r="130" customFormat="false" ht="14.25" hidden="false" customHeight="true" outlineLevel="0" collapsed="false">
      <c r="A130" s="194"/>
      <c r="B130" s="195"/>
      <c r="C130" s="196"/>
    </row>
    <row r="131" customFormat="false" ht="14.25" hidden="false" customHeight="true" outlineLevel="0" collapsed="false">
      <c r="A131" s="194"/>
      <c r="B131" s="195"/>
      <c r="C131" s="196"/>
    </row>
    <row r="132" customFormat="false" ht="14.25" hidden="false" customHeight="true" outlineLevel="0" collapsed="false">
      <c r="A132" s="194"/>
      <c r="B132" s="195"/>
      <c r="C132" s="196"/>
    </row>
    <row r="133" customFormat="false" ht="14.25" hidden="false" customHeight="true" outlineLevel="0" collapsed="false">
      <c r="A133" s="194"/>
      <c r="B133" s="195"/>
      <c r="C133" s="196"/>
    </row>
    <row r="134" customFormat="false" ht="14.25" hidden="false" customHeight="true" outlineLevel="0" collapsed="false">
      <c r="A134" s="194"/>
      <c r="B134" s="195"/>
      <c r="C134" s="196"/>
    </row>
    <row r="135" customFormat="false" ht="14.25" hidden="false" customHeight="true" outlineLevel="0" collapsed="false">
      <c r="A135" s="194"/>
      <c r="B135" s="195"/>
      <c r="C135" s="196"/>
    </row>
    <row r="136" customFormat="false" ht="14.25" hidden="false" customHeight="true" outlineLevel="0" collapsed="false">
      <c r="A136" s="194"/>
      <c r="B136" s="195"/>
      <c r="C136" s="196"/>
    </row>
    <row r="137" customFormat="false" ht="14.25" hidden="false" customHeight="true" outlineLevel="0" collapsed="false">
      <c r="A137" s="194"/>
      <c r="B137" s="195"/>
      <c r="C137" s="196"/>
    </row>
    <row r="138" customFormat="false" ht="14.25" hidden="false" customHeight="true" outlineLevel="0" collapsed="false">
      <c r="A138" s="194"/>
      <c r="B138" s="195"/>
      <c r="C138" s="196"/>
    </row>
    <row r="139" customFormat="false" ht="14.25" hidden="false" customHeight="true" outlineLevel="0" collapsed="false">
      <c r="A139" s="194"/>
      <c r="B139" s="195"/>
      <c r="C139" s="196"/>
    </row>
    <row r="140" customFormat="false" ht="14.25" hidden="false" customHeight="true" outlineLevel="0" collapsed="false">
      <c r="A140" s="194"/>
      <c r="B140" s="195"/>
      <c r="C140" s="196"/>
    </row>
    <row r="141" customFormat="false" ht="14.25" hidden="false" customHeight="true" outlineLevel="0" collapsed="false">
      <c r="A141" s="194"/>
      <c r="B141" s="195"/>
      <c r="C141" s="196"/>
    </row>
    <row r="142" customFormat="false" ht="14.25" hidden="false" customHeight="true" outlineLevel="0" collapsed="false">
      <c r="A142" s="194"/>
      <c r="B142" s="195"/>
      <c r="C142" s="196"/>
    </row>
    <row r="143" customFormat="false" ht="14.25" hidden="false" customHeight="true" outlineLevel="0" collapsed="false">
      <c r="A143" s="194"/>
      <c r="B143" s="195"/>
      <c r="C143" s="196"/>
    </row>
    <row r="144" customFormat="false" ht="14.25" hidden="false" customHeight="true" outlineLevel="0" collapsed="false">
      <c r="A144" s="194"/>
      <c r="B144" s="195"/>
      <c r="C144" s="196"/>
    </row>
    <row r="145" customFormat="false" ht="14.25" hidden="false" customHeight="true" outlineLevel="0" collapsed="false">
      <c r="A145" s="194"/>
      <c r="B145" s="195"/>
      <c r="C145" s="196"/>
    </row>
    <row r="146" customFormat="false" ht="14.25" hidden="false" customHeight="true" outlineLevel="0" collapsed="false">
      <c r="A146" s="194"/>
      <c r="B146" s="195"/>
      <c r="C146" s="196"/>
    </row>
    <row r="147" customFormat="false" ht="14.25" hidden="false" customHeight="true" outlineLevel="0" collapsed="false">
      <c r="A147" s="194"/>
      <c r="B147" s="195"/>
      <c r="C147" s="196"/>
    </row>
    <row r="148" customFormat="false" ht="14.25" hidden="false" customHeight="true" outlineLevel="0" collapsed="false">
      <c r="A148" s="194"/>
      <c r="B148" s="195"/>
      <c r="C148" s="196"/>
    </row>
    <row r="149" customFormat="false" ht="14.25" hidden="false" customHeight="true" outlineLevel="0" collapsed="false">
      <c r="A149" s="194"/>
      <c r="B149" s="195"/>
      <c r="C149" s="196"/>
    </row>
    <row r="150" customFormat="false" ht="14.25" hidden="false" customHeight="true" outlineLevel="0" collapsed="false">
      <c r="A150" s="194"/>
      <c r="B150" s="195"/>
      <c r="C150" s="196"/>
    </row>
    <row r="151" customFormat="false" ht="14.25" hidden="false" customHeight="true" outlineLevel="0" collapsed="false">
      <c r="A151" s="194"/>
      <c r="B151" s="195"/>
      <c r="C151" s="196"/>
    </row>
    <row r="152" customFormat="false" ht="14.25" hidden="false" customHeight="true" outlineLevel="0" collapsed="false">
      <c r="A152" s="194"/>
      <c r="B152" s="195"/>
      <c r="C152" s="196"/>
    </row>
    <row r="153" customFormat="false" ht="14.25" hidden="false" customHeight="true" outlineLevel="0" collapsed="false">
      <c r="A153" s="194"/>
      <c r="B153" s="195"/>
      <c r="C153" s="196"/>
    </row>
    <row r="154" customFormat="false" ht="14.25" hidden="false" customHeight="true" outlineLevel="0" collapsed="false">
      <c r="A154" s="194"/>
      <c r="B154" s="195"/>
      <c r="C154" s="196"/>
    </row>
    <row r="155" customFormat="false" ht="14.25" hidden="false" customHeight="true" outlineLevel="0" collapsed="false">
      <c r="A155" s="194"/>
      <c r="B155" s="195"/>
      <c r="C155" s="196"/>
    </row>
    <row r="156" customFormat="false" ht="14.25" hidden="false" customHeight="true" outlineLevel="0" collapsed="false">
      <c r="A156" s="194"/>
      <c r="B156" s="195"/>
      <c r="C156" s="196"/>
    </row>
    <row r="157" customFormat="false" ht="14.25" hidden="false" customHeight="true" outlineLevel="0" collapsed="false">
      <c r="A157" s="194"/>
      <c r="B157" s="195"/>
      <c r="C157" s="196"/>
    </row>
    <row r="158" customFormat="false" ht="14.25" hidden="false" customHeight="true" outlineLevel="0" collapsed="false">
      <c r="A158" s="194"/>
      <c r="B158" s="195"/>
      <c r="C158" s="196"/>
    </row>
    <row r="159" customFormat="false" ht="14.25" hidden="false" customHeight="true" outlineLevel="0" collapsed="false">
      <c r="A159" s="194"/>
      <c r="B159" s="195"/>
      <c r="C159" s="196"/>
    </row>
    <row r="160" customFormat="false" ht="14.25" hidden="false" customHeight="true" outlineLevel="0" collapsed="false">
      <c r="A160" s="194"/>
      <c r="B160" s="195"/>
      <c r="C160" s="196"/>
    </row>
    <row r="161" customFormat="false" ht="14.25" hidden="false" customHeight="true" outlineLevel="0" collapsed="false">
      <c r="A161" s="194"/>
      <c r="B161" s="195"/>
      <c r="C161" s="196"/>
    </row>
    <row r="162" customFormat="false" ht="14.25" hidden="false" customHeight="true" outlineLevel="0" collapsed="false">
      <c r="A162" s="194"/>
      <c r="B162" s="195"/>
      <c r="C162" s="196"/>
    </row>
    <row r="163" customFormat="false" ht="14.25" hidden="false" customHeight="true" outlineLevel="0" collapsed="false">
      <c r="A163" s="194"/>
      <c r="B163" s="195"/>
      <c r="C163" s="196"/>
    </row>
    <row r="164" customFormat="false" ht="14.25" hidden="false" customHeight="true" outlineLevel="0" collapsed="false">
      <c r="A164" s="194"/>
      <c r="B164" s="195"/>
      <c r="C164" s="196"/>
    </row>
    <row r="165" customFormat="false" ht="14.25" hidden="false" customHeight="true" outlineLevel="0" collapsed="false">
      <c r="A165" s="194"/>
      <c r="B165" s="195"/>
      <c r="C165" s="196"/>
    </row>
    <row r="166" customFormat="false" ht="14.25" hidden="false" customHeight="true" outlineLevel="0" collapsed="false">
      <c r="A166" s="194"/>
      <c r="B166" s="195"/>
      <c r="C166" s="196"/>
    </row>
    <row r="167" customFormat="false" ht="14.25" hidden="false" customHeight="true" outlineLevel="0" collapsed="false">
      <c r="A167" s="194"/>
      <c r="B167" s="195"/>
      <c r="C167" s="196"/>
    </row>
    <row r="168" customFormat="false" ht="14.25" hidden="false" customHeight="true" outlineLevel="0" collapsed="false">
      <c r="A168" s="194"/>
      <c r="B168" s="195"/>
      <c r="C168" s="196"/>
    </row>
    <row r="169" customFormat="false" ht="14.25" hidden="false" customHeight="true" outlineLevel="0" collapsed="false">
      <c r="A169" s="194"/>
      <c r="B169" s="195"/>
      <c r="C169" s="196"/>
    </row>
    <row r="170" customFormat="false" ht="14.25" hidden="false" customHeight="true" outlineLevel="0" collapsed="false">
      <c r="A170" s="194"/>
      <c r="B170" s="195"/>
      <c r="C170" s="196"/>
    </row>
    <row r="171" customFormat="false" ht="14.25" hidden="false" customHeight="true" outlineLevel="0" collapsed="false">
      <c r="A171" s="194"/>
      <c r="B171" s="195"/>
      <c r="C171" s="196"/>
    </row>
    <row r="172" customFormat="false" ht="14.25" hidden="false" customHeight="true" outlineLevel="0" collapsed="false">
      <c r="A172" s="194"/>
      <c r="B172" s="195"/>
      <c r="C172" s="196"/>
    </row>
    <row r="173" customFormat="false" ht="14.25" hidden="false" customHeight="true" outlineLevel="0" collapsed="false">
      <c r="A173" s="194"/>
      <c r="B173" s="195"/>
      <c r="C173" s="196"/>
    </row>
    <row r="174" customFormat="false" ht="14.25" hidden="false" customHeight="true" outlineLevel="0" collapsed="false">
      <c r="A174" s="194"/>
      <c r="B174" s="195"/>
      <c r="C174" s="196"/>
    </row>
    <row r="175" customFormat="false" ht="14.25" hidden="false" customHeight="true" outlineLevel="0" collapsed="false">
      <c r="A175" s="194"/>
      <c r="B175" s="195"/>
      <c r="C175" s="196"/>
    </row>
    <row r="176" customFormat="false" ht="14.25" hidden="false" customHeight="true" outlineLevel="0" collapsed="false">
      <c r="A176" s="194"/>
      <c r="B176" s="195"/>
      <c r="C176" s="196"/>
    </row>
    <row r="177" customFormat="false" ht="14.25" hidden="false" customHeight="true" outlineLevel="0" collapsed="false">
      <c r="A177" s="194"/>
      <c r="B177" s="195"/>
      <c r="C177" s="196"/>
    </row>
    <row r="178" customFormat="false" ht="14.25" hidden="false" customHeight="true" outlineLevel="0" collapsed="false">
      <c r="A178" s="194"/>
      <c r="B178" s="195"/>
      <c r="C178" s="196"/>
    </row>
    <row r="179" customFormat="false" ht="14.25" hidden="false" customHeight="true" outlineLevel="0" collapsed="false">
      <c r="A179" s="194"/>
      <c r="B179" s="195"/>
      <c r="C179" s="196"/>
    </row>
    <row r="180" customFormat="false" ht="14.25" hidden="false" customHeight="true" outlineLevel="0" collapsed="false">
      <c r="A180" s="194"/>
      <c r="B180" s="195"/>
      <c r="C180" s="196"/>
    </row>
    <row r="181" customFormat="false" ht="14.25" hidden="false" customHeight="true" outlineLevel="0" collapsed="false">
      <c r="A181" s="194"/>
      <c r="B181" s="195"/>
      <c r="C181" s="196"/>
    </row>
    <row r="182" customFormat="false" ht="14.25" hidden="false" customHeight="true" outlineLevel="0" collapsed="false">
      <c r="A182" s="194"/>
      <c r="B182" s="195"/>
      <c r="C182" s="196"/>
    </row>
    <row r="183" customFormat="false" ht="14.25" hidden="false" customHeight="true" outlineLevel="0" collapsed="false">
      <c r="A183" s="194"/>
      <c r="B183" s="195"/>
      <c r="C183" s="196"/>
    </row>
    <row r="184" customFormat="false" ht="14.25" hidden="false" customHeight="true" outlineLevel="0" collapsed="false">
      <c r="A184" s="194"/>
      <c r="B184" s="195"/>
      <c r="C184" s="196"/>
    </row>
    <row r="185" customFormat="false" ht="14.25" hidden="false" customHeight="true" outlineLevel="0" collapsed="false">
      <c r="A185" s="194"/>
      <c r="B185" s="195"/>
      <c r="C185" s="196"/>
    </row>
    <row r="186" customFormat="false" ht="14.25" hidden="false" customHeight="true" outlineLevel="0" collapsed="false">
      <c r="A186" s="194"/>
      <c r="B186" s="195"/>
      <c r="C186" s="196"/>
    </row>
    <row r="187" customFormat="false" ht="14.25" hidden="false" customHeight="true" outlineLevel="0" collapsed="false">
      <c r="A187" s="194"/>
      <c r="B187" s="195"/>
      <c r="C187" s="196"/>
    </row>
    <row r="188" customFormat="false" ht="14.25" hidden="false" customHeight="true" outlineLevel="0" collapsed="false">
      <c r="A188" s="194"/>
      <c r="B188" s="195"/>
      <c r="C188" s="196"/>
    </row>
    <row r="189" customFormat="false" ht="14.25" hidden="false" customHeight="true" outlineLevel="0" collapsed="false">
      <c r="A189" s="194"/>
      <c r="B189" s="195"/>
      <c r="C189" s="196"/>
    </row>
    <row r="190" customFormat="false" ht="14.25" hidden="false" customHeight="true" outlineLevel="0" collapsed="false">
      <c r="A190" s="194"/>
      <c r="B190" s="195"/>
      <c r="C190" s="196"/>
    </row>
    <row r="191" customFormat="false" ht="14.25" hidden="false" customHeight="true" outlineLevel="0" collapsed="false">
      <c r="A191" s="194"/>
      <c r="B191" s="195"/>
      <c r="C191" s="196"/>
    </row>
    <row r="192" customFormat="false" ht="14.25" hidden="false" customHeight="true" outlineLevel="0" collapsed="false">
      <c r="A192" s="194"/>
      <c r="B192" s="195"/>
      <c r="C192" s="196"/>
    </row>
    <row r="193" customFormat="false" ht="14.25" hidden="false" customHeight="true" outlineLevel="0" collapsed="false">
      <c r="A193" s="194"/>
      <c r="B193" s="195"/>
      <c r="C193" s="196"/>
    </row>
    <row r="194" customFormat="false" ht="14.25" hidden="false" customHeight="true" outlineLevel="0" collapsed="false">
      <c r="A194" s="194"/>
      <c r="B194" s="195"/>
      <c r="C194" s="196"/>
    </row>
    <row r="195" customFormat="false" ht="14.25" hidden="false" customHeight="true" outlineLevel="0" collapsed="false">
      <c r="A195" s="194"/>
      <c r="B195" s="195"/>
      <c r="C195" s="196"/>
    </row>
    <row r="196" customFormat="false" ht="14.25" hidden="false" customHeight="true" outlineLevel="0" collapsed="false">
      <c r="A196" s="194"/>
      <c r="B196" s="195"/>
      <c r="C196" s="196"/>
    </row>
    <row r="197" customFormat="false" ht="14.25" hidden="false" customHeight="true" outlineLevel="0" collapsed="false">
      <c r="A197" s="194"/>
      <c r="B197" s="195"/>
      <c r="C197" s="196"/>
    </row>
    <row r="198" customFormat="false" ht="14.25" hidden="false" customHeight="true" outlineLevel="0" collapsed="false">
      <c r="A198" s="194"/>
      <c r="B198" s="195"/>
      <c r="C198" s="196"/>
    </row>
    <row r="199" customFormat="false" ht="14.25" hidden="false" customHeight="true" outlineLevel="0" collapsed="false">
      <c r="A199" s="194"/>
      <c r="B199" s="195"/>
      <c r="C199" s="196"/>
    </row>
    <row r="200" customFormat="false" ht="14.25" hidden="false" customHeight="true" outlineLevel="0" collapsed="false">
      <c r="A200" s="194"/>
      <c r="B200" s="195"/>
      <c r="C200" s="196"/>
    </row>
    <row r="201" customFormat="false" ht="14.25" hidden="false" customHeight="true" outlineLevel="0" collapsed="false">
      <c r="A201" s="194"/>
      <c r="B201" s="195"/>
      <c r="C201" s="196"/>
    </row>
    <row r="202" customFormat="false" ht="14.25" hidden="false" customHeight="true" outlineLevel="0" collapsed="false">
      <c r="A202" s="194"/>
      <c r="B202" s="195"/>
      <c r="C202" s="196"/>
    </row>
    <row r="203" customFormat="false" ht="14.25" hidden="false" customHeight="true" outlineLevel="0" collapsed="false">
      <c r="A203" s="194"/>
      <c r="B203" s="195"/>
      <c r="C203" s="196"/>
    </row>
    <row r="204" customFormat="false" ht="14.25" hidden="false" customHeight="true" outlineLevel="0" collapsed="false">
      <c r="A204" s="194"/>
      <c r="B204" s="195"/>
      <c r="C204" s="196"/>
    </row>
    <row r="205" customFormat="false" ht="14.25" hidden="false" customHeight="true" outlineLevel="0" collapsed="false">
      <c r="A205" s="194"/>
      <c r="B205" s="195"/>
      <c r="C205" s="196"/>
    </row>
    <row r="206" customFormat="false" ht="14.25" hidden="false" customHeight="true" outlineLevel="0" collapsed="false">
      <c r="A206" s="194"/>
      <c r="B206" s="195"/>
      <c r="C206" s="196"/>
    </row>
    <row r="207" customFormat="false" ht="14.25" hidden="false" customHeight="true" outlineLevel="0" collapsed="false">
      <c r="A207" s="194"/>
      <c r="B207" s="195"/>
      <c r="C207" s="196"/>
    </row>
    <row r="208" customFormat="false" ht="14.25" hidden="false" customHeight="true" outlineLevel="0" collapsed="false">
      <c r="A208" s="194"/>
      <c r="B208" s="195"/>
      <c r="C208" s="196"/>
    </row>
    <row r="209" customFormat="false" ht="14.25" hidden="false" customHeight="true" outlineLevel="0" collapsed="false">
      <c r="A209" s="194"/>
      <c r="B209" s="195"/>
      <c r="C209" s="196"/>
    </row>
    <row r="210" customFormat="false" ht="14.25" hidden="false" customHeight="true" outlineLevel="0" collapsed="false">
      <c r="A210" s="194"/>
      <c r="B210" s="195"/>
      <c r="C210" s="196"/>
    </row>
    <row r="211" customFormat="false" ht="14.25" hidden="false" customHeight="true" outlineLevel="0" collapsed="false">
      <c r="A211" s="194"/>
      <c r="B211" s="195"/>
      <c r="C211" s="196"/>
    </row>
    <row r="212" customFormat="false" ht="14.25" hidden="false" customHeight="true" outlineLevel="0" collapsed="false">
      <c r="A212" s="194"/>
      <c r="B212" s="195"/>
      <c r="C212" s="196"/>
    </row>
    <row r="213" customFormat="false" ht="14.25" hidden="false" customHeight="true" outlineLevel="0" collapsed="false">
      <c r="A213" s="194"/>
      <c r="B213" s="195"/>
      <c r="C213" s="196"/>
    </row>
    <row r="214" customFormat="false" ht="14.25" hidden="false" customHeight="true" outlineLevel="0" collapsed="false">
      <c r="A214" s="194"/>
      <c r="B214" s="195"/>
      <c r="C214" s="196"/>
    </row>
    <row r="215" customFormat="false" ht="14.25" hidden="false" customHeight="true" outlineLevel="0" collapsed="false">
      <c r="A215" s="194"/>
      <c r="B215" s="195"/>
      <c r="C215" s="196"/>
    </row>
    <row r="216" customFormat="false" ht="14.25" hidden="false" customHeight="true" outlineLevel="0" collapsed="false">
      <c r="A216" s="194"/>
      <c r="B216" s="195"/>
      <c r="C216" s="196"/>
    </row>
    <row r="217" customFormat="false" ht="14.25" hidden="false" customHeight="true" outlineLevel="0" collapsed="false">
      <c r="A217" s="194"/>
      <c r="B217" s="195"/>
      <c r="C217" s="196"/>
    </row>
    <row r="218" customFormat="false" ht="14.25" hidden="false" customHeight="true" outlineLevel="0" collapsed="false">
      <c r="A218" s="194"/>
      <c r="B218" s="195"/>
      <c r="C218" s="196"/>
    </row>
    <row r="219" customFormat="false" ht="14.25" hidden="false" customHeight="true" outlineLevel="0" collapsed="false">
      <c r="A219" s="194"/>
      <c r="B219" s="195"/>
      <c r="C219" s="196"/>
    </row>
    <row r="220" customFormat="false" ht="14.25" hidden="false" customHeight="true" outlineLevel="0" collapsed="false">
      <c r="A220" s="194"/>
      <c r="B220" s="195"/>
      <c r="C220" s="196"/>
    </row>
    <row r="221" customFormat="false" ht="14.25" hidden="false" customHeight="true" outlineLevel="0" collapsed="false">
      <c r="A221" s="194"/>
      <c r="B221" s="195"/>
      <c r="C221" s="196"/>
    </row>
    <row r="222" customFormat="false" ht="14.25" hidden="false" customHeight="true" outlineLevel="0" collapsed="false">
      <c r="A222" s="194"/>
      <c r="B222" s="195"/>
      <c r="C222" s="196"/>
    </row>
    <row r="223" customFormat="false" ht="14.25" hidden="false" customHeight="true" outlineLevel="0" collapsed="false">
      <c r="A223" s="194"/>
      <c r="B223" s="195"/>
      <c r="C223" s="196"/>
    </row>
    <row r="224" customFormat="false" ht="14.25" hidden="false" customHeight="true" outlineLevel="0" collapsed="false">
      <c r="A224" s="194"/>
      <c r="B224" s="195"/>
      <c r="C224" s="196"/>
    </row>
    <row r="225" customFormat="false" ht="14.25" hidden="false" customHeight="true" outlineLevel="0" collapsed="false">
      <c r="A225" s="194"/>
      <c r="B225" s="195"/>
      <c r="C225" s="196"/>
    </row>
    <row r="226" customFormat="false" ht="14.25" hidden="false" customHeight="true" outlineLevel="0" collapsed="false">
      <c r="A226" s="194"/>
      <c r="B226" s="195"/>
      <c r="C226" s="196"/>
    </row>
    <row r="227" customFormat="false" ht="14.25" hidden="false" customHeight="true" outlineLevel="0" collapsed="false">
      <c r="A227" s="194"/>
      <c r="B227" s="195"/>
      <c r="C227" s="196"/>
    </row>
    <row r="228" customFormat="false" ht="14.25" hidden="false" customHeight="true" outlineLevel="0" collapsed="false">
      <c r="A228" s="194"/>
      <c r="B228" s="195"/>
      <c r="C228" s="196"/>
    </row>
    <row r="229" customFormat="false" ht="14.25" hidden="false" customHeight="true" outlineLevel="0" collapsed="false">
      <c r="A229" s="194"/>
      <c r="B229" s="195"/>
      <c r="C229" s="196"/>
    </row>
    <row r="230" customFormat="false" ht="14.25" hidden="false" customHeight="true" outlineLevel="0" collapsed="false">
      <c r="A230" s="194"/>
      <c r="B230" s="195"/>
      <c r="C230" s="196"/>
    </row>
    <row r="231" customFormat="false" ht="14.25" hidden="false" customHeight="true" outlineLevel="0" collapsed="false">
      <c r="A231" s="194"/>
      <c r="B231" s="195"/>
      <c r="C231" s="196"/>
    </row>
    <row r="232" customFormat="false" ht="14.25" hidden="false" customHeight="true" outlineLevel="0" collapsed="false">
      <c r="A232" s="194"/>
      <c r="B232" s="195"/>
      <c r="C232" s="196"/>
    </row>
    <row r="233" customFormat="false" ht="14.25" hidden="false" customHeight="true" outlineLevel="0" collapsed="false">
      <c r="A233" s="194"/>
      <c r="B233" s="195"/>
      <c r="C233" s="196"/>
    </row>
    <row r="234" customFormat="false" ht="14.25" hidden="false" customHeight="true" outlineLevel="0" collapsed="false">
      <c r="A234" s="194"/>
      <c r="B234" s="195"/>
      <c r="C234" s="196"/>
    </row>
    <row r="235" customFormat="false" ht="14.25" hidden="false" customHeight="true" outlineLevel="0" collapsed="false">
      <c r="A235" s="194"/>
      <c r="B235" s="195"/>
      <c r="C235" s="196"/>
    </row>
    <row r="236" customFormat="false" ht="14.25" hidden="false" customHeight="true" outlineLevel="0" collapsed="false">
      <c r="A236" s="194"/>
      <c r="B236" s="195"/>
      <c r="C236" s="196"/>
    </row>
    <row r="237" customFormat="false" ht="14.25" hidden="false" customHeight="true" outlineLevel="0" collapsed="false">
      <c r="A237" s="194"/>
      <c r="B237" s="195"/>
      <c r="C237" s="196"/>
    </row>
    <row r="238" customFormat="false" ht="14.25" hidden="false" customHeight="true" outlineLevel="0" collapsed="false">
      <c r="A238" s="194"/>
      <c r="B238" s="195"/>
      <c r="C238" s="196"/>
    </row>
    <row r="239" customFormat="false" ht="14.25" hidden="false" customHeight="true" outlineLevel="0" collapsed="false">
      <c r="A239" s="194"/>
      <c r="B239" s="195"/>
      <c r="C239" s="196"/>
    </row>
    <row r="240" customFormat="false" ht="14.25" hidden="false" customHeight="true" outlineLevel="0" collapsed="false">
      <c r="A240" s="194"/>
      <c r="B240" s="195"/>
      <c r="C240" s="196"/>
    </row>
    <row r="241" customFormat="false" ht="14.25" hidden="false" customHeight="true" outlineLevel="0" collapsed="false">
      <c r="A241" s="194"/>
      <c r="B241" s="195"/>
      <c r="C241" s="196"/>
    </row>
    <row r="242" customFormat="false" ht="14.25" hidden="false" customHeight="true" outlineLevel="0" collapsed="false">
      <c r="A242" s="194"/>
      <c r="B242" s="195"/>
      <c r="C242" s="196"/>
    </row>
    <row r="243" customFormat="false" ht="14.25" hidden="false" customHeight="true" outlineLevel="0" collapsed="false">
      <c r="A243" s="194"/>
      <c r="B243" s="195"/>
      <c r="C243" s="196"/>
    </row>
    <row r="244" customFormat="false" ht="14.25" hidden="false" customHeight="true" outlineLevel="0" collapsed="false">
      <c r="A244" s="194"/>
      <c r="B244" s="195"/>
      <c r="C244" s="196"/>
    </row>
    <row r="245" customFormat="false" ht="14.25" hidden="false" customHeight="true" outlineLevel="0" collapsed="false">
      <c r="A245" s="194"/>
      <c r="B245" s="195"/>
      <c r="C245" s="196"/>
    </row>
    <row r="246" customFormat="false" ht="14.25" hidden="false" customHeight="true" outlineLevel="0" collapsed="false">
      <c r="A246" s="194"/>
      <c r="B246" s="195"/>
      <c r="C246" s="196"/>
    </row>
    <row r="247" customFormat="false" ht="14.25" hidden="false" customHeight="true" outlineLevel="0" collapsed="false">
      <c r="A247" s="194"/>
      <c r="B247" s="195"/>
      <c r="C247" s="196"/>
    </row>
    <row r="248" customFormat="false" ht="14.25" hidden="false" customHeight="true" outlineLevel="0" collapsed="false">
      <c r="A248" s="194"/>
      <c r="B248" s="195"/>
      <c r="C248" s="196"/>
    </row>
    <row r="249" customFormat="false" ht="14.25" hidden="false" customHeight="true" outlineLevel="0" collapsed="false">
      <c r="A249" s="194"/>
      <c r="B249" s="195"/>
      <c r="C249" s="196"/>
    </row>
    <row r="250" customFormat="false" ht="14.25" hidden="false" customHeight="true" outlineLevel="0" collapsed="false">
      <c r="A250" s="194"/>
      <c r="B250" s="195"/>
      <c r="C250" s="196"/>
    </row>
    <row r="251" customFormat="false" ht="14.25" hidden="false" customHeight="true" outlineLevel="0" collapsed="false">
      <c r="A251" s="194"/>
      <c r="B251" s="195"/>
      <c r="C251" s="196"/>
    </row>
    <row r="252" customFormat="false" ht="14.25" hidden="false" customHeight="true" outlineLevel="0" collapsed="false">
      <c r="A252" s="194"/>
      <c r="B252" s="195"/>
      <c r="C252" s="196"/>
    </row>
    <row r="253" customFormat="false" ht="14.25" hidden="false" customHeight="true" outlineLevel="0" collapsed="false">
      <c r="A253" s="194"/>
      <c r="B253" s="195"/>
      <c r="C253" s="196"/>
    </row>
    <row r="254" customFormat="false" ht="14.25" hidden="false" customHeight="true" outlineLevel="0" collapsed="false">
      <c r="A254" s="194"/>
      <c r="B254" s="195"/>
      <c r="C254" s="196"/>
    </row>
    <row r="255" customFormat="false" ht="14.25" hidden="false" customHeight="true" outlineLevel="0" collapsed="false">
      <c r="A255" s="194"/>
      <c r="B255" s="195"/>
      <c r="C255" s="196"/>
    </row>
    <row r="256" customFormat="false" ht="14.25" hidden="false" customHeight="true" outlineLevel="0" collapsed="false">
      <c r="A256" s="194"/>
      <c r="B256" s="195"/>
      <c r="C256" s="196"/>
    </row>
    <row r="257" customFormat="false" ht="14.25" hidden="false" customHeight="true" outlineLevel="0" collapsed="false">
      <c r="A257" s="194"/>
      <c r="B257" s="195"/>
      <c r="C257" s="196"/>
    </row>
    <row r="258" customFormat="false" ht="14.25" hidden="false" customHeight="true" outlineLevel="0" collapsed="false">
      <c r="A258" s="194"/>
      <c r="B258" s="195"/>
      <c r="C258" s="196"/>
    </row>
    <row r="259" customFormat="false" ht="14.25" hidden="false" customHeight="true" outlineLevel="0" collapsed="false">
      <c r="A259" s="194"/>
      <c r="B259" s="195"/>
      <c r="C259" s="196"/>
    </row>
    <row r="260" customFormat="false" ht="14.25" hidden="false" customHeight="true" outlineLevel="0" collapsed="false">
      <c r="A260" s="194"/>
      <c r="B260" s="195"/>
      <c r="C260" s="196"/>
    </row>
    <row r="261" customFormat="false" ht="14.25" hidden="false" customHeight="true" outlineLevel="0" collapsed="false">
      <c r="A261" s="194"/>
      <c r="B261" s="195"/>
      <c r="C261" s="196"/>
    </row>
    <row r="262" customFormat="false" ht="14.25" hidden="false" customHeight="true" outlineLevel="0" collapsed="false">
      <c r="A262" s="194"/>
      <c r="B262" s="195"/>
      <c r="C262" s="196"/>
    </row>
    <row r="263" customFormat="false" ht="14.25" hidden="false" customHeight="true" outlineLevel="0" collapsed="false">
      <c r="A263" s="194"/>
      <c r="B263" s="195"/>
      <c r="C263" s="196"/>
    </row>
    <row r="264" customFormat="false" ht="14.25" hidden="false" customHeight="true" outlineLevel="0" collapsed="false">
      <c r="A264" s="194"/>
      <c r="B264" s="195"/>
      <c r="C264" s="196"/>
    </row>
    <row r="265" customFormat="false" ht="14.25" hidden="false" customHeight="true" outlineLevel="0" collapsed="false">
      <c r="A265" s="194"/>
      <c r="B265" s="195"/>
      <c r="C265" s="196"/>
    </row>
    <row r="266" customFormat="false" ht="14.25" hidden="false" customHeight="true" outlineLevel="0" collapsed="false">
      <c r="A266" s="194"/>
      <c r="B266" s="195"/>
      <c r="C266" s="196"/>
    </row>
    <row r="267" customFormat="false" ht="14.25" hidden="false" customHeight="true" outlineLevel="0" collapsed="false">
      <c r="A267" s="194"/>
      <c r="B267" s="195"/>
      <c r="C267" s="196"/>
    </row>
    <row r="268" customFormat="false" ht="14.25" hidden="false" customHeight="true" outlineLevel="0" collapsed="false">
      <c r="A268" s="194"/>
      <c r="B268" s="195"/>
      <c r="C268" s="196"/>
    </row>
    <row r="269" customFormat="false" ht="14.25" hidden="false" customHeight="true" outlineLevel="0" collapsed="false">
      <c r="A269" s="194"/>
      <c r="B269" s="195"/>
      <c r="C269" s="196"/>
    </row>
    <row r="270" customFormat="false" ht="14.25" hidden="false" customHeight="true" outlineLevel="0" collapsed="false">
      <c r="A270" s="194"/>
      <c r="B270" s="195"/>
      <c r="C270" s="196"/>
    </row>
    <row r="271" customFormat="false" ht="14.25" hidden="false" customHeight="true" outlineLevel="0" collapsed="false">
      <c r="A271" s="194"/>
      <c r="B271" s="195"/>
      <c r="C271" s="196"/>
    </row>
    <row r="272" customFormat="false" ht="14.25" hidden="false" customHeight="true" outlineLevel="0" collapsed="false">
      <c r="A272" s="194"/>
      <c r="B272" s="195"/>
      <c r="C272" s="196"/>
    </row>
    <row r="273" customFormat="false" ht="14.25" hidden="false" customHeight="true" outlineLevel="0" collapsed="false">
      <c r="A273" s="194"/>
      <c r="B273" s="195"/>
      <c r="C273" s="196"/>
    </row>
    <row r="274" customFormat="false" ht="14.25" hidden="false" customHeight="true" outlineLevel="0" collapsed="false">
      <c r="A274" s="194"/>
      <c r="B274" s="195"/>
      <c r="C274" s="196"/>
    </row>
    <row r="275" customFormat="false" ht="14.25" hidden="false" customHeight="true" outlineLevel="0" collapsed="false">
      <c r="A275" s="194"/>
      <c r="B275" s="195"/>
      <c r="C275" s="196"/>
    </row>
    <row r="276" customFormat="false" ht="14.25" hidden="false" customHeight="true" outlineLevel="0" collapsed="false">
      <c r="A276" s="194"/>
      <c r="B276" s="195"/>
      <c r="C276" s="196"/>
    </row>
    <row r="277" customFormat="false" ht="14.25" hidden="false" customHeight="true" outlineLevel="0" collapsed="false">
      <c r="A277" s="194"/>
      <c r="B277" s="195"/>
      <c r="C277" s="196"/>
    </row>
    <row r="278" customFormat="false" ht="14.25" hidden="false" customHeight="true" outlineLevel="0" collapsed="false">
      <c r="A278" s="194"/>
      <c r="B278" s="195"/>
      <c r="C278" s="196"/>
    </row>
    <row r="279" customFormat="false" ht="14.25" hidden="false" customHeight="true" outlineLevel="0" collapsed="false">
      <c r="A279" s="194"/>
      <c r="B279" s="195"/>
      <c r="C279" s="196"/>
    </row>
    <row r="280" customFormat="false" ht="14.25" hidden="false" customHeight="true" outlineLevel="0" collapsed="false">
      <c r="A280" s="194"/>
      <c r="B280" s="195"/>
      <c r="C280" s="196"/>
    </row>
    <row r="281" customFormat="false" ht="14.25" hidden="false" customHeight="true" outlineLevel="0" collapsed="false">
      <c r="A281" s="194"/>
      <c r="B281" s="195"/>
      <c r="C281" s="196"/>
    </row>
    <row r="282" customFormat="false" ht="14.25" hidden="false" customHeight="true" outlineLevel="0" collapsed="false">
      <c r="A282" s="194"/>
      <c r="B282" s="195"/>
      <c r="C282" s="196"/>
    </row>
    <row r="283" customFormat="false" ht="14.25" hidden="false" customHeight="true" outlineLevel="0" collapsed="false">
      <c r="A283" s="194"/>
      <c r="B283" s="195"/>
      <c r="C283" s="196"/>
    </row>
    <row r="284" customFormat="false" ht="14.25" hidden="false" customHeight="true" outlineLevel="0" collapsed="false">
      <c r="A284" s="194"/>
      <c r="B284" s="195"/>
      <c r="C284" s="196"/>
    </row>
    <row r="285" customFormat="false" ht="14.25" hidden="false" customHeight="true" outlineLevel="0" collapsed="false">
      <c r="A285" s="194"/>
      <c r="B285" s="195"/>
      <c r="C285" s="196"/>
    </row>
    <row r="286" customFormat="false" ht="14.25" hidden="false" customHeight="true" outlineLevel="0" collapsed="false">
      <c r="A286" s="194"/>
      <c r="B286" s="195"/>
      <c r="C286" s="196"/>
    </row>
    <row r="287" customFormat="false" ht="14.25" hidden="false" customHeight="true" outlineLevel="0" collapsed="false">
      <c r="A287" s="194"/>
      <c r="B287" s="195"/>
      <c r="C287" s="196"/>
    </row>
    <row r="288" customFormat="false" ht="14.25" hidden="false" customHeight="true" outlineLevel="0" collapsed="false">
      <c r="A288" s="194"/>
      <c r="B288" s="195"/>
      <c r="C288" s="196"/>
    </row>
    <row r="289" customFormat="false" ht="14.25" hidden="false" customHeight="true" outlineLevel="0" collapsed="false">
      <c r="A289" s="194"/>
      <c r="B289" s="195"/>
      <c r="C289" s="196"/>
    </row>
    <row r="290" customFormat="false" ht="14.25" hidden="false" customHeight="true" outlineLevel="0" collapsed="false">
      <c r="A290" s="194"/>
      <c r="B290" s="195"/>
      <c r="C290" s="196"/>
    </row>
    <row r="291" customFormat="false" ht="14.25" hidden="false" customHeight="true" outlineLevel="0" collapsed="false">
      <c r="A291" s="194"/>
      <c r="B291" s="195"/>
      <c r="C291" s="196"/>
    </row>
    <row r="292" customFormat="false" ht="14.25" hidden="false" customHeight="true" outlineLevel="0" collapsed="false">
      <c r="A292" s="194"/>
      <c r="B292" s="195"/>
      <c r="C292" s="196"/>
    </row>
    <row r="293" customFormat="false" ht="14.25" hidden="false" customHeight="true" outlineLevel="0" collapsed="false">
      <c r="A293" s="194"/>
      <c r="B293" s="195"/>
      <c r="C293" s="196"/>
    </row>
    <row r="294" customFormat="false" ht="14.25" hidden="false" customHeight="true" outlineLevel="0" collapsed="false">
      <c r="A294" s="194"/>
      <c r="B294" s="195"/>
      <c r="C294" s="196"/>
    </row>
    <row r="295" customFormat="false" ht="14.25" hidden="false" customHeight="true" outlineLevel="0" collapsed="false">
      <c r="A295" s="194"/>
      <c r="B295" s="195"/>
      <c r="C295" s="196"/>
    </row>
    <row r="296" customFormat="false" ht="14.25" hidden="false" customHeight="true" outlineLevel="0" collapsed="false">
      <c r="A296" s="194"/>
      <c r="B296" s="195"/>
      <c r="C296" s="196"/>
    </row>
    <row r="297" customFormat="false" ht="14.25" hidden="false" customHeight="true" outlineLevel="0" collapsed="false">
      <c r="A297" s="194"/>
      <c r="B297" s="195"/>
      <c r="C297" s="196"/>
    </row>
    <row r="298" customFormat="false" ht="14.25" hidden="false" customHeight="true" outlineLevel="0" collapsed="false">
      <c r="A298" s="194"/>
      <c r="B298" s="195"/>
      <c r="C298" s="196"/>
    </row>
    <row r="299" customFormat="false" ht="14.25" hidden="false" customHeight="true" outlineLevel="0" collapsed="false">
      <c r="A299" s="194"/>
      <c r="B299" s="195"/>
      <c r="C299" s="196"/>
    </row>
    <row r="300" customFormat="false" ht="14.25" hidden="false" customHeight="true" outlineLevel="0" collapsed="false">
      <c r="A300" s="194"/>
      <c r="B300" s="195"/>
      <c r="C300" s="196"/>
    </row>
    <row r="301" customFormat="false" ht="14.25" hidden="false" customHeight="true" outlineLevel="0" collapsed="false">
      <c r="A301" s="194"/>
      <c r="B301" s="195"/>
      <c r="C301" s="196"/>
    </row>
    <row r="302" customFormat="false" ht="14.25" hidden="false" customHeight="true" outlineLevel="0" collapsed="false">
      <c r="A302" s="194"/>
      <c r="B302" s="195"/>
      <c r="C302" s="196"/>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97" t="s">
        <v>683</v>
      </c>
      <c r="B1" s="197"/>
      <c r="C1" s="197"/>
      <c r="D1" s="197"/>
      <c r="E1" s="197"/>
      <c r="F1" s="197"/>
    </row>
    <row r="2" customFormat="false" ht="15" hidden="false" customHeight="true" outlineLevel="0" collapsed="false">
      <c r="A2" s="147" t="s">
        <v>684</v>
      </c>
      <c r="C2" s="198" t="n">
        <f aca="false">COUNTIF(F5:F500,"OVERDUE")</f>
        <v>6</v>
      </c>
    </row>
    <row r="4" customFormat="false" ht="27.75" hidden="false" customHeight="true" outlineLevel="0" collapsed="false">
      <c r="A4" s="149" t="s">
        <v>685</v>
      </c>
      <c r="B4" s="149" t="s">
        <v>686</v>
      </c>
      <c r="C4" s="149" t="s">
        <v>687</v>
      </c>
      <c r="D4" s="149" t="s">
        <v>688</v>
      </c>
      <c r="E4" s="149" t="s">
        <v>689</v>
      </c>
      <c r="F4" s="149" t="s">
        <v>465</v>
      </c>
    </row>
    <row r="5" customFormat="false" ht="15" hidden="false" customHeight="true" outlineLevel="0" collapsed="false">
      <c r="A5" s="153" t="s">
        <v>559</v>
      </c>
      <c r="B5" s="199" t="s">
        <v>690</v>
      </c>
      <c r="C5" s="153" t="s">
        <v>214</v>
      </c>
      <c r="D5" s="200" t="n">
        <v>46299</v>
      </c>
      <c r="E5" s="201" t="n">
        <f aca="false">IFERROR(INDEX(Journal!$A:$A,MATCH($A5,Journal!$B:$B,0)),"")</f>
        <v>46295</v>
      </c>
      <c r="F5" s="153" t="str">
        <f aca="true">IF(C5="Y","Done",IF(AND(E5&lt;&gt;"",TODAY()&gt;E5),"OVERDUE","Pending"))</f>
        <v>Done</v>
      </c>
    </row>
    <row r="6" customFormat="false" ht="15" hidden="false" customHeight="true" outlineLevel="0" collapsed="false">
      <c r="A6" s="153" t="s">
        <v>559</v>
      </c>
      <c r="B6" s="199" t="s">
        <v>691</v>
      </c>
      <c r="C6" s="153"/>
      <c r="D6" s="153"/>
      <c r="E6" s="201" t="n">
        <f aca="false">IFERROR(INDEX(Journal!$A:$A,MATCH($A6,Journal!$B:$B,0)),"")</f>
        <v>46295</v>
      </c>
      <c r="F6" s="153" t="str">
        <f aca="true">IF(C6="Y","Done",IF(AND(E6&lt;&gt;"",TODAY()&gt;E6),"OVERDUE","Pending"))</f>
        <v>OVERDUE</v>
      </c>
    </row>
    <row r="7" customFormat="false" ht="15" hidden="false" customHeight="true" outlineLevel="0" collapsed="false">
      <c r="A7" s="153" t="s">
        <v>559</v>
      </c>
      <c r="B7" s="199" t="s">
        <v>692</v>
      </c>
      <c r="C7" s="153"/>
      <c r="D7" s="153"/>
      <c r="E7" s="201" t="n">
        <f aca="false">IFERROR(INDEX(Journal!$A:$A,MATCH($A7,Journal!$B:$B,0)),"")</f>
        <v>46295</v>
      </c>
      <c r="F7" s="153" t="str">
        <f aca="true">IF(C7="Y","Done",IF(AND(E7&lt;&gt;"",TODAY()&gt;E7),"OVERDUE","Pending"))</f>
        <v>OVERDUE</v>
      </c>
    </row>
    <row r="8" customFormat="false" ht="34.5" hidden="false" customHeight="true" outlineLevel="0" collapsed="false">
      <c r="A8" s="153" t="s">
        <v>559</v>
      </c>
      <c r="B8" s="199" t="s">
        <v>693</v>
      </c>
      <c r="C8" s="153"/>
      <c r="D8" s="153"/>
      <c r="E8" s="201" t="n">
        <f aca="false">IFERROR(INDEX(Journal!$A:$A,MATCH($A8,Journal!$B:$B,0)),"")</f>
        <v>46295</v>
      </c>
      <c r="F8" s="153" t="str">
        <f aca="true">IF(C8="Y","Done",IF(AND(E8&lt;&gt;"",TODAY()&gt;E8),"OVERDUE","Pending"))</f>
        <v>OVERDUE</v>
      </c>
    </row>
    <row r="9" customFormat="false" ht="15" hidden="false" customHeight="true" outlineLevel="0" collapsed="false">
      <c r="A9" s="153" t="s">
        <v>559</v>
      </c>
      <c r="B9" s="199" t="s">
        <v>694</v>
      </c>
      <c r="C9" s="153"/>
      <c r="D9" s="153"/>
      <c r="E9" s="201" t="n">
        <f aca="false">IFERROR(INDEX(Journal!$A:$A,MATCH($A9,Journal!$B:$B,0)),"")</f>
        <v>46295</v>
      </c>
      <c r="F9" s="153" t="str">
        <f aca="true">IF(C9="Y","Done",IF(AND(E9&lt;&gt;"",TODAY()&gt;E9),"OVERDUE","Pending"))</f>
        <v>OVERDUE</v>
      </c>
    </row>
    <row r="10" customFormat="false" ht="15" hidden="false" customHeight="true" outlineLevel="0" collapsed="false">
      <c r="A10" s="153" t="s">
        <v>559</v>
      </c>
      <c r="B10" s="199" t="s">
        <v>695</v>
      </c>
      <c r="C10" s="153"/>
      <c r="D10" s="153"/>
      <c r="E10" s="201" t="n">
        <f aca="false">IFERROR(INDEX(Journal!$A:$A,MATCH($A10,Journal!$B:$B,0)),"")</f>
        <v>46295</v>
      </c>
      <c r="F10" s="153" t="str">
        <f aca="true">IF(C10="Y","Done",IF(AND(E10&lt;&gt;"",TODAY()&gt;E10),"OVERDUE","Pending"))</f>
        <v>OVERDUE</v>
      </c>
    </row>
    <row r="11" customFormat="false" ht="15" hidden="false" customHeight="true" outlineLevel="0" collapsed="false">
      <c r="A11" s="153" t="s">
        <v>559</v>
      </c>
      <c r="B11" s="199" t="s">
        <v>696</v>
      </c>
      <c r="C11" s="153"/>
      <c r="D11" s="153"/>
      <c r="E11" s="201" t="n">
        <f aca="false">IFERROR(INDEX(Journal!$A:$A,MATCH($A11,Journal!$B:$B,0)),"")</f>
        <v>46295</v>
      </c>
      <c r="F11" s="153" t="str">
        <f aca="true">IF(C11="Y","Done",IF(AND(E11&lt;&gt;"",TODAY()&gt;E11),"OVERDUE","Pending"))</f>
        <v>OVERDUE</v>
      </c>
    </row>
    <row r="12" customFormat="false" ht="23.25" hidden="false" customHeight="true" outlineLevel="0" collapsed="false">
      <c r="A12" s="153" t="s">
        <v>563</v>
      </c>
      <c r="B12" s="199" t="s">
        <v>697</v>
      </c>
      <c r="C12" s="153"/>
      <c r="D12" s="153"/>
      <c r="E12" s="201" t="n">
        <f aca="false">IFERROR(INDEX(Journal!$A:$A,MATCH($A12,Journal!$B:$B,0)),"")</f>
        <v>46320</v>
      </c>
      <c r="F12" s="153" t="str">
        <f aca="true">IF(C12="Y","Done",IF(AND(E12&lt;&gt;"",TODAY()&gt;E12),"OVERDUE","Pending"))</f>
        <v>Pending</v>
      </c>
    </row>
    <row r="13" customFormat="false" ht="15" hidden="false" customHeight="true" outlineLevel="0" collapsed="false">
      <c r="A13" s="153" t="s">
        <v>563</v>
      </c>
      <c r="B13" s="199" t="s">
        <v>698</v>
      </c>
      <c r="C13" s="153"/>
      <c r="D13" s="153"/>
      <c r="E13" s="201" t="n">
        <f aca="false">IFERROR(INDEX(Journal!$A:$A,MATCH($A13,Journal!$B:$B,0)),"")</f>
        <v>46320</v>
      </c>
      <c r="F13" s="153" t="str">
        <f aca="true">IF(C13="Y","Done",IF(AND(E13&lt;&gt;"",TODAY()&gt;E13),"OVERDUE","Pending"))</f>
        <v>Pending</v>
      </c>
    </row>
    <row r="14" customFormat="false" ht="23.25" hidden="false" customHeight="true" outlineLevel="0" collapsed="false">
      <c r="A14" s="153" t="s">
        <v>563</v>
      </c>
      <c r="B14" s="199" t="s">
        <v>699</v>
      </c>
      <c r="C14" s="153"/>
      <c r="D14" s="153"/>
      <c r="E14" s="201" t="n">
        <f aca="false">IFERROR(INDEX(Journal!$A:$A,MATCH($A14,Journal!$B:$B,0)),"")</f>
        <v>46320</v>
      </c>
      <c r="F14" s="153" t="str">
        <f aca="true">IF(C14="Y","Done",IF(AND(E14&lt;&gt;"",TODAY()&gt;E14),"OVERDUE","Pending"))</f>
        <v>Pending</v>
      </c>
    </row>
    <row r="15" customFormat="false" ht="34.5" hidden="false" customHeight="true" outlineLevel="0" collapsed="false">
      <c r="A15" s="153" t="s">
        <v>563</v>
      </c>
      <c r="B15" s="199" t="s">
        <v>693</v>
      </c>
      <c r="C15" s="153"/>
      <c r="D15" s="153"/>
      <c r="E15" s="201" t="n">
        <f aca="false">IFERROR(INDEX(Journal!$A:$A,MATCH($A15,Journal!$B:$B,0)),"")</f>
        <v>46320</v>
      </c>
      <c r="F15" s="153" t="str">
        <f aca="true">IF(C15="Y","Done",IF(AND(E15&lt;&gt;"",TODAY()&gt;E15),"OVERDUE","Pending"))</f>
        <v>Pending</v>
      </c>
    </row>
    <row r="16" customFormat="false" ht="15" hidden="false" customHeight="true" outlineLevel="0" collapsed="false">
      <c r="A16" s="153" t="s">
        <v>563</v>
      </c>
      <c r="B16" s="199" t="s">
        <v>694</v>
      </c>
      <c r="C16" s="153"/>
      <c r="D16" s="153"/>
      <c r="E16" s="201" t="n">
        <f aca="false">IFERROR(INDEX(Journal!$A:$A,MATCH($A16,Journal!$B:$B,0)),"")</f>
        <v>46320</v>
      </c>
      <c r="F16" s="153" t="str">
        <f aca="true">IF(C16="Y","Done",IF(AND(E16&lt;&gt;"",TODAY()&gt;E16),"OVERDUE","Pending"))</f>
        <v>Pending</v>
      </c>
    </row>
    <row r="17" customFormat="false" ht="15" hidden="false" customHeight="true" outlineLevel="0" collapsed="false">
      <c r="A17" s="153" t="s">
        <v>563</v>
      </c>
      <c r="B17" s="199" t="s">
        <v>695</v>
      </c>
      <c r="C17" s="153"/>
      <c r="D17" s="153"/>
      <c r="E17" s="201" t="n">
        <f aca="false">IFERROR(INDEX(Journal!$A:$A,MATCH($A17,Journal!$B:$B,0)),"")</f>
        <v>46320</v>
      </c>
      <c r="F17" s="153" t="str">
        <f aca="true">IF(C17="Y","Done",IF(AND(E17&lt;&gt;"",TODAY()&gt;E17),"OVERDUE","Pending"))</f>
        <v>Pending</v>
      </c>
    </row>
    <row r="18" customFormat="false" ht="15" hidden="false" customHeight="true" outlineLevel="0" collapsed="false">
      <c r="A18" s="153" t="s">
        <v>563</v>
      </c>
      <c r="B18" s="199" t="s">
        <v>696</v>
      </c>
      <c r="C18" s="153"/>
      <c r="D18" s="153"/>
      <c r="E18" s="201" t="n">
        <f aca="false">IFERROR(INDEX(Journal!$A:$A,MATCH($A18,Journal!$B:$B,0)),"")</f>
        <v>46320</v>
      </c>
      <c r="F18" s="153" t="str">
        <f aca="true">IF(C18="Y","Done",IF(AND(E18&lt;&gt;"",TODAY()&gt;E18),"OVERDUE","Pending"))</f>
        <v>Pending</v>
      </c>
    </row>
    <row r="19" customFormat="false" ht="15" hidden="false" customHeight="true" outlineLevel="0" collapsed="false">
      <c r="A19" s="153" t="s">
        <v>567</v>
      </c>
      <c r="B19" s="199" t="s">
        <v>690</v>
      </c>
      <c r="C19" s="153"/>
      <c r="D19" s="153"/>
      <c r="E19" s="201" t="n">
        <f aca="false">IFERROR(INDEX(Journal!$A:$A,MATCH($A19,Journal!$B:$B,0)),"")</f>
        <v>46387</v>
      </c>
      <c r="F19" s="153" t="str">
        <f aca="true">IF(C19="Y","Done",IF(AND(E19&lt;&gt;"",TODAY()&gt;E19),"OVERDUE","Pending"))</f>
        <v>Pending</v>
      </c>
    </row>
    <row r="20" customFormat="false" ht="15" hidden="false" customHeight="true" outlineLevel="0" collapsed="false">
      <c r="A20" s="153" t="s">
        <v>567</v>
      </c>
      <c r="B20" s="199" t="s">
        <v>691</v>
      </c>
      <c r="C20" s="153"/>
      <c r="D20" s="153"/>
      <c r="E20" s="201" t="n">
        <f aca="false">IFERROR(INDEX(Journal!$A:$A,MATCH($A20,Journal!$B:$B,0)),"")</f>
        <v>46387</v>
      </c>
      <c r="F20" s="153" t="str">
        <f aca="true">IF(C20="Y","Done",IF(AND(E20&lt;&gt;"",TODAY()&gt;E20),"OVERDUE","Pending"))</f>
        <v>Pending</v>
      </c>
    </row>
    <row r="21" customFormat="false" ht="15" hidden="false" customHeight="true" outlineLevel="0" collapsed="false">
      <c r="A21" s="153" t="s">
        <v>567</v>
      </c>
      <c r="B21" s="199" t="s">
        <v>692</v>
      </c>
      <c r="C21" s="153"/>
      <c r="D21" s="153"/>
      <c r="E21" s="201" t="n">
        <f aca="false">IFERROR(INDEX(Journal!$A:$A,MATCH($A21,Journal!$B:$B,0)),"")</f>
        <v>46387</v>
      </c>
      <c r="F21" s="153" t="str">
        <f aca="true">IF(C21="Y","Done",IF(AND(E21&lt;&gt;"",TODAY()&gt;E21),"OVERDUE","Pending"))</f>
        <v>Pending</v>
      </c>
    </row>
    <row r="22" customFormat="false" ht="34.5" hidden="false" customHeight="true" outlineLevel="0" collapsed="false">
      <c r="A22" s="153" t="s">
        <v>567</v>
      </c>
      <c r="B22" s="199" t="s">
        <v>693</v>
      </c>
      <c r="C22" s="153"/>
      <c r="D22" s="153"/>
      <c r="E22" s="201" t="n">
        <f aca="false">IFERROR(INDEX(Journal!$A:$A,MATCH($A22,Journal!$B:$B,0)),"")</f>
        <v>46387</v>
      </c>
      <c r="F22" s="153" t="str">
        <f aca="true">IF(C22="Y","Done",IF(AND(E22&lt;&gt;"",TODAY()&gt;E22),"OVERDUE","Pending"))</f>
        <v>Pending</v>
      </c>
    </row>
    <row r="23" customFormat="false" ht="15" hidden="false" customHeight="true" outlineLevel="0" collapsed="false">
      <c r="A23" s="153" t="s">
        <v>567</v>
      </c>
      <c r="B23" s="199" t="s">
        <v>694</v>
      </c>
      <c r="C23" s="153"/>
      <c r="D23" s="153"/>
      <c r="E23" s="201" t="n">
        <f aca="false">IFERROR(INDEX(Journal!$A:$A,MATCH($A23,Journal!$B:$B,0)),"")</f>
        <v>46387</v>
      </c>
      <c r="F23" s="153" t="str">
        <f aca="true">IF(C23="Y","Done",IF(AND(E23&lt;&gt;"",TODAY()&gt;E23),"OVERDUE","Pending"))</f>
        <v>Pending</v>
      </c>
    </row>
    <row r="24" customFormat="false" ht="15" hidden="false" customHeight="true" outlineLevel="0" collapsed="false">
      <c r="A24" s="153" t="s">
        <v>567</v>
      </c>
      <c r="B24" s="199" t="s">
        <v>695</v>
      </c>
      <c r="C24" s="153"/>
      <c r="D24" s="153"/>
      <c r="E24" s="201" t="n">
        <f aca="false">IFERROR(INDEX(Journal!$A:$A,MATCH($A24,Journal!$B:$B,0)),"")</f>
        <v>46387</v>
      </c>
      <c r="F24" s="153" t="str">
        <f aca="true">IF(C24="Y","Done",IF(AND(E24&lt;&gt;"",TODAY()&gt;E24),"OVERDUE","Pending"))</f>
        <v>Pending</v>
      </c>
    </row>
    <row r="25" customFormat="false" ht="15" hidden="false" customHeight="true" outlineLevel="0" collapsed="false">
      <c r="A25" s="153" t="s">
        <v>567</v>
      </c>
      <c r="B25" s="199" t="s">
        <v>696</v>
      </c>
      <c r="C25" s="153"/>
      <c r="D25" s="153"/>
      <c r="E25" s="201" t="n">
        <f aca="false">IFERROR(INDEX(Journal!$A:$A,MATCH($A25,Journal!$B:$B,0)),"")</f>
        <v>46387</v>
      </c>
      <c r="F25" s="153" t="str">
        <f aca="true">IF(C25="Y","Done",IF(AND(E25&lt;&gt;"",TODAY()&gt;E25),"OVERDUE","Pending"))</f>
        <v>Pending</v>
      </c>
    </row>
    <row r="26" customFormat="false" ht="15" hidden="false" customHeight="true" outlineLevel="0" collapsed="false">
      <c r="A26" s="153" t="s">
        <v>569</v>
      </c>
      <c r="B26" s="199" t="s">
        <v>700</v>
      </c>
      <c r="C26" s="153"/>
      <c r="D26" s="153"/>
      <c r="E26" s="201" t="n">
        <f aca="false">IFERROR(INDEX(Journal!$A:$A,MATCH($A26,Journal!$B:$B,0)),"")</f>
        <v>46412</v>
      </c>
      <c r="F26" s="153" t="str">
        <f aca="true">IF(C26="Y","Done",IF(AND(E26&lt;&gt;"",TODAY()&gt;E26),"OVERDUE","Pending"))</f>
        <v>Pending</v>
      </c>
    </row>
    <row r="27" customFormat="false" ht="23.25" hidden="false" customHeight="true" outlineLevel="0" collapsed="false">
      <c r="A27" s="153" t="s">
        <v>569</v>
      </c>
      <c r="B27" s="199" t="s">
        <v>701</v>
      </c>
      <c r="C27" s="153"/>
      <c r="D27" s="153"/>
      <c r="E27" s="201" t="n">
        <f aca="false">IFERROR(INDEX(Journal!$A:$A,MATCH($A27,Journal!$B:$B,0)),"")</f>
        <v>46412</v>
      </c>
      <c r="F27" s="153" t="str">
        <f aca="true">IF(C27="Y","Done",IF(AND(E27&lt;&gt;"",TODAY()&gt;E27),"OVERDUE","Pending"))</f>
        <v>Pending</v>
      </c>
    </row>
    <row r="28" customFormat="false" ht="34.5" hidden="false" customHeight="true" outlineLevel="0" collapsed="false">
      <c r="A28" s="153" t="s">
        <v>569</v>
      </c>
      <c r="B28" s="199" t="s">
        <v>693</v>
      </c>
      <c r="C28" s="153"/>
      <c r="D28" s="153"/>
      <c r="E28" s="201" t="n">
        <f aca="false">IFERROR(INDEX(Journal!$A:$A,MATCH($A28,Journal!$B:$B,0)),"")</f>
        <v>46412</v>
      </c>
      <c r="F28" s="153" t="str">
        <f aca="true">IF(C28="Y","Done",IF(AND(E28&lt;&gt;"",TODAY()&gt;E28),"OVERDUE","Pending"))</f>
        <v>Pending</v>
      </c>
    </row>
    <row r="29" customFormat="false" ht="15" hidden="false" customHeight="true" outlineLevel="0" collapsed="false">
      <c r="A29" s="153" t="s">
        <v>569</v>
      </c>
      <c r="B29" s="199" t="s">
        <v>694</v>
      </c>
      <c r="C29" s="153"/>
      <c r="D29" s="153"/>
      <c r="E29" s="201" t="n">
        <f aca="false">IFERROR(INDEX(Journal!$A:$A,MATCH($A29,Journal!$B:$B,0)),"")</f>
        <v>46412</v>
      </c>
      <c r="F29" s="153" t="str">
        <f aca="true">IF(C29="Y","Done",IF(AND(E29&lt;&gt;"",TODAY()&gt;E29),"OVERDUE","Pending"))</f>
        <v>Pending</v>
      </c>
    </row>
    <row r="30" customFormat="false" ht="15" hidden="false" customHeight="true" outlineLevel="0" collapsed="false">
      <c r="A30" s="153" t="s">
        <v>569</v>
      </c>
      <c r="B30" s="199" t="s">
        <v>695</v>
      </c>
      <c r="C30" s="153"/>
      <c r="D30" s="153"/>
      <c r="E30" s="201" t="n">
        <f aca="false">IFERROR(INDEX(Journal!$A:$A,MATCH($A30,Journal!$B:$B,0)),"")</f>
        <v>46412</v>
      </c>
      <c r="F30" s="153" t="str">
        <f aca="true">IF(C30="Y","Done",IF(AND(E30&lt;&gt;"",TODAY()&gt;E30),"OVERDUE","Pending"))</f>
        <v>Pending</v>
      </c>
    </row>
    <row r="31" customFormat="false" ht="15" hidden="false" customHeight="true" outlineLevel="0" collapsed="false">
      <c r="A31" s="153" t="s">
        <v>569</v>
      </c>
      <c r="B31" s="199" t="s">
        <v>696</v>
      </c>
      <c r="C31" s="153"/>
      <c r="D31" s="153"/>
      <c r="E31" s="201" t="n">
        <f aca="false">IFERROR(INDEX(Journal!$A:$A,MATCH($A31,Journal!$B:$B,0)),"")</f>
        <v>46412</v>
      </c>
      <c r="F31" s="153" t="str">
        <f aca="true">IF(C31="Y","Done",IF(AND(E31&lt;&gt;"",TODAY()&gt;E31),"OVERDUE","Pending"))</f>
        <v>Pending</v>
      </c>
    </row>
    <row r="32" customFormat="false" ht="15" hidden="false" customHeight="true" outlineLevel="0" collapsed="false">
      <c r="A32" s="153" t="s">
        <v>610</v>
      </c>
      <c r="B32" s="199" t="s">
        <v>702</v>
      </c>
      <c r="C32" s="153" t="s">
        <v>214</v>
      </c>
      <c r="D32" s="200" t="n">
        <v>46295</v>
      </c>
      <c r="E32" s="201" t="n">
        <f aca="false">IFERROR(INDEX(Journal!$A:$A,MATCH($A32,Journal!$B:$B,0)),"")</f>
        <v>46295</v>
      </c>
      <c r="F32" s="153" t="str">
        <f aca="true">IF(C32="Y","Done",IF(AND(E32&lt;&gt;"",TODAY()&gt;E32),"OVERDUE","Pending"))</f>
        <v>Done</v>
      </c>
    </row>
    <row r="33" customFormat="false" ht="15" hidden="false" customHeight="true" outlineLevel="0" collapsed="false">
      <c r="A33" s="153" t="s">
        <v>610</v>
      </c>
      <c r="B33" s="199" t="s">
        <v>703</v>
      </c>
      <c r="C33" s="153" t="s">
        <v>214</v>
      </c>
      <c r="D33" s="200" t="n">
        <v>46295</v>
      </c>
      <c r="E33" s="201" t="n">
        <f aca="false">IFERROR(INDEX(Journal!$A:$A,MATCH($A33,Journal!$B:$B,0)),"")</f>
        <v>46295</v>
      </c>
      <c r="F33" s="153" t="str">
        <f aca="true">IF(C33="Y","Done",IF(AND(E33&lt;&gt;"",TODAY()&gt;E33),"OVERDUE","Pending"))</f>
        <v>Done</v>
      </c>
    </row>
    <row r="34" customFormat="false" ht="45.75" hidden="false" customHeight="true" outlineLevel="0" collapsed="false">
      <c r="A34" s="153" t="s">
        <v>610</v>
      </c>
      <c r="B34" s="199" t="s">
        <v>704</v>
      </c>
      <c r="C34" s="153" t="s">
        <v>214</v>
      </c>
      <c r="D34" s="200" t="n">
        <v>46295</v>
      </c>
      <c r="E34" s="201" t="n">
        <f aca="false">IFERROR(INDEX(Journal!$A:$A,MATCH($A34,Journal!$B:$B,0)),"")</f>
        <v>46295</v>
      </c>
      <c r="F34" s="153" t="str">
        <f aca="true">IF(C34="Y","Done",IF(AND(E34&lt;&gt;"",TODAY()&gt;E34),"OVERDUE","Pending"))</f>
        <v>Done</v>
      </c>
    </row>
    <row r="35" customFormat="false" ht="15" hidden="false" customHeight="true" outlineLevel="0" collapsed="false">
      <c r="A35" s="153" t="s">
        <v>610</v>
      </c>
      <c r="B35" s="199" t="s">
        <v>705</v>
      </c>
      <c r="C35" s="153" t="s">
        <v>214</v>
      </c>
      <c r="D35" s="200" t="n">
        <v>46295</v>
      </c>
      <c r="E35" s="201" t="n">
        <f aca="false">IFERROR(INDEX(Journal!$A:$A,MATCH($A35,Journal!$B:$B,0)),"")</f>
        <v>46295</v>
      </c>
      <c r="F35" s="153" t="str">
        <f aca="true">IF(C35="Y","Done",IF(AND(E35&lt;&gt;"",TODAY()&gt;E35),"OVERDUE","Pending"))</f>
        <v>Done</v>
      </c>
    </row>
    <row r="36" customFormat="false" ht="34.5" hidden="false" customHeight="true" outlineLevel="0" collapsed="false">
      <c r="A36" s="153" t="s">
        <v>610</v>
      </c>
      <c r="B36" s="199" t="s">
        <v>706</v>
      </c>
      <c r="C36" s="153" t="s">
        <v>214</v>
      </c>
      <c r="D36" s="200" t="n">
        <v>46295</v>
      </c>
      <c r="E36" s="201" t="n">
        <f aca="false">IFERROR(INDEX(Journal!$A:$A,MATCH($A36,Journal!$B:$B,0)),"")</f>
        <v>46295</v>
      </c>
      <c r="F36" s="153" t="str">
        <f aca="true">IF(C36="Y","Done",IF(AND(E36&lt;&gt;"",TODAY()&gt;E36),"OVERDUE","Pending"))</f>
        <v>Done</v>
      </c>
    </row>
    <row r="37" customFormat="false" ht="15" hidden="false" customHeight="true" outlineLevel="0" collapsed="false">
      <c r="A37" s="153" t="s">
        <v>610</v>
      </c>
      <c r="B37" s="199" t="s">
        <v>707</v>
      </c>
      <c r="C37" s="153" t="s">
        <v>214</v>
      </c>
      <c r="D37" s="200" t="n">
        <v>46295</v>
      </c>
      <c r="E37" s="201" t="n">
        <f aca="false">IFERROR(INDEX(Journal!$A:$A,MATCH($A37,Journal!$B:$B,0)),"")</f>
        <v>46295</v>
      </c>
      <c r="F37" s="153" t="str">
        <f aca="true">IF(C37="Y","Done",IF(AND(E37&lt;&gt;"",TODAY()&gt;E37),"OVERDUE","Pending"))</f>
        <v>Done</v>
      </c>
    </row>
    <row r="38" customFormat="false" ht="15" hidden="false" customHeight="true" outlineLevel="0" collapsed="false">
      <c r="A38" s="153" t="s">
        <v>610</v>
      </c>
      <c r="B38" s="199" t="s">
        <v>694</v>
      </c>
      <c r="C38" s="153" t="s">
        <v>214</v>
      </c>
      <c r="D38" s="200" t="n">
        <v>46295</v>
      </c>
      <c r="E38" s="201" t="n">
        <f aca="false">IFERROR(INDEX(Journal!$A:$A,MATCH($A38,Journal!$B:$B,0)),"")</f>
        <v>46295</v>
      </c>
      <c r="F38" s="153" t="str">
        <f aca="true">IF(C38="Y","Done",IF(AND(E38&lt;&gt;"",TODAY()&gt;E38),"OVERDUE","Pending"))</f>
        <v>Done</v>
      </c>
    </row>
    <row r="39" customFormat="false" ht="15" hidden="false" customHeight="true" outlineLevel="0" collapsed="false">
      <c r="A39" s="153" t="s">
        <v>610</v>
      </c>
      <c r="B39" s="199" t="s">
        <v>695</v>
      </c>
      <c r="C39" s="153" t="s">
        <v>214</v>
      </c>
      <c r="D39" s="200" t="n">
        <v>46295</v>
      </c>
      <c r="E39" s="201" t="n">
        <f aca="false">IFERROR(INDEX(Journal!$A:$A,MATCH($A39,Journal!$B:$B,0)),"")</f>
        <v>46295</v>
      </c>
      <c r="F39" s="153" t="str">
        <f aca="true">IF(C39="Y","Done",IF(AND(E39&lt;&gt;"",TODAY()&gt;E39),"OVERDUE","Pending"))</f>
        <v>Done</v>
      </c>
    </row>
    <row r="40" customFormat="false" ht="15" hidden="false" customHeight="true" outlineLevel="0" collapsed="false">
      <c r="A40" s="153" t="s">
        <v>610</v>
      </c>
      <c r="B40" s="199" t="s">
        <v>696</v>
      </c>
      <c r="C40" s="153" t="s">
        <v>214</v>
      </c>
      <c r="D40" s="200" t="n">
        <v>46295</v>
      </c>
      <c r="E40" s="201" t="n">
        <f aca="false">IFERROR(INDEX(Journal!$A:$A,MATCH($A40,Journal!$B:$B,0)),"")</f>
        <v>46295</v>
      </c>
      <c r="F40" s="153" t="str">
        <f aca="true">IF(C40="Y","Done",IF(AND(E40&lt;&gt;"",TODAY()&gt;E40),"OVERDUE","Pending"))</f>
        <v>Done</v>
      </c>
    </row>
    <row r="41" customFormat="false" ht="15" hidden="false" customHeight="true" outlineLevel="0" collapsed="false">
      <c r="A41" s="153" t="s">
        <v>612</v>
      </c>
      <c r="B41" s="199" t="s">
        <v>702</v>
      </c>
      <c r="C41" s="153"/>
      <c r="D41" s="153"/>
      <c r="E41" s="201" t="n">
        <f aca="false">IFERROR(INDEX(Journal!$A:$A,MATCH($A41,Journal!$B:$B,0)),"")</f>
        <v>46302</v>
      </c>
      <c r="F41" s="153" t="str">
        <f aca="true">IF(C41="Y","Done",IF(AND(E41&lt;&gt;"",TODAY()&gt;E41),"OVERDUE","Pending"))</f>
        <v>Pending</v>
      </c>
    </row>
    <row r="42" customFormat="false" ht="15" hidden="false" customHeight="true" outlineLevel="0" collapsed="false">
      <c r="A42" s="153" t="s">
        <v>612</v>
      </c>
      <c r="B42" s="199" t="s">
        <v>703</v>
      </c>
      <c r="C42" s="153"/>
      <c r="D42" s="153"/>
      <c r="E42" s="201" t="n">
        <f aca="false">IFERROR(INDEX(Journal!$A:$A,MATCH($A42,Journal!$B:$B,0)),"")</f>
        <v>46302</v>
      </c>
      <c r="F42" s="153" t="str">
        <f aca="true">IF(C42="Y","Done",IF(AND(E42&lt;&gt;"",TODAY()&gt;E42),"OVERDUE","Pending"))</f>
        <v>Pending</v>
      </c>
    </row>
    <row r="43" customFormat="false" ht="45.75" hidden="false" customHeight="true" outlineLevel="0" collapsed="false">
      <c r="A43" s="153" t="s">
        <v>612</v>
      </c>
      <c r="B43" s="199" t="s">
        <v>704</v>
      </c>
      <c r="C43" s="153"/>
      <c r="D43" s="153"/>
      <c r="E43" s="201" t="n">
        <f aca="false">IFERROR(INDEX(Journal!$A:$A,MATCH($A43,Journal!$B:$B,0)),"")</f>
        <v>46302</v>
      </c>
      <c r="F43" s="153" t="str">
        <f aca="true">IF(C43="Y","Done",IF(AND(E43&lt;&gt;"",TODAY()&gt;E43),"OVERDUE","Pending"))</f>
        <v>Pending</v>
      </c>
    </row>
    <row r="44" customFormat="false" ht="15" hidden="false" customHeight="true" outlineLevel="0" collapsed="false">
      <c r="A44" s="153" t="s">
        <v>612</v>
      </c>
      <c r="B44" s="199" t="s">
        <v>705</v>
      </c>
      <c r="C44" s="153"/>
      <c r="D44" s="153"/>
      <c r="E44" s="201" t="n">
        <f aca="false">IFERROR(INDEX(Journal!$A:$A,MATCH($A44,Journal!$B:$B,0)),"")</f>
        <v>46302</v>
      </c>
      <c r="F44" s="153" t="str">
        <f aca="true">IF(C44="Y","Done",IF(AND(E44&lt;&gt;"",TODAY()&gt;E44),"OVERDUE","Pending"))</f>
        <v>Pending</v>
      </c>
    </row>
    <row r="45" customFormat="false" ht="34.5" hidden="false" customHeight="true" outlineLevel="0" collapsed="false">
      <c r="A45" s="153" t="s">
        <v>612</v>
      </c>
      <c r="B45" s="199" t="s">
        <v>706</v>
      </c>
      <c r="C45" s="153"/>
      <c r="D45" s="153"/>
      <c r="E45" s="201" t="n">
        <f aca="false">IFERROR(INDEX(Journal!$A:$A,MATCH($A45,Journal!$B:$B,0)),"")</f>
        <v>46302</v>
      </c>
      <c r="F45" s="153" t="str">
        <f aca="true">IF(C45="Y","Done",IF(AND(E45&lt;&gt;"",TODAY()&gt;E45),"OVERDUE","Pending"))</f>
        <v>Pending</v>
      </c>
    </row>
    <row r="46" customFormat="false" ht="34.5" hidden="false" customHeight="true" outlineLevel="0" collapsed="false">
      <c r="A46" s="153" t="s">
        <v>612</v>
      </c>
      <c r="B46" s="199" t="s">
        <v>708</v>
      </c>
      <c r="C46" s="153"/>
      <c r="D46" s="153"/>
      <c r="E46" s="201" t="n">
        <f aca="false">IFERROR(INDEX(Journal!$A:$A,MATCH($A46,Journal!$B:$B,0)),"")</f>
        <v>46302</v>
      </c>
      <c r="F46" s="153" t="str">
        <f aca="true">IF(C46="Y","Done",IF(AND(E46&lt;&gt;"",TODAY()&gt;E46),"OVERDUE","Pending"))</f>
        <v>Pending</v>
      </c>
    </row>
    <row r="47" customFormat="false" ht="34.5" hidden="false" customHeight="true" outlineLevel="0" collapsed="false">
      <c r="A47" s="153" t="s">
        <v>612</v>
      </c>
      <c r="B47" s="199" t="s">
        <v>709</v>
      </c>
      <c r="C47" s="153"/>
      <c r="D47" s="153"/>
      <c r="E47" s="201" t="n">
        <f aca="false">IFERROR(INDEX(Journal!$A:$A,MATCH($A47,Journal!$B:$B,0)),"")</f>
        <v>46302</v>
      </c>
      <c r="F47" s="153" t="str">
        <f aca="true">IF(C47="Y","Done",IF(AND(E47&lt;&gt;"",TODAY()&gt;E47),"OVERDUE","Pending"))</f>
        <v>Pending</v>
      </c>
    </row>
    <row r="48" customFormat="false" ht="15" hidden="false" customHeight="true" outlineLevel="0" collapsed="false">
      <c r="A48" s="153" t="s">
        <v>612</v>
      </c>
      <c r="B48" s="199" t="s">
        <v>707</v>
      </c>
      <c r="C48" s="153"/>
      <c r="D48" s="153"/>
      <c r="E48" s="201" t="n">
        <f aca="false">IFERROR(INDEX(Journal!$A:$A,MATCH($A48,Journal!$B:$B,0)),"")</f>
        <v>46302</v>
      </c>
      <c r="F48" s="153" t="str">
        <f aca="true">IF(C48="Y","Done",IF(AND(E48&lt;&gt;"",TODAY()&gt;E48),"OVERDUE","Pending"))</f>
        <v>Pending</v>
      </c>
    </row>
    <row r="49" customFormat="false" ht="15" hidden="false" customHeight="true" outlineLevel="0" collapsed="false">
      <c r="A49" s="153" t="s">
        <v>612</v>
      </c>
      <c r="B49" s="199" t="s">
        <v>694</v>
      </c>
      <c r="C49" s="153"/>
      <c r="D49" s="153"/>
      <c r="E49" s="201" t="n">
        <f aca="false">IFERROR(INDEX(Journal!$A:$A,MATCH($A49,Journal!$B:$B,0)),"")</f>
        <v>46302</v>
      </c>
      <c r="F49" s="153" t="str">
        <f aca="true">IF(C49="Y","Done",IF(AND(E49&lt;&gt;"",TODAY()&gt;E49),"OVERDUE","Pending"))</f>
        <v>Pending</v>
      </c>
    </row>
    <row r="50" customFormat="false" ht="15" hidden="false" customHeight="true" outlineLevel="0" collapsed="false">
      <c r="A50" s="153" t="s">
        <v>612</v>
      </c>
      <c r="B50" s="199" t="s">
        <v>695</v>
      </c>
      <c r="C50" s="153"/>
      <c r="D50" s="153"/>
      <c r="E50" s="201" t="n">
        <f aca="false">IFERROR(INDEX(Journal!$A:$A,MATCH($A50,Journal!$B:$B,0)),"")</f>
        <v>46302</v>
      </c>
      <c r="F50" s="153" t="str">
        <f aca="true">IF(C50="Y","Done",IF(AND(E50&lt;&gt;"",TODAY()&gt;E50),"OVERDUE","Pending"))</f>
        <v>Pending</v>
      </c>
    </row>
    <row r="51" customFormat="false" ht="15" hidden="false" customHeight="true" outlineLevel="0" collapsed="false">
      <c r="A51" s="153" t="s">
        <v>612</v>
      </c>
      <c r="B51" s="199" t="s">
        <v>696</v>
      </c>
      <c r="C51" s="153"/>
      <c r="D51" s="153"/>
      <c r="E51" s="201" t="n">
        <f aca="false">IFERROR(INDEX(Journal!$A:$A,MATCH($A51,Journal!$B:$B,0)),"")</f>
        <v>46302</v>
      </c>
      <c r="F51" s="153" t="str">
        <f aca="true">IF(C51="Y","Done",IF(AND(E51&lt;&gt;"",TODAY()&gt;E51),"OVERDUE","Pending"))</f>
        <v>Pending</v>
      </c>
    </row>
    <row r="52" customFormat="false" ht="15" hidden="false" customHeight="true" outlineLevel="0" collapsed="false">
      <c r="A52" s="153" t="s">
        <v>614</v>
      </c>
      <c r="B52" s="199" t="s">
        <v>702</v>
      </c>
      <c r="C52" s="153"/>
      <c r="D52" s="153"/>
      <c r="E52" s="201" t="n">
        <f aca="false">IFERROR(INDEX(Journal!$A:$A,MATCH($A52,Journal!$B:$B,0)),"")</f>
        <v>46317</v>
      </c>
      <c r="F52" s="153" t="str">
        <f aca="true">IF(C52="Y","Done",IF(AND(E52&lt;&gt;"",TODAY()&gt;E52),"OVERDUE","Pending"))</f>
        <v>Pending</v>
      </c>
    </row>
    <row r="53" customFormat="false" ht="15" hidden="false" customHeight="true" outlineLevel="0" collapsed="false">
      <c r="A53" s="153" t="s">
        <v>614</v>
      </c>
      <c r="B53" s="199" t="s">
        <v>703</v>
      </c>
      <c r="C53" s="153"/>
      <c r="D53" s="153"/>
      <c r="E53" s="201" t="n">
        <f aca="false">IFERROR(INDEX(Journal!$A:$A,MATCH($A53,Journal!$B:$B,0)),"")</f>
        <v>46317</v>
      </c>
      <c r="F53" s="153" t="str">
        <f aca="true">IF(C53="Y","Done",IF(AND(E53&lt;&gt;"",TODAY()&gt;E53),"OVERDUE","Pending"))</f>
        <v>Pending</v>
      </c>
    </row>
    <row r="54" customFormat="false" ht="45.75" hidden="false" customHeight="true" outlineLevel="0" collapsed="false">
      <c r="A54" s="153" t="s">
        <v>614</v>
      </c>
      <c r="B54" s="199" t="s">
        <v>704</v>
      </c>
      <c r="C54" s="153"/>
      <c r="D54" s="153"/>
      <c r="E54" s="201" t="n">
        <f aca="false">IFERROR(INDEX(Journal!$A:$A,MATCH($A54,Journal!$B:$B,0)),"")</f>
        <v>46317</v>
      </c>
      <c r="F54" s="153" t="str">
        <f aca="true">IF(C54="Y","Done",IF(AND(E54&lt;&gt;"",TODAY()&gt;E54),"OVERDUE","Pending"))</f>
        <v>Pending</v>
      </c>
    </row>
    <row r="55" customFormat="false" ht="15" hidden="false" customHeight="true" outlineLevel="0" collapsed="false">
      <c r="A55" s="153" t="s">
        <v>614</v>
      </c>
      <c r="B55" s="199" t="s">
        <v>705</v>
      </c>
      <c r="C55" s="153"/>
      <c r="D55" s="153"/>
      <c r="E55" s="201" t="n">
        <f aca="false">IFERROR(INDEX(Journal!$A:$A,MATCH($A55,Journal!$B:$B,0)),"")</f>
        <v>46317</v>
      </c>
      <c r="F55" s="153" t="str">
        <f aca="true">IF(C55="Y","Done",IF(AND(E55&lt;&gt;"",TODAY()&gt;E55),"OVERDUE","Pending"))</f>
        <v>Pending</v>
      </c>
    </row>
    <row r="56" customFormat="false" ht="34.5" hidden="false" customHeight="true" outlineLevel="0" collapsed="false">
      <c r="A56" s="153" t="s">
        <v>614</v>
      </c>
      <c r="B56" s="199" t="s">
        <v>706</v>
      </c>
      <c r="C56" s="153"/>
      <c r="D56" s="153"/>
      <c r="E56" s="201" t="n">
        <f aca="false">IFERROR(INDEX(Journal!$A:$A,MATCH($A56,Journal!$B:$B,0)),"")</f>
        <v>46317</v>
      </c>
      <c r="F56" s="153" t="str">
        <f aca="true">IF(C56="Y","Done",IF(AND(E56&lt;&gt;"",TODAY()&gt;E56),"OVERDUE","Pending"))</f>
        <v>Pending</v>
      </c>
    </row>
    <row r="57" customFormat="false" ht="34.5" hidden="false" customHeight="true" outlineLevel="0" collapsed="false">
      <c r="A57" s="153" t="s">
        <v>614</v>
      </c>
      <c r="B57" s="199" t="s">
        <v>708</v>
      </c>
      <c r="C57" s="153"/>
      <c r="D57" s="153"/>
      <c r="E57" s="201" t="n">
        <f aca="false">IFERROR(INDEX(Journal!$A:$A,MATCH($A57,Journal!$B:$B,0)),"")</f>
        <v>46317</v>
      </c>
      <c r="F57" s="153" t="str">
        <f aca="true">IF(C57="Y","Done",IF(AND(E57&lt;&gt;"",TODAY()&gt;E57),"OVERDUE","Pending"))</f>
        <v>Pending</v>
      </c>
    </row>
    <row r="58" customFormat="false" ht="34.5" hidden="false" customHeight="true" outlineLevel="0" collapsed="false">
      <c r="A58" s="153" t="s">
        <v>614</v>
      </c>
      <c r="B58" s="199" t="s">
        <v>709</v>
      </c>
      <c r="C58" s="153"/>
      <c r="D58" s="153"/>
      <c r="E58" s="201" t="n">
        <f aca="false">IFERROR(INDEX(Journal!$A:$A,MATCH($A58,Journal!$B:$B,0)),"")</f>
        <v>46317</v>
      </c>
      <c r="F58" s="153" t="str">
        <f aca="true">IF(C58="Y","Done",IF(AND(E58&lt;&gt;"",TODAY()&gt;E58),"OVERDUE","Pending"))</f>
        <v>Pending</v>
      </c>
    </row>
    <row r="59" customFormat="false" ht="15" hidden="false" customHeight="true" outlineLevel="0" collapsed="false">
      <c r="A59" s="153" t="s">
        <v>614</v>
      </c>
      <c r="B59" s="199" t="s">
        <v>707</v>
      </c>
      <c r="C59" s="153"/>
      <c r="D59" s="153"/>
      <c r="E59" s="201" t="n">
        <f aca="false">IFERROR(INDEX(Journal!$A:$A,MATCH($A59,Journal!$B:$B,0)),"")</f>
        <v>46317</v>
      </c>
      <c r="F59" s="153" t="str">
        <f aca="true">IF(C59="Y","Done",IF(AND(E59&lt;&gt;"",TODAY()&gt;E59),"OVERDUE","Pending"))</f>
        <v>Pending</v>
      </c>
    </row>
    <row r="60" customFormat="false" ht="15" hidden="false" customHeight="true" outlineLevel="0" collapsed="false">
      <c r="A60" s="153" t="s">
        <v>614</v>
      </c>
      <c r="B60" s="199" t="s">
        <v>694</v>
      </c>
      <c r="C60" s="153"/>
      <c r="D60" s="153"/>
      <c r="E60" s="201" t="n">
        <f aca="false">IFERROR(INDEX(Journal!$A:$A,MATCH($A60,Journal!$B:$B,0)),"")</f>
        <v>46317</v>
      </c>
      <c r="F60" s="153" t="str">
        <f aca="true">IF(C60="Y","Done",IF(AND(E60&lt;&gt;"",TODAY()&gt;E60),"OVERDUE","Pending"))</f>
        <v>Pending</v>
      </c>
    </row>
    <row r="61" customFormat="false" ht="15" hidden="false" customHeight="true" outlineLevel="0" collapsed="false">
      <c r="A61" s="153" t="s">
        <v>614</v>
      </c>
      <c r="B61" s="199" t="s">
        <v>695</v>
      </c>
      <c r="C61" s="153"/>
      <c r="D61" s="153"/>
      <c r="E61" s="201" t="n">
        <f aca="false">IFERROR(INDEX(Journal!$A:$A,MATCH($A61,Journal!$B:$B,0)),"")</f>
        <v>46317</v>
      </c>
      <c r="F61" s="153" t="str">
        <f aca="true">IF(C61="Y","Done",IF(AND(E61&lt;&gt;"",TODAY()&gt;E61),"OVERDUE","Pending"))</f>
        <v>Pending</v>
      </c>
    </row>
    <row r="62" customFormat="false" ht="15" hidden="false" customHeight="true" outlineLevel="0" collapsed="false">
      <c r="A62" s="153" t="s">
        <v>614</v>
      </c>
      <c r="B62" s="199" t="s">
        <v>696</v>
      </c>
      <c r="C62" s="153"/>
      <c r="D62" s="153"/>
      <c r="E62" s="201" t="n">
        <f aca="false">IFERROR(INDEX(Journal!$A:$A,MATCH($A62,Journal!$B:$B,0)),"")</f>
        <v>46317</v>
      </c>
      <c r="F62" s="153" t="str">
        <f aca="true">IF(C62="Y","Done",IF(AND(E62&lt;&gt;"",TODAY()&gt;E62),"OVERDUE","Pending"))</f>
        <v>Pending</v>
      </c>
    </row>
    <row r="63" customFormat="false" ht="15" hidden="false" customHeight="true" outlineLevel="0" collapsed="false">
      <c r="A63" s="153" t="s">
        <v>616</v>
      </c>
      <c r="B63" s="199" t="s">
        <v>702</v>
      </c>
      <c r="C63" s="153"/>
      <c r="D63" s="153"/>
      <c r="E63" s="201" t="n">
        <f aca="false">IFERROR(INDEX(Journal!$A:$A,MATCH($A63,Journal!$B:$B,0)),"")</f>
        <v>46335</v>
      </c>
      <c r="F63" s="153" t="str">
        <f aca="true">IF(C63="Y","Done",IF(AND(E63&lt;&gt;"",TODAY()&gt;E63),"OVERDUE","Pending"))</f>
        <v>Pending</v>
      </c>
    </row>
    <row r="64" customFormat="false" ht="15" hidden="false" customHeight="true" outlineLevel="0" collapsed="false">
      <c r="A64" s="153" t="s">
        <v>616</v>
      </c>
      <c r="B64" s="199" t="s">
        <v>703</v>
      </c>
      <c r="C64" s="153"/>
      <c r="D64" s="153"/>
      <c r="E64" s="201" t="n">
        <f aca="false">IFERROR(INDEX(Journal!$A:$A,MATCH($A64,Journal!$B:$B,0)),"")</f>
        <v>46335</v>
      </c>
      <c r="F64" s="153" t="str">
        <f aca="true">IF(C64="Y","Done",IF(AND(E64&lt;&gt;"",TODAY()&gt;E64),"OVERDUE","Pending"))</f>
        <v>Pending</v>
      </c>
    </row>
    <row r="65" customFormat="false" ht="45.75" hidden="false" customHeight="true" outlineLevel="0" collapsed="false">
      <c r="A65" s="153" t="s">
        <v>616</v>
      </c>
      <c r="B65" s="199" t="s">
        <v>704</v>
      </c>
      <c r="C65" s="153"/>
      <c r="D65" s="153"/>
      <c r="E65" s="201" t="n">
        <f aca="false">IFERROR(INDEX(Journal!$A:$A,MATCH($A65,Journal!$B:$B,0)),"")</f>
        <v>46335</v>
      </c>
      <c r="F65" s="153" t="str">
        <f aca="true">IF(C65="Y","Done",IF(AND(E65&lt;&gt;"",TODAY()&gt;E65),"OVERDUE","Pending"))</f>
        <v>Pending</v>
      </c>
    </row>
    <row r="66" customFormat="false" ht="15" hidden="false" customHeight="true" outlineLevel="0" collapsed="false">
      <c r="A66" s="153" t="s">
        <v>616</v>
      </c>
      <c r="B66" s="199" t="s">
        <v>705</v>
      </c>
      <c r="C66" s="153"/>
      <c r="D66" s="153"/>
      <c r="E66" s="201" t="n">
        <f aca="false">IFERROR(INDEX(Journal!$A:$A,MATCH($A66,Journal!$B:$B,0)),"")</f>
        <v>46335</v>
      </c>
      <c r="F66" s="153" t="str">
        <f aca="true">IF(C66="Y","Done",IF(AND(E66&lt;&gt;"",TODAY()&gt;E66),"OVERDUE","Pending"))</f>
        <v>Pending</v>
      </c>
    </row>
    <row r="67" customFormat="false" ht="34.5" hidden="false" customHeight="true" outlineLevel="0" collapsed="false">
      <c r="A67" s="153" t="s">
        <v>616</v>
      </c>
      <c r="B67" s="199" t="s">
        <v>706</v>
      </c>
      <c r="C67" s="153"/>
      <c r="D67" s="153"/>
      <c r="E67" s="201" t="n">
        <f aca="false">IFERROR(INDEX(Journal!$A:$A,MATCH($A67,Journal!$B:$B,0)),"")</f>
        <v>46335</v>
      </c>
      <c r="F67" s="153" t="str">
        <f aca="true">IF(C67="Y","Done",IF(AND(E67&lt;&gt;"",TODAY()&gt;E67),"OVERDUE","Pending"))</f>
        <v>Pending</v>
      </c>
    </row>
    <row r="68" customFormat="false" ht="34.5" hidden="false" customHeight="true" outlineLevel="0" collapsed="false">
      <c r="A68" s="153" t="s">
        <v>616</v>
      </c>
      <c r="B68" s="199" t="s">
        <v>708</v>
      </c>
      <c r="C68" s="153"/>
      <c r="D68" s="153"/>
      <c r="E68" s="201" t="n">
        <f aca="false">IFERROR(INDEX(Journal!$A:$A,MATCH($A68,Journal!$B:$B,0)),"")</f>
        <v>46335</v>
      </c>
      <c r="F68" s="153" t="str">
        <f aca="true">IF(C68="Y","Done",IF(AND(E68&lt;&gt;"",TODAY()&gt;E68),"OVERDUE","Pending"))</f>
        <v>Pending</v>
      </c>
    </row>
    <row r="69" customFormat="false" ht="34.5" hidden="false" customHeight="true" outlineLevel="0" collapsed="false">
      <c r="A69" s="153" t="s">
        <v>616</v>
      </c>
      <c r="B69" s="199" t="s">
        <v>709</v>
      </c>
      <c r="C69" s="153"/>
      <c r="D69" s="153"/>
      <c r="E69" s="201" t="n">
        <f aca="false">IFERROR(INDEX(Journal!$A:$A,MATCH($A69,Journal!$B:$B,0)),"")</f>
        <v>46335</v>
      </c>
      <c r="F69" s="153" t="str">
        <f aca="true">IF(C69="Y","Done",IF(AND(E69&lt;&gt;"",TODAY()&gt;E69),"OVERDUE","Pending"))</f>
        <v>Pending</v>
      </c>
    </row>
    <row r="70" customFormat="false" ht="15" hidden="false" customHeight="true" outlineLevel="0" collapsed="false">
      <c r="A70" s="153" t="s">
        <v>616</v>
      </c>
      <c r="B70" s="199" t="s">
        <v>707</v>
      </c>
      <c r="C70" s="153"/>
      <c r="D70" s="153"/>
      <c r="E70" s="201" t="n">
        <f aca="false">IFERROR(INDEX(Journal!$A:$A,MATCH($A70,Journal!$B:$B,0)),"")</f>
        <v>46335</v>
      </c>
      <c r="F70" s="153" t="str">
        <f aca="true">IF(C70="Y","Done",IF(AND(E70&lt;&gt;"",TODAY()&gt;E70),"OVERDUE","Pending"))</f>
        <v>Pending</v>
      </c>
    </row>
    <row r="71" customFormat="false" ht="15" hidden="false" customHeight="true" outlineLevel="0" collapsed="false">
      <c r="A71" s="153" t="s">
        <v>616</v>
      </c>
      <c r="B71" s="199" t="s">
        <v>694</v>
      </c>
      <c r="C71" s="153"/>
      <c r="D71" s="153"/>
      <c r="E71" s="201" t="n">
        <f aca="false">IFERROR(INDEX(Journal!$A:$A,MATCH($A71,Journal!$B:$B,0)),"")</f>
        <v>46335</v>
      </c>
      <c r="F71" s="153" t="str">
        <f aca="true">IF(C71="Y","Done",IF(AND(E71&lt;&gt;"",TODAY()&gt;E71),"OVERDUE","Pending"))</f>
        <v>Pending</v>
      </c>
    </row>
    <row r="72" customFormat="false" ht="15" hidden="false" customHeight="true" outlineLevel="0" collapsed="false">
      <c r="A72" s="153" t="s">
        <v>616</v>
      </c>
      <c r="B72" s="199" t="s">
        <v>695</v>
      </c>
      <c r="C72" s="153"/>
      <c r="D72" s="153"/>
      <c r="E72" s="201" t="n">
        <f aca="false">IFERROR(INDEX(Journal!$A:$A,MATCH($A72,Journal!$B:$B,0)),"")</f>
        <v>46335</v>
      </c>
      <c r="F72" s="153" t="str">
        <f aca="true">IF(C72="Y","Done",IF(AND(E72&lt;&gt;"",TODAY()&gt;E72),"OVERDUE","Pending"))</f>
        <v>Pending</v>
      </c>
    </row>
    <row r="73" customFormat="false" ht="15" hidden="false" customHeight="true" outlineLevel="0" collapsed="false">
      <c r="A73" s="153" t="s">
        <v>616</v>
      </c>
      <c r="B73" s="199" t="s">
        <v>696</v>
      </c>
      <c r="C73" s="153"/>
      <c r="D73" s="153"/>
      <c r="E73" s="201" t="n">
        <f aca="false">IFERROR(INDEX(Journal!$A:$A,MATCH($A73,Journal!$B:$B,0)),"")</f>
        <v>46335</v>
      </c>
      <c r="F73" s="153" t="str">
        <f aca="true">IF(C73="Y","Done",IF(AND(E73&lt;&gt;"",TODAY()&gt;E73),"OVERDUE","Pending"))</f>
        <v>Pending</v>
      </c>
    </row>
    <row r="74" customFormat="false" ht="15" hidden="false" customHeight="true" outlineLevel="0" collapsed="false">
      <c r="A74" s="153" t="s">
        <v>618</v>
      </c>
      <c r="B74" s="199" t="s">
        <v>702</v>
      </c>
      <c r="C74" s="153"/>
      <c r="D74" s="153"/>
      <c r="E74" s="201" t="n">
        <f aca="false">IFERROR(INDEX(Journal!$A:$A,MATCH($A74,Journal!$B:$B,0)),"")</f>
        <v>46349</v>
      </c>
      <c r="F74" s="153" t="str">
        <f aca="true">IF(C74="Y","Done",IF(AND(E74&lt;&gt;"",TODAY()&gt;E74),"OVERDUE","Pending"))</f>
        <v>Pending</v>
      </c>
    </row>
    <row r="75" customFormat="false" ht="15" hidden="false" customHeight="true" outlineLevel="0" collapsed="false">
      <c r="A75" s="153" t="s">
        <v>618</v>
      </c>
      <c r="B75" s="199" t="s">
        <v>703</v>
      </c>
      <c r="C75" s="153"/>
      <c r="D75" s="153"/>
      <c r="E75" s="201" t="n">
        <f aca="false">IFERROR(INDEX(Journal!$A:$A,MATCH($A75,Journal!$B:$B,0)),"")</f>
        <v>46349</v>
      </c>
      <c r="F75" s="153" t="str">
        <f aca="true">IF(C75="Y","Done",IF(AND(E75&lt;&gt;"",TODAY()&gt;E75),"OVERDUE","Pending"))</f>
        <v>Pending</v>
      </c>
    </row>
    <row r="76" customFormat="false" ht="45.75" hidden="false" customHeight="true" outlineLevel="0" collapsed="false">
      <c r="A76" s="153" t="s">
        <v>618</v>
      </c>
      <c r="B76" s="199" t="s">
        <v>704</v>
      </c>
      <c r="C76" s="153"/>
      <c r="D76" s="153"/>
      <c r="E76" s="201" t="n">
        <f aca="false">IFERROR(INDEX(Journal!$A:$A,MATCH($A76,Journal!$B:$B,0)),"")</f>
        <v>46349</v>
      </c>
      <c r="F76" s="153" t="str">
        <f aca="true">IF(C76="Y","Done",IF(AND(E76&lt;&gt;"",TODAY()&gt;E76),"OVERDUE","Pending"))</f>
        <v>Pending</v>
      </c>
    </row>
    <row r="77" customFormat="false" ht="15" hidden="false" customHeight="true" outlineLevel="0" collapsed="false">
      <c r="A77" s="153" t="s">
        <v>618</v>
      </c>
      <c r="B77" s="199" t="s">
        <v>705</v>
      </c>
      <c r="C77" s="153"/>
      <c r="D77" s="153"/>
      <c r="E77" s="201" t="n">
        <f aca="false">IFERROR(INDEX(Journal!$A:$A,MATCH($A77,Journal!$B:$B,0)),"")</f>
        <v>46349</v>
      </c>
      <c r="F77" s="153" t="str">
        <f aca="true">IF(C77="Y","Done",IF(AND(E77&lt;&gt;"",TODAY()&gt;E77),"OVERDUE","Pending"))</f>
        <v>Pending</v>
      </c>
    </row>
    <row r="78" customFormat="false" ht="34.5" hidden="false" customHeight="true" outlineLevel="0" collapsed="false">
      <c r="A78" s="153" t="s">
        <v>618</v>
      </c>
      <c r="B78" s="199" t="s">
        <v>706</v>
      </c>
      <c r="C78" s="153"/>
      <c r="D78" s="153"/>
      <c r="E78" s="201" t="n">
        <f aca="false">IFERROR(INDEX(Journal!$A:$A,MATCH($A78,Journal!$B:$B,0)),"")</f>
        <v>46349</v>
      </c>
      <c r="F78" s="153" t="str">
        <f aca="true">IF(C78="Y","Done",IF(AND(E78&lt;&gt;"",TODAY()&gt;E78),"OVERDUE","Pending"))</f>
        <v>Pending</v>
      </c>
    </row>
    <row r="79" customFormat="false" ht="34.5" hidden="false" customHeight="true" outlineLevel="0" collapsed="false">
      <c r="A79" s="153" t="s">
        <v>618</v>
      </c>
      <c r="B79" s="199" t="s">
        <v>708</v>
      </c>
      <c r="C79" s="153"/>
      <c r="D79" s="153"/>
      <c r="E79" s="201" t="n">
        <f aca="false">IFERROR(INDEX(Journal!$A:$A,MATCH($A79,Journal!$B:$B,0)),"")</f>
        <v>46349</v>
      </c>
      <c r="F79" s="153" t="str">
        <f aca="true">IF(C79="Y","Done",IF(AND(E79&lt;&gt;"",TODAY()&gt;E79),"OVERDUE","Pending"))</f>
        <v>Pending</v>
      </c>
    </row>
    <row r="80" customFormat="false" ht="34.5" hidden="false" customHeight="true" outlineLevel="0" collapsed="false">
      <c r="A80" s="153" t="s">
        <v>618</v>
      </c>
      <c r="B80" s="199" t="s">
        <v>709</v>
      </c>
      <c r="C80" s="153"/>
      <c r="D80" s="153"/>
      <c r="E80" s="201" t="n">
        <f aca="false">IFERROR(INDEX(Journal!$A:$A,MATCH($A80,Journal!$B:$B,0)),"")</f>
        <v>46349</v>
      </c>
      <c r="F80" s="153" t="str">
        <f aca="true">IF(C80="Y","Done",IF(AND(E80&lt;&gt;"",TODAY()&gt;E80),"OVERDUE","Pending"))</f>
        <v>Pending</v>
      </c>
    </row>
    <row r="81" customFormat="false" ht="15" hidden="false" customHeight="true" outlineLevel="0" collapsed="false">
      <c r="A81" s="153" t="s">
        <v>618</v>
      </c>
      <c r="B81" s="199" t="s">
        <v>707</v>
      </c>
      <c r="C81" s="153"/>
      <c r="D81" s="153"/>
      <c r="E81" s="201" t="n">
        <f aca="false">IFERROR(INDEX(Journal!$A:$A,MATCH($A81,Journal!$B:$B,0)),"")</f>
        <v>46349</v>
      </c>
      <c r="F81" s="153" t="str">
        <f aca="true">IF(C81="Y","Done",IF(AND(E81&lt;&gt;"",TODAY()&gt;E81),"OVERDUE","Pending"))</f>
        <v>Pending</v>
      </c>
    </row>
    <row r="82" customFormat="false" ht="15" hidden="false" customHeight="true" outlineLevel="0" collapsed="false">
      <c r="A82" s="153" t="s">
        <v>618</v>
      </c>
      <c r="B82" s="199" t="s">
        <v>694</v>
      </c>
      <c r="C82" s="153"/>
      <c r="D82" s="153"/>
      <c r="E82" s="201" t="n">
        <f aca="false">IFERROR(INDEX(Journal!$A:$A,MATCH($A82,Journal!$B:$B,0)),"")</f>
        <v>46349</v>
      </c>
      <c r="F82" s="153" t="str">
        <f aca="true">IF(C82="Y","Done",IF(AND(E82&lt;&gt;"",TODAY()&gt;E82),"OVERDUE","Pending"))</f>
        <v>Pending</v>
      </c>
    </row>
    <row r="83" customFormat="false" ht="15" hidden="false" customHeight="true" outlineLevel="0" collapsed="false">
      <c r="A83" s="153" t="s">
        <v>618</v>
      </c>
      <c r="B83" s="199" t="s">
        <v>695</v>
      </c>
      <c r="C83" s="153"/>
      <c r="D83" s="153"/>
      <c r="E83" s="201" t="n">
        <f aca="false">IFERROR(INDEX(Journal!$A:$A,MATCH($A83,Journal!$B:$B,0)),"")</f>
        <v>46349</v>
      </c>
      <c r="F83" s="153" t="str">
        <f aca="true">IF(C83="Y","Done",IF(AND(E83&lt;&gt;"",TODAY()&gt;E83),"OVERDUE","Pending"))</f>
        <v>Pending</v>
      </c>
    </row>
    <row r="84" customFormat="false" ht="15" hidden="false" customHeight="true" outlineLevel="0" collapsed="false">
      <c r="A84" s="153" t="s">
        <v>618</v>
      </c>
      <c r="B84" s="199" t="s">
        <v>696</v>
      </c>
      <c r="C84" s="153"/>
      <c r="D84" s="153"/>
      <c r="E84" s="201" t="n">
        <f aca="false">IFERROR(INDEX(Journal!$A:$A,MATCH($A84,Journal!$B:$B,0)),"")</f>
        <v>46349</v>
      </c>
      <c r="F84" s="153" t="str">
        <f aca="true">IF(C84="Y","Done",IF(AND(E84&lt;&gt;"",TODAY()&gt;E84),"OVERDUE","Pending"))</f>
        <v>Pending</v>
      </c>
    </row>
    <row r="85" customFormat="false" ht="15" hidden="false" customHeight="true" outlineLevel="0" collapsed="false">
      <c r="A85" s="153" t="s">
        <v>620</v>
      </c>
      <c r="B85" s="199" t="s">
        <v>702</v>
      </c>
      <c r="C85" s="153"/>
      <c r="D85" s="153"/>
      <c r="E85" s="201" t="n">
        <f aca="false">IFERROR(INDEX(Journal!$A:$A,MATCH($A85,Journal!$B:$B,0)),"")</f>
        <v>46363</v>
      </c>
      <c r="F85" s="153" t="str">
        <f aca="true">IF(C85="Y","Done",IF(AND(E85&lt;&gt;"",TODAY()&gt;E85),"OVERDUE","Pending"))</f>
        <v>Pending</v>
      </c>
    </row>
    <row r="86" customFormat="false" ht="15" hidden="false" customHeight="true" outlineLevel="0" collapsed="false">
      <c r="A86" s="153" t="s">
        <v>620</v>
      </c>
      <c r="B86" s="199" t="s">
        <v>703</v>
      </c>
      <c r="C86" s="153"/>
      <c r="D86" s="153"/>
      <c r="E86" s="201" t="n">
        <f aca="false">IFERROR(INDEX(Journal!$A:$A,MATCH($A86,Journal!$B:$B,0)),"")</f>
        <v>46363</v>
      </c>
      <c r="F86" s="153" t="str">
        <f aca="true">IF(C86="Y","Done",IF(AND(E86&lt;&gt;"",TODAY()&gt;E86),"OVERDUE","Pending"))</f>
        <v>Pending</v>
      </c>
    </row>
    <row r="87" customFormat="false" ht="45.75" hidden="false" customHeight="true" outlineLevel="0" collapsed="false">
      <c r="A87" s="153" t="s">
        <v>620</v>
      </c>
      <c r="B87" s="199" t="s">
        <v>704</v>
      </c>
      <c r="C87" s="153"/>
      <c r="D87" s="153"/>
      <c r="E87" s="201" t="n">
        <f aca="false">IFERROR(INDEX(Journal!$A:$A,MATCH($A87,Journal!$B:$B,0)),"")</f>
        <v>46363</v>
      </c>
      <c r="F87" s="153" t="str">
        <f aca="true">IF(C87="Y","Done",IF(AND(E87&lt;&gt;"",TODAY()&gt;E87),"OVERDUE","Pending"))</f>
        <v>Pending</v>
      </c>
    </row>
    <row r="88" customFormat="false" ht="15" hidden="false" customHeight="true" outlineLevel="0" collapsed="false">
      <c r="A88" s="153" t="s">
        <v>620</v>
      </c>
      <c r="B88" s="199" t="s">
        <v>705</v>
      </c>
      <c r="C88" s="153"/>
      <c r="D88" s="153"/>
      <c r="E88" s="201" t="n">
        <f aca="false">IFERROR(INDEX(Journal!$A:$A,MATCH($A88,Journal!$B:$B,0)),"")</f>
        <v>46363</v>
      </c>
      <c r="F88" s="153" t="str">
        <f aca="true">IF(C88="Y","Done",IF(AND(E88&lt;&gt;"",TODAY()&gt;E88),"OVERDUE","Pending"))</f>
        <v>Pending</v>
      </c>
    </row>
    <row r="89" customFormat="false" ht="34.5" hidden="false" customHeight="true" outlineLevel="0" collapsed="false">
      <c r="A89" s="153" t="s">
        <v>620</v>
      </c>
      <c r="B89" s="199" t="s">
        <v>706</v>
      </c>
      <c r="C89" s="153"/>
      <c r="D89" s="153"/>
      <c r="E89" s="201" t="n">
        <f aca="false">IFERROR(INDEX(Journal!$A:$A,MATCH($A89,Journal!$B:$B,0)),"")</f>
        <v>46363</v>
      </c>
      <c r="F89" s="153" t="str">
        <f aca="true">IF(C89="Y","Done",IF(AND(E89&lt;&gt;"",TODAY()&gt;E89),"OVERDUE","Pending"))</f>
        <v>Pending</v>
      </c>
    </row>
    <row r="90" customFormat="false" ht="34.5" hidden="false" customHeight="true" outlineLevel="0" collapsed="false">
      <c r="A90" s="153" t="s">
        <v>620</v>
      </c>
      <c r="B90" s="199" t="s">
        <v>708</v>
      </c>
      <c r="C90" s="153"/>
      <c r="D90" s="153"/>
      <c r="E90" s="201" t="n">
        <f aca="false">IFERROR(INDEX(Journal!$A:$A,MATCH($A90,Journal!$B:$B,0)),"")</f>
        <v>46363</v>
      </c>
      <c r="F90" s="153" t="str">
        <f aca="true">IF(C90="Y","Done",IF(AND(E90&lt;&gt;"",TODAY()&gt;E90),"OVERDUE","Pending"))</f>
        <v>Pending</v>
      </c>
    </row>
    <row r="91" customFormat="false" ht="34.5" hidden="false" customHeight="true" outlineLevel="0" collapsed="false">
      <c r="A91" s="153" t="s">
        <v>620</v>
      </c>
      <c r="B91" s="199" t="s">
        <v>709</v>
      </c>
      <c r="C91" s="153"/>
      <c r="D91" s="153"/>
      <c r="E91" s="201" t="n">
        <f aca="false">IFERROR(INDEX(Journal!$A:$A,MATCH($A91,Journal!$B:$B,0)),"")</f>
        <v>46363</v>
      </c>
      <c r="F91" s="153" t="str">
        <f aca="true">IF(C91="Y","Done",IF(AND(E91&lt;&gt;"",TODAY()&gt;E91),"OVERDUE","Pending"))</f>
        <v>Pending</v>
      </c>
    </row>
    <row r="92" customFormat="false" ht="15" hidden="false" customHeight="true" outlineLevel="0" collapsed="false">
      <c r="A92" s="153" t="s">
        <v>620</v>
      </c>
      <c r="B92" s="199" t="s">
        <v>707</v>
      </c>
      <c r="C92" s="153"/>
      <c r="D92" s="153"/>
      <c r="E92" s="201" t="n">
        <f aca="false">IFERROR(INDEX(Journal!$A:$A,MATCH($A92,Journal!$B:$B,0)),"")</f>
        <v>46363</v>
      </c>
      <c r="F92" s="153" t="str">
        <f aca="true">IF(C92="Y","Done",IF(AND(E92&lt;&gt;"",TODAY()&gt;E92),"OVERDUE","Pending"))</f>
        <v>Pending</v>
      </c>
    </row>
    <row r="93" customFormat="false" ht="15" hidden="false" customHeight="true" outlineLevel="0" collapsed="false">
      <c r="A93" s="153" t="s">
        <v>620</v>
      </c>
      <c r="B93" s="199" t="s">
        <v>694</v>
      </c>
      <c r="C93" s="153"/>
      <c r="D93" s="153"/>
      <c r="E93" s="201" t="n">
        <f aca="false">IFERROR(INDEX(Journal!$A:$A,MATCH($A93,Journal!$B:$B,0)),"")</f>
        <v>46363</v>
      </c>
      <c r="F93" s="153" t="str">
        <f aca="true">IF(C93="Y","Done",IF(AND(E93&lt;&gt;"",TODAY()&gt;E93),"OVERDUE","Pending"))</f>
        <v>Pending</v>
      </c>
    </row>
    <row r="94" customFormat="false" ht="15" hidden="false" customHeight="true" outlineLevel="0" collapsed="false">
      <c r="A94" s="153" t="s">
        <v>620</v>
      </c>
      <c r="B94" s="199" t="s">
        <v>695</v>
      </c>
      <c r="C94" s="153"/>
      <c r="D94" s="153"/>
      <c r="E94" s="201" t="n">
        <f aca="false">IFERROR(INDEX(Journal!$A:$A,MATCH($A94,Journal!$B:$B,0)),"")</f>
        <v>46363</v>
      </c>
      <c r="F94" s="153" t="str">
        <f aca="true">IF(C94="Y","Done",IF(AND(E94&lt;&gt;"",TODAY()&gt;E94),"OVERDUE","Pending"))</f>
        <v>Pending</v>
      </c>
    </row>
    <row r="95" customFormat="false" ht="15" hidden="false" customHeight="true" outlineLevel="0" collapsed="false">
      <c r="A95" s="153" t="s">
        <v>620</v>
      </c>
      <c r="B95" s="199" t="s">
        <v>696</v>
      </c>
      <c r="C95" s="153"/>
      <c r="D95" s="153"/>
      <c r="E95" s="201" t="n">
        <f aca="false">IFERROR(INDEX(Journal!$A:$A,MATCH($A95,Journal!$B:$B,0)),"")</f>
        <v>46363</v>
      </c>
      <c r="F95" s="153" t="str">
        <f aca="true">IF(C95="Y","Done",IF(AND(E95&lt;&gt;"",TODAY()&gt;E95),"OVERDUE","Pending"))</f>
        <v>Pending</v>
      </c>
    </row>
    <row r="96" customFormat="false" ht="15" hidden="false" customHeight="true" outlineLevel="0" collapsed="false">
      <c r="A96" s="153" t="s">
        <v>621</v>
      </c>
      <c r="B96" s="199" t="s">
        <v>702</v>
      </c>
      <c r="C96" s="153"/>
      <c r="D96" s="153"/>
      <c r="E96" s="201" t="n">
        <f aca="false">IFERROR(INDEX(Journal!$A:$A,MATCH($A96,Journal!$B:$B,0)),"")</f>
        <v>46378</v>
      </c>
      <c r="F96" s="153" t="str">
        <f aca="true">IF(C96="Y","Done",IF(AND(E96&lt;&gt;"",TODAY()&gt;E96),"OVERDUE","Pending"))</f>
        <v>Pending</v>
      </c>
    </row>
    <row r="97" customFormat="false" ht="15" hidden="false" customHeight="true" outlineLevel="0" collapsed="false">
      <c r="A97" s="153" t="s">
        <v>621</v>
      </c>
      <c r="B97" s="199" t="s">
        <v>703</v>
      </c>
      <c r="C97" s="153"/>
      <c r="D97" s="153"/>
      <c r="E97" s="201" t="n">
        <f aca="false">IFERROR(INDEX(Journal!$A:$A,MATCH($A97,Journal!$B:$B,0)),"")</f>
        <v>46378</v>
      </c>
      <c r="F97" s="153" t="str">
        <f aca="true">IF(C97="Y","Done",IF(AND(E97&lt;&gt;"",TODAY()&gt;E97),"OVERDUE","Pending"))</f>
        <v>Pending</v>
      </c>
    </row>
    <row r="98" customFormat="false" ht="45.75" hidden="false" customHeight="true" outlineLevel="0" collapsed="false">
      <c r="A98" s="153" t="s">
        <v>621</v>
      </c>
      <c r="B98" s="199" t="s">
        <v>704</v>
      </c>
      <c r="C98" s="153"/>
      <c r="D98" s="153"/>
      <c r="E98" s="201" t="n">
        <f aca="false">IFERROR(INDEX(Journal!$A:$A,MATCH($A98,Journal!$B:$B,0)),"")</f>
        <v>46378</v>
      </c>
      <c r="F98" s="153" t="str">
        <f aca="true">IF(C98="Y","Done",IF(AND(E98&lt;&gt;"",TODAY()&gt;E98),"OVERDUE","Pending"))</f>
        <v>Pending</v>
      </c>
    </row>
    <row r="99" customFormat="false" ht="15" hidden="false" customHeight="true" outlineLevel="0" collapsed="false">
      <c r="A99" s="153" t="s">
        <v>621</v>
      </c>
      <c r="B99" s="199" t="s">
        <v>705</v>
      </c>
      <c r="C99" s="153"/>
      <c r="D99" s="153"/>
      <c r="E99" s="201" t="n">
        <f aca="false">IFERROR(INDEX(Journal!$A:$A,MATCH($A99,Journal!$B:$B,0)),"")</f>
        <v>46378</v>
      </c>
      <c r="F99" s="153" t="str">
        <f aca="true">IF(C99="Y","Done",IF(AND(E99&lt;&gt;"",TODAY()&gt;E99),"OVERDUE","Pending"))</f>
        <v>Pending</v>
      </c>
    </row>
    <row r="100" customFormat="false" ht="34.5" hidden="false" customHeight="true" outlineLevel="0" collapsed="false">
      <c r="A100" s="153" t="s">
        <v>621</v>
      </c>
      <c r="B100" s="199" t="s">
        <v>706</v>
      </c>
      <c r="C100" s="153"/>
      <c r="D100" s="153"/>
      <c r="E100" s="201" t="n">
        <f aca="false">IFERROR(INDEX(Journal!$A:$A,MATCH($A100,Journal!$B:$B,0)),"")</f>
        <v>46378</v>
      </c>
      <c r="F100" s="153" t="str">
        <f aca="true">IF(C100="Y","Done",IF(AND(E100&lt;&gt;"",TODAY()&gt;E100),"OVERDUE","Pending"))</f>
        <v>Pending</v>
      </c>
    </row>
    <row r="101" customFormat="false" ht="34.5" hidden="false" customHeight="true" outlineLevel="0" collapsed="false">
      <c r="A101" s="153" t="s">
        <v>621</v>
      </c>
      <c r="B101" s="199" t="s">
        <v>708</v>
      </c>
      <c r="C101" s="153"/>
      <c r="D101" s="153"/>
      <c r="E101" s="201" t="n">
        <f aca="false">IFERROR(INDEX(Journal!$A:$A,MATCH($A101,Journal!$B:$B,0)),"")</f>
        <v>46378</v>
      </c>
      <c r="F101" s="153" t="str">
        <f aca="true">IF(C101="Y","Done",IF(AND(E101&lt;&gt;"",TODAY()&gt;E101),"OVERDUE","Pending"))</f>
        <v>Pending</v>
      </c>
    </row>
    <row r="102" customFormat="false" ht="34.5" hidden="false" customHeight="true" outlineLevel="0" collapsed="false">
      <c r="A102" s="153" t="s">
        <v>621</v>
      </c>
      <c r="B102" s="199" t="s">
        <v>709</v>
      </c>
      <c r="C102" s="153"/>
      <c r="D102" s="153"/>
      <c r="E102" s="201" t="n">
        <f aca="false">IFERROR(INDEX(Journal!$A:$A,MATCH($A102,Journal!$B:$B,0)),"")</f>
        <v>46378</v>
      </c>
      <c r="F102" s="153" t="str">
        <f aca="true">IF(C102="Y","Done",IF(AND(E102&lt;&gt;"",TODAY()&gt;E102),"OVERDUE","Pending"))</f>
        <v>Pending</v>
      </c>
    </row>
    <row r="103" customFormat="false" ht="15" hidden="false" customHeight="true" outlineLevel="0" collapsed="false">
      <c r="A103" s="153" t="s">
        <v>621</v>
      </c>
      <c r="B103" s="199" t="s">
        <v>707</v>
      </c>
      <c r="C103" s="153"/>
      <c r="D103" s="153"/>
      <c r="E103" s="201" t="n">
        <f aca="false">IFERROR(INDEX(Journal!$A:$A,MATCH($A103,Journal!$B:$B,0)),"")</f>
        <v>46378</v>
      </c>
      <c r="F103" s="153" t="str">
        <f aca="true">IF(C103="Y","Done",IF(AND(E103&lt;&gt;"",TODAY()&gt;E103),"OVERDUE","Pending"))</f>
        <v>Pending</v>
      </c>
    </row>
    <row r="104" customFormat="false" ht="15" hidden="false" customHeight="true" outlineLevel="0" collapsed="false">
      <c r="A104" s="153" t="s">
        <v>621</v>
      </c>
      <c r="B104" s="199" t="s">
        <v>694</v>
      </c>
      <c r="C104" s="153"/>
      <c r="D104" s="153"/>
      <c r="E104" s="201" t="n">
        <f aca="false">IFERROR(INDEX(Journal!$A:$A,MATCH($A104,Journal!$B:$B,0)),"")</f>
        <v>46378</v>
      </c>
      <c r="F104" s="153" t="str">
        <f aca="true">IF(C104="Y","Done",IF(AND(E104&lt;&gt;"",TODAY()&gt;E104),"OVERDUE","Pending"))</f>
        <v>Pending</v>
      </c>
    </row>
    <row r="105" customFormat="false" ht="15" hidden="false" customHeight="true" outlineLevel="0" collapsed="false">
      <c r="A105" s="153" t="s">
        <v>621</v>
      </c>
      <c r="B105" s="199" t="s">
        <v>695</v>
      </c>
      <c r="C105" s="153"/>
      <c r="D105" s="153"/>
      <c r="E105" s="201" t="n">
        <f aca="false">IFERROR(INDEX(Journal!$A:$A,MATCH($A105,Journal!$B:$B,0)),"")</f>
        <v>46378</v>
      </c>
      <c r="F105" s="153" t="str">
        <f aca="true">IF(C105="Y","Done",IF(AND(E105&lt;&gt;"",TODAY()&gt;E105),"OVERDUE","Pending"))</f>
        <v>Pending</v>
      </c>
    </row>
    <row r="106" customFormat="false" ht="15" hidden="false" customHeight="true" outlineLevel="0" collapsed="false">
      <c r="A106" s="153" t="s">
        <v>621</v>
      </c>
      <c r="B106" s="199" t="s">
        <v>696</v>
      </c>
      <c r="C106" s="153"/>
      <c r="D106" s="153"/>
      <c r="E106" s="201" t="n">
        <f aca="false">IFERROR(INDEX(Journal!$A:$A,MATCH($A106,Journal!$B:$B,0)),"")</f>
        <v>46378</v>
      </c>
      <c r="F106" s="153" t="str">
        <f aca="true">IF(C106="Y","Done",IF(AND(E106&lt;&gt;"",TODAY()&gt;E106),"OVERDUE","Pending"))</f>
        <v>Pending</v>
      </c>
    </row>
    <row r="107" customFormat="false" ht="15" hidden="false" customHeight="true" outlineLevel="0" collapsed="false">
      <c r="A107" s="153" t="s">
        <v>622</v>
      </c>
      <c r="B107" s="199" t="s">
        <v>702</v>
      </c>
      <c r="C107" s="153"/>
      <c r="D107" s="153"/>
      <c r="E107" s="201" t="n">
        <f aca="false">IFERROR(INDEX(Journal!$A:$A,MATCH($A107,Journal!$B:$B,0)),"")</f>
        <v>46394</v>
      </c>
      <c r="F107" s="153" t="str">
        <f aca="true">IF(C107="Y","Done",IF(AND(E107&lt;&gt;"",TODAY()&gt;E107),"OVERDUE","Pending"))</f>
        <v>Pending</v>
      </c>
    </row>
    <row r="108" customFormat="false" ht="15" hidden="false" customHeight="true" outlineLevel="0" collapsed="false">
      <c r="A108" s="153" t="s">
        <v>622</v>
      </c>
      <c r="B108" s="199" t="s">
        <v>703</v>
      </c>
      <c r="C108" s="153"/>
      <c r="D108" s="153"/>
      <c r="E108" s="201" t="n">
        <f aca="false">IFERROR(INDEX(Journal!$A:$A,MATCH($A108,Journal!$B:$B,0)),"")</f>
        <v>46394</v>
      </c>
      <c r="F108" s="153" t="str">
        <f aca="true">IF(C108="Y","Done",IF(AND(E108&lt;&gt;"",TODAY()&gt;E108),"OVERDUE","Pending"))</f>
        <v>Pending</v>
      </c>
    </row>
    <row r="109" customFormat="false" ht="45.75" hidden="false" customHeight="true" outlineLevel="0" collapsed="false">
      <c r="A109" s="153" t="s">
        <v>622</v>
      </c>
      <c r="B109" s="199" t="s">
        <v>704</v>
      </c>
      <c r="C109" s="153"/>
      <c r="D109" s="153"/>
      <c r="E109" s="201" t="n">
        <f aca="false">IFERROR(INDEX(Journal!$A:$A,MATCH($A109,Journal!$B:$B,0)),"")</f>
        <v>46394</v>
      </c>
      <c r="F109" s="153" t="str">
        <f aca="true">IF(C109="Y","Done",IF(AND(E109&lt;&gt;"",TODAY()&gt;E109),"OVERDUE","Pending"))</f>
        <v>Pending</v>
      </c>
    </row>
    <row r="110" customFormat="false" ht="15" hidden="false" customHeight="true" outlineLevel="0" collapsed="false">
      <c r="A110" s="153" t="s">
        <v>622</v>
      </c>
      <c r="B110" s="199" t="s">
        <v>705</v>
      </c>
      <c r="C110" s="153"/>
      <c r="D110" s="153"/>
      <c r="E110" s="201" t="n">
        <f aca="false">IFERROR(INDEX(Journal!$A:$A,MATCH($A110,Journal!$B:$B,0)),"")</f>
        <v>46394</v>
      </c>
      <c r="F110" s="153" t="str">
        <f aca="true">IF(C110="Y","Done",IF(AND(E110&lt;&gt;"",TODAY()&gt;E110),"OVERDUE","Pending"))</f>
        <v>Pending</v>
      </c>
    </row>
    <row r="111" customFormat="false" ht="34.5" hidden="false" customHeight="true" outlineLevel="0" collapsed="false">
      <c r="A111" s="153" t="s">
        <v>622</v>
      </c>
      <c r="B111" s="199" t="s">
        <v>706</v>
      </c>
      <c r="C111" s="153"/>
      <c r="D111" s="153"/>
      <c r="E111" s="201" t="n">
        <f aca="false">IFERROR(INDEX(Journal!$A:$A,MATCH($A111,Journal!$B:$B,0)),"")</f>
        <v>46394</v>
      </c>
      <c r="F111" s="153" t="str">
        <f aca="true">IF(C111="Y","Done",IF(AND(E111&lt;&gt;"",TODAY()&gt;E111),"OVERDUE","Pending"))</f>
        <v>Pending</v>
      </c>
    </row>
    <row r="112" customFormat="false" ht="34.5" hidden="false" customHeight="true" outlineLevel="0" collapsed="false">
      <c r="A112" s="153" t="s">
        <v>622</v>
      </c>
      <c r="B112" s="199" t="s">
        <v>708</v>
      </c>
      <c r="C112" s="153"/>
      <c r="D112" s="153"/>
      <c r="E112" s="201" t="n">
        <f aca="false">IFERROR(INDEX(Journal!$A:$A,MATCH($A112,Journal!$B:$B,0)),"")</f>
        <v>46394</v>
      </c>
      <c r="F112" s="153" t="str">
        <f aca="true">IF(C112="Y","Done",IF(AND(E112&lt;&gt;"",TODAY()&gt;E112),"OVERDUE","Pending"))</f>
        <v>Pending</v>
      </c>
    </row>
    <row r="113" customFormat="false" ht="34.5" hidden="false" customHeight="true" outlineLevel="0" collapsed="false">
      <c r="A113" s="153" t="s">
        <v>622</v>
      </c>
      <c r="B113" s="199" t="s">
        <v>709</v>
      </c>
      <c r="C113" s="153"/>
      <c r="D113" s="153"/>
      <c r="E113" s="201" t="n">
        <f aca="false">IFERROR(INDEX(Journal!$A:$A,MATCH($A113,Journal!$B:$B,0)),"")</f>
        <v>46394</v>
      </c>
      <c r="F113" s="153" t="str">
        <f aca="true">IF(C113="Y","Done",IF(AND(E113&lt;&gt;"",TODAY()&gt;E113),"OVERDUE","Pending"))</f>
        <v>Pending</v>
      </c>
    </row>
    <row r="114" customFormat="false" ht="15" hidden="false" customHeight="true" outlineLevel="0" collapsed="false">
      <c r="A114" s="153" t="s">
        <v>622</v>
      </c>
      <c r="B114" s="199" t="s">
        <v>707</v>
      </c>
      <c r="C114" s="153"/>
      <c r="D114" s="153"/>
      <c r="E114" s="201" t="n">
        <f aca="false">IFERROR(INDEX(Journal!$A:$A,MATCH($A114,Journal!$B:$B,0)),"")</f>
        <v>46394</v>
      </c>
      <c r="F114" s="153" t="str">
        <f aca="true">IF(C114="Y","Done",IF(AND(E114&lt;&gt;"",TODAY()&gt;E114),"OVERDUE","Pending"))</f>
        <v>Pending</v>
      </c>
    </row>
    <row r="115" customFormat="false" ht="15" hidden="false" customHeight="true" outlineLevel="0" collapsed="false">
      <c r="A115" s="153" t="s">
        <v>622</v>
      </c>
      <c r="B115" s="199" t="s">
        <v>694</v>
      </c>
      <c r="C115" s="153"/>
      <c r="D115" s="153"/>
      <c r="E115" s="201" t="n">
        <f aca="false">IFERROR(INDEX(Journal!$A:$A,MATCH($A115,Journal!$B:$B,0)),"")</f>
        <v>46394</v>
      </c>
      <c r="F115" s="153" t="str">
        <f aca="true">IF(C115="Y","Done",IF(AND(E115&lt;&gt;"",TODAY()&gt;E115),"OVERDUE","Pending"))</f>
        <v>Pending</v>
      </c>
    </row>
    <row r="116" customFormat="false" ht="15" hidden="false" customHeight="true" outlineLevel="0" collapsed="false">
      <c r="A116" s="153" t="s">
        <v>622</v>
      </c>
      <c r="B116" s="199" t="s">
        <v>695</v>
      </c>
      <c r="C116" s="153"/>
      <c r="D116" s="153"/>
      <c r="E116" s="201" t="n">
        <f aca="false">IFERROR(INDEX(Journal!$A:$A,MATCH($A116,Journal!$B:$B,0)),"")</f>
        <v>46394</v>
      </c>
      <c r="F116" s="153" t="str">
        <f aca="true">IF(C116="Y","Done",IF(AND(E116&lt;&gt;"",TODAY()&gt;E116),"OVERDUE","Pending"))</f>
        <v>Pending</v>
      </c>
    </row>
    <row r="117" customFormat="false" ht="15" hidden="false" customHeight="true" outlineLevel="0" collapsed="false">
      <c r="A117" s="153" t="s">
        <v>622</v>
      </c>
      <c r="B117" s="199" t="s">
        <v>696</v>
      </c>
      <c r="C117" s="153"/>
      <c r="D117" s="153"/>
      <c r="E117" s="201" t="n">
        <f aca="false">IFERROR(INDEX(Journal!$A:$A,MATCH($A117,Journal!$B:$B,0)),"")</f>
        <v>46394</v>
      </c>
      <c r="F117" s="153" t="str">
        <f aca="true">IF(C117="Y","Done",IF(AND(E117&lt;&gt;"",TODAY()&gt;E117),"OVERDUE","Pending"))</f>
        <v>Pending</v>
      </c>
    </row>
  </sheetData>
  <mergeCells count="1">
    <mergeCell ref="A1:F1"/>
  </mergeCells>
  <conditionalFormatting sqref="F5:F117">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8" activePane="bottomRight" state="frozen"/>
      <selection pane="topLeft" activeCell="A1" activeCellId="0" sqref="A1"/>
      <selection pane="topRight" activeCell="B1" activeCellId="0" sqref="B1"/>
      <selection pane="bottomLeft" activeCell="A8" activeCellId="0" sqref="A8"/>
      <selection pane="bottomRight" activeCell="B5" activeCellId="0" sqref="B5"/>
    </sheetView>
  </sheetViews>
  <sheetFormatPr defaultColWidth="8.66796875" defaultRowHeight="14.2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23" width="13"/>
    <col collapsed="false" customWidth="true" hidden="false" outlineLevel="0" max="6" min="6" style="1" width="35"/>
  </cols>
  <sheetData>
    <row r="1" customFormat="false" ht="27" hidden="false" customHeight="true" outlineLevel="0" collapsed="false">
      <c r="A1" s="197" t="s">
        <v>710</v>
      </c>
      <c r="B1" s="197"/>
      <c r="C1" s="197"/>
      <c r="D1" s="197"/>
      <c r="E1" s="197"/>
      <c r="F1" s="197"/>
    </row>
    <row r="2" customFormat="false" ht="14.25" hidden="false" customHeight="true" outlineLevel="0" collapsed="false">
      <c r="A2" s="147" t="s">
        <v>711</v>
      </c>
      <c r="C2" s="198" t="n">
        <f aca="false">SUMPRODUCT(($A$5:$A$200&lt;&gt;"")*($C$5:$C$200&lt;&gt;"Y"))</f>
        <v>24</v>
      </c>
    </row>
    <row r="3" customFormat="false" ht="4.5" hidden="false" customHeight="true" outlineLevel="0" collapsed="false"/>
    <row r="4" customFormat="false" ht="27.75" hidden="false" customHeight="true" outlineLevel="0" collapsed="false">
      <c r="A4" s="149" t="s">
        <v>712</v>
      </c>
      <c r="B4" s="149" t="s">
        <v>713</v>
      </c>
      <c r="C4" s="149" t="s">
        <v>687</v>
      </c>
      <c r="D4" s="149" t="s">
        <v>714</v>
      </c>
      <c r="E4" s="149" t="s">
        <v>715</v>
      </c>
      <c r="F4" s="149" t="s">
        <v>210</v>
      </c>
    </row>
    <row r="5" customFormat="false" ht="34.5" hidden="false" customHeight="true" outlineLevel="0" collapsed="false">
      <c r="A5" s="202" t="n">
        <v>1</v>
      </c>
      <c r="B5" s="203" t="s">
        <v>716</v>
      </c>
      <c r="C5" s="202" t="s">
        <v>214</v>
      </c>
      <c r="D5" s="204" t="n">
        <v>46276</v>
      </c>
      <c r="E5" s="204" t="n">
        <v>46276</v>
      </c>
      <c r="F5" s="203" t="s">
        <v>717</v>
      </c>
    </row>
    <row r="6" customFormat="false" ht="34.5" hidden="false" customHeight="true" outlineLevel="0" collapsed="false">
      <c r="A6" s="202" t="n">
        <v>2</v>
      </c>
      <c r="B6" s="203" t="s">
        <v>718</v>
      </c>
      <c r="C6" s="202" t="s">
        <v>214</v>
      </c>
      <c r="D6" s="204" t="n">
        <v>46276</v>
      </c>
      <c r="E6" s="204" t="n">
        <v>46276</v>
      </c>
      <c r="F6" s="203" t="s">
        <v>719</v>
      </c>
    </row>
    <row r="7" customFormat="false" ht="23.25" hidden="false" customHeight="true" outlineLevel="0" collapsed="false">
      <c r="A7" s="202" t="n">
        <v>3</v>
      </c>
      <c r="B7" s="203" t="s">
        <v>720</v>
      </c>
      <c r="C7" s="202" t="s">
        <v>214</v>
      </c>
      <c r="D7" s="204" t="n">
        <v>46260</v>
      </c>
      <c r="E7" s="204" t="n">
        <v>46278</v>
      </c>
      <c r="F7" s="203" t="s">
        <v>721</v>
      </c>
    </row>
    <row r="8" customFormat="false" ht="23.25" hidden="false" customHeight="true" outlineLevel="0" collapsed="false">
      <c r="A8" s="202" t="n">
        <v>4</v>
      </c>
      <c r="B8" s="203" t="s">
        <v>722</v>
      </c>
      <c r="C8" s="202"/>
      <c r="D8" s="204" t="n">
        <v>46273</v>
      </c>
      <c r="E8" s="204"/>
      <c r="F8" s="203"/>
    </row>
    <row r="9" customFormat="false" ht="23.25" hidden="false" customHeight="true" outlineLevel="0" collapsed="false">
      <c r="A9" s="202" t="n">
        <v>5</v>
      </c>
      <c r="B9" s="203" t="s">
        <v>723</v>
      </c>
      <c r="C9" s="202"/>
      <c r="D9" s="204" t="n">
        <v>46273</v>
      </c>
      <c r="E9" s="204"/>
      <c r="F9" s="203"/>
    </row>
    <row r="10" customFormat="false" ht="23.25" hidden="false" customHeight="true" outlineLevel="0" collapsed="false">
      <c r="A10" s="202" t="n">
        <v>6</v>
      </c>
      <c r="B10" s="203" t="s">
        <v>724</v>
      </c>
      <c r="C10" s="202"/>
      <c r="D10" s="204" t="n">
        <v>46273</v>
      </c>
      <c r="E10" s="204"/>
      <c r="F10" s="203"/>
    </row>
    <row r="11" customFormat="false" ht="23.25" hidden="false" customHeight="true" outlineLevel="0" collapsed="false">
      <c r="A11" s="202" t="n">
        <v>7</v>
      </c>
      <c r="B11" s="203" t="s">
        <v>725</v>
      </c>
      <c r="C11" s="202" t="s">
        <v>214</v>
      </c>
      <c r="D11" s="204" t="n">
        <v>46258</v>
      </c>
      <c r="E11" s="204" t="n">
        <v>46278</v>
      </c>
      <c r="F11" s="203" t="s">
        <v>726</v>
      </c>
    </row>
    <row r="12" customFormat="false" ht="23.25" hidden="false" customHeight="true" outlineLevel="0" collapsed="false">
      <c r="A12" s="202" t="n">
        <v>8</v>
      </c>
      <c r="B12" s="203" t="s">
        <v>727</v>
      </c>
      <c r="C12" s="202"/>
      <c r="D12" s="204" t="n">
        <v>46252</v>
      </c>
      <c r="E12" s="204"/>
      <c r="F12" s="203"/>
    </row>
    <row r="13" customFormat="false" ht="34.5" hidden="false" customHeight="true" outlineLevel="0" collapsed="false">
      <c r="A13" s="202" t="n">
        <v>9</v>
      </c>
      <c r="B13" s="203" t="s">
        <v>728</v>
      </c>
      <c r="C13" s="202"/>
      <c r="D13" s="204" t="n">
        <v>46276</v>
      </c>
      <c r="E13" s="204"/>
      <c r="F13" s="203" t="s">
        <v>729</v>
      </c>
    </row>
    <row r="14" customFormat="false" ht="23.25" hidden="false" customHeight="true" outlineLevel="0" collapsed="false">
      <c r="A14" s="202" t="n">
        <v>10</v>
      </c>
      <c r="B14" s="203" t="s">
        <v>730</v>
      </c>
      <c r="C14" s="202"/>
      <c r="D14" s="204" t="n">
        <v>46260</v>
      </c>
      <c r="E14" s="204"/>
      <c r="F14" s="203"/>
    </row>
    <row r="15" customFormat="false" ht="45.75" hidden="false" customHeight="true" outlineLevel="0" collapsed="false">
      <c r="A15" s="202" t="n">
        <v>11</v>
      </c>
      <c r="B15" s="203" t="s">
        <v>731</v>
      </c>
      <c r="C15" s="202"/>
      <c r="D15" s="204" t="n">
        <v>46276</v>
      </c>
      <c r="E15" s="202"/>
      <c r="F15" s="203" t="s">
        <v>732</v>
      </c>
    </row>
    <row r="16" customFormat="false" ht="14.25" hidden="false" customHeight="true" outlineLevel="0" collapsed="false">
      <c r="A16" s="205" t="n">
        <v>12</v>
      </c>
      <c r="B16" s="203" t="s">
        <v>733</v>
      </c>
      <c r="C16" s="206" t="s">
        <v>214</v>
      </c>
      <c r="D16" s="207" t="n">
        <v>46278</v>
      </c>
      <c r="E16" s="208" t="n">
        <v>46278</v>
      </c>
      <c r="F16" s="206" t="s">
        <v>734</v>
      </c>
    </row>
    <row r="17" customFormat="false" ht="14.25" hidden="false" customHeight="true" outlineLevel="0" collapsed="false">
      <c r="A17" s="205" t="n">
        <v>13</v>
      </c>
      <c r="B17" s="203" t="s">
        <v>735</v>
      </c>
      <c r="C17" s="206"/>
      <c r="D17" s="207" t="n">
        <v>46294</v>
      </c>
      <c r="E17" s="209"/>
      <c r="F17" s="206"/>
    </row>
    <row r="18" customFormat="false" ht="14.25" hidden="false" customHeight="true" outlineLevel="0" collapsed="false">
      <c r="A18" s="205" t="n">
        <v>14</v>
      </c>
      <c r="B18" s="203" t="s">
        <v>736</v>
      </c>
      <c r="C18" s="206"/>
      <c r="D18" s="207" t="n">
        <v>46295</v>
      </c>
      <c r="E18" s="209"/>
      <c r="F18" s="206" t="s">
        <v>737</v>
      </c>
    </row>
    <row r="19" customFormat="false" ht="14.25" hidden="false" customHeight="true" outlineLevel="0" collapsed="false">
      <c r="A19" s="205" t="n">
        <v>15</v>
      </c>
      <c r="B19" s="203" t="s">
        <v>738</v>
      </c>
      <c r="C19" s="206"/>
      <c r="D19" s="207" t="n">
        <v>46295</v>
      </c>
      <c r="E19" s="209"/>
      <c r="F19" s="206" t="s">
        <v>739</v>
      </c>
    </row>
    <row r="20" customFormat="false" ht="14.25" hidden="false" customHeight="true" outlineLevel="0" collapsed="false">
      <c r="A20" s="205" t="n">
        <v>16</v>
      </c>
      <c r="B20" s="203" t="s">
        <v>740</v>
      </c>
      <c r="C20" s="206"/>
      <c r="D20" s="207" t="n">
        <v>46295</v>
      </c>
      <c r="E20" s="209"/>
      <c r="F20" s="206" t="s">
        <v>741</v>
      </c>
    </row>
    <row r="21" customFormat="false" ht="14.25" hidden="false" customHeight="true" outlineLevel="0" collapsed="false">
      <c r="A21" s="205" t="n">
        <v>17</v>
      </c>
      <c r="B21" s="203" t="s">
        <v>742</v>
      </c>
      <c r="C21" s="206"/>
      <c r="D21" s="207" t="n">
        <v>46296</v>
      </c>
      <c r="E21" s="209"/>
      <c r="F21" s="206" t="s">
        <v>743</v>
      </c>
    </row>
    <row r="22" customFormat="false" ht="14.25" hidden="false" customHeight="true" outlineLevel="0" collapsed="false">
      <c r="A22" s="205" t="n">
        <v>18</v>
      </c>
      <c r="B22" s="203" t="s">
        <v>744</v>
      </c>
      <c r="C22" s="206"/>
      <c r="D22" s="207" t="n">
        <v>46296</v>
      </c>
      <c r="E22" s="209"/>
      <c r="F22" s="206" t="s">
        <v>745</v>
      </c>
    </row>
    <row r="23" customFormat="false" ht="14.25" hidden="false" customHeight="true" outlineLevel="0" collapsed="false">
      <c r="A23" s="205" t="n">
        <v>19</v>
      </c>
      <c r="B23" s="203" t="s">
        <v>746</v>
      </c>
      <c r="C23" s="206"/>
      <c r="D23" s="207" t="n">
        <v>46297</v>
      </c>
      <c r="E23" s="209"/>
      <c r="F23" s="206" t="s">
        <v>747</v>
      </c>
    </row>
    <row r="24" customFormat="false" ht="14.25" hidden="false" customHeight="true" outlineLevel="0" collapsed="false">
      <c r="A24" s="205" t="n">
        <v>20</v>
      </c>
      <c r="B24" s="203" t="s">
        <v>748</v>
      </c>
      <c r="C24" s="206"/>
      <c r="D24" s="207" t="n">
        <v>46297</v>
      </c>
      <c r="E24" s="209"/>
      <c r="F24" s="206" t="s">
        <v>749</v>
      </c>
    </row>
    <row r="25" customFormat="false" ht="14.25" hidden="false" customHeight="true" outlineLevel="0" collapsed="false">
      <c r="A25" s="205" t="n">
        <v>21</v>
      </c>
      <c r="B25" s="203" t="s">
        <v>750</v>
      </c>
      <c r="C25" s="206"/>
      <c r="D25" s="207" t="n">
        <v>46297</v>
      </c>
      <c r="E25" s="209"/>
      <c r="F25" s="206" t="s">
        <v>751</v>
      </c>
    </row>
    <row r="26" customFormat="false" ht="14.25" hidden="false" customHeight="true" outlineLevel="0" collapsed="false">
      <c r="A26" s="205" t="n">
        <v>22</v>
      </c>
      <c r="B26" s="203" t="s">
        <v>752</v>
      </c>
      <c r="C26" s="206"/>
      <c r="D26" s="207" t="n">
        <v>46297</v>
      </c>
      <c r="E26" s="209"/>
      <c r="F26" s="206" t="s">
        <v>753</v>
      </c>
    </row>
    <row r="27" customFormat="false" ht="14.25" hidden="false" customHeight="true" outlineLevel="0" collapsed="false">
      <c r="A27" s="205" t="n">
        <v>23</v>
      </c>
      <c r="B27" s="203" t="s">
        <v>754</v>
      </c>
      <c r="C27" s="206"/>
      <c r="D27" s="207" t="n">
        <v>46297</v>
      </c>
      <c r="E27" s="209"/>
      <c r="F27" s="206" t="s">
        <v>755</v>
      </c>
    </row>
    <row r="28" customFormat="false" ht="14.25" hidden="false" customHeight="true" outlineLevel="0" collapsed="false">
      <c r="A28" s="205" t="n">
        <v>24</v>
      </c>
      <c r="B28" s="203" t="s">
        <v>756</v>
      </c>
      <c r="C28" s="206"/>
      <c r="D28" s="207" t="n">
        <v>46297</v>
      </c>
      <c r="E28" s="209"/>
      <c r="F28" s="206" t="s">
        <v>757</v>
      </c>
    </row>
    <row r="29" customFormat="false" ht="14.25" hidden="false" customHeight="true" outlineLevel="0" collapsed="false">
      <c r="A29" s="205" t="n">
        <v>25</v>
      </c>
      <c r="B29" s="203" t="s">
        <v>758</v>
      </c>
      <c r="C29" s="206"/>
      <c r="D29" s="207" t="n">
        <v>46299</v>
      </c>
      <c r="E29" s="209"/>
      <c r="F29" s="206" t="s">
        <v>759</v>
      </c>
    </row>
    <row r="30" customFormat="false" ht="14.25" hidden="false" customHeight="true" outlineLevel="0" collapsed="false">
      <c r="A30" s="205" t="n">
        <v>26</v>
      </c>
      <c r="B30" s="203" t="s">
        <v>760</v>
      </c>
      <c r="C30" s="206"/>
      <c r="D30" s="207" t="n">
        <v>46299</v>
      </c>
      <c r="E30" s="209"/>
      <c r="F30" s="206" t="s">
        <v>761</v>
      </c>
    </row>
    <row r="31" customFormat="false" ht="14.25" hidden="false" customHeight="true" outlineLevel="0" collapsed="false">
      <c r="A31" s="205" t="n">
        <v>27</v>
      </c>
      <c r="B31" s="203" t="s">
        <v>762</v>
      </c>
      <c r="C31" s="206"/>
      <c r="D31" s="207" t="n">
        <v>46299</v>
      </c>
      <c r="E31" s="209"/>
      <c r="F31" s="206" t="s">
        <v>763</v>
      </c>
    </row>
    <row r="32" customFormat="false" ht="14.25" hidden="false" customHeight="true" outlineLevel="0" collapsed="false">
      <c r="A32" s="205" t="n">
        <v>28</v>
      </c>
      <c r="B32" s="203" t="s">
        <v>764</v>
      </c>
      <c r="C32" s="206"/>
      <c r="D32" s="207" t="n">
        <v>46299</v>
      </c>
      <c r="E32" s="209"/>
      <c r="F32" s="206" t="s">
        <v>765</v>
      </c>
    </row>
    <row r="33" customFormat="false" ht="14.25" hidden="false" customHeight="true" outlineLevel="0" collapsed="false">
      <c r="A33" s="205" t="n">
        <v>29</v>
      </c>
      <c r="B33" s="203" t="s">
        <v>766</v>
      </c>
      <c r="C33" s="206"/>
      <c r="D33" s="207" t="n">
        <v>46299</v>
      </c>
      <c r="E33" s="209"/>
      <c r="F33" s="206" t="s">
        <v>767</v>
      </c>
    </row>
    <row r="34" customFormat="false" ht="14.25" hidden="false" customHeight="true" outlineLevel="0" collapsed="false">
      <c r="A34" s="206"/>
      <c r="B34" s="206"/>
      <c r="C34" s="206"/>
      <c r="D34" s="206"/>
      <c r="E34" s="209"/>
      <c r="F34" s="206"/>
    </row>
    <row r="35" customFormat="false" ht="14.25" hidden="false" customHeight="true" outlineLevel="0" collapsed="false">
      <c r="A35" s="206"/>
      <c r="B35" s="206"/>
      <c r="C35" s="206"/>
      <c r="D35" s="206"/>
      <c r="E35" s="209"/>
      <c r="F35" s="206"/>
    </row>
    <row r="36" customFormat="false" ht="14.25" hidden="false" customHeight="true" outlineLevel="0" collapsed="false">
      <c r="A36" s="206"/>
      <c r="B36" s="206"/>
      <c r="C36" s="206"/>
      <c r="D36" s="206"/>
      <c r="E36" s="209"/>
      <c r="F36" s="206"/>
    </row>
    <row r="37" customFormat="false" ht="14.25" hidden="false" customHeight="true" outlineLevel="0" collapsed="false">
      <c r="A37" s="206"/>
      <c r="B37" s="206"/>
      <c r="C37" s="206"/>
      <c r="D37" s="206"/>
      <c r="E37" s="209"/>
      <c r="F37" s="206"/>
    </row>
    <row r="38" customFormat="false" ht="14.25" hidden="false" customHeight="true" outlineLevel="0" collapsed="false">
      <c r="A38" s="206"/>
      <c r="B38" s="206"/>
      <c r="C38" s="206"/>
      <c r="D38" s="206"/>
      <c r="E38" s="209"/>
      <c r="F38" s="206"/>
    </row>
    <row r="39" customFormat="false" ht="14.25" hidden="false" customHeight="true" outlineLevel="0" collapsed="false">
      <c r="A39" s="206"/>
      <c r="B39" s="206"/>
      <c r="C39" s="206"/>
      <c r="D39" s="206"/>
      <c r="E39" s="209"/>
      <c r="F39" s="206"/>
    </row>
    <row r="40" customFormat="false" ht="14.25" hidden="false" customHeight="true" outlineLevel="0" collapsed="false">
      <c r="A40" s="206"/>
      <c r="B40" s="206"/>
      <c r="C40" s="206"/>
      <c r="D40" s="206"/>
      <c r="E40" s="209"/>
      <c r="F40" s="206"/>
    </row>
    <row r="41" customFormat="false" ht="14.25" hidden="false" customHeight="true" outlineLevel="0" collapsed="false">
      <c r="A41" s="206"/>
      <c r="B41" s="206"/>
      <c r="C41" s="206"/>
      <c r="D41" s="206"/>
      <c r="E41" s="209"/>
      <c r="F41" s="206"/>
    </row>
    <row r="42" customFormat="false" ht="14.25" hidden="false" customHeight="true" outlineLevel="0" collapsed="false">
      <c r="A42" s="206"/>
      <c r="B42" s="206"/>
      <c r="C42" s="206"/>
      <c r="D42" s="206"/>
      <c r="E42" s="209"/>
      <c r="F42" s="206"/>
    </row>
    <row r="43" customFormat="false" ht="14.25" hidden="false" customHeight="true" outlineLevel="0" collapsed="false">
      <c r="A43" s="206"/>
      <c r="B43" s="206"/>
      <c r="C43" s="206"/>
      <c r="D43" s="206"/>
      <c r="E43" s="209"/>
      <c r="F43" s="206"/>
    </row>
    <row r="44" customFormat="false" ht="14.25" hidden="false" customHeight="true" outlineLevel="0" collapsed="false">
      <c r="A44" s="206"/>
      <c r="B44" s="206"/>
      <c r="C44" s="206"/>
      <c r="D44" s="206"/>
      <c r="E44" s="209"/>
      <c r="F44" s="206"/>
    </row>
    <row r="45" customFormat="false" ht="14.25" hidden="false" customHeight="true" outlineLevel="0" collapsed="false">
      <c r="A45" s="206"/>
      <c r="B45" s="206"/>
      <c r="C45" s="206"/>
      <c r="D45" s="206"/>
      <c r="E45" s="209"/>
      <c r="F45" s="206"/>
    </row>
    <row r="46" customFormat="false" ht="14.25" hidden="false" customHeight="true" outlineLevel="0" collapsed="false">
      <c r="A46" s="206"/>
      <c r="B46" s="206"/>
      <c r="C46" s="206"/>
      <c r="D46" s="206"/>
      <c r="E46" s="209"/>
      <c r="F46" s="206"/>
    </row>
    <row r="47" customFormat="false" ht="14.25" hidden="false" customHeight="true" outlineLevel="0" collapsed="false">
      <c r="A47" s="206"/>
      <c r="B47" s="206"/>
      <c r="C47" s="206"/>
      <c r="D47" s="206"/>
      <c r="E47" s="209"/>
      <c r="F47" s="206"/>
    </row>
    <row r="48" customFormat="false" ht="14.25" hidden="false" customHeight="true" outlineLevel="0" collapsed="false">
      <c r="A48" s="206"/>
      <c r="B48" s="206"/>
      <c r="C48" s="206"/>
      <c r="D48" s="206"/>
      <c r="E48" s="209"/>
      <c r="F48" s="206"/>
    </row>
    <row r="49" customFormat="false" ht="14.25" hidden="false" customHeight="true" outlineLevel="0" collapsed="false">
      <c r="A49" s="206"/>
      <c r="B49" s="206"/>
      <c r="C49" s="206"/>
      <c r="D49" s="206"/>
      <c r="E49" s="209"/>
      <c r="F49" s="206"/>
    </row>
    <row r="50" customFormat="false" ht="14.25" hidden="false" customHeight="true" outlineLevel="0" collapsed="false">
      <c r="A50" s="206"/>
      <c r="B50" s="206"/>
      <c r="C50" s="206"/>
      <c r="D50" s="206"/>
      <c r="E50" s="209"/>
      <c r="F50" s="206"/>
    </row>
    <row r="51" customFormat="false" ht="14.25" hidden="false" customHeight="true" outlineLevel="0" collapsed="false">
      <c r="A51" s="206"/>
      <c r="B51" s="206"/>
      <c r="C51" s="206"/>
      <c r="D51" s="206"/>
      <c r="E51" s="209"/>
      <c r="F51" s="206"/>
    </row>
    <row r="52" customFormat="false" ht="14.25" hidden="false" customHeight="true" outlineLevel="0" collapsed="false">
      <c r="A52" s="206"/>
      <c r="B52" s="206"/>
      <c r="C52" s="206"/>
      <c r="D52" s="206"/>
      <c r="E52" s="209"/>
      <c r="F52" s="206"/>
    </row>
    <row r="53" customFormat="false" ht="14.25" hidden="false" customHeight="true" outlineLevel="0" collapsed="false">
      <c r="A53" s="206"/>
      <c r="B53" s="206"/>
      <c r="C53" s="206"/>
      <c r="D53" s="206"/>
      <c r="E53" s="209"/>
      <c r="F53" s="206"/>
    </row>
    <row r="54" customFormat="false" ht="14.25" hidden="false" customHeight="true" outlineLevel="0" collapsed="false">
      <c r="A54" s="206"/>
      <c r="B54" s="206"/>
      <c r="C54" s="206"/>
      <c r="D54" s="206"/>
      <c r="E54" s="209"/>
      <c r="F54" s="206"/>
    </row>
    <row r="55" customFormat="false" ht="14.25" hidden="false" customHeight="true" outlineLevel="0" collapsed="false">
      <c r="A55" s="206"/>
      <c r="B55" s="206"/>
      <c r="C55" s="206"/>
      <c r="D55" s="206"/>
      <c r="E55" s="209"/>
      <c r="F55" s="206"/>
    </row>
    <row r="56" customFormat="false" ht="14.25" hidden="false" customHeight="true" outlineLevel="0" collapsed="false">
      <c r="A56" s="206"/>
      <c r="B56" s="206"/>
      <c r="C56" s="206"/>
      <c r="D56" s="206"/>
      <c r="E56" s="209"/>
      <c r="F56" s="206"/>
    </row>
    <row r="57" customFormat="false" ht="14.25" hidden="false" customHeight="true" outlineLevel="0" collapsed="false">
      <c r="A57" s="206"/>
      <c r="B57" s="206"/>
      <c r="C57" s="206"/>
      <c r="D57" s="206"/>
      <c r="E57" s="209"/>
      <c r="F57" s="206"/>
    </row>
    <row r="58" customFormat="false" ht="14.25" hidden="false" customHeight="true" outlineLevel="0" collapsed="false">
      <c r="A58" s="206"/>
      <c r="B58" s="206"/>
      <c r="C58" s="206"/>
      <c r="D58" s="206"/>
      <c r="E58" s="209"/>
      <c r="F58" s="206"/>
    </row>
    <row r="59" customFormat="false" ht="14.25" hidden="false" customHeight="true" outlineLevel="0" collapsed="false">
      <c r="A59" s="206"/>
      <c r="B59" s="206"/>
      <c r="C59" s="206"/>
      <c r="D59" s="206"/>
      <c r="E59" s="209"/>
      <c r="F59" s="206"/>
    </row>
    <row r="60" customFormat="false" ht="14.25" hidden="false" customHeight="true" outlineLevel="0" collapsed="false">
      <c r="A60" s="206"/>
      <c r="B60" s="206"/>
      <c r="C60" s="206"/>
      <c r="D60" s="206"/>
      <c r="E60" s="209"/>
      <c r="F60" s="206"/>
    </row>
    <row r="61" customFormat="false" ht="14.25" hidden="false" customHeight="true" outlineLevel="0" collapsed="false">
      <c r="A61" s="206"/>
      <c r="B61" s="206"/>
      <c r="C61" s="206"/>
      <c r="D61" s="206"/>
      <c r="E61" s="209"/>
      <c r="F61" s="206"/>
    </row>
    <row r="62" customFormat="false" ht="14.25" hidden="false" customHeight="true" outlineLevel="0" collapsed="false">
      <c r="A62" s="206"/>
      <c r="B62" s="206"/>
      <c r="C62" s="206"/>
      <c r="D62" s="206"/>
      <c r="E62" s="209"/>
      <c r="F62" s="206"/>
    </row>
    <row r="63" customFormat="false" ht="14.25" hidden="false" customHeight="true" outlineLevel="0" collapsed="false">
      <c r="A63" s="206"/>
      <c r="B63" s="206"/>
      <c r="C63" s="206"/>
      <c r="D63" s="206"/>
      <c r="E63" s="209"/>
      <c r="F63" s="206"/>
    </row>
    <row r="64" customFormat="false" ht="14.25" hidden="false" customHeight="true" outlineLevel="0" collapsed="false">
      <c r="A64" s="206"/>
      <c r="B64" s="206"/>
      <c r="C64" s="206"/>
      <c r="D64" s="206"/>
      <c r="E64" s="209"/>
      <c r="F64" s="206"/>
    </row>
    <row r="65" customFormat="false" ht="14.25" hidden="false" customHeight="true" outlineLevel="0" collapsed="false">
      <c r="A65" s="206"/>
      <c r="B65" s="206"/>
      <c r="C65" s="206"/>
      <c r="D65" s="206"/>
      <c r="E65" s="209"/>
      <c r="F65" s="206"/>
    </row>
    <row r="66" customFormat="false" ht="14.25" hidden="false" customHeight="true" outlineLevel="0" collapsed="false">
      <c r="A66" s="206"/>
      <c r="B66" s="206"/>
      <c r="C66" s="206"/>
      <c r="D66" s="206"/>
      <c r="E66" s="209"/>
      <c r="F66" s="206"/>
    </row>
    <row r="67" customFormat="false" ht="14.25" hidden="false" customHeight="true" outlineLevel="0" collapsed="false">
      <c r="A67" s="206"/>
      <c r="B67" s="206"/>
      <c r="C67" s="206"/>
      <c r="D67" s="206"/>
      <c r="E67" s="209"/>
      <c r="F67" s="206"/>
    </row>
    <row r="68" customFormat="false" ht="14.25" hidden="false" customHeight="true" outlineLevel="0" collapsed="false">
      <c r="A68" s="206"/>
      <c r="B68" s="206"/>
      <c r="C68" s="206"/>
      <c r="D68" s="206"/>
      <c r="E68" s="209"/>
      <c r="F68" s="206"/>
    </row>
    <row r="69" customFormat="false" ht="14.25" hidden="false" customHeight="true" outlineLevel="0" collapsed="false">
      <c r="A69" s="206"/>
      <c r="B69" s="206"/>
      <c r="C69" s="206"/>
      <c r="D69" s="206"/>
      <c r="E69" s="209"/>
      <c r="F69" s="206"/>
    </row>
    <row r="70" customFormat="false" ht="14.25" hidden="false" customHeight="true" outlineLevel="0" collapsed="false">
      <c r="A70" s="206"/>
      <c r="B70" s="206"/>
      <c r="C70" s="206"/>
      <c r="D70" s="206"/>
      <c r="E70" s="209"/>
      <c r="F70" s="206"/>
    </row>
    <row r="71" customFormat="false" ht="14.25" hidden="false" customHeight="true" outlineLevel="0" collapsed="false">
      <c r="A71" s="206"/>
      <c r="B71" s="206"/>
      <c r="C71" s="206"/>
      <c r="D71" s="206"/>
      <c r="E71" s="209"/>
      <c r="F71" s="206"/>
    </row>
    <row r="72" customFormat="false" ht="14.25" hidden="false" customHeight="true" outlineLevel="0" collapsed="false">
      <c r="A72" s="206"/>
      <c r="B72" s="206"/>
      <c r="C72" s="206"/>
      <c r="D72" s="206"/>
      <c r="E72" s="209"/>
      <c r="F72" s="206"/>
    </row>
    <row r="73" customFormat="false" ht="14.25" hidden="false" customHeight="true" outlineLevel="0" collapsed="false">
      <c r="A73" s="206"/>
      <c r="B73" s="206"/>
      <c r="C73" s="206"/>
      <c r="D73" s="206"/>
      <c r="E73" s="209"/>
      <c r="F73" s="206"/>
    </row>
    <row r="74" customFormat="false" ht="14.25" hidden="false" customHeight="true" outlineLevel="0" collapsed="false">
      <c r="A74" s="206"/>
      <c r="B74" s="206"/>
      <c r="C74" s="206"/>
      <c r="D74" s="206"/>
      <c r="E74" s="209"/>
      <c r="F74" s="206"/>
    </row>
    <row r="75" customFormat="false" ht="14.25" hidden="false" customHeight="true" outlineLevel="0" collapsed="false">
      <c r="A75" s="206"/>
      <c r="B75" s="206"/>
      <c r="C75" s="206"/>
      <c r="D75" s="206"/>
      <c r="E75" s="209"/>
      <c r="F75" s="206"/>
    </row>
    <row r="76" customFormat="false" ht="14.25" hidden="false" customHeight="true" outlineLevel="0" collapsed="false">
      <c r="A76" s="206"/>
      <c r="B76" s="206"/>
      <c r="C76" s="206"/>
      <c r="D76" s="206"/>
      <c r="E76" s="209"/>
      <c r="F76" s="206"/>
    </row>
    <row r="77" customFormat="false" ht="14.25" hidden="false" customHeight="true" outlineLevel="0" collapsed="false">
      <c r="A77" s="206"/>
      <c r="B77" s="206"/>
      <c r="C77" s="206"/>
      <c r="D77" s="206"/>
      <c r="E77" s="209"/>
      <c r="F77" s="206"/>
    </row>
    <row r="78" customFormat="false" ht="14.25" hidden="false" customHeight="true" outlineLevel="0" collapsed="false">
      <c r="A78" s="206"/>
      <c r="B78" s="206"/>
      <c r="C78" s="206"/>
      <c r="D78" s="206"/>
      <c r="E78" s="209"/>
      <c r="F78" s="206"/>
    </row>
    <row r="79" customFormat="false" ht="14.25" hidden="false" customHeight="true" outlineLevel="0" collapsed="false">
      <c r="A79" s="206"/>
      <c r="B79" s="206"/>
      <c r="C79" s="206"/>
      <c r="D79" s="206"/>
      <c r="E79" s="209"/>
      <c r="F79" s="206"/>
    </row>
    <row r="80" customFormat="false" ht="14.25" hidden="false" customHeight="true" outlineLevel="0" collapsed="false">
      <c r="A80" s="206"/>
      <c r="B80" s="206"/>
      <c r="C80" s="206"/>
      <c r="D80" s="206"/>
      <c r="E80" s="209"/>
      <c r="F80" s="206"/>
    </row>
    <row r="81" customFormat="false" ht="14.25" hidden="false" customHeight="true" outlineLevel="0" collapsed="false">
      <c r="A81" s="206"/>
      <c r="B81" s="206"/>
      <c r="C81" s="206"/>
      <c r="D81" s="206"/>
      <c r="E81" s="209"/>
      <c r="F81" s="206"/>
    </row>
    <row r="82" customFormat="false" ht="14.25" hidden="false" customHeight="true" outlineLevel="0" collapsed="false">
      <c r="A82" s="206"/>
      <c r="B82" s="206"/>
      <c r="C82" s="206"/>
      <c r="D82" s="206"/>
      <c r="E82" s="209"/>
      <c r="F82" s="206"/>
    </row>
    <row r="83" customFormat="false" ht="14.25" hidden="false" customHeight="true" outlineLevel="0" collapsed="false">
      <c r="A83" s="206"/>
      <c r="B83" s="206"/>
      <c r="C83" s="206"/>
      <c r="D83" s="206"/>
      <c r="E83" s="209"/>
      <c r="F83" s="206"/>
    </row>
    <row r="84" customFormat="false" ht="14.25" hidden="false" customHeight="true" outlineLevel="0" collapsed="false">
      <c r="A84" s="206"/>
      <c r="B84" s="206"/>
      <c r="C84" s="206"/>
      <c r="D84" s="206"/>
      <c r="E84" s="209"/>
      <c r="F84" s="206"/>
    </row>
    <row r="85" customFormat="false" ht="14.25" hidden="false" customHeight="true" outlineLevel="0" collapsed="false">
      <c r="A85" s="206"/>
      <c r="B85" s="206"/>
      <c r="C85" s="206"/>
      <c r="D85" s="206"/>
      <c r="E85" s="209"/>
      <c r="F85" s="206"/>
    </row>
    <row r="86" customFormat="false" ht="14.25" hidden="false" customHeight="true" outlineLevel="0" collapsed="false">
      <c r="A86" s="206"/>
      <c r="B86" s="206"/>
      <c r="C86" s="206"/>
      <c r="D86" s="206"/>
      <c r="E86" s="209"/>
      <c r="F86" s="206"/>
    </row>
    <row r="87" customFormat="false" ht="14.25" hidden="false" customHeight="true" outlineLevel="0" collapsed="false">
      <c r="A87" s="206"/>
      <c r="B87" s="206"/>
      <c r="C87" s="206"/>
      <c r="D87" s="206"/>
      <c r="E87" s="209"/>
      <c r="F87" s="206"/>
    </row>
    <row r="88" customFormat="false" ht="14.25" hidden="false" customHeight="true" outlineLevel="0" collapsed="false">
      <c r="A88" s="206"/>
      <c r="B88" s="206"/>
      <c r="C88" s="206"/>
      <c r="D88" s="206"/>
      <c r="E88" s="209"/>
      <c r="F88" s="206"/>
    </row>
    <row r="89" customFormat="false" ht="14.25" hidden="false" customHeight="true" outlineLevel="0" collapsed="false">
      <c r="A89" s="206"/>
      <c r="B89" s="206"/>
      <c r="C89" s="206"/>
      <c r="D89" s="206"/>
      <c r="E89" s="209"/>
      <c r="F89" s="206"/>
    </row>
    <row r="90" customFormat="false" ht="14.25" hidden="false" customHeight="true" outlineLevel="0" collapsed="false">
      <c r="A90" s="206"/>
      <c r="B90" s="206"/>
      <c r="C90" s="206"/>
      <c r="D90" s="206"/>
      <c r="E90" s="209"/>
      <c r="F90" s="206"/>
    </row>
    <row r="91" customFormat="false" ht="14.25" hidden="false" customHeight="true" outlineLevel="0" collapsed="false">
      <c r="A91" s="206"/>
      <c r="B91" s="206"/>
      <c r="C91" s="206"/>
      <c r="D91" s="206"/>
      <c r="E91" s="209"/>
      <c r="F91" s="206"/>
    </row>
    <row r="92" customFormat="false" ht="14.25" hidden="false" customHeight="true" outlineLevel="0" collapsed="false">
      <c r="A92" s="206"/>
      <c r="B92" s="206"/>
      <c r="C92" s="206"/>
      <c r="D92" s="206"/>
      <c r="E92" s="209"/>
      <c r="F92" s="206"/>
    </row>
    <row r="93" customFormat="false" ht="14.25" hidden="false" customHeight="true" outlineLevel="0" collapsed="false">
      <c r="A93" s="206"/>
      <c r="B93" s="206"/>
      <c r="C93" s="206"/>
      <c r="D93" s="206"/>
      <c r="E93" s="209"/>
      <c r="F93" s="206"/>
    </row>
    <row r="94" customFormat="false" ht="14.25" hidden="false" customHeight="true" outlineLevel="0" collapsed="false">
      <c r="A94" s="206"/>
      <c r="B94" s="206"/>
      <c r="C94" s="206"/>
      <c r="D94" s="206"/>
      <c r="E94" s="209"/>
      <c r="F94" s="206"/>
    </row>
    <row r="95" customFormat="false" ht="14.25" hidden="false" customHeight="true" outlineLevel="0" collapsed="false">
      <c r="A95" s="206"/>
      <c r="B95" s="206"/>
      <c r="C95" s="206"/>
      <c r="D95" s="206"/>
      <c r="E95" s="209"/>
      <c r="F95" s="206"/>
    </row>
    <row r="96" customFormat="false" ht="14.25" hidden="false" customHeight="true" outlineLevel="0" collapsed="false">
      <c r="A96" s="206"/>
      <c r="B96" s="206"/>
      <c r="C96" s="206"/>
      <c r="D96" s="206"/>
      <c r="E96" s="209"/>
      <c r="F96" s="206"/>
    </row>
    <row r="97" customFormat="false" ht="14.25" hidden="false" customHeight="true" outlineLevel="0" collapsed="false">
      <c r="A97" s="206"/>
      <c r="B97" s="206"/>
      <c r="C97" s="206"/>
      <c r="D97" s="206"/>
      <c r="E97" s="209"/>
      <c r="F97" s="206"/>
    </row>
    <row r="98" customFormat="false" ht="14.25" hidden="false" customHeight="true" outlineLevel="0" collapsed="false">
      <c r="A98" s="206"/>
      <c r="B98" s="206"/>
      <c r="C98" s="206"/>
      <c r="D98" s="206"/>
      <c r="E98" s="209"/>
      <c r="F98" s="206"/>
    </row>
    <row r="99" customFormat="false" ht="14.25" hidden="false" customHeight="true" outlineLevel="0" collapsed="false">
      <c r="A99" s="206"/>
      <c r="B99" s="206"/>
      <c r="C99" s="206"/>
      <c r="D99" s="206"/>
      <c r="E99" s="209"/>
      <c r="F99" s="206"/>
    </row>
    <row r="100" customFormat="false" ht="14.25" hidden="false" customHeight="true" outlineLevel="0" collapsed="false">
      <c r="A100" s="206"/>
      <c r="B100" s="206"/>
      <c r="C100" s="206"/>
      <c r="D100" s="206"/>
      <c r="E100" s="209"/>
      <c r="F100" s="206"/>
    </row>
    <row r="101" customFormat="false" ht="14.25" hidden="false" customHeight="true" outlineLevel="0" collapsed="false">
      <c r="A101" s="206"/>
      <c r="B101" s="206"/>
      <c r="C101" s="206"/>
      <c r="D101" s="206"/>
      <c r="E101" s="209"/>
      <c r="F101" s="206"/>
    </row>
    <row r="102" customFormat="false" ht="14.25" hidden="false" customHeight="true" outlineLevel="0" collapsed="false">
      <c r="A102" s="206"/>
      <c r="B102" s="206"/>
      <c r="C102" s="206"/>
      <c r="D102" s="206"/>
      <c r="E102" s="209"/>
      <c r="F102" s="206"/>
    </row>
    <row r="103" customFormat="false" ht="14.25" hidden="false" customHeight="true" outlineLevel="0" collapsed="false">
      <c r="A103" s="206"/>
      <c r="B103" s="206"/>
      <c r="C103" s="206"/>
      <c r="D103" s="206"/>
      <c r="E103" s="209"/>
      <c r="F103" s="206"/>
    </row>
    <row r="104" customFormat="false" ht="14.25" hidden="false" customHeight="true" outlineLevel="0" collapsed="false">
      <c r="A104" s="206"/>
      <c r="B104" s="206"/>
      <c r="C104" s="206"/>
      <c r="D104" s="206"/>
      <c r="E104" s="209"/>
      <c r="F104" s="206"/>
    </row>
    <row r="105" customFormat="false" ht="14.25" hidden="false" customHeight="true" outlineLevel="0" collapsed="false">
      <c r="A105" s="206"/>
      <c r="B105" s="206"/>
      <c r="C105" s="206"/>
      <c r="D105" s="206"/>
      <c r="E105" s="209"/>
      <c r="F105" s="206"/>
    </row>
    <row r="106" customFormat="false" ht="14.25" hidden="false" customHeight="true" outlineLevel="0" collapsed="false">
      <c r="A106" s="206"/>
      <c r="B106" s="206"/>
      <c r="C106" s="206"/>
      <c r="D106" s="206"/>
      <c r="E106" s="209"/>
      <c r="F106" s="206"/>
    </row>
    <row r="107" customFormat="false" ht="14.25" hidden="false" customHeight="true" outlineLevel="0" collapsed="false">
      <c r="A107" s="206"/>
      <c r="B107" s="206"/>
      <c r="C107" s="206"/>
      <c r="D107" s="206"/>
      <c r="E107" s="209"/>
      <c r="F107" s="206"/>
    </row>
    <row r="108" customFormat="false" ht="14.25" hidden="false" customHeight="true" outlineLevel="0" collapsed="false">
      <c r="A108" s="206"/>
      <c r="B108" s="206"/>
      <c r="C108" s="206"/>
      <c r="D108" s="206"/>
      <c r="E108" s="209"/>
      <c r="F108" s="206"/>
    </row>
    <row r="109" customFormat="false" ht="14.25" hidden="false" customHeight="true" outlineLevel="0" collapsed="false">
      <c r="A109" s="206"/>
      <c r="B109" s="206"/>
      <c r="C109" s="206"/>
      <c r="D109" s="206"/>
      <c r="E109" s="209"/>
      <c r="F109" s="206"/>
    </row>
    <row r="110" customFormat="false" ht="14.25" hidden="false" customHeight="true" outlineLevel="0" collapsed="false">
      <c r="A110" s="206"/>
      <c r="B110" s="206"/>
      <c r="C110" s="206"/>
      <c r="D110" s="206"/>
      <c r="E110" s="209"/>
      <c r="F110" s="206"/>
    </row>
    <row r="111" customFormat="false" ht="14.25" hidden="false" customHeight="true" outlineLevel="0" collapsed="false">
      <c r="A111" s="206"/>
      <c r="B111" s="206"/>
      <c r="C111" s="206"/>
      <c r="D111" s="206"/>
      <c r="E111" s="209"/>
      <c r="F111" s="206"/>
    </row>
    <row r="112" customFormat="false" ht="14.25" hidden="false" customHeight="true" outlineLevel="0" collapsed="false">
      <c r="A112" s="206"/>
      <c r="B112" s="206"/>
      <c r="C112" s="206"/>
      <c r="D112" s="206"/>
      <c r="E112" s="209"/>
      <c r="F112" s="206"/>
    </row>
    <row r="113" customFormat="false" ht="14.25" hidden="false" customHeight="true" outlineLevel="0" collapsed="false">
      <c r="A113" s="206"/>
      <c r="B113" s="206"/>
      <c r="C113" s="206"/>
      <c r="D113" s="206"/>
      <c r="E113" s="209"/>
      <c r="F113" s="206"/>
    </row>
    <row r="114" customFormat="false" ht="14.25" hidden="false" customHeight="true" outlineLevel="0" collapsed="false">
      <c r="A114" s="206"/>
      <c r="B114" s="206"/>
      <c r="C114" s="206"/>
      <c r="D114" s="206"/>
      <c r="E114" s="209"/>
      <c r="F114" s="206"/>
    </row>
    <row r="115" customFormat="false" ht="14.25" hidden="false" customHeight="true" outlineLevel="0" collapsed="false">
      <c r="A115" s="206"/>
      <c r="B115" s="206"/>
      <c r="C115" s="206"/>
      <c r="D115" s="206"/>
      <c r="E115" s="209"/>
      <c r="F115" s="206"/>
    </row>
    <row r="116" customFormat="false" ht="14.25" hidden="false" customHeight="true" outlineLevel="0" collapsed="false">
      <c r="A116" s="206"/>
      <c r="B116" s="206"/>
      <c r="C116" s="206"/>
      <c r="D116" s="206"/>
      <c r="E116" s="209"/>
      <c r="F116" s="206"/>
    </row>
    <row r="117" customFormat="false" ht="14.25" hidden="false" customHeight="true" outlineLevel="0" collapsed="false">
      <c r="A117" s="206"/>
      <c r="B117" s="206"/>
      <c r="C117" s="206"/>
      <c r="D117" s="206"/>
      <c r="E117" s="209"/>
      <c r="F117" s="206"/>
    </row>
    <row r="118" customFormat="false" ht="14.25" hidden="false" customHeight="true" outlineLevel="0" collapsed="false">
      <c r="A118" s="206"/>
      <c r="B118" s="206"/>
      <c r="C118" s="206"/>
      <c r="D118" s="206"/>
      <c r="E118" s="209"/>
      <c r="F118" s="206"/>
    </row>
    <row r="119" customFormat="false" ht="14.25" hidden="false" customHeight="true" outlineLevel="0" collapsed="false">
      <c r="A119" s="206"/>
      <c r="B119" s="206"/>
      <c r="C119" s="206"/>
      <c r="D119" s="206"/>
      <c r="E119" s="209"/>
      <c r="F119" s="206"/>
    </row>
    <row r="120" customFormat="false" ht="14.25" hidden="false" customHeight="true" outlineLevel="0" collapsed="false">
      <c r="A120" s="206"/>
      <c r="B120" s="206"/>
      <c r="C120" s="206"/>
      <c r="D120" s="206"/>
      <c r="E120" s="209"/>
      <c r="F120" s="206"/>
    </row>
    <row r="121" customFormat="false" ht="14.25" hidden="false" customHeight="true" outlineLevel="0" collapsed="false">
      <c r="A121" s="206"/>
      <c r="B121" s="206"/>
      <c r="C121" s="206"/>
      <c r="D121" s="206"/>
      <c r="E121" s="209"/>
      <c r="F121" s="206"/>
    </row>
    <row r="122" customFormat="false" ht="14.25" hidden="false" customHeight="true" outlineLevel="0" collapsed="false">
      <c r="A122" s="206"/>
      <c r="B122" s="206"/>
      <c r="C122" s="206"/>
      <c r="D122" s="206"/>
      <c r="E122" s="209"/>
      <c r="F122" s="206"/>
    </row>
    <row r="123" customFormat="false" ht="14.25" hidden="false" customHeight="true" outlineLevel="0" collapsed="false">
      <c r="A123" s="206"/>
      <c r="B123" s="206"/>
      <c r="C123" s="206"/>
      <c r="D123" s="206"/>
      <c r="E123" s="209"/>
      <c r="F123" s="206"/>
    </row>
    <row r="124" customFormat="false" ht="14.25" hidden="false" customHeight="true" outlineLevel="0" collapsed="false">
      <c r="A124" s="206"/>
      <c r="B124" s="206"/>
      <c r="C124" s="206"/>
      <c r="D124" s="206"/>
      <c r="E124" s="209"/>
      <c r="F124" s="206"/>
    </row>
    <row r="125" customFormat="false" ht="14.25" hidden="false" customHeight="true" outlineLevel="0" collapsed="false">
      <c r="A125" s="206"/>
      <c r="B125" s="206"/>
      <c r="C125" s="206"/>
      <c r="D125" s="206"/>
      <c r="E125" s="209"/>
      <c r="F125" s="206"/>
    </row>
    <row r="126" customFormat="false" ht="14.25" hidden="false" customHeight="true" outlineLevel="0" collapsed="false">
      <c r="A126" s="206"/>
      <c r="B126" s="206"/>
      <c r="C126" s="206"/>
      <c r="D126" s="206"/>
      <c r="E126" s="209"/>
      <c r="F126" s="206"/>
    </row>
    <row r="127" customFormat="false" ht="14.25" hidden="false" customHeight="true" outlineLevel="0" collapsed="false">
      <c r="A127" s="206"/>
      <c r="B127" s="206"/>
      <c r="C127" s="206"/>
      <c r="D127" s="206"/>
      <c r="E127" s="209"/>
      <c r="F127" s="206"/>
    </row>
    <row r="128" customFormat="false" ht="14.25" hidden="false" customHeight="true" outlineLevel="0" collapsed="false">
      <c r="A128" s="206"/>
      <c r="B128" s="206"/>
      <c r="C128" s="206"/>
      <c r="D128" s="206"/>
      <c r="E128" s="209"/>
      <c r="F128" s="206"/>
    </row>
    <row r="129" customFormat="false" ht="14.25" hidden="false" customHeight="true" outlineLevel="0" collapsed="false">
      <c r="A129" s="206"/>
      <c r="B129" s="206"/>
      <c r="C129" s="206"/>
      <c r="D129" s="206"/>
      <c r="E129" s="209"/>
      <c r="F129" s="206"/>
    </row>
    <row r="130" customFormat="false" ht="14.25" hidden="false" customHeight="true" outlineLevel="0" collapsed="false">
      <c r="A130" s="206"/>
      <c r="B130" s="206"/>
      <c r="C130" s="206"/>
      <c r="D130" s="206"/>
      <c r="E130" s="209"/>
      <c r="F130" s="206"/>
    </row>
    <row r="131" customFormat="false" ht="14.25" hidden="false" customHeight="true" outlineLevel="0" collapsed="false">
      <c r="A131" s="206"/>
      <c r="B131" s="206"/>
      <c r="C131" s="206"/>
      <c r="D131" s="206"/>
      <c r="E131" s="209"/>
      <c r="F131" s="206"/>
    </row>
    <row r="132" customFormat="false" ht="14.25" hidden="false" customHeight="true" outlineLevel="0" collapsed="false">
      <c r="A132" s="206"/>
      <c r="B132" s="206"/>
      <c r="C132" s="206"/>
      <c r="D132" s="206"/>
      <c r="E132" s="209"/>
      <c r="F132" s="206"/>
    </row>
    <row r="133" customFormat="false" ht="14.25" hidden="false" customHeight="true" outlineLevel="0" collapsed="false">
      <c r="A133" s="206"/>
      <c r="B133" s="206"/>
      <c r="C133" s="206"/>
      <c r="D133" s="206"/>
      <c r="E133" s="209"/>
      <c r="F133" s="206"/>
    </row>
    <row r="134" customFormat="false" ht="14.25" hidden="false" customHeight="true" outlineLevel="0" collapsed="false">
      <c r="A134" s="206"/>
      <c r="B134" s="206"/>
      <c r="C134" s="206"/>
      <c r="D134" s="206"/>
      <c r="E134" s="209"/>
      <c r="F134" s="206"/>
    </row>
    <row r="135" customFormat="false" ht="14.25" hidden="false" customHeight="true" outlineLevel="0" collapsed="false">
      <c r="A135" s="206"/>
      <c r="B135" s="206"/>
      <c r="C135" s="206"/>
      <c r="D135" s="206"/>
      <c r="E135" s="209"/>
      <c r="F135" s="206"/>
    </row>
    <row r="136" customFormat="false" ht="14.25" hidden="false" customHeight="true" outlineLevel="0" collapsed="false">
      <c r="A136" s="206"/>
      <c r="B136" s="206"/>
      <c r="C136" s="206"/>
      <c r="D136" s="206"/>
      <c r="E136" s="209"/>
      <c r="F136" s="206"/>
    </row>
    <row r="137" customFormat="false" ht="14.25" hidden="false" customHeight="true" outlineLevel="0" collapsed="false">
      <c r="A137" s="206"/>
      <c r="B137" s="206"/>
      <c r="C137" s="206"/>
      <c r="D137" s="206"/>
      <c r="E137" s="209"/>
      <c r="F137" s="206"/>
    </row>
    <row r="138" customFormat="false" ht="14.25" hidden="false" customHeight="true" outlineLevel="0" collapsed="false">
      <c r="A138" s="206"/>
      <c r="B138" s="206"/>
      <c r="C138" s="206"/>
      <c r="D138" s="206"/>
      <c r="E138" s="209"/>
      <c r="F138" s="206"/>
    </row>
    <row r="139" customFormat="false" ht="14.25" hidden="false" customHeight="true" outlineLevel="0" collapsed="false">
      <c r="A139" s="206"/>
      <c r="B139" s="206"/>
      <c r="C139" s="206"/>
      <c r="D139" s="206"/>
      <c r="E139" s="209"/>
      <c r="F139" s="206"/>
    </row>
    <row r="140" customFormat="false" ht="14.25" hidden="false" customHeight="true" outlineLevel="0" collapsed="false">
      <c r="A140" s="206"/>
      <c r="B140" s="206"/>
      <c r="C140" s="206"/>
      <c r="D140" s="206"/>
      <c r="E140" s="209"/>
      <c r="F140" s="206"/>
    </row>
    <row r="141" customFormat="false" ht="14.25" hidden="false" customHeight="true" outlineLevel="0" collapsed="false">
      <c r="A141" s="206"/>
      <c r="B141" s="206"/>
      <c r="C141" s="206"/>
      <c r="D141" s="206"/>
      <c r="E141" s="209"/>
      <c r="F141" s="206"/>
    </row>
    <row r="142" customFormat="false" ht="14.25" hidden="false" customHeight="true" outlineLevel="0" collapsed="false">
      <c r="A142" s="206"/>
      <c r="B142" s="206"/>
      <c r="C142" s="206"/>
      <c r="D142" s="206"/>
      <c r="E142" s="209"/>
      <c r="F142" s="206"/>
    </row>
    <row r="143" customFormat="false" ht="14.25" hidden="false" customHeight="true" outlineLevel="0" collapsed="false">
      <c r="A143" s="206"/>
      <c r="B143" s="206"/>
      <c r="C143" s="206"/>
      <c r="D143" s="206"/>
      <c r="E143" s="209"/>
      <c r="F143" s="206"/>
    </row>
    <row r="144" customFormat="false" ht="14.25" hidden="false" customHeight="true" outlineLevel="0" collapsed="false">
      <c r="A144" s="206"/>
      <c r="B144" s="206"/>
      <c r="C144" s="206"/>
      <c r="D144" s="206"/>
      <c r="E144" s="209"/>
      <c r="F144" s="206"/>
    </row>
    <row r="145" customFormat="false" ht="14.25" hidden="false" customHeight="true" outlineLevel="0" collapsed="false">
      <c r="A145" s="206"/>
      <c r="B145" s="206"/>
      <c r="C145" s="206"/>
      <c r="D145" s="206"/>
      <c r="E145" s="209"/>
      <c r="F145" s="206"/>
    </row>
    <row r="146" customFormat="false" ht="14.25" hidden="false" customHeight="true" outlineLevel="0" collapsed="false">
      <c r="A146" s="206"/>
      <c r="B146" s="206"/>
      <c r="C146" s="206"/>
      <c r="D146" s="206"/>
      <c r="E146" s="209"/>
      <c r="F146" s="206"/>
    </row>
    <row r="147" customFormat="false" ht="14.25" hidden="false" customHeight="true" outlineLevel="0" collapsed="false">
      <c r="A147" s="206"/>
      <c r="B147" s="206"/>
      <c r="C147" s="206"/>
      <c r="D147" s="206"/>
      <c r="E147" s="209"/>
      <c r="F147" s="206"/>
    </row>
    <row r="148" customFormat="false" ht="14.25" hidden="false" customHeight="true" outlineLevel="0" collapsed="false">
      <c r="A148" s="206"/>
      <c r="B148" s="206"/>
      <c r="C148" s="206"/>
      <c r="D148" s="206"/>
      <c r="E148" s="209"/>
      <c r="F148" s="206"/>
    </row>
    <row r="149" customFormat="false" ht="14.25" hidden="false" customHeight="true" outlineLevel="0" collapsed="false">
      <c r="A149" s="206"/>
      <c r="B149" s="206"/>
      <c r="C149" s="206"/>
      <c r="D149" s="206"/>
      <c r="E149" s="209"/>
      <c r="F149" s="206"/>
    </row>
    <row r="150" customFormat="false" ht="14.25" hidden="false" customHeight="true" outlineLevel="0" collapsed="false">
      <c r="A150" s="206"/>
      <c r="B150" s="206"/>
      <c r="C150" s="206"/>
      <c r="D150" s="206"/>
      <c r="E150" s="209"/>
      <c r="F150" s="206"/>
    </row>
    <row r="151" customFormat="false" ht="14.25" hidden="false" customHeight="true" outlineLevel="0" collapsed="false">
      <c r="A151" s="206"/>
      <c r="B151" s="206"/>
      <c r="C151" s="206"/>
      <c r="D151" s="206"/>
      <c r="E151" s="209"/>
      <c r="F151" s="206"/>
    </row>
    <row r="152" customFormat="false" ht="14.25" hidden="false" customHeight="true" outlineLevel="0" collapsed="false">
      <c r="A152" s="206"/>
      <c r="B152" s="206"/>
      <c r="C152" s="206"/>
      <c r="D152" s="206"/>
      <c r="E152" s="209"/>
      <c r="F152" s="206"/>
    </row>
    <row r="153" customFormat="false" ht="14.25" hidden="false" customHeight="true" outlineLevel="0" collapsed="false">
      <c r="A153" s="206"/>
      <c r="B153" s="206"/>
      <c r="C153" s="206"/>
      <c r="D153" s="206"/>
      <c r="E153" s="209"/>
      <c r="F153" s="206"/>
    </row>
    <row r="154" customFormat="false" ht="14.25" hidden="false" customHeight="true" outlineLevel="0" collapsed="false">
      <c r="A154" s="206"/>
      <c r="B154" s="206"/>
      <c r="C154" s="206"/>
      <c r="D154" s="206"/>
      <c r="E154" s="209"/>
      <c r="F154" s="206"/>
    </row>
    <row r="155" customFormat="false" ht="14.25" hidden="false" customHeight="true" outlineLevel="0" collapsed="false">
      <c r="A155" s="206"/>
      <c r="B155" s="206"/>
      <c r="C155" s="206"/>
      <c r="D155" s="206"/>
      <c r="E155" s="209"/>
      <c r="F155" s="206"/>
    </row>
    <row r="156" customFormat="false" ht="14.25" hidden="false" customHeight="true" outlineLevel="0" collapsed="false">
      <c r="A156" s="206"/>
      <c r="B156" s="206"/>
      <c r="C156" s="206"/>
      <c r="D156" s="206"/>
      <c r="E156" s="209"/>
      <c r="F156" s="206"/>
    </row>
    <row r="157" customFormat="false" ht="14.25" hidden="false" customHeight="true" outlineLevel="0" collapsed="false">
      <c r="A157" s="206"/>
      <c r="B157" s="206"/>
      <c r="C157" s="206"/>
      <c r="D157" s="206"/>
      <c r="E157" s="209"/>
      <c r="F157" s="206"/>
    </row>
    <row r="158" customFormat="false" ht="14.25" hidden="false" customHeight="true" outlineLevel="0" collapsed="false">
      <c r="A158" s="206"/>
      <c r="B158" s="206"/>
      <c r="C158" s="206"/>
      <c r="D158" s="206"/>
      <c r="E158" s="209"/>
      <c r="F158" s="206"/>
    </row>
    <row r="159" customFormat="false" ht="14.25" hidden="false" customHeight="true" outlineLevel="0" collapsed="false">
      <c r="A159" s="206"/>
      <c r="B159" s="206"/>
      <c r="C159" s="206"/>
      <c r="D159" s="206"/>
      <c r="E159" s="209"/>
      <c r="F159" s="206"/>
    </row>
    <row r="160" customFormat="false" ht="14.25" hidden="false" customHeight="true" outlineLevel="0" collapsed="false">
      <c r="A160" s="206"/>
      <c r="B160" s="206"/>
      <c r="C160" s="206"/>
      <c r="D160" s="206"/>
      <c r="E160" s="209"/>
      <c r="F160" s="206"/>
    </row>
    <row r="161" customFormat="false" ht="14.25" hidden="false" customHeight="true" outlineLevel="0" collapsed="false">
      <c r="A161" s="206"/>
      <c r="B161" s="206"/>
      <c r="C161" s="206"/>
      <c r="D161" s="206"/>
      <c r="E161" s="209"/>
      <c r="F161" s="206"/>
    </row>
    <row r="162" customFormat="false" ht="14.25" hidden="false" customHeight="true" outlineLevel="0" collapsed="false">
      <c r="A162" s="206"/>
      <c r="B162" s="206"/>
      <c r="C162" s="206"/>
      <c r="D162" s="206"/>
      <c r="E162" s="209"/>
      <c r="F162" s="206"/>
    </row>
    <row r="163" customFormat="false" ht="14.25" hidden="false" customHeight="true" outlineLevel="0" collapsed="false">
      <c r="A163" s="206"/>
      <c r="B163" s="206"/>
      <c r="C163" s="206"/>
      <c r="D163" s="206"/>
      <c r="E163" s="209"/>
      <c r="F163" s="206"/>
    </row>
    <row r="164" customFormat="false" ht="14.25" hidden="false" customHeight="true" outlineLevel="0" collapsed="false">
      <c r="A164" s="206"/>
      <c r="B164" s="206"/>
      <c r="C164" s="206"/>
      <c r="D164" s="206"/>
      <c r="E164" s="209"/>
      <c r="F164" s="206"/>
    </row>
    <row r="165" customFormat="false" ht="14.25" hidden="false" customHeight="true" outlineLevel="0" collapsed="false">
      <c r="A165" s="206"/>
      <c r="B165" s="206"/>
      <c r="C165" s="206"/>
      <c r="D165" s="206"/>
      <c r="E165" s="209"/>
      <c r="F165" s="206"/>
    </row>
    <row r="166" customFormat="false" ht="14.25" hidden="false" customHeight="true" outlineLevel="0" collapsed="false">
      <c r="A166" s="206"/>
      <c r="B166" s="206"/>
      <c r="C166" s="206"/>
      <c r="D166" s="206"/>
      <c r="E166" s="209"/>
      <c r="F166" s="206"/>
    </row>
    <row r="167" customFormat="false" ht="14.25" hidden="false" customHeight="true" outlineLevel="0" collapsed="false">
      <c r="A167" s="206"/>
      <c r="B167" s="206"/>
      <c r="C167" s="206"/>
      <c r="D167" s="206"/>
      <c r="E167" s="209"/>
      <c r="F167" s="206"/>
    </row>
    <row r="168" customFormat="false" ht="14.25" hidden="false" customHeight="true" outlineLevel="0" collapsed="false">
      <c r="A168" s="206"/>
      <c r="B168" s="206"/>
      <c r="C168" s="206"/>
      <c r="D168" s="206"/>
      <c r="E168" s="209"/>
      <c r="F168" s="206"/>
    </row>
    <row r="169" customFormat="false" ht="14.25" hidden="false" customHeight="true" outlineLevel="0" collapsed="false">
      <c r="A169" s="206"/>
      <c r="B169" s="206"/>
      <c r="C169" s="206"/>
      <c r="D169" s="206"/>
      <c r="E169" s="209"/>
      <c r="F169" s="206"/>
    </row>
    <row r="170" customFormat="false" ht="14.25" hidden="false" customHeight="true" outlineLevel="0" collapsed="false">
      <c r="A170" s="206"/>
      <c r="B170" s="206"/>
      <c r="C170" s="206"/>
      <c r="D170" s="206"/>
      <c r="E170" s="209"/>
      <c r="F170" s="206"/>
    </row>
    <row r="171" customFormat="false" ht="14.25" hidden="false" customHeight="true" outlineLevel="0" collapsed="false">
      <c r="A171" s="206"/>
      <c r="B171" s="206"/>
      <c r="C171" s="206"/>
      <c r="D171" s="206"/>
      <c r="E171" s="209"/>
      <c r="F171" s="206"/>
    </row>
    <row r="172" customFormat="false" ht="14.25" hidden="false" customHeight="true" outlineLevel="0" collapsed="false">
      <c r="A172" s="206"/>
      <c r="B172" s="206"/>
      <c r="C172" s="206"/>
      <c r="D172" s="206"/>
      <c r="E172" s="209"/>
      <c r="F172" s="206"/>
    </row>
    <row r="173" customFormat="false" ht="14.25" hidden="false" customHeight="true" outlineLevel="0" collapsed="false">
      <c r="A173" s="206"/>
      <c r="B173" s="206"/>
      <c r="C173" s="206"/>
      <c r="D173" s="206"/>
      <c r="E173" s="209"/>
      <c r="F173" s="206"/>
    </row>
    <row r="174" customFormat="false" ht="14.25" hidden="false" customHeight="true" outlineLevel="0" collapsed="false">
      <c r="A174" s="206"/>
      <c r="B174" s="206"/>
      <c r="C174" s="206"/>
      <c r="D174" s="206"/>
      <c r="E174" s="209"/>
      <c r="F174" s="206"/>
    </row>
    <row r="175" customFormat="false" ht="14.25" hidden="false" customHeight="true" outlineLevel="0" collapsed="false">
      <c r="A175" s="206"/>
      <c r="B175" s="206"/>
      <c r="C175" s="206"/>
      <c r="D175" s="206"/>
      <c r="E175" s="209"/>
      <c r="F175" s="206"/>
    </row>
    <row r="176" customFormat="false" ht="14.25" hidden="false" customHeight="true" outlineLevel="0" collapsed="false">
      <c r="A176" s="206"/>
      <c r="B176" s="206"/>
      <c r="C176" s="206"/>
      <c r="D176" s="206"/>
      <c r="E176" s="209"/>
      <c r="F176" s="206"/>
    </row>
    <row r="177" customFormat="false" ht="14.25" hidden="false" customHeight="true" outlineLevel="0" collapsed="false">
      <c r="A177" s="206"/>
      <c r="B177" s="206"/>
      <c r="C177" s="206"/>
      <c r="D177" s="206"/>
      <c r="E177" s="209"/>
      <c r="F177" s="206"/>
    </row>
    <row r="178" customFormat="false" ht="14.25" hidden="false" customHeight="true" outlineLevel="0" collapsed="false">
      <c r="A178" s="206"/>
      <c r="B178" s="206"/>
      <c r="C178" s="206"/>
      <c r="D178" s="206"/>
      <c r="E178" s="209"/>
      <c r="F178" s="206"/>
    </row>
    <row r="179" customFormat="false" ht="14.25" hidden="false" customHeight="true" outlineLevel="0" collapsed="false">
      <c r="A179" s="206"/>
      <c r="B179" s="206"/>
      <c r="C179" s="206"/>
      <c r="D179" s="206"/>
      <c r="E179" s="209"/>
      <c r="F179" s="206"/>
    </row>
    <row r="180" customFormat="false" ht="14.25" hidden="false" customHeight="true" outlineLevel="0" collapsed="false">
      <c r="A180" s="206"/>
      <c r="B180" s="206"/>
      <c r="C180" s="206"/>
      <c r="D180" s="206"/>
      <c r="E180" s="209"/>
      <c r="F180" s="206"/>
    </row>
    <row r="181" customFormat="false" ht="14.25" hidden="false" customHeight="true" outlineLevel="0" collapsed="false">
      <c r="A181" s="206"/>
      <c r="B181" s="206"/>
      <c r="C181" s="206"/>
      <c r="D181" s="206"/>
      <c r="E181" s="209"/>
      <c r="F181" s="206"/>
    </row>
    <row r="182" customFormat="false" ht="14.25" hidden="false" customHeight="true" outlineLevel="0" collapsed="false">
      <c r="A182" s="206"/>
      <c r="B182" s="206"/>
      <c r="C182" s="206"/>
      <c r="D182" s="206"/>
      <c r="E182" s="209"/>
      <c r="F182" s="206"/>
    </row>
    <row r="183" customFormat="false" ht="14.25" hidden="false" customHeight="true" outlineLevel="0" collapsed="false">
      <c r="A183" s="206"/>
      <c r="B183" s="206"/>
      <c r="C183" s="206"/>
      <c r="D183" s="206"/>
      <c r="E183" s="209"/>
      <c r="F183" s="206"/>
    </row>
    <row r="184" customFormat="false" ht="14.25" hidden="false" customHeight="true" outlineLevel="0" collapsed="false">
      <c r="A184" s="206"/>
      <c r="B184" s="206"/>
      <c r="C184" s="206"/>
      <c r="D184" s="206"/>
      <c r="E184" s="209"/>
      <c r="F184" s="206"/>
    </row>
    <row r="185" customFormat="false" ht="14.25" hidden="false" customHeight="true" outlineLevel="0" collapsed="false">
      <c r="A185" s="206"/>
      <c r="B185" s="206"/>
      <c r="C185" s="206"/>
      <c r="D185" s="206"/>
      <c r="E185" s="209"/>
      <c r="F185" s="206"/>
    </row>
    <row r="186" customFormat="false" ht="14.25" hidden="false" customHeight="true" outlineLevel="0" collapsed="false">
      <c r="A186" s="206"/>
      <c r="B186" s="206"/>
      <c r="C186" s="206"/>
      <c r="D186" s="206"/>
      <c r="E186" s="209"/>
      <c r="F186" s="206"/>
    </row>
    <row r="187" customFormat="false" ht="14.25" hidden="false" customHeight="true" outlineLevel="0" collapsed="false">
      <c r="A187" s="206"/>
      <c r="B187" s="206"/>
      <c r="C187" s="206"/>
      <c r="D187" s="206"/>
      <c r="E187" s="209"/>
      <c r="F187" s="206"/>
    </row>
    <row r="188" customFormat="false" ht="14.25" hidden="false" customHeight="true" outlineLevel="0" collapsed="false">
      <c r="A188" s="206"/>
      <c r="B188" s="206"/>
      <c r="C188" s="206"/>
      <c r="D188" s="206"/>
      <c r="E188" s="209"/>
      <c r="F188" s="206"/>
    </row>
    <row r="189" customFormat="false" ht="14.25" hidden="false" customHeight="true" outlineLevel="0" collapsed="false">
      <c r="A189" s="206"/>
      <c r="B189" s="206"/>
      <c r="C189" s="206"/>
      <c r="D189" s="206"/>
      <c r="E189" s="209"/>
      <c r="F189" s="206"/>
    </row>
    <row r="190" customFormat="false" ht="14.25" hidden="false" customHeight="true" outlineLevel="0" collapsed="false">
      <c r="A190" s="206"/>
      <c r="B190" s="206"/>
      <c r="C190" s="206"/>
      <c r="D190" s="206"/>
      <c r="E190" s="209"/>
      <c r="F190" s="206"/>
    </row>
    <row r="191" customFormat="false" ht="14.25" hidden="false" customHeight="true" outlineLevel="0" collapsed="false">
      <c r="A191" s="206"/>
      <c r="B191" s="206"/>
      <c r="C191" s="206"/>
      <c r="D191" s="206"/>
      <c r="E191" s="209"/>
      <c r="F191" s="206"/>
    </row>
    <row r="192" customFormat="false" ht="14.25" hidden="false" customHeight="true" outlineLevel="0" collapsed="false">
      <c r="A192" s="206"/>
      <c r="B192" s="206"/>
      <c r="C192" s="206"/>
      <c r="D192" s="206"/>
      <c r="E192" s="209"/>
      <c r="F192" s="206"/>
    </row>
    <row r="193" customFormat="false" ht="14.25" hidden="false" customHeight="true" outlineLevel="0" collapsed="false">
      <c r="A193" s="206"/>
      <c r="B193" s="206"/>
      <c r="C193" s="206"/>
      <c r="D193" s="206"/>
      <c r="E193" s="209"/>
      <c r="F193" s="206"/>
    </row>
    <row r="194" customFormat="false" ht="14.25" hidden="false" customHeight="true" outlineLevel="0" collapsed="false">
      <c r="A194" s="206"/>
      <c r="B194" s="206"/>
      <c r="C194" s="206"/>
      <c r="D194" s="206"/>
      <c r="E194" s="209"/>
      <c r="F194" s="206"/>
    </row>
    <row r="195" customFormat="false" ht="14.25" hidden="false" customHeight="true" outlineLevel="0" collapsed="false">
      <c r="A195" s="206"/>
      <c r="B195" s="206"/>
      <c r="C195" s="206"/>
      <c r="D195" s="206"/>
      <c r="E195" s="209"/>
      <c r="F195" s="206"/>
    </row>
    <row r="196" customFormat="false" ht="14.25" hidden="false" customHeight="true" outlineLevel="0" collapsed="false">
      <c r="A196" s="206"/>
      <c r="B196" s="206"/>
      <c r="C196" s="206"/>
      <c r="D196" s="206"/>
      <c r="E196" s="209"/>
      <c r="F196" s="206"/>
    </row>
    <row r="197" customFormat="false" ht="14.25" hidden="false" customHeight="true" outlineLevel="0" collapsed="false">
      <c r="A197" s="206"/>
      <c r="B197" s="206"/>
      <c r="C197" s="206"/>
      <c r="D197" s="206"/>
      <c r="E197" s="209"/>
      <c r="F197" s="206"/>
    </row>
    <row r="198" customFormat="false" ht="14.25" hidden="false" customHeight="true" outlineLevel="0" collapsed="false">
      <c r="A198" s="206"/>
      <c r="B198" s="206"/>
      <c r="C198" s="206"/>
      <c r="D198" s="206"/>
      <c r="E198" s="209"/>
      <c r="F198" s="206"/>
    </row>
    <row r="199" customFormat="false" ht="14.25" hidden="false" customHeight="true" outlineLevel="0" collapsed="false">
      <c r="A199" s="206"/>
      <c r="B199" s="206"/>
      <c r="C199" s="206"/>
      <c r="D199" s="206"/>
      <c r="E199" s="209"/>
      <c r="F199" s="206"/>
    </row>
    <row r="200" customFormat="false" ht="14.25" hidden="false" customHeight="true" outlineLevel="0" collapsed="false">
      <c r="A200" s="206"/>
      <c r="B200" s="206"/>
      <c r="C200" s="206"/>
      <c r="D200" s="206"/>
      <c r="E200" s="209"/>
      <c r="F200" s="206"/>
    </row>
    <row r="201" customFormat="false" ht="14.25" hidden="false" customHeight="true" outlineLevel="0" collapsed="false">
      <c r="A201" s="206"/>
      <c r="B201" s="206"/>
      <c r="C201" s="206"/>
      <c r="D201" s="206"/>
      <c r="E201" s="209"/>
      <c r="F201" s="206"/>
    </row>
    <row r="202" customFormat="false" ht="14.25" hidden="false" customHeight="true" outlineLevel="0" collapsed="false">
      <c r="A202" s="206"/>
      <c r="B202" s="206"/>
      <c r="C202" s="206"/>
      <c r="D202" s="206"/>
      <c r="E202" s="209"/>
      <c r="F202" s="206"/>
    </row>
    <row r="203" customFormat="false" ht="14.25" hidden="false" customHeight="true" outlineLevel="0" collapsed="false">
      <c r="A203" s="206"/>
      <c r="B203" s="206"/>
      <c r="C203" s="206"/>
      <c r="D203" s="206"/>
      <c r="E203" s="209"/>
      <c r="F203" s="206"/>
    </row>
    <row r="204" customFormat="false" ht="14.25" hidden="false" customHeight="true" outlineLevel="0" collapsed="false">
      <c r="A204" s="206"/>
      <c r="B204" s="206"/>
      <c r="C204" s="206"/>
      <c r="D204" s="206"/>
      <c r="E204" s="209"/>
      <c r="F204" s="206"/>
    </row>
    <row r="205" customFormat="false" ht="14.25" hidden="false" customHeight="true" outlineLevel="0" collapsed="false">
      <c r="A205" s="206"/>
      <c r="B205" s="206"/>
      <c r="C205" s="206"/>
      <c r="D205" s="206"/>
      <c r="E205" s="209"/>
      <c r="F205" s="206"/>
    </row>
    <row r="206" customFormat="false" ht="14.25" hidden="false" customHeight="true" outlineLevel="0" collapsed="false">
      <c r="A206" s="206"/>
      <c r="B206" s="206"/>
      <c r="C206" s="206"/>
      <c r="D206" s="206"/>
      <c r="E206" s="209"/>
      <c r="F206" s="206"/>
    </row>
    <row r="207" customFormat="false" ht="14.25" hidden="false" customHeight="true" outlineLevel="0" collapsed="false">
      <c r="A207" s="206"/>
      <c r="B207" s="206"/>
      <c r="C207" s="206"/>
      <c r="D207" s="206"/>
      <c r="E207" s="209"/>
      <c r="F207" s="206"/>
    </row>
    <row r="208" customFormat="false" ht="14.25" hidden="false" customHeight="true" outlineLevel="0" collapsed="false">
      <c r="A208" s="206"/>
      <c r="B208" s="206"/>
      <c r="C208" s="206"/>
      <c r="D208" s="206"/>
      <c r="E208" s="209"/>
      <c r="F208" s="206"/>
    </row>
    <row r="209" customFormat="false" ht="14.25" hidden="false" customHeight="true" outlineLevel="0" collapsed="false">
      <c r="A209" s="206"/>
      <c r="B209" s="206"/>
      <c r="C209" s="206"/>
      <c r="D209" s="206"/>
      <c r="E209" s="209"/>
      <c r="F209" s="206"/>
    </row>
    <row r="210" customFormat="false" ht="14.25" hidden="false" customHeight="true" outlineLevel="0" collapsed="false">
      <c r="A210" s="206"/>
      <c r="B210" s="206"/>
      <c r="C210" s="206"/>
      <c r="D210" s="206"/>
      <c r="E210" s="209"/>
      <c r="F210" s="206"/>
    </row>
    <row r="211" customFormat="false" ht="14.25" hidden="false" customHeight="true" outlineLevel="0" collapsed="false">
      <c r="A211" s="206"/>
      <c r="B211" s="206"/>
      <c r="C211" s="206"/>
      <c r="D211" s="206"/>
      <c r="E211" s="209"/>
      <c r="F211" s="206"/>
    </row>
    <row r="212" customFormat="false" ht="14.25" hidden="false" customHeight="true" outlineLevel="0" collapsed="false">
      <c r="A212" s="206"/>
      <c r="B212" s="206"/>
      <c r="C212" s="206"/>
      <c r="D212" s="206"/>
      <c r="E212" s="209"/>
      <c r="F212" s="206"/>
    </row>
    <row r="213" customFormat="false" ht="14.25" hidden="false" customHeight="true" outlineLevel="0" collapsed="false">
      <c r="A213" s="206"/>
      <c r="B213" s="206"/>
      <c r="C213" s="206"/>
      <c r="D213" s="206"/>
      <c r="E213" s="209"/>
      <c r="F213" s="206"/>
    </row>
    <row r="214" customFormat="false" ht="14.25" hidden="false" customHeight="true" outlineLevel="0" collapsed="false">
      <c r="A214" s="206"/>
      <c r="B214" s="206"/>
      <c r="C214" s="206"/>
      <c r="D214" s="206"/>
      <c r="E214" s="209"/>
      <c r="F214" s="206"/>
    </row>
    <row r="215" customFormat="false" ht="14.25" hidden="false" customHeight="true" outlineLevel="0" collapsed="false">
      <c r="A215" s="206"/>
      <c r="B215" s="206"/>
      <c r="C215" s="206"/>
      <c r="D215" s="206"/>
      <c r="E215" s="209"/>
      <c r="F215" s="206"/>
    </row>
    <row r="216" customFormat="false" ht="14.25" hidden="false" customHeight="true" outlineLevel="0" collapsed="false">
      <c r="A216" s="206"/>
      <c r="B216" s="206"/>
      <c r="C216" s="206"/>
      <c r="D216" s="206"/>
      <c r="E216" s="209"/>
      <c r="F216" s="206"/>
    </row>
    <row r="217" customFormat="false" ht="14.25" hidden="false" customHeight="true" outlineLevel="0" collapsed="false">
      <c r="A217" s="206"/>
      <c r="B217" s="206"/>
      <c r="C217" s="206"/>
      <c r="D217" s="206"/>
      <c r="E217" s="209"/>
      <c r="F217" s="206"/>
    </row>
    <row r="218" customFormat="false" ht="14.25" hidden="false" customHeight="true" outlineLevel="0" collapsed="false">
      <c r="A218" s="206"/>
      <c r="B218" s="206"/>
      <c r="C218" s="206"/>
      <c r="D218" s="206"/>
      <c r="E218" s="209"/>
      <c r="F218" s="206"/>
    </row>
    <row r="219" customFormat="false" ht="14.25" hidden="false" customHeight="true" outlineLevel="0" collapsed="false">
      <c r="A219" s="206"/>
      <c r="B219" s="206"/>
      <c r="C219" s="206"/>
      <c r="D219" s="206"/>
      <c r="E219" s="209"/>
      <c r="F219" s="206"/>
    </row>
    <row r="220" customFormat="false" ht="14.25" hidden="false" customHeight="true" outlineLevel="0" collapsed="false">
      <c r="A220" s="206"/>
      <c r="B220" s="206"/>
      <c r="C220" s="206"/>
      <c r="D220" s="206"/>
      <c r="E220" s="209"/>
      <c r="F220" s="206"/>
    </row>
    <row r="221" customFormat="false" ht="14.25" hidden="false" customHeight="true" outlineLevel="0" collapsed="false">
      <c r="A221" s="206"/>
      <c r="B221" s="206"/>
      <c r="C221" s="206"/>
      <c r="D221" s="206"/>
      <c r="E221" s="209"/>
      <c r="F221" s="206"/>
    </row>
    <row r="222" customFormat="false" ht="14.25" hidden="false" customHeight="true" outlineLevel="0" collapsed="false">
      <c r="A222" s="206"/>
      <c r="B222" s="206"/>
      <c r="C222" s="206"/>
      <c r="D222" s="206"/>
      <c r="E222" s="209"/>
      <c r="F222" s="206"/>
    </row>
    <row r="223" customFormat="false" ht="14.25" hidden="false" customHeight="true" outlineLevel="0" collapsed="false">
      <c r="A223" s="206"/>
      <c r="B223" s="206"/>
      <c r="C223" s="206"/>
      <c r="D223" s="206"/>
      <c r="E223" s="209"/>
      <c r="F223" s="206"/>
    </row>
    <row r="224" customFormat="false" ht="14.25" hidden="false" customHeight="true" outlineLevel="0" collapsed="false">
      <c r="A224" s="206"/>
      <c r="B224" s="206"/>
      <c r="C224" s="206"/>
      <c r="D224" s="206"/>
      <c r="E224" s="209"/>
      <c r="F224" s="206"/>
    </row>
    <row r="225" customFormat="false" ht="14.25" hidden="false" customHeight="true" outlineLevel="0" collapsed="false">
      <c r="A225" s="206"/>
      <c r="B225" s="206"/>
      <c r="C225" s="206"/>
      <c r="D225" s="206"/>
      <c r="E225" s="209"/>
      <c r="F225" s="206"/>
    </row>
    <row r="226" customFormat="false" ht="14.25" hidden="false" customHeight="true" outlineLevel="0" collapsed="false">
      <c r="A226" s="206"/>
      <c r="B226" s="206"/>
      <c r="C226" s="206"/>
      <c r="D226" s="206"/>
      <c r="E226" s="209"/>
      <c r="F226" s="206"/>
    </row>
    <row r="227" customFormat="false" ht="14.25" hidden="false" customHeight="true" outlineLevel="0" collapsed="false">
      <c r="A227" s="206"/>
      <c r="B227" s="206"/>
      <c r="C227" s="206"/>
      <c r="D227" s="206"/>
      <c r="E227" s="209"/>
      <c r="F227" s="206"/>
    </row>
    <row r="228" customFormat="false" ht="14.25" hidden="false" customHeight="true" outlineLevel="0" collapsed="false">
      <c r="A228" s="206"/>
      <c r="B228" s="206"/>
      <c r="C228" s="206"/>
      <c r="D228" s="206"/>
      <c r="E228" s="209"/>
      <c r="F228" s="206"/>
    </row>
    <row r="229" customFormat="false" ht="14.25" hidden="false" customHeight="true" outlineLevel="0" collapsed="false">
      <c r="A229" s="206"/>
      <c r="B229" s="206"/>
      <c r="C229" s="206"/>
      <c r="D229" s="206"/>
      <c r="E229" s="209"/>
      <c r="F229" s="206"/>
    </row>
    <row r="230" customFormat="false" ht="14.25" hidden="false" customHeight="true" outlineLevel="0" collapsed="false">
      <c r="A230" s="206"/>
      <c r="B230" s="206"/>
      <c r="C230" s="206"/>
      <c r="D230" s="206"/>
      <c r="E230" s="209"/>
      <c r="F230" s="206"/>
    </row>
    <row r="231" customFormat="false" ht="14.25" hidden="false" customHeight="true" outlineLevel="0" collapsed="false">
      <c r="A231" s="206"/>
      <c r="B231" s="206"/>
      <c r="C231" s="206"/>
      <c r="D231" s="206"/>
      <c r="E231" s="209"/>
      <c r="F231" s="206"/>
    </row>
    <row r="232" customFormat="false" ht="14.25" hidden="false" customHeight="true" outlineLevel="0" collapsed="false">
      <c r="A232" s="206"/>
      <c r="B232" s="206"/>
      <c r="C232" s="206"/>
      <c r="D232" s="206"/>
      <c r="E232" s="209"/>
      <c r="F232" s="206"/>
    </row>
    <row r="233" customFormat="false" ht="14.25" hidden="false" customHeight="true" outlineLevel="0" collapsed="false">
      <c r="A233" s="206"/>
      <c r="B233" s="206"/>
      <c r="C233" s="206"/>
      <c r="D233" s="206"/>
      <c r="E233" s="209"/>
      <c r="F233" s="206"/>
    </row>
    <row r="234" customFormat="false" ht="14.25" hidden="false" customHeight="true" outlineLevel="0" collapsed="false">
      <c r="A234" s="206"/>
      <c r="B234" s="206"/>
      <c r="C234" s="206"/>
      <c r="D234" s="206"/>
      <c r="E234" s="209"/>
      <c r="F234" s="206"/>
    </row>
    <row r="235" customFormat="false" ht="14.25" hidden="false" customHeight="true" outlineLevel="0" collapsed="false">
      <c r="A235" s="206"/>
      <c r="B235" s="206"/>
      <c r="C235" s="206"/>
      <c r="D235" s="206"/>
      <c r="E235" s="209"/>
      <c r="F235" s="206"/>
    </row>
    <row r="236" customFormat="false" ht="14.25" hidden="false" customHeight="true" outlineLevel="0" collapsed="false">
      <c r="A236" s="206"/>
      <c r="B236" s="206"/>
      <c r="C236" s="206"/>
      <c r="D236" s="206"/>
      <c r="E236" s="209"/>
      <c r="F236" s="206"/>
    </row>
    <row r="237" customFormat="false" ht="14.25" hidden="false" customHeight="true" outlineLevel="0" collapsed="false">
      <c r="A237" s="206"/>
      <c r="B237" s="206"/>
      <c r="C237" s="206"/>
      <c r="D237" s="206"/>
      <c r="E237" s="209"/>
      <c r="F237" s="206"/>
    </row>
    <row r="238" customFormat="false" ht="14.25" hidden="false" customHeight="true" outlineLevel="0" collapsed="false">
      <c r="A238" s="206"/>
      <c r="B238" s="206"/>
      <c r="C238" s="206"/>
      <c r="D238" s="206"/>
      <c r="E238" s="209"/>
      <c r="F238" s="206"/>
    </row>
    <row r="239" customFormat="false" ht="14.25" hidden="false" customHeight="true" outlineLevel="0" collapsed="false">
      <c r="A239" s="206"/>
      <c r="B239" s="206"/>
      <c r="C239" s="206"/>
      <c r="D239" s="206"/>
      <c r="E239" s="209"/>
      <c r="F239" s="206"/>
    </row>
    <row r="240" customFormat="false" ht="14.25" hidden="false" customHeight="true" outlineLevel="0" collapsed="false">
      <c r="A240" s="206"/>
      <c r="B240" s="206"/>
      <c r="C240" s="206"/>
      <c r="D240" s="206"/>
      <c r="E240" s="209"/>
      <c r="F240" s="206"/>
    </row>
    <row r="241" customFormat="false" ht="14.25" hidden="false" customHeight="true" outlineLevel="0" collapsed="false">
      <c r="A241" s="206"/>
      <c r="B241" s="206"/>
      <c r="C241" s="206"/>
      <c r="D241" s="206"/>
      <c r="E241" s="209"/>
      <c r="F241" s="206"/>
    </row>
    <row r="242" customFormat="false" ht="14.25" hidden="false" customHeight="true" outlineLevel="0" collapsed="false">
      <c r="A242" s="206"/>
      <c r="B242" s="206"/>
      <c r="C242" s="206"/>
      <c r="D242" s="206"/>
      <c r="E242" s="209"/>
      <c r="F242" s="206"/>
    </row>
    <row r="243" customFormat="false" ht="14.25" hidden="false" customHeight="true" outlineLevel="0" collapsed="false">
      <c r="A243" s="206"/>
      <c r="B243" s="206"/>
      <c r="C243" s="206"/>
      <c r="D243" s="206"/>
      <c r="E243" s="209"/>
      <c r="F243" s="206"/>
    </row>
    <row r="244" customFormat="false" ht="14.25" hidden="false" customHeight="true" outlineLevel="0" collapsed="false">
      <c r="A244" s="206"/>
      <c r="B244" s="206"/>
      <c r="C244" s="206"/>
      <c r="D244" s="206"/>
      <c r="E244" s="209"/>
      <c r="F244" s="206"/>
    </row>
    <row r="245" customFormat="false" ht="14.25" hidden="false" customHeight="true" outlineLevel="0" collapsed="false">
      <c r="A245" s="206"/>
      <c r="B245" s="206"/>
      <c r="C245" s="206"/>
      <c r="D245" s="206"/>
      <c r="E245" s="209"/>
      <c r="F245" s="206"/>
    </row>
    <row r="246" customFormat="false" ht="14.25" hidden="false" customHeight="true" outlineLevel="0" collapsed="false">
      <c r="A246" s="206"/>
      <c r="B246" s="206"/>
      <c r="C246" s="206"/>
      <c r="D246" s="206"/>
      <c r="E246" s="209"/>
      <c r="F246" s="206"/>
    </row>
    <row r="247" customFormat="false" ht="14.25" hidden="false" customHeight="true" outlineLevel="0" collapsed="false">
      <c r="A247" s="206"/>
      <c r="B247" s="206"/>
      <c r="C247" s="206"/>
      <c r="D247" s="206"/>
      <c r="E247" s="209"/>
      <c r="F247" s="206"/>
    </row>
    <row r="248" customFormat="false" ht="14.25" hidden="false" customHeight="true" outlineLevel="0" collapsed="false">
      <c r="A248" s="206"/>
      <c r="B248" s="206"/>
      <c r="C248" s="206"/>
      <c r="D248" s="206"/>
      <c r="E248" s="209"/>
      <c r="F248" s="206"/>
    </row>
    <row r="249" customFormat="false" ht="14.25" hidden="false" customHeight="true" outlineLevel="0" collapsed="false">
      <c r="A249" s="206"/>
      <c r="B249" s="206"/>
      <c r="C249" s="206"/>
      <c r="D249" s="206"/>
      <c r="E249" s="209"/>
      <c r="F249" s="206"/>
    </row>
    <row r="250" customFormat="false" ht="14.25" hidden="false" customHeight="true" outlineLevel="0" collapsed="false">
      <c r="A250" s="206"/>
      <c r="B250" s="206"/>
      <c r="C250" s="206"/>
      <c r="D250" s="206"/>
      <c r="E250" s="209"/>
      <c r="F250" s="206"/>
    </row>
    <row r="251" customFormat="false" ht="14.25" hidden="false" customHeight="true" outlineLevel="0" collapsed="false">
      <c r="A251" s="206"/>
      <c r="B251" s="206"/>
      <c r="C251" s="206"/>
      <c r="D251" s="206"/>
      <c r="E251" s="209"/>
      <c r="F251" s="206"/>
    </row>
    <row r="252" customFormat="false" ht="14.25" hidden="false" customHeight="true" outlineLevel="0" collapsed="false">
      <c r="A252" s="206"/>
      <c r="B252" s="206"/>
      <c r="C252" s="206"/>
      <c r="D252" s="206"/>
      <c r="E252" s="209"/>
      <c r="F252" s="206"/>
    </row>
    <row r="253" customFormat="false" ht="14.25" hidden="false" customHeight="true" outlineLevel="0" collapsed="false">
      <c r="A253" s="206"/>
      <c r="B253" s="206"/>
      <c r="C253" s="206"/>
      <c r="D253" s="206"/>
      <c r="E253" s="209"/>
      <c r="F253" s="206"/>
    </row>
    <row r="254" customFormat="false" ht="14.25" hidden="false" customHeight="true" outlineLevel="0" collapsed="false">
      <c r="A254" s="206"/>
      <c r="B254" s="206"/>
      <c r="C254" s="206"/>
      <c r="D254" s="206"/>
      <c r="E254" s="209"/>
      <c r="F254" s="206"/>
    </row>
    <row r="255" customFormat="false" ht="14.25" hidden="false" customHeight="true" outlineLevel="0" collapsed="false">
      <c r="A255" s="206"/>
      <c r="B255" s="206"/>
      <c r="C255" s="206"/>
      <c r="D255" s="206"/>
      <c r="E255" s="209"/>
      <c r="F255" s="206"/>
    </row>
    <row r="256" customFormat="false" ht="14.25" hidden="false" customHeight="true" outlineLevel="0" collapsed="false">
      <c r="A256" s="206"/>
      <c r="B256" s="206"/>
      <c r="C256" s="206"/>
      <c r="D256" s="206"/>
      <c r="E256" s="209"/>
      <c r="F256" s="206"/>
    </row>
    <row r="257" customFormat="false" ht="14.25" hidden="false" customHeight="true" outlineLevel="0" collapsed="false">
      <c r="A257" s="206"/>
      <c r="B257" s="206"/>
      <c r="C257" s="206"/>
      <c r="D257" s="206"/>
      <c r="E257" s="209"/>
      <c r="F257" s="206"/>
    </row>
    <row r="258" customFormat="false" ht="14.25" hidden="false" customHeight="true" outlineLevel="0" collapsed="false">
      <c r="A258" s="206"/>
      <c r="B258" s="206"/>
      <c r="C258" s="206"/>
      <c r="D258" s="206"/>
      <c r="E258" s="209"/>
      <c r="F258" s="206"/>
    </row>
    <row r="259" customFormat="false" ht="14.25" hidden="false" customHeight="true" outlineLevel="0" collapsed="false">
      <c r="A259" s="206"/>
      <c r="B259" s="206"/>
      <c r="C259" s="206"/>
      <c r="D259" s="206"/>
      <c r="E259" s="209"/>
      <c r="F259" s="206"/>
    </row>
    <row r="260" customFormat="false" ht="14.25" hidden="false" customHeight="true" outlineLevel="0" collapsed="false">
      <c r="A260" s="206"/>
      <c r="B260" s="206"/>
      <c r="C260" s="206"/>
      <c r="D260" s="206"/>
      <c r="E260" s="209"/>
      <c r="F260" s="206"/>
    </row>
    <row r="261" customFormat="false" ht="14.25" hidden="false" customHeight="true" outlineLevel="0" collapsed="false">
      <c r="A261" s="206"/>
      <c r="B261" s="206"/>
      <c r="C261" s="206"/>
      <c r="D261" s="206"/>
      <c r="E261" s="209"/>
      <c r="F261" s="206"/>
    </row>
    <row r="262" customFormat="false" ht="14.25" hidden="false" customHeight="true" outlineLevel="0" collapsed="false">
      <c r="A262" s="206"/>
      <c r="B262" s="206"/>
      <c r="C262" s="206"/>
      <c r="D262" s="206"/>
      <c r="E262" s="209"/>
      <c r="F262" s="206"/>
    </row>
    <row r="263" customFormat="false" ht="14.25" hidden="false" customHeight="true" outlineLevel="0" collapsed="false">
      <c r="A263" s="206"/>
      <c r="B263" s="206"/>
      <c r="C263" s="206"/>
      <c r="D263" s="206"/>
      <c r="E263" s="209"/>
      <c r="F263" s="206"/>
    </row>
    <row r="264" customFormat="false" ht="14.25" hidden="false" customHeight="true" outlineLevel="0" collapsed="false">
      <c r="A264" s="206"/>
      <c r="B264" s="206"/>
      <c r="C264" s="206"/>
      <c r="D264" s="206"/>
      <c r="E264" s="209"/>
      <c r="F264" s="206"/>
    </row>
    <row r="265" customFormat="false" ht="14.25" hidden="false" customHeight="true" outlineLevel="0" collapsed="false">
      <c r="A265" s="206"/>
      <c r="B265" s="206"/>
      <c r="C265" s="206"/>
      <c r="D265" s="206"/>
      <c r="E265" s="209"/>
      <c r="F265" s="206"/>
    </row>
    <row r="266" customFormat="false" ht="14.25" hidden="false" customHeight="true" outlineLevel="0" collapsed="false">
      <c r="A266" s="206"/>
      <c r="B266" s="206"/>
      <c r="C266" s="206"/>
      <c r="D266" s="206"/>
      <c r="E266" s="209"/>
      <c r="F266" s="206"/>
    </row>
    <row r="267" customFormat="false" ht="14.25" hidden="false" customHeight="true" outlineLevel="0" collapsed="false">
      <c r="A267" s="206"/>
      <c r="B267" s="206"/>
      <c r="C267" s="206"/>
      <c r="D267" s="206"/>
      <c r="E267" s="209"/>
      <c r="F267" s="206"/>
    </row>
    <row r="268" customFormat="false" ht="14.25" hidden="false" customHeight="true" outlineLevel="0" collapsed="false">
      <c r="A268" s="206"/>
      <c r="B268" s="206"/>
      <c r="C268" s="206"/>
      <c r="D268" s="206"/>
      <c r="E268" s="209"/>
      <c r="F268" s="206"/>
    </row>
    <row r="269" customFormat="false" ht="14.25" hidden="false" customHeight="true" outlineLevel="0" collapsed="false">
      <c r="A269" s="206"/>
      <c r="B269" s="206"/>
      <c r="C269" s="206"/>
      <c r="D269" s="206"/>
      <c r="E269" s="209"/>
      <c r="F269" s="206"/>
    </row>
    <row r="270" customFormat="false" ht="14.25" hidden="false" customHeight="true" outlineLevel="0" collapsed="false">
      <c r="A270" s="206"/>
      <c r="B270" s="206"/>
      <c r="C270" s="206"/>
      <c r="D270" s="206"/>
      <c r="E270" s="209"/>
      <c r="F270" s="206"/>
    </row>
    <row r="271" customFormat="false" ht="14.25" hidden="false" customHeight="true" outlineLevel="0" collapsed="false">
      <c r="A271" s="206"/>
      <c r="B271" s="206"/>
      <c r="C271" s="206"/>
      <c r="D271" s="206"/>
      <c r="E271" s="209"/>
      <c r="F271" s="206"/>
    </row>
    <row r="272" customFormat="false" ht="14.25" hidden="false" customHeight="true" outlineLevel="0" collapsed="false">
      <c r="A272" s="206"/>
      <c r="B272" s="206"/>
      <c r="C272" s="206"/>
      <c r="D272" s="206"/>
      <c r="E272" s="209"/>
      <c r="F272" s="206"/>
    </row>
    <row r="273" customFormat="false" ht="14.25" hidden="false" customHeight="true" outlineLevel="0" collapsed="false">
      <c r="A273" s="206"/>
      <c r="B273" s="206"/>
      <c r="C273" s="206"/>
      <c r="D273" s="206"/>
      <c r="E273" s="209"/>
      <c r="F273" s="206"/>
    </row>
    <row r="274" customFormat="false" ht="14.25" hidden="false" customHeight="true" outlineLevel="0" collapsed="false">
      <c r="A274" s="206"/>
      <c r="B274" s="206"/>
      <c r="C274" s="206"/>
      <c r="D274" s="206"/>
      <c r="E274" s="209"/>
      <c r="F274" s="206"/>
    </row>
    <row r="275" customFormat="false" ht="14.25" hidden="false" customHeight="true" outlineLevel="0" collapsed="false">
      <c r="A275" s="206"/>
      <c r="B275" s="206"/>
      <c r="C275" s="206"/>
      <c r="D275" s="206"/>
      <c r="E275" s="209"/>
      <c r="F275" s="206"/>
    </row>
    <row r="276" customFormat="false" ht="14.25" hidden="false" customHeight="true" outlineLevel="0" collapsed="false">
      <c r="A276" s="206"/>
      <c r="B276" s="206"/>
      <c r="C276" s="206"/>
      <c r="D276" s="206"/>
      <c r="E276" s="209"/>
      <c r="F276" s="206"/>
    </row>
    <row r="277" customFormat="false" ht="14.25" hidden="false" customHeight="true" outlineLevel="0" collapsed="false">
      <c r="A277" s="206"/>
      <c r="B277" s="206"/>
      <c r="C277" s="206"/>
      <c r="D277" s="206"/>
      <c r="E277" s="209"/>
      <c r="F277" s="206"/>
    </row>
    <row r="278" customFormat="false" ht="14.25" hidden="false" customHeight="true" outlineLevel="0" collapsed="false">
      <c r="A278" s="206"/>
      <c r="B278" s="206"/>
      <c r="C278" s="206"/>
      <c r="D278" s="206"/>
      <c r="E278" s="209"/>
      <c r="F278" s="206"/>
    </row>
    <row r="279" customFormat="false" ht="14.25" hidden="false" customHeight="true" outlineLevel="0" collapsed="false">
      <c r="A279" s="206"/>
      <c r="B279" s="206"/>
      <c r="C279" s="206"/>
      <c r="D279" s="206"/>
      <c r="E279" s="209"/>
      <c r="F279" s="206"/>
    </row>
    <row r="280" customFormat="false" ht="14.25" hidden="false" customHeight="true" outlineLevel="0" collapsed="false">
      <c r="A280" s="206"/>
      <c r="B280" s="206"/>
      <c r="C280" s="206"/>
      <c r="D280" s="206"/>
      <c r="E280" s="209"/>
      <c r="F280" s="206"/>
    </row>
    <row r="281" customFormat="false" ht="14.25" hidden="false" customHeight="true" outlineLevel="0" collapsed="false">
      <c r="A281" s="206"/>
      <c r="B281" s="206"/>
      <c r="C281" s="206"/>
      <c r="D281" s="206"/>
      <c r="E281" s="209"/>
      <c r="F281" s="206"/>
    </row>
    <row r="282" customFormat="false" ht="14.25" hidden="false" customHeight="true" outlineLevel="0" collapsed="false">
      <c r="A282" s="206"/>
      <c r="B282" s="206"/>
      <c r="C282" s="206"/>
      <c r="D282" s="206"/>
      <c r="E282" s="209"/>
      <c r="F282" s="206"/>
    </row>
    <row r="283" customFormat="false" ht="14.25" hidden="false" customHeight="true" outlineLevel="0" collapsed="false">
      <c r="A283" s="206"/>
      <c r="B283" s="206"/>
      <c r="C283" s="206"/>
      <c r="D283" s="206"/>
      <c r="E283" s="209"/>
      <c r="F283" s="206"/>
    </row>
    <row r="284" customFormat="false" ht="14.25" hidden="false" customHeight="true" outlineLevel="0" collapsed="false">
      <c r="A284" s="206"/>
      <c r="B284" s="206"/>
      <c r="C284" s="206"/>
      <c r="D284" s="206"/>
      <c r="E284" s="209"/>
      <c r="F284" s="206"/>
    </row>
    <row r="285" customFormat="false" ht="14.25" hidden="false" customHeight="true" outlineLevel="0" collapsed="false">
      <c r="A285" s="206"/>
      <c r="B285" s="206"/>
      <c r="C285" s="206"/>
      <c r="D285" s="206"/>
      <c r="E285" s="209"/>
      <c r="F285" s="206"/>
    </row>
    <row r="286" customFormat="false" ht="14.25" hidden="false" customHeight="true" outlineLevel="0" collapsed="false">
      <c r="A286" s="206"/>
      <c r="B286" s="206"/>
      <c r="C286" s="206"/>
      <c r="D286" s="206"/>
      <c r="E286" s="209"/>
      <c r="F286" s="206"/>
    </row>
    <row r="287" customFormat="false" ht="14.25" hidden="false" customHeight="true" outlineLevel="0" collapsed="false">
      <c r="A287" s="206"/>
      <c r="B287" s="206"/>
      <c r="C287" s="206"/>
      <c r="D287" s="206"/>
      <c r="E287" s="209"/>
      <c r="F287" s="206"/>
    </row>
    <row r="288" customFormat="false" ht="14.25" hidden="false" customHeight="true" outlineLevel="0" collapsed="false">
      <c r="A288" s="206"/>
      <c r="B288" s="206"/>
      <c r="C288" s="206"/>
      <c r="D288" s="206"/>
      <c r="E288" s="209"/>
      <c r="F288" s="206"/>
    </row>
    <row r="289" customFormat="false" ht="14.25" hidden="false" customHeight="true" outlineLevel="0" collapsed="false">
      <c r="A289" s="206"/>
      <c r="B289" s="206"/>
      <c r="C289" s="206"/>
      <c r="D289" s="206"/>
      <c r="E289" s="209"/>
      <c r="F289" s="206"/>
    </row>
    <row r="290" customFormat="false" ht="14.25" hidden="false" customHeight="true" outlineLevel="0" collapsed="false">
      <c r="A290" s="206"/>
      <c r="B290" s="206"/>
      <c r="C290" s="206"/>
      <c r="D290" s="206"/>
      <c r="E290" s="209"/>
      <c r="F290" s="206"/>
    </row>
    <row r="291" customFormat="false" ht="14.25" hidden="false" customHeight="true" outlineLevel="0" collapsed="false">
      <c r="A291" s="206"/>
      <c r="B291" s="206"/>
      <c r="C291" s="206"/>
      <c r="D291" s="206"/>
      <c r="E291" s="209"/>
      <c r="F291" s="206"/>
    </row>
    <row r="292" customFormat="false" ht="14.25" hidden="false" customHeight="true" outlineLevel="0" collapsed="false">
      <c r="A292" s="206"/>
      <c r="B292" s="206"/>
      <c r="C292" s="206"/>
      <c r="D292" s="206"/>
      <c r="E292" s="209"/>
      <c r="F292" s="206"/>
    </row>
    <row r="293" customFormat="false" ht="14.25" hidden="false" customHeight="true" outlineLevel="0" collapsed="false">
      <c r="A293" s="206"/>
      <c r="B293" s="206"/>
      <c r="C293" s="206"/>
      <c r="D293" s="206"/>
      <c r="E293" s="209"/>
      <c r="F293" s="206"/>
    </row>
    <row r="294" customFormat="false" ht="14.25" hidden="false" customHeight="true" outlineLevel="0" collapsed="false">
      <c r="A294" s="206"/>
      <c r="B294" s="206"/>
      <c r="C294" s="206"/>
      <c r="D294" s="206"/>
      <c r="E294" s="209"/>
      <c r="F294" s="206"/>
    </row>
    <row r="295" customFormat="false" ht="14.25" hidden="false" customHeight="true" outlineLevel="0" collapsed="false">
      <c r="A295" s="206"/>
      <c r="B295" s="206"/>
      <c r="C295" s="206"/>
      <c r="D295" s="206"/>
      <c r="E295" s="209"/>
      <c r="F295" s="206"/>
    </row>
    <row r="296" customFormat="false" ht="14.25" hidden="false" customHeight="true" outlineLevel="0" collapsed="false">
      <c r="A296" s="206"/>
      <c r="B296" s="206"/>
      <c r="C296" s="206"/>
      <c r="D296" s="206"/>
      <c r="E296" s="209"/>
      <c r="F296" s="206"/>
    </row>
    <row r="297" customFormat="false" ht="14.25" hidden="false" customHeight="true" outlineLevel="0" collapsed="false">
      <c r="A297" s="206"/>
      <c r="B297" s="206"/>
      <c r="C297" s="206"/>
      <c r="D297" s="206"/>
      <c r="E297" s="209"/>
      <c r="F297" s="206"/>
    </row>
    <row r="298" customFormat="false" ht="14.25" hidden="false" customHeight="true" outlineLevel="0" collapsed="false">
      <c r="A298" s="206"/>
      <c r="B298" s="206"/>
      <c r="C298" s="206"/>
      <c r="D298" s="206"/>
      <c r="E298" s="209"/>
      <c r="F298" s="206"/>
    </row>
    <row r="299" customFormat="false" ht="14.25" hidden="false" customHeight="true" outlineLevel="0" collapsed="false">
      <c r="A299" s="206"/>
      <c r="B299" s="206"/>
      <c r="C299" s="206"/>
      <c r="D299" s="206"/>
      <c r="E299" s="209"/>
      <c r="F299" s="206"/>
    </row>
    <row r="300" customFormat="false" ht="14.25" hidden="false" customHeight="true" outlineLevel="0" collapsed="false">
      <c r="A300" s="206"/>
      <c r="B300" s="206"/>
      <c r="C300" s="206"/>
      <c r="D300" s="206"/>
      <c r="E300" s="209"/>
      <c r="F300" s="206"/>
    </row>
    <row r="301" customFormat="false" ht="14.25" hidden="false" customHeight="true" outlineLevel="0" collapsed="false">
      <c r="A301" s="206"/>
      <c r="B301" s="206"/>
      <c r="C301" s="206"/>
      <c r="D301" s="206"/>
      <c r="E301" s="209"/>
      <c r="F301" s="206"/>
    </row>
    <row r="302" customFormat="false" ht="14.25" hidden="false" customHeight="true" outlineLevel="0" collapsed="false">
      <c r="A302" s="206"/>
      <c r="B302" s="206"/>
      <c r="C302" s="206"/>
      <c r="D302" s="206"/>
      <c r="E302" s="209"/>
      <c r="F302" s="206"/>
    </row>
    <row r="303" customFormat="false" ht="14.25" hidden="false" customHeight="true" outlineLevel="0" collapsed="false">
      <c r="A303" s="206"/>
      <c r="B303" s="206"/>
      <c r="C303" s="206"/>
      <c r="D303" s="206"/>
      <c r="E303" s="209"/>
      <c r="F303" s="206"/>
    </row>
    <row r="304" customFormat="false" ht="14.25" hidden="false" customHeight="true" outlineLevel="0" collapsed="false">
      <c r="A304" s="206"/>
      <c r="B304" s="206"/>
      <c r="C304" s="206"/>
      <c r="D304" s="206"/>
      <c r="E304" s="209"/>
      <c r="F304" s="206"/>
    </row>
    <row r="305" customFormat="false" ht="14.25" hidden="false" customHeight="true" outlineLevel="0" collapsed="false">
      <c r="A305" s="206"/>
      <c r="B305" s="206"/>
      <c r="C305" s="206"/>
      <c r="D305" s="206"/>
      <c r="E305" s="209"/>
      <c r="F305" s="206"/>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71" colorId="64" zoomScale="100" zoomScaleNormal="100" zoomScalePageLayoutView="100" workbookViewId="0">
      <selection pane="topLeft" activeCell="A1" activeCellId="0" sqref="A1"/>
    </sheetView>
  </sheetViews>
  <sheetFormatPr defaultColWidth="8.66796875" defaultRowHeight="14.2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210" t="s">
        <v>768</v>
      </c>
      <c r="B1" s="210"/>
      <c r="C1" s="210"/>
      <c r="D1" s="210"/>
      <c r="E1" s="210"/>
      <c r="F1" s="210"/>
    </row>
    <row r="2" customFormat="false" ht="15" hidden="false" customHeight="true" outlineLevel="0" collapsed="false">
      <c r="A2" s="211" t="s">
        <v>769</v>
      </c>
      <c r="B2" s="211"/>
      <c r="C2" s="211"/>
      <c r="D2" s="211"/>
      <c r="E2" s="211"/>
      <c r="F2" s="211"/>
    </row>
    <row r="4" customFormat="false" ht="15" hidden="false" customHeight="true" outlineLevel="0" collapsed="false">
      <c r="A4" s="212" t="s">
        <v>770</v>
      </c>
      <c r="B4" s="212"/>
      <c r="C4" s="212"/>
      <c r="D4" s="212"/>
      <c r="E4" s="212"/>
      <c r="F4" s="212"/>
    </row>
    <row r="5" customFormat="false" ht="15" hidden="false" customHeight="true" outlineLevel="0" collapsed="false">
      <c r="A5" s="213" t="s">
        <v>771</v>
      </c>
      <c r="B5" s="213" t="s">
        <v>772</v>
      </c>
      <c r="C5" s="213" t="s">
        <v>773</v>
      </c>
      <c r="D5" s="213" t="s">
        <v>774</v>
      </c>
    </row>
    <row r="6" customFormat="false" ht="15" hidden="false" customHeight="true" outlineLevel="0" collapsed="false">
      <c r="A6" s="214" t="s">
        <v>775</v>
      </c>
      <c r="B6" s="214" t="s">
        <v>776</v>
      </c>
      <c r="C6" s="214" t="s">
        <v>776</v>
      </c>
      <c r="D6" s="215" t="s">
        <v>777</v>
      </c>
      <c r="E6" s="215"/>
      <c r="F6" s="215"/>
    </row>
    <row r="8" customFormat="false" ht="15" hidden="false" customHeight="true" outlineLevel="0" collapsed="false">
      <c r="A8" s="212" t="s">
        <v>778</v>
      </c>
      <c r="B8" s="212"/>
      <c r="C8" s="212"/>
      <c r="D8" s="212"/>
      <c r="E8" s="212"/>
      <c r="F8" s="212"/>
    </row>
    <row r="9" customFormat="false" ht="15" hidden="false" customHeight="true" outlineLevel="0" collapsed="false">
      <c r="A9" s="213" t="s">
        <v>771</v>
      </c>
      <c r="B9" s="213" t="s">
        <v>772</v>
      </c>
      <c r="C9" s="213" t="s">
        <v>773</v>
      </c>
      <c r="D9" s="213" t="s">
        <v>774</v>
      </c>
    </row>
    <row r="10" customFormat="false" ht="27.75" hidden="false" customHeight="true" outlineLevel="0" collapsed="false">
      <c r="A10" s="214" t="s">
        <v>779</v>
      </c>
      <c r="B10" s="214" t="s">
        <v>776</v>
      </c>
      <c r="C10" s="214" t="s">
        <v>780</v>
      </c>
      <c r="D10" s="215" t="s">
        <v>781</v>
      </c>
      <c r="E10" s="215"/>
      <c r="F10" s="215"/>
    </row>
    <row r="12" customFormat="false" ht="15" hidden="false" customHeight="true" outlineLevel="0" collapsed="false">
      <c r="A12" s="212" t="s">
        <v>782</v>
      </c>
      <c r="B12" s="212"/>
      <c r="C12" s="212"/>
      <c r="D12" s="212"/>
      <c r="E12" s="212"/>
      <c r="F12" s="212"/>
    </row>
    <row r="13" customFormat="false" ht="15" hidden="false" customHeight="true" outlineLevel="0" collapsed="false">
      <c r="A13" s="213" t="s">
        <v>771</v>
      </c>
      <c r="B13" s="213" t="s">
        <v>772</v>
      </c>
      <c r="C13" s="213" t="s">
        <v>773</v>
      </c>
      <c r="D13" s="213" t="s">
        <v>774</v>
      </c>
    </row>
    <row r="14" customFormat="false" ht="369" hidden="false" customHeight="true" outlineLevel="0" collapsed="false">
      <c r="A14" s="214" t="s">
        <v>783</v>
      </c>
      <c r="B14" s="214" t="s">
        <v>784</v>
      </c>
      <c r="C14" s="214" t="s">
        <v>785</v>
      </c>
      <c r="D14" s="215" t="s">
        <v>786</v>
      </c>
      <c r="E14" s="215"/>
      <c r="F14" s="215"/>
    </row>
    <row r="16" customFormat="false" ht="15" hidden="false" customHeight="true" outlineLevel="0" collapsed="false">
      <c r="A16" s="212" t="s">
        <v>787</v>
      </c>
      <c r="B16" s="212"/>
      <c r="C16" s="212"/>
      <c r="D16" s="212"/>
      <c r="E16" s="212"/>
      <c r="F16" s="212"/>
    </row>
    <row r="17" customFormat="false" ht="15" hidden="false" customHeight="true" outlineLevel="0" collapsed="false">
      <c r="A17" s="213" t="s">
        <v>771</v>
      </c>
      <c r="B17" s="213" t="s">
        <v>772</v>
      </c>
      <c r="C17" s="213" t="s">
        <v>773</v>
      </c>
      <c r="D17" s="213" t="s">
        <v>774</v>
      </c>
    </row>
    <row r="18" customFormat="false" ht="45.75" hidden="false" customHeight="true" outlineLevel="0" collapsed="false">
      <c r="A18" s="214" t="s">
        <v>783</v>
      </c>
      <c r="B18" s="214" t="s">
        <v>788</v>
      </c>
      <c r="C18" s="214" t="s">
        <v>789</v>
      </c>
      <c r="D18" s="215" t="s">
        <v>790</v>
      </c>
      <c r="E18" s="215"/>
      <c r="F18" s="215"/>
    </row>
    <row r="20" customFormat="false" ht="15" hidden="false" customHeight="true" outlineLevel="0" collapsed="false">
      <c r="A20" s="212" t="s">
        <v>791</v>
      </c>
      <c r="B20" s="212"/>
      <c r="C20" s="212"/>
      <c r="D20" s="212"/>
      <c r="E20" s="212"/>
      <c r="F20" s="212"/>
    </row>
    <row r="21" customFormat="false" ht="15" hidden="false" customHeight="true" outlineLevel="0" collapsed="false">
      <c r="A21" s="213" t="s">
        <v>771</v>
      </c>
      <c r="B21" s="213" t="s">
        <v>772</v>
      </c>
      <c r="C21" s="213" t="s">
        <v>773</v>
      </c>
      <c r="D21" s="213" t="s">
        <v>774</v>
      </c>
    </row>
    <row r="22" customFormat="false" ht="351" hidden="false" customHeight="true" outlineLevel="0" collapsed="false">
      <c r="A22" s="214" t="s">
        <v>792</v>
      </c>
      <c r="B22" s="214" t="s">
        <v>776</v>
      </c>
      <c r="C22" s="214" t="s">
        <v>793</v>
      </c>
      <c r="D22" s="215" t="s">
        <v>794</v>
      </c>
      <c r="E22" s="215"/>
      <c r="F22" s="215"/>
    </row>
    <row r="24" customFormat="false" ht="15" hidden="false" customHeight="true" outlineLevel="0" collapsed="false">
      <c r="A24" s="212" t="s">
        <v>795</v>
      </c>
      <c r="B24" s="212"/>
      <c r="C24" s="212"/>
      <c r="D24" s="212"/>
      <c r="E24" s="212"/>
      <c r="F24" s="212"/>
    </row>
    <row r="25" customFormat="false" ht="15" hidden="false" customHeight="true" outlineLevel="0" collapsed="false">
      <c r="A25" s="213" t="s">
        <v>771</v>
      </c>
      <c r="B25" s="213" t="s">
        <v>772</v>
      </c>
      <c r="C25" s="213" t="s">
        <v>773</v>
      </c>
      <c r="D25" s="213" t="s">
        <v>774</v>
      </c>
    </row>
    <row r="26" customFormat="false" ht="54.75" hidden="false" customHeight="true" outlineLevel="0" collapsed="false">
      <c r="A26" s="214" t="s">
        <v>783</v>
      </c>
      <c r="B26" s="214" t="s">
        <v>796</v>
      </c>
      <c r="C26" s="214" t="s">
        <v>797</v>
      </c>
      <c r="D26" s="215" t="s">
        <v>798</v>
      </c>
      <c r="E26" s="215"/>
      <c r="F26" s="215"/>
    </row>
    <row r="28" customFormat="false" ht="15" hidden="false" customHeight="true" outlineLevel="0" collapsed="false">
      <c r="A28" s="212" t="s">
        <v>799</v>
      </c>
      <c r="B28" s="212"/>
      <c r="C28" s="212"/>
      <c r="D28" s="212"/>
      <c r="E28" s="212"/>
      <c r="F28" s="212"/>
    </row>
    <row r="29" customFormat="false" ht="15" hidden="false" customHeight="true" outlineLevel="0" collapsed="false">
      <c r="A29" s="213" t="s">
        <v>771</v>
      </c>
      <c r="B29" s="213" t="s">
        <v>772</v>
      </c>
      <c r="C29" s="213" t="s">
        <v>773</v>
      </c>
      <c r="D29" s="213" t="s">
        <v>774</v>
      </c>
    </row>
    <row r="30" customFormat="false" ht="144.75" hidden="false" customHeight="true" outlineLevel="0" collapsed="false">
      <c r="A30" s="214" t="s">
        <v>800</v>
      </c>
      <c r="B30" s="214" t="s">
        <v>801</v>
      </c>
      <c r="C30" s="214" t="s">
        <v>802</v>
      </c>
      <c r="D30" s="215" t="s">
        <v>803</v>
      </c>
      <c r="E30" s="215"/>
      <c r="F30" s="215"/>
    </row>
    <row r="32" customFormat="false" ht="15" hidden="false" customHeight="true" outlineLevel="0" collapsed="false">
      <c r="A32" s="212" t="s">
        <v>804</v>
      </c>
      <c r="B32" s="212"/>
      <c r="C32" s="212"/>
      <c r="D32" s="212"/>
      <c r="E32" s="212"/>
      <c r="F32" s="212"/>
    </row>
    <row r="33" customFormat="false" ht="15" hidden="false" customHeight="true" outlineLevel="0" collapsed="false">
      <c r="A33" s="213" t="s">
        <v>771</v>
      </c>
      <c r="B33" s="213" t="s">
        <v>772</v>
      </c>
      <c r="C33" s="213" t="s">
        <v>773</v>
      </c>
      <c r="D33" s="213" t="s">
        <v>774</v>
      </c>
    </row>
    <row r="34" customFormat="false" ht="99.75" hidden="false" customHeight="true" outlineLevel="0" collapsed="false">
      <c r="A34" s="214" t="s">
        <v>783</v>
      </c>
      <c r="B34" s="214" t="s">
        <v>805</v>
      </c>
      <c r="C34" s="214" t="s">
        <v>806</v>
      </c>
      <c r="D34" s="215" t="s">
        <v>807</v>
      </c>
      <c r="E34" s="215"/>
      <c r="F34" s="215"/>
    </row>
    <row r="36" customFormat="false" ht="15" hidden="false" customHeight="true" outlineLevel="0" collapsed="false">
      <c r="A36" s="212" t="s">
        <v>808</v>
      </c>
      <c r="B36" s="212"/>
      <c r="C36" s="212"/>
      <c r="D36" s="212"/>
      <c r="E36" s="212"/>
      <c r="F36" s="212"/>
    </row>
    <row r="37" customFormat="false" ht="15" hidden="false" customHeight="true" outlineLevel="0" collapsed="false">
      <c r="A37" s="213" t="s">
        <v>771</v>
      </c>
      <c r="B37" s="213" t="s">
        <v>772</v>
      </c>
      <c r="C37" s="213" t="s">
        <v>773</v>
      </c>
      <c r="D37" s="213" t="s">
        <v>774</v>
      </c>
    </row>
    <row r="38" customFormat="false" ht="162" hidden="false" customHeight="true" outlineLevel="0" collapsed="false">
      <c r="A38" s="214" t="s">
        <v>792</v>
      </c>
      <c r="B38" s="214" t="s">
        <v>776</v>
      </c>
      <c r="C38" s="214" t="s">
        <v>809</v>
      </c>
      <c r="D38" s="215" t="s">
        <v>810</v>
      </c>
      <c r="E38" s="215"/>
      <c r="F38" s="215"/>
    </row>
    <row r="40" customFormat="false" ht="15" hidden="false" customHeight="true" outlineLevel="0" collapsed="false">
      <c r="A40" s="212" t="s">
        <v>811</v>
      </c>
      <c r="B40" s="212"/>
      <c r="C40" s="212"/>
      <c r="D40" s="212"/>
      <c r="E40" s="212"/>
      <c r="F40" s="212"/>
    </row>
    <row r="41" customFormat="false" ht="15" hidden="false" customHeight="true" outlineLevel="0" collapsed="false">
      <c r="A41" s="213" t="s">
        <v>771</v>
      </c>
      <c r="B41" s="213" t="s">
        <v>772</v>
      </c>
      <c r="C41" s="213" t="s">
        <v>773</v>
      </c>
      <c r="D41" s="213" t="s">
        <v>774</v>
      </c>
    </row>
    <row r="42" customFormat="false" ht="90.75" hidden="false" customHeight="true" outlineLevel="0" collapsed="false">
      <c r="A42" s="214" t="s">
        <v>812</v>
      </c>
      <c r="B42" s="214" t="s">
        <v>776</v>
      </c>
      <c r="C42" s="214" t="s">
        <v>813</v>
      </c>
      <c r="D42" s="215" t="s">
        <v>814</v>
      </c>
      <c r="E42" s="215"/>
      <c r="F42" s="215"/>
    </row>
    <row r="44" customFormat="false" ht="15" hidden="false" customHeight="true" outlineLevel="0" collapsed="false">
      <c r="A44" s="212" t="s">
        <v>815</v>
      </c>
      <c r="B44" s="212"/>
      <c r="C44" s="212"/>
      <c r="D44" s="212"/>
      <c r="E44" s="212"/>
      <c r="F44" s="212"/>
    </row>
    <row r="45" customFormat="false" ht="15" hidden="false" customHeight="true" outlineLevel="0" collapsed="false">
      <c r="A45" s="213" t="s">
        <v>771</v>
      </c>
      <c r="B45" s="213" t="s">
        <v>772</v>
      </c>
      <c r="C45" s="213" t="s">
        <v>773</v>
      </c>
      <c r="D45" s="213" t="s">
        <v>774</v>
      </c>
    </row>
    <row r="46" customFormat="false" ht="90.75" hidden="false" customHeight="true" outlineLevel="0" collapsed="false">
      <c r="A46" s="214" t="s">
        <v>816</v>
      </c>
      <c r="B46" s="214" t="s">
        <v>776</v>
      </c>
      <c r="C46" s="214" t="s">
        <v>817</v>
      </c>
      <c r="D46" s="215" t="s">
        <v>818</v>
      </c>
      <c r="E46" s="215"/>
      <c r="F46" s="215"/>
    </row>
    <row r="48" customFormat="false" ht="15" hidden="false" customHeight="true" outlineLevel="0" collapsed="false">
      <c r="A48" s="212" t="s">
        <v>819</v>
      </c>
      <c r="B48" s="212"/>
      <c r="C48" s="212"/>
      <c r="D48" s="212"/>
      <c r="E48" s="212"/>
      <c r="F48" s="212"/>
    </row>
    <row r="49" customFormat="false" ht="15" hidden="false" customHeight="true" outlineLevel="0" collapsed="false">
      <c r="A49" s="213" t="s">
        <v>771</v>
      </c>
      <c r="B49" s="213" t="s">
        <v>772</v>
      </c>
      <c r="C49" s="213" t="s">
        <v>773</v>
      </c>
      <c r="D49" s="213" t="s">
        <v>774</v>
      </c>
    </row>
    <row r="50" customFormat="false" ht="81.75" hidden="false" customHeight="true" outlineLevel="0" collapsed="false">
      <c r="A50" s="214" t="s">
        <v>783</v>
      </c>
      <c r="B50" s="214" t="s">
        <v>820</v>
      </c>
      <c r="C50" s="214" t="s">
        <v>821</v>
      </c>
      <c r="D50" s="215" t="s">
        <v>822</v>
      </c>
      <c r="E50" s="215"/>
      <c r="F50" s="215"/>
    </row>
    <row r="52" customFormat="false" ht="15" hidden="false" customHeight="true" outlineLevel="0" collapsed="false">
      <c r="A52" s="212" t="s">
        <v>823</v>
      </c>
      <c r="B52" s="212"/>
      <c r="C52" s="212"/>
      <c r="D52" s="212"/>
      <c r="E52" s="212"/>
      <c r="F52" s="212"/>
    </row>
    <row r="53" customFormat="false" ht="15" hidden="false" customHeight="true" outlineLevel="0" collapsed="false">
      <c r="A53" s="213" t="s">
        <v>771</v>
      </c>
      <c r="B53" s="213" t="s">
        <v>772</v>
      </c>
      <c r="C53" s="213" t="s">
        <v>773</v>
      </c>
      <c r="D53" s="213" t="s">
        <v>774</v>
      </c>
    </row>
    <row r="54" customFormat="false" ht="27.75" hidden="false" customHeight="true" outlineLevel="0" collapsed="false">
      <c r="A54" s="214" t="s">
        <v>783</v>
      </c>
      <c r="B54" s="214" t="s">
        <v>824</v>
      </c>
      <c r="C54" s="214" t="s">
        <v>825</v>
      </c>
      <c r="D54" s="215" t="s">
        <v>826</v>
      </c>
      <c r="E54" s="215"/>
      <c r="F54" s="215"/>
    </row>
    <row r="56" customFormat="false" ht="15" hidden="false" customHeight="true" outlineLevel="0" collapsed="false">
      <c r="A56" s="212" t="s">
        <v>827</v>
      </c>
      <c r="B56" s="212"/>
      <c r="C56" s="212"/>
      <c r="D56" s="212"/>
      <c r="E56" s="212"/>
      <c r="F56" s="212"/>
    </row>
    <row r="57" customFormat="false" ht="15" hidden="false" customHeight="true" outlineLevel="0" collapsed="false">
      <c r="A57" s="213" t="s">
        <v>771</v>
      </c>
      <c r="B57" s="213" t="s">
        <v>772</v>
      </c>
      <c r="C57" s="213" t="s">
        <v>773</v>
      </c>
      <c r="D57" s="213" t="s">
        <v>774</v>
      </c>
    </row>
    <row r="58" customFormat="false" ht="333" hidden="false" customHeight="true" outlineLevel="0" collapsed="false">
      <c r="A58" s="214" t="s">
        <v>800</v>
      </c>
      <c r="B58" s="214" t="s">
        <v>828</v>
      </c>
      <c r="C58" s="214" t="s">
        <v>829</v>
      </c>
      <c r="D58" s="215" t="s">
        <v>830</v>
      </c>
      <c r="E58" s="215"/>
      <c r="F58" s="215"/>
    </row>
    <row r="60" customFormat="false" ht="15" hidden="false" customHeight="true" outlineLevel="0" collapsed="false">
      <c r="A60" s="212" t="s">
        <v>831</v>
      </c>
      <c r="B60" s="212"/>
      <c r="C60" s="212"/>
      <c r="D60" s="212"/>
      <c r="E60" s="212"/>
      <c r="F60" s="212"/>
    </row>
    <row r="61" customFormat="false" ht="15" hidden="false" customHeight="true" outlineLevel="0" collapsed="false">
      <c r="A61" s="213" t="s">
        <v>771</v>
      </c>
      <c r="B61" s="213" t="s">
        <v>772</v>
      </c>
      <c r="C61" s="213" t="s">
        <v>773</v>
      </c>
      <c r="D61" s="213" t="s">
        <v>774</v>
      </c>
    </row>
    <row r="62" customFormat="false" ht="409.5" hidden="false" customHeight="true" outlineLevel="0" collapsed="false">
      <c r="A62" s="214" t="s">
        <v>800</v>
      </c>
      <c r="B62" s="214" t="s">
        <v>832</v>
      </c>
      <c r="C62" s="214" t="s">
        <v>833</v>
      </c>
      <c r="D62" s="215" t="s">
        <v>834</v>
      </c>
      <c r="E62" s="215"/>
      <c r="F62" s="215"/>
    </row>
    <row r="64" customFormat="false" ht="15" hidden="false" customHeight="true" outlineLevel="0" collapsed="false">
      <c r="A64" s="212" t="s">
        <v>835</v>
      </c>
      <c r="B64" s="212"/>
      <c r="C64" s="212"/>
      <c r="D64" s="212"/>
      <c r="E64" s="212"/>
      <c r="F64" s="212"/>
    </row>
    <row r="65" customFormat="false" ht="15" hidden="false" customHeight="true" outlineLevel="0" collapsed="false">
      <c r="A65" s="213" t="s">
        <v>771</v>
      </c>
      <c r="B65" s="213" t="s">
        <v>772</v>
      </c>
      <c r="C65" s="213" t="s">
        <v>773</v>
      </c>
      <c r="D65" s="213" t="s">
        <v>774</v>
      </c>
    </row>
    <row r="66" customFormat="false" ht="45.75" hidden="false" customHeight="true" outlineLevel="0" collapsed="false">
      <c r="A66" s="214" t="s">
        <v>783</v>
      </c>
      <c r="B66" s="214" t="s">
        <v>836</v>
      </c>
      <c r="C66" s="214" t="s">
        <v>837</v>
      </c>
      <c r="D66" s="215" t="s">
        <v>838</v>
      </c>
      <c r="E66" s="215"/>
      <c r="F66" s="215"/>
    </row>
    <row r="68" customFormat="false" ht="15" hidden="false" customHeight="true" outlineLevel="0" collapsed="false">
      <c r="A68" s="212" t="s">
        <v>839</v>
      </c>
      <c r="B68" s="212"/>
      <c r="C68" s="212"/>
      <c r="D68" s="212"/>
      <c r="E68" s="212"/>
      <c r="F68" s="212"/>
    </row>
    <row r="69" customFormat="false" ht="15" hidden="false" customHeight="true" outlineLevel="0" collapsed="false">
      <c r="A69" s="213" t="s">
        <v>771</v>
      </c>
      <c r="B69" s="213" t="s">
        <v>772</v>
      </c>
      <c r="C69" s="213" t="s">
        <v>773</v>
      </c>
      <c r="D69" s="213" t="s">
        <v>774</v>
      </c>
    </row>
    <row r="70" customFormat="false" ht="15" hidden="false" customHeight="true" outlineLevel="0" collapsed="false">
      <c r="A70" s="214" t="s">
        <v>783</v>
      </c>
      <c r="B70" s="214" t="s">
        <v>840</v>
      </c>
      <c r="C70" s="214" t="s">
        <v>841</v>
      </c>
      <c r="D70" s="215" t="s">
        <v>842</v>
      </c>
      <c r="E70" s="215"/>
      <c r="F70" s="215"/>
    </row>
    <row r="72" customFormat="false" ht="15" hidden="false" customHeight="true" outlineLevel="0" collapsed="false">
      <c r="A72" s="212" t="s">
        <v>843</v>
      </c>
      <c r="B72" s="212"/>
      <c r="C72" s="212"/>
      <c r="D72" s="212"/>
      <c r="E72" s="212"/>
      <c r="F72" s="212"/>
    </row>
    <row r="73" customFormat="false" ht="15" hidden="false" customHeight="true" outlineLevel="0" collapsed="false">
      <c r="A73" s="213" t="s">
        <v>771</v>
      </c>
      <c r="B73" s="213" t="s">
        <v>772</v>
      </c>
      <c r="C73" s="213" t="s">
        <v>773</v>
      </c>
      <c r="D73" s="213" t="s">
        <v>774</v>
      </c>
    </row>
    <row r="74" customFormat="false" ht="117.75" hidden="false" customHeight="true" outlineLevel="0" collapsed="false">
      <c r="A74" s="214" t="s">
        <v>783</v>
      </c>
      <c r="B74" s="214" t="s">
        <v>844</v>
      </c>
      <c r="C74" s="214" t="s">
        <v>845</v>
      </c>
      <c r="D74" s="215" t="s">
        <v>846</v>
      </c>
      <c r="E74" s="215"/>
      <c r="F74" s="215"/>
    </row>
    <row r="76" customFormat="false" ht="15" hidden="false" customHeight="true" outlineLevel="0" collapsed="false">
      <c r="A76" s="212" t="s">
        <v>847</v>
      </c>
      <c r="B76" s="212"/>
      <c r="C76" s="212"/>
      <c r="D76" s="212"/>
      <c r="E76" s="212"/>
      <c r="F76" s="212"/>
    </row>
    <row r="77" customFormat="false" ht="15" hidden="false" customHeight="true" outlineLevel="0" collapsed="false">
      <c r="A77" s="213" t="s">
        <v>771</v>
      </c>
      <c r="B77" s="213" t="s">
        <v>772</v>
      </c>
      <c r="C77" s="213" t="s">
        <v>773</v>
      </c>
      <c r="D77" s="213" t="s">
        <v>774</v>
      </c>
    </row>
    <row r="78" customFormat="false" ht="135.75" hidden="false" customHeight="true" outlineLevel="0" collapsed="false">
      <c r="A78" s="214" t="s">
        <v>783</v>
      </c>
      <c r="B78" s="214" t="s">
        <v>848</v>
      </c>
      <c r="C78" s="214" t="s">
        <v>849</v>
      </c>
      <c r="D78" s="215" t="s">
        <v>850</v>
      </c>
      <c r="E78" s="215"/>
      <c r="F78" s="215"/>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2026-10-04T16:51:49Z</dcterms:modified>
  <cp:revision>225</cp:revision>
  <dc:subject/>
  <dc:title/>
</cp:coreProperties>
</file>

<file path=docProps/custom.xml><?xml version="1.0" encoding="utf-8"?>
<Properties xmlns="http://schemas.openxmlformats.org/officeDocument/2006/custom-properties" xmlns:vt="http://schemas.openxmlformats.org/officeDocument/2006/docPropsVTypes"/>
</file>